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NUDIP_BY_SAYAR_DPBA\EXCEL\Classwork\"/>
    </mc:Choice>
  </mc:AlternateContent>
  <xr:revisionPtr revIDLastSave="0" documentId="13_ncr:1_{EC5A6965-C84D-4985-B8E0-F57303A5B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ction &amp; Formula Used" sheetId="1" r:id="rId1"/>
    <sheet name="Grading Sys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8" i="1" l="1"/>
  <c r="V47" i="1"/>
  <c r="W45" i="1"/>
  <c r="W43" i="1"/>
  <c r="W42" i="1"/>
  <c r="U22" i="1"/>
  <c r="X15" i="1"/>
  <c r="W14" i="1"/>
  <c r="W13" i="1"/>
  <c r="W1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B3" i="2"/>
  <c r="C3" i="2"/>
  <c r="D3" i="2"/>
  <c r="B4" i="2"/>
  <c r="C4" i="2"/>
  <c r="D4" i="2"/>
  <c r="B5" i="2"/>
  <c r="C5" i="2"/>
  <c r="D5" i="2"/>
  <c r="B6" i="2"/>
  <c r="C6" i="2"/>
  <c r="D6" i="2"/>
  <c r="B8" i="2"/>
  <c r="C8" i="2"/>
  <c r="D8" i="2"/>
  <c r="B9" i="2"/>
  <c r="C9" i="2"/>
  <c r="D9" i="2"/>
  <c r="X8" i="1"/>
  <c r="X6" i="1"/>
  <c r="Q3" i="1" a="1"/>
  <c r="Q3" i="1"/>
  <c r="Q4" i="1" a="1"/>
  <c r="Q4" i="1" s="1"/>
  <c r="Q5" i="1" a="1"/>
  <c r="Q5" i="1" s="1"/>
  <c r="Q6" i="1" a="1"/>
  <c r="Q6" i="1"/>
  <c r="Q7" i="1" a="1"/>
  <c r="Q7" i="1"/>
  <c r="Q8" i="1" a="1"/>
  <c r="Q8" i="1" s="1"/>
  <c r="Q9" i="1" a="1"/>
  <c r="Q9" i="1"/>
  <c r="Q10" i="1" a="1"/>
  <c r="Q10" i="1" s="1"/>
  <c r="Q11" i="1" a="1"/>
  <c r="Q11" i="1" s="1"/>
  <c r="Q12" i="1" a="1"/>
  <c r="Q12" i="1"/>
  <c r="Q13" i="1" a="1"/>
  <c r="Q13" i="1"/>
  <c r="Q14" i="1" a="1"/>
  <c r="Q14" i="1" s="1"/>
  <c r="Q15" i="1" a="1"/>
  <c r="Q15" i="1"/>
  <c r="Q16" i="1" a="1"/>
  <c r="Q16" i="1" s="1"/>
  <c r="Q17" i="1" a="1"/>
  <c r="Q17" i="1" s="1"/>
  <c r="Q18" i="1" a="1"/>
  <c r="Q18" i="1"/>
  <c r="Q19" i="1" a="1"/>
  <c r="Q19" i="1"/>
  <c r="Q20" i="1" a="1"/>
  <c r="Q20" i="1" s="1"/>
  <c r="Q21" i="1" a="1"/>
  <c r="Q21" i="1"/>
  <c r="Q22" i="1" a="1"/>
  <c r="Q22" i="1" s="1"/>
  <c r="Q23" i="1" a="1"/>
  <c r="Q23" i="1" s="1"/>
  <c r="Q24" i="1" a="1"/>
  <c r="Q24" i="1" s="1"/>
  <c r="Q25" i="1" a="1"/>
  <c r="Q25" i="1"/>
  <c r="Q26" i="1" a="1"/>
  <c r="Q26" i="1" s="1"/>
  <c r="Q27" i="1" a="1"/>
  <c r="Q27" i="1"/>
  <c r="Q28" i="1" a="1"/>
  <c r="Q28" i="1" s="1"/>
  <c r="Q29" i="1" a="1"/>
  <c r="Q29" i="1" s="1"/>
  <c r="Q30" i="1" a="1"/>
  <c r="Q30" i="1" s="1"/>
  <c r="Q31" i="1" a="1"/>
  <c r="Q31" i="1"/>
  <c r="Q32" i="1" a="1"/>
  <c r="Q32" i="1" s="1"/>
  <c r="Q33" i="1" a="1"/>
  <c r="Q33" i="1"/>
  <c r="Q34" i="1" a="1"/>
  <c r="Q34" i="1" s="1"/>
  <c r="Q35" i="1" a="1"/>
  <c r="Q35" i="1" s="1"/>
  <c r="Q36" i="1" a="1"/>
  <c r="Q36" i="1" s="1"/>
  <c r="Q37" i="1" a="1"/>
  <c r="Q37" i="1"/>
  <c r="Q38" i="1" a="1"/>
  <c r="Q38" i="1" s="1"/>
  <c r="Q39" i="1" a="1"/>
  <c r="Q39" i="1" s="1"/>
  <c r="Q40" i="1" a="1"/>
  <c r="Q40" i="1" s="1"/>
  <c r="Q41" i="1" a="1"/>
  <c r="Q41" i="1" s="1"/>
  <c r="Q42" i="1" a="1"/>
  <c r="Q42" i="1" s="1"/>
  <c r="Q43" i="1" a="1"/>
  <c r="Q43" i="1"/>
  <c r="Q44" i="1" a="1"/>
  <c r="Q44" i="1" s="1"/>
  <c r="Q45" i="1" a="1"/>
  <c r="Q45" i="1"/>
  <c r="Q46" i="1" a="1"/>
  <c r="Q46" i="1" s="1"/>
  <c r="Q47" i="1" a="1"/>
  <c r="Q47" i="1" s="1"/>
  <c r="Q48" i="1" a="1"/>
  <c r="Q48" i="1" s="1"/>
  <c r="Q49" i="1" a="1"/>
  <c r="Q49" i="1"/>
  <c r="Q50" i="1" a="1"/>
  <c r="Q50" i="1" s="1"/>
  <c r="Q51" i="1" a="1"/>
  <c r="Q51" i="1" s="1"/>
  <c r="Q52" i="1" a="1"/>
  <c r="Q52" i="1" s="1"/>
  <c r="Q53" i="1" a="1"/>
  <c r="Q53" i="1" s="1"/>
  <c r="Q54" i="1" a="1"/>
  <c r="Q54" i="1" s="1"/>
  <c r="Q55" i="1" a="1"/>
  <c r="Q55" i="1"/>
  <c r="Q56" i="1" a="1"/>
  <c r="Q56" i="1" s="1"/>
  <c r="Q57" i="1" a="1"/>
  <c r="Q57" i="1" s="1"/>
  <c r="Q58" i="1" a="1"/>
  <c r="Q58" i="1" s="1"/>
  <c r="Q59" i="1" a="1"/>
  <c r="Q59" i="1" s="1"/>
  <c r="Q60" i="1" a="1"/>
  <c r="Q60" i="1" s="1"/>
  <c r="Q61" i="1" a="1"/>
  <c r="Q61" i="1"/>
  <c r="Q62" i="1" a="1"/>
  <c r="Q62" i="1" s="1"/>
  <c r="Q63" i="1" a="1"/>
  <c r="Q63" i="1" s="1"/>
  <c r="Q64" i="1" a="1"/>
  <c r="Q64" i="1" s="1"/>
  <c r="Q65" i="1" a="1"/>
  <c r="Q65" i="1" s="1"/>
  <c r="Q66" i="1" a="1"/>
  <c r="Q66" i="1" s="1"/>
  <c r="Q67" i="1" a="1"/>
  <c r="Q67" i="1"/>
  <c r="Q68" i="1" a="1"/>
  <c r="Q68" i="1" s="1"/>
  <c r="Q69" i="1" a="1"/>
  <c r="Q69" i="1" s="1"/>
  <c r="Q70" i="1" a="1"/>
  <c r="Q70" i="1" s="1"/>
  <c r="Q71" i="1" a="1"/>
  <c r="Q71" i="1" s="1"/>
  <c r="Q72" i="1" a="1"/>
  <c r="Q72" i="1" s="1"/>
  <c r="Q73" i="1" a="1"/>
  <c r="Q73" i="1"/>
  <c r="Q74" i="1" a="1"/>
  <c r="Q74" i="1" s="1"/>
  <c r="Q75" i="1" a="1"/>
  <c r="Q75" i="1" s="1"/>
  <c r="Q76" i="1" a="1"/>
  <c r="Q76" i="1" s="1"/>
  <c r="Q77" i="1" a="1"/>
  <c r="Q77" i="1" s="1"/>
  <c r="Q78" i="1" a="1"/>
  <c r="Q78" i="1" s="1"/>
  <c r="Q79" i="1" a="1"/>
  <c r="Q79" i="1"/>
  <c r="Q80" i="1" a="1"/>
  <c r="Q80" i="1" s="1"/>
  <c r="Q81" i="1" a="1"/>
  <c r="Q81" i="1" s="1"/>
  <c r="Q82" i="1" a="1"/>
  <c r="Q82" i="1" s="1"/>
  <c r="Q83" i="1" a="1"/>
  <c r="Q83" i="1" s="1"/>
  <c r="Q84" i="1" a="1"/>
  <c r="Q84" i="1" s="1"/>
  <c r="Q85" i="1" a="1"/>
  <c r="Q85" i="1"/>
  <c r="Q86" i="1" a="1"/>
  <c r="Q86" i="1" s="1"/>
  <c r="Q87" i="1" a="1"/>
  <c r="Q87" i="1" s="1"/>
  <c r="Q88" i="1" a="1"/>
  <c r="Q88" i="1" s="1"/>
  <c r="Q89" i="1" a="1"/>
  <c r="Q89" i="1" s="1"/>
  <c r="Q90" i="1" a="1"/>
  <c r="Q90" i="1" s="1"/>
  <c r="Q91" i="1" a="1"/>
  <c r="Q91" i="1"/>
  <c r="Q92" i="1" a="1"/>
  <c r="Q92" i="1" s="1"/>
  <c r="Q93" i="1" a="1"/>
  <c r="Q93" i="1" s="1"/>
  <c r="Q94" i="1" a="1"/>
  <c r="Q94" i="1" s="1"/>
  <c r="Q95" i="1" a="1"/>
  <c r="Q95" i="1" s="1"/>
  <c r="Q96" i="1" a="1"/>
  <c r="Q96" i="1" s="1"/>
  <c r="Q97" i="1" a="1"/>
  <c r="Q97" i="1"/>
  <c r="Q98" i="1" a="1"/>
  <c r="Q98" i="1" s="1"/>
  <c r="Q99" i="1" a="1"/>
  <c r="Q99" i="1" s="1"/>
  <c r="Q100" i="1" a="1"/>
  <c r="Q100" i="1" s="1"/>
  <c r="Q101" i="1" a="1"/>
  <c r="Q101" i="1" s="1"/>
  <c r="Q102" i="1" a="1"/>
  <c r="Q102" i="1" s="1"/>
  <c r="Q103" i="1" a="1"/>
  <c r="Q103" i="1"/>
  <c r="Q104" i="1" a="1"/>
  <c r="Q104" i="1" s="1"/>
  <c r="Q105" i="1" a="1"/>
  <c r="Q105" i="1" s="1"/>
  <c r="Q106" i="1" a="1"/>
  <c r="Q106" i="1" s="1"/>
  <c r="Q107" i="1" a="1"/>
  <c r="Q107" i="1" s="1"/>
  <c r="Q108" i="1" a="1"/>
  <c r="Q108" i="1" s="1"/>
  <c r="Q109" i="1" a="1"/>
  <c r="Q109" i="1"/>
  <c r="Q110" i="1" a="1"/>
  <c r="Q110" i="1" s="1"/>
  <c r="Q111" i="1" a="1"/>
  <c r="Q111" i="1" s="1"/>
  <c r="Q112" i="1" a="1"/>
  <c r="Q112" i="1" s="1"/>
  <c r="Q113" i="1" a="1"/>
  <c r="Q113" i="1" s="1"/>
  <c r="Q114" i="1" a="1"/>
  <c r="Q114" i="1" s="1"/>
  <c r="Q115" i="1" a="1"/>
  <c r="Q115" i="1"/>
  <c r="Q116" i="1" a="1"/>
  <c r="Q116" i="1" s="1"/>
  <c r="Q117" i="1" a="1"/>
  <c r="Q117" i="1" s="1"/>
  <c r="Q118" i="1" a="1"/>
  <c r="Q118" i="1" s="1"/>
  <c r="Q119" i="1" a="1"/>
  <c r="Q119" i="1" s="1"/>
  <c r="Q120" i="1" a="1"/>
  <c r="Q120" i="1" s="1"/>
  <c r="Q121" i="1" a="1"/>
  <c r="Q121" i="1"/>
  <c r="Q122" i="1" a="1"/>
  <c r="Q122" i="1" s="1"/>
  <c r="Q123" i="1" a="1"/>
  <c r="Q123" i="1" s="1"/>
  <c r="Q124" i="1" a="1"/>
  <c r="Q124" i="1" s="1"/>
  <c r="Q125" i="1" a="1"/>
  <c r="Q125" i="1" s="1"/>
  <c r="Q126" i="1" a="1"/>
  <c r="Q126" i="1" s="1"/>
  <c r="Q127" i="1" a="1"/>
  <c r="Q127" i="1"/>
  <c r="Q128" i="1" a="1"/>
  <c r="Q128" i="1" s="1"/>
  <c r="Q129" i="1" a="1"/>
  <c r="Q129" i="1" s="1"/>
  <c r="Q130" i="1" a="1"/>
  <c r="Q130" i="1" s="1"/>
  <c r="Q131" i="1" a="1"/>
  <c r="Q131" i="1" s="1"/>
  <c r="Q132" i="1" a="1"/>
  <c r="Q132" i="1" s="1"/>
  <c r="Q133" i="1" a="1"/>
  <c r="Q133" i="1"/>
  <c r="Q134" i="1" a="1"/>
  <c r="Q134" i="1" s="1"/>
  <c r="Q135" i="1" a="1"/>
  <c r="Q135" i="1" s="1"/>
  <c r="Q136" i="1" a="1"/>
  <c r="Q136" i="1" s="1"/>
  <c r="Q137" i="1" a="1"/>
  <c r="Q137" i="1" s="1"/>
  <c r="Q138" i="1" a="1"/>
  <c r="Q138" i="1" s="1"/>
  <c r="Q139" i="1" a="1"/>
  <c r="Q139" i="1"/>
  <c r="Q140" i="1" a="1"/>
  <c r="Q140" i="1" s="1"/>
  <c r="Q141" i="1" a="1"/>
  <c r="Q141" i="1" s="1"/>
  <c r="Q142" i="1" a="1"/>
  <c r="Q142" i="1" s="1"/>
  <c r="Q143" i="1" a="1"/>
  <c r="Q143" i="1" s="1"/>
  <c r="Q144" i="1" a="1"/>
  <c r="Q144" i="1" s="1"/>
  <c r="Q145" i="1" a="1"/>
  <c r="Q145" i="1"/>
  <c r="Q146" i="1" a="1"/>
  <c r="Q146" i="1" s="1"/>
  <c r="Q147" i="1" a="1"/>
  <c r="Q147" i="1" s="1"/>
  <c r="Q148" i="1" a="1"/>
  <c r="Q148" i="1" s="1"/>
  <c r="Q149" i="1" a="1"/>
  <c r="Q149" i="1" s="1"/>
  <c r="Q150" i="1" a="1"/>
  <c r="Q150" i="1" s="1"/>
  <c r="Q151" i="1" a="1"/>
  <c r="Q151" i="1"/>
  <c r="Q152" i="1" a="1"/>
  <c r="Q152" i="1" s="1"/>
  <c r="Q153" i="1" a="1"/>
  <c r="Q153" i="1" s="1"/>
  <c r="Q154" i="1" a="1"/>
  <c r="Q154" i="1" s="1"/>
  <c r="Q155" i="1" a="1"/>
  <c r="Q155" i="1" s="1"/>
  <c r="Q156" i="1" a="1"/>
  <c r="Q156" i="1" s="1"/>
  <c r="Q157" i="1" a="1"/>
  <c r="Q157" i="1"/>
  <c r="Q158" i="1" a="1"/>
  <c r="Q158" i="1" s="1"/>
  <c r="Q159" i="1" a="1"/>
  <c r="Q159" i="1" s="1"/>
  <c r="Q160" i="1" a="1"/>
  <c r="Q160" i="1" s="1"/>
  <c r="Q161" i="1" a="1"/>
  <c r="Q161" i="1" s="1"/>
  <c r="Q162" i="1" a="1"/>
  <c r="Q162" i="1" s="1"/>
  <c r="Q163" i="1" a="1"/>
  <c r="Q163" i="1"/>
  <c r="Q164" i="1" a="1"/>
  <c r="Q164" i="1" s="1"/>
  <c r="Q165" i="1" a="1"/>
  <c r="Q165" i="1" s="1"/>
  <c r="Q166" i="1" a="1"/>
  <c r="Q166" i="1" s="1"/>
  <c r="Q167" i="1" a="1"/>
  <c r="Q167" i="1" s="1"/>
  <c r="Q168" i="1" a="1"/>
  <c r="Q168" i="1" s="1"/>
  <c r="Q169" i="1" a="1"/>
  <c r="Q169" i="1"/>
  <c r="Q170" i="1" a="1"/>
  <c r="Q170" i="1" s="1"/>
  <c r="Q171" i="1" a="1"/>
  <c r="Q171" i="1" s="1"/>
  <c r="Q172" i="1" a="1"/>
  <c r="Q172" i="1" s="1"/>
  <c r="Q173" i="1" a="1"/>
  <c r="Q173" i="1" s="1"/>
  <c r="Q174" i="1" a="1"/>
  <c r="Q174" i="1" s="1"/>
  <c r="Q175" i="1" a="1"/>
  <c r="Q175" i="1"/>
  <c r="Q176" i="1" a="1"/>
  <c r="Q176" i="1" s="1"/>
  <c r="Q177" i="1" a="1"/>
  <c r="Q177" i="1" s="1"/>
  <c r="Q178" i="1" a="1"/>
  <c r="Q178" i="1" s="1"/>
  <c r="Q179" i="1" a="1"/>
  <c r="Q179" i="1" s="1"/>
  <c r="Q180" i="1" a="1"/>
  <c r="Q180" i="1" s="1"/>
  <c r="Q181" i="1" a="1"/>
  <c r="Q181" i="1"/>
  <c r="Q182" i="1" a="1"/>
  <c r="Q182" i="1" s="1"/>
  <c r="Q183" i="1" a="1"/>
  <c r="Q183" i="1" s="1"/>
  <c r="Q184" i="1" a="1"/>
  <c r="Q184" i="1" s="1"/>
  <c r="Q185" i="1" a="1"/>
  <c r="Q185" i="1" s="1"/>
  <c r="Q186" i="1" a="1"/>
  <c r="Q186" i="1" s="1"/>
  <c r="Q187" i="1" a="1"/>
  <c r="Q187" i="1"/>
  <c r="Q188" i="1" a="1"/>
  <c r="Q188" i="1" s="1"/>
  <c r="Q189" i="1" a="1"/>
  <c r="Q189" i="1" s="1"/>
  <c r="Q190" i="1" a="1"/>
  <c r="Q190" i="1" s="1"/>
  <c r="Q191" i="1" a="1"/>
  <c r="Q191" i="1" s="1"/>
  <c r="Q192" i="1" a="1"/>
  <c r="Q192" i="1" s="1"/>
  <c r="Q193" i="1" a="1"/>
  <c r="Q193" i="1"/>
  <c r="Q194" i="1" a="1"/>
  <c r="Q194" i="1" s="1"/>
  <c r="Q195" i="1" a="1"/>
  <c r="Q195" i="1" s="1"/>
  <c r="Q196" i="1" a="1"/>
  <c r="Q196" i="1" s="1"/>
  <c r="Q197" i="1" a="1"/>
  <c r="Q197" i="1" s="1"/>
  <c r="Q198" i="1" a="1"/>
  <c r="Q198" i="1" s="1"/>
  <c r="Q199" i="1" a="1"/>
  <c r="Q199" i="1"/>
  <c r="Q200" i="1" a="1"/>
  <c r="Q200" i="1" s="1"/>
  <c r="Q201" i="1" a="1"/>
  <c r="Q201" i="1" s="1"/>
  <c r="Q202" i="1" a="1"/>
  <c r="Q202" i="1" s="1"/>
  <c r="Q203" i="1" a="1"/>
  <c r="Q203" i="1" s="1"/>
  <c r="Q204" i="1" a="1"/>
  <c r="Q204" i="1" s="1"/>
  <c r="Q205" i="1" a="1"/>
  <c r="Q205" i="1"/>
  <c r="Q206" i="1" a="1"/>
  <c r="Q206" i="1" s="1"/>
  <c r="Q207" i="1" a="1"/>
  <c r="Q207" i="1" s="1"/>
  <c r="Q208" i="1" a="1"/>
  <c r="Q208" i="1" s="1"/>
  <c r="Q209" i="1" a="1"/>
  <c r="Q209" i="1" s="1"/>
  <c r="Q210" i="1" a="1"/>
  <c r="Q210" i="1" s="1"/>
  <c r="Q211" i="1" a="1"/>
  <c r="Q211" i="1"/>
  <c r="Q212" i="1" a="1"/>
  <c r="Q212" i="1" s="1"/>
  <c r="Q213" i="1" a="1"/>
  <c r="Q213" i="1" s="1"/>
  <c r="Q214" i="1" a="1"/>
  <c r="Q214" i="1" s="1"/>
  <c r="Q215" i="1" a="1"/>
  <c r="Q215" i="1" s="1"/>
  <c r="Q216" i="1" a="1"/>
  <c r="Q216" i="1" s="1"/>
  <c r="Q217" i="1" a="1"/>
  <c r="Q217" i="1"/>
  <c r="Q218" i="1" a="1"/>
  <c r="Q218" i="1" s="1"/>
  <c r="Q219" i="1" a="1"/>
  <c r="Q219" i="1" s="1"/>
  <c r="Q220" i="1" a="1"/>
  <c r="Q220" i="1" s="1"/>
  <c r="Q221" i="1" a="1"/>
  <c r="Q221" i="1" s="1"/>
  <c r="Q222" i="1" a="1"/>
  <c r="Q222" i="1" s="1"/>
  <c r="Q223" i="1" a="1"/>
  <c r="Q223" i="1"/>
  <c r="Q224" i="1" a="1"/>
  <c r="Q224" i="1" s="1"/>
  <c r="Q225" i="1" a="1"/>
  <c r="Q225" i="1" s="1"/>
  <c r="Q226" i="1" a="1"/>
  <c r="Q226" i="1" s="1"/>
  <c r="Q227" i="1" a="1"/>
  <c r="Q227" i="1" s="1"/>
  <c r="Q228" i="1" a="1"/>
  <c r="Q228" i="1" s="1"/>
  <c r="Q229" i="1" a="1"/>
  <c r="Q229" i="1"/>
  <c r="Q230" i="1" a="1"/>
  <c r="Q230" i="1" s="1"/>
  <c r="Q231" i="1" a="1"/>
  <c r="Q231" i="1" s="1"/>
  <c r="Q232" i="1" a="1"/>
  <c r="Q232" i="1" s="1"/>
  <c r="Q233" i="1" a="1"/>
  <c r="Q233" i="1" s="1"/>
  <c r="Q234" i="1" a="1"/>
  <c r="Q234" i="1" s="1"/>
  <c r="Q235" i="1" a="1"/>
  <c r="Q235" i="1"/>
  <c r="Q236" i="1" a="1"/>
  <c r="Q236" i="1" s="1"/>
  <c r="Q237" i="1" a="1"/>
  <c r="Q237" i="1" s="1"/>
  <c r="Q238" i="1" a="1"/>
  <c r="Q238" i="1" s="1"/>
  <c r="Q239" i="1" a="1"/>
  <c r="Q239" i="1" s="1"/>
  <c r="Q240" i="1" a="1"/>
  <c r="Q240" i="1" s="1"/>
  <c r="Q241" i="1" a="1"/>
  <c r="Q241" i="1"/>
  <c r="Q242" i="1" a="1"/>
  <c r="Q242" i="1" s="1"/>
  <c r="Q243" i="1" a="1"/>
  <c r="Q243" i="1" s="1"/>
  <c r="Q244" i="1" a="1"/>
  <c r="Q244" i="1" s="1"/>
  <c r="Q245" i="1" a="1"/>
  <c r="Q245" i="1" s="1"/>
  <c r="Q246" i="1" a="1"/>
  <c r="Q246" i="1" s="1"/>
  <c r="Q247" i="1" a="1"/>
  <c r="Q247" i="1"/>
  <c r="Q248" i="1" a="1"/>
  <c r="Q248" i="1" s="1"/>
  <c r="Q249" i="1" a="1"/>
  <c r="Q249" i="1" s="1"/>
  <c r="Q250" i="1" a="1"/>
  <c r="Q250" i="1" s="1"/>
  <c r="Q251" i="1" a="1"/>
  <c r="Q251" i="1" s="1"/>
  <c r="Q252" i="1" a="1"/>
  <c r="Q252" i="1" s="1"/>
  <c r="Q253" i="1" a="1"/>
  <c r="Q253" i="1"/>
  <c r="Q254" i="1" a="1"/>
  <c r="Q254" i="1" s="1"/>
  <c r="Q255" i="1" a="1"/>
  <c r="Q255" i="1" s="1"/>
  <c r="Q256" i="1" a="1"/>
  <c r="Q256" i="1" s="1"/>
  <c r="Q257" i="1" a="1"/>
  <c r="Q257" i="1" s="1"/>
  <c r="Q258" i="1" a="1"/>
  <c r="Q258" i="1" s="1"/>
  <c r="Q259" i="1" a="1"/>
  <c r="Q259" i="1"/>
  <c r="Q260" i="1" a="1"/>
  <c r="Q260" i="1" s="1"/>
  <c r="Q261" i="1" a="1"/>
  <c r="Q261" i="1" s="1"/>
  <c r="Q262" i="1" a="1"/>
  <c r="Q262" i="1" s="1"/>
  <c r="Q263" i="1" a="1"/>
  <c r="Q263" i="1" s="1"/>
  <c r="Q264" i="1" a="1"/>
  <c r="Q264" i="1" s="1"/>
  <c r="Q265" i="1" a="1"/>
  <c r="Q265" i="1"/>
  <c r="Q266" i="1" a="1"/>
  <c r="Q266" i="1" s="1"/>
  <c r="Q267" i="1" a="1"/>
  <c r="Q267" i="1" s="1"/>
  <c r="Q268" i="1" a="1"/>
  <c r="Q268" i="1" s="1"/>
  <c r="Q269" i="1" a="1"/>
  <c r="Q269" i="1" s="1"/>
  <c r="Q270" i="1" a="1"/>
  <c r="Q270" i="1" s="1"/>
  <c r="Q271" i="1" a="1"/>
  <c r="Q271" i="1"/>
  <c r="Q272" i="1" a="1"/>
  <c r="Q272" i="1" s="1"/>
  <c r="Q273" i="1" a="1"/>
  <c r="Q273" i="1" s="1"/>
  <c r="Q274" i="1" a="1"/>
  <c r="Q274" i="1" s="1"/>
  <c r="Q275" i="1" a="1"/>
  <c r="Q275" i="1" s="1"/>
  <c r="Q276" i="1" a="1"/>
  <c r="Q276" i="1" s="1"/>
  <c r="Q277" i="1" a="1"/>
  <c r="Q277" i="1"/>
  <c r="Q278" i="1" a="1"/>
  <c r="Q278" i="1" s="1"/>
  <c r="Q279" i="1" a="1"/>
  <c r="Q279" i="1" s="1"/>
  <c r="Q280" i="1" a="1"/>
  <c r="Q280" i="1" s="1"/>
  <c r="Q281" i="1" a="1"/>
  <c r="Q281" i="1" s="1"/>
  <c r="Q282" i="1" a="1"/>
  <c r="Q282" i="1" s="1"/>
  <c r="Q283" i="1" a="1"/>
  <c r="Q283" i="1"/>
  <c r="Q284" i="1" a="1"/>
  <c r="Q284" i="1" s="1"/>
  <c r="Q285" i="1" a="1"/>
  <c r="Q285" i="1" s="1"/>
  <c r="Q286" i="1" a="1"/>
  <c r="Q286" i="1" s="1"/>
  <c r="Q287" i="1" a="1"/>
  <c r="Q287" i="1" s="1"/>
  <c r="Q288" i="1" a="1"/>
  <c r="Q288" i="1" s="1"/>
  <c r="Q289" i="1" a="1"/>
  <c r="Q289" i="1"/>
  <c r="Q290" i="1" a="1"/>
  <c r="Q290" i="1" s="1"/>
  <c r="Q291" i="1" a="1"/>
  <c r="Q291" i="1" s="1"/>
  <c r="Q292" i="1" a="1"/>
  <c r="Q292" i="1" s="1"/>
  <c r="Q293" i="1" a="1"/>
  <c r="Q293" i="1" s="1"/>
  <c r="Q294" i="1" a="1"/>
  <c r="Q294" i="1" s="1"/>
  <c r="Q295" i="1" a="1"/>
  <c r="Q295" i="1"/>
  <c r="Q296" i="1" a="1"/>
  <c r="Q296" i="1" s="1"/>
  <c r="Q297" i="1" a="1"/>
  <c r="Q297" i="1" s="1"/>
  <c r="Q298" i="1" a="1"/>
  <c r="Q298" i="1" s="1"/>
  <c r="Q299" i="1" a="1"/>
  <c r="Q299" i="1" s="1"/>
  <c r="Q300" i="1" a="1"/>
  <c r="Q300" i="1" s="1"/>
  <c r="Q301" i="1" a="1"/>
  <c r="Q301" i="1"/>
  <c r="Q302" i="1" a="1"/>
  <c r="Q302" i="1" s="1"/>
  <c r="Q303" i="1" a="1"/>
  <c r="Q303" i="1" s="1"/>
  <c r="Q304" i="1" a="1"/>
  <c r="Q304" i="1" s="1"/>
  <c r="Q305" i="1" a="1"/>
  <c r="Q305" i="1" s="1"/>
  <c r="Q306" i="1" a="1"/>
  <c r="Q306" i="1" s="1"/>
  <c r="Q307" i="1" a="1"/>
  <c r="Q307" i="1"/>
  <c r="Q308" i="1" a="1"/>
  <c r="Q308" i="1" s="1"/>
  <c r="Q309" i="1" a="1"/>
  <c r="Q309" i="1" s="1"/>
  <c r="Q310" i="1" a="1"/>
  <c r="Q310" i="1" s="1"/>
  <c r="Q311" i="1" a="1"/>
  <c r="Q311" i="1" s="1"/>
  <c r="Q312" i="1" a="1"/>
  <c r="Q312" i="1" s="1"/>
  <c r="Q313" i="1" a="1"/>
  <c r="Q313" i="1"/>
  <c r="Q314" i="1" a="1"/>
  <c r="Q314" i="1" s="1"/>
  <c r="Q315" i="1" a="1"/>
  <c r="Q315" i="1" s="1"/>
  <c r="Q316" i="1" a="1"/>
  <c r="Q316" i="1" s="1"/>
  <c r="Q317" i="1" a="1"/>
  <c r="Q317" i="1" s="1"/>
  <c r="Q318" i="1" a="1"/>
  <c r="Q318" i="1" s="1"/>
  <c r="Q319" i="1" a="1"/>
  <c r="Q319" i="1"/>
  <c r="Q320" i="1" a="1"/>
  <c r="Q320" i="1" s="1"/>
  <c r="Q321" i="1" a="1"/>
  <c r="Q321" i="1" s="1"/>
  <c r="Q322" i="1" a="1"/>
  <c r="Q322" i="1" s="1"/>
  <c r="Q323" i="1" a="1"/>
  <c r="Q323" i="1" s="1"/>
  <c r="Q324" i="1" a="1"/>
  <c r="Q324" i="1" s="1"/>
  <c r="Q325" i="1" a="1"/>
  <c r="Q325" i="1"/>
  <c r="Q326" i="1" a="1"/>
  <c r="Q326" i="1" s="1"/>
  <c r="Q327" i="1" a="1"/>
  <c r="Q327" i="1" s="1"/>
  <c r="Q328" i="1" a="1"/>
  <c r="Q328" i="1" s="1"/>
  <c r="Q329" i="1" a="1"/>
  <c r="Q329" i="1" s="1"/>
  <c r="Q330" i="1" a="1"/>
  <c r="Q330" i="1" s="1"/>
  <c r="Q331" i="1" a="1"/>
  <c r="Q331" i="1"/>
  <c r="Q332" i="1" a="1"/>
  <c r="Q332" i="1" s="1"/>
  <c r="Q333" i="1" a="1"/>
  <c r="Q333" i="1" s="1"/>
  <c r="Q334" i="1" a="1"/>
  <c r="Q334" i="1" s="1"/>
  <c r="Q335" i="1" a="1"/>
  <c r="Q335" i="1" s="1"/>
  <c r="Q336" i="1" a="1"/>
  <c r="Q336" i="1" s="1"/>
  <c r="Q337" i="1" a="1"/>
  <c r="Q337" i="1"/>
  <c r="Q338" i="1" a="1"/>
  <c r="Q338" i="1" s="1"/>
  <c r="Q339" i="1" a="1"/>
  <c r="Q339" i="1" s="1"/>
  <c r="Q340" i="1" a="1"/>
  <c r="Q340" i="1" s="1"/>
  <c r="Q341" i="1" a="1"/>
  <c r="Q341" i="1" s="1"/>
  <c r="Q342" i="1" a="1"/>
  <c r="Q342" i="1" s="1"/>
  <c r="Q343" i="1" a="1"/>
  <c r="Q343" i="1"/>
  <c r="Q344" i="1" a="1"/>
  <c r="Q344" i="1" s="1"/>
  <c r="Q345" i="1" a="1"/>
  <c r="Q345" i="1" s="1"/>
  <c r="Q346" i="1" a="1"/>
  <c r="Q346" i="1" s="1"/>
  <c r="Q347" i="1" a="1"/>
  <c r="Q347" i="1" s="1"/>
  <c r="Q348" i="1" a="1"/>
  <c r="Q348" i="1" s="1"/>
  <c r="Q349" i="1" a="1"/>
  <c r="Q349" i="1"/>
  <c r="Q350" i="1" a="1"/>
  <c r="Q350" i="1" s="1"/>
  <c r="Q351" i="1" a="1"/>
  <c r="Q351" i="1" s="1"/>
  <c r="Q352" i="1" a="1"/>
  <c r="Q352" i="1" s="1"/>
  <c r="Q353" i="1" a="1"/>
  <c r="Q353" i="1" s="1"/>
  <c r="Q354" i="1" a="1"/>
  <c r="Q354" i="1" s="1"/>
  <c r="Q355" i="1" a="1"/>
  <c r="Q355" i="1"/>
  <c r="Q356" i="1" a="1"/>
  <c r="Q356" i="1" s="1"/>
  <c r="Q357" i="1" a="1"/>
  <c r="Q357" i="1" s="1"/>
  <c r="Q358" i="1" a="1"/>
  <c r="Q358" i="1" s="1"/>
  <c r="Q359" i="1" a="1"/>
  <c r="Q359" i="1" s="1"/>
  <c r="Q360" i="1" a="1"/>
  <c r="Q360" i="1" s="1"/>
  <c r="Q361" i="1" a="1"/>
  <c r="Q361" i="1"/>
  <c r="Q362" i="1" a="1"/>
  <c r="Q362" i="1" s="1"/>
  <c r="Q363" i="1" a="1"/>
  <c r="Q363" i="1" s="1"/>
  <c r="Q364" i="1" a="1"/>
  <c r="Q364" i="1" s="1"/>
  <c r="Q365" i="1" a="1"/>
  <c r="Q365" i="1" s="1"/>
  <c r="Q366" i="1" a="1"/>
  <c r="Q366" i="1" s="1"/>
  <c r="Q367" i="1" a="1"/>
  <c r="Q367" i="1"/>
  <c r="Q368" i="1" a="1"/>
  <c r="Q368" i="1" s="1"/>
  <c r="Q369" i="1" a="1"/>
  <c r="Q369" i="1" s="1"/>
  <c r="Q370" i="1" a="1"/>
  <c r="Q370" i="1" s="1"/>
  <c r="Q371" i="1" a="1"/>
  <c r="Q371" i="1" s="1"/>
  <c r="Q372" i="1" a="1"/>
  <c r="Q372" i="1" s="1"/>
  <c r="Q373" i="1" a="1"/>
  <c r="Q373" i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  <c r="E3" i="2" l="1"/>
  <c r="F3" i="2" s="1"/>
  <c r="G3" i="2" s="1"/>
  <c r="E7" i="2"/>
  <c r="F7" i="2" s="1"/>
  <c r="G7" i="2" s="1"/>
  <c r="E6" i="2"/>
  <c r="F6" i="2" s="1"/>
  <c r="G6" i="2" s="1"/>
  <c r="E9" i="2"/>
  <c r="F9" i="2" s="1"/>
  <c r="G9" i="2" s="1"/>
  <c r="E5" i="2"/>
  <c r="F5" i="2" s="1"/>
  <c r="G5" i="2" s="1"/>
  <c r="E8" i="2"/>
  <c r="F8" i="2" s="1"/>
  <c r="G8" i="2" s="1"/>
  <c r="E4" i="2"/>
  <c r="F4" i="2" s="1"/>
  <c r="G4" i="2" s="1"/>
  <c r="E2" i="2"/>
  <c r="F2" i="2" s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<sst xmlns="http://schemas.openxmlformats.org/spreadsheetml/2006/main" count="2694" uniqueCount="107">
  <si>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</si>
  <si>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</si>
  <si>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</si>
  <si>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</si>
  <si>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</si>
  <si>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</si>
  <si>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</si>
  <si>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</si>
  <si>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</si>
  <si>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</si>
  <si>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</si>
  <si>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</si>
  <si>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</si>
  <si>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</si>
  <si>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</si>
  <si>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</si>
  <si>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</si>
  <si>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</si>
  <si>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</si>
  <si>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</si>
  <si>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</si>
  <si>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</si>
  <si>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</si>
  <si>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</si>
  <si>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</si>
  <si>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</si>
  <si>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</si>
  <si>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</si>
  <si>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</si>
  <si>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</si>
  <si>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</si>
  <si>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</si>
  <si>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</si>
  <si>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</si>
  <si>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</si>
  <si>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</si>
  <si>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</si>
  <si>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</si>
  <si>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</si>
  <si>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</si>
  <si>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</si>
  <si>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</si>
  <si>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</si>
  <si>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</si>
  <si>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</si>
  <si>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</si>
  <si>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</si>
  <si>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</si>
  <si>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</si>
  <si>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</si>
  <si>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</si>
  <si>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</si>
  <si>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</si>
  <si>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</si>
  <si>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</si>
  <si>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</si>
  <si>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</si>
  <si>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</si>
  <si>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</si>
  <si>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</si>
  <si>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</si>
  <si>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</si>
  <si>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</si>
  <si>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</si>
  <si>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</si>
  <si>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</si>
  <si>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</si>
  <si>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</si>
  <si>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</si>
  <si>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</si>
  <si>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</si>
  <si>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Discount_Category</t>
  </si>
  <si>
    <t>Unit_Category</t>
  </si>
  <si>
    <t>Total Unit Sold</t>
  </si>
  <si>
    <t>Name</t>
  </si>
  <si>
    <t>Sub1</t>
  </si>
  <si>
    <t>Sub2</t>
  </si>
  <si>
    <t>Sub3</t>
  </si>
  <si>
    <t xml:space="preserve">Total </t>
  </si>
  <si>
    <t>Average</t>
  </si>
  <si>
    <t>Grade</t>
  </si>
  <si>
    <t>Aarav Mehta</t>
  </si>
  <si>
    <t>Riya Sen</t>
  </si>
  <si>
    <t>Kabir Sharma</t>
  </si>
  <si>
    <t>Ananya Das</t>
  </si>
  <si>
    <t>Vivaan Kapoor</t>
  </si>
  <si>
    <t>Meera Nair</t>
  </si>
  <si>
    <t>Arjun Roy</t>
  </si>
  <si>
    <t>Ishita Banerjee</t>
  </si>
  <si>
    <t>&gt;=90</t>
  </si>
  <si>
    <t>&gt;=70</t>
  </si>
  <si>
    <t>&gt;=50</t>
  </si>
  <si>
    <t>&gt;=40</t>
  </si>
  <si>
    <t>&lt;40</t>
  </si>
  <si>
    <t>A</t>
  </si>
  <si>
    <t>B</t>
  </si>
  <si>
    <t>C</t>
  </si>
  <si>
    <t>Pass</t>
  </si>
  <si>
    <t>Fail</t>
  </si>
  <si>
    <t>Brand Name</t>
  </si>
  <si>
    <t>Product</t>
  </si>
  <si>
    <t>Sakrajit</t>
  </si>
  <si>
    <t xml:space="preserve"> </t>
  </si>
  <si>
    <t>Count</t>
  </si>
  <si>
    <t>Product Rows</t>
  </si>
  <si>
    <t>Unit sold rows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</si>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</sst>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0" xfId="0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3"/>
  <sheetViews>
    <sheetView tabSelected="1" topLeftCell="I38" workbookViewId="0">
      <selection activeCell="Y49" sqref="Y49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.77734375" bestFit="1" customWidth="1"/>
    <col min="16" max="16" width="13.21875" bestFit="1" customWidth="1"/>
    <col min="17" max="17" width="17" bestFit="1" customWidth="1"/>
    <col min="18" max="18" width="13.21875" bestFit="1" customWidth="1"/>
    <col min="20" max="20" width="13.109375" bestFit="1" customWidth="1"/>
    <col min="21" max="21" width="15.77734375" bestFit="1" customWidth="1"/>
    <col min="22" max="22" width="14.77734375" bestFit="1" customWidth="1"/>
    <col min="23" max="23" width="13.4414062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24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IF(O2&gt;=15000,"High_Price","Low_Price")</f>
        <v>High_Price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</row>
    <row r="3" spans="1:24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IF(O3&gt;=15000,"High_Price","Low_Price")</f>
        <v>High_Price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</row>
    <row r="4" spans="1:24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High_Price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4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Low_Price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4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High_Price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s="4"/>
      <c r="W6" s="3" t="s">
        <v>73</v>
      </c>
      <c r="X6" s="1">
        <f>SUM(L2:L373)</f>
        <v>1837</v>
      </c>
    </row>
    <row r="7" spans="1:24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Low_Price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T7" s="4"/>
      <c r="U7" s="4"/>
      <c r="V7" s="4"/>
      <c r="W7" s="5"/>
    </row>
    <row r="8" spans="1:24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High_Price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  <c r="V8" s="3" t="s">
        <v>20</v>
      </c>
      <c r="W8" s="3" t="s">
        <v>73</v>
      </c>
      <c r="X8" s="1">
        <f>SUMIF(K2:K373,V8,L2:L373)</f>
        <v>369</v>
      </c>
    </row>
    <row r="9" spans="1:24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Low_Price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4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Low_Price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  <c r="U10" s="3" t="s">
        <v>8</v>
      </c>
      <c r="V10" s="3" t="s">
        <v>99</v>
      </c>
      <c r="W10" s="3" t="s">
        <v>73</v>
      </c>
    </row>
    <row r="11" spans="1:24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Low_Price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  <c r="U11" s="1" t="s">
        <v>18</v>
      </c>
      <c r="V11" s="1" t="s">
        <v>46</v>
      </c>
      <c r="W11" s="1">
        <f>SUMIFS(L2:L373,I2:I373,U11,K2:K373,V11)</f>
        <v>35</v>
      </c>
    </row>
    <row r="12" spans="1:24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High_Price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4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Low_Price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  <c r="U13" s="3" t="s">
        <v>100</v>
      </c>
      <c r="V13" s="3" t="s">
        <v>79</v>
      </c>
      <c r="W13" s="6">
        <f>AVERAGE(M2:M373)</f>
        <v>2001.1641935483883</v>
      </c>
    </row>
    <row r="14" spans="1:24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High_Price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  <c r="U14" s="7" t="s">
        <v>44</v>
      </c>
      <c r="V14" s="8" t="s">
        <v>79</v>
      </c>
      <c r="W14" s="9">
        <f>AVERAGEIF(K2:K373,U14,M2:M373)</f>
        <v>1859.1251898734179</v>
      </c>
    </row>
    <row r="15" spans="1:24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Low_Price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  <c r="V15" s="7" t="s">
        <v>18</v>
      </c>
      <c r="W15" s="7" t="s">
        <v>20</v>
      </c>
      <c r="X15" s="10">
        <f>AVERAGEIFS(O2:O373,I2:I373,V15,K2:K373,W15)</f>
        <v>17983.055</v>
      </c>
    </row>
    <row r="16" spans="1:24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Low_Price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24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Low_Price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  <c r="U17" s="1" t="s">
        <v>101</v>
      </c>
    </row>
    <row r="18" spans="1:24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Low_Price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  <c r="U18" s="1">
        <v>21</v>
      </c>
    </row>
    <row r="19" spans="1:24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Low_Price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  <c r="U19" s="1" t="b">
        <v>1</v>
      </c>
    </row>
    <row r="20" spans="1:24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Low_Price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  <c r="U20" s="1">
        <v>30</v>
      </c>
    </row>
    <row r="21" spans="1:24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Low_Price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  <c r="U21" s="1"/>
      <c r="V21" t="s">
        <v>102</v>
      </c>
    </row>
    <row r="22" spans="1:24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Low_Price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  <c r="U22" s="1">
        <f>AVERAGE(U18:U20)</f>
        <v>25.5</v>
      </c>
    </row>
    <row r="23" spans="1:24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Low_Price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24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Low_Price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24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Low_Price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24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High_Price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  <c r="U26" s="7" t="s">
        <v>9</v>
      </c>
      <c r="V26" s="7" t="s">
        <v>10</v>
      </c>
      <c r="W26" s="7" t="s">
        <v>11</v>
      </c>
      <c r="X26" s="7" t="s">
        <v>12</v>
      </c>
    </row>
    <row r="27" spans="1:24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Low_Price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  <c r="U27" s="1" t="s">
        <v>19</v>
      </c>
      <c r="V27" s="1" t="s">
        <v>20</v>
      </c>
      <c r="W27" s="1">
        <v>7</v>
      </c>
      <c r="X27" s="1">
        <v>2843.87</v>
      </c>
    </row>
    <row r="28" spans="1:24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Low_Price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  <c r="U28" s="1" t="s">
        <v>26</v>
      </c>
      <c r="V28" s="1" t="s">
        <v>27</v>
      </c>
      <c r="W28" s="1">
        <v>9</v>
      </c>
      <c r="X28" s="1">
        <v>2525.23</v>
      </c>
    </row>
    <row r="29" spans="1:24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High_Price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  <c r="U29" s="1" t="s">
        <v>31</v>
      </c>
      <c r="V29" s="1" t="s">
        <v>32</v>
      </c>
      <c r="W29" s="1">
        <v>6</v>
      </c>
      <c r="X29" s="1">
        <v>3474.34</v>
      </c>
    </row>
    <row r="30" spans="1:24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Low_Price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  <c r="U30" s="1" t="s">
        <v>35</v>
      </c>
      <c r="V30" s="1" t="s">
        <v>20</v>
      </c>
      <c r="W30" s="1"/>
      <c r="X30" s="1">
        <v>1008.79</v>
      </c>
    </row>
    <row r="31" spans="1:24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Low_Price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  <c r="U31" s="1" t="s">
        <v>38</v>
      </c>
      <c r="V31" s="1" t="s">
        <v>20</v>
      </c>
      <c r="W31" s="1">
        <v>7</v>
      </c>
      <c r="X31" s="1">
        <v>3511.47</v>
      </c>
    </row>
    <row r="32" spans="1:24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Low_Price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  <c r="U32" s="1" t="s">
        <v>42</v>
      </c>
      <c r="V32" s="1" t="s">
        <v>32</v>
      </c>
      <c r="W32" s="1">
        <v>3</v>
      </c>
      <c r="X32" s="1">
        <v>3189.55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Low_Price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  <c r="U33" s="1" t="s">
        <v>31</v>
      </c>
      <c r="V33" s="1" t="s">
        <v>44</v>
      </c>
      <c r="W33" s="1"/>
      <c r="X33" s="1">
        <v>3030.42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High_Price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  <c r="U34" s="1" t="s">
        <v>31</v>
      </c>
      <c r="V34" s="1" t="s">
        <v>46</v>
      </c>
      <c r="W34" s="1">
        <v>4</v>
      </c>
      <c r="X34" s="1">
        <v>2310.83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Low_Price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  <c r="U35" s="1" t="s">
        <v>47</v>
      </c>
      <c r="V35" s="1" t="s">
        <v>27</v>
      </c>
      <c r="W35" s="1">
        <v>5</v>
      </c>
      <c r="X35" s="1">
        <v>1098.04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High_Price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  <c r="U36" s="1" t="s">
        <v>49</v>
      </c>
      <c r="V36" s="1" t="s">
        <v>46</v>
      </c>
      <c r="W36" s="1">
        <v>5</v>
      </c>
      <c r="X36" s="1">
        <v>1780.66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Low_Price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Low_Price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Low_Price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High_Price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High_Price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High_Price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  <c r="U42" s="10" t="s">
        <v>103</v>
      </c>
      <c r="V42" s="10" t="s">
        <v>104</v>
      </c>
      <c r="W42" s="1">
        <f>COUNTA(U27:U36)</f>
        <v>10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Low_Price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  <c r="V43" s="10" t="s">
        <v>105</v>
      </c>
      <c r="W43" s="1">
        <f>COUNT(W27:W36)</f>
        <v>8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Low_Price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Low_Price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  <c r="U45" s="10" t="s">
        <v>106</v>
      </c>
      <c r="V45" s="10"/>
      <c r="W45" s="10">
        <f>COUNTBLANK(W27:W36)</f>
        <v>2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Low_Price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Low_Price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  <c r="U47" s="10" t="s">
        <v>20</v>
      </c>
      <c r="V47" s="1">
        <f>COUNTIF(K2:K373,U47)</f>
        <v>75</v>
      </c>
      <c r="W47" s="1"/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Low_Price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  <c r="U48" s="10" t="s">
        <v>18</v>
      </c>
      <c r="V48" s="10" t="s">
        <v>20</v>
      </c>
      <c r="W48" s="1">
        <f>COUNTIFS(I2:I373,U48,K2:K373,V48)</f>
        <v>6</v>
      </c>
    </row>
    <row r="49" spans="1:18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Low_Price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High_Price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Low_Price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Low_Price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Low_Price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Low_Price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3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Low_Price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High_Price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Low_Price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High_Price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3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High_Price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3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Low_Price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High_Price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Low_Price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Low_Price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High_Price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Low_Price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Low_Price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IF(O67&gt;=15000,"High_Price","Low_Price")</f>
        <v>Low_Price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Low_Price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Low_Price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Low_Price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Low_Price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Low_Price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Low_Price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Low_Price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Low_Price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Low_Price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Low_Price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High_Price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Low_Price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Low_Price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Low_Price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Low_Price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Low_Price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Low_Price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Low_Price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High_Price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Low_Price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High_Price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Low_Price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Low_Price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Low_Price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Low_Price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Low_Price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Low_Price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High_Price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Low_Price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Low_Price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High_Price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Low_Price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Low_Price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Low_Price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Low_Price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Low_Price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Low_Price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Low_Price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Low_Price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Low_Price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Low_Price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Low_Price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High_Price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Low_Price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High_Price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High_Price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Low_Price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Low_Price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Low_Price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Low_Price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High_Price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High_Price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Low_Price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Low_Price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Low_Price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Low_Price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Low_Price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Low_Price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Low_Price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Low_Price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Low_Price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Low_Price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Low_Price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IF(O131&gt;=15000,"High_Price","Low_Price")</f>
        <v>Low_Price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Low_Price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Low_Price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High_Price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High_Price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Low_Price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Low_Price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Low_Price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Low_Price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High_Price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Low_Price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Low_Price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Low_Price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Low_Price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Low_Price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Low_Price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Low_Price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High_Price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High_Price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Low_Price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Low_Price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Low_Price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Low_Price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Low_Price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Low_Price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Low_Price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Low_Price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Low_Price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High_Price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High_Price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High_Price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Low_Price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Low_Price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Low_Price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Low_Price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Low_Price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High_Price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Low_Price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Low_Price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Low_Price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Low_Price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Low_Price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Low_Price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Low_Price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Low_Price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Low_Price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Low_Price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Low_Price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Low_Price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Low_Price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High_Price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Low_Price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Low_Price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Low_Price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Low_Price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High_Price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High_Price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Low_Price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Low_Price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Low_Price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High_Price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High_Price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Low_Price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Low_Price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IF(O195&gt;=15000,"High_Price","Low_Price")</f>
        <v>Low_Price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Low_Price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Low_Price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Low_Price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High_Price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High_Price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Low_Price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Low_Price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High_Price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Low_Price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Low_Price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Low_Price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High_Price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Low_Price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Low_Price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Low_Price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Low_Price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Low_Price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Low_Price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Low_Price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Low_Price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Low_Price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High_Price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Low_Price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Low_Price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Low_Price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Low_Price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Low_Price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Low_Price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Low_Price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Low_Price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High_Price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High_Price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Low_Price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High_Price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Low_Price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Low_Price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High_Price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High_Price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Low_Price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Low_Price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Low_Price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Low_Price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Low_Price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High_Price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High_Price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Low_Price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Low_Price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Low_Price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High_Price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High_Price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Low_Price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Low_Price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Low_Price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Low_Price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Low_Price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Low_Price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Low_Price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Low_Price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Low_Price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Low_Price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Low_Price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Low_Price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Low_Price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IF(O259&gt;=15000,"High_Price","Low_Price")</f>
        <v>Low_Price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Low_Price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High_Price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High_Price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Low_Price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Low_Price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High_Price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High_Price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Low_Price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High_Price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Low_Price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Low_Price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High_Price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Low_Price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Low_Price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High_Price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Low_Price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Low_Price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Low_Price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Low_Price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Low_Price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Low_Price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Low_Price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Low_Price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Low_Price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Low_Price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Low_Price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Low_Price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Low_Price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High_Price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Low_Price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Low_Price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High_Price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Low_Price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Low_Price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Low_Price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High_Price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High_Price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High_Price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High_Price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Low_Price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High_Price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Low_Price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Low_Price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Low_Price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Low_Price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Low_Price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Low_Price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Low_Price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Low_Price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Low_Price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Low_Price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Low_Price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Low_Price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Low_Price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Low_Price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High_Price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High_Price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Low_Price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Low_Price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High_Price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Low_Price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Low_Price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Low_Price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IF(O323&gt;=15000,"High_Price","Low_Price")</f>
        <v>Low_Price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High_Price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Low_Price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Low_Price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Low_Price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Low_Price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Low_Price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High_Price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Low_Price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High_Price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High_Price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Low_Price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Low_Price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Low_Price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Low_Price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High_Price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Low_Price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Low_Price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Low_Price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High_Price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Low_Price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High_Price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High_Price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Low_Price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High_Price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Low_Price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Low_Price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Low_Price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Low_Price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Low_Price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Low_Price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High_Price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High_Price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Low_Price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Low_Price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Low_Price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Low_Price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High_Price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Low_Price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Low_Price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Low_Price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High_Price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High_Price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Low_Price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Low_Price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Low_Price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Low_Price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Low_Price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Low_Price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High_Price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Low_Price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98C4-81C8-4373-8F74-16F00AC4F099}">
  <dimension ref="A1:G16"/>
  <sheetViews>
    <sheetView workbookViewId="0">
      <selection activeCell="I22" sqref="I22"/>
    </sheetView>
  </sheetViews>
  <sheetFormatPr defaultRowHeight="14.4" x14ac:dyDescent="0.3"/>
  <cols>
    <col min="1" max="1" width="13.21875" bestFit="1" customWidth="1"/>
  </cols>
  <sheetData>
    <row r="1" spans="1:7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3">
      <c r="A2" s="1" t="s">
        <v>81</v>
      </c>
      <c r="B2" s="1">
        <v>90</v>
      </c>
      <c r="C2" s="1">
        <v>90</v>
      </c>
      <c r="D2" s="1">
        <v>90</v>
      </c>
      <c r="E2" s="1">
        <f>SUM(B2:D2)</f>
        <v>270</v>
      </c>
      <c r="F2" s="1">
        <f>AVERAGE(E2/3)</f>
        <v>90</v>
      </c>
      <c r="G2" s="1" t="str">
        <f>IF(F2&gt;=90,"A",IF(F2&gt;=70,"B",IF(F2&gt;=50,"C",IF(F2&gt;=40,"Pass",IF(F2&lt;40,"Fail")))))</f>
        <v>A</v>
      </c>
    </row>
    <row r="3" spans="1:7" x14ac:dyDescent="0.3">
      <c r="A3" s="1" t="s">
        <v>82</v>
      </c>
      <c r="B3" s="1">
        <f t="shared" ref="B3:B9" ca="1" si="0">RANDBETWEEN(40,100)</f>
        <v>47</v>
      </c>
      <c r="C3" s="1">
        <f t="shared" ref="C3:D9" ca="1" si="1">RANDBETWEEN(40,100)</f>
        <v>100</v>
      </c>
      <c r="D3" s="1">
        <f t="shared" ca="1" si="1"/>
        <v>62</v>
      </c>
      <c r="E3" s="1">
        <f t="shared" ref="E3:E9" ca="1" si="2">SUM(B3:D3)</f>
        <v>209</v>
      </c>
      <c r="F3" s="1">
        <f t="shared" ref="F3:F9" ca="1" si="3">AVERAGE(E3/3)</f>
        <v>69.666666666666671</v>
      </c>
      <c r="G3" s="1" t="str">
        <f t="shared" ref="G3:G8" ca="1" si="4">IF(F3&gt;=90,"A",IF(F3&gt;=70,"B",IF(F3&gt;=50,"C",IF(F3&gt;=40,"Pass",IF(F3&lt;40,"Fail")))))</f>
        <v>C</v>
      </c>
    </row>
    <row r="4" spans="1:7" x14ac:dyDescent="0.3">
      <c r="A4" s="1" t="s">
        <v>83</v>
      </c>
      <c r="B4" s="1">
        <f t="shared" ca="1" si="0"/>
        <v>91</v>
      </c>
      <c r="C4" s="1">
        <f t="shared" ca="1" si="1"/>
        <v>58</v>
      </c>
      <c r="D4" s="1">
        <f t="shared" ca="1" si="1"/>
        <v>62</v>
      </c>
      <c r="E4" s="1">
        <f t="shared" ca="1" si="2"/>
        <v>211</v>
      </c>
      <c r="F4" s="1">
        <f t="shared" ca="1" si="3"/>
        <v>70.333333333333329</v>
      </c>
      <c r="G4" s="1" t="str">
        <f t="shared" ca="1" si="4"/>
        <v>B</v>
      </c>
    </row>
    <row r="5" spans="1:7" x14ac:dyDescent="0.3">
      <c r="A5" s="1" t="s">
        <v>84</v>
      </c>
      <c r="B5" s="1">
        <f t="shared" ca="1" si="0"/>
        <v>48</v>
      </c>
      <c r="C5" s="1">
        <f t="shared" ca="1" si="1"/>
        <v>99</v>
      </c>
      <c r="D5" s="1">
        <f t="shared" ca="1" si="1"/>
        <v>87</v>
      </c>
      <c r="E5" s="1">
        <f t="shared" ca="1" si="2"/>
        <v>234</v>
      </c>
      <c r="F5" s="1">
        <f t="shared" ca="1" si="3"/>
        <v>78</v>
      </c>
      <c r="G5" s="1" t="str">
        <f t="shared" ca="1" si="4"/>
        <v>B</v>
      </c>
    </row>
    <row r="6" spans="1:7" x14ac:dyDescent="0.3">
      <c r="A6" s="1" t="s">
        <v>85</v>
      </c>
      <c r="B6" s="1">
        <f t="shared" ca="1" si="0"/>
        <v>91</v>
      </c>
      <c r="C6" s="1">
        <f t="shared" ca="1" si="1"/>
        <v>64</v>
      </c>
      <c r="D6" s="1">
        <f t="shared" ca="1" si="1"/>
        <v>68</v>
      </c>
      <c r="E6" s="1">
        <f t="shared" ca="1" si="2"/>
        <v>223</v>
      </c>
      <c r="F6" s="1">
        <f t="shared" ca="1" si="3"/>
        <v>74.333333333333329</v>
      </c>
      <c r="G6" s="1" t="str">
        <f t="shared" ca="1" si="4"/>
        <v>B</v>
      </c>
    </row>
    <row r="7" spans="1:7" x14ac:dyDescent="0.3">
      <c r="A7" s="1" t="s">
        <v>86</v>
      </c>
      <c r="B7" s="1">
        <v>39</v>
      </c>
      <c r="C7" s="1">
        <v>39</v>
      </c>
      <c r="D7" s="1">
        <v>41</v>
      </c>
      <c r="E7" s="1">
        <f t="shared" si="2"/>
        <v>119</v>
      </c>
      <c r="F7" s="1">
        <f t="shared" si="3"/>
        <v>39.666666666666664</v>
      </c>
      <c r="G7" s="1" t="str">
        <f t="shared" si="4"/>
        <v>Fail</v>
      </c>
    </row>
    <row r="8" spans="1:7" x14ac:dyDescent="0.3">
      <c r="A8" s="1" t="s">
        <v>87</v>
      </c>
      <c r="B8" s="1">
        <f t="shared" ca="1" si="0"/>
        <v>100</v>
      </c>
      <c r="C8" s="1">
        <f t="shared" ca="1" si="1"/>
        <v>86</v>
      </c>
      <c r="D8" s="1">
        <f t="shared" ca="1" si="1"/>
        <v>93</v>
      </c>
      <c r="E8" s="1">
        <f t="shared" ca="1" si="2"/>
        <v>279</v>
      </c>
      <c r="F8" s="1">
        <f t="shared" ca="1" si="3"/>
        <v>93</v>
      </c>
      <c r="G8" s="1" t="str">
        <f t="shared" ca="1" si="4"/>
        <v>A</v>
      </c>
    </row>
    <row r="9" spans="1:7" x14ac:dyDescent="0.3">
      <c r="A9" s="1" t="s">
        <v>88</v>
      </c>
      <c r="B9" s="1">
        <f t="shared" ca="1" si="0"/>
        <v>78</v>
      </c>
      <c r="C9" s="1">
        <f t="shared" ca="1" si="1"/>
        <v>83</v>
      </c>
      <c r="D9" s="1">
        <f t="shared" ca="1" si="1"/>
        <v>97</v>
      </c>
      <c r="E9" s="1">
        <f t="shared" ca="1" si="2"/>
        <v>258</v>
      </c>
      <c r="F9" s="1">
        <f t="shared" ca="1" si="3"/>
        <v>86</v>
      </c>
      <c r="G9" s="1" t="str">
        <f ca="1">IF(IF9&gt;=90,"A",IF(F9&gt;=70,"B",IF(F9&gt;=50,"C",IF(F9&gt;=40,"Pass",IF(F9&lt;40,"Fail")))))</f>
        <v>B</v>
      </c>
    </row>
    <row r="12" spans="1:7" x14ac:dyDescent="0.3">
      <c r="C12" s="1" t="s">
        <v>89</v>
      </c>
      <c r="D12" s="1" t="s">
        <v>94</v>
      </c>
    </row>
    <row r="13" spans="1:7" x14ac:dyDescent="0.3">
      <c r="C13" s="1" t="s">
        <v>90</v>
      </c>
      <c r="D13" s="1" t="s">
        <v>95</v>
      </c>
    </row>
    <row r="14" spans="1:7" x14ac:dyDescent="0.3">
      <c r="C14" s="1" t="s">
        <v>91</v>
      </c>
      <c r="D14" s="1" t="s">
        <v>96</v>
      </c>
    </row>
    <row r="15" spans="1:7" x14ac:dyDescent="0.3">
      <c r="C15" s="1" t="s">
        <v>92</v>
      </c>
      <c r="D15" s="1" t="s">
        <v>97</v>
      </c>
    </row>
    <row r="16" spans="1:7" x14ac:dyDescent="0.3">
      <c r="C16" s="1" t="s">
        <v>93</v>
      </c>
      <c r="D16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 &amp; Formula Used</vt:lpstr>
      <vt:lpstr>Grading System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Sayar Paul</cp:lastModifiedBy>
  <dcterms:created xsi:type="dcterms:W3CDTF">2026-02-23T05:28:23Z</dcterms:created>
  <dcterms:modified xsi:type="dcterms:W3CDTF">2026-02-24T16:34:33Z</dcterms:modified>
</cp:coreProperties>
</file>