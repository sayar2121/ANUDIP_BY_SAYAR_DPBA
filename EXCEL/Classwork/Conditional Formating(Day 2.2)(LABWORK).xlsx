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8_{745CC838-08C4-4F02-9E93-355E2C166C6D}" xr6:coauthVersionLast="47" xr6:coauthVersionMax="47" xr10:uidLastSave="{00000000-0000-0000-0000-000000000000}"/>
  <bookViews>
    <workbookView xWindow="-108" yWindow="-108" windowWidth="23256" windowHeight="12456" firstSheet="5" activeTab="6" xr2:uid="{00000000-000D-0000-FFFF-FFFF00000000}"/>
  </bookViews>
  <sheets>
    <sheet name="Function &amp; Formula Used" sheetId="1" r:id="rId1"/>
    <sheet name="Grading System" sheetId="2" r:id="rId2"/>
    <sheet name="Conditional Formatting" sheetId="3" r:id="rId3"/>
    <sheet name="Condtional_Formatting(DAY 2)" sheetId="4" r:id="rId4"/>
    <sheet name="Conditional_Formatting(DAY 2.1)" sheetId="5" r:id="rId5"/>
    <sheet name="Conditional_Formatting(Day2.2)" sheetId="6" r:id="rId6"/>
    <sheet name="ConditionalFormat2.3labwork"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 l="1"/>
  <c r="F2" i="2"/>
  <c r="W59" i="1" a="1"/>
  <c r="W59" i="1" s="1"/>
  <c r="W60" i="1" a="1"/>
  <c r="W60" i="1" s="1"/>
  <c r="W61" i="1" a="1"/>
  <c r="W61" i="1" s="1"/>
  <c r="W62" i="1" a="1"/>
  <c r="W62" i="1" s="1"/>
  <c r="W58" i="1" a="1"/>
  <c r="W58" i="1" s="1"/>
  <c r="V55" i="1"/>
  <c r="V52" i="1"/>
  <c r="W48" i="1"/>
  <c r="V47" i="1"/>
  <c r="W45" i="1"/>
  <c r="W43" i="1"/>
  <c r="W42" i="1"/>
  <c r="U22" i="1"/>
  <c r="X15" i="1"/>
  <c r="W14" i="1"/>
  <c r="W13" i="1"/>
  <c r="W1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2" i="1"/>
  <c r="B3" i="2"/>
  <c r="C3" i="2"/>
  <c r="D3" i="2"/>
  <c r="B4" i="2"/>
  <c r="C4" i="2"/>
  <c r="D4" i="2"/>
  <c r="B5" i="2"/>
  <c r="C5" i="2"/>
  <c r="D5" i="2"/>
  <c r="B6" i="2"/>
  <c r="C6" i="2"/>
  <c r="D6" i="2"/>
  <c r="B8" i="2"/>
  <c r="C8" i="2"/>
  <c r="D8" i="2"/>
  <c r="B9" i="2"/>
  <c r="C9" i="2"/>
  <c r="D9" i="2"/>
  <c r="X8" i="1"/>
  <c r="X6" i="1"/>
  <c r="Q3" i="1" a="1"/>
  <c r="Q3" i="1"/>
  <c r="Q4" i="1" a="1"/>
  <c r="Q4" i="1" s="1"/>
  <c r="Q5" i="1" a="1"/>
  <c r="Q5" i="1" s="1"/>
  <c r="Q6" i="1" a="1"/>
  <c r="Q6" i="1"/>
  <c r="Q7" i="1" a="1"/>
  <c r="Q7" i="1"/>
  <c r="Q8" i="1" a="1"/>
  <c r="Q8" i="1" s="1"/>
  <c r="Q9" i="1" a="1"/>
  <c r="Q9" i="1"/>
  <c r="Q10" i="1" a="1"/>
  <c r="Q10" i="1" s="1"/>
  <c r="Q11" i="1" a="1"/>
  <c r="Q11" i="1" s="1"/>
  <c r="Q12" i="1" a="1"/>
  <c r="Q12" i="1"/>
  <c r="Q13" i="1" a="1"/>
  <c r="Q13" i="1"/>
  <c r="Q14" i="1" a="1"/>
  <c r="Q14" i="1" s="1"/>
  <c r="Q15" i="1" a="1"/>
  <c r="Q15" i="1"/>
  <c r="Q16" i="1" a="1"/>
  <c r="Q16" i="1" s="1"/>
  <c r="Q17" i="1" a="1"/>
  <c r="Q17" i="1" s="1"/>
  <c r="Q18" i="1" a="1"/>
  <c r="Q18" i="1"/>
  <c r="Q19" i="1" a="1"/>
  <c r="Q19" i="1"/>
  <c r="Q20" i="1" a="1"/>
  <c r="Q20" i="1" s="1"/>
  <c r="Q21" i="1" a="1"/>
  <c r="Q21" i="1"/>
  <c r="Q22" i="1" a="1"/>
  <c r="Q22" i="1" s="1"/>
  <c r="Q23" i="1" a="1"/>
  <c r="Q23" i="1" s="1"/>
  <c r="Q24" i="1" a="1"/>
  <c r="Q24" i="1" s="1"/>
  <c r="Q25" i="1" a="1"/>
  <c r="Q25" i="1"/>
  <c r="Q26" i="1" a="1"/>
  <c r="Q26" i="1" s="1"/>
  <c r="Q27" i="1" a="1"/>
  <c r="Q27" i="1"/>
  <c r="Q28" i="1" a="1"/>
  <c r="Q28" i="1" s="1"/>
  <c r="Q29" i="1" a="1"/>
  <c r="Q29" i="1" s="1"/>
  <c r="Q30" i="1" a="1"/>
  <c r="Q30" i="1" s="1"/>
  <c r="Q31" i="1" a="1"/>
  <c r="Q31" i="1"/>
  <c r="Q32" i="1" a="1"/>
  <c r="Q32" i="1" s="1"/>
  <c r="Q33" i="1" a="1"/>
  <c r="Q33" i="1"/>
  <c r="Q34" i="1" a="1"/>
  <c r="Q34" i="1" s="1"/>
  <c r="Q35" i="1" a="1"/>
  <c r="Q35" i="1" s="1"/>
  <c r="Q36" i="1" a="1"/>
  <c r="Q36" i="1" s="1"/>
  <c r="Q37" i="1" a="1"/>
  <c r="Q37" i="1"/>
  <c r="Q38" i="1" a="1"/>
  <c r="Q38" i="1" s="1"/>
  <c r="Q39" i="1" a="1"/>
  <c r="Q39" i="1" s="1"/>
  <c r="Q40" i="1" a="1"/>
  <c r="Q40" i="1" s="1"/>
  <c r="Q41" i="1" a="1"/>
  <c r="Q41" i="1" s="1"/>
  <c r="Q42" i="1" a="1"/>
  <c r="Q42" i="1" s="1"/>
  <c r="Q43" i="1" a="1"/>
  <c r="Q43" i="1"/>
  <c r="Q44" i="1" a="1"/>
  <c r="Q44" i="1" s="1"/>
  <c r="Q45" i="1" a="1"/>
  <c r="Q45" i="1"/>
  <c r="Q46" i="1" a="1"/>
  <c r="Q46" i="1" s="1"/>
  <c r="Q47" i="1" a="1"/>
  <c r="Q47" i="1" s="1"/>
  <c r="Q48" i="1" a="1"/>
  <c r="Q48" i="1" s="1"/>
  <c r="Q49" i="1" a="1"/>
  <c r="Q49" i="1"/>
  <c r="Q50" i="1" a="1"/>
  <c r="Q50" i="1" s="1"/>
  <c r="Q51" i="1" a="1"/>
  <c r="Q51" i="1" s="1"/>
  <c r="Q52" i="1" a="1"/>
  <c r="Q52" i="1" s="1"/>
  <c r="Q53" i="1" a="1"/>
  <c r="Q53" i="1" s="1"/>
  <c r="Q54" i="1" a="1"/>
  <c r="Q54" i="1" s="1"/>
  <c r="Q55" i="1" a="1"/>
  <c r="Q55" i="1"/>
  <c r="Q56" i="1" a="1"/>
  <c r="Q56" i="1" s="1"/>
  <c r="Q57" i="1" a="1"/>
  <c r="Q57" i="1" s="1"/>
  <c r="Q58" i="1" a="1"/>
  <c r="Q58" i="1" s="1"/>
  <c r="Q59" i="1" a="1"/>
  <c r="Q59" i="1" s="1"/>
  <c r="Q60" i="1" a="1"/>
  <c r="Q60" i="1" s="1"/>
  <c r="Q61" i="1" a="1"/>
  <c r="Q61" i="1"/>
  <c r="Q62" i="1" a="1"/>
  <c r="Q62" i="1" s="1"/>
  <c r="Q63" i="1" a="1"/>
  <c r="Q63" i="1" s="1"/>
  <c r="Q64" i="1" a="1"/>
  <c r="Q64" i="1" s="1"/>
  <c r="Q65" i="1" a="1"/>
  <c r="Q65" i="1" s="1"/>
  <c r="Q66" i="1" a="1"/>
  <c r="Q66" i="1" s="1"/>
  <c r="Q67" i="1" a="1"/>
  <c r="Q67" i="1"/>
  <c r="Q68" i="1" a="1"/>
  <c r="Q68" i="1" s="1"/>
  <c r="Q69" i="1" a="1"/>
  <c r="Q69" i="1" s="1"/>
  <c r="Q70" i="1" a="1"/>
  <c r="Q70" i="1" s="1"/>
  <c r="Q71" i="1" a="1"/>
  <c r="Q71" i="1" s="1"/>
  <c r="Q72" i="1" a="1"/>
  <c r="Q72" i="1" s="1"/>
  <c r="Q73" i="1" a="1"/>
  <c r="Q73" i="1"/>
  <c r="Q74" i="1" a="1"/>
  <c r="Q74" i="1" s="1"/>
  <c r="Q75" i="1" a="1"/>
  <c r="Q75" i="1" s="1"/>
  <c r="Q76" i="1" a="1"/>
  <c r="Q76" i="1" s="1"/>
  <c r="Q77" i="1" a="1"/>
  <c r="Q77" i="1" s="1"/>
  <c r="Q78" i="1" a="1"/>
  <c r="Q78" i="1" s="1"/>
  <c r="Q79" i="1" a="1"/>
  <c r="Q79" i="1"/>
  <c r="Q80" i="1" a="1"/>
  <c r="Q80" i="1" s="1"/>
  <c r="Q81" i="1" a="1"/>
  <c r="Q81" i="1" s="1"/>
  <c r="Q82" i="1" a="1"/>
  <c r="Q82" i="1" s="1"/>
  <c r="Q83" i="1" a="1"/>
  <c r="Q83" i="1" s="1"/>
  <c r="Q84" i="1" a="1"/>
  <c r="Q84" i="1" s="1"/>
  <c r="Q85" i="1" a="1"/>
  <c r="Q85" i="1"/>
  <c r="Q86" i="1" a="1"/>
  <c r="Q86" i="1" s="1"/>
  <c r="Q87" i="1" a="1"/>
  <c r="Q87" i="1" s="1"/>
  <c r="Q88" i="1" a="1"/>
  <c r="Q88" i="1" s="1"/>
  <c r="Q89" i="1" a="1"/>
  <c r="Q89" i="1" s="1"/>
  <c r="Q90" i="1" a="1"/>
  <c r="Q90" i="1" s="1"/>
  <c r="Q91" i="1" a="1"/>
  <c r="Q91" i="1"/>
  <c r="Q92" i="1" a="1"/>
  <c r="Q92" i="1" s="1"/>
  <c r="Q93" i="1" a="1"/>
  <c r="Q93" i="1" s="1"/>
  <c r="Q94" i="1" a="1"/>
  <c r="Q94" i="1" s="1"/>
  <c r="Q95" i="1" a="1"/>
  <c r="Q95" i="1" s="1"/>
  <c r="Q96" i="1" a="1"/>
  <c r="Q96" i="1" s="1"/>
  <c r="Q97" i="1" a="1"/>
  <c r="Q97" i="1"/>
  <c r="Q98" i="1" a="1"/>
  <c r="Q98" i="1" s="1"/>
  <c r="Q99" i="1" a="1"/>
  <c r="Q99" i="1" s="1"/>
  <c r="Q100" i="1" a="1"/>
  <c r="Q100" i="1" s="1"/>
  <c r="Q101" i="1" a="1"/>
  <c r="Q101" i="1" s="1"/>
  <c r="Q102" i="1" a="1"/>
  <c r="Q102" i="1" s="1"/>
  <c r="Q103" i="1" a="1"/>
  <c r="Q103" i="1"/>
  <c r="Q104" i="1" a="1"/>
  <c r="Q104" i="1" s="1"/>
  <c r="Q105" i="1" a="1"/>
  <c r="Q105" i="1" s="1"/>
  <c r="Q106" i="1" a="1"/>
  <c r="Q106" i="1" s="1"/>
  <c r="Q107" i="1" a="1"/>
  <c r="Q107" i="1" s="1"/>
  <c r="Q108" i="1" a="1"/>
  <c r="Q108" i="1" s="1"/>
  <c r="Q109" i="1" a="1"/>
  <c r="Q109" i="1"/>
  <c r="Q110" i="1" a="1"/>
  <c r="Q110" i="1" s="1"/>
  <c r="Q111" i="1" a="1"/>
  <c r="Q111" i="1" s="1"/>
  <c r="Q112" i="1" a="1"/>
  <c r="Q112" i="1" s="1"/>
  <c r="Q113" i="1" a="1"/>
  <c r="Q113" i="1" s="1"/>
  <c r="Q114" i="1" a="1"/>
  <c r="Q114" i="1" s="1"/>
  <c r="Q115" i="1" a="1"/>
  <c r="Q115" i="1"/>
  <c r="Q116" i="1" a="1"/>
  <c r="Q116" i="1" s="1"/>
  <c r="Q117" i="1" a="1"/>
  <c r="Q117" i="1" s="1"/>
  <c r="Q118" i="1" a="1"/>
  <c r="Q118" i="1" s="1"/>
  <c r="Q119" i="1" a="1"/>
  <c r="Q119" i="1" s="1"/>
  <c r="Q120" i="1" a="1"/>
  <c r="Q120" i="1" s="1"/>
  <c r="Q121" i="1" a="1"/>
  <c r="Q121" i="1"/>
  <c r="Q122" i="1" a="1"/>
  <c r="Q122" i="1" s="1"/>
  <c r="Q123" i="1" a="1"/>
  <c r="Q123" i="1" s="1"/>
  <c r="Q124" i="1" a="1"/>
  <c r="Q124" i="1" s="1"/>
  <c r="Q125" i="1" a="1"/>
  <c r="Q125" i="1" s="1"/>
  <c r="Q126" i="1" a="1"/>
  <c r="Q126" i="1" s="1"/>
  <c r="Q127" i="1" a="1"/>
  <c r="Q127" i="1"/>
  <c r="Q128" i="1" a="1"/>
  <c r="Q128" i="1" s="1"/>
  <c r="Q129" i="1" a="1"/>
  <c r="Q129" i="1" s="1"/>
  <c r="Q130" i="1" a="1"/>
  <c r="Q130" i="1" s="1"/>
  <c r="Q131" i="1" a="1"/>
  <c r="Q131" i="1" s="1"/>
  <c r="Q132" i="1" a="1"/>
  <c r="Q132" i="1" s="1"/>
  <c r="Q133" i="1" a="1"/>
  <c r="Q133" i="1"/>
  <c r="Q134" i="1" a="1"/>
  <c r="Q134" i="1" s="1"/>
  <c r="Q135" i="1" a="1"/>
  <c r="Q135" i="1" s="1"/>
  <c r="Q136" i="1" a="1"/>
  <c r="Q136" i="1" s="1"/>
  <c r="Q137" i="1" a="1"/>
  <c r="Q137" i="1" s="1"/>
  <c r="Q138" i="1" a="1"/>
  <c r="Q138" i="1" s="1"/>
  <c r="Q139" i="1" a="1"/>
  <c r="Q139" i="1"/>
  <c r="Q140" i="1" a="1"/>
  <c r="Q140" i="1" s="1"/>
  <c r="Q141" i="1" a="1"/>
  <c r="Q141" i="1" s="1"/>
  <c r="Q142" i="1" a="1"/>
  <c r="Q142" i="1" s="1"/>
  <c r="Q143" i="1" a="1"/>
  <c r="Q143" i="1" s="1"/>
  <c r="Q144" i="1" a="1"/>
  <c r="Q144" i="1" s="1"/>
  <c r="Q145" i="1" a="1"/>
  <c r="Q145" i="1"/>
  <c r="Q146" i="1" a="1"/>
  <c r="Q146" i="1" s="1"/>
  <c r="Q147" i="1" a="1"/>
  <c r="Q147" i="1" s="1"/>
  <c r="Q148" i="1" a="1"/>
  <c r="Q148" i="1" s="1"/>
  <c r="Q149" i="1" a="1"/>
  <c r="Q149" i="1" s="1"/>
  <c r="Q150" i="1" a="1"/>
  <c r="Q150" i="1" s="1"/>
  <c r="Q151" i="1" a="1"/>
  <c r="Q151" i="1"/>
  <c r="Q152" i="1" a="1"/>
  <c r="Q152" i="1" s="1"/>
  <c r="Q153" i="1" a="1"/>
  <c r="Q153" i="1" s="1"/>
  <c r="Q154" i="1" a="1"/>
  <c r="Q154" i="1" s="1"/>
  <c r="Q155" i="1" a="1"/>
  <c r="Q155" i="1" s="1"/>
  <c r="Q156" i="1" a="1"/>
  <c r="Q156" i="1" s="1"/>
  <c r="Q157" i="1" a="1"/>
  <c r="Q157" i="1"/>
  <c r="Q158" i="1" a="1"/>
  <c r="Q158" i="1" s="1"/>
  <c r="Q159" i="1" a="1"/>
  <c r="Q159" i="1" s="1"/>
  <c r="Q160" i="1" a="1"/>
  <c r="Q160" i="1" s="1"/>
  <c r="Q161" i="1" a="1"/>
  <c r="Q161" i="1" s="1"/>
  <c r="Q162" i="1" a="1"/>
  <c r="Q162" i="1" s="1"/>
  <c r="Q163" i="1" a="1"/>
  <c r="Q163" i="1"/>
  <c r="Q164" i="1" a="1"/>
  <c r="Q164" i="1" s="1"/>
  <c r="Q165" i="1" a="1"/>
  <c r="Q165" i="1" s="1"/>
  <c r="Q166" i="1" a="1"/>
  <c r="Q166" i="1" s="1"/>
  <c r="Q167" i="1" a="1"/>
  <c r="Q167" i="1" s="1"/>
  <c r="Q168" i="1" a="1"/>
  <c r="Q168" i="1" s="1"/>
  <c r="Q169" i="1" a="1"/>
  <c r="Q169" i="1"/>
  <c r="Q170" i="1" a="1"/>
  <c r="Q170" i="1" s="1"/>
  <c r="Q171" i="1" a="1"/>
  <c r="Q171" i="1" s="1"/>
  <c r="Q172" i="1" a="1"/>
  <c r="Q172" i="1" s="1"/>
  <c r="Q173" i="1" a="1"/>
  <c r="Q173" i="1" s="1"/>
  <c r="Q174" i="1" a="1"/>
  <c r="Q174" i="1" s="1"/>
  <c r="Q175" i="1" a="1"/>
  <c r="Q175" i="1"/>
  <c r="Q176" i="1" a="1"/>
  <c r="Q176" i="1" s="1"/>
  <c r="Q177" i="1" a="1"/>
  <c r="Q177" i="1" s="1"/>
  <c r="Q178" i="1" a="1"/>
  <c r="Q178" i="1" s="1"/>
  <c r="Q179" i="1" a="1"/>
  <c r="Q179" i="1" s="1"/>
  <c r="Q180" i="1" a="1"/>
  <c r="Q180" i="1" s="1"/>
  <c r="Q181" i="1" a="1"/>
  <c r="Q181" i="1"/>
  <c r="Q182" i="1" a="1"/>
  <c r="Q182" i="1" s="1"/>
  <c r="Q183" i="1" a="1"/>
  <c r="Q183" i="1" s="1"/>
  <c r="Q184" i="1" a="1"/>
  <c r="Q184" i="1" s="1"/>
  <c r="Q185" i="1" a="1"/>
  <c r="Q185" i="1" s="1"/>
  <c r="Q186" i="1" a="1"/>
  <c r="Q186" i="1" s="1"/>
  <c r="Q187" i="1" a="1"/>
  <c r="Q187" i="1"/>
  <c r="Q188" i="1" a="1"/>
  <c r="Q188" i="1" s="1"/>
  <c r="Q189" i="1" a="1"/>
  <c r="Q189" i="1" s="1"/>
  <c r="Q190" i="1" a="1"/>
  <c r="Q190" i="1" s="1"/>
  <c r="Q191" i="1" a="1"/>
  <c r="Q191" i="1" s="1"/>
  <c r="Q192" i="1" a="1"/>
  <c r="Q192" i="1" s="1"/>
  <c r="Q193" i="1" a="1"/>
  <c r="Q193" i="1"/>
  <c r="Q194" i="1" a="1"/>
  <c r="Q194" i="1" s="1"/>
  <c r="Q195" i="1" a="1"/>
  <c r="Q195" i="1" s="1"/>
  <c r="Q196" i="1" a="1"/>
  <c r="Q196" i="1" s="1"/>
  <c r="Q197" i="1" a="1"/>
  <c r="Q197" i="1" s="1"/>
  <c r="Q198" i="1" a="1"/>
  <c r="Q198" i="1" s="1"/>
  <c r="Q199" i="1" a="1"/>
  <c r="Q199" i="1"/>
  <c r="Q200" i="1" a="1"/>
  <c r="Q200" i="1" s="1"/>
  <c r="Q201" i="1" a="1"/>
  <c r="Q201" i="1" s="1"/>
  <c r="Q202" i="1" a="1"/>
  <c r="Q202" i="1" s="1"/>
  <c r="Q203" i="1" a="1"/>
  <c r="Q203" i="1" s="1"/>
  <c r="Q204" i="1" a="1"/>
  <c r="Q204" i="1" s="1"/>
  <c r="Q205" i="1" a="1"/>
  <c r="Q205" i="1"/>
  <c r="Q206" i="1" a="1"/>
  <c r="Q206" i="1" s="1"/>
  <c r="Q207" i="1" a="1"/>
  <c r="Q207" i="1" s="1"/>
  <c r="Q208" i="1" a="1"/>
  <c r="Q208" i="1" s="1"/>
  <c r="Q209" i="1" a="1"/>
  <c r="Q209" i="1" s="1"/>
  <c r="Q210" i="1" a="1"/>
  <c r="Q210" i="1" s="1"/>
  <c r="Q211" i="1" a="1"/>
  <c r="Q211" i="1"/>
  <c r="Q212" i="1" a="1"/>
  <c r="Q212" i="1" s="1"/>
  <c r="Q213" i="1" a="1"/>
  <c r="Q213" i="1" s="1"/>
  <c r="Q214" i="1" a="1"/>
  <c r="Q214" i="1" s="1"/>
  <c r="Q215" i="1" a="1"/>
  <c r="Q215" i="1" s="1"/>
  <c r="Q216" i="1" a="1"/>
  <c r="Q216" i="1" s="1"/>
  <c r="Q217" i="1" a="1"/>
  <c r="Q217" i="1"/>
  <c r="Q218" i="1" a="1"/>
  <c r="Q218" i="1" s="1"/>
  <c r="Q219" i="1" a="1"/>
  <c r="Q219" i="1" s="1"/>
  <c r="Q220" i="1" a="1"/>
  <c r="Q220" i="1" s="1"/>
  <c r="Q221" i="1" a="1"/>
  <c r="Q221" i="1" s="1"/>
  <c r="Q222" i="1" a="1"/>
  <c r="Q222" i="1" s="1"/>
  <c r="Q223" i="1" a="1"/>
  <c r="Q223" i="1"/>
  <c r="Q224" i="1" a="1"/>
  <c r="Q224" i="1" s="1"/>
  <c r="Q225" i="1" a="1"/>
  <c r="Q225" i="1" s="1"/>
  <c r="Q226" i="1" a="1"/>
  <c r="Q226" i="1" s="1"/>
  <c r="Q227" i="1" a="1"/>
  <c r="Q227" i="1" s="1"/>
  <c r="Q228" i="1" a="1"/>
  <c r="Q228" i="1" s="1"/>
  <c r="Q229" i="1" a="1"/>
  <c r="Q229" i="1"/>
  <c r="Q230" i="1" a="1"/>
  <c r="Q230" i="1" s="1"/>
  <c r="Q231" i="1" a="1"/>
  <c r="Q231" i="1" s="1"/>
  <c r="Q232" i="1" a="1"/>
  <c r="Q232" i="1" s="1"/>
  <c r="Q233" i="1" a="1"/>
  <c r="Q233" i="1" s="1"/>
  <c r="Q234" i="1" a="1"/>
  <c r="Q234" i="1" s="1"/>
  <c r="Q235" i="1" a="1"/>
  <c r="Q235" i="1"/>
  <c r="Q236" i="1" a="1"/>
  <c r="Q236" i="1" s="1"/>
  <c r="Q237" i="1" a="1"/>
  <c r="Q237" i="1" s="1"/>
  <c r="Q238" i="1" a="1"/>
  <c r="Q238" i="1" s="1"/>
  <c r="Q239" i="1" a="1"/>
  <c r="Q239" i="1" s="1"/>
  <c r="Q240" i="1" a="1"/>
  <c r="Q240" i="1" s="1"/>
  <c r="Q241" i="1" a="1"/>
  <c r="Q241" i="1"/>
  <c r="Q242" i="1" a="1"/>
  <c r="Q242" i="1" s="1"/>
  <c r="Q243" i="1" a="1"/>
  <c r="Q243" i="1" s="1"/>
  <c r="Q244" i="1" a="1"/>
  <c r="Q244" i="1" s="1"/>
  <c r="Q245" i="1" a="1"/>
  <c r="Q245" i="1" s="1"/>
  <c r="Q246" i="1" a="1"/>
  <c r="Q246" i="1" s="1"/>
  <c r="Q247" i="1" a="1"/>
  <c r="Q247" i="1"/>
  <c r="Q248" i="1" a="1"/>
  <c r="Q248" i="1" s="1"/>
  <c r="Q249" i="1" a="1"/>
  <c r="Q249" i="1" s="1"/>
  <c r="Q250" i="1" a="1"/>
  <c r="Q250" i="1" s="1"/>
  <c r="Q251" i="1" a="1"/>
  <c r="Q251" i="1" s="1"/>
  <c r="Q252" i="1" a="1"/>
  <c r="Q252" i="1" s="1"/>
  <c r="Q253" i="1" a="1"/>
  <c r="Q253" i="1"/>
  <c r="Q254" i="1" a="1"/>
  <c r="Q254" i="1" s="1"/>
  <c r="Q255" i="1" a="1"/>
  <c r="Q255" i="1" s="1"/>
  <c r="Q256" i="1" a="1"/>
  <c r="Q256" i="1" s="1"/>
  <c r="Q257" i="1" a="1"/>
  <c r="Q257" i="1" s="1"/>
  <c r="Q258" i="1" a="1"/>
  <c r="Q258" i="1" s="1"/>
  <c r="Q259" i="1" a="1"/>
  <c r="Q259" i="1"/>
  <c r="Q260" i="1" a="1"/>
  <c r="Q260" i="1" s="1"/>
  <c r="Q261" i="1" a="1"/>
  <c r="Q261" i="1" s="1"/>
  <c r="Q262" i="1" a="1"/>
  <c r="Q262" i="1" s="1"/>
  <c r="Q263" i="1" a="1"/>
  <c r="Q263" i="1" s="1"/>
  <c r="Q264" i="1" a="1"/>
  <c r="Q264" i="1" s="1"/>
  <c r="Q265" i="1" a="1"/>
  <c r="Q265" i="1"/>
  <c r="Q266" i="1" a="1"/>
  <c r="Q266" i="1" s="1"/>
  <c r="Q267" i="1" a="1"/>
  <c r="Q267" i="1" s="1"/>
  <c r="Q268" i="1" a="1"/>
  <c r="Q268" i="1" s="1"/>
  <c r="Q269" i="1" a="1"/>
  <c r="Q269" i="1" s="1"/>
  <c r="Q270" i="1" a="1"/>
  <c r="Q270" i="1" s="1"/>
  <c r="Q271" i="1" a="1"/>
  <c r="Q271" i="1"/>
  <c r="Q272" i="1" a="1"/>
  <c r="Q272" i="1" s="1"/>
  <c r="Q273" i="1" a="1"/>
  <c r="Q273" i="1" s="1"/>
  <c r="Q274" i="1" a="1"/>
  <c r="Q274" i="1" s="1"/>
  <c r="Q275" i="1" a="1"/>
  <c r="Q275" i="1" s="1"/>
  <c r="Q276" i="1" a="1"/>
  <c r="Q276" i="1" s="1"/>
  <c r="Q277" i="1" a="1"/>
  <c r="Q277" i="1"/>
  <c r="Q278" i="1" a="1"/>
  <c r="Q278" i="1" s="1"/>
  <c r="Q279" i="1" a="1"/>
  <c r="Q279" i="1" s="1"/>
  <c r="Q280" i="1" a="1"/>
  <c r="Q280" i="1" s="1"/>
  <c r="Q281" i="1" a="1"/>
  <c r="Q281" i="1" s="1"/>
  <c r="Q282" i="1" a="1"/>
  <c r="Q282" i="1" s="1"/>
  <c r="Q283" i="1" a="1"/>
  <c r="Q283" i="1"/>
  <c r="Q284" i="1" a="1"/>
  <c r="Q284" i="1" s="1"/>
  <c r="Q285" i="1" a="1"/>
  <c r="Q285" i="1" s="1"/>
  <c r="Q286" i="1" a="1"/>
  <c r="Q286" i="1" s="1"/>
  <c r="Q287" i="1" a="1"/>
  <c r="Q287" i="1" s="1"/>
  <c r="Q288" i="1" a="1"/>
  <c r="Q288" i="1" s="1"/>
  <c r="Q289" i="1" a="1"/>
  <c r="Q289" i="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c r="Q302" i="1" a="1"/>
  <c r="Q302" i="1" s="1"/>
  <c r="Q303" i="1" a="1"/>
  <c r="Q303" i="1" s="1"/>
  <c r="Q304" i="1" a="1"/>
  <c r="Q304" i="1" s="1"/>
  <c r="Q305" i="1" a="1"/>
  <c r="Q305" i="1" s="1"/>
  <c r="Q306" i="1" a="1"/>
  <c r="Q306" i="1" s="1"/>
  <c r="Q307" i="1" a="1"/>
  <c r="Q307" i="1"/>
  <c r="Q308" i="1" a="1"/>
  <c r="Q308" i="1" s="1"/>
  <c r="Q309" i="1" a="1"/>
  <c r="Q309" i="1" s="1"/>
  <c r="Q310" i="1" a="1"/>
  <c r="Q310" i="1" s="1"/>
  <c r="Q311" i="1" a="1"/>
  <c r="Q311" i="1" s="1"/>
  <c r="Q312" i="1" a="1"/>
  <c r="Q312" i="1" s="1"/>
  <c r="Q313" i="1" a="1"/>
  <c r="Q313" i="1"/>
  <c r="Q314" i="1" a="1"/>
  <c r="Q314" i="1" s="1"/>
  <c r="Q315" i="1" a="1"/>
  <c r="Q315" i="1" s="1"/>
  <c r="Q316" i="1" a="1"/>
  <c r="Q316" i="1" s="1"/>
  <c r="Q317" i="1" a="1"/>
  <c r="Q317" i="1" s="1"/>
  <c r="Q318" i="1" a="1"/>
  <c r="Q318" i="1" s="1"/>
  <c r="Q319" i="1" a="1"/>
  <c r="Q319" i="1"/>
  <c r="Q320" i="1" a="1"/>
  <c r="Q320" i="1" s="1"/>
  <c r="Q321" i="1" a="1"/>
  <c r="Q321" i="1" s="1"/>
  <c r="Q322" i="1" a="1"/>
  <c r="Q322" i="1" s="1"/>
  <c r="Q323" i="1" a="1"/>
  <c r="Q323" i="1" s="1"/>
  <c r="Q324" i="1" a="1"/>
  <c r="Q324" i="1" s="1"/>
  <c r="Q325" i="1" a="1"/>
  <c r="Q325" i="1"/>
  <c r="Q326" i="1" a="1"/>
  <c r="Q326" i="1" s="1"/>
  <c r="Q327" i="1" a="1"/>
  <c r="Q327" i="1" s="1"/>
  <c r="Q328" i="1" a="1"/>
  <c r="Q328" i="1" s="1"/>
  <c r="Q329" i="1" a="1"/>
  <c r="Q329" i="1" s="1"/>
  <c r="Q330" i="1" a="1"/>
  <c r="Q330" i="1" s="1"/>
  <c r="Q331" i="1" a="1"/>
  <c r="Q331" i="1"/>
  <c r="Q332" i="1" a="1"/>
  <c r="Q332" i="1" s="1"/>
  <c r="Q333" i="1" a="1"/>
  <c r="Q333" i="1" s="1"/>
  <c r="Q334" i="1" a="1"/>
  <c r="Q334" i="1" s="1"/>
  <c r="Q335" i="1" a="1"/>
  <c r="Q335" i="1" s="1"/>
  <c r="Q336" i="1" a="1"/>
  <c r="Q336" i="1" s="1"/>
  <c r="Q337" i="1" a="1"/>
  <c r="Q337" i="1"/>
  <c r="Q338" i="1" a="1"/>
  <c r="Q338" i="1" s="1"/>
  <c r="Q339" i="1" a="1"/>
  <c r="Q339" i="1" s="1"/>
  <c r="Q340" i="1" a="1"/>
  <c r="Q340" i="1" s="1"/>
  <c r="Q341" i="1" a="1"/>
  <c r="Q341" i="1" s="1"/>
  <c r="Q342" i="1" a="1"/>
  <c r="Q342" i="1" s="1"/>
  <c r="Q343" i="1" a="1"/>
  <c r="Q343" i="1"/>
  <c r="Q344" i="1" a="1"/>
  <c r="Q344" i="1" s="1"/>
  <c r="Q345" i="1" a="1"/>
  <c r="Q345" i="1" s="1"/>
  <c r="Q346" i="1" a="1"/>
  <c r="Q346" i="1" s="1"/>
  <c r="Q347" i="1" a="1"/>
  <c r="Q347" i="1" s="1"/>
  <c r="Q348" i="1" a="1"/>
  <c r="Q348" i="1" s="1"/>
  <c r="Q349" i="1" a="1"/>
  <c r="Q349" i="1"/>
  <c r="Q350" i="1" a="1"/>
  <c r="Q350" i="1" s="1"/>
  <c r="Q351" i="1" a="1"/>
  <c r="Q351" i="1" s="1"/>
  <c r="Q352" i="1" a="1"/>
  <c r="Q352" i="1" s="1"/>
  <c r="Q353" i="1" a="1"/>
  <c r="Q353" i="1" s="1"/>
  <c r="Q354" i="1" a="1"/>
  <c r="Q354" i="1" s="1"/>
  <c r="Q355" i="1" a="1"/>
  <c r="Q355" i="1"/>
  <c r="Q356" i="1" a="1"/>
  <c r="Q356" i="1" s="1"/>
  <c r="Q357" i="1" a="1"/>
  <c r="Q357" i="1" s="1"/>
  <c r="Q358" i="1" a="1"/>
  <c r="Q358" i="1" s="1"/>
  <c r="Q359" i="1" a="1"/>
  <c r="Q359" i="1" s="1"/>
  <c r="Q360" i="1" a="1"/>
  <c r="Q360" i="1" s="1"/>
  <c r="Q361" i="1" a="1"/>
  <c r="Q361" i="1"/>
  <c r="Q362" i="1" a="1"/>
  <c r="Q362" i="1" s="1"/>
  <c r="Q363" i="1" a="1"/>
  <c r="Q363" i="1" s="1"/>
  <c r="Q364" i="1" a="1"/>
  <c r="Q364" i="1" s="1"/>
  <c r="Q365" i="1" a="1"/>
  <c r="Q365" i="1" s="1"/>
  <c r="Q366" i="1" a="1"/>
  <c r="Q366" i="1" s="1"/>
  <c r="Q367" i="1" a="1"/>
  <c r="Q367" i="1"/>
  <c r="Q368" i="1" a="1"/>
  <c r="Q368" i="1" s="1"/>
  <c r="Q369" i="1" a="1"/>
  <c r="Q369" i="1" s="1"/>
  <c r="Q370" i="1" a="1"/>
  <c r="Q370" i="1" s="1"/>
  <c r="Q371" i="1" a="1"/>
  <c r="Q371" i="1" s="1"/>
  <c r="Q372" i="1" a="1"/>
  <c r="Q372" i="1" s="1"/>
  <c r="Q373" i="1" a="1"/>
  <c r="Q373" i="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2" i="1"/>
  <c r="F5" i="2" l="1"/>
  <c r="F9" i="2"/>
  <c r="F4" i="2"/>
  <c r="F8" i="2"/>
  <c r="F3" i="2"/>
  <c r="F6" i="2"/>
  <c r="W63" i="1"/>
  <c r="E3" i="2"/>
  <c r="E7" i="2"/>
  <c r="G7" i="2" s="1"/>
  <c r="E6" i="2"/>
  <c r="E9" i="2"/>
  <c r="E5" i="2"/>
  <c r="E8" i="2"/>
  <c r="E4" i="2"/>
  <c r="E2" i="2"/>
  <c r="G2" i="2" s="1"/>
  <c r="G6" i="2" l="1"/>
  <c r="G9" i="2"/>
  <c r="G8" i="2"/>
  <c r="G4" i="2"/>
  <c r="G5"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<sst xmlns="http://schemas.openxmlformats.org/spreadsheetml/2006/main" count="13289" uniqueCount="131">
  <si>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</si>
  <si>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</si>
  <si>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</si>
  <si>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</si>
  <si>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</si>
  <si>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</si>
  <si>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</si>
  <si>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</si>
  <si>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</si>
  <si>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</si>
  <si>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</si>
  <si>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</si>
  <si>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</si>
  <si>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</si>
  <si>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</si>
  <si>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</si>
  <si>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</si>
  <si>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</si>
  <si>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</si>
  <si>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</si>
  <si>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</si>
  <si>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</si>
  <si>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</si>
  <si>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</si>
  <si>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</si>
  <si>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</si>
  <si>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</si>
  <si>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</si>
  <si>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</si>
  <si>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</si>
  <si>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</si>
  <si>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</si>
  <si>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</si>
  <si>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</si>
  <si>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</si>
  <si>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</si>
  <si>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</si>
  <si>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</si>
  <si>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</si>
  <si>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</si>
  <si>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</si>
  <si>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</si>
  <si>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</si>
  <si>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</si>
  <si>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</si>
  <si>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</si>
  <si>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</si>
  <si>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</si>
  <si>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</si>
  <si>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</si>
  <si>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</si>
  <si>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</si>
  <si>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</si>
  <si>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</si>
  <si>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</si>
  <si>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</si>
  <si>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</si>
  <si>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</si>
  <si>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</si>
  <si>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</si>
  <si>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</si>
  <si>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</si>
  <si>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</si>
  <si>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</si>
  <si>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</si>
  <si>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</si>
  <si>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</si>
  <si>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</si>
  <si>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</si>
  <si>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Total Price</t>
  </si>
  <si>
    <t>Price Category</t>
  </si>
  <si>
    <t>Discount_Category</t>
  </si>
  <si>
    <t>Unit_Category</t>
  </si>
  <si>
    <t>Total Unit Sold</t>
  </si>
  <si>
    <t>Name</t>
  </si>
  <si>
    <t>Sub1</t>
  </si>
  <si>
    <t>Sub2</t>
  </si>
  <si>
    <t>Sub3</t>
  </si>
  <si>
    <t xml:space="preserve">Total </t>
  </si>
  <si>
    <t>Average</t>
  </si>
  <si>
    <t>Grade</t>
  </si>
  <si>
    <t>Aarav Mehta</t>
  </si>
  <si>
    <t>Riya Sen</t>
  </si>
  <si>
    <t>Kabir Sharma</t>
  </si>
  <si>
    <t>Ananya Das</t>
  </si>
  <si>
    <t>Vivaan Kapoor</t>
  </si>
  <si>
    <t>Meera Nair</t>
  </si>
  <si>
    <t>Arjun Roy</t>
  </si>
  <si>
    <t>Ishita Banerjee</t>
  </si>
  <si>
    <t>&gt;=90</t>
  </si>
  <si>
    <t>&gt;=70</t>
  </si>
  <si>
    <t>&gt;=50</t>
  </si>
  <si>
    <t>&gt;=40</t>
  </si>
  <si>
    <t>&lt;40</t>
  </si>
  <si>
    <t>A</t>
  </si>
  <si>
    <t>B</t>
  </si>
  <si>
    <t>C</t>
  </si>
  <si>
    <t>Pass</t>
  </si>
  <si>
    <t>Fail</t>
  </si>
  <si>
    <t>Brand Name</t>
  </si>
  <si>
    <t>Product</t>
  </si>
  <si>
    <t xml:space="preserve"> </t>
  </si>
  <si>
    <t>Count</t>
  </si>
  <si>
    <t>Product Rows</t>
  </si>
  <si>
    <t>Unit sold rows</t>
  </si>
  <si>
    <t>Countblank</t>
  </si>
  <si>
    <t>Sayar</t>
  </si>
  <si>
    <t>Total Sale Ammount</t>
  </si>
  <si>
    <t>Total Sale Ammount(Using SUMPRODUCT)</t>
  </si>
  <si>
    <t>kolkata</t>
  </si>
  <si>
    <t>Ship date</t>
  </si>
  <si>
    <t>Region</t>
  </si>
  <si>
    <t>Date</t>
  </si>
  <si>
    <t>Sales</t>
  </si>
  <si>
    <t xml:space="preserve">Product A </t>
  </si>
  <si>
    <t xml:space="preserve">Product B </t>
  </si>
  <si>
    <t xml:space="preserve">Product C </t>
  </si>
  <si>
    <t>North</t>
  </si>
  <si>
    <t>South</t>
  </si>
  <si>
    <t>East</t>
  </si>
  <si>
    <t>West</t>
  </si>
  <si>
    <t>Esat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</si>
  <si>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</si>
  <si>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Product A</t>
  </si>
  <si>
    <t>Product B</t>
  </si>
  <si>
    <t>Product C</t>
  </si>
  <si>
    <t>Q1</t>
  </si>
  <si>
    <t>Q2</t>
  </si>
  <si>
    <t>Q3</t>
  </si>
  <si>
    <t>Q4</t>
  </si>
  <si>
    <t>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</si>
</sst>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Times New Roman"/>
      <family val="1"/>
    </font>
  </fonts>
  <fills count="6">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0" fillId="0" borderId="0" xfId="0" applyBorder="1"/>
    <xf numFmtId="0" fontId="1" fillId="0" borderId="0" xfId="0" applyFont="1"/>
    <xf numFmtId="0" fontId="1" fillId="3" borderId="1" xfId="0" applyFont="1" applyFill="1" applyBorder="1"/>
    <xf numFmtId="0" fontId="1" fillId="4" borderId="1" xfId="0" applyFont="1" applyFill="1" applyBorder="1"/>
    <xf numFmtId="0" fontId="1" fillId="4" borderId="2" xfId="0" applyFont="1" applyFill="1" applyBorder="1"/>
    <xf numFmtId="0" fontId="1" fillId="0" borderId="2" xfId="0" applyFont="1" applyBorder="1"/>
    <xf numFmtId="0" fontId="1" fillId="0" borderId="1" xfId="0" applyFont="1" applyBorder="1"/>
    <xf numFmtId="0" fontId="0" fillId="0" borderId="1" xfId="0" applyFont="1" applyBorder="1"/>
    <xf numFmtId="0" fontId="0" fillId="3" borderId="1" xfId="0" applyFill="1" applyBorder="1"/>
    <xf numFmtId="14" fontId="0" fillId="3" borderId="1" xfId="0" applyNumberFormat="1" applyFill="1" applyBorder="1"/>
    <xf numFmtId="0" fontId="1" fillId="5" borderId="1" xfId="0" applyFont="1" applyFill="1" applyBorder="1"/>
    <xf numFmtId="0" fontId="2" fillId="0" borderId="1" xfId="0" applyFont="1" applyBorder="1"/>
    <xf numFmtId="0" fontId="2" fillId="0" borderId="0" xfId="0" applyFont="1"/>
    <xf numFmtId="14" fontId="2" fillId="0" borderId="1" xfId="0" applyNumberFormat="1" applyFont="1" applyBorder="1"/>
    <xf numFmtId="0" fontId="2" fillId="0" borderId="0" xfId="0" applyFont="1" applyAlignment="1">
      <alignment horizontal="center" wrapText="1"/>
    </xf>
    <xf numFmtId="0" fontId="2" fillId="0" borderId="0" xfId="0" applyFont="1" applyAlignment="1">
      <alignment horizontal="center"/>
    </xf>
  </cellXfs>
  <cellStyles count="1">
    <cellStyle name="Normal" xfId="0" builtinId="0"/>
  </cellStyles>
  <dxfs count="11">
    <dxf>
      <font>
        <b/>
        <i val="0"/>
        <color rgb="FFFF0000"/>
      </font>
      <fill>
        <patternFill>
          <bgColor rgb="FFFFFF00"/>
        </patternFill>
      </fill>
    </dxf>
    <dxf>
      <font>
        <color rgb="FFFF0000"/>
      </font>
      <fill>
        <patternFill>
          <bgColor rgb="FFFFFF00"/>
        </patternFill>
      </fill>
    </dxf>
    <dxf>
      <font>
        <b/>
        <i/>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b/>
        <i val="0"/>
        <color rgb="FFFFFF00"/>
      </font>
      <fill>
        <patternFill>
          <bgColor rgb="FFFF00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3"/>
  <sheetViews>
    <sheetView topLeftCell="V46" zoomScale="59" zoomScaleNormal="59" workbookViewId="0">
      <selection activeCell="W58" sqref="W58"/>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8.21875" bestFit="1" customWidth="1"/>
    <col min="12" max="12" width="9.44140625" bestFit="1" customWidth="1"/>
    <col min="13" max="13" width="9.109375" bestFit="1" customWidth="1"/>
    <col min="14" max="14" width="10.21875" bestFit="1" customWidth="1"/>
    <col min="15" max="15" width="9.77734375" bestFit="1" customWidth="1"/>
    <col min="16" max="16" width="13.21875" bestFit="1" customWidth="1"/>
    <col min="17" max="17" width="17" bestFit="1" customWidth="1"/>
    <col min="18" max="18" width="13.21875" bestFit="1" customWidth="1"/>
    <col min="20" max="20" width="13.109375" bestFit="1" customWidth="1"/>
    <col min="21" max="21" width="49.33203125" bestFit="1" customWidth="1"/>
    <col min="22" max="22" width="23.88671875" bestFit="1" customWidth="1"/>
    <col min="23" max="23" width="13.44140625" bestFit="1" customWidth="1"/>
    <col min="24" max="24" width="14.21875" bestFit="1"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69</v>
      </c>
      <c r="P1" s="3" t="s">
        <v>70</v>
      </c>
      <c r="Q1" s="3" t="s">
        <v>71</v>
      </c>
      <c r="R1" s="3" t="s">
        <v>72</v>
      </c>
    </row>
    <row r="2" spans="1:24" x14ac:dyDescent="0.3">
      <c r="A2" s="1">
        <v>10001</v>
      </c>
      <c r="B2" s="1">
        <v>1102</v>
      </c>
      <c r="C2" s="2">
        <v>45197</v>
      </c>
      <c r="D2" s="2">
        <v>45203</v>
      </c>
      <c r="E2" s="1" t="s">
        <v>14</v>
      </c>
      <c r="F2" s="1" t="s">
        <v>15</v>
      </c>
      <c r="G2" s="1" t="s">
        <v>16</v>
      </c>
      <c r="H2" s="1" t="s">
        <v>17</v>
      </c>
      <c r="I2" s="1" t="s">
        <v>18</v>
      </c>
      <c r="J2" s="1" t="s">
        <v>19</v>
      </c>
      <c r="K2" s="1" t="s">
        <v>20</v>
      </c>
      <c r="L2" s="1">
        <v>7</v>
      </c>
      <c r="M2" s="1">
        <v>2843.87</v>
      </c>
      <c r="N2" s="1">
        <v>0</v>
      </c>
      <c r="O2" s="1">
        <f>L2*M2</f>
        <v>19907.09</v>
      </c>
      <c r="P2" s="1" t="str">
        <f>IF(O2&gt;=15000,"High_Price","Low_Price")</f>
        <v>High_Price</v>
      </c>
      <c r="Q2" s="1" t="str" cm="1">
        <f t="array" ref="Q2">_xlfn.IFS(N2&gt;=10,"High",N2&gt;=5,"Medium",N2&lt;5,"Low")</f>
        <v>Low</v>
      </c>
      <c r="R2" s="1" t="str">
        <f>IF(L2&gt;8,"High",IF(L2&gt;4,"Medium","Low"))</f>
        <v>Medium</v>
      </c>
    </row>
    <row r="3" spans="1:24" x14ac:dyDescent="0.3">
      <c r="A3" s="1">
        <v>10002</v>
      </c>
      <c r="B3" s="1">
        <v>1435</v>
      </c>
      <c r="C3" s="2">
        <v>45199</v>
      </c>
      <c r="D3" s="2">
        <v>45203</v>
      </c>
      <c r="E3" s="1" t="s">
        <v>21</v>
      </c>
      <c r="F3" s="1" t="s">
        <v>22</v>
      </c>
      <c r="G3" s="1" t="s">
        <v>23</v>
      </c>
      <c r="H3" s="1" t="s">
        <v>24</v>
      </c>
      <c r="I3" s="1" t="s">
        <v>25</v>
      </c>
      <c r="J3" s="1" t="s">
        <v>26</v>
      </c>
      <c r="K3" s="1" t="s">
        <v>27</v>
      </c>
      <c r="L3" s="1">
        <v>9</v>
      </c>
      <c r="M3" s="1">
        <v>2525.23</v>
      </c>
      <c r="N3" s="1">
        <v>5</v>
      </c>
      <c r="O3" s="1">
        <f t="shared" ref="O3:O66" si="0">L3*M3</f>
        <v>22727.07</v>
      </c>
      <c r="P3" s="1" t="str">
        <f t="shared" ref="P3:P66" si="1">IF(O3&gt;=15000,"High_Price","Low_Price")</f>
        <v>High_Price</v>
      </c>
      <c r="Q3" s="1" t="str" cm="1">
        <f t="array" ref="Q3">_xlfn.IFS(N3&gt;=10,"High",N3&gt;=5,"Medium",N3&lt;5,"Low")</f>
        <v>Medium</v>
      </c>
      <c r="R3" s="1" t="str">
        <f t="shared" ref="R3:R66" si="2">IF(L3&gt;8,"High",IF(L3&gt;4,"Medium","Low"))</f>
        <v>High</v>
      </c>
    </row>
    <row r="4" spans="1:24" x14ac:dyDescent="0.3">
      <c r="A4" s="1">
        <v>10003</v>
      </c>
      <c r="B4" s="1">
        <v>1860</v>
      </c>
      <c r="C4" s="2">
        <v>45109</v>
      </c>
      <c r="D4" s="2">
        <v>45114</v>
      </c>
      <c r="E4" s="1" t="s">
        <v>14</v>
      </c>
      <c r="F4" s="1" t="s">
        <v>28</v>
      </c>
      <c r="G4" s="1" t="s">
        <v>29</v>
      </c>
      <c r="H4" s="1" t="s">
        <v>24</v>
      </c>
      <c r="I4" s="1" t="s">
        <v>30</v>
      </c>
      <c r="J4" s="1" t="s">
        <v>31</v>
      </c>
      <c r="K4" s="1" t="s">
        <v>32</v>
      </c>
      <c r="L4" s="1">
        <v>6</v>
      </c>
      <c r="M4" s="1">
        <v>3474.34</v>
      </c>
      <c r="N4" s="1">
        <v>15</v>
      </c>
      <c r="O4" s="1">
        <f t="shared" si="0"/>
        <v>20846.04</v>
      </c>
      <c r="P4" s="1" t="str">
        <f t="shared" si="1"/>
        <v>High_Price</v>
      </c>
      <c r="Q4" s="1" t="str" cm="1">
        <f t="array" ref="Q4">_xlfn.IFS(N4&gt;=10,"High",N4&gt;=5,"Medium",N4&lt;5,"Low")</f>
        <v>High</v>
      </c>
      <c r="R4" s="1" t="str">
        <f t="shared" si="2"/>
        <v>Medium</v>
      </c>
    </row>
    <row r="5" spans="1:24" x14ac:dyDescent="0.3">
      <c r="A5" s="1">
        <v>10004</v>
      </c>
      <c r="B5" s="1">
        <v>1270</v>
      </c>
      <c r="C5" s="2">
        <v>45079</v>
      </c>
      <c r="D5" s="2">
        <v>45087</v>
      </c>
      <c r="E5" s="1" t="s">
        <v>33</v>
      </c>
      <c r="F5" s="1" t="s">
        <v>28</v>
      </c>
      <c r="G5" s="1" t="s">
        <v>23</v>
      </c>
      <c r="H5" s="1" t="s">
        <v>34</v>
      </c>
      <c r="I5" s="1" t="s">
        <v>25</v>
      </c>
      <c r="J5" s="1" t="s">
        <v>35</v>
      </c>
      <c r="K5" s="1" t="s">
        <v>20</v>
      </c>
      <c r="L5" s="1">
        <v>1</v>
      </c>
      <c r="M5" s="1">
        <v>1008.79</v>
      </c>
      <c r="N5" s="1">
        <v>15</v>
      </c>
      <c r="O5" s="1">
        <f t="shared" si="0"/>
        <v>1008.79</v>
      </c>
      <c r="P5" s="1" t="str">
        <f t="shared" si="1"/>
        <v>Low_Price</v>
      </c>
      <c r="Q5" s="1" t="str" cm="1">
        <f t="array" ref="Q5">_xlfn.IFS(N5&gt;=10,"High",N5&gt;=5,"Medium",N5&lt;5,"Low")</f>
        <v>High</v>
      </c>
      <c r="R5" s="1" t="str">
        <f t="shared" si="2"/>
        <v>Low</v>
      </c>
    </row>
    <row r="6" spans="1:24" x14ac:dyDescent="0.3">
      <c r="A6" s="1">
        <v>10005</v>
      </c>
      <c r="B6" s="1">
        <v>1106</v>
      </c>
      <c r="C6" s="2">
        <v>45241</v>
      </c>
      <c r="D6" s="2">
        <v>45244</v>
      </c>
      <c r="E6" s="1" t="s">
        <v>36</v>
      </c>
      <c r="F6" s="1" t="s">
        <v>37</v>
      </c>
      <c r="G6" s="1" t="s">
        <v>29</v>
      </c>
      <c r="H6" s="1" t="s">
        <v>17</v>
      </c>
      <c r="I6" s="1" t="s">
        <v>30</v>
      </c>
      <c r="J6" s="1" t="s">
        <v>38</v>
      </c>
      <c r="K6" s="1" t="s">
        <v>20</v>
      </c>
      <c r="L6" s="1">
        <v>7</v>
      </c>
      <c r="M6" s="1">
        <v>3511.47</v>
      </c>
      <c r="N6" s="1">
        <v>20</v>
      </c>
      <c r="O6" s="1">
        <f t="shared" si="0"/>
        <v>24580.289999999997</v>
      </c>
      <c r="P6" s="1" t="str">
        <f t="shared" si="1"/>
        <v>High_Price</v>
      </c>
      <c r="Q6" s="1" t="str" cm="1">
        <f t="array" ref="Q6">_xlfn.IFS(N6&gt;=10,"High",N6&gt;=5,"Medium",N6&lt;5,"Low")</f>
        <v>High</v>
      </c>
      <c r="R6" s="1" t="str">
        <f t="shared" si="2"/>
        <v>Medium</v>
      </c>
      <c r="T6" s="4"/>
      <c r="W6" s="3" t="s">
        <v>73</v>
      </c>
      <c r="X6" s="1">
        <f>SUM(L2:L373)</f>
        <v>1837</v>
      </c>
    </row>
    <row r="7" spans="1:24" x14ac:dyDescent="0.3">
      <c r="A7" s="1">
        <v>10006</v>
      </c>
      <c r="B7" s="1">
        <v>1071</v>
      </c>
      <c r="C7" s="2">
        <v>45260</v>
      </c>
      <c r="D7" s="2">
        <v>45263</v>
      </c>
      <c r="E7" s="1" t="s">
        <v>39</v>
      </c>
      <c r="F7" s="1" t="s">
        <v>40</v>
      </c>
      <c r="G7" s="1" t="s">
        <v>23</v>
      </c>
      <c r="H7" s="1" t="s">
        <v>41</v>
      </c>
      <c r="I7" s="1" t="s">
        <v>18</v>
      </c>
      <c r="J7" s="1" t="s">
        <v>42</v>
      </c>
      <c r="K7" s="1" t="s">
        <v>32</v>
      </c>
      <c r="L7" s="1">
        <v>3</v>
      </c>
      <c r="M7" s="1">
        <v>3189.55</v>
      </c>
      <c r="N7" s="1">
        <v>10</v>
      </c>
      <c r="O7" s="1">
        <f t="shared" si="0"/>
        <v>9568.6500000000015</v>
      </c>
      <c r="P7" s="1" t="str">
        <f t="shared" si="1"/>
        <v>Low_Price</v>
      </c>
      <c r="Q7" s="1" t="str" cm="1">
        <f t="array" ref="Q7">_xlfn.IFS(N7&gt;=10,"High",N7&gt;=5,"Medium",N7&lt;5,"Low")</f>
        <v>High</v>
      </c>
      <c r="R7" s="1" t="str">
        <f t="shared" si="2"/>
        <v>Low</v>
      </c>
      <c r="T7" s="4"/>
      <c r="U7" s="4"/>
      <c r="V7" s="4"/>
      <c r="W7" s="5"/>
    </row>
    <row r="8" spans="1:24" x14ac:dyDescent="0.3">
      <c r="A8" s="1">
        <v>10007</v>
      </c>
      <c r="B8" s="1">
        <v>1700</v>
      </c>
      <c r="C8" s="2">
        <v>45050</v>
      </c>
      <c r="D8" s="2">
        <v>45054</v>
      </c>
      <c r="E8" s="1" t="s">
        <v>33</v>
      </c>
      <c r="F8" s="1" t="s">
        <v>40</v>
      </c>
      <c r="G8" s="1" t="s">
        <v>16</v>
      </c>
      <c r="H8" s="1" t="s">
        <v>43</v>
      </c>
      <c r="I8" s="1" t="s">
        <v>30</v>
      </c>
      <c r="J8" s="1" t="s">
        <v>31</v>
      </c>
      <c r="K8" s="1" t="s">
        <v>44</v>
      </c>
      <c r="L8" s="1">
        <v>5</v>
      </c>
      <c r="M8" s="1">
        <v>3030.42</v>
      </c>
      <c r="N8" s="1">
        <v>10</v>
      </c>
      <c r="O8" s="1">
        <f t="shared" si="0"/>
        <v>15152.1</v>
      </c>
      <c r="P8" s="1" t="str">
        <f t="shared" si="1"/>
        <v>High_Price</v>
      </c>
      <c r="Q8" s="1" t="str" cm="1">
        <f t="array" ref="Q8">_xlfn.IFS(N8&gt;=10,"High",N8&gt;=5,"Medium",N8&lt;5,"Low")</f>
        <v>High</v>
      </c>
      <c r="R8" s="1" t="str">
        <f t="shared" si="2"/>
        <v>Medium</v>
      </c>
      <c r="V8" s="3" t="s">
        <v>20</v>
      </c>
      <c r="W8" s="3" t="s">
        <v>73</v>
      </c>
      <c r="X8" s="1">
        <f>SUMIF(K2:K373,V8,L2:L373)</f>
        <v>369</v>
      </c>
    </row>
    <row r="9" spans="1:24"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O9" s="1">
        <f t="shared" si="0"/>
        <v>9243.32</v>
      </c>
      <c r="P9" s="1" t="str">
        <f t="shared" si="1"/>
        <v>Low_Price</v>
      </c>
      <c r="Q9" s="1" t="str" cm="1">
        <f t="array" ref="Q9">_xlfn.IFS(N9&gt;=10,"High",N9&gt;=5,"Medium",N9&lt;5,"Low")</f>
        <v>High</v>
      </c>
      <c r="R9" s="1" t="str">
        <f t="shared" si="2"/>
        <v>Low</v>
      </c>
    </row>
    <row r="10" spans="1:24"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c r="O10" s="1">
        <f t="shared" si="0"/>
        <v>5490.2</v>
      </c>
      <c r="P10" s="1" t="str">
        <f t="shared" si="1"/>
        <v>Low_Price</v>
      </c>
      <c r="Q10" s="1" t="str" cm="1">
        <f t="array" ref="Q10">_xlfn.IFS(N10&gt;=10,"High",N10&gt;=5,"Medium",N10&lt;5,"Low")</f>
        <v>High</v>
      </c>
      <c r="R10" s="1" t="str">
        <f t="shared" si="2"/>
        <v>Medium</v>
      </c>
      <c r="U10" s="3" t="s">
        <v>8</v>
      </c>
      <c r="V10" s="3" t="s">
        <v>99</v>
      </c>
      <c r="W10" s="3" t="s">
        <v>73</v>
      </c>
    </row>
    <row r="11" spans="1:24"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O11" s="1">
        <f t="shared" si="0"/>
        <v>8903.3000000000011</v>
      </c>
      <c r="P11" s="1" t="str">
        <f t="shared" si="1"/>
        <v>Low_Price</v>
      </c>
      <c r="Q11" s="1" t="str" cm="1">
        <f t="array" ref="Q11">_xlfn.IFS(N11&gt;=10,"High",N11&gt;=5,"Medium",N11&lt;5,"Low")</f>
        <v>High</v>
      </c>
      <c r="R11" s="1" t="str">
        <f t="shared" si="2"/>
        <v>Medium</v>
      </c>
      <c r="U11" s="1" t="s">
        <v>18</v>
      </c>
      <c r="V11" s="1" t="s">
        <v>46</v>
      </c>
      <c r="W11" s="1">
        <f>SUMIFS(L2:L373,I2:I373,U11,K2:K373,V11)</f>
        <v>35</v>
      </c>
    </row>
    <row r="12" spans="1:24"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c r="O12" s="1">
        <f t="shared" si="0"/>
        <v>19231.5</v>
      </c>
      <c r="P12" s="1" t="str">
        <f t="shared" si="1"/>
        <v>High_Price</v>
      </c>
      <c r="Q12" s="1" t="str" cm="1">
        <f t="array" ref="Q12">_xlfn.IFS(N12&gt;=10,"High",N12&gt;=5,"Medium",N12&lt;5,"Low")</f>
        <v>Low</v>
      </c>
      <c r="R12" s="1" t="str">
        <f t="shared" si="2"/>
        <v>Medium</v>
      </c>
    </row>
    <row r="13" spans="1:24"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O13" s="1">
        <f t="shared" si="0"/>
        <v>1634.1000000000001</v>
      </c>
      <c r="P13" s="1" t="str">
        <f t="shared" si="1"/>
        <v>Low_Price</v>
      </c>
      <c r="Q13" s="1" t="str" cm="1">
        <f t="array" ref="Q13">_xlfn.IFS(N13&gt;=10,"High",N13&gt;=5,"Medium",N13&lt;5,"Low")</f>
        <v>Medium</v>
      </c>
      <c r="R13" s="1" t="str">
        <f t="shared" si="2"/>
        <v>Medium</v>
      </c>
      <c r="U13" s="3" t="s">
        <v>100</v>
      </c>
      <c r="V13" s="3" t="s">
        <v>79</v>
      </c>
      <c r="W13" s="6">
        <f>AVERAGE(M2:M373)</f>
        <v>2001.1641935483883</v>
      </c>
    </row>
    <row r="14" spans="1:24"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c r="O14" s="1">
        <f t="shared" si="0"/>
        <v>25287.200000000001</v>
      </c>
      <c r="P14" s="1" t="str">
        <f t="shared" si="1"/>
        <v>High_Price</v>
      </c>
      <c r="Q14" s="1" t="str" cm="1">
        <f t="array" ref="Q14">_xlfn.IFS(N14&gt;=10,"High",N14&gt;=5,"Medium",N14&lt;5,"Low")</f>
        <v>Low</v>
      </c>
      <c r="R14" s="1" t="str">
        <f t="shared" si="2"/>
        <v>Medium</v>
      </c>
      <c r="U14" s="7" t="s">
        <v>44</v>
      </c>
      <c r="V14" s="8" t="s">
        <v>79</v>
      </c>
      <c r="W14" s="9">
        <f>AVERAGEIF(K2:K373,U14,M2:M373)</f>
        <v>1859.1251898734179</v>
      </c>
    </row>
    <row r="15" spans="1:24"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c r="O15" s="1">
        <f t="shared" si="0"/>
        <v>8594.16</v>
      </c>
      <c r="P15" s="1" t="str">
        <f t="shared" si="1"/>
        <v>Low_Price</v>
      </c>
      <c r="Q15" s="1" t="str" cm="1">
        <f t="array" ref="Q15">_xlfn.IFS(N15&gt;=10,"High",N15&gt;=5,"Medium",N15&lt;5,"Low")</f>
        <v>High</v>
      </c>
      <c r="R15" s="1" t="str">
        <f t="shared" si="2"/>
        <v>Medium</v>
      </c>
      <c r="V15" s="7" t="s">
        <v>18</v>
      </c>
      <c r="W15" s="7" t="s">
        <v>20</v>
      </c>
      <c r="X15" s="10">
        <f>AVERAGEIFS(O2:O373,I2:I373,V15,K2:K373,W15)</f>
        <v>17983.055</v>
      </c>
    </row>
    <row r="16" spans="1:24"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c r="O16" s="1">
        <f t="shared" si="0"/>
        <v>6350.31</v>
      </c>
      <c r="P16" s="1" t="str">
        <f t="shared" si="1"/>
        <v>Low_Price</v>
      </c>
      <c r="Q16" s="1" t="str" cm="1">
        <f t="array" ref="Q16">_xlfn.IFS(N16&gt;=10,"High",N16&gt;=5,"Medium",N16&lt;5,"Low")</f>
        <v>High</v>
      </c>
      <c r="R16" s="1" t="str">
        <f t="shared" si="2"/>
        <v>High</v>
      </c>
    </row>
    <row r="17" spans="1:2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c r="O17" s="1">
        <f t="shared" si="0"/>
        <v>4763.6000000000004</v>
      </c>
      <c r="P17" s="1" t="str">
        <f t="shared" si="1"/>
        <v>Low_Price</v>
      </c>
      <c r="Q17" s="1" t="str" cm="1">
        <f t="array" ref="Q17">_xlfn.IFS(N17&gt;=10,"High",N17&gt;=5,"Medium",N17&lt;5,"Low")</f>
        <v>Medium</v>
      </c>
      <c r="R17" s="1" t="str">
        <f t="shared" si="2"/>
        <v>Medium</v>
      </c>
      <c r="U17" s="1" t="s">
        <v>106</v>
      </c>
    </row>
    <row r="18" spans="1:2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c r="O18" s="1">
        <f t="shared" si="0"/>
        <v>509.82</v>
      </c>
      <c r="P18" s="1" t="str">
        <f t="shared" si="1"/>
        <v>Low_Price</v>
      </c>
      <c r="Q18" s="1" t="str" cm="1">
        <f t="array" ref="Q18">_xlfn.IFS(N18&gt;=10,"High",N18&gt;=5,"Medium",N18&lt;5,"Low")</f>
        <v>High</v>
      </c>
      <c r="R18" s="1" t="str">
        <f t="shared" si="2"/>
        <v>Low</v>
      </c>
      <c r="U18" s="1">
        <v>21</v>
      </c>
    </row>
    <row r="19" spans="1:2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c r="O19" s="1">
        <f t="shared" si="0"/>
        <v>2165.81</v>
      </c>
      <c r="P19" s="1" t="str">
        <f t="shared" si="1"/>
        <v>Low_Price</v>
      </c>
      <c r="Q19" s="1" t="str" cm="1">
        <f t="array" ref="Q19">_xlfn.IFS(N19&gt;=10,"High",N19&gt;=5,"Medium",N19&lt;5,"Low")</f>
        <v>High</v>
      </c>
      <c r="R19" s="1" t="str">
        <f t="shared" si="2"/>
        <v>Low</v>
      </c>
      <c r="U19" s="1" t="b">
        <v>1</v>
      </c>
    </row>
    <row r="20" spans="1:2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c r="O20" s="1">
        <f t="shared" si="0"/>
        <v>1980.6</v>
      </c>
      <c r="P20" s="1" t="str">
        <f t="shared" si="1"/>
        <v>Low_Price</v>
      </c>
      <c r="Q20" s="1" t="str" cm="1">
        <f t="array" ref="Q20">_xlfn.IFS(N20&gt;=10,"High",N20&gt;=5,"Medium",N20&lt;5,"Low")</f>
        <v>High</v>
      </c>
      <c r="R20" s="1" t="str">
        <f t="shared" si="2"/>
        <v>Low</v>
      </c>
      <c r="U20" s="1">
        <v>30</v>
      </c>
    </row>
    <row r="21" spans="1:2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c r="O21" s="1">
        <f t="shared" si="0"/>
        <v>7918.62</v>
      </c>
      <c r="P21" s="1" t="str">
        <f t="shared" si="1"/>
        <v>Low_Price</v>
      </c>
      <c r="Q21" s="1" t="str" cm="1">
        <f t="array" ref="Q21">_xlfn.IFS(N21&gt;=10,"High",N21&gt;=5,"Medium",N21&lt;5,"Low")</f>
        <v>Medium</v>
      </c>
      <c r="R21" s="1" t="str">
        <f t="shared" si="2"/>
        <v>Low</v>
      </c>
      <c r="U21" s="1"/>
      <c r="V21" t="s">
        <v>101</v>
      </c>
    </row>
    <row r="22" spans="1:2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c r="O22" s="1">
        <f t="shared" si="0"/>
        <v>7084.74</v>
      </c>
      <c r="P22" s="1" t="str">
        <f t="shared" si="1"/>
        <v>Low_Price</v>
      </c>
      <c r="Q22" s="1" t="str" cm="1">
        <f t="array" ref="Q22">_xlfn.IFS(N22&gt;=10,"High",N22&gt;=5,"Medium",N22&lt;5,"Low")</f>
        <v>Medium</v>
      </c>
      <c r="R22" s="1" t="str">
        <f t="shared" si="2"/>
        <v>Low</v>
      </c>
      <c r="U22" s="1">
        <f>AVERAGE(U18:U20)</f>
        <v>25.5</v>
      </c>
    </row>
    <row r="23" spans="1:2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c r="O23" s="1">
        <f t="shared" si="0"/>
        <v>4766.0200000000004</v>
      </c>
      <c r="P23" s="1" t="str">
        <f t="shared" si="1"/>
        <v>Low_Price</v>
      </c>
      <c r="Q23" s="1" t="str" cm="1">
        <f t="array" ref="Q23">_xlfn.IFS(N23&gt;=10,"High",N23&gt;=5,"Medium",N23&lt;5,"Low")</f>
        <v>High</v>
      </c>
      <c r="R23" s="1" t="str">
        <f t="shared" si="2"/>
        <v>Medium</v>
      </c>
    </row>
    <row r="24" spans="1:2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c r="O24" s="1">
        <f t="shared" si="0"/>
        <v>5603.48</v>
      </c>
      <c r="P24" s="1" t="str">
        <f t="shared" si="1"/>
        <v>Low_Price</v>
      </c>
      <c r="Q24" s="1" t="str" cm="1">
        <f t="array" ref="Q24">_xlfn.IFS(N24&gt;=10,"High",N24&gt;=5,"Medium",N24&lt;5,"Low")</f>
        <v>High</v>
      </c>
      <c r="R24" s="1" t="str">
        <f t="shared" si="2"/>
        <v>Low</v>
      </c>
    </row>
    <row r="25" spans="1:2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c r="O25" s="1">
        <f t="shared" si="0"/>
        <v>3606.31</v>
      </c>
      <c r="P25" s="1" t="str">
        <f t="shared" si="1"/>
        <v>Low_Price</v>
      </c>
      <c r="Q25" s="1" t="str" cm="1">
        <f t="array" ref="Q25">_xlfn.IFS(N25&gt;=10,"High",N25&gt;=5,"Medium",N25&lt;5,"Low")</f>
        <v>Low</v>
      </c>
      <c r="R25" s="1" t="str">
        <f t="shared" si="2"/>
        <v>Low</v>
      </c>
    </row>
    <row r="26" spans="1:2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c r="O26" s="1">
        <f t="shared" si="0"/>
        <v>18113.64</v>
      </c>
      <c r="P26" s="1" t="str">
        <f t="shared" si="1"/>
        <v>High_Price</v>
      </c>
      <c r="Q26" s="1" t="str" cm="1">
        <f t="array" ref="Q26">_xlfn.IFS(N26&gt;=10,"High",N26&gt;=5,"Medium",N26&lt;5,"Low")</f>
        <v>Medium</v>
      </c>
      <c r="R26" s="1" t="str">
        <f t="shared" si="2"/>
        <v>Medium</v>
      </c>
      <c r="U26" s="7" t="s">
        <v>9</v>
      </c>
      <c r="V26" s="7" t="s">
        <v>10</v>
      </c>
      <c r="W26" s="7" t="s">
        <v>11</v>
      </c>
      <c r="X26" s="7" t="s">
        <v>12</v>
      </c>
    </row>
    <row r="27" spans="1:2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c r="O27" s="1">
        <f t="shared" si="0"/>
        <v>3998.61</v>
      </c>
      <c r="P27" s="1" t="str">
        <f t="shared" si="1"/>
        <v>Low_Price</v>
      </c>
      <c r="Q27" s="1" t="str" cm="1">
        <f t="array" ref="Q27">_xlfn.IFS(N27&gt;=10,"High",N27&gt;=5,"Medium",N27&lt;5,"Low")</f>
        <v>Medium</v>
      </c>
      <c r="R27" s="1" t="str">
        <f t="shared" si="2"/>
        <v>High</v>
      </c>
      <c r="U27" s="1" t="s">
        <v>19</v>
      </c>
      <c r="V27" s="1" t="s">
        <v>20</v>
      </c>
      <c r="W27" s="1">
        <v>7</v>
      </c>
      <c r="X27" s="1">
        <v>2843.87</v>
      </c>
    </row>
    <row r="28" spans="1:2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c r="O28" s="1">
        <f t="shared" si="0"/>
        <v>10797.45</v>
      </c>
      <c r="P28" s="1" t="str">
        <f t="shared" si="1"/>
        <v>Low_Price</v>
      </c>
      <c r="Q28" s="1" t="str" cm="1">
        <f t="array" ref="Q28">_xlfn.IFS(N28&gt;=10,"High",N28&gt;=5,"Medium",N28&lt;5,"Low")</f>
        <v>Medium</v>
      </c>
      <c r="R28" s="1" t="str">
        <f t="shared" si="2"/>
        <v>Low</v>
      </c>
      <c r="U28" s="1" t="s">
        <v>26</v>
      </c>
      <c r="V28" s="1" t="s">
        <v>27</v>
      </c>
      <c r="W28" s="1">
        <v>9</v>
      </c>
      <c r="X28" s="1">
        <v>2525.23</v>
      </c>
    </row>
    <row r="29" spans="1:2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c r="O29" s="1">
        <f t="shared" si="0"/>
        <v>19239.78</v>
      </c>
      <c r="P29" s="1" t="str">
        <f t="shared" si="1"/>
        <v>High_Price</v>
      </c>
      <c r="Q29" s="1" t="str" cm="1">
        <f t="array" ref="Q29">_xlfn.IFS(N29&gt;=10,"High",N29&gt;=5,"Medium",N29&lt;5,"Low")</f>
        <v>High</v>
      </c>
      <c r="R29" s="1" t="str">
        <f t="shared" si="2"/>
        <v>Medium</v>
      </c>
      <c r="U29" s="1" t="s">
        <v>31</v>
      </c>
      <c r="V29" s="1" t="s">
        <v>32</v>
      </c>
      <c r="W29" s="1">
        <v>6</v>
      </c>
      <c r="X29" s="1">
        <v>3474.34</v>
      </c>
    </row>
    <row r="30" spans="1:2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c r="O30" s="1">
        <f t="shared" si="0"/>
        <v>2278.41</v>
      </c>
      <c r="P30" s="1" t="str">
        <f t="shared" si="1"/>
        <v>Low_Price</v>
      </c>
      <c r="Q30" s="1" t="str" cm="1">
        <f t="array" ref="Q30">_xlfn.IFS(N30&gt;=10,"High",N30&gt;=5,"Medium",N30&lt;5,"Low")</f>
        <v>High</v>
      </c>
      <c r="R30" s="1" t="str">
        <f t="shared" si="2"/>
        <v>Low</v>
      </c>
      <c r="U30" s="1" t="s">
        <v>35</v>
      </c>
      <c r="V30" s="1" t="s">
        <v>20</v>
      </c>
      <c r="W30" s="1"/>
      <c r="X30" s="1">
        <v>1008.79</v>
      </c>
    </row>
    <row r="31" spans="1:2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c r="O31" s="1">
        <f t="shared" si="0"/>
        <v>349.38</v>
      </c>
      <c r="P31" s="1" t="str">
        <f t="shared" si="1"/>
        <v>Low_Price</v>
      </c>
      <c r="Q31" s="1" t="str" cm="1">
        <f t="array" ref="Q31">_xlfn.IFS(N31&gt;=10,"High",N31&gt;=5,"Medium",N31&lt;5,"Low")</f>
        <v>High</v>
      </c>
      <c r="R31" s="1" t="str">
        <f t="shared" si="2"/>
        <v>Low</v>
      </c>
      <c r="U31" s="1" t="s">
        <v>38</v>
      </c>
      <c r="V31" s="1" t="s">
        <v>20</v>
      </c>
      <c r="W31" s="1">
        <v>7</v>
      </c>
      <c r="X31" s="1">
        <v>3511.47</v>
      </c>
    </row>
    <row r="32" spans="1:2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c r="O32" s="1">
        <f t="shared" si="0"/>
        <v>11478.25</v>
      </c>
      <c r="P32" s="1" t="str">
        <f t="shared" si="1"/>
        <v>Low_Price</v>
      </c>
      <c r="Q32" s="1" t="str" cm="1">
        <f t="array" ref="Q32">_xlfn.IFS(N32&gt;=10,"High",N32&gt;=5,"Medium",N32&lt;5,"Low")</f>
        <v>High</v>
      </c>
      <c r="R32" s="1" t="str">
        <f t="shared" si="2"/>
        <v>Medium</v>
      </c>
      <c r="U32" s="1" t="s">
        <v>42</v>
      </c>
      <c r="V32" s="1" t="s">
        <v>32</v>
      </c>
      <c r="W32" s="1">
        <v>3</v>
      </c>
      <c r="X32" s="1">
        <v>3189.55</v>
      </c>
    </row>
    <row r="33" spans="1:2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c r="O33" s="1">
        <f t="shared" si="0"/>
        <v>3002.96</v>
      </c>
      <c r="P33" s="1" t="str">
        <f t="shared" si="1"/>
        <v>Low_Price</v>
      </c>
      <c r="Q33" s="1" t="str" cm="1">
        <f t="array" ref="Q33">_xlfn.IFS(N33&gt;=10,"High",N33&gt;=5,"Medium",N33&lt;5,"Low")</f>
        <v>Medium</v>
      </c>
      <c r="R33" s="1" t="str">
        <f t="shared" si="2"/>
        <v>Low</v>
      </c>
      <c r="U33" s="1" t="s">
        <v>31</v>
      </c>
      <c r="V33" s="1" t="s">
        <v>44</v>
      </c>
      <c r="W33" s="1"/>
      <c r="X33" s="1">
        <v>3030.42</v>
      </c>
    </row>
    <row r="34" spans="1:2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c r="O34" s="1">
        <f t="shared" si="0"/>
        <v>23542.26</v>
      </c>
      <c r="P34" s="1" t="str">
        <f t="shared" si="1"/>
        <v>High_Price</v>
      </c>
      <c r="Q34" s="1" t="str" cm="1">
        <f t="array" ref="Q34">_xlfn.IFS(N34&gt;=10,"High",N34&gt;=5,"Medium",N34&lt;5,"Low")</f>
        <v>High</v>
      </c>
      <c r="R34" s="1" t="str">
        <f t="shared" si="2"/>
        <v>Medium</v>
      </c>
      <c r="U34" s="1" t="s">
        <v>31</v>
      </c>
      <c r="V34" s="1" t="s">
        <v>46</v>
      </c>
      <c r="W34" s="1">
        <v>4</v>
      </c>
      <c r="X34" s="1">
        <v>2310.83</v>
      </c>
    </row>
    <row r="35" spans="1:2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c r="O35" s="1">
        <f t="shared" si="0"/>
        <v>9177.5399999999991</v>
      </c>
      <c r="P35" s="1" t="str">
        <f t="shared" si="1"/>
        <v>Low_Price</v>
      </c>
      <c r="Q35" s="1" t="str" cm="1">
        <f t="array" ref="Q35">_xlfn.IFS(N35&gt;=10,"High",N35&gt;=5,"Medium",N35&lt;5,"Low")</f>
        <v>Low</v>
      </c>
      <c r="R35" s="1" t="str">
        <f t="shared" si="2"/>
        <v>Medium</v>
      </c>
      <c r="U35" s="1" t="s">
        <v>47</v>
      </c>
      <c r="V35" s="1" t="s">
        <v>27</v>
      </c>
      <c r="W35" s="1">
        <v>5</v>
      </c>
      <c r="X35" s="1">
        <v>1098.04</v>
      </c>
    </row>
    <row r="36" spans="1:2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c r="O36" s="1">
        <f t="shared" si="0"/>
        <v>25652.48</v>
      </c>
      <c r="P36" s="1" t="str">
        <f t="shared" si="1"/>
        <v>High_Price</v>
      </c>
      <c r="Q36" s="1" t="str" cm="1">
        <f t="array" ref="Q36">_xlfn.IFS(N36&gt;=10,"High",N36&gt;=5,"Medium",N36&lt;5,"Low")</f>
        <v>Medium</v>
      </c>
      <c r="R36" s="1" t="str">
        <f t="shared" si="2"/>
        <v>Medium</v>
      </c>
      <c r="U36" s="1" t="s">
        <v>49</v>
      </c>
      <c r="V36" s="1" t="s">
        <v>46</v>
      </c>
      <c r="W36" s="1">
        <v>5</v>
      </c>
      <c r="X36" s="1">
        <v>1780.66</v>
      </c>
    </row>
    <row r="37" spans="1:2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c r="O37" s="1">
        <f t="shared" si="0"/>
        <v>11639.5</v>
      </c>
      <c r="P37" s="1" t="str">
        <f t="shared" si="1"/>
        <v>Low_Price</v>
      </c>
      <c r="Q37" s="1" t="str" cm="1">
        <f t="array" ref="Q37">_xlfn.IFS(N37&gt;=10,"High",N37&gt;=5,"Medium",N37&lt;5,"Low")</f>
        <v>Low</v>
      </c>
      <c r="R37" s="1" t="str">
        <f t="shared" si="2"/>
        <v>Medium</v>
      </c>
    </row>
    <row r="38" spans="1:2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c r="O38" s="1">
        <f t="shared" si="0"/>
        <v>3413.16</v>
      </c>
      <c r="P38" s="1" t="str">
        <f t="shared" si="1"/>
        <v>Low_Price</v>
      </c>
      <c r="Q38" s="1" t="str" cm="1">
        <f t="array" ref="Q38">_xlfn.IFS(N38&gt;=10,"High",N38&gt;=5,"Medium",N38&lt;5,"Low")</f>
        <v>Medium</v>
      </c>
      <c r="R38" s="1" t="str">
        <f t="shared" si="2"/>
        <v>Low</v>
      </c>
    </row>
    <row r="39" spans="1:2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c r="O39" s="1">
        <f t="shared" si="0"/>
        <v>4812.22</v>
      </c>
      <c r="P39" s="1" t="str">
        <f t="shared" si="1"/>
        <v>Low_Price</v>
      </c>
      <c r="Q39" s="1" t="str" cm="1">
        <f t="array" ref="Q39">_xlfn.IFS(N39&gt;=10,"High",N39&gt;=5,"Medium",N39&lt;5,"Low")</f>
        <v>High</v>
      </c>
      <c r="R39" s="1" t="str">
        <f t="shared" si="2"/>
        <v>Medium</v>
      </c>
    </row>
    <row r="40" spans="1:2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c r="O40" s="1">
        <f t="shared" si="0"/>
        <v>16585.940000000002</v>
      </c>
      <c r="P40" s="1" t="str">
        <f t="shared" si="1"/>
        <v>High_Price</v>
      </c>
      <c r="Q40" s="1" t="str" cm="1">
        <f t="array" ref="Q40">_xlfn.IFS(N40&gt;=10,"High",N40&gt;=5,"Medium",N40&lt;5,"Low")</f>
        <v>High</v>
      </c>
      <c r="R40" s="1" t="str">
        <f t="shared" si="2"/>
        <v>Medium</v>
      </c>
    </row>
    <row r="41" spans="1:2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c r="O41" s="1">
        <f t="shared" si="0"/>
        <v>18499.5</v>
      </c>
      <c r="P41" s="1" t="str">
        <f t="shared" si="1"/>
        <v>High_Price</v>
      </c>
      <c r="Q41" s="1" t="str" cm="1">
        <f t="array" ref="Q41">_xlfn.IFS(N41&gt;=10,"High",N41&gt;=5,"Medium",N41&lt;5,"Low")</f>
        <v>High</v>
      </c>
      <c r="R41" s="1" t="str">
        <f t="shared" si="2"/>
        <v>Medium</v>
      </c>
    </row>
    <row r="42" spans="1:2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c r="O42" s="1">
        <f t="shared" si="0"/>
        <v>25270.400000000001</v>
      </c>
      <c r="P42" s="1" t="str">
        <f t="shared" si="1"/>
        <v>High_Price</v>
      </c>
      <c r="Q42" s="1" t="str" cm="1">
        <f t="array" ref="Q42">_xlfn.IFS(N42&gt;=10,"High",N42&gt;=5,"Medium",N42&lt;5,"Low")</f>
        <v>Low</v>
      </c>
      <c r="R42" s="1" t="str">
        <f t="shared" si="2"/>
        <v>Medium</v>
      </c>
      <c r="U42" s="10" t="s">
        <v>102</v>
      </c>
      <c r="V42" s="10" t="s">
        <v>103</v>
      </c>
      <c r="W42" s="1">
        <f>COUNTA(U27:U36)</f>
        <v>10</v>
      </c>
    </row>
    <row r="43" spans="1:2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c r="O43" s="1">
        <f t="shared" si="0"/>
        <v>4846.68</v>
      </c>
      <c r="P43" s="1" t="str">
        <f t="shared" si="1"/>
        <v>Low_Price</v>
      </c>
      <c r="Q43" s="1" t="str" cm="1">
        <f t="array" ref="Q43">_xlfn.IFS(N43&gt;=10,"High",N43&gt;=5,"Medium",N43&lt;5,"Low")</f>
        <v>High</v>
      </c>
      <c r="R43" s="1" t="str">
        <f t="shared" si="2"/>
        <v>Low</v>
      </c>
      <c r="V43" s="10" t="s">
        <v>104</v>
      </c>
      <c r="W43" s="1">
        <f>COUNT(W27:W36)</f>
        <v>8</v>
      </c>
    </row>
    <row r="44" spans="1:2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c r="O44" s="1">
        <f t="shared" si="0"/>
        <v>4681.75</v>
      </c>
      <c r="P44" s="1" t="str">
        <f t="shared" si="1"/>
        <v>Low_Price</v>
      </c>
      <c r="Q44" s="1" t="str" cm="1">
        <f t="array" ref="Q44">_xlfn.IFS(N44&gt;=10,"High",N44&gt;=5,"Medium",N44&lt;5,"Low")</f>
        <v>High</v>
      </c>
      <c r="R44" s="1" t="str">
        <f t="shared" si="2"/>
        <v>Medium</v>
      </c>
    </row>
    <row r="45" spans="1:2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c r="O45" s="1">
        <f t="shared" si="0"/>
        <v>858.04</v>
      </c>
      <c r="P45" s="1" t="str">
        <f t="shared" si="1"/>
        <v>Low_Price</v>
      </c>
      <c r="Q45" s="1" t="str" cm="1">
        <f t="array" ref="Q45">_xlfn.IFS(N45&gt;=10,"High",N45&gt;=5,"Medium",N45&lt;5,"Low")</f>
        <v>High</v>
      </c>
      <c r="R45" s="1" t="str">
        <f t="shared" si="2"/>
        <v>Low</v>
      </c>
      <c r="U45" s="10" t="s">
        <v>105</v>
      </c>
      <c r="V45" s="10"/>
      <c r="W45" s="10">
        <f>COUNTBLANK(W27:W36)</f>
        <v>2</v>
      </c>
    </row>
    <row r="46" spans="1:2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c r="O46" s="1">
        <f t="shared" si="0"/>
        <v>2764.92</v>
      </c>
      <c r="P46" s="1" t="str">
        <f t="shared" si="1"/>
        <v>Low_Price</v>
      </c>
      <c r="Q46" s="1" t="str" cm="1">
        <f t="array" ref="Q46">_xlfn.IFS(N46&gt;=10,"High",N46&gt;=5,"Medium",N46&lt;5,"Low")</f>
        <v>Low</v>
      </c>
      <c r="R46" s="1" t="str">
        <f t="shared" si="2"/>
        <v>Low</v>
      </c>
    </row>
    <row r="47" spans="1:2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c r="O47" s="1">
        <f t="shared" si="0"/>
        <v>3558.32</v>
      </c>
      <c r="P47" s="1" t="str">
        <f t="shared" si="1"/>
        <v>Low_Price</v>
      </c>
      <c r="Q47" s="1" t="str" cm="1">
        <f t="array" ref="Q47">_xlfn.IFS(N47&gt;=10,"High",N47&gt;=5,"Medium",N47&lt;5,"Low")</f>
        <v>High</v>
      </c>
      <c r="R47" s="1" t="str">
        <f t="shared" si="2"/>
        <v>Medium</v>
      </c>
      <c r="U47" s="10" t="s">
        <v>20</v>
      </c>
      <c r="V47" s="1">
        <f>COUNTIF(K2:K373,U47)</f>
        <v>75</v>
      </c>
      <c r="W47" s="1"/>
    </row>
    <row r="48" spans="1:2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c r="O48" s="1">
        <f t="shared" si="0"/>
        <v>1769.93</v>
      </c>
      <c r="P48" s="1" t="str">
        <f t="shared" si="1"/>
        <v>Low_Price</v>
      </c>
      <c r="Q48" s="1" t="str" cm="1">
        <f t="array" ref="Q48">_xlfn.IFS(N48&gt;=10,"High",N48&gt;=5,"Medium",N48&lt;5,"Low")</f>
        <v>High</v>
      </c>
      <c r="R48" s="1" t="str">
        <f t="shared" si="2"/>
        <v>Low</v>
      </c>
      <c r="U48" s="10" t="s">
        <v>18</v>
      </c>
      <c r="V48" s="10" t="s">
        <v>20</v>
      </c>
      <c r="W48" s="1">
        <f>COUNTIFS(I2:I373,U48,K2:K373,V48)</f>
        <v>6</v>
      </c>
    </row>
    <row r="49" spans="1:23"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c r="O49" s="1">
        <f t="shared" si="0"/>
        <v>12332.4</v>
      </c>
      <c r="P49" s="1" t="str">
        <f t="shared" si="1"/>
        <v>Low_Price</v>
      </c>
      <c r="Q49" s="1" t="str" cm="1">
        <f t="array" ref="Q49">_xlfn.IFS(N49&gt;=10,"High",N49&gt;=5,"Medium",N49&lt;5,"Low")</f>
        <v>Medium</v>
      </c>
      <c r="R49" s="1" t="str">
        <f t="shared" si="2"/>
        <v>Medium</v>
      </c>
    </row>
    <row r="50" spans="1:23"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c r="O50" s="1">
        <f t="shared" si="0"/>
        <v>22547.22</v>
      </c>
      <c r="P50" s="1" t="str">
        <f t="shared" si="1"/>
        <v>High_Price</v>
      </c>
      <c r="Q50" s="1" t="str" cm="1">
        <f t="array" ref="Q50">_xlfn.IFS(N50&gt;=10,"High",N50&gt;=5,"Medium",N50&lt;5,"Low")</f>
        <v>High</v>
      </c>
      <c r="R50" s="1" t="str">
        <f t="shared" si="2"/>
        <v>Medium</v>
      </c>
    </row>
    <row r="51" spans="1:23"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c r="O51" s="1">
        <f t="shared" si="0"/>
        <v>8102.64</v>
      </c>
      <c r="P51" s="1" t="str">
        <f t="shared" si="1"/>
        <v>Low_Price</v>
      </c>
      <c r="Q51" s="1" t="str" cm="1">
        <f t="array" ref="Q51">_xlfn.IFS(N51&gt;=10,"High",N51&gt;=5,"Medium",N51&lt;5,"Low")</f>
        <v>High</v>
      </c>
      <c r="R51" s="1" t="str">
        <f t="shared" si="2"/>
        <v>Medium</v>
      </c>
    </row>
    <row r="52" spans="1:23"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c r="O52" s="1">
        <f t="shared" si="0"/>
        <v>8005.5599999999995</v>
      </c>
      <c r="P52" s="1" t="str">
        <f t="shared" si="1"/>
        <v>Low_Price</v>
      </c>
      <c r="Q52" s="1" t="str" cm="1">
        <f t="array" ref="Q52">_xlfn.IFS(N52&gt;=10,"High",N52&gt;=5,"Medium",N52&lt;5,"Low")</f>
        <v>Medium</v>
      </c>
      <c r="R52" s="1" t="str">
        <f t="shared" si="2"/>
        <v>Low</v>
      </c>
      <c r="U52" s="10" t="s">
        <v>107</v>
      </c>
      <c r="V52" s="1">
        <f>SUM(O2:O373)</f>
        <v>3664518.5400000005</v>
      </c>
    </row>
    <row r="53" spans="1:23"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c r="O53" s="1">
        <f t="shared" si="0"/>
        <v>12670.35</v>
      </c>
      <c r="P53" s="1" t="str">
        <f t="shared" si="1"/>
        <v>Low_Price</v>
      </c>
      <c r="Q53" s="1" t="str" cm="1">
        <f t="array" ref="Q53">_xlfn.IFS(N53&gt;=10,"High",N53&gt;=5,"Medium",N53&lt;5,"Low")</f>
        <v>High</v>
      </c>
      <c r="R53" s="1" t="str">
        <f t="shared" si="2"/>
        <v>Medium</v>
      </c>
    </row>
    <row r="54" spans="1:23"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c r="O54" s="1">
        <f t="shared" si="0"/>
        <v>11428.96</v>
      </c>
      <c r="P54" s="1" t="str">
        <f t="shared" si="1"/>
        <v>Low_Price</v>
      </c>
      <c r="Q54" s="1" t="str" cm="1">
        <f t="array" ref="Q54">_xlfn.IFS(N54&gt;=10,"High",N54&gt;=5,"Medium",N54&lt;5,"Low")</f>
        <v>High</v>
      </c>
      <c r="R54" s="1" t="str">
        <f t="shared" si="2"/>
        <v>Medium</v>
      </c>
    </row>
    <row r="55" spans="1:23"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c r="O55" s="1">
        <f t="shared" si="0"/>
        <v>7446.38</v>
      </c>
      <c r="P55" s="1" t="str">
        <f t="shared" si="1"/>
        <v>Low_Price</v>
      </c>
      <c r="Q55" s="1" t="str" cm="1">
        <f t="array" ref="Q55">_xlfn.IFS(N55&gt;=10,"High",N55&gt;=5,"Medium",N55&lt;5,"Low")</f>
        <v>Medium</v>
      </c>
      <c r="R55" s="1" t="str">
        <f t="shared" si="2"/>
        <v>Low</v>
      </c>
      <c r="U55" s="10" t="s">
        <v>108</v>
      </c>
      <c r="V55" s="1">
        <f>SUMPRODUCT(L2:L373,M2:M373)</f>
        <v>3664518.5400000005</v>
      </c>
    </row>
    <row r="56" spans="1:23"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c r="O56" s="1">
        <f t="shared" si="0"/>
        <v>20416.32</v>
      </c>
      <c r="P56" s="1" t="str">
        <f t="shared" si="1"/>
        <v>High_Price</v>
      </c>
      <c r="Q56" s="1" t="str" cm="1">
        <f t="array" ref="Q56">_xlfn.IFS(N56&gt;=10,"High",N56&gt;=5,"Medium",N56&lt;5,"Low")</f>
        <v>High</v>
      </c>
      <c r="R56" s="1" t="str">
        <f t="shared" si="2"/>
        <v>Medium</v>
      </c>
    </row>
    <row r="57" spans="1:23"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c r="O57" s="1">
        <f t="shared" si="0"/>
        <v>9110.9700000000012</v>
      </c>
      <c r="P57" s="1" t="str">
        <f t="shared" si="1"/>
        <v>Low_Price</v>
      </c>
      <c r="Q57" s="1" t="str" cm="1">
        <f t="array" ref="Q57">_xlfn.IFS(N57&gt;=10,"High",N57&gt;=5,"Medium",N57&lt;5,"Low")</f>
        <v>High</v>
      </c>
      <c r="R57" s="1" t="str">
        <f t="shared" si="2"/>
        <v>High</v>
      </c>
    </row>
    <row r="58" spans="1:23"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c r="O58" s="1">
        <f t="shared" si="0"/>
        <v>16978.88</v>
      </c>
      <c r="P58" s="1" t="str">
        <f t="shared" si="1"/>
        <v>High_Price</v>
      </c>
      <c r="Q58" s="1" t="str" cm="1">
        <f t="array" ref="Q58">_xlfn.IFS(N58&gt;=10,"High",N58&gt;=5,"Medium",N58&lt;5,"Low")</f>
        <v>Low</v>
      </c>
      <c r="R58" s="1" t="str">
        <f t="shared" si="2"/>
        <v>Medium</v>
      </c>
      <c r="U58" s="10" t="s">
        <v>107</v>
      </c>
      <c r="V58" s="10" t="s">
        <v>20</v>
      </c>
      <c r="W58" s="1" cm="1">
        <f t="array" ref="W58">SUMPRODUCT($L$2:$L$373,$M$2:$M$373,--($K$2:$K$373=V58))</f>
        <v>737855.54000000015</v>
      </c>
    </row>
    <row r="59" spans="1:23"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c r="O59" s="1">
        <f t="shared" si="0"/>
        <v>25026</v>
      </c>
      <c r="P59" s="1" t="str">
        <f t="shared" si="1"/>
        <v>High_Price</v>
      </c>
      <c r="Q59" s="1" t="str" cm="1">
        <f t="array" ref="Q59">_xlfn.IFS(N59&gt;=10,"High",N59&gt;=5,"Medium",N59&lt;5,"Low")</f>
        <v>High</v>
      </c>
      <c r="R59" s="1" t="str">
        <f t="shared" si="2"/>
        <v>Medium</v>
      </c>
      <c r="U59" s="1"/>
      <c r="V59" s="10" t="s">
        <v>46</v>
      </c>
      <c r="W59" s="1" cm="1">
        <f t="array" ref="W59">SUMPRODUCT($L$2:$L$373,$M$2:$M$373,--($K$2:$K$373=V59))</f>
        <v>754015.00999999989</v>
      </c>
    </row>
    <row r="60" spans="1:23"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c r="O60" s="1">
        <f t="shared" si="0"/>
        <v>2236.92</v>
      </c>
      <c r="P60" s="1" t="str">
        <f t="shared" si="1"/>
        <v>Low_Price</v>
      </c>
      <c r="Q60" s="1" t="str" cm="1">
        <f t="array" ref="Q60">_xlfn.IFS(N60&gt;=10,"High",N60&gt;=5,"Medium",N60&lt;5,"Low")</f>
        <v>High</v>
      </c>
      <c r="R60" s="1" t="str">
        <f t="shared" si="2"/>
        <v>Medium</v>
      </c>
      <c r="U60" s="1"/>
      <c r="V60" s="10" t="s">
        <v>44</v>
      </c>
      <c r="W60" s="1" cm="1">
        <f t="array" ref="W60">SUMPRODUCT($L$2:$L$373,$M$2:$M$373,--($K$2:$K$373=V60))</f>
        <v>678192.21</v>
      </c>
    </row>
    <row r="61" spans="1:23"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c r="O61" s="1">
        <f t="shared" si="0"/>
        <v>15874.26</v>
      </c>
      <c r="P61" s="1" t="str">
        <f t="shared" si="1"/>
        <v>High_Price</v>
      </c>
      <c r="Q61" s="1" t="str" cm="1">
        <f t="array" ref="Q61">_xlfn.IFS(N61&gt;=10,"High",N61&gt;=5,"Medium",N61&lt;5,"Low")</f>
        <v>High</v>
      </c>
      <c r="R61" s="1" t="str">
        <f t="shared" si="2"/>
        <v>Medium</v>
      </c>
      <c r="U61" s="1"/>
      <c r="V61" s="10" t="s">
        <v>27</v>
      </c>
      <c r="W61" s="1" cm="1">
        <f t="array" ref="W61">SUMPRODUCT($L$2:$L$373,$M$2:$M$373,--($K$2:$K$373=V61))</f>
        <v>608728.77999999991</v>
      </c>
    </row>
    <row r="62" spans="1:23"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c r="O62" s="1">
        <f t="shared" si="0"/>
        <v>2082.4</v>
      </c>
      <c r="P62" s="1" t="str">
        <f t="shared" si="1"/>
        <v>Low_Price</v>
      </c>
      <c r="Q62" s="1" t="str" cm="1">
        <f t="array" ref="Q62">_xlfn.IFS(N62&gt;=10,"High",N62&gt;=5,"Medium",N62&lt;5,"Low")</f>
        <v>High</v>
      </c>
      <c r="R62" s="1" t="str">
        <f t="shared" si="2"/>
        <v>Low</v>
      </c>
      <c r="U62" s="1"/>
      <c r="V62" s="10" t="s">
        <v>32</v>
      </c>
      <c r="W62" s="1" cm="1">
        <f t="array" ref="W62">SUMPRODUCT($L$2:$L$373,$M$2:$M$373,--($K$2:$K$373=V62))</f>
        <v>885726.99999999988</v>
      </c>
    </row>
    <row r="63" spans="1:23"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c r="O63" s="1">
        <f t="shared" si="0"/>
        <v>5546.42</v>
      </c>
      <c r="P63" s="1" t="str">
        <f t="shared" si="1"/>
        <v>Low_Price</v>
      </c>
      <c r="Q63" s="1" t="str" cm="1">
        <f t="array" ref="Q63">_xlfn.IFS(N63&gt;=10,"High",N63&gt;=5,"Medium",N63&lt;5,"Low")</f>
        <v>High</v>
      </c>
      <c r="R63" s="1" t="str">
        <f t="shared" si="2"/>
        <v>Low</v>
      </c>
      <c r="U63" s="1"/>
      <c r="V63" s="10" t="s">
        <v>107</v>
      </c>
      <c r="W63" s="1">
        <f>SUM(W58:W62)</f>
        <v>3664518.5399999996</v>
      </c>
    </row>
    <row r="64" spans="1:23"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c r="O64" s="1">
        <f t="shared" si="0"/>
        <v>30157.68</v>
      </c>
      <c r="P64" s="1" t="str">
        <f t="shared" si="1"/>
        <v>High_Price</v>
      </c>
      <c r="Q64" s="1" t="str" cm="1">
        <f t="array" ref="Q64">_xlfn.IFS(N64&gt;=10,"High",N64&gt;=5,"Medium",N64&lt;5,"Low")</f>
        <v>Medium</v>
      </c>
      <c r="R64" s="1" t="str">
        <f t="shared" si="2"/>
        <v>Medium</v>
      </c>
    </row>
    <row r="65" spans="1:18"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c r="O65" s="1">
        <f t="shared" si="0"/>
        <v>330.13</v>
      </c>
      <c r="P65" s="1" t="str">
        <f t="shared" si="1"/>
        <v>Low_Price</v>
      </c>
      <c r="Q65" s="1" t="str" cm="1">
        <f t="array" ref="Q65">_xlfn.IFS(N65&gt;=10,"High",N65&gt;=5,"Medium",N65&lt;5,"Low")</f>
        <v>High</v>
      </c>
      <c r="R65" s="1" t="str">
        <f t="shared" si="2"/>
        <v>Low</v>
      </c>
    </row>
    <row r="66" spans="1:18"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c r="O66" s="1">
        <f t="shared" si="0"/>
        <v>8283.9600000000009</v>
      </c>
      <c r="P66" s="1" t="str">
        <f t="shared" si="1"/>
        <v>Low_Price</v>
      </c>
      <c r="Q66" s="1" t="str" cm="1">
        <f t="array" ref="Q66">_xlfn.IFS(N66&gt;=10,"High",N66&gt;=5,"Medium",N66&lt;5,"Low")</f>
        <v>Low</v>
      </c>
      <c r="R66" s="1" t="str">
        <f t="shared" si="2"/>
        <v>Medium</v>
      </c>
    </row>
    <row r="67" spans="1:18"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c r="O67" s="1">
        <f t="shared" ref="O67:O130" si="3">L67*M67</f>
        <v>11021.880000000001</v>
      </c>
      <c r="P67" s="1" t="str">
        <f t="shared" ref="P67:P130" si="4">IF(O67&gt;=15000,"High_Price","Low_Price")</f>
        <v>Low_Price</v>
      </c>
      <c r="Q67" s="1" t="str" cm="1">
        <f t="array" ref="Q67">_xlfn.IFS(N67&gt;=10,"High",N67&gt;=5,"Medium",N67&lt;5,"Low")</f>
        <v>Medium</v>
      </c>
      <c r="R67" s="1" t="str">
        <f t="shared" ref="R67:R130" si="5">IF(L67&gt;8,"High",IF(L67&gt;4,"Medium","Low"))</f>
        <v>Medium</v>
      </c>
    </row>
    <row r="68" spans="1:18"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c r="O68" s="1">
        <f t="shared" si="3"/>
        <v>14448.6</v>
      </c>
      <c r="P68" s="1" t="str">
        <f t="shared" si="4"/>
        <v>Low_Price</v>
      </c>
      <c r="Q68" s="1" t="str" cm="1">
        <f t="array" ref="Q68">_xlfn.IFS(N68&gt;=10,"High",N68&gt;=5,"Medium",N68&lt;5,"Low")</f>
        <v>High</v>
      </c>
      <c r="R68" s="1" t="str">
        <f t="shared" si="5"/>
        <v>Low</v>
      </c>
    </row>
    <row r="69" spans="1:18"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c r="O69" s="1">
        <f t="shared" si="3"/>
        <v>11564.130000000001</v>
      </c>
      <c r="P69" s="1" t="str">
        <f t="shared" si="4"/>
        <v>Low_Price</v>
      </c>
      <c r="Q69" s="1" t="str" cm="1">
        <f t="array" ref="Q69">_xlfn.IFS(N69&gt;=10,"High",N69&gt;=5,"Medium",N69&lt;5,"Low")</f>
        <v>Medium</v>
      </c>
      <c r="R69" s="1" t="str">
        <f t="shared" si="5"/>
        <v>Low</v>
      </c>
    </row>
    <row r="70" spans="1:18"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c r="O70" s="1">
        <f t="shared" si="3"/>
        <v>5579.5199999999995</v>
      </c>
      <c r="P70" s="1" t="str">
        <f t="shared" si="4"/>
        <v>Low_Price</v>
      </c>
      <c r="Q70" s="1" t="str" cm="1">
        <f t="array" ref="Q70">_xlfn.IFS(N70&gt;=10,"High",N70&gt;=5,"Medium",N70&lt;5,"Low")</f>
        <v>High</v>
      </c>
      <c r="R70" s="1" t="str">
        <f t="shared" si="5"/>
        <v>Low</v>
      </c>
    </row>
    <row r="71" spans="1:18"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c r="O71" s="1">
        <f t="shared" si="3"/>
        <v>3037.61</v>
      </c>
      <c r="P71" s="1" t="str">
        <f t="shared" si="4"/>
        <v>Low_Price</v>
      </c>
      <c r="Q71" s="1" t="str" cm="1">
        <f t="array" ref="Q71">_xlfn.IFS(N71&gt;=10,"High",N71&gt;=5,"Medium",N71&lt;5,"Low")</f>
        <v>Medium</v>
      </c>
      <c r="R71" s="1" t="str">
        <f t="shared" si="5"/>
        <v>Low</v>
      </c>
    </row>
    <row r="72" spans="1:18"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c r="O72" s="1">
        <f t="shared" si="3"/>
        <v>6590.67</v>
      </c>
      <c r="P72" s="1" t="str">
        <f t="shared" si="4"/>
        <v>Low_Price</v>
      </c>
      <c r="Q72" s="1" t="str" cm="1">
        <f t="array" ref="Q72">_xlfn.IFS(N72&gt;=10,"High",N72&gt;=5,"Medium",N72&lt;5,"Low")</f>
        <v>Low</v>
      </c>
      <c r="R72" s="1" t="str">
        <f t="shared" si="5"/>
        <v>Low</v>
      </c>
    </row>
    <row r="73" spans="1:18"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c r="O73" s="1">
        <f t="shared" si="3"/>
        <v>8881.84</v>
      </c>
      <c r="P73" s="1" t="str">
        <f t="shared" si="4"/>
        <v>Low_Price</v>
      </c>
      <c r="Q73" s="1" t="str" cm="1">
        <f t="array" ref="Q73">_xlfn.IFS(N73&gt;=10,"High",N73&gt;=5,"Medium",N73&lt;5,"Low")</f>
        <v>Low</v>
      </c>
      <c r="R73" s="1" t="str">
        <f t="shared" si="5"/>
        <v>Low</v>
      </c>
    </row>
    <row r="74" spans="1:18"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c r="O74" s="1">
        <f t="shared" si="3"/>
        <v>6103.4000000000005</v>
      </c>
      <c r="P74" s="1" t="str">
        <f t="shared" si="4"/>
        <v>Low_Price</v>
      </c>
      <c r="Q74" s="1" t="str" cm="1">
        <f t="array" ref="Q74">_xlfn.IFS(N74&gt;=10,"High",N74&gt;=5,"Medium",N74&lt;5,"Low")</f>
        <v>High</v>
      </c>
      <c r="R74" s="1" t="str">
        <f t="shared" si="5"/>
        <v>Medium</v>
      </c>
    </row>
    <row r="75" spans="1:18"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c r="O75" s="1">
        <f t="shared" si="3"/>
        <v>2955.84</v>
      </c>
      <c r="P75" s="1" t="str">
        <f t="shared" si="4"/>
        <v>Low_Price</v>
      </c>
      <c r="Q75" s="1" t="str" cm="1">
        <f t="array" ref="Q75">_xlfn.IFS(N75&gt;=10,"High",N75&gt;=5,"Medium",N75&lt;5,"Low")</f>
        <v>High</v>
      </c>
      <c r="R75" s="1" t="str">
        <f t="shared" si="5"/>
        <v>Low</v>
      </c>
    </row>
    <row r="76" spans="1:18"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c r="O76" s="1">
        <f t="shared" si="3"/>
        <v>11459.300000000001</v>
      </c>
      <c r="P76" s="1" t="str">
        <f t="shared" si="4"/>
        <v>Low_Price</v>
      </c>
      <c r="Q76" s="1" t="str" cm="1">
        <f t="array" ref="Q76">_xlfn.IFS(N76&gt;=10,"High",N76&gt;=5,"Medium",N76&lt;5,"Low")</f>
        <v>High</v>
      </c>
      <c r="R76" s="1" t="str">
        <f t="shared" si="5"/>
        <v>Medium</v>
      </c>
    </row>
    <row r="77" spans="1:18"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c r="O77" s="1">
        <f t="shared" si="3"/>
        <v>786.75</v>
      </c>
      <c r="P77" s="1" t="str">
        <f t="shared" si="4"/>
        <v>Low_Price</v>
      </c>
      <c r="Q77" s="1" t="str" cm="1">
        <f t="array" ref="Q77">_xlfn.IFS(N77&gt;=10,"High",N77&gt;=5,"Medium",N77&lt;5,"Low")</f>
        <v>High</v>
      </c>
      <c r="R77" s="1" t="str">
        <f t="shared" si="5"/>
        <v>Low</v>
      </c>
    </row>
    <row r="78" spans="1:18"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c r="O78" s="1">
        <f t="shared" si="3"/>
        <v>21857.46</v>
      </c>
      <c r="P78" s="1" t="str">
        <f t="shared" si="4"/>
        <v>High_Price</v>
      </c>
      <c r="Q78" s="1" t="str" cm="1">
        <f t="array" ref="Q78">_xlfn.IFS(N78&gt;=10,"High",N78&gt;=5,"Medium",N78&lt;5,"Low")</f>
        <v>Low</v>
      </c>
      <c r="R78" s="1" t="str">
        <f t="shared" si="5"/>
        <v>Medium</v>
      </c>
    </row>
    <row r="79" spans="1:18"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c r="O79" s="1">
        <f t="shared" si="3"/>
        <v>4510.1400000000003</v>
      </c>
      <c r="P79" s="1" t="str">
        <f t="shared" si="4"/>
        <v>Low_Price</v>
      </c>
      <c r="Q79" s="1" t="str" cm="1">
        <f t="array" ref="Q79">_xlfn.IFS(N79&gt;=10,"High",N79&gt;=5,"Medium",N79&lt;5,"Low")</f>
        <v>Low</v>
      </c>
      <c r="R79" s="1" t="str">
        <f t="shared" si="5"/>
        <v>Medium</v>
      </c>
    </row>
    <row r="80" spans="1:18"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c r="O80" s="1">
        <f t="shared" si="3"/>
        <v>7978.72</v>
      </c>
      <c r="P80" s="1" t="str">
        <f t="shared" si="4"/>
        <v>Low_Price</v>
      </c>
      <c r="Q80" s="1" t="str" cm="1">
        <f t="array" ref="Q80">_xlfn.IFS(N80&gt;=10,"High",N80&gt;=5,"Medium",N80&lt;5,"Low")</f>
        <v>Medium</v>
      </c>
      <c r="R80" s="1" t="str">
        <f t="shared" si="5"/>
        <v>Medium</v>
      </c>
    </row>
    <row r="81" spans="1:18"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c r="O81" s="1">
        <f t="shared" si="3"/>
        <v>4290.72</v>
      </c>
      <c r="P81" s="1" t="str">
        <f t="shared" si="4"/>
        <v>Low_Price</v>
      </c>
      <c r="Q81" s="1" t="str" cm="1">
        <f t="array" ref="Q81">_xlfn.IFS(N81&gt;=10,"High",N81&gt;=5,"Medium",N81&lt;5,"Low")</f>
        <v>High</v>
      </c>
      <c r="R81" s="1" t="str">
        <f t="shared" si="5"/>
        <v>Low</v>
      </c>
    </row>
    <row r="82" spans="1:18"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c r="O82" s="1">
        <f t="shared" si="3"/>
        <v>2883.94</v>
      </c>
      <c r="P82" s="1" t="str">
        <f t="shared" si="4"/>
        <v>Low_Price</v>
      </c>
      <c r="Q82" s="1" t="str" cm="1">
        <f t="array" ref="Q82">_xlfn.IFS(N82&gt;=10,"High",N82&gt;=5,"Medium",N82&lt;5,"Low")</f>
        <v>High</v>
      </c>
      <c r="R82" s="1" t="str">
        <f t="shared" si="5"/>
        <v>Low</v>
      </c>
    </row>
    <row r="83" spans="1:18"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c r="O83" s="1">
        <f t="shared" si="3"/>
        <v>2074.2399999999998</v>
      </c>
      <c r="P83" s="1" t="str">
        <f t="shared" si="4"/>
        <v>Low_Price</v>
      </c>
      <c r="Q83" s="1" t="str" cm="1">
        <f t="array" ref="Q83">_xlfn.IFS(N83&gt;=10,"High",N83&gt;=5,"Medium",N83&lt;5,"Low")</f>
        <v>High</v>
      </c>
      <c r="R83" s="1" t="str">
        <f t="shared" si="5"/>
        <v>Low</v>
      </c>
    </row>
    <row r="84" spans="1:18"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c r="O84" s="1">
        <f t="shared" si="3"/>
        <v>9611.84</v>
      </c>
      <c r="P84" s="1" t="str">
        <f t="shared" si="4"/>
        <v>Low_Price</v>
      </c>
      <c r="Q84" s="1" t="str" cm="1">
        <f t="array" ref="Q84">_xlfn.IFS(N84&gt;=10,"High",N84&gt;=5,"Medium",N84&lt;5,"Low")</f>
        <v>Medium</v>
      </c>
      <c r="R84" s="1" t="str">
        <f t="shared" si="5"/>
        <v>Medium</v>
      </c>
    </row>
    <row r="85" spans="1:18"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c r="O85" s="1">
        <f t="shared" si="3"/>
        <v>11638.2</v>
      </c>
      <c r="P85" s="1" t="str">
        <f t="shared" si="4"/>
        <v>Low_Price</v>
      </c>
      <c r="Q85" s="1" t="str" cm="1">
        <f t="array" ref="Q85">_xlfn.IFS(N85&gt;=10,"High",N85&gt;=5,"Medium",N85&lt;5,"Low")</f>
        <v>High</v>
      </c>
      <c r="R85" s="1" t="str">
        <f t="shared" si="5"/>
        <v>Low</v>
      </c>
    </row>
    <row r="86" spans="1:18"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c r="O86" s="1">
        <f t="shared" si="3"/>
        <v>16852.599999999999</v>
      </c>
      <c r="P86" s="1" t="str">
        <f t="shared" si="4"/>
        <v>High_Price</v>
      </c>
      <c r="Q86" s="1" t="str" cm="1">
        <f t="array" ref="Q86">_xlfn.IFS(N86&gt;=10,"High",N86&gt;=5,"Medium",N86&lt;5,"Low")</f>
        <v>High</v>
      </c>
      <c r="R86" s="1" t="str">
        <f t="shared" si="5"/>
        <v>Medium</v>
      </c>
    </row>
    <row r="87" spans="1:18"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c r="O87" s="1">
        <f t="shared" si="3"/>
        <v>1029.99</v>
      </c>
      <c r="P87" s="1" t="str">
        <f t="shared" si="4"/>
        <v>Low_Price</v>
      </c>
      <c r="Q87" s="1" t="str" cm="1">
        <f t="array" ref="Q87">_xlfn.IFS(N87&gt;=10,"High",N87&gt;=5,"Medium",N87&lt;5,"Low")</f>
        <v>Medium</v>
      </c>
      <c r="R87" s="1" t="str">
        <f t="shared" si="5"/>
        <v>Low</v>
      </c>
    </row>
    <row r="88" spans="1:18"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c r="O88" s="1">
        <f t="shared" si="3"/>
        <v>17448.84</v>
      </c>
      <c r="P88" s="1" t="str">
        <f t="shared" si="4"/>
        <v>High_Price</v>
      </c>
      <c r="Q88" s="1" t="str" cm="1">
        <f t="array" ref="Q88">_xlfn.IFS(N88&gt;=10,"High",N88&gt;=5,"Medium",N88&lt;5,"Low")</f>
        <v>High</v>
      </c>
      <c r="R88" s="1" t="str">
        <f t="shared" si="5"/>
        <v>High</v>
      </c>
    </row>
    <row r="89" spans="1:18"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c r="O89" s="1">
        <f t="shared" si="3"/>
        <v>6446.08</v>
      </c>
      <c r="P89" s="1" t="str">
        <f t="shared" si="4"/>
        <v>Low_Price</v>
      </c>
      <c r="Q89" s="1" t="str" cm="1">
        <f t="array" ref="Q89">_xlfn.IFS(N89&gt;=10,"High",N89&gt;=5,"Medium",N89&lt;5,"Low")</f>
        <v>High</v>
      </c>
      <c r="R89" s="1" t="str">
        <f t="shared" si="5"/>
        <v>Low</v>
      </c>
    </row>
    <row r="90" spans="1:18"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c r="O90" s="1">
        <f t="shared" si="3"/>
        <v>4106.58</v>
      </c>
      <c r="P90" s="1" t="str">
        <f t="shared" si="4"/>
        <v>Low_Price</v>
      </c>
      <c r="Q90" s="1" t="str" cm="1">
        <f t="array" ref="Q90">_xlfn.IFS(N90&gt;=10,"High",N90&gt;=5,"Medium",N90&lt;5,"Low")</f>
        <v>High</v>
      </c>
      <c r="R90" s="1" t="str">
        <f t="shared" si="5"/>
        <v>Low</v>
      </c>
    </row>
    <row r="91" spans="1:18"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c r="O91" s="1">
        <f t="shared" si="3"/>
        <v>2499.88</v>
      </c>
      <c r="P91" s="1" t="str">
        <f t="shared" si="4"/>
        <v>Low_Price</v>
      </c>
      <c r="Q91" s="1" t="str" cm="1">
        <f t="array" ref="Q91">_xlfn.IFS(N91&gt;=10,"High",N91&gt;=5,"Medium",N91&lt;5,"Low")</f>
        <v>High</v>
      </c>
      <c r="R91" s="1" t="str">
        <f t="shared" si="5"/>
        <v>Low</v>
      </c>
    </row>
    <row r="92" spans="1:18"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c r="O92" s="1">
        <f t="shared" si="3"/>
        <v>4516.1100000000006</v>
      </c>
      <c r="P92" s="1" t="str">
        <f t="shared" si="4"/>
        <v>Low_Price</v>
      </c>
      <c r="Q92" s="1" t="str" cm="1">
        <f t="array" ref="Q92">_xlfn.IFS(N92&gt;=10,"High",N92&gt;=5,"Medium",N92&lt;5,"Low")</f>
        <v>Medium</v>
      </c>
      <c r="R92" s="1" t="str">
        <f t="shared" si="5"/>
        <v>High</v>
      </c>
    </row>
    <row r="93" spans="1:18"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c r="O93" s="1">
        <f t="shared" si="3"/>
        <v>5448.32</v>
      </c>
      <c r="P93" s="1" t="str">
        <f t="shared" si="4"/>
        <v>Low_Price</v>
      </c>
      <c r="Q93" s="1" t="str" cm="1">
        <f t="array" ref="Q93">_xlfn.IFS(N93&gt;=10,"High",N93&gt;=5,"Medium",N93&lt;5,"Low")</f>
        <v>High</v>
      </c>
      <c r="R93" s="1" t="str">
        <f t="shared" si="5"/>
        <v>Low</v>
      </c>
    </row>
    <row r="94" spans="1:18"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c r="O94" s="1">
        <f t="shared" si="3"/>
        <v>947.25</v>
      </c>
      <c r="P94" s="1" t="str">
        <f t="shared" si="4"/>
        <v>Low_Price</v>
      </c>
      <c r="Q94" s="1" t="str" cm="1">
        <f t="array" ref="Q94">_xlfn.IFS(N94&gt;=10,"High",N94&gt;=5,"Medium",N94&lt;5,"Low")</f>
        <v>High</v>
      </c>
      <c r="R94" s="1" t="str">
        <f t="shared" si="5"/>
        <v>Low</v>
      </c>
    </row>
    <row r="95" spans="1:18"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c r="O95" s="1">
        <f t="shared" si="3"/>
        <v>22096.97</v>
      </c>
      <c r="P95" s="1" t="str">
        <f t="shared" si="4"/>
        <v>High_Price</v>
      </c>
      <c r="Q95" s="1" t="str" cm="1">
        <f t="array" ref="Q95">_xlfn.IFS(N95&gt;=10,"High",N95&gt;=5,"Medium",N95&lt;5,"Low")</f>
        <v>High</v>
      </c>
      <c r="R95" s="1" t="str">
        <f t="shared" si="5"/>
        <v>Medium</v>
      </c>
    </row>
    <row r="96" spans="1:18"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c r="O96" s="1">
        <f t="shared" si="3"/>
        <v>13465.44</v>
      </c>
      <c r="P96" s="1" t="str">
        <f t="shared" si="4"/>
        <v>Low_Price</v>
      </c>
      <c r="Q96" s="1" t="str" cm="1">
        <f t="array" ref="Q96">_xlfn.IFS(N96&gt;=10,"High",N96&gt;=5,"Medium",N96&lt;5,"Low")</f>
        <v>High</v>
      </c>
      <c r="R96" s="1" t="str">
        <f t="shared" si="5"/>
        <v>Medium</v>
      </c>
    </row>
    <row r="97" spans="1:18"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c r="O97" s="1">
        <f t="shared" si="3"/>
        <v>3718.06</v>
      </c>
      <c r="P97" s="1" t="str">
        <f t="shared" si="4"/>
        <v>Low_Price</v>
      </c>
      <c r="Q97" s="1" t="str" cm="1">
        <f t="array" ref="Q97">_xlfn.IFS(N97&gt;=10,"High",N97&gt;=5,"Medium",N97&lt;5,"Low")</f>
        <v>High</v>
      </c>
      <c r="R97" s="1" t="str">
        <f t="shared" si="5"/>
        <v>Low</v>
      </c>
    </row>
    <row r="98" spans="1:18"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c r="O98" s="1">
        <f t="shared" si="3"/>
        <v>25132.38</v>
      </c>
      <c r="P98" s="1" t="str">
        <f t="shared" si="4"/>
        <v>High_Price</v>
      </c>
      <c r="Q98" s="1" t="str" cm="1">
        <f t="array" ref="Q98">_xlfn.IFS(N98&gt;=10,"High",N98&gt;=5,"Medium",N98&lt;5,"Low")</f>
        <v>High</v>
      </c>
      <c r="R98" s="1" t="str">
        <f t="shared" si="5"/>
        <v>Medium</v>
      </c>
    </row>
    <row r="99" spans="1:18"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c r="O99" s="1">
        <f t="shared" si="3"/>
        <v>905.15</v>
      </c>
      <c r="P99" s="1" t="str">
        <f t="shared" si="4"/>
        <v>Low_Price</v>
      </c>
      <c r="Q99" s="1" t="str" cm="1">
        <f t="array" ref="Q99">_xlfn.IFS(N99&gt;=10,"High",N99&gt;=5,"Medium",N99&lt;5,"Low")</f>
        <v>High</v>
      </c>
      <c r="R99" s="1" t="str">
        <f t="shared" si="5"/>
        <v>Medium</v>
      </c>
    </row>
    <row r="100" spans="1:18"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c r="O100" s="1">
        <f t="shared" si="3"/>
        <v>11343.66</v>
      </c>
      <c r="P100" s="1" t="str">
        <f t="shared" si="4"/>
        <v>Low_Price</v>
      </c>
      <c r="Q100" s="1" t="str" cm="1">
        <f t="array" ref="Q100">_xlfn.IFS(N100&gt;=10,"High",N100&gt;=5,"Medium",N100&lt;5,"Low")</f>
        <v>Medium</v>
      </c>
      <c r="R100" s="1" t="str">
        <f t="shared" si="5"/>
        <v>Low</v>
      </c>
    </row>
    <row r="101" spans="1:18"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c r="O101" s="1">
        <f t="shared" si="3"/>
        <v>5315.05</v>
      </c>
      <c r="P101" s="1" t="str">
        <f t="shared" si="4"/>
        <v>Low_Price</v>
      </c>
      <c r="Q101" s="1" t="str" cm="1">
        <f t="array" ref="Q101">_xlfn.IFS(N101&gt;=10,"High",N101&gt;=5,"Medium",N101&lt;5,"Low")</f>
        <v>High</v>
      </c>
      <c r="R101" s="1" t="str">
        <f t="shared" si="5"/>
        <v>Medium</v>
      </c>
    </row>
    <row r="102" spans="1:18"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c r="O102" s="1">
        <f t="shared" si="3"/>
        <v>1128.6199999999999</v>
      </c>
      <c r="P102" s="1" t="str">
        <f t="shared" si="4"/>
        <v>Low_Price</v>
      </c>
      <c r="Q102" s="1" t="str" cm="1">
        <f t="array" ref="Q102">_xlfn.IFS(N102&gt;=10,"High",N102&gt;=5,"Medium",N102&lt;5,"Low")</f>
        <v>High</v>
      </c>
      <c r="R102" s="1" t="str">
        <f t="shared" si="5"/>
        <v>Low</v>
      </c>
    </row>
    <row r="103" spans="1:18"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c r="O103" s="1">
        <f t="shared" si="3"/>
        <v>12461.04</v>
      </c>
      <c r="P103" s="1" t="str">
        <f t="shared" si="4"/>
        <v>Low_Price</v>
      </c>
      <c r="Q103" s="1" t="str" cm="1">
        <f t="array" ref="Q103">_xlfn.IFS(N103&gt;=10,"High",N103&gt;=5,"Medium",N103&lt;5,"Low")</f>
        <v>High</v>
      </c>
      <c r="R103" s="1" t="str">
        <f t="shared" si="5"/>
        <v>Medium</v>
      </c>
    </row>
    <row r="104" spans="1:18"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c r="O104" s="1">
        <f t="shared" si="3"/>
        <v>1820.02</v>
      </c>
      <c r="P104" s="1" t="str">
        <f t="shared" si="4"/>
        <v>Low_Price</v>
      </c>
      <c r="Q104" s="1" t="str" cm="1">
        <f t="array" ref="Q104">_xlfn.IFS(N104&gt;=10,"High",N104&gt;=5,"Medium",N104&lt;5,"Low")</f>
        <v>High</v>
      </c>
      <c r="R104" s="1" t="str">
        <f t="shared" si="5"/>
        <v>Low</v>
      </c>
    </row>
    <row r="105" spans="1:18"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c r="O105" s="1">
        <f t="shared" si="3"/>
        <v>4442.3599999999997</v>
      </c>
      <c r="P105" s="1" t="str">
        <f t="shared" si="4"/>
        <v>Low_Price</v>
      </c>
      <c r="Q105" s="1" t="str" cm="1">
        <f t="array" ref="Q105">_xlfn.IFS(N105&gt;=10,"High",N105&gt;=5,"Medium",N105&lt;5,"Low")</f>
        <v>High</v>
      </c>
      <c r="R105" s="1" t="str">
        <f t="shared" si="5"/>
        <v>Low</v>
      </c>
    </row>
    <row r="106" spans="1:18"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c r="O106" s="1">
        <f t="shared" si="3"/>
        <v>13546.619999999999</v>
      </c>
      <c r="P106" s="1" t="str">
        <f t="shared" si="4"/>
        <v>Low_Price</v>
      </c>
      <c r="Q106" s="1" t="str" cm="1">
        <f t="array" ref="Q106">_xlfn.IFS(N106&gt;=10,"High",N106&gt;=5,"Medium",N106&lt;5,"Low")</f>
        <v>High</v>
      </c>
      <c r="R106" s="1" t="str">
        <f t="shared" si="5"/>
        <v>Medium</v>
      </c>
    </row>
    <row r="107" spans="1:18"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c r="O107" s="1">
        <f t="shared" si="3"/>
        <v>10857.420000000002</v>
      </c>
      <c r="P107" s="1" t="str">
        <f t="shared" si="4"/>
        <v>Low_Price</v>
      </c>
      <c r="Q107" s="1" t="str" cm="1">
        <f t="array" ref="Q107">_xlfn.IFS(N107&gt;=10,"High",N107&gt;=5,"Medium",N107&lt;5,"Low")</f>
        <v>High</v>
      </c>
      <c r="R107" s="1" t="str">
        <f t="shared" si="5"/>
        <v>High</v>
      </c>
    </row>
    <row r="108" spans="1:18"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c r="O108" s="1">
        <f t="shared" si="3"/>
        <v>7242.18</v>
      </c>
      <c r="P108" s="1" t="str">
        <f t="shared" si="4"/>
        <v>Low_Price</v>
      </c>
      <c r="Q108" s="1" t="str" cm="1">
        <f t="array" ref="Q108">_xlfn.IFS(N108&gt;=10,"High",N108&gt;=5,"Medium",N108&lt;5,"Low")</f>
        <v>Low</v>
      </c>
      <c r="R108" s="1" t="str">
        <f t="shared" si="5"/>
        <v>Low</v>
      </c>
    </row>
    <row r="109" spans="1:18"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c r="O109" s="1">
        <f t="shared" si="3"/>
        <v>6849.78</v>
      </c>
      <c r="P109" s="1" t="str">
        <f t="shared" si="4"/>
        <v>Low_Price</v>
      </c>
      <c r="Q109" s="1" t="str" cm="1">
        <f t="array" ref="Q109">_xlfn.IFS(N109&gt;=10,"High",N109&gt;=5,"Medium",N109&lt;5,"Low")</f>
        <v>High</v>
      </c>
      <c r="R109" s="1" t="str">
        <f t="shared" si="5"/>
        <v>Medium</v>
      </c>
    </row>
    <row r="110" spans="1:18"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c r="O110" s="1">
        <f t="shared" si="3"/>
        <v>21328.62</v>
      </c>
      <c r="P110" s="1" t="str">
        <f t="shared" si="4"/>
        <v>High_Price</v>
      </c>
      <c r="Q110" s="1" t="str" cm="1">
        <f t="array" ref="Q110">_xlfn.IFS(N110&gt;=10,"High",N110&gt;=5,"Medium",N110&lt;5,"Low")</f>
        <v>High</v>
      </c>
      <c r="R110" s="1" t="str">
        <f t="shared" si="5"/>
        <v>Medium</v>
      </c>
    </row>
    <row r="111" spans="1:18"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c r="O111" s="1">
        <f t="shared" si="3"/>
        <v>4607.42</v>
      </c>
      <c r="P111" s="1" t="str">
        <f t="shared" si="4"/>
        <v>Low_Price</v>
      </c>
      <c r="Q111" s="1" t="str" cm="1">
        <f t="array" ref="Q111">_xlfn.IFS(N111&gt;=10,"High",N111&gt;=5,"Medium",N111&lt;5,"Low")</f>
        <v>High</v>
      </c>
      <c r="R111" s="1" t="str">
        <f t="shared" si="5"/>
        <v>Low</v>
      </c>
    </row>
    <row r="112" spans="1:18"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c r="O112" s="1">
        <f t="shared" si="3"/>
        <v>26717.439999999999</v>
      </c>
      <c r="P112" s="1" t="str">
        <f t="shared" si="4"/>
        <v>High_Price</v>
      </c>
      <c r="Q112" s="1" t="str" cm="1">
        <f t="array" ref="Q112">_xlfn.IFS(N112&gt;=10,"High",N112&gt;=5,"Medium",N112&lt;5,"Low")</f>
        <v>Low</v>
      </c>
      <c r="R112" s="1" t="str">
        <f t="shared" si="5"/>
        <v>Medium</v>
      </c>
    </row>
    <row r="113" spans="1:18"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c r="O113" s="1">
        <f t="shared" si="3"/>
        <v>20261.22</v>
      </c>
      <c r="P113" s="1" t="str">
        <f t="shared" si="4"/>
        <v>High_Price</v>
      </c>
      <c r="Q113" s="1" t="str" cm="1">
        <f t="array" ref="Q113">_xlfn.IFS(N113&gt;=10,"High",N113&gt;=5,"Medium",N113&lt;5,"Low")</f>
        <v>Medium</v>
      </c>
      <c r="R113" s="1" t="str">
        <f t="shared" si="5"/>
        <v>Medium</v>
      </c>
    </row>
    <row r="114" spans="1:18"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c r="O114" s="1">
        <f t="shared" si="3"/>
        <v>14161.400000000001</v>
      </c>
      <c r="P114" s="1" t="str">
        <f t="shared" si="4"/>
        <v>Low_Price</v>
      </c>
      <c r="Q114" s="1" t="str" cm="1">
        <f t="array" ref="Q114">_xlfn.IFS(N114&gt;=10,"High",N114&gt;=5,"Medium",N114&lt;5,"Low")</f>
        <v>Low</v>
      </c>
      <c r="R114" s="1" t="str">
        <f t="shared" si="5"/>
        <v>Medium</v>
      </c>
    </row>
    <row r="115" spans="1:18"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c r="O115" s="1">
        <f t="shared" si="3"/>
        <v>6993.65</v>
      </c>
      <c r="P115" s="1" t="str">
        <f t="shared" si="4"/>
        <v>Low_Price</v>
      </c>
      <c r="Q115" s="1" t="str" cm="1">
        <f t="array" ref="Q115">_xlfn.IFS(N115&gt;=10,"High",N115&gt;=5,"Medium",N115&lt;5,"Low")</f>
        <v>Low</v>
      </c>
      <c r="R115" s="1" t="str">
        <f t="shared" si="5"/>
        <v>Medium</v>
      </c>
    </row>
    <row r="116" spans="1:18"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c r="O116" s="1">
        <f t="shared" si="3"/>
        <v>7353.5</v>
      </c>
      <c r="P116" s="1" t="str">
        <f t="shared" si="4"/>
        <v>Low_Price</v>
      </c>
      <c r="Q116" s="1" t="str" cm="1">
        <f t="array" ref="Q116">_xlfn.IFS(N116&gt;=10,"High",N116&gt;=5,"Medium",N116&lt;5,"Low")</f>
        <v>High</v>
      </c>
      <c r="R116" s="1" t="str">
        <f t="shared" si="5"/>
        <v>Medium</v>
      </c>
    </row>
    <row r="117" spans="1:18"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c r="O117" s="1">
        <f t="shared" si="3"/>
        <v>8657.19</v>
      </c>
      <c r="P117" s="1" t="str">
        <f t="shared" si="4"/>
        <v>Low_Price</v>
      </c>
      <c r="Q117" s="1" t="str" cm="1">
        <f t="array" ref="Q117">_xlfn.IFS(N117&gt;=10,"High",N117&gt;=5,"Medium",N117&lt;5,"Low")</f>
        <v>High</v>
      </c>
      <c r="R117" s="1" t="str">
        <f t="shared" si="5"/>
        <v>High</v>
      </c>
    </row>
    <row r="118" spans="1:18"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c r="O118" s="1">
        <f t="shared" si="3"/>
        <v>31051.71</v>
      </c>
      <c r="P118" s="1" t="str">
        <f t="shared" si="4"/>
        <v>High_Price</v>
      </c>
      <c r="Q118" s="1" t="str" cm="1">
        <f t="array" ref="Q118">_xlfn.IFS(N118&gt;=10,"High",N118&gt;=5,"Medium",N118&lt;5,"Low")</f>
        <v>Low</v>
      </c>
      <c r="R118" s="1" t="str">
        <f t="shared" si="5"/>
        <v>High</v>
      </c>
    </row>
    <row r="119" spans="1:18"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c r="O119" s="1">
        <f t="shared" si="3"/>
        <v>29777.759999999998</v>
      </c>
      <c r="P119" s="1" t="str">
        <f t="shared" si="4"/>
        <v>High_Price</v>
      </c>
      <c r="Q119" s="1" t="str" cm="1">
        <f t="array" ref="Q119">_xlfn.IFS(N119&gt;=10,"High",N119&gt;=5,"Medium",N119&lt;5,"Low")</f>
        <v>Medium</v>
      </c>
      <c r="R119" s="1" t="str">
        <f t="shared" si="5"/>
        <v>High</v>
      </c>
    </row>
    <row r="120" spans="1:18"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c r="O120" s="1">
        <f t="shared" si="3"/>
        <v>11077.26</v>
      </c>
      <c r="P120" s="1" t="str">
        <f t="shared" si="4"/>
        <v>Low_Price</v>
      </c>
      <c r="Q120" s="1" t="str" cm="1">
        <f t="array" ref="Q120">_xlfn.IFS(N120&gt;=10,"High",N120&gt;=5,"Medium",N120&lt;5,"Low")</f>
        <v>High</v>
      </c>
      <c r="R120" s="1" t="str">
        <f t="shared" si="5"/>
        <v>Medium</v>
      </c>
    </row>
    <row r="121" spans="1:18"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c r="O121" s="1">
        <f t="shared" si="3"/>
        <v>3958.56</v>
      </c>
      <c r="P121" s="1" t="str">
        <f t="shared" si="4"/>
        <v>Low_Price</v>
      </c>
      <c r="Q121" s="1" t="str" cm="1">
        <f t="array" ref="Q121">_xlfn.IFS(N121&gt;=10,"High",N121&gt;=5,"Medium",N121&lt;5,"Low")</f>
        <v>Low</v>
      </c>
      <c r="R121" s="1" t="str">
        <f t="shared" si="5"/>
        <v>Medium</v>
      </c>
    </row>
    <row r="122" spans="1:18"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c r="O122" s="1">
        <f t="shared" si="3"/>
        <v>4865.01</v>
      </c>
      <c r="P122" s="1" t="str">
        <f t="shared" si="4"/>
        <v>Low_Price</v>
      </c>
      <c r="Q122" s="1" t="str" cm="1">
        <f t="array" ref="Q122">_xlfn.IFS(N122&gt;=10,"High",N122&gt;=5,"Medium",N122&lt;5,"Low")</f>
        <v>Low</v>
      </c>
      <c r="R122" s="1" t="str">
        <f t="shared" si="5"/>
        <v>Low</v>
      </c>
    </row>
    <row r="123" spans="1:18"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c r="O123" s="1">
        <f t="shared" si="3"/>
        <v>2534.4699999999998</v>
      </c>
      <c r="P123" s="1" t="str">
        <f t="shared" si="4"/>
        <v>Low_Price</v>
      </c>
      <c r="Q123" s="1" t="str" cm="1">
        <f t="array" ref="Q123">_xlfn.IFS(N123&gt;=10,"High",N123&gt;=5,"Medium",N123&lt;5,"Low")</f>
        <v>Medium</v>
      </c>
      <c r="R123" s="1" t="str">
        <f t="shared" si="5"/>
        <v>Low</v>
      </c>
    </row>
    <row r="124" spans="1:18"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c r="O124" s="1">
        <f t="shared" si="3"/>
        <v>13296.15</v>
      </c>
      <c r="P124" s="1" t="str">
        <f t="shared" si="4"/>
        <v>Low_Price</v>
      </c>
      <c r="Q124" s="1" t="str" cm="1">
        <f t="array" ref="Q124">_xlfn.IFS(N124&gt;=10,"High",N124&gt;=5,"Medium",N124&lt;5,"Low")</f>
        <v>High</v>
      </c>
      <c r="R124" s="1" t="str">
        <f t="shared" si="5"/>
        <v>Medium</v>
      </c>
    </row>
    <row r="125" spans="1:18"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c r="O125" s="1">
        <f t="shared" si="3"/>
        <v>12614.92</v>
      </c>
      <c r="P125" s="1" t="str">
        <f t="shared" si="4"/>
        <v>Low_Price</v>
      </c>
      <c r="Q125" s="1" t="str" cm="1">
        <f t="array" ref="Q125">_xlfn.IFS(N125&gt;=10,"High",N125&gt;=5,"Medium",N125&lt;5,"Low")</f>
        <v>Low</v>
      </c>
      <c r="R125" s="1" t="str">
        <f t="shared" si="5"/>
        <v>Low</v>
      </c>
    </row>
    <row r="126" spans="1:18"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c r="O126" s="1">
        <f t="shared" si="3"/>
        <v>3990.85</v>
      </c>
      <c r="P126" s="1" t="str">
        <f t="shared" si="4"/>
        <v>Low_Price</v>
      </c>
      <c r="Q126" s="1" t="str" cm="1">
        <f t="array" ref="Q126">_xlfn.IFS(N126&gt;=10,"High",N126&gt;=5,"Medium",N126&lt;5,"Low")</f>
        <v>Low</v>
      </c>
      <c r="R126" s="1" t="str">
        <f t="shared" si="5"/>
        <v>Low</v>
      </c>
    </row>
    <row r="127" spans="1:18"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c r="O127" s="1">
        <f t="shared" si="3"/>
        <v>11517.960000000001</v>
      </c>
      <c r="P127" s="1" t="str">
        <f t="shared" si="4"/>
        <v>Low_Price</v>
      </c>
      <c r="Q127" s="1" t="str" cm="1">
        <f t="array" ref="Q127">_xlfn.IFS(N127&gt;=10,"High",N127&gt;=5,"Medium",N127&lt;5,"Low")</f>
        <v>Medium</v>
      </c>
      <c r="R127" s="1" t="str">
        <f t="shared" si="5"/>
        <v>Medium</v>
      </c>
    </row>
    <row r="128" spans="1:18"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c r="O128" s="1">
        <f t="shared" si="3"/>
        <v>10855.74</v>
      </c>
      <c r="P128" s="1" t="str">
        <f t="shared" si="4"/>
        <v>Low_Price</v>
      </c>
      <c r="Q128" s="1" t="str" cm="1">
        <f t="array" ref="Q128">_xlfn.IFS(N128&gt;=10,"High",N128&gt;=5,"Medium",N128&lt;5,"Low")</f>
        <v>Low</v>
      </c>
      <c r="R128" s="1" t="str">
        <f t="shared" si="5"/>
        <v>Medium</v>
      </c>
    </row>
    <row r="129" spans="1:18"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c r="O129" s="1">
        <f t="shared" si="3"/>
        <v>912.67</v>
      </c>
      <c r="P129" s="1" t="str">
        <f t="shared" si="4"/>
        <v>Low_Price</v>
      </c>
      <c r="Q129" s="1" t="str" cm="1">
        <f t="array" ref="Q129">_xlfn.IFS(N129&gt;=10,"High",N129&gt;=5,"Medium",N129&lt;5,"Low")</f>
        <v>Low</v>
      </c>
      <c r="R129" s="1" t="str">
        <f t="shared" si="5"/>
        <v>Low</v>
      </c>
    </row>
    <row r="130" spans="1:18"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c r="O130" s="1">
        <f t="shared" si="3"/>
        <v>805.82</v>
      </c>
      <c r="P130" s="1" t="str">
        <f t="shared" si="4"/>
        <v>Low_Price</v>
      </c>
      <c r="Q130" s="1" t="str" cm="1">
        <f t="array" ref="Q130">_xlfn.IFS(N130&gt;=10,"High",N130&gt;=5,"Medium",N130&lt;5,"Low")</f>
        <v>High</v>
      </c>
      <c r="R130" s="1" t="str">
        <f t="shared" si="5"/>
        <v>Low</v>
      </c>
    </row>
    <row r="131" spans="1:18"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c r="O131" s="1">
        <f t="shared" ref="O131:O194" si="6">L131*M131</f>
        <v>14261.64</v>
      </c>
      <c r="P131" s="1" t="str">
        <f t="shared" ref="P131:P194" si="7">IF(O131&gt;=15000,"High_Price","Low_Price")</f>
        <v>Low_Price</v>
      </c>
      <c r="Q131" s="1" t="str" cm="1">
        <f t="array" ref="Q131">_xlfn.IFS(N131&gt;=10,"High",N131&gt;=5,"Medium",N131&lt;5,"Low")</f>
        <v>High</v>
      </c>
      <c r="R131" s="1" t="str">
        <f t="shared" ref="R131:R194" si="8">IF(L131&gt;8,"High",IF(L131&gt;4,"Medium","Low"))</f>
        <v>Low</v>
      </c>
    </row>
    <row r="132" spans="1:18"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c r="O132" s="1">
        <f t="shared" si="6"/>
        <v>3532.84</v>
      </c>
      <c r="P132" s="1" t="str">
        <f t="shared" si="7"/>
        <v>Low_Price</v>
      </c>
      <c r="Q132" s="1" t="str" cm="1">
        <f t="array" ref="Q132">_xlfn.IFS(N132&gt;=10,"High",N132&gt;=5,"Medium",N132&lt;5,"Low")</f>
        <v>High</v>
      </c>
      <c r="R132" s="1" t="str">
        <f t="shared" si="8"/>
        <v>Low</v>
      </c>
    </row>
    <row r="133" spans="1:18"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c r="O133" s="1">
        <f t="shared" si="6"/>
        <v>2063.0500000000002</v>
      </c>
      <c r="P133" s="1" t="str">
        <f t="shared" si="7"/>
        <v>Low_Price</v>
      </c>
      <c r="Q133" s="1" t="str" cm="1">
        <f t="array" ref="Q133">_xlfn.IFS(N133&gt;=10,"High",N133&gt;=5,"Medium",N133&lt;5,"Low")</f>
        <v>Low</v>
      </c>
      <c r="R133" s="1" t="str">
        <f t="shared" si="8"/>
        <v>Low</v>
      </c>
    </row>
    <row r="134" spans="1:18"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c r="O134" s="1">
        <f t="shared" si="6"/>
        <v>25761.61</v>
      </c>
      <c r="P134" s="1" t="str">
        <f t="shared" si="7"/>
        <v>High_Price</v>
      </c>
      <c r="Q134" s="1" t="str" cm="1">
        <f t="array" ref="Q134">_xlfn.IFS(N134&gt;=10,"High",N134&gt;=5,"Medium",N134&lt;5,"Low")</f>
        <v>Medium</v>
      </c>
      <c r="R134" s="1" t="str">
        <f t="shared" si="8"/>
        <v>Medium</v>
      </c>
    </row>
    <row r="135" spans="1:18"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c r="O135" s="1">
        <f t="shared" si="6"/>
        <v>25109.759999999998</v>
      </c>
      <c r="P135" s="1" t="str">
        <f t="shared" si="7"/>
        <v>High_Price</v>
      </c>
      <c r="Q135" s="1" t="str" cm="1">
        <f t="array" ref="Q135">_xlfn.IFS(N135&gt;=10,"High",N135&gt;=5,"Medium",N135&lt;5,"Low")</f>
        <v>High</v>
      </c>
      <c r="R135" s="1" t="str">
        <f t="shared" si="8"/>
        <v>Medium</v>
      </c>
    </row>
    <row r="136" spans="1:18"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c r="O136" s="1">
        <f t="shared" si="6"/>
        <v>3914.58</v>
      </c>
      <c r="P136" s="1" t="str">
        <f t="shared" si="7"/>
        <v>Low_Price</v>
      </c>
      <c r="Q136" s="1" t="str" cm="1">
        <f t="array" ref="Q136">_xlfn.IFS(N136&gt;=10,"High",N136&gt;=5,"Medium",N136&lt;5,"Low")</f>
        <v>High</v>
      </c>
      <c r="R136" s="1" t="str">
        <f t="shared" si="8"/>
        <v>Medium</v>
      </c>
    </row>
    <row r="137" spans="1:18"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c r="O137" s="1">
        <f t="shared" si="6"/>
        <v>9307.48</v>
      </c>
      <c r="P137" s="1" t="str">
        <f t="shared" si="7"/>
        <v>Low_Price</v>
      </c>
      <c r="Q137" s="1" t="str" cm="1">
        <f t="array" ref="Q137">_xlfn.IFS(N137&gt;=10,"High",N137&gt;=5,"Medium",N137&lt;5,"Low")</f>
        <v>High</v>
      </c>
      <c r="R137" s="1" t="str">
        <f t="shared" si="8"/>
        <v>Low</v>
      </c>
    </row>
    <row r="138" spans="1:18"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c r="O138" s="1">
        <f t="shared" si="6"/>
        <v>11116.02</v>
      </c>
      <c r="P138" s="1" t="str">
        <f t="shared" si="7"/>
        <v>Low_Price</v>
      </c>
      <c r="Q138" s="1" t="str" cm="1">
        <f t="array" ref="Q138">_xlfn.IFS(N138&gt;=10,"High",N138&gt;=5,"Medium",N138&lt;5,"Low")</f>
        <v>Medium</v>
      </c>
      <c r="R138" s="1" t="str">
        <f t="shared" si="8"/>
        <v>Medium</v>
      </c>
    </row>
    <row r="139" spans="1:18"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c r="O139" s="1">
        <f t="shared" si="6"/>
        <v>9657.7800000000007</v>
      </c>
      <c r="P139" s="1" t="str">
        <f t="shared" si="7"/>
        <v>Low_Price</v>
      </c>
      <c r="Q139" s="1" t="str" cm="1">
        <f t="array" ref="Q139">_xlfn.IFS(N139&gt;=10,"High",N139&gt;=5,"Medium",N139&lt;5,"Low")</f>
        <v>High</v>
      </c>
      <c r="R139" s="1" t="str">
        <f t="shared" si="8"/>
        <v>Low</v>
      </c>
    </row>
    <row r="140" spans="1:18"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c r="O140" s="1">
        <f t="shared" si="6"/>
        <v>23506.400000000001</v>
      </c>
      <c r="P140" s="1" t="str">
        <f t="shared" si="7"/>
        <v>High_Price</v>
      </c>
      <c r="Q140" s="1" t="str" cm="1">
        <f t="array" ref="Q140">_xlfn.IFS(N140&gt;=10,"High",N140&gt;=5,"Medium",N140&lt;5,"Low")</f>
        <v>High</v>
      </c>
      <c r="R140" s="1" t="str">
        <f t="shared" si="8"/>
        <v>Medium</v>
      </c>
    </row>
    <row r="141" spans="1:18"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c r="O141" s="1">
        <f t="shared" si="6"/>
        <v>5616.12</v>
      </c>
      <c r="P141" s="1" t="str">
        <f t="shared" si="7"/>
        <v>Low_Price</v>
      </c>
      <c r="Q141" s="1" t="str" cm="1">
        <f t="array" ref="Q141">_xlfn.IFS(N141&gt;=10,"High",N141&gt;=5,"Medium",N141&lt;5,"Low")</f>
        <v>Low</v>
      </c>
      <c r="R141" s="1" t="str">
        <f t="shared" si="8"/>
        <v>Low</v>
      </c>
    </row>
    <row r="142" spans="1:18"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c r="O142" s="1">
        <f t="shared" si="6"/>
        <v>7305.5</v>
      </c>
      <c r="P142" s="1" t="str">
        <f t="shared" si="7"/>
        <v>Low_Price</v>
      </c>
      <c r="Q142" s="1" t="str" cm="1">
        <f t="array" ref="Q142">_xlfn.IFS(N142&gt;=10,"High",N142&gt;=5,"Medium",N142&lt;5,"Low")</f>
        <v>High</v>
      </c>
      <c r="R142" s="1" t="str">
        <f t="shared" si="8"/>
        <v>Medium</v>
      </c>
    </row>
    <row r="143" spans="1:18"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c r="O143" s="1">
        <f t="shared" si="6"/>
        <v>3249.11</v>
      </c>
      <c r="P143" s="1" t="str">
        <f t="shared" si="7"/>
        <v>Low_Price</v>
      </c>
      <c r="Q143" s="1" t="str" cm="1">
        <f t="array" ref="Q143">_xlfn.IFS(N143&gt;=10,"High",N143&gt;=5,"Medium",N143&lt;5,"Low")</f>
        <v>High</v>
      </c>
      <c r="R143" s="1" t="str">
        <f t="shared" si="8"/>
        <v>Low</v>
      </c>
    </row>
    <row r="144" spans="1:18"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c r="O144" s="1">
        <f t="shared" si="6"/>
        <v>1529.12</v>
      </c>
      <c r="P144" s="1" t="str">
        <f t="shared" si="7"/>
        <v>Low_Price</v>
      </c>
      <c r="Q144" s="1" t="str" cm="1">
        <f t="array" ref="Q144">_xlfn.IFS(N144&gt;=10,"High",N144&gt;=5,"Medium",N144&lt;5,"Low")</f>
        <v>Low</v>
      </c>
      <c r="R144" s="1" t="str">
        <f t="shared" si="8"/>
        <v>Low</v>
      </c>
    </row>
    <row r="145" spans="1:18"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c r="O145" s="1">
        <f t="shared" si="6"/>
        <v>5768.6</v>
      </c>
      <c r="P145" s="1" t="str">
        <f t="shared" si="7"/>
        <v>Low_Price</v>
      </c>
      <c r="Q145" s="1" t="str" cm="1">
        <f t="array" ref="Q145">_xlfn.IFS(N145&gt;=10,"High",N145&gt;=5,"Medium",N145&lt;5,"Low")</f>
        <v>High</v>
      </c>
      <c r="R145" s="1" t="str">
        <f t="shared" si="8"/>
        <v>Low</v>
      </c>
    </row>
    <row r="146" spans="1:18"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c r="O146" s="1">
        <f t="shared" si="6"/>
        <v>2674.2599999999998</v>
      </c>
      <c r="P146" s="1" t="str">
        <f t="shared" si="7"/>
        <v>Low_Price</v>
      </c>
      <c r="Q146" s="1" t="str" cm="1">
        <f t="array" ref="Q146">_xlfn.IFS(N146&gt;=10,"High",N146&gt;=5,"Medium",N146&lt;5,"Low")</f>
        <v>High</v>
      </c>
      <c r="R146" s="1" t="str">
        <f t="shared" si="8"/>
        <v>Medium</v>
      </c>
    </row>
    <row r="147" spans="1:18"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c r="O147" s="1">
        <f t="shared" si="6"/>
        <v>8437.84</v>
      </c>
      <c r="P147" s="1" t="str">
        <f t="shared" si="7"/>
        <v>Low_Price</v>
      </c>
      <c r="Q147" s="1" t="str" cm="1">
        <f t="array" ref="Q147">_xlfn.IFS(N147&gt;=10,"High",N147&gt;=5,"Medium",N147&lt;5,"Low")</f>
        <v>Low</v>
      </c>
      <c r="R147" s="1" t="str">
        <f t="shared" si="8"/>
        <v>Medium</v>
      </c>
    </row>
    <row r="148" spans="1:18"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c r="O148" s="1">
        <f t="shared" si="6"/>
        <v>26768.639999999999</v>
      </c>
      <c r="P148" s="1" t="str">
        <f t="shared" si="7"/>
        <v>High_Price</v>
      </c>
      <c r="Q148" s="1" t="str" cm="1">
        <f t="array" ref="Q148">_xlfn.IFS(N148&gt;=10,"High",N148&gt;=5,"Medium",N148&lt;5,"Low")</f>
        <v>High</v>
      </c>
      <c r="R148" s="1" t="str">
        <f t="shared" si="8"/>
        <v>Medium</v>
      </c>
    </row>
    <row r="149" spans="1:18"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c r="O149" s="1">
        <f t="shared" si="6"/>
        <v>22804.62</v>
      </c>
      <c r="P149" s="1" t="str">
        <f t="shared" si="7"/>
        <v>High_Price</v>
      </c>
      <c r="Q149" s="1" t="str" cm="1">
        <f t="array" ref="Q149">_xlfn.IFS(N149&gt;=10,"High",N149&gt;=5,"Medium",N149&lt;5,"Low")</f>
        <v>Low</v>
      </c>
      <c r="R149" s="1" t="str">
        <f t="shared" si="8"/>
        <v>Medium</v>
      </c>
    </row>
    <row r="150" spans="1:18"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c r="O150" s="1">
        <f t="shared" si="6"/>
        <v>5290.88</v>
      </c>
      <c r="P150" s="1" t="str">
        <f t="shared" si="7"/>
        <v>Low_Price</v>
      </c>
      <c r="Q150" s="1" t="str" cm="1">
        <f t="array" ref="Q150">_xlfn.IFS(N150&gt;=10,"High",N150&gt;=5,"Medium",N150&lt;5,"Low")</f>
        <v>Medium</v>
      </c>
      <c r="R150" s="1" t="str">
        <f t="shared" si="8"/>
        <v>Low</v>
      </c>
    </row>
    <row r="151" spans="1:18"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c r="O151" s="1">
        <f t="shared" si="6"/>
        <v>9347.1200000000008</v>
      </c>
      <c r="P151" s="1" t="str">
        <f t="shared" si="7"/>
        <v>Low_Price</v>
      </c>
      <c r="Q151" s="1" t="str" cm="1">
        <f t="array" ref="Q151">_xlfn.IFS(N151&gt;=10,"High",N151&gt;=5,"Medium",N151&lt;5,"Low")</f>
        <v>High</v>
      </c>
      <c r="R151" s="1" t="str">
        <f t="shared" si="8"/>
        <v>Medium</v>
      </c>
    </row>
    <row r="152" spans="1:18"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c r="O152" s="1">
        <f t="shared" si="6"/>
        <v>9820.7199999999993</v>
      </c>
      <c r="P152" s="1" t="str">
        <f t="shared" si="7"/>
        <v>Low_Price</v>
      </c>
      <c r="Q152" s="1" t="str" cm="1">
        <f t="array" ref="Q152">_xlfn.IFS(N152&gt;=10,"High",N152&gt;=5,"Medium",N152&lt;5,"Low")</f>
        <v>Medium</v>
      </c>
      <c r="R152" s="1" t="str">
        <f t="shared" si="8"/>
        <v>Medium</v>
      </c>
    </row>
    <row r="153" spans="1:18"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c r="O153" s="1">
        <f t="shared" si="6"/>
        <v>1219.22</v>
      </c>
      <c r="P153" s="1" t="str">
        <f t="shared" si="7"/>
        <v>Low_Price</v>
      </c>
      <c r="Q153" s="1" t="str" cm="1">
        <f t="array" ref="Q153">_xlfn.IFS(N153&gt;=10,"High",N153&gt;=5,"Medium",N153&lt;5,"Low")</f>
        <v>High</v>
      </c>
      <c r="R153" s="1" t="str">
        <f t="shared" si="8"/>
        <v>Low</v>
      </c>
    </row>
    <row r="154" spans="1:18"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c r="O154" s="1">
        <f t="shared" si="6"/>
        <v>1153.32</v>
      </c>
      <c r="P154" s="1" t="str">
        <f t="shared" si="7"/>
        <v>Low_Price</v>
      </c>
      <c r="Q154" s="1" t="str" cm="1">
        <f t="array" ref="Q154">_xlfn.IFS(N154&gt;=10,"High",N154&gt;=5,"Medium",N154&lt;5,"Low")</f>
        <v>High</v>
      </c>
      <c r="R154" s="1" t="str">
        <f t="shared" si="8"/>
        <v>Low</v>
      </c>
    </row>
    <row r="155" spans="1:18"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c r="O155" s="1">
        <f t="shared" si="6"/>
        <v>14874.52</v>
      </c>
      <c r="P155" s="1" t="str">
        <f t="shared" si="7"/>
        <v>Low_Price</v>
      </c>
      <c r="Q155" s="1" t="str" cm="1">
        <f t="array" ref="Q155">_xlfn.IFS(N155&gt;=10,"High",N155&gt;=5,"Medium",N155&lt;5,"Low")</f>
        <v>High</v>
      </c>
      <c r="R155" s="1" t="str">
        <f t="shared" si="8"/>
        <v>Low</v>
      </c>
    </row>
    <row r="156" spans="1:18"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c r="O156" s="1">
        <f t="shared" si="6"/>
        <v>6809.18</v>
      </c>
      <c r="P156" s="1" t="str">
        <f t="shared" si="7"/>
        <v>Low_Price</v>
      </c>
      <c r="Q156" s="1" t="str" cm="1">
        <f t="array" ref="Q156">_xlfn.IFS(N156&gt;=10,"High",N156&gt;=5,"Medium",N156&lt;5,"Low")</f>
        <v>Low</v>
      </c>
      <c r="R156" s="1" t="str">
        <f t="shared" si="8"/>
        <v>Medium</v>
      </c>
    </row>
    <row r="157" spans="1:18"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c r="O157" s="1">
        <f t="shared" si="6"/>
        <v>12369.14</v>
      </c>
      <c r="P157" s="1" t="str">
        <f t="shared" si="7"/>
        <v>Low_Price</v>
      </c>
      <c r="Q157" s="1" t="str" cm="1">
        <f t="array" ref="Q157">_xlfn.IFS(N157&gt;=10,"High",N157&gt;=5,"Medium",N157&lt;5,"Low")</f>
        <v>High</v>
      </c>
      <c r="R157" s="1" t="str">
        <f t="shared" si="8"/>
        <v>Medium</v>
      </c>
    </row>
    <row r="158" spans="1:18"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c r="O158" s="1">
        <f t="shared" si="6"/>
        <v>1498.32</v>
      </c>
      <c r="P158" s="1" t="str">
        <f t="shared" si="7"/>
        <v>Low_Price</v>
      </c>
      <c r="Q158" s="1" t="str" cm="1">
        <f t="array" ref="Q158">_xlfn.IFS(N158&gt;=10,"High",N158&gt;=5,"Medium",N158&lt;5,"Low")</f>
        <v>Medium</v>
      </c>
      <c r="R158" s="1" t="str">
        <f t="shared" si="8"/>
        <v>Medium</v>
      </c>
    </row>
    <row r="159" spans="1:18"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c r="O159" s="1">
        <f t="shared" si="6"/>
        <v>20754.72</v>
      </c>
      <c r="P159" s="1" t="str">
        <f t="shared" si="7"/>
        <v>High_Price</v>
      </c>
      <c r="Q159" s="1" t="str" cm="1">
        <f t="array" ref="Q159">_xlfn.IFS(N159&gt;=10,"High",N159&gt;=5,"Medium",N159&lt;5,"Low")</f>
        <v>Medium</v>
      </c>
      <c r="R159" s="1" t="str">
        <f t="shared" si="8"/>
        <v>Medium</v>
      </c>
    </row>
    <row r="160" spans="1:18"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c r="O160" s="1">
        <f t="shared" si="6"/>
        <v>30360.080000000002</v>
      </c>
      <c r="P160" s="1" t="str">
        <f t="shared" si="7"/>
        <v>High_Price</v>
      </c>
      <c r="Q160" s="1" t="str" cm="1">
        <f t="array" ref="Q160">_xlfn.IFS(N160&gt;=10,"High",N160&gt;=5,"Medium",N160&lt;5,"Low")</f>
        <v>Medium</v>
      </c>
      <c r="R160" s="1" t="str">
        <f t="shared" si="8"/>
        <v>Medium</v>
      </c>
    </row>
    <row r="161" spans="1:18"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c r="O161" s="1">
        <f t="shared" si="6"/>
        <v>28432.98</v>
      </c>
      <c r="P161" s="1" t="str">
        <f t="shared" si="7"/>
        <v>High_Price</v>
      </c>
      <c r="Q161" s="1" t="str" cm="1">
        <f t="array" ref="Q161">_xlfn.IFS(N161&gt;=10,"High",N161&gt;=5,"Medium",N161&lt;5,"Low")</f>
        <v>High</v>
      </c>
      <c r="R161" s="1" t="str">
        <f t="shared" si="8"/>
        <v>High</v>
      </c>
    </row>
    <row r="162" spans="1:18"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c r="O162" s="1">
        <f t="shared" si="6"/>
        <v>4073.31</v>
      </c>
      <c r="P162" s="1" t="str">
        <f t="shared" si="7"/>
        <v>Low_Price</v>
      </c>
      <c r="Q162" s="1" t="str" cm="1">
        <f t="array" ref="Q162">_xlfn.IFS(N162&gt;=10,"High",N162&gt;=5,"Medium",N162&lt;5,"Low")</f>
        <v>Medium</v>
      </c>
      <c r="R162" s="1" t="str">
        <f t="shared" si="8"/>
        <v>Low</v>
      </c>
    </row>
    <row r="163" spans="1:18"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c r="O163" s="1">
        <f t="shared" si="6"/>
        <v>3312.93</v>
      </c>
      <c r="P163" s="1" t="str">
        <f t="shared" si="7"/>
        <v>Low_Price</v>
      </c>
      <c r="Q163" s="1" t="str" cm="1">
        <f t="array" ref="Q163">_xlfn.IFS(N163&gt;=10,"High",N163&gt;=5,"Medium",N163&lt;5,"Low")</f>
        <v>High</v>
      </c>
      <c r="R163" s="1" t="str">
        <f t="shared" si="8"/>
        <v>Low</v>
      </c>
    </row>
    <row r="164" spans="1:18"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c r="O164" s="1">
        <f t="shared" si="6"/>
        <v>11344.84</v>
      </c>
      <c r="P164" s="1" t="str">
        <f t="shared" si="7"/>
        <v>Low_Price</v>
      </c>
      <c r="Q164" s="1" t="str" cm="1">
        <f t="array" ref="Q164">_xlfn.IFS(N164&gt;=10,"High",N164&gt;=5,"Medium",N164&lt;5,"Low")</f>
        <v>High</v>
      </c>
      <c r="R164" s="1" t="str">
        <f t="shared" si="8"/>
        <v>Low</v>
      </c>
    </row>
    <row r="165" spans="1:18"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c r="O165" s="1">
        <f t="shared" si="6"/>
        <v>1218.6300000000001</v>
      </c>
      <c r="P165" s="1" t="str">
        <f t="shared" si="7"/>
        <v>Low_Price</v>
      </c>
      <c r="Q165" s="1" t="str" cm="1">
        <f t="array" ref="Q165">_xlfn.IFS(N165&gt;=10,"High",N165&gt;=5,"Medium",N165&lt;5,"Low")</f>
        <v>High</v>
      </c>
      <c r="R165" s="1" t="str">
        <f t="shared" si="8"/>
        <v>Medium</v>
      </c>
    </row>
    <row r="166" spans="1:18"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c r="O166" s="1">
        <f t="shared" si="6"/>
        <v>3494.34</v>
      </c>
      <c r="P166" s="1" t="str">
        <f t="shared" si="7"/>
        <v>Low_Price</v>
      </c>
      <c r="Q166" s="1" t="str" cm="1">
        <f t="array" ref="Q166">_xlfn.IFS(N166&gt;=10,"High",N166&gt;=5,"Medium",N166&lt;5,"Low")</f>
        <v>High</v>
      </c>
      <c r="R166" s="1" t="str">
        <f t="shared" si="8"/>
        <v>High</v>
      </c>
    </row>
    <row r="167" spans="1:18"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c r="O167" s="1">
        <f t="shared" si="6"/>
        <v>17689.36</v>
      </c>
      <c r="P167" s="1" t="str">
        <f t="shared" si="7"/>
        <v>High_Price</v>
      </c>
      <c r="Q167" s="1" t="str" cm="1">
        <f t="array" ref="Q167">_xlfn.IFS(N167&gt;=10,"High",N167&gt;=5,"Medium",N167&lt;5,"Low")</f>
        <v>High</v>
      </c>
      <c r="R167" s="1" t="str">
        <f t="shared" si="8"/>
        <v>Medium</v>
      </c>
    </row>
    <row r="168" spans="1:18"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c r="O168" s="1">
        <f t="shared" si="6"/>
        <v>11646.900000000001</v>
      </c>
      <c r="P168" s="1" t="str">
        <f t="shared" si="7"/>
        <v>Low_Price</v>
      </c>
      <c r="Q168" s="1" t="str" cm="1">
        <f t="array" ref="Q168">_xlfn.IFS(N168&gt;=10,"High",N168&gt;=5,"Medium",N168&lt;5,"Low")</f>
        <v>High</v>
      </c>
      <c r="R168" s="1" t="str">
        <f t="shared" si="8"/>
        <v>Medium</v>
      </c>
    </row>
    <row r="169" spans="1:18"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c r="O169" s="1">
        <f t="shared" si="6"/>
        <v>4606.4900000000007</v>
      </c>
      <c r="P169" s="1" t="str">
        <f t="shared" si="7"/>
        <v>Low_Price</v>
      </c>
      <c r="Q169" s="1" t="str" cm="1">
        <f t="array" ref="Q169">_xlfn.IFS(N169&gt;=10,"High",N169&gt;=5,"Medium",N169&lt;5,"Low")</f>
        <v>High</v>
      </c>
      <c r="R169" s="1" t="str">
        <f t="shared" si="8"/>
        <v>Medium</v>
      </c>
    </row>
    <row r="170" spans="1:18"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c r="O170" s="1">
        <f t="shared" si="6"/>
        <v>10628.75</v>
      </c>
      <c r="P170" s="1" t="str">
        <f t="shared" si="7"/>
        <v>Low_Price</v>
      </c>
      <c r="Q170" s="1" t="str" cm="1">
        <f t="array" ref="Q170">_xlfn.IFS(N170&gt;=10,"High",N170&gt;=5,"Medium",N170&lt;5,"Low")</f>
        <v>High</v>
      </c>
      <c r="R170" s="1" t="str">
        <f t="shared" si="8"/>
        <v>Medium</v>
      </c>
    </row>
    <row r="171" spans="1:18"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c r="O171" s="1">
        <f t="shared" si="6"/>
        <v>6290.34</v>
      </c>
      <c r="P171" s="1" t="str">
        <f t="shared" si="7"/>
        <v>Low_Price</v>
      </c>
      <c r="Q171" s="1" t="str" cm="1">
        <f t="array" ref="Q171">_xlfn.IFS(N171&gt;=10,"High",N171&gt;=5,"Medium",N171&lt;5,"Low")</f>
        <v>Low</v>
      </c>
      <c r="R171" s="1" t="str">
        <f t="shared" si="8"/>
        <v>Medium</v>
      </c>
    </row>
    <row r="172" spans="1:18"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c r="O172" s="1">
        <f t="shared" si="6"/>
        <v>508.81</v>
      </c>
      <c r="P172" s="1" t="str">
        <f t="shared" si="7"/>
        <v>Low_Price</v>
      </c>
      <c r="Q172" s="1" t="str" cm="1">
        <f t="array" ref="Q172">_xlfn.IFS(N172&gt;=10,"High",N172&gt;=5,"Medium",N172&lt;5,"Low")</f>
        <v>Low</v>
      </c>
      <c r="R172" s="1" t="str">
        <f t="shared" si="8"/>
        <v>Low</v>
      </c>
    </row>
    <row r="173" spans="1:18"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c r="O173" s="1">
        <f t="shared" si="6"/>
        <v>1730.41</v>
      </c>
      <c r="P173" s="1" t="str">
        <f t="shared" si="7"/>
        <v>Low_Price</v>
      </c>
      <c r="Q173" s="1" t="str" cm="1">
        <f t="array" ref="Q173">_xlfn.IFS(N173&gt;=10,"High",N173&gt;=5,"Medium",N173&lt;5,"Low")</f>
        <v>High</v>
      </c>
      <c r="R173" s="1" t="str">
        <f t="shared" si="8"/>
        <v>Low</v>
      </c>
    </row>
    <row r="174" spans="1:18"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c r="O174" s="1">
        <f t="shared" si="6"/>
        <v>2336.5500000000002</v>
      </c>
      <c r="P174" s="1" t="str">
        <f t="shared" si="7"/>
        <v>Low_Price</v>
      </c>
      <c r="Q174" s="1" t="str" cm="1">
        <f t="array" ref="Q174">_xlfn.IFS(N174&gt;=10,"High",N174&gt;=5,"Medium",N174&lt;5,"Low")</f>
        <v>High</v>
      </c>
      <c r="R174" s="1" t="str">
        <f t="shared" si="8"/>
        <v>Low</v>
      </c>
    </row>
    <row r="175" spans="1:18"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c r="O175" s="1">
        <f t="shared" si="6"/>
        <v>2745.18</v>
      </c>
      <c r="P175" s="1" t="str">
        <f t="shared" si="7"/>
        <v>Low_Price</v>
      </c>
      <c r="Q175" s="1" t="str" cm="1">
        <f t="array" ref="Q175">_xlfn.IFS(N175&gt;=10,"High",N175&gt;=5,"Medium",N175&lt;5,"Low")</f>
        <v>Medium</v>
      </c>
      <c r="R175" s="1" t="str">
        <f t="shared" si="8"/>
        <v>Low</v>
      </c>
    </row>
    <row r="176" spans="1:18"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c r="O176" s="1">
        <f t="shared" si="6"/>
        <v>8040.5500000000011</v>
      </c>
      <c r="P176" s="1" t="str">
        <f t="shared" si="7"/>
        <v>Low_Price</v>
      </c>
      <c r="Q176" s="1" t="str" cm="1">
        <f t="array" ref="Q176">_xlfn.IFS(N176&gt;=10,"High",N176&gt;=5,"Medium",N176&lt;5,"Low")</f>
        <v>High</v>
      </c>
      <c r="R176" s="1" t="str">
        <f t="shared" si="8"/>
        <v>Medium</v>
      </c>
    </row>
    <row r="177" spans="1:18"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c r="O177" s="1">
        <f t="shared" si="6"/>
        <v>974.46</v>
      </c>
      <c r="P177" s="1" t="str">
        <f t="shared" si="7"/>
        <v>Low_Price</v>
      </c>
      <c r="Q177" s="1" t="str" cm="1">
        <f t="array" ref="Q177">_xlfn.IFS(N177&gt;=10,"High",N177&gt;=5,"Medium",N177&lt;5,"Low")</f>
        <v>High</v>
      </c>
      <c r="R177" s="1" t="str">
        <f t="shared" si="8"/>
        <v>Low</v>
      </c>
    </row>
    <row r="178" spans="1:18"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c r="O178" s="1">
        <f t="shared" si="6"/>
        <v>1984.72</v>
      </c>
      <c r="P178" s="1" t="str">
        <f t="shared" si="7"/>
        <v>Low_Price</v>
      </c>
      <c r="Q178" s="1" t="str" cm="1">
        <f t="array" ref="Q178">_xlfn.IFS(N178&gt;=10,"High",N178&gt;=5,"Medium",N178&lt;5,"Low")</f>
        <v>High</v>
      </c>
      <c r="R178" s="1" t="str">
        <f t="shared" si="8"/>
        <v>Low</v>
      </c>
    </row>
    <row r="179" spans="1:18"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c r="O179" s="1">
        <f t="shared" si="6"/>
        <v>1788.02</v>
      </c>
      <c r="P179" s="1" t="str">
        <f t="shared" si="7"/>
        <v>Low_Price</v>
      </c>
      <c r="Q179" s="1" t="str" cm="1">
        <f t="array" ref="Q179">_xlfn.IFS(N179&gt;=10,"High",N179&gt;=5,"Medium",N179&lt;5,"Low")</f>
        <v>High</v>
      </c>
      <c r="R179" s="1" t="str">
        <f t="shared" si="8"/>
        <v>Low</v>
      </c>
    </row>
    <row r="180" spans="1:18"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c r="O180" s="1">
        <f t="shared" si="6"/>
        <v>2067.8999999999996</v>
      </c>
      <c r="P180" s="1" t="str">
        <f t="shared" si="7"/>
        <v>Low_Price</v>
      </c>
      <c r="Q180" s="1" t="str" cm="1">
        <f t="array" ref="Q180">_xlfn.IFS(N180&gt;=10,"High",N180&gt;=5,"Medium",N180&lt;5,"Low")</f>
        <v>High</v>
      </c>
      <c r="R180" s="1" t="str">
        <f t="shared" si="8"/>
        <v>Medium</v>
      </c>
    </row>
    <row r="181" spans="1:18"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c r="O181" s="1">
        <f t="shared" si="6"/>
        <v>20494.88</v>
      </c>
      <c r="P181" s="1" t="str">
        <f t="shared" si="7"/>
        <v>High_Price</v>
      </c>
      <c r="Q181" s="1" t="str" cm="1">
        <f t="array" ref="Q181">_xlfn.IFS(N181&gt;=10,"High",N181&gt;=5,"Medium",N181&lt;5,"Low")</f>
        <v>Low</v>
      </c>
      <c r="R181" s="1" t="str">
        <f t="shared" si="8"/>
        <v>Medium</v>
      </c>
    </row>
    <row r="182" spans="1:18"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c r="O182" s="1">
        <f t="shared" si="6"/>
        <v>5024.84</v>
      </c>
      <c r="P182" s="1" t="str">
        <f t="shared" si="7"/>
        <v>Low_Price</v>
      </c>
      <c r="Q182" s="1" t="str" cm="1">
        <f t="array" ref="Q182">_xlfn.IFS(N182&gt;=10,"High",N182&gt;=5,"Medium",N182&lt;5,"Low")</f>
        <v>High</v>
      </c>
      <c r="R182" s="1" t="str">
        <f t="shared" si="8"/>
        <v>Low</v>
      </c>
    </row>
    <row r="183" spans="1:18"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c r="O183" s="1">
        <f t="shared" si="6"/>
        <v>6135.1</v>
      </c>
      <c r="P183" s="1" t="str">
        <f t="shared" si="7"/>
        <v>Low_Price</v>
      </c>
      <c r="Q183" s="1" t="str" cm="1">
        <f t="array" ref="Q183">_xlfn.IFS(N183&gt;=10,"High",N183&gt;=5,"Medium",N183&lt;5,"Low")</f>
        <v>High</v>
      </c>
      <c r="R183" s="1" t="str">
        <f t="shared" si="8"/>
        <v>Medium</v>
      </c>
    </row>
    <row r="184" spans="1:18"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c r="O184" s="1">
        <f t="shared" si="6"/>
        <v>5712.76</v>
      </c>
      <c r="P184" s="1" t="str">
        <f t="shared" si="7"/>
        <v>Low_Price</v>
      </c>
      <c r="Q184" s="1" t="str" cm="1">
        <f t="array" ref="Q184">_xlfn.IFS(N184&gt;=10,"High",N184&gt;=5,"Medium",N184&lt;5,"Low")</f>
        <v>High</v>
      </c>
      <c r="R184" s="1" t="str">
        <f t="shared" si="8"/>
        <v>Low</v>
      </c>
    </row>
    <row r="185" spans="1:18"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c r="O185" s="1">
        <f t="shared" si="6"/>
        <v>8105.3099999999995</v>
      </c>
      <c r="P185" s="1" t="str">
        <f t="shared" si="7"/>
        <v>Low_Price</v>
      </c>
      <c r="Q185" s="1" t="str" cm="1">
        <f t="array" ref="Q185">_xlfn.IFS(N185&gt;=10,"High",N185&gt;=5,"Medium",N185&lt;5,"Low")</f>
        <v>High</v>
      </c>
      <c r="R185" s="1" t="str">
        <f t="shared" si="8"/>
        <v>Low</v>
      </c>
    </row>
    <row r="186" spans="1:18"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c r="O186" s="1">
        <f t="shared" si="6"/>
        <v>17509.7</v>
      </c>
      <c r="P186" s="1" t="str">
        <f t="shared" si="7"/>
        <v>High_Price</v>
      </c>
      <c r="Q186" s="1" t="str" cm="1">
        <f t="array" ref="Q186">_xlfn.IFS(N186&gt;=10,"High",N186&gt;=5,"Medium",N186&lt;5,"Low")</f>
        <v>High</v>
      </c>
      <c r="R186" s="1" t="str">
        <f t="shared" si="8"/>
        <v>Medium</v>
      </c>
    </row>
    <row r="187" spans="1:18"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c r="O187" s="1">
        <f t="shared" si="6"/>
        <v>27652.32</v>
      </c>
      <c r="P187" s="1" t="str">
        <f t="shared" si="7"/>
        <v>High_Price</v>
      </c>
      <c r="Q187" s="1" t="str" cm="1">
        <f t="array" ref="Q187">_xlfn.IFS(N187&gt;=10,"High",N187&gt;=5,"Medium",N187&lt;5,"Low")</f>
        <v>Low</v>
      </c>
      <c r="R187" s="1" t="str">
        <f t="shared" si="8"/>
        <v>High</v>
      </c>
    </row>
    <row r="188" spans="1:18"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c r="O188" s="1">
        <f t="shared" si="6"/>
        <v>6877.92</v>
      </c>
      <c r="P188" s="1" t="str">
        <f t="shared" si="7"/>
        <v>Low_Price</v>
      </c>
      <c r="Q188" s="1" t="str" cm="1">
        <f t="array" ref="Q188">_xlfn.IFS(N188&gt;=10,"High",N188&gt;=5,"Medium",N188&lt;5,"Low")</f>
        <v>High</v>
      </c>
      <c r="R188" s="1" t="str">
        <f t="shared" si="8"/>
        <v>Medium</v>
      </c>
    </row>
    <row r="189" spans="1:18"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c r="O189" s="1">
        <f t="shared" si="6"/>
        <v>7624.56</v>
      </c>
      <c r="P189" s="1" t="str">
        <f t="shared" si="7"/>
        <v>Low_Price</v>
      </c>
      <c r="Q189" s="1" t="str" cm="1">
        <f t="array" ref="Q189">_xlfn.IFS(N189&gt;=10,"High",N189&gt;=5,"Medium",N189&lt;5,"Low")</f>
        <v>High</v>
      </c>
      <c r="R189" s="1" t="str">
        <f t="shared" si="8"/>
        <v>Medium</v>
      </c>
    </row>
    <row r="190" spans="1:18"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c r="O190" s="1">
        <f t="shared" si="6"/>
        <v>10328.879999999999</v>
      </c>
      <c r="P190" s="1" t="str">
        <f t="shared" si="7"/>
        <v>Low_Price</v>
      </c>
      <c r="Q190" s="1" t="str" cm="1">
        <f t="array" ref="Q190">_xlfn.IFS(N190&gt;=10,"High",N190&gt;=5,"Medium",N190&lt;5,"Low")</f>
        <v>High</v>
      </c>
      <c r="R190" s="1" t="str">
        <f t="shared" si="8"/>
        <v>Medium</v>
      </c>
    </row>
    <row r="191" spans="1:18"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c r="O191" s="1">
        <f t="shared" si="6"/>
        <v>29252.720000000001</v>
      </c>
      <c r="P191" s="1" t="str">
        <f t="shared" si="7"/>
        <v>High_Price</v>
      </c>
      <c r="Q191" s="1" t="str" cm="1">
        <f t="array" ref="Q191">_xlfn.IFS(N191&gt;=10,"High",N191&gt;=5,"Medium",N191&lt;5,"Low")</f>
        <v>High</v>
      </c>
      <c r="R191" s="1" t="str">
        <f t="shared" si="8"/>
        <v>Medium</v>
      </c>
    </row>
    <row r="192" spans="1:18"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c r="O192" s="1">
        <f t="shared" si="6"/>
        <v>15802.850000000002</v>
      </c>
      <c r="P192" s="1" t="str">
        <f t="shared" si="7"/>
        <v>High_Price</v>
      </c>
      <c r="Q192" s="1" t="str" cm="1">
        <f t="array" ref="Q192">_xlfn.IFS(N192&gt;=10,"High",N192&gt;=5,"Medium",N192&lt;5,"Low")</f>
        <v>High</v>
      </c>
      <c r="R192" s="1" t="str">
        <f t="shared" si="8"/>
        <v>Medium</v>
      </c>
    </row>
    <row r="193" spans="1:18"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c r="O193" s="1">
        <f t="shared" si="6"/>
        <v>2975.54</v>
      </c>
      <c r="P193" s="1" t="str">
        <f t="shared" si="7"/>
        <v>Low_Price</v>
      </c>
      <c r="Q193" s="1" t="str" cm="1">
        <f t="array" ref="Q193">_xlfn.IFS(N193&gt;=10,"High",N193&gt;=5,"Medium",N193&lt;5,"Low")</f>
        <v>High</v>
      </c>
      <c r="R193" s="1" t="str">
        <f t="shared" si="8"/>
        <v>Low</v>
      </c>
    </row>
    <row r="194" spans="1:18"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c r="O194" s="1">
        <f t="shared" si="6"/>
        <v>6878.84</v>
      </c>
      <c r="P194" s="1" t="str">
        <f t="shared" si="7"/>
        <v>Low_Price</v>
      </c>
      <c r="Q194" s="1" t="str" cm="1">
        <f t="array" ref="Q194">_xlfn.IFS(N194&gt;=10,"High",N194&gt;=5,"Medium",N194&lt;5,"Low")</f>
        <v>High</v>
      </c>
      <c r="R194" s="1" t="str">
        <f t="shared" si="8"/>
        <v>Low</v>
      </c>
    </row>
    <row r="195" spans="1:18"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c r="O195" s="1">
        <f t="shared" ref="O195:O258" si="9">L195*M195</f>
        <v>3167.1499999999996</v>
      </c>
      <c r="P195" s="1" t="str">
        <f t="shared" ref="P195:P258" si="10">IF(O195&gt;=15000,"High_Price","Low_Price")</f>
        <v>Low_Price</v>
      </c>
      <c r="Q195" s="1" t="str" cm="1">
        <f t="array" ref="Q195">_xlfn.IFS(N195&gt;=10,"High",N195&gt;=5,"Medium",N195&lt;5,"Low")</f>
        <v>High</v>
      </c>
      <c r="R195" s="1" t="str">
        <f t="shared" ref="R195:R258" si="11">IF(L195&gt;8,"High",IF(L195&gt;4,"Medium","Low"))</f>
        <v>Medium</v>
      </c>
    </row>
    <row r="196" spans="1:18"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c r="O196" s="1">
        <f t="shared" si="9"/>
        <v>4856.9400000000005</v>
      </c>
      <c r="P196" s="1" t="str">
        <f t="shared" si="10"/>
        <v>Low_Price</v>
      </c>
      <c r="Q196" s="1" t="str" cm="1">
        <f t="array" ref="Q196">_xlfn.IFS(N196&gt;=10,"High",N196&gt;=5,"Medium",N196&lt;5,"Low")</f>
        <v>Medium</v>
      </c>
      <c r="R196" s="1" t="str">
        <f t="shared" si="11"/>
        <v>Medium</v>
      </c>
    </row>
    <row r="197" spans="1:18"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c r="O197" s="1">
        <f t="shared" si="9"/>
        <v>13341.28</v>
      </c>
      <c r="P197" s="1" t="str">
        <f t="shared" si="10"/>
        <v>Low_Price</v>
      </c>
      <c r="Q197" s="1" t="str" cm="1">
        <f t="array" ref="Q197">_xlfn.IFS(N197&gt;=10,"High",N197&gt;=5,"Medium",N197&lt;5,"Low")</f>
        <v>High</v>
      </c>
      <c r="R197" s="1" t="str">
        <f t="shared" si="11"/>
        <v>Low</v>
      </c>
    </row>
    <row r="198" spans="1:18"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c r="O198" s="1">
        <f t="shared" si="9"/>
        <v>4803.26</v>
      </c>
      <c r="P198" s="1" t="str">
        <f t="shared" si="10"/>
        <v>Low_Price</v>
      </c>
      <c r="Q198" s="1" t="str" cm="1">
        <f t="array" ref="Q198">_xlfn.IFS(N198&gt;=10,"High",N198&gt;=5,"Medium",N198&lt;5,"Low")</f>
        <v>Low</v>
      </c>
      <c r="R198" s="1" t="str">
        <f t="shared" si="11"/>
        <v>Low</v>
      </c>
    </row>
    <row r="199" spans="1:18"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c r="O199" s="1">
        <f t="shared" si="9"/>
        <v>25927.84</v>
      </c>
      <c r="P199" s="1" t="str">
        <f t="shared" si="10"/>
        <v>High_Price</v>
      </c>
      <c r="Q199" s="1" t="str" cm="1">
        <f t="array" ref="Q199">_xlfn.IFS(N199&gt;=10,"High",N199&gt;=5,"Medium",N199&lt;5,"Low")</f>
        <v>Low</v>
      </c>
      <c r="R199" s="1" t="str">
        <f t="shared" si="11"/>
        <v>Medium</v>
      </c>
    </row>
    <row r="200" spans="1:18"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c r="O200" s="1">
        <f t="shared" si="9"/>
        <v>27354.11</v>
      </c>
      <c r="P200" s="1" t="str">
        <f t="shared" si="10"/>
        <v>High_Price</v>
      </c>
      <c r="Q200" s="1" t="str" cm="1">
        <f t="array" ref="Q200">_xlfn.IFS(N200&gt;=10,"High",N200&gt;=5,"Medium",N200&lt;5,"Low")</f>
        <v>High</v>
      </c>
      <c r="R200" s="1" t="str">
        <f t="shared" si="11"/>
        <v>Medium</v>
      </c>
    </row>
    <row r="201" spans="1:18"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c r="O201" s="1">
        <f t="shared" si="9"/>
        <v>8865.2999999999993</v>
      </c>
      <c r="P201" s="1" t="str">
        <f t="shared" si="10"/>
        <v>Low_Price</v>
      </c>
      <c r="Q201" s="1" t="str" cm="1">
        <f t="array" ref="Q201">_xlfn.IFS(N201&gt;=10,"High",N201&gt;=5,"Medium",N201&lt;5,"Low")</f>
        <v>High</v>
      </c>
      <c r="R201" s="1" t="str">
        <f t="shared" si="11"/>
        <v>Medium</v>
      </c>
    </row>
    <row r="202" spans="1:18"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c r="O202" s="1">
        <f t="shared" si="9"/>
        <v>3100.65</v>
      </c>
      <c r="P202" s="1" t="str">
        <f t="shared" si="10"/>
        <v>Low_Price</v>
      </c>
      <c r="Q202" s="1" t="str" cm="1">
        <f t="array" ref="Q202">_xlfn.IFS(N202&gt;=10,"High",N202&gt;=5,"Medium",N202&lt;5,"Low")</f>
        <v>Medium</v>
      </c>
      <c r="R202" s="1" t="str">
        <f t="shared" si="11"/>
        <v>Medium</v>
      </c>
    </row>
    <row r="203" spans="1:18"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c r="O203" s="1">
        <f t="shared" si="9"/>
        <v>28153.599999999999</v>
      </c>
      <c r="P203" s="1" t="str">
        <f t="shared" si="10"/>
        <v>High_Price</v>
      </c>
      <c r="Q203" s="1" t="str" cm="1">
        <f t="array" ref="Q203">_xlfn.IFS(N203&gt;=10,"High",N203&gt;=5,"Medium",N203&lt;5,"Low")</f>
        <v>Low</v>
      </c>
      <c r="R203" s="1" t="str">
        <f t="shared" si="11"/>
        <v>Medium</v>
      </c>
    </row>
    <row r="204" spans="1:18"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c r="O204" s="1">
        <f t="shared" si="9"/>
        <v>2250.4899999999998</v>
      </c>
      <c r="P204" s="1" t="str">
        <f t="shared" si="10"/>
        <v>Low_Price</v>
      </c>
      <c r="Q204" s="1" t="str" cm="1">
        <f t="array" ref="Q204">_xlfn.IFS(N204&gt;=10,"High",N204&gt;=5,"Medium",N204&lt;5,"Low")</f>
        <v>High</v>
      </c>
      <c r="R204" s="1" t="str">
        <f t="shared" si="11"/>
        <v>Low</v>
      </c>
    </row>
    <row r="205" spans="1:18"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c r="O205" s="1">
        <f t="shared" si="9"/>
        <v>556.53</v>
      </c>
      <c r="P205" s="1" t="str">
        <f t="shared" si="10"/>
        <v>Low_Price</v>
      </c>
      <c r="Q205" s="1" t="str" cm="1">
        <f t="array" ref="Q205">_xlfn.IFS(N205&gt;=10,"High",N205&gt;=5,"Medium",N205&lt;5,"Low")</f>
        <v>Medium</v>
      </c>
      <c r="R205" s="1" t="str">
        <f t="shared" si="11"/>
        <v>Low</v>
      </c>
    </row>
    <row r="206" spans="1:18"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c r="O206" s="1">
        <f t="shared" si="9"/>
        <v>2270.66</v>
      </c>
      <c r="P206" s="1" t="str">
        <f t="shared" si="10"/>
        <v>Low_Price</v>
      </c>
      <c r="Q206" s="1" t="str" cm="1">
        <f t="array" ref="Q206">_xlfn.IFS(N206&gt;=10,"High",N206&gt;=5,"Medium",N206&lt;5,"Low")</f>
        <v>High</v>
      </c>
      <c r="R206" s="1" t="str">
        <f t="shared" si="11"/>
        <v>Medium</v>
      </c>
    </row>
    <row r="207" spans="1:18"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c r="O207" s="1">
        <f t="shared" si="9"/>
        <v>24093.81</v>
      </c>
      <c r="P207" s="1" t="str">
        <f t="shared" si="10"/>
        <v>High_Price</v>
      </c>
      <c r="Q207" s="1" t="str" cm="1">
        <f t="array" ref="Q207">_xlfn.IFS(N207&gt;=10,"High",N207&gt;=5,"Medium",N207&lt;5,"Low")</f>
        <v>High</v>
      </c>
      <c r="R207" s="1" t="str">
        <f t="shared" si="11"/>
        <v>High</v>
      </c>
    </row>
    <row r="208" spans="1:18"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c r="O208" s="1">
        <f t="shared" si="9"/>
        <v>2276.16</v>
      </c>
      <c r="P208" s="1" t="str">
        <f t="shared" si="10"/>
        <v>Low_Price</v>
      </c>
      <c r="Q208" s="1" t="str" cm="1">
        <f t="array" ref="Q208">_xlfn.IFS(N208&gt;=10,"High",N208&gt;=5,"Medium",N208&lt;5,"Low")</f>
        <v>High</v>
      </c>
      <c r="R208" s="1" t="str">
        <f t="shared" si="11"/>
        <v>Medium</v>
      </c>
    </row>
    <row r="209" spans="1:18"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c r="O209" s="1">
        <f t="shared" si="9"/>
        <v>7921.12</v>
      </c>
      <c r="P209" s="1" t="str">
        <f t="shared" si="10"/>
        <v>Low_Price</v>
      </c>
      <c r="Q209" s="1" t="str" cm="1">
        <f t="array" ref="Q209">_xlfn.IFS(N209&gt;=10,"High",N209&gt;=5,"Medium",N209&lt;5,"Low")</f>
        <v>High</v>
      </c>
      <c r="R209" s="1" t="str">
        <f t="shared" si="11"/>
        <v>Low</v>
      </c>
    </row>
    <row r="210" spans="1:18"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c r="O210" s="1">
        <f t="shared" si="9"/>
        <v>2390.2199999999998</v>
      </c>
      <c r="P210" s="1" t="str">
        <f t="shared" si="10"/>
        <v>Low_Price</v>
      </c>
      <c r="Q210" s="1" t="str" cm="1">
        <f t="array" ref="Q210">_xlfn.IFS(N210&gt;=10,"High",N210&gt;=5,"Medium",N210&lt;5,"Low")</f>
        <v>High</v>
      </c>
      <c r="R210" s="1" t="str">
        <f t="shared" si="11"/>
        <v>High</v>
      </c>
    </row>
    <row r="211" spans="1:18"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c r="O211" s="1">
        <f t="shared" si="9"/>
        <v>11168.58</v>
      </c>
      <c r="P211" s="1" t="str">
        <f t="shared" si="10"/>
        <v>Low_Price</v>
      </c>
      <c r="Q211" s="1" t="str" cm="1">
        <f t="array" ref="Q211">_xlfn.IFS(N211&gt;=10,"High",N211&gt;=5,"Medium",N211&lt;5,"Low")</f>
        <v>Low</v>
      </c>
      <c r="R211" s="1" t="str">
        <f t="shared" si="11"/>
        <v>Medium</v>
      </c>
    </row>
    <row r="212" spans="1:18"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c r="O212" s="1">
        <f t="shared" si="9"/>
        <v>1203.06</v>
      </c>
      <c r="P212" s="1" t="str">
        <f t="shared" si="10"/>
        <v>Low_Price</v>
      </c>
      <c r="Q212" s="1" t="str" cm="1">
        <f t="array" ref="Q212">_xlfn.IFS(N212&gt;=10,"High",N212&gt;=5,"Medium",N212&lt;5,"Low")</f>
        <v>High</v>
      </c>
      <c r="R212" s="1" t="str">
        <f t="shared" si="11"/>
        <v>Low</v>
      </c>
    </row>
    <row r="213" spans="1:18"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c r="O213" s="1">
        <f t="shared" si="9"/>
        <v>2402.67</v>
      </c>
      <c r="P213" s="1" t="str">
        <f t="shared" si="10"/>
        <v>Low_Price</v>
      </c>
      <c r="Q213" s="1" t="str" cm="1">
        <f t="array" ref="Q213">_xlfn.IFS(N213&gt;=10,"High",N213&gt;=5,"Medium",N213&lt;5,"Low")</f>
        <v>Low</v>
      </c>
      <c r="R213" s="1" t="str">
        <f t="shared" si="11"/>
        <v>Low</v>
      </c>
    </row>
    <row r="214" spans="1:18"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c r="O214" s="1">
        <f t="shared" si="9"/>
        <v>12035.6</v>
      </c>
      <c r="P214" s="1" t="str">
        <f t="shared" si="10"/>
        <v>Low_Price</v>
      </c>
      <c r="Q214" s="1" t="str" cm="1">
        <f t="array" ref="Q214">_xlfn.IFS(N214&gt;=10,"High",N214&gt;=5,"Medium",N214&lt;5,"Low")</f>
        <v>High</v>
      </c>
      <c r="R214" s="1" t="str">
        <f t="shared" si="11"/>
        <v>Medium</v>
      </c>
    </row>
    <row r="215" spans="1:18"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c r="O215" s="1">
        <f t="shared" si="9"/>
        <v>3082.45</v>
      </c>
      <c r="P215" s="1" t="str">
        <f t="shared" si="10"/>
        <v>Low_Price</v>
      </c>
      <c r="Q215" s="1" t="str" cm="1">
        <f t="array" ref="Q215">_xlfn.IFS(N215&gt;=10,"High",N215&gt;=5,"Medium",N215&lt;5,"Low")</f>
        <v>Medium</v>
      </c>
      <c r="R215" s="1" t="str">
        <f t="shared" si="11"/>
        <v>Low</v>
      </c>
    </row>
    <row r="216" spans="1:18"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c r="O216" s="1">
        <f t="shared" si="9"/>
        <v>14715.89</v>
      </c>
      <c r="P216" s="1" t="str">
        <f t="shared" si="10"/>
        <v>Low_Price</v>
      </c>
      <c r="Q216" s="1" t="str" cm="1">
        <f t="array" ref="Q216">_xlfn.IFS(N216&gt;=10,"High",N216&gt;=5,"Medium",N216&lt;5,"Low")</f>
        <v>High</v>
      </c>
      <c r="R216" s="1" t="str">
        <f t="shared" si="11"/>
        <v>Medium</v>
      </c>
    </row>
    <row r="217" spans="1:18"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c r="O217" s="1">
        <f t="shared" si="9"/>
        <v>18241.440000000002</v>
      </c>
      <c r="P217" s="1" t="str">
        <f t="shared" si="10"/>
        <v>High_Price</v>
      </c>
      <c r="Q217" s="1" t="str" cm="1">
        <f t="array" ref="Q217">_xlfn.IFS(N217&gt;=10,"High",N217&gt;=5,"Medium",N217&lt;5,"Low")</f>
        <v>High</v>
      </c>
      <c r="R217" s="1" t="str">
        <f t="shared" si="11"/>
        <v>Medium</v>
      </c>
    </row>
    <row r="218" spans="1:18"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c r="O218" s="1">
        <f t="shared" si="9"/>
        <v>3942.92</v>
      </c>
      <c r="P218" s="1" t="str">
        <f t="shared" si="10"/>
        <v>Low_Price</v>
      </c>
      <c r="Q218" s="1" t="str" cm="1">
        <f t="array" ref="Q218">_xlfn.IFS(N218&gt;=10,"High",N218&gt;=5,"Medium",N218&lt;5,"Low")</f>
        <v>Low</v>
      </c>
      <c r="R218" s="1" t="str">
        <f t="shared" si="11"/>
        <v>Low</v>
      </c>
    </row>
    <row r="219" spans="1:18"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c r="O219" s="1">
        <f t="shared" si="9"/>
        <v>14578.32</v>
      </c>
      <c r="P219" s="1" t="str">
        <f t="shared" si="10"/>
        <v>Low_Price</v>
      </c>
      <c r="Q219" s="1" t="str" cm="1">
        <f t="array" ref="Q219">_xlfn.IFS(N219&gt;=10,"High",N219&gt;=5,"Medium",N219&lt;5,"Low")</f>
        <v>High</v>
      </c>
      <c r="R219" s="1" t="str">
        <f t="shared" si="11"/>
        <v>Medium</v>
      </c>
    </row>
    <row r="220" spans="1:18"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c r="O220" s="1">
        <f t="shared" si="9"/>
        <v>7475.2</v>
      </c>
      <c r="P220" s="1" t="str">
        <f t="shared" si="10"/>
        <v>Low_Price</v>
      </c>
      <c r="Q220" s="1" t="str" cm="1">
        <f t="array" ref="Q220">_xlfn.IFS(N220&gt;=10,"High",N220&gt;=5,"Medium",N220&lt;5,"Low")</f>
        <v>High</v>
      </c>
      <c r="R220" s="1" t="str">
        <f t="shared" si="11"/>
        <v>Low</v>
      </c>
    </row>
    <row r="221" spans="1:18"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c r="O221" s="1">
        <f t="shared" si="9"/>
        <v>12661.35</v>
      </c>
      <c r="P221" s="1" t="str">
        <f t="shared" si="10"/>
        <v>Low_Price</v>
      </c>
      <c r="Q221" s="1" t="str" cm="1">
        <f t="array" ref="Q221">_xlfn.IFS(N221&gt;=10,"High",N221&gt;=5,"Medium",N221&lt;5,"Low")</f>
        <v>High</v>
      </c>
      <c r="R221" s="1" t="str">
        <f t="shared" si="11"/>
        <v>Medium</v>
      </c>
    </row>
    <row r="222" spans="1:18"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c r="O222" s="1">
        <f t="shared" si="9"/>
        <v>5423.32</v>
      </c>
      <c r="P222" s="1" t="str">
        <f t="shared" si="10"/>
        <v>Low_Price</v>
      </c>
      <c r="Q222" s="1" t="str" cm="1">
        <f t="array" ref="Q222">_xlfn.IFS(N222&gt;=10,"High",N222&gt;=5,"Medium",N222&lt;5,"Low")</f>
        <v>Low</v>
      </c>
      <c r="R222" s="1" t="str">
        <f t="shared" si="11"/>
        <v>Low</v>
      </c>
    </row>
    <row r="223" spans="1:18"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c r="O223" s="1">
        <f t="shared" si="9"/>
        <v>721.8</v>
      </c>
      <c r="P223" s="1" t="str">
        <f t="shared" si="10"/>
        <v>Low_Price</v>
      </c>
      <c r="Q223" s="1" t="str" cm="1">
        <f t="array" ref="Q223">_xlfn.IFS(N223&gt;=10,"High",N223&gt;=5,"Medium",N223&lt;5,"Low")</f>
        <v>Medium</v>
      </c>
      <c r="R223" s="1" t="str">
        <f t="shared" si="11"/>
        <v>Low</v>
      </c>
    </row>
    <row r="224" spans="1:18"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c r="O224" s="1">
        <f t="shared" si="9"/>
        <v>1941.96</v>
      </c>
      <c r="P224" s="1" t="str">
        <f t="shared" si="10"/>
        <v>Low_Price</v>
      </c>
      <c r="Q224" s="1" t="str" cm="1">
        <f t="array" ref="Q224">_xlfn.IFS(N224&gt;=10,"High",N224&gt;=5,"Medium",N224&lt;5,"Low")</f>
        <v>Medium</v>
      </c>
      <c r="R224" s="1" t="str">
        <f t="shared" si="11"/>
        <v>Low</v>
      </c>
    </row>
    <row r="225" spans="1:18"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c r="O225" s="1">
        <f t="shared" si="9"/>
        <v>1066.5</v>
      </c>
      <c r="P225" s="1" t="str">
        <f t="shared" si="10"/>
        <v>Low_Price</v>
      </c>
      <c r="Q225" s="1" t="str" cm="1">
        <f t="array" ref="Q225">_xlfn.IFS(N225&gt;=10,"High",N225&gt;=5,"Medium",N225&lt;5,"Low")</f>
        <v>Low</v>
      </c>
      <c r="R225" s="1" t="str">
        <f t="shared" si="11"/>
        <v>Low</v>
      </c>
    </row>
    <row r="226" spans="1:18"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c r="O226" s="1">
        <f t="shared" si="9"/>
        <v>17306.03</v>
      </c>
      <c r="P226" s="1" t="str">
        <f t="shared" si="10"/>
        <v>High_Price</v>
      </c>
      <c r="Q226" s="1" t="str" cm="1">
        <f t="array" ref="Q226">_xlfn.IFS(N226&gt;=10,"High",N226&gt;=5,"Medium",N226&lt;5,"Low")</f>
        <v>High</v>
      </c>
      <c r="R226" s="1" t="str">
        <f t="shared" si="11"/>
        <v>Medium</v>
      </c>
    </row>
    <row r="227" spans="1:18"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c r="O227" s="1">
        <f t="shared" si="9"/>
        <v>15161.02</v>
      </c>
      <c r="P227" s="1" t="str">
        <f t="shared" si="10"/>
        <v>High_Price</v>
      </c>
      <c r="Q227" s="1" t="str" cm="1">
        <f t="array" ref="Q227">_xlfn.IFS(N227&gt;=10,"High",N227&gt;=5,"Medium",N227&lt;5,"Low")</f>
        <v>Low</v>
      </c>
      <c r="R227" s="1" t="str">
        <f t="shared" si="11"/>
        <v>Medium</v>
      </c>
    </row>
    <row r="228" spans="1:18"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c r="O228" s="1">
        <f t="shared" si="9"/>
        <v>4505.2</v>
      </c>
      <c r="P228" s="1" t="str">
        <f t="shared" si="10"/>
        <v>Low_Price</v>
      </c>
      <c r="Q228" s="1" t="str" cm="1">
        <f t="array" ref="Q228">_xlfn.IFS(N228&gt;=10,"High",N228&gt;=5,"Medium",N228&lt;5,"Low")</f>
        <v>High</v>
      </c>
      <c r="R228" s="1" t="str">
        <f t="shared" si="11"/>
        <v>Low</v>
      </c>
    </row>
    <row r="229" spans="1:18"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c r="O229" s="1">
        <f t="shared" si="9"/>
        <v>16360.72</v>
      </c>
      <c r="P229" s="1" t="str">
        <f t="shared" si="10"/>
        <v>High_Price</v>
      </c>
      <c r="Q229" s="1" t="str" cm="1">
        <f t="array" ref="Q229">_xlfn.IFS(N229&gt;=10,"High",N229&gt;=5,"Medium",N229&lt;5,"Low")</f>
        <v>High</v>
      </c>
      <c r="R229" s="1" t="str">
        <f t="shared" si="11"/>
        <v>Medium</v>
      </c>
    </row>
    <row r="230" spans="1:18"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c r="O230" s="1">
        <f t="shared" si="9"/>
        <v>900.78</v>
      </c>
      <c r="P230" s="1" t="str">
        <f t="shared" si="10"/>
        <v>Low_Price</v>
      </c>
      <c r="Q230" s="1" t="str" cm="1">
        <f t="array" ref="Q230">_xlfn.IFS(N230&gt;=10,"High",N230&gt;=5,"Medium",N230&lt;5,"Low")</f>
        <v>Medium</v>
      </c>
      <c r="R230" s="1" t="str">
        <f t="shared" si="11"/>
        <v>Low</v>
      </c>
    </row>
    <row r="231" spans="1:18"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c r="O231" s="1">
        <f t="shared" si="9"/>
        <v>2660.56</v>
      </c>
      <c r="P231" s="1" t="str">
        <f t="shared" si="10"/>
        <v>Low_Price</v>
      </c>
      <c r="Q231" s="1" t="str" cm="1">
        <f t="array" ref="Q231">_xlfn.IFS(N231&gt;=10,"High",N231&gt;=5,"Medium",N231&lt;5,"Low")</f>
        <v>High</v>
      </c>
      <c r="R231" s="1" t="str">
        <f t="shared" si="11"/>
        <v>Low</v>
      </c>
    </row>
    <row r="232" spans="1:18"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c r="O232" s="1">
        <f t="shared" si="9"/>
        <v>15782.7</v>
      </c>
      <c r="P232" s="1" t="str">
        <f t="shared" si="10"/>
        <v>High_Price</v>
      </c>
      <c r="Q232" s="1" t="str" cm="1">
        <f t="array" ref="Q232">_xlfn.IFS(N232&gt;=10,"High",N232&gt;=5,"Medium",N232&lt;5,"Low")</f>
        <v>High</v>
      </c>
      <c r="R232" s="1" t="str">
        <f t="shared" si="11"/>
        <v>Medium</v>
      </c>
    </row>
    <row r="233" spans="1:18"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c r="O233" s="1">
        <f t="shared" si="9"/>
        <v>19182.78</v>
      </c>
      <c r="P233" s="1" t="str">
        <f t="shared" si="10"/>
        <v>High_Price</v>
      </c>
      <c r="Q233" s="1" t="str" cm="1">
        <f t="array" ref="Q233">_xlfn.IFS(N233&gt;=10,"High",N233&gt;=5,"Medium",N233&lt;5,"Low")</f>
        <v>High</v>
      </c>
      <c r="R233" s="1" t="str">
        <f t="shared" si="11"/>
        <v>Medium</v>
      </c>
    </row>
    <row r="234" spans="1:18"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c r="O234" s="1">
        <f t="shared" si="9"/>
        <v>7408.5300000000007</v>
      </c>
      <c r="P234" s="1" t="str">
        <f t="shared" si="10"/>
        <v>Low_Price</v>
      </c>
      <c r="Q234" s="1" t="str" cm="1">
        <f t="array" ref="Q234">_xlfn.IFS(N234&gt;=10,"High",N234&gt;=5,"Medium",N234&lt;5,"Low")</f>
        <v>Low</v>
      </c>
      <c r="R234" s="1" t="str">
        <f t="shared" si="11"/>
        <v>Low</v>
      </c>
    </row>
    <row r="235" spans="1:18"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c r="O235" s="1">
        <f t="shared" si="9"/>
        <v>2309.2799999999997</v>
      </c>
      <c r="P235" s="1" t="str">
        <f t="shared" si="10"/>
        <v>Low_Price</v>
      </c>
      <c r="Q235" s="1" t="str" cm="1">
        <f t="array" ref="Q235">_xlfn.IFS(N235&gt;=10,"High",N235&gt;=5,"Medium",N235&lt;5,"Low")</f>
        <v>Medium</v>
      </c>
      <c r="R235" s="1" t="str">
        <f t="shared" si="11"/>
        <v>Medium</v>
      </c>
    </row>
    <row r="236" spans="1:18"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c r="O236" s="1">
        <f t="shared" si="9"/>
        <v>5032.6000000000004</v>
      </c>
      <c r="P236" s="1" t="str">
        <f t="shared" si="10"/>
        <v>Low_Price</v>
      </c>
      <c r="Q236" s="1" t="str" cm="1">
        <f t="array" ref="Q236">_xlfn.IFS(N236&gt;=10,"High",N236&gt;=5,"Medium",N236&lt;5,"Low")</f>
        <v>Low</v>
      </c>
      <c r="R236" s="1" t="str">
        <f t="shared" si="11"/>
        <v>Low</v>
      </c>
    </row>
    <row r="237" spans="1:18"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c r="O237" s="1">
        <f t="shared" si="9"/>
        <v>3563.7000000000003</v>
      </c>
      <c r="P237" s="1" t="str">
        <f t="shared" si="10"/>
        <v>Low_Price</v>
      </c>
      <c r="Q237" s="1" t="str" cm="1">
        <f t="array" ref="Q237">_xlfn.IFS(N237&gt;=10,"High",N237&gt;=5,"Medium",N237&lt;5,"Low")</f>
        <v>High</v>
      </c>
      <c r="R237" s="1" t="str">
        <f t="shared" si="11"/>
        <v>Medium</v>
      </c>
    </row>
    <row r="238" spans="1:18"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c r="O238" s="1">
        <f t="shared" si="9"/>
        <v>6030.5399999999991</v>
      </c>
      <c r="P238" s="1" t="str">
        <f t="shared" si="10"/>
        <v>Low_Price</v>
      </c>
      <c r="Q238" s="1" t="str" cm="1">
        <f t="array" ref="Q238">_xlfn.IFS(N238&gt;=10,"High",N238&gt;=5,"Medium",N238&lt;5,"Low")</f>
        <v>High</v>
      </c>
      <c r="R238" s="1" t="str">
        <f t="shared" si="11"/>
        <v>High</v>
      </c>
    </row>
    <row r="239" spans="1:18"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c r="O239" s="1">
        <f t="shared" si="9"/>
        <v>30272.959999999999</v>
      </c>
      <c r="P239" s="1" t="str">
        <f t="shared" si="10"/>
        <v>High_Price</v>
      </c>
      <c r="Q239" s="1" t="str" cm="1">
        <f t="array" ref="Q239">_xlfn.IFS(N239&gt;=10,"High",N239&gt;=5,"Medium",N239&lt;5,"Low")</f>
        <v>High</v>
      </c>
      <c r="R239" s="1" t="str">
        <f t="shared" si="11"/>
        <v>Medium</v>
      </c>
    </row>
    <row r="240" spans="1:18"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c r="O240" s="1">
        <f t="shared" si="9"/>
        <v>15492.2</v>
      </c>
      <c r="P240" s="1" t="str">
        <f t="shared" si="10"/>
        <v>High_Price</v>
      </c>
      <c r="Q240" s="1" t="str" cm="1">
        <f t="array" ref="Q240">_xlfn.IFS(N240&gt;=10,"High",N240&gt;=5,"Medium",N240&lt;5,"Low")</f>
        <v>Low</v>
      </c>
      <c r="R240" s="1" t="str">
        <f t="shared" si="11"/>
        <v>Medium</v>
      </c>
    </row>
    <row r="241" spans="1:18"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c r="O241" s="1">
        <f t="shared" si="9"/>
        <v>1324.74</v>
      </c>
      <c r="P241" s="1" t="str">
        <f t="shared" si="10"/>
        <v>Low_Price</v>
      </c>
      <c r="Q241" s="1" t="str" cm="1">
        <f t="array" ref="Q241">_xlfn.IFS(N241&gt;=10,"High",N241&gt;=5,"Medium",N241&lt;5,"Low")</f>
        <v>Medium</v>
      </c>
      <c r="R241" s="1" t="str">
        <f t="shared" si="11"/>
        <v>Medium</v>
      </c>
    </row>
    <row r="242" spans="1:18"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c r="O242" s="1">
        <f t="shared" si="9"/>
        <v>11619.960000000001</v>
      </c>
      <c r="P242" s="1" t="str">
        <f t="shared" si="10"/>
        <v>Low_Price</v>
      </c>
      <c r="Q242" s="1" t="str" cm="1">
        <f t="array" ref="Q242">_xlfn.IFS(N242&gt;=10,"High",N242&gt;=5,"Medium",N242&lt;5,"Low")</f>
        <v>Low</v>
      </c>
      <c r="R242" s="1" t="str">
        <f t="shared" si="11"/>
        <v>Medium</v>
      </c>
    </row>
    <row r="243" spans="1:18"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c r="O243" s="1">
        <f t="shared" si="9"/>
        <v>9776.9700000000012</v>
      </c>
      <c r="P243" s="1" t="str">
        <f t="shared" si="10"/>
        <v>Low_Price</v>
      </c>
      <c r="Q243" s="1" t="str" cm="1">
        <f t="array" ref="Q243">_xlfn.IFS(N243&gt;=10,"High",N243&gt;=5,"Medium",N243&lt;5,"Low")</f>
        <v>High</v>
      </c>
      <c r="R243" s="1" t="str">
        <f t="shared" si="11"/>
        <v>Medium</v>
      </c>
    </row>
    <row r="244" spans="1:18"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c r="O244" s="1">
        <f t="shared" si="9"/>
        <v>21563.119999999999</v>
      </c>
      <c r="P244" s="1" t="str">
        <f t="shared" si="10"/>
        <v>High_Price</v>
      </c>
      <c r="Q244" s="1" t="str" cm="1">
        <f t="array" ref="Q244">_xlfn.IFS(N244&gt;=10,"High",N244&gt;=5,"Medium",N244&lt;5,"Low")</f>
        <v>High</v>
      </c>
      <c r="R244" s="1" t="str">
        <f t="shared" si="11"/>
        <v>Medium</v>
      </c>
    </row>
    <row r="245" spans="1:18"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c r="O245" s="1">
        <f t="shared" si="9"/>
        <v>23949.99</v>
      </c>
      <c r="P245" s="1" t="str">
        <f t="shared" si="10"/>
        <v>High_Price</v>
      </c>
      <c r="Q245" s="1" t="str" cm="1">
        <f t="array" ref="Q245">_xlfn.IFS(N245&gt;=10,"High",N245&gt;=5,"Medium",N245&lt;5,"Low")</f>
        <v>High</v>
      </c>
      <c r="R245" s="1" t="str">
        <f t="shared" si="11"/>
        <v>High</v>
      </c>
    </row>
    <row r="246" spans="1:18"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c r="O246" s="1">
        <f t="shared" si="9"/>
        <v>2902.4700000000003</v>
      </c>
      <c r="P246" s="1" t="str">
        <f t="shared" si="10"/>
        <v>Low_Price</v>
      </c>
      <c r="Q246" s="1" t="str" cm="1">
        <f t="array" ref="Q246">_xlfn.IFS(N246&gt;=10,"High",N246&gt;=5,"Medium",N246&lt;5,"Low")</f>
        <v>Low</v>
      </c>
      <c r="R246" s="1" t="str">
        <f t="shared" si="11"/>
        <v>Low</v>
      </c>
    </row>
    <row r="247" spans="1:18"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c r="O247" s="1">
        <f t="shared" si="9"/>
        <v>619.73</v>
      </c>
      <c r="P247" s="1" t="str">
        <f t="shared" si="10"/>
        <v>Low_Price</v>
      </c>
      <c r="Q247" s="1" t="str" cm="1">
        <f t="array" ref="Q247">_xlfn.IFS(N247&gt;=10,"High",N247&gt;=5,"Medium",N247&lt;5,"Low")</f>
        <v>Low</v>
      </c>
      <c r="R247" s="1" t="str">
        <f t="shared" si="11"/>
        <v>Low</v>
      </c>
    </row>
    <row r="248" spans="1:18"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c r="O248" s="1">
        <f t="shared" si="9"/>
        <v>14251.65</v>
      </c>
      <c r="P248" s="1" t="str">
        <f t="shared" si="10"/>
        <v>Low_Price</v>
      </c>
      <c r="Q248" s="1" t="str" cm="1">
        <f t="array" ref="Q248">_xlfn.IFS(N248&gt;=10,"High",N248&gt;=5,"Medium",N248&lt;5,"Low")</f>
        <v>Medium</v>
      </c>
      <c r="R248" s="1" t="str">
        <f t="shared" si="11"/>
        <v>Medium</v>
      </c>
    </row>
    <row r="249" spans="1:18"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c r="O249" s="1">
        <f t="shared" si="9"/>
        <v>4456.13</v>
      </c>
      <c r="P249" s="1" t="str">
        <f t="shared" si="10"/>
        <v>Low_Price</v>
      </c>
      <c r="Q249" s="1" t="str" cm="1">
        <f t="array" ref="Q249">_xlfn.IFS(N249&gt;=10,"High",N249&gt;=5,"Medium",N249&lt;5,"Low")</f>
        <v>Medium</v>
      </c>
      <c r="R249" s="1" t="str">
        <f t="shared" si="11"/>
        <v>Medium</v>
      </c>
    </row>
    <row r="250" spans="1:18"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c r="O250" s="1">
        <f t="shared" si="9"/>
        <v>1543.1999999999998</v>
      </c>
      <c r="P250" s="1" t="str">
        <f t="shared" si="10"/>
        <v>Low_Price</v>
      </c>
      <c r="Q250" s="1" t="str" cm="1">
        <f t="array" ref="Q250">_xlfn.IFS(N250&gt;=10,"High",N250&gt;=5,"Medium",N250&lt;5,"Low")</f>
        <v>Low</v>
      </c>
      <c r="R250" s="1" t="str">
        <f t="shared" si="11"/>
        <v>Medium</v>
      </c>
    </row>
    <row r="251" spans="1:18"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c r="O251" s="1">
        <f t="shared" si="9"/>
        <v>10190.08</v>
      </c>
      <c r="P251" s="1" t="str">
        <f t="shared" si="10"/>
        <v>Low_Price</v>
      </c>
      <c r="Q251" s="1" t="str" cm="1">
        <f t="array" ref="Q251">_xlfn.IFS(N251&gt;=10,"High",N251&gt;=5,"Medium",N251&lt;5,"Low")</f>
        <v>High</v>
      </c>
      <c r="R251" s="1" t="str">
        <f t="shared" si="11"/>
        <v>Low</v>
      </c>
    </row>
    <row r="252" spans="1:18"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c r="O252" s="1">
        <f t="shared" si="9"/>
        <v>6512.04</v>
      </c>
      <c r="P252" s="1" t="str">
        <f t="shared" si="10"/>
        <v>Low_Price</v>
      </c>
      <c r="Q252" s="1" t="str" cm="1">
        <f t="array" ref="Q252">_xlfn.IFS(N252&gt;=10,"High",N252&gt;=5,"Medium",N252&lt;5,"Low")</f>
        <v>High</v>
      </c>
      <c r="R252" s="1" t="str">
        <f t="shared" si="11"/>
        <v>Low</v>
      </c>
    </row>
    <row r="253" spans="1:18"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c r="O253" s="1">
        <f t="shared" si="9"/>
        <v>3391.76</v>
      </c>
      <c r="P253" s="1" t="str">
        <f t="shared" si="10"/>
        <v>Low_Price</v>
      </c>
      <c r="Q253" s="1" t="str" cm="1">
        <f t="array" ref="Q253">_xlfn.IFS(N253&gt;=10,"High",N253&gt;=5,"Medium",N253&lt;5,"Low")</f>
        <v>High</v>
      </c>
      <c r="R253" s="1" t="str">
        <f t="shared" si="11"/>
        <v>Low</v>
      </c>
    </row>
    <row r="254" spans="1:18"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c r="O254" s="1">
        <f t="shared" si="9"/>
        <v>8033.8</v>
      </c>
      <c r="P254" s="1" t="str">
        <f t="shared" si="10"/>
        <v>Low_Price</v>
      </c>
      <c r="Q254" s="1" t="str" cm="1">
        <f t="array" ref="Q254">_xlfn.IFS(N254&gt;=10,"High",N254&gt;=5,"Medium",N254&lt;5,"Low")</f>
        <v>Medium</v>
      </c>
      <c r="R254" s="1" t="str">
        <f t="shared" si="11"/>
        <v>Low</v>
      </c>
    </row>
    <row r="255" spans="1:18"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c r="O255" s="1">
        <f t="shared" si="9"/>
        <v>12572.8</v>
      </c>
      <c r="P255" s="1" t="str">
        <f t="shared" si="10"/>
        <v>Low_Price</v>
      </c>
      <c r="Q255" s="1" t="str" cm="1">
        <f t="array" ref="Q255">_xlfn.IFS(N255&gt;=10,"High",N255&gt;=5,"Medium",N255&lt;5,"Low")</f>
        <v>Low</v>
      </c>
      <c r="R255" s="1" t="str">
        <f t="shared" si="11"/>
        <v>Low</v>
      </c>
    </row>
    <row r="256" spans="1:18"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c r="O256" s="1">
        <f t="shared" si="9"/>
        <v>2740.46</v>
      </c>
      <c r="P256" s="1" t="str">
        <f t="shared" si="10"/>
        <v>Low_Price</v>
      </c>
      <c r="Q256" s="1" t="str" cm="1">
        <f t="array" ref="Q256">_xlfn.IFS(N256&gt;=10,"High",N256&gt;=5,"Medium",N256&lt;5,"Low")</f>
        <v>High</v>
      </c>
      <c r="R256" s="1" t="str">
        <f t="shared" si="11"/>
        <v>Low</v>
      </c>
    </row>
    <row r="257" spans="1:18"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c r="O257" s="1">
        <f t="shared" si="9"/>
        <v>8186.04</v>
      </c>
      <c r="P257" s="1" t="str">
        <f t="shared" si="10"/>
        <v>Low_Price</v>
      </c>
      <c r="Q257" s="1" t="str" cm="1">
        <f t="array" ref="Q257">_xlfn.IFS(N257&gt;=10,"High",N257&gt;=5,"Medium",N257&lt;5,"Low")</f>
        <v>Medium</v>
      </c>
      <c r="R257" s="1" t="str">
        <f t="shared" si="11"/>
        <v>Low</v>
      </c>
    </row>
    <row r="258" spans="1:18"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c r="O258" s="1">
        <f t="shared" si="9"/>
        <v>2588.64</v>
      </c>
      <c r="P258" s="1" t="str">
        <f t="shared" si="10"/>
        <v>Low_Price</v>
      </c>
      <c r="Q258" s="1" t="str" cm="1">
        <f t="array" ref="Q258">_xlfn.IFS(N258&gt;=10,"High",N258&gt;=5,"Medium",N258&lt;5,"Low")</f>
        <v>Low</v>
      </c>
      <c r="R258" s="1" t="str">
        <f t="shared" si="11"/>
        <v>Low</v>
      </c>
    </row>
    <row r="259" spans="1:18"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c r="O259" s="1">
        <f t="shared" ref="O259:O322" si="12">L259*M259</f>
        <v>3251.27</v>
      </c>
      <c r="P259" s="1" t="str">
        <f t="shared" ref="P259:P322" si="13">IF(O259&gt;=15000,"High_Price","Low_Price")</f>
        <v>Low_Price</v>
      </c>
      <c r="Q259" s="1" t="str" cm="1">
        <f t="array" ref="Q259">_xlfn.IFS(N259&gt;=10,"High",N259&gt;=5,"Medium",N259&lt;5,"Low")</f>
        <v>High</v>
      </c>
      <c r="R259" s="1" t="str">
        <f t="shared" ref="R259:R322" si="14">IF(L259&gt;8,"High",IF(L259&gt;4,"Medium","Low"))</f>
        <v>Low</v>
      </c>
    </row>
    <row r="260" spans="1:18"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c r="O260" s="1">
        <f t="shared" si="12"/>
        <v>1681.85</v>
      </c>
      <c r="P260" s="1" t="str">
        <f t="shared" si="13"/>
        <v>Low_Price</v>
      </c>
      <c r="Q260" s="1" t="str" cm="1">
        <f t="array" ref="Q260">_xlfn.IFS(N260&gt;=10,"High",N260&gt;=5,"Medium",N260&lt;5,"Low")</f>
        <v>Medium</v>
      </c>
      <c r="R260" s="1" t="str">
        <f t="shared" si="14"/>
        <v>Low</v>
      </c>
    </row>
    <row r="261" spans="1:18"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c r="O261" s="1">
        <f t="shared" si="12"/>
        <v>26024.16</v>
      </c>
      <c r="P261" s="1" t="str">
        <f t="shared" si="13"/>
        <v>High_Price</v>
      </c>
      <c r="Q261" s="1" t="str" cm="1">
        <f t="array" ref="Q261">_xlfn.IFS(N261&gt;=10,"High",N261&gt;=5,"Medium",N261&lt;5,"Low")</f>
        <v>High</v>
      </c>
      <c r="R261" s="1" t="str">
        <f t="shared" si="14"/>
        <v>Medium</v>
      </c>
    </row>
    <row r="262" spans="1:18"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c r="O262" s="1">
        <f t="shared" si="12"/>
        <v>19434.080000000002</v>
      </c>
      <c r="P262" s="1" t="str">
        <f t="shared" si="13"/>
        <v>High_Price</v>
      </c>
      <c r="Q262" s="1" t="str" cm="1">
        <f t="array" ref="Q262">_xlfn.IFS(N262&gt;=10,"High",N262&gt;=5,"Medium",N262&lt;5,"Low")</f>
        <v>High</v>
      </c>
      <c r="R262" s="1" t="str">
        <f t="shared" si="14"/>
        <v>Medium</v>
      </c>
    </row>
    <row r="263" spans="1:18"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c r="O263" s="1">
        <f t="shared" si="12"/>
        <v>1577.44</v>
      </c>
      <c r="P263" s="1" t="str">
        <f t="shared" si="13"/>
        <v>Low_Price</v>
      </c>
      <c r="Q263" s="1" t="str" cm="1">
        <f t="array" ref="Q263">_xlfn.IFS(N263&gt;=10,"High",N263&gt;=5,"Medium",N263&lt;5,"Low")</f>
        <v>High</v>
      </c>
      <c r="R263" s="1" t="str">
        <f t="shared" si="14"/>
        <v>Low</v>
      </c>
    </row>
    <row r="264" spans="1:18"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c r="O264" s="1">
        <f t="shared" si="12"/>
        <v>1715.21</v>
      </c>
      <c r="P264" s="1" t="str">
        <f t="shared" si="13"/>
        <v>Low_Price</v>
      </c>
      <c r="Q264" s="1" t="str" cm="1">
        <f t="array" ref="Q264">_xlfn.IFS(N264&gt;=10,"High",N264&gt;=5,"Medium",N264&lt;5,"Low")</f>
        <v>Low</v>
      </c>
      <c r="R264" s="1" t="str">
        <f t="shared" si="14"/>
        <v>Medium</v>
      </c>
    </row>
    <row r="265" spans="1:18"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c r="O265" s="1">
        <f t="shared" si="12"/>
        <v>18038.240000000002</v>
      </c>
      <c r="P265" s="1" t="str">
        <f t="shared" si="13"/>
        <v>High_Price</v>
      </c>
      <c r="Q265" s="1" t="str" cm="1">
        <f t="array" ref="Q265">_xlfn.IFS(N265&gt;=10,"High",N265&gt;=5,"Medium",N265&lt;5,"Low")</f>
        <v>Low</v>
      </c>
      <c r="R265" s="1" t="str">
        <f t="shared" si="14"/>
        <v>Medium</v>
      </c>
    </row>
    <row r="266" spans="1:18"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c r="O266" s="1">
        <f t="shared" si="12"/>
        <v>23683.17</v>
      </c>
      <c r="P266" s="1" t="str">
        <f t="shared" si="13"/>
        <v>High_Price</v>
      </c>
      <c r="Q266" s="1" t="str" cm="1">
        <f t="array" ref="Q266">_xlfn.IFS(N266&gt;=10,"High",N266&gt;=5,"Medium",N266&lt;5,"Low")</f>
        <v>High</v>
      </c>
      <c r="R266" s="1" t="str">
        <f t="shared" si="14"/>
        <v>Medium</v>
      </c>
    </row>
    <row r="267" spans="1:18"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c r="O267" s="1">
        <f t="shared" si="12"/>
        <v>3204.1000000000004</v>
      </c>
      <c r="P267" s="1" t="str">
        <f t="shared" si="13"/>
        <v>Low_Price</v>
      </c>
      <c r="Q267" s="1" t="str" cm="1">
        <f t="array" ref="Q267">_xlfn.IFS(N267&gt;=10,"High",N267&gt;=5,"Medium",N267&lt;5,"Low")</f>
        <v>Low</v>
      </c>
      <c r="R267" s="1" t="str">
        <f t="shared" si="14"/>
        <v>Medium</v>
      </c>
    </row>
    <row r="268" spans="1:18"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c r="O268" s="1">
        <f t="shared" si="12"/>
        <v>31253.22</v>
      </c>
      <c r="P268" s="1" t="str">
        <f t="shared" si="13"/>
        <v>High_Price</v>
      </c>
      <c r="Q268" s="1" t="str" cm="1">
        <f t="array" ref="Q268">_xlfn.IFS(N268&gt;=10,"High",N268&gt;=5,"Medium",N268&lt;5,"Low")</f>
        <v>High</v>
      </c>
      <c r="R268" s="1" t="str">
        <f t="shared" si="14"/>
        <v>High</v>
      </c>
    </row>
    <row r="269" spans="1:18"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c r="O269" s="1">
        <f t="shared" si="12"/>
        <v>5111.05</v>
      </c>
      <c r="P269" s="1" t="str">
        <f t="shared" si="13"/>
        <v>Low_Price</v>
      </c>
      <c r="Q269" s="1" t="str" cm="1">
        <f t="array" ref="Q269">_xlfn.IFS(N269&gt;=10,"High",N269&gt;=5,"Medium",N269&lt;5,"Low")</f>
        <v>Low</v>
      </c>
      <c r="R269" s="1" t="str">
        <f t="shared" si="14"/>
        <v>Medium</v>
      </c>
    </row>
    <row r="270" spans="1:18"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c r="O270" s="1">
        <f t="shared" si="12"/>
        <v>6857.28</v>
      </c>
      <c r="P270" s="1" t="str">
        <f t="shared" si="13"/>
        <v>Low_Price</v>
      </c>
      <c r="Q270" s="1" t="str" cm="1">
        <f t="array" ref="Q270">_xlfn.IFS(N270&gt;=10,"High",N270&gt;=5,"Medium",N270&lt;5,"Low")</f>
        <v>High</v>
      </c>
      <c r="R270" s="1" t="str">
        <f t="shared" si="14"/>
        <v>Low</v>
      </c>
    </row>
    <row r="271" spans="1:18"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c r="O271" s="1">
        <f t="shared" si="12"/>
        <v>23802.6</v>
      </c>
      <c r="P271" s="1" t="str">
        <f t="shared" si="13"/>
        <v>High_Price</v>
      </c>
      <c r="Q271" s="1" t="str" cm="1">
        <f t="array" ref="Q271">_xlfn.IFS(N271&gt;=10,"High",N271&gt;=5,"Medium",N271&lt;5,"Low")</f>
        <v>Low</v>
      </c>
      <c r="R271" s="1" t="str">
        <f t="shared" si="14"/>
        <v>Medium</v>
      </c>
    </row>
    <row r="272" spans="1:18"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c r="O272" s="1">
        <f t="shared" si="12"/>
        <v>5896.66</v>
      </c>
      <c r="P272" s="1" t="str">
        <f t="shared" si="13"/>
        <v>Low_Price</v>
      </c>
      <c r="Q272" s="1" t="str" cm="1">
        <f t="array" ref="Q272">_xlfn.IFS(N272&gt;=10,"High",N272&gt;=5,"Medium",N272&lt;5,"Low")</f>
        <v>High</v>
      </c>
      <c r="R272" s="1" t="str">
        <f t="shared" si="14"/>
        <v>Low</v>
      </c>
    </row>
    <row r="273" spans="1:18"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c r="O273" s="1">
        <f t="shared" si="12"/>
        <v>3171.36</v>
      </c>
      <c r="P273" s="1" t="str">
        <f t="shared" si="13"/>
        <v>Low_Price</v>
      </c>
      <c r="Q273" s="1" t="str" cm="1">
        <f t="array" ref="Q273">_xlfn.IFS(N273&gt;=10,"High",N273&gt;=5,"Medium",N273&lt;5,"Low")</f>
        <v>High</v>
      </c>
      <c r="R273" s="1" t="str">
        <f t="shared" si="14"/>
        <v>Low</v>
      </c>
    </row>
    <row r="274" spans="1:18"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c r="O274" s="1">
        <f t="shared" si="12"/>
        <v>27849.5</v>
      </c>
      <c r="P274" s="1" t="str">
        <f t="shared" si="13"/>
        <v>High_Price</v>
      </c>
      <c r="Q274" s="1" t="str" cm="1">
        <f t="array" ref="Q274">_xlfn.IFS(N274&gt;=10,"High",N274&gt;=5,"Medium",N274&lt;5,"Low")</f>
        <v>High</v>
      </c>
      <c r="R274" s="1" t="str">
        <f t="shared" si="14"/>
        <v>Medium</v>
      </c>
    </row>
    <row r="275" spans="1:18"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c r="O275" s="1">
        <f t="shared" si="12"/>
        <v>2670.72</v>
      </c>
      <c r="P275" s="1" t="str">
        <f t="shared" si="13"/>
        <v>Low_Price</v>
      </c>
      <c r="Q275" s="1" t="str" cm="1">
        <f t="array" ref="Q275">_xlfn.IFS(N275&gt;=10,"High",N275&gt;=5,"Medium",N275&lt;5,"Low")</f>
        <v>Medium</v>
      </c>
      <c r="R275" s="1" t="str">
        <f t="shared" si="14"/>
        <v>Low</v>
      </c>
    </row>
    <row r="276" spans="1:18"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c r="O276" s="1">
        <f t="shared" si="12"/>
        <v>1126.5</v>
      </c>
      <c r="P276" s="1" t="str">
        <f t="shared" si="13"/>
        <v>Low_Price</v>
      </c>
      <c r="Q276" s="1" t="str" cm="1">
        <f t="array" ref="Q276">_xlfn.IFS(N276&gt;=10,"High",N276&gt;=5,"Medium",N276&lt;5,"Low")</f>
        <v>High</v>
      </c>
      <c r="R276" s="1" t="str">
        <f t="shared" si="14"/>
        <v>Low</v>
      </c>
    </row>
    <row r="277" spans="1:18"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c r="O277" s="1">
        <f t="shared" si="12"/>
        <v>1393.26</v>
      </c>
      <c r="P277" s="1" t="str">
        <f t="shared" si="13"/>
        <v>Low_Price</v>
      </c>
      <c r="Q277" s="1" t="str" cm="1">
        <f t="array" ref="Q277">_xlfn.IFS(N277&gt;=10,"High",N277&gt;=5,"Medium",N277&lt;5,"Low")</f>
        <v>High</v>
      </c>
      <c r="R277" s="1" t="str">
        <f t="shared" si="14"/>
        <v>Low</v>
      </c>
    </row>
    <row r="278" spans="1:18"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c r="O278" s="1">
        <f t="shared" si="12"/>
        <v>14834.04</v>
      </c>
      <c r="P278" s="1" t="str">
        <f t="shared" si="13"/>
        <v>Low_Price</v>
      </c>
      <c r="Q278" s="1" t="str" cm="1">
        <f t="array" ref="Q278">_xlfn.IFS(N278&gt;=10,"High",N278&gt;=5,"Medium",N278&lt;5,"Low")</f>
        <v>Medium</v>
      </c>
      <c r="R278" s="1" t="str">
        <f t="shared" si="14"/>
        <v>Low</v>
      </c>
    </row>
    <row r="279" spans="1:18"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c r="O279" s="1">
        <f t="shared" si="12"/>
        <v>2567.7199999999998</v>
      </c>
      <c r="P279" s="1" t="str">
        <f t="shared" si="13"/>
        <v>Low_Price</v>
      </c>
      <c r="Q279" s="1" t="str" cm="1">
        <f t="array" ref="Q279">_xlfn.IFS(N279&gt;=10,"High",N279&gt;=5,"Medium",N279&lt;5,"Low")</f>
        <v>Low</v>
      </c>
      <c r="R279" s="1" t="str">
        <f t="shared" si="14"/>
        <v>Low</v>
      </c>
    </row>
    <row r="280" spans="1:18"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c r="O280" s="1">
        <f t="shared" si="12"/>
        <v>9265.5499999999993</v>
      </c>
      <c r="P280" s="1" t="str">
        <f t="shared" si="13"/>
        <v>Low_Price</v>
      </c>
      <c r="Q280" s="1" t="str" cm="1">
        <f t="array" ref="Q280">_xlfn.IFS(N280&gt;=10,"High",N280&gt;=5,"Medium",N280&lt;5,"Low")</f>
        <v>High</v>
      </c>
      <c r="R280" s="1" t="str">
        <f t="shared" si="14"/>
        <v>Medium</v>
      </c>
    </row>
    <row r="281" spans="1:18"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c r="O281" s="1">
        <f t="shared" si="12"/>
        <v>2194.5699999999997</v>
      </c>
      <c r="P281" s="1" t="str">
        <f t="shared" si="13"/>
        <v>Low_Price</v>
      </c>
      <c r="Q281" s="1" t="str" cm="1">
        <f t="array" ref="Q281">_xlfn.IFS(N281&gt;=10,"High",N281&gt;=5,"Medium",N281&lt;5,"Low")</f>
        <v>Low</v>
      </c>
      <c r="R281" s="1" t="str">
        <f t="shared" si="14"/>
        <v>Medium</v>
      </c>
    </row>
    <row r="282" spans="1:18"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c r="O282" s="1">
        <f t="shared" si="12"/>
        <v>11143.24</v>
      </c>
      <c r="P282" s="1" t="str">
        <f t="shared" si="13"/>
        <v>Low_Price</v>
      </c>
      <c r="Q282" s="1" t="str" cm="1">
        <f t="array" ref="Q282">_xlfn.IFS(N282&gt;=10,"High",N282&gt;=5,"Medium",N282&lt;5,"Low")</f>
        <v>High</v>
      </c>
      <c r="R282" s="1" t="str">
        <f t="shared" si="14"/>
        <v>Low</v>
      </c>
    </row>
    <row r="283" spans="1:18"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c r="O283" s="1">
        <f t="shared" si="12"/>
        <v>3625.42</v>
      </c>
      <c r="P283" s="1" t="str">
        <f t="shared" si="13"/>
        <v>Low_Price</v>
      </c>
      <c r="Q283" s="1" t="str" cm="1">
        <f t="array" ref="Q283">_xlfn.IFS(N283&gt;=10,"High",N283&gt;=5,"Medium",N283&lt;5,"Low")</f>
        <v>High</v>
      </c>
      <c r="R283" s="1" t="str">
        <f t="shared" si="14"/>
        <v>Low</v>
      </c>
    </row>
    <row r="284" spans="1:18"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c r="O284" s="1">
        <f t="shared" si="12"/>
        <v>2561.48</v>
      </c>
      <c r="P284" s="1" t="str">
        <f t="shared" si="13"/>
        <v>Low_Price</v>
      </c>
      <c r="Q284" s="1" t="str" cm="1">
        <f t="array" ref="Q284">_xlfn.IFS(N284&gt;=10,"High",N284&gt;=5,"Medium",N284&lt;5,"Low")</f>
        <v>High</v>
      </c>
      <c r="R284" s="1" t="str">
        <f t="shared" si="14"/>
        <v>Low</v>
      </c>
    </row>
    <row r="285" spans="1:18"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c r="O285" s="1">
        <f t="shared" si="12"/>
        <v>3708.38</v>
      </c>
      <c r="P285" s="1" t="str">
        <f t="shared" si="13"/>
        <v>Low_Price</v>
      </c>
      <c r="Q285" s="1" t="str" cm="1">
        <f t="array" ref="Q285">_xlfn.IFS(N285&gt;=10,"High",N285&gt;=5,"Medium",N285&lt;5,"Low")</f>
        <v>High</v>
      </c>
      <c r="R285" s="1" t="str">
        <f t="shared" si="14"/>
        <v>Low</v>
      </c>
    </row>
    <row r="286" spans="1:18"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c r="O286" s="1">
        <f t="shared" si="12"/>
        <v>5770.74</v>
      </c>
      <c r="P286" s="1" t="str">
        <f t="shared" si="13"/>
        <v>Low_Price</v>
      </c>
      <c r="Q286" s="1" t="str" cm="1">
        <f t="array" ref="Q286">_xlfn.IFS(N286&gt;=10,"High",N286&gt;=5,"Medium",N286&lt;5,"Low")</f>
        <v>High</v>
      </c>
      <c r="R286" s="1" t="str">
        <f t="shared" si="14"/>
        <v>Low</v>
      </c>
    </row>
    <row r="287" spans="1:18"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c r="O287" s="1">
        <f t="shared" si="12"/>
        <v>4142.08</v>
      </c>
      <c r="P287" s="1" t="str">
        <f t="shared" si="13"/>
        <v>Low_Price</v>
      </c>
      <c r="Q287" s="1" t="str" cm="1">
        <f t="array" ref="Q287">_xlfn.IFS(N287&gt;=10,"High",N287&gt;=5,"Medium",N287&lt;5,"Low")</f>
        <v>High</v>
      </c>
      <c r="R287" s="1" t="str">
        <f t="shared" si="14"/>
        <v>Low</v>
      </c>
    </row>
    <row r="288" spans="1:18"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c r="O288" s="1">
        <f t="shared" si="12"/>
        <v>23695.920000000002</v>
      </c>
      <c r="P288" s="1" t="str">
        <f t="shared" si="13"/>
        <v>High_Price</v>
      </c>
      <c r="Q288" s="1" t="str" cm="1">
        <f t="array" ref="Q288">_xlfn.IFS(N288&gt;=10,"High",N288&gt;=5,"Medium",N288&lt;5,"Low")</f>
        <v>Medium</v>
      </c>
      <c r="R288" s="1" t="str">
        <f t="shared" si="14"/>
        <v>High</v>
      </c>
    </row>
    <row r="289" spans="1:18"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c r="O289" s="1">
        <f t="shared" si="12"/>
        <v>11337.93</v>
      </c>
      <c r="P289" s="1" t="str">
        <f t="shared" si="13"/>
        <v>Low_Price</v>
      </c>
      <c r="Q289" s="1" t="str" cm="1">
        <f t="array" ref="Q289">_xlfn.IFS(N289&gt;=10,"High",N289&gt;=5,"Medium",N289&lt;5,"Low")</f>
        <v>High</v>
      </c>
      <c r="R289" s="1" t="str">
        <f t="shared" si="14"/>
        <v>High</v>
      </c>
    </row>
    <row r="290" spans="1:18"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c r="O290" s="1">
        <f t="shared" si="12"/>
        <v>10402.48</v>
      </c>
      <c r="P290" s="1" t="str">
        <f t="shared" si="13"/>
        <v>Low_Price</v>
      </c>
      <c r="Q290" s="1" t="str" cm="1">
        <f t="array" ref="Q290">_xlfn.IFS(N290&gt;=10,"High",N290&gt;=5,"Medium",N290&lt;5,"Low")</f>
        <v>Low</v>
      </c>
      <c r="R290" s="1" t="str">
        <f t="shared" si="14"/>
        <v>Medium</v>
      </c>
    </row>
    <row r="291" spans="1:18"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c r="O291" s="1">
        <f t="shared" si="12"/>
        <v>28648.959999999999</v>
      </c>
      <c r="P291" s="1" t="str">
        <f t="shared" si="13"/>
        <v>High_Price</v>
      </c>
      <c r="Q291" s="1" t="str" cm="1">
        <f t="array" ref="Q291">_xlfn.IFS(N291&gt;=10,"High",N291&gt;=5,"Medium",N291&lt;5,"Low")</f>
        <v>High</v>
      </c>
      <c r="R291" s="1" t="str">
        <f t="shared" si="14"/>
        <v>Medium</v>
      </c>
    </row>
    <row r="292" spans="1:18"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c r="O292" s="1">
        <f t="shared" si="12"/>
        <v>202.49</v>
      </c>
      <c r="P292" s="1" t="str">
        <f t="shared" si="13"/>
        <v>Low_Price</v>
      </c>
      <c r="Q292" s="1" t="str" cm="1">
        <f t="array" ref="Q292">_xlfn.IFS(N292&gt;=10,"High",N292&gt;=5,"Medium",N292&lt;5,"Low")</f>
        <v>Medium</v>
      </c>
      <c r="R292" s="1" t="str">
        <f t="shared" si="14"/>
        <v>Low</v>
      </c>
    </row>
    <row r="293" spans="1:18"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c r="O293" s="1">
        <f t="shared" si="12"/>
        <v>11140</v>
      </c>
      <c r="P293" s="1" t="str">
        <f t="shared" si="13"/>
        <v>Low_Price</v>
      </c>
      <c r="Q293" s="1" t="str" cm="1">
        <f t="array" ref="Q293">_xlfn.IFS(N293&gt;=10,"High",N293&gt;=5,"Medium",N293&lt;5,"Low")</f>
        <v>High</v>
      </c>
      <c r="R293" s="1" t="str">
        <f t="shared" si="14"/>
        <v>Medium</v>
      </c>
    </row>
    <row r="294" spans="1:18"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c r="O294" s="1">
        <f t="shared" si="12"/>
        <v>6852.8099999999995</v>
      </c>
      <c r="P294" s="1" t="str">
        <f t="shared" si="13"/>
        <v>Low_Price</v>
      </c>
      <c r="Q294" s="1" t="str" cm="1">
        <f t="array" ref="Q294">_xlfn.IFS(N294&gt;=10,"High",N294&gt;=5,"Medium",N294&lt;5,"Low")</f>
        <v>High</v>
      </c>
      <c r="R294" s="1" t="str">
        <f t="shared" si="14"/>
        <v>Low</v>
      </c>
    </row>
    <row r="295" spans="1:18"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c r="O295" s="1">
        <f t="shared" si="12"/>
        <v>17967.3</v>
      </c>
      <c r="P295" s="1" t="str">
        <f t="shared" si="13"/>
        <v>High_Price</v>
      </c>
      <c r="Q295" s="1" t="str" cm="1">
        <f t="array" ref="Q295">_xlfn.IFS(N295&gt;=10,"High",N295&gt;=5,"Medium",N295&lt;5,"Low")</f>
        <v>High</v>
      </c>
      <c r="R295" s="1" t="str">
        <f t="shared" si="14"/>
        <v>Medium</v>
      </c>
    </row>
    <row r="296" spans="1:18"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c r="O296" s="1">
        <f t="shared" si="12"/>
        <v>16604.400000000001</v>
      </c>
      <c r="P296" s="1" t="str">
        <f t="shared" si="13"/>
        <v>High_Price</v>
      </c>
      <c r="Q296" s="1" t="str" cm="1">
        <f t="array" ref="Q296">_xlfn.IFS(N296&gt;=10,"High",N296&gt;=5,"Medium",N296&lt;5,"Low")</f>
        <v>Low</v>
      </c>
      <c r="R296" s="1" t="str">
        <f t="shared" si="14"/>
        <v>Medium</v>
      </c>
    </row>
    <row r="297" spans="1:18"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c r="O297" s="1">
        <f t="shared" si="12"/>
        <v>28882.639999999999</v>
      </c>
      <c r="P297" s="1" t="str">
        <f t="shared" si="13"/>
        <v>High_Price</v>
      </c>
      <c r="Q297" s="1" t="str" cm="1">
        <f t="array" ref="Q297">_xlfn.IFS(N297&gt;=10,"High",N297&gt;=5,"Medium",N297&lt;5,"Low")</f>
        <v>Medium</v>
      </c>
      <c r="R297" s="1" t="str">
        <f t="shared" si="14"/>
        <v>Medium</v>
      </c>
    </row>
    <row r="298" spans="1:18"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c r="O298" s="1">
        <f t="shared" si="12"/>
        <v>26217.52</v>
      </c>
      <c r="P298" s="1" t="str">
        <f t="shared" si="13"/>
        <v>High_Price</v>
      </c>
      <c r="Q298" s="1" t="str" cm="1">
        <f t="array" ref="Q298">_xlfn.IFS(N298&gt;=10,"High",N298&gt;=5,"Medium",N298&lt;5,"Low")</f>
        <v>High</v>
      </c>
      <c r="R298" s="1" t="str">
        <f t="shared" si="14"/>
        <v>Medium</v>
      </c>
    </row>
    <row r="299" spans="1:18"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c r="O299" s="1">
        <f t="shared" si="12"/>
        <v>9771.36</v>
      </c>
      <c r="P299" s="1" t="str">
        <f t="shared" si="13"/>
        <v>Low_Price</v>
      </c>
      <c r="Q299" s="1" t="str" cm="1">
        <f t="array" ref="Q299">_xlfn.IFS(N299&gt;=10,"High",N299&gt;=5,"Medium",N299&lt;5,"Low")</f>
        <v>Low</v>
      </c>
      <c r="R299" s="1" t="str">
        <f t="shared" si="14"/>
        <v>Medium</v>
      </c>
    </row>
    <row r="300" spans="1:18"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c r="O300" s="1">
        <f t="shared" si="12"/>
        <v>16290.78</v>
      </c>
      <c r="P300" s="1" t="str">
        <f t="shared" si="13"/>
        <v>High_Price</v>
      </c>
      <c r="Q300" s="1" t="str" cm="1">
        <f t="array" ref="Q300">_xlfn.IFS(N300&gt;=10,"High",N300&gt;=5,"Medium",N300&lt;5,"Low")</f>
        <v>High</v>
      </c>
      <c r="R300" s="1" t="str">
        <f t="shared" si="14"/>
        <v>Medium</v>
      </c>
    </row>
    <row r="301" spans="1:18"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c r="O301" s="1">
        <f t="shared" si="12"/>
        <v>7914.04</v>
      </c>
      <c r="P301" s="1" t="str">
        <f t="shared" si="13"/>
        <v>Low_Price</v>
      </c>
      <c r="Q301" s="1" t="str" cm="1">
        <f t="array" ref="Q301">_xlfn.IFS(N301&gt;=10,"High",N301&gt;=5,"Medium",N301&lt;5,"Low")</f>
        <v>Medium</v>
      </c>
      <c r="R301" s="1" t="str">
        <f t="shared" si="14"/>
        <v>Low</v>
      </c>
    </row>
    <row r="302" spans="1:18"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c r="O302" s="1">
        <f t="shared" si="12"/>
        <v>6114.2999999999993</v>
      </c>
      <c r="P302" s="1" t="str">
        <f t="shared" si="13"/>
        <v>Low_Price</v>
      </c>
      <c r="Q302" s="1" t="str" cm="1">
        <f t="array" ref="Q302">_xlfn.IFS(N302&gt;=10,"High",N302&gt;=5,"Medium",N302&lt;5,"Low")</f>
        <v>Low</v>
      </c>
      <c r="R302" s="1" t="str">
        <f t="shared" si="14"/>
        <v>Medium</v>
      </c>
    </row>
    <row r="303" spans="1:18"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c r="O303" s="1">
        <f t="shared" si="12"/>
        <v>8255.5499999999993</v>
      </c>
      <c r="P303" s="1" t="str">
        <f t="shared" si="13"/>
        <v>Low_Price</v>
      </c>
      <c r="Q303" s="1" t="str" cm="1">
        <f t="array" ref="Q303">_xlfn.IFS(N303&gt;=10,"High",N303&gt;=5,"Medium",N303&lt;5,"Low")</f>
        <v>High</v>
      </c>
      <c r="R303" s="1" t="str">
        <f t="shared" si="14"/>
        <v>Medium</v>
      </c>
    </row>
    <row r="304" spans="1:18"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c r="O304" s="1">
        <f t="shared" si="12"/>
        <v>4088.16</v>
      </c>
      <c r="P304" s="1" t="str">
        <f t="shared" si="13"/>
        <v>Low_Price</v>
      </c>
      <c r="Q304" s="1" t="str" cm="1">
        <f t="array" ref="Q304">_xlfn.IFS(N304&gt;=10,"High",N304&gt;=5,"Medium",N304&lt;5,"Low")</f>
        <v>High</v>
      </c>
      <c r="R304" s="1" t="str">
        <f t="shared" si="14"/>
        <v>Medium</v>
      </c>
    </row>
    <row r="305" spans="1:18"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c r="O305" s="1">
        <f t="shared" si="12"/>
        <v>3910.66</v>
      </c>
      <c r="P305" s="1" t="str">
        <f t="shared" si="13"/>
        <v>Low_Price</v>
      </c>
      <c r="Q305" s="1" t="str" cm="1">
        <f t="array" ref="Q305">_xlfn.IFS(N305&gt;=10,"High",N305&gt;=5,"Medium",N305&lt;5,"Low")</f>
        <v>Medium</v>
      </c>
      <c r="R305" s="1" t="str">
        <f t="shared" si="14"/>
        <v>Low</v>
      </c>
    </row>
    <row r="306" spans="1:18"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c r="O306" s="1">
        <f t="shared" si="12"/>
        <v>1462.35</v>
      </c>
      <c r="P306" s="1" t="str">
        <f t="shared" si="13"/>
        <v>Low_Price</v>
      </c>
      <c r="Q306" s="1" t="str" cm="1">
        <f t="array" ref="Q306">_xlfn.IFS(N306&gt;=10,"High",N306&gt;=5,"Medium",N306&lt;5,"Low")</f>
        <v>Medium</v>
      </c>
      <c r="R306" s="1" t="str">
        <f t="shared" si="14"/>
        <v>Low</v>
      </c>
    </row>
    <row r="307" spans="1:18"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c r="O307" s="1">
        <f t="shared" si="12"/>
        <v>3581.58</v>
      </c>
      <c r="P307" s="1" t="str">
        <f t="shared" si="13"/>
        <v>Low_Price</v>
      </c>
      <c r="Q307" s="1" t="str" cm="1">
        <f t="array" ref="Q307">_xlfn.IFS(N307&gt;=10,"High",N307&gt;=5,"Medium",N307&lt;5,"Low")</f>
        <v>High</v>
      </c>
      <c r="R307" s="1" t="str">
        <f t="shared" si="14"/>
        <v>Low</v>
      </c>
    </row>
    <row r="308" spans="1:18"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c r="O308" s="1">
        <f t="shared" si="12"/>
        <v>9678.4</v>
      </c>
      <c r="P308" s="1" t="str">
        <f t="shared" si="13"/>
        <v>Low_Price</v>
      </c>
      <c r="Q308" s="1" t="str" cm="1">
        <f t="array" ref="Q308">_xlfn.IFS(N308&gt;=10,"High",N308&gt;=5,"Medium",N308&lt;5,"Low")</f>
        <v>High</v>
      </c>
      <c r="R308" s="1" t="str">
        <f t="shared" si="14"/>
        <v>Medium</v>
      </c>
    </row>
    <row r="309" spans="1:18"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c r="O309" s="1">
        <f t="shared" si="12"/>
        <v>4146.33</v>
      </c>
      <c r="P309" s="1" t="str">
        <f t="shared" si="13"/>
        <v>Low_Price</v>
      </c>
      <c r="Q309" s="1" t="str" cm="1">
        <f t="array" ref="Q309">_xlfn.IFS(N309&gt;=10,"High",N309&gt;=5,"Medium",N309&lt;5,"Low")</f>
        <v>High</v>
      </c>
      <c r="R309" s="1" t="str">
        <f t="shared" si="14"/>
        <v>Low</v>
      </c>
    </row>
    <row r="310" spans="1:18"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c r="O310" s="1">
        <f t="shared" si="12"/>
        <v>3968.76</v>
      </c>
      <c r="P310" s="1" t="str">
        <f t="shared" si="13"/>
        <v>Low_Price</v>
      </c>
      <c r="Q310" s="1" t="str" cm="1">
        <f t="array" ref="Q310">_xlfn.IFS(N310&gt;=10,"High",N310&gt;=5,"Medium",N310&lt;5,"Low")</f>
        <v>High</v>
      </c>
      <c r="R310" s="1" t="str">
        <f t="shared" si="14"/>
        <v>Low</v>
      </c>
    </row>
    <row r="311" spans="1:18"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c r="O311" s="1">
        <f t="shared" si="12"/>
        <v>11003.76</v>
      </c>
      <c r="P311" s="1" t="str">
        <f t="shared" si="13"/>
        <v>Low_Price</v>
      </c>
      <c r="Q311" s="1" t="str" cm="1">
        <f t="array" ref="Q311">_xlfn.IFS(N311&gt;=10,"High",N311&gt;=5,"Medium",N311&lt;5,"Low")</f>
        <v>High</v>
      </c>
      <c r="R311" s="1" t="str">
        <f t="shared" si="14"/>
        <v>Medium</v>
      </c>
    </row>
    <row r="312" spans="1:18"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c r="O312" s="1">
        <f t="shared" si="12"/>
        <v>6098.37</v>
      </c>
      <c r="P312" s="1" t="str">
        <f t="shared" si="13"/>
        <v>Low_Price</v>
      </c>
      <c r="Q312" s="1" t="str" cm="1">
        <f t="array" ref="Q312">_xlfn.IFS(N312&gt;=10,"High",N312&gt;=5,"Medium",N312&lt;5,"Low")</f>
        <v>High</v>
      </c>
      <c r="R312" s="1" t="str">
        <f t="shared" si="14"/>
        <v>Low</v>
      </c>
    </row>
    <row r="313" spans="1:18"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c r="O313" s="1">
        <f t="shared" si="12"/>
        <v>2430.36</v>
      </c>
      <c r="P313" s="1" t="str">
        <f t="shared" si="13"/>
        <v>Low_Price</v>
      </c>
      <c r="Q313" s="1" t="str" cm="1">
        <f t="array" ref="Q313">_xlfn.IFS(N313&gt;=10,"High",N313&gt;=5,"Medium",N313&lt;5,"Low")</f>
        <v>High</v>
      </c>
      <c r="R313" s="1" t="str">
        <f t="shared" si="14"/>
        <v>Low</v>
      </c>
    </row>
    <row r="314" spans="1:18"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c r="O314" s="1">
        <f t="shared" si="12"/>
        <v>4661.9400000000005</v>
      </c>
      <c r="P314" s="1" t="str">
        <f t="shared" si="13"/>
        <v>Low_Price</v>
      </c>
      <c r="Q314" s="1" t="str" cm="1">
        <f t="array" ref="Q314">_xlfn.IFS(N314&gt;=10,"High",N314&gt;=5,"Medium",N314&lt;5,"Low")</f>
        <v>High</v>
      </c>
      <c r="R314" s="1" t="str">
        <f t="shared" si="14"/>
        <v>Low</v>
      </c>
    </row>
    <row r="315" spans="1:18"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c r="O315" s="1">
        <f t="shared" si="12"/>
        <v>23946</v>
      </c>
      <c r="P315" s="1" t="str">
        <f t="shared" si="13"/>
        <v>High_Price</v>
      </c>
      <c r="Q315" s="1" t="str" cm="1">
        <f t="array" ref="Q315">_xlfn.IFS(N315&gt;=10,"High",N315&gt;=5,"Medium",N315&lt;5,"Low")</f>
        <v>High</v>
      </c>
      <c r="R315" s="1" t="str">
        <f t="shared" si="14"/>
        <v>Medium</v>
      </c>
    </row>
    <row r="316" spans="1:18"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c r="O316" s="1">
        <f t="shared" si="12"/>
        <v>16298.880000000001</v>
      </c>
      <c r="P316" s="1" t="str">
        <f t="shared" si="13"/>
        <v>High_Price</v>
      </c>
      <c r="Q316" s="1" t="str" cm="1">
        <f t="array" ref="Q316">_xlfn.IFS(N316&gt;=10,"High",N316&gt;=5,"Medium",N316&lt;5,"Low")</f>
        <v>Low</v>
      </c>
      <c r="R316" s="1" t="str">
        <f t="shared" si="14"/>
        <v>Medium</v>
      </c>
    </row>
    <row r="317" spans="1:18"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c r="O317" s="1">
        <f t="shared" si="12"/>
        <v>1220.6199999999999</v>
      </c>
      <c r="P317" s="1" t="str">
        <f t="shared" si="13"/>
        <v>Low_Price</v>
      </c>
      <c r="Q317" s="1" t="str" cm="1">
        <f t="array" ref="Q317">_xlfn.IFS(N317&gt;=10,"High",N317&gt;=5,"Medium",N317&lt;5,"Low")</f>
        <v>High</v>
      </c>
      <c r="R317" s="1" t="str">
        <f t="shared" si="14"/>
        <v>Low</v>
      </c>
    </row>
    <row r="318" spans="1:18"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c r="O318" s="1">
        <f t="shared" si="12"/>
        <v>14128.02</v>
      </c>
      <c r="P318" s="1" t="str">
        <f t="shared" si="13"/>
        <v>Low_Price</v>
      </c>
      <c r="Q318" s="1" t="str" cm="1">
        <f t="array" ref="Q318">_xlfn.IFS(N318&gt;=10,"High",N318&gt;=5,"Medium",N318&lt;5,"Low")</f>
        <v>High</v>
      </c>
      <c r="R318" s="1" t="str">
        <f t="shared" si="14"/>
        <v>Medium</v>
      </c>
    </row>
    <row r="319" spans="1:18"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c r="O319" s="1">
        <f t="shared" si="12"/>
        <v>16228.85</v>
      </c>
      <c r="P319" s="1" t="str">
        <f t="shared" si="13"/>
        <v>High_Price</v>
      </c>
      <c r="Q319" s="1" t="str" cm="1">
        <f t="array" ref="Q319">_xlfn.IFS(N319&gt;=10,"High",N319&gt;=5,"Medium",N319&lt;5,"Low")</f>
        <v>Low</v>
      </c>
      <c r="R319" s="1" t="str">
        <f t="shared" si="14"/>
        <v>Medium</v>
      </c>
    </row>
    <row r="320" spans="1:18"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c r="O320" s="1">
        <f t="shared" si="12"/>
        <v>5369.58</v>
      </c>
      <c r="P320" s="1" t="str">
        <f t="shared" si="13"/>
        <v>Low_Price</v>
      </c>
      <c r="Q320" s="1" t="str" cm="1">
        <f t="array" ref="Q320">_xlfn.IFS(N320&gt;=10,"High",N320&gt;=5,"Medium",N320&lt;5,"Low")</f>
        <v>Low</v>
      </c>
      <c r="R320" s="1" t="str">
        <f t="shared" si="14"/>
        <v>Low</v>
      </c>
    </row>
    <row r="321" spans="1:18"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c r="O321" s="1">
        <f t="shared" si="12"/>
        <v>2743.75</v>
      </c>
      <c r="P321" s="1" t="str">
        <f t="shared" si="13"/>
        <v>Low_Price</v>
      </c>
      <c r="Q321" s="1" t="str" cm="1">
        <f t="array" ref="Q321">_xlfn.IFS(N321&gt;=10,"High",N321&gt;=5,"Medium",N321&lt;5,"Low")</f>
        <v>High</v>
      </c>
      <c r="R321" s="1" t="str">
        <f t="shared" si="14"/>
        <v>Low</v>
      </c>
    </row>
    <row r="322" spans="1:18"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c r="O322" s="1">
        <f t="shared" si="12"/>
        <v>5335.96</v>
      </c>
      <c r="P322" s="1" t="str">
        <f t="shared" si="13"/>
        <v>Low_Price</v>
      </c>
      <c r="Q322" s="1" t="str" cm="1">
        <f t="array" ref="Q322">_xlfn.IFS(N322&gt;=10,"High",N322&gt;=5,"Medium",N322&lt;5,"Low")</f>
        <v>Medium</v>
      </c>
      <c r="R322" s="1" t="str">
        <f t="shared" si="14"/>
        <v>Low</v>
      </c>
    </row>
    <row r="323" spans="1:18"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c r="O323" s="1">
        <f t="shared" ref="O323:O373" si="15">L323*M323</f>
        <v>2044.41</v>
      </c>
      <c r="P323" s="1" t="str">
        <f t="shared" ref="P323:P373" si="16">IF(O323&gt;=15000,"High_Price","Low_Price")</f>
        <v>Low_Price</v>
      </c>
      <c r="Q323" s="1" t="str" cm="1">
        <f t="array" ref="Q323">_xlfn.IFS(N323&gt;=10,"High",N323&gt;=5,"Medium",N323&lt;5,"Low")</f>
        <v>Low</v>
      </c>
      <c r="R323" s="1" t="str">
        <f t="shared" ref="R323:R373" si="17">IF(L323&gt;8,"High",IF(L323&gt;4,"Medium","Low"))</f>
        <v>Low</v>
      </c>
    </row>
    <row r="324" spans="1:18"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c r="O324" s="1">
        <f t="shared" si="15"/>
        <v>28949.040000000001</v>
      </c>
      <c r="P324" s="1" t="str">
        <f t="shared" si="16"/>
        <v>High_Price</v>
      </c>
      <c r="Q324" s="1" t="str" cm="1">
        <f t="array" ref="Q324">_xlfn.IFS(N324&gt;=10,"High",N324&gt;=5,"Medium",N324&lt;5,"Low")</f>
        <v>High</v>
      </c>
      <c r="R324" s="1" t="str">
        <f t="shared" si="17"/>
        <v>High</v>
      </c>
    </row>
    <row r="325" spans="1:18"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c r="O325" s="1">
        <f t="shared" si="15"/>
        <v>7141.6100000000006</v>
      </c>
      <c r="P325" s="1" t="str">
        <f t="shared" si="16"/>
        <v>Low_Price</v>
      </c>
      <c r="Q325" s="1" t="str" cm="1">
        <f t="array" ref="Q325">_xlfn.IFS(N325&gt;=10,"High",N325&gt;=5,"Medium",N325&lt;5,"Low")</f>
        <v>High</v>
      </c>
      <c r="R325" s="1" t="str">
        <f t="shared" si="17"/>
        <v>Medium</v>
      </c>
    </row>
    <row r="326" spans="1:18"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c r="O326" s="1">
        <f t="shared" si="15"/>
        <v>6497.16</v>
      </c>
      <c r="P326" s="1" t="str">
        <f t="shared" si="16"/>
        <v>Low_Price</v>
      </c>
      <c r="Q326" s="1" t="str" cm="1">
        <f t="array" ref="Q326">_xlfn.IFS(N326&gt;=10,"High",N326&gt;=5,"Medium",N326&lt;5,"Low")</f>
        <v>Medium</v>
      </c>
      <c r="R326" s="1" t="str">
        <f t="shared" si="17"/>
        <v>Low</v>
      </c>
    </row>
    <row r="327" spans="1:18"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c r="O327" s="1">
        <f t="shared" si="15"/>
        <v>10380.719999999999</v>
      </c>
      <c r="P327" s="1" t="str">
        <f t="shared" si="16"/>
        <v>Low_Price</v>
      </c>
      <c r="Q327" s="1" t="str" cm="1">
        <f t="array" ref="Q327">_xlfn.IFS(N327&gt;=10,"High",N327&gt;=5,"Medium",N327&lt;5,"Low")</f>
        <v>Low</v>
      </c>
      <c r="R327" s="1" t="str">
        <f t="shared" si="17"/>
        <v>Medium</v>
      </c>
    </row>
    <row r="328" spans="1:18"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c r="O328" s="1">
        <f t="shared" si="15"/>
        <v>1219.7</v>
      </c>
      <c r="P328" s="1" t="str">
        <f t="shared" si="16"/>
        <v>Low_Price</v>
      </c>
      <c r="Q328" s="1" t="str" cm="1">
        <f t="array" ref="Q328">_xlfn.IFS(N328&gt;=10,"High",N328&gt;=5,"Medium",N328&lt;5,"Low")</f>
        <v>Medium</v>
      </c>
      <c r="R328" s="1" t="str">
        <f t="shared" si="17"/>
        <v>Low</v>
      </c>
    </row>
    <row r="329" spans="1:18"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c r="O329" s="1">
        <f t="shared" si="15"/>
        <v>3354.81</v>
      </c>
      <c r="P329" s="1" t="str">
        <f t="shared" si="16"/>
        <v>Low_Price</v>
      </c>
      <c r="Q329" s="1" t="str" cm="1">
        <f t="array" ref="Q329">_xlfn.IFS(N329&gt;=10,"High",N329&gt;=5,"Medium",N329&lt;5,"Low")</f>
        <v>Low</v>
      </c>
      <c r="R329" s="1" t="str">
        <f t="shared" si="17"/>
        <v>Low</v>
      </c>
    </row>
    <row r="330" spans="1:18"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c r="O330" s="1">
        <f t="shared" si="15"/>
        <v>31244.560000000001</v>
      </c>
      <c r="P330" s="1" t="str">
        <f t="shared" si="16"/>
        <v>High_Price</v>
      </c>
      <c r="Q330" s="1" t="str" cm="1">
        <f t="array" ref="Q330">_xlfn.IFS(N330&gt;=10,"High",N330&gt;=5,"Medium",N330&lt;5,"Low")</f>
        <v>High</v>
      </c>
      <c r="R330" s="1" t="str">
        <f t="shared" si="17"/>
        <v>Medium</v>
      </c>
    </row>
    <row r="331" spans="1:18"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c r="O331" s="1">
        <f t="shared" si="15"/>
        <v>7729.86</v>
      </c>
      <c r="P331" s="1" t="str">
        <f t="shared" si="16"/>
        <v>Low_Price</v>
      </c>
      <c r="Q331" s="1" t="str" cm="1">
        <f t="array" ref="Q331">_xlfn.IFS(N331&gt;=10,"High",N331&gt;=5,"Medium",N331&lt;5,"Low")</f>
        <v>High</v>
      </c>
      <c r="R331" s="1" t="str">
        <f t="shared" si="17"/>
        <v>Medium</v>
      </c>
    </row>
    <row r="332" spans="1:18"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c r="O332" s="1">
        <f t="shared" si="15"/>
        <v>33662.700000000004</v>
      </c>
      <c r="P332" s="1" t="str">
        <f t="shared" si="16"/>
        <v>High_Price</v>
      </c>
      <c r="Q332" s="1" t="str" cm="1">
        <f t="array" ref="Q332">_xlfn.IFS(N332&gt;=10,"High",N332&gt;=5,"Medium",N332&lt;5,"Low")</f>
        <v>High</v>
      </c>
      <c r="R332" s="1" t="str">
        <f t="shared" si="17"/>
        <v>High</v>
      </c>
    </row>
    <row r="333" spans="1:18"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c r="O333" s="1">
        <f t="shared" si="15"/>
        <v>22091.31</v>
      </c>
      <c r="P333" s="1" t="str">
        <f t="shared" si="16"/>
        <v>High_Price</v>
      </c>
      <c r="Q333" s="1" t="str" cm="1">
        <f t="array" ref="Q333">_xlfn.IFS(N333&gt;=10,"High",N333&gt;=5,"Medium",N333&lt;5,"Low")</f>
        <v>Medium</v>
      </c>
      <c r="R333" s="1" t="str">
        <f t="shared" si="17"/>
        <v>High</v>
      </c>
    </row>
    <row r="334" spans="1:18"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c r="O334" s="1">
        <f t="shared" si="15"/>
        <v>13484.22</v>
      </c>
      <c r="P334" s="1" t="str">
        <f t="shared" si="16"/>
        <v>Low_Price</v>
      </c>
      <c r="Q334" s="1" t="str" cm="1">
        <f t="array" ref="Q334">_xlfn.IFS(N334&gt;=10,"High",N334&gt;=5,"Medium",N334&lt;5,"Low")</f>
        <v>High</v>
      </c>
      <c r="R334" s="1" t="str">
        <f t="shared" si="17"/>
        <v>Medium</v>
      </c>
    </row>
    <row r="335" spans="1:18"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c r="O335" s="1">
        <f t="shared" si="15"/>
        <v>3498.88</v>
      </c>
      <c r="P335" s="1" t="str">
        <f t="shared" si="16"/>
        <v>Low_Price</v>
      </c>
      <c r="Q335" s="1" t="str" cm="1">
        <f t="array" ref="Q335">_xlfn.IFS(N335&gt;=10,"High",N335&gt;=5,"Medium",N335&lt;5,"Low")</f>
        <v>High</v>
      </c>
      <c r="R335" s="1" t="str">
        <f t="shared" si="17"/>
        <v>Medium</v>
      </c>
    </row>
    <row r="336" spans="1:18"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c r="O336" s="1">
        <f t="shared" si="15"/>
        <v>10934.34</v>
      </c>
      <c r="P336" s="1" t="str">
        <f t="shared" si="16"/>
        <v>Low_Price</v>
      </c>
      <c r="Q336" s="1" t="str" cm="1">
        <f t="array" ref="Q336">_xlfn.IFS(N336&gt;=10,"High",N336&gt;=5,"Medium",N336&lt;5,"Low")</f>
        <v>Low</v>
      </c>
      <c r="R336" s="1" t="str">
        <f t="shared" si="17"/>
        <v>Low</v>
      </c>
    </row>
    <row r="337" spans="1:18"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c r="O337" s="1">
        <f t="shared" si="15"/>
        <v>11960.34</v>
      </c>
      <c r="P337" s="1" t="str">
        <f t="shared" si="16"/>
        <v>Low_Price</v>
      </c>
      <c r="Q337" s="1" t="str" cm="1">
        <f t="array" ref="Q337">_xlfn.IFS(N337&gt;=10,"High",N337&gt;=5,"Medium",N337&lt;5,"Low")</f>
        <v>High</v>
      </c>
      <c r="R337" s="1" t="str">
        <f t="shared" si="17"/>
        <v>Low</v>
      </c>
    </row>
    <row r="338" spans="1:18"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c r="O338" s="1">
        <f t="shared" si="15"/>
        <v>15581.099999999999</v>
      </c>
      <c r="P338" s="1" t="str">
        <f t="shared" si="16"/>
        <v>High_Price</v>
      </c>
      <c r="Q338" s="1" t="str" cm="1">
        <f t="array" ref="Q338">_xlfn.IFS(N338&gt;=10,"High",N338&gt;=5,"Medium",N338&lt;5,"Low")</f>
        <v>High</v>
      </c>
      <c r="R338" s="1" t="str">
        <f t="shared" si="17"/>
        <v>Medium</v>
      </c>
    </row>
    <row r="339" spans="1:18"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c r="O339" s="1">
        <f t="shared" si="15"/>
        <v>4345.8599999999997</v>
      </c>
      <c r="P339" s="1" t="str">
        <f t="shared" si="16"/>
        <v>Low_Price</v>
      </c>
      <c r="Q339" s="1" t="str" cm="1">
        <f t="array" ref="Q339">_xlfn.IFS(N339&gt;=10,"High",N339&gt;=5,"Medium",N339&lt;5,"Low")</f>
        <v>High</v>
      </c>
      <c r="R339" s="1" t="str">
        <f t="shared" si="17"/>
        <v>Low</v>
      </c>
    </row>
    <row r="340" spans="1:18"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c r="O340" s="1">
        <f t="shared" si="15"/>
        <v>3775.07</v>
      </c>
      <c r="P340" s="1" t="str">
        <f t="shared" si="16"/>
        <v>Low_Price</v>
      </c>
      <c r="Q340" s="1" t="str" cm="1">
        <f t="array" ref="Q340">_xlfn.IFS(N340&gt;=10,"High",N340&gt;=5,"Medium",N340&lt;5,"Low")</f>
        <v>High</v>
      </c>
      <c r="R340" s="1" t="str">
        <f t="shared" si="17"/>
        <v>Low</v>
      </c>
    </row>
    <row r="341" spans="1:18"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c r="O341" s="1">
        <f t="shared" si="15"/>
        <v>6568.2000000000007</v>
      </c>
      <c r="P341" s="1" t="str">
        <f t="shared" si="16"/>
        <v>Low_Price</v>
      </c>
      <c r="Q341" s="1" t="str" cm="1">
        <f t="array" ref="Q341">_xlfn.IFS(N341&gt;=10,"High",N341&gt;=5,"Medium",N341&lt;5,"Low")</f>
        <v>High</v>
      </c>
      <c r="R341" s="1" t="str">
        <f t="shared" si="17"/>
        <v>Low</v>
      </c>
    </row>
    <row r="342" spans="1:18"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c r="O342" s="1">
        <f t="shared" si="15"/>
        <v>26727.3</v>
      </c>
      <c r="P342" s="1" t="str">
        <f t="shared" si="16"/>
        <v>High_Price</v>
      </c>
      <c r="Q342" s="1" t="str" cm="1">
        <f t="array" ref="Q342">_xlfn.IFS(N342&gt;=10,"High",N342&gt;=5,"Medium",N342&lt;5,"Low")</f>
        <v>High</v>
      </c>
      <c r="R342" s="1" t="str">
        <f t="shared" si="17"/>
        <v>High</v>
      </c>
    </row>
    <row r="343" spans="1:18"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c r="O343" s="1">
        <f t="shared" si="15"/>
        <v>7808.88</v>
      </c>
      <c r="P343" s="1" t="str">
        <f t="shared" si="16"/>
        <v>Low_Price</v>
      </c>
      <c r="Q343" s="1" t="str" cm="1">
        <f t="array" ref="Q343">_xlfn.IFS(N343&gt;=10,"High",N343&gt;=5,"Medium",N343&lt;5,"Low")</f>
        <v>High</v>
      </c>
      <c r="R343" s="1" t="str">
        <f t="shared" si="17"/>
        <v>Low</v>
      </c>
    </row>
    <row r="344" spans="1:18"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c r="O344" s="1">
        <f t="shared" si="15"/>
        <v>15484.84</v>
      </c>
      <c r="P344" s="1" t="str">
        <f t="shared" si="16"/>
        <v>High_Price</v>
      </c>
      <c r="Q344" s="1" t="str" cm="1">
        <f t="array" ref="Q344">_xlfn.IFS(N344&gt;=10,"High",N344&gt;=5,"Medium",N344&lt;5,"Low")</f>
        <v>High</v>
      </c>
      <c r="R344" s="1" t="str">
        <f t="shared" si="17"/>
        <v>Low</v>
      </c>
    </row>
    <row r="345" spans="1:18"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c r="O345" s="1">
        <f t="shared" si="15"/>
        <v>17977.82</v>
      </c>
      <c r="P345" s="1" t="str">
        <f t="shared" si="16"/>
        <v>High_Price</v>
      </c>
      <c r="Q345" s="1" t="str" cm="1">
        <f t="array" ref="Q345">_xlfn.IFS(N345&gt;=10,"High",N345&gt;=5,"Medium",N345&lt;5,"Low")</f>
        <v>High</v>
      </c>
      <c r="R345" s="1" t="str">
        <f t="shared" si="17"/>
        <v>Medium</v>
      </c>
    </row>
    <row r="346" spans="1:18"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c r="O346" s="1">
        <f t="shared" si="15"/>
        <v>1574.59</v>
      </c>
      <c r="P346" s="1" t="str">
        <f t="shared" si="16"/>
        <v>Low_Price</v>
      </c>
      <c r="Q346" s="1" t="str" cm="1">
        <f t="array" ref="Q346">_xlfn.IFS(N346&gt;=10,"High",N346&gt;=5,"Medium",N346&lt;5,"Low")</f>
        <v>Medium</v>
      </c>
      <c r="R346" s="1" t="str">
        <f t="shared" si="17"/>
        <v>Low</v>
      </c>
    </row>
    <row r="347" spans="1:18"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c r="O347" s="1">
        <f t="shared" si="15"/>
        <v>28724.04</v>
      </c>
      <c r="P347" s="1" t="str">
        <f t="shared" si="16"/>
        <v>High_Price</v>
      </c>
      <c r="Q347" s="1" t="str" cm="1">
        <f t="array" ref="Q347">_xlfn.IFS(N347&gt;=10,"High",N347&gt;=5,"Medium",N347&lt;5,"Low")</f>
        <v>High</v>
      </c>
      <c r="R347" s="1" t="str">
        <f t="shared" si="17"/>
        <v>High</v>
      </c>
    </row>
    <row r="348" spans="1:18"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c r="O348" s="1">
        <f t="shared" si="15"/>
        <v>2748.46</v>
      </c>
      <c r="P348" s="1" t="str">
        <f t="shared" si="16"/>
        <v>Low_Price</v>
      </c>
      <c r="Q348" s="1" t="str" cm="1">
        <f t="array" ref="Q348">_xlfn.IFS(N348&gt;=10,"High",N348&gt;=5,"Medium",N348&lt;5,"Low")</f>
        <v>Low</v>
      </c>
      <c r="R348" s="1" t="str">
        <f t="shared" si="17"/>
        <v>Low</v>
      </c>
    </row>
    <row r="349" spans="1:18"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c r="O349" s="1">
        <f t="shared" si="15"/>
        <v>7403.3</v>
      </c>
      <c r="P349" s="1" t="str">
        <f t="shared" si="16"/>
        <v>Low_Price</v>
      </c>
      <c r="Q349" s="1" t="str" cm="1">
        <f t="array" ref="Q349">_xlfn.IFS(N349&gt;=10,"High",N349&gt;=5,"Medium",N349&lt;5,"Low")</f>
        <v>Low</v>
      </c>
      <c r="R349" s="1" t="str">
        <f t="shared" si="17"/>
        <v>Medium</v>
      </c>
    </row>
    <row r="350" spans="1:18"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c r="O350" s="1">
        <f t="shared" si="15"/>
        <v>445.38</v>
      </c>
      <c r="P350" s="1" t="str">
        <f t="shared" si="16"/>
        <v>Low_Price</v>
      </c>
      <c r="Q350" s="1" t="str" cm="1">
        <f t="array" ref="Q350">_xlfn.IFS(N350&gt;=10,"High",N350&gt;=5,"Medium",N350&lt;5,"Low")</f>
        <v>High</v>
      </c>
      <c r="R350" s="1" t="str">
        <f t="shared" si="17"/>
        <v>Low</v>
      </c>
    </row>
    <row r="351" spans="1:18"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c r="O351" s="1">
        <f t="shared" si="15"/>
        <v>10361.6</v>
      </c>
      <c r="P351" s="1" t="str">
        <f t="shared" si="16"/>
        <v>Low_Price</v>
      </c>
      <c r="Q351" s="1" t="str" cm="1">
        <f t="array" ref="Q351">_xlfn.IFS(N351&gt;=10,"High",N351&gt;=5,"Medium",N351&lt;5,"Low")</f>
        <v>High</v>
      </c>
      <c r="R351" s="1" t="str">
        <f t="shared" si="17"/>
        <v>Medium</v>
      </c>
    </row>
    <row r="352" spans="1:18"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c r="O352" s="1">
        <f t="shared" si="15"/>
        <v>559.4</v>
      </c>
      <c r="P352" s="1" t="str">
        <f t="shared" si="16"/>
        <v>Low_Price</v>
      </c>
      <c r="Q352" s="1" t="str" cm="1">
        <f t="array" ref="Q352">_xlfn.IFS(N352&gt;=10,"High",N352&gt;=5,"Medium",N352&lt;5,"Low")</f>
        <v>High</v>
      </c>
      <c r="R352" s="1" t="str">
        <f t="shared" si="17"/>
        <v>Low</v>
      </c>
    </row>
    <row r="353" spans="1:18"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c r="O353" s="1">
        <f t="shared" si="15"/>
        <v>2357.7600000000002</v>
      </c>
      <c r="P353" s="1" t="str">
        <f t="shared" si="16"/>
        <v>Low_Price</v>
      </c>
      <c r="Q353" s="1" t="str" cm="1">
        <f t="array" ref="Q353">_xlfn.IFS(N353&gt;=10,"High",N353&gt;=5,"Medium",N353&lt;5,"Low")</f>
        <v>High</v>
      </c>
      <c r="R353" s="1" t="str">
        <f t="shared" si="17"/>
        <v>Low</v>
      </c>
    </row>
    <row r="354" spans="1:18"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c r="O354" s="1">
        <f t="shared" si="15"/>
        <v>22638.239999999998</v>
      </c>
      <c r="P354" s="1" t="str">
        <f t="shared" si="16"/>
        <v>High_Price</v>
      </c>
      <c r="Q354" s="1" t="str" cm="1">
        <f t="array" ref="Q354">_xlfn.IFS(N354&gt;=10,"High",N354&gt;=5,"Medium",N354&lt;5,"Low")</f>
        <v>Low</v>
      </c>
      <c r="R354" s="1" t="str">
        <f t="shared" si="17"/>
        <v>Medium</v>
      </c>
    </row>
    <row r="355" spans="1:18"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c r="O355" s="1">
        <f t="shared" si="15"/>
        <v>17014.77</v>
      </c>
      <c r="P355" s="1" t="str">
        <f t="shared" si="16"/>
        <v>High_Price</v>
      </c>
      <c r="Q355" s="1" t="str" cm="1">
        <f t="array" ref="Q355">_xlfn.IFS(N355&gt;=10,"High",N355&gt;=5,"Medium",N355&lt;5,"Low")</f>
        <v>High</v>
      </c>
      <c r="R355" s="1" t="str">
        <f t="shared" si="17"/>
        <v>High</v>
      </c>
    </row>
    <row r="356" spans="1:18"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c r="O356" s="1">
        <f t="shared" si="15"/>
        <v>1205.76</v>
      </c>
      <c r="P356" s="1" t="str">
        <f t="shared" si="16"/>
        <v>Low_Price</v>
      </c>
      <c r="Q356" s="1" t="str" cm="1">
        <f t="array" ref="Q356">_xlfn.IFS(N356&gt;=10,"High",N356&gt;=5,"Medium",N356&lt;5,"Low")</f>
        <v>Medium</v>
      </c>
      <c r="R356" s="1" t="str">
        <f t="shared" si="17"/>
        <v>Medium</v>
      </c>
    </row>
    <row r="357" spans="1:18"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c r="O357" s="1">
        <f t="shared" si="15"/>
        <v>12616.25</v>
      </c>
      <c r="P357" s="1" t="str">
        <f t="shared" si="16"/>
        <v>Low_Price</v>
      </c>
      <c r="Q357" s="1" t="str" cm="1">
        <f t="array" ref="Q357">_xlfn.IFS(N357&gt;=10,"High",N357&gt;=5,"Medium",N357&lt;5,"Low")</f>
        <v>High</v>
      </c>
      <c r="R357" s="1" t="str">
        <f t="shared" si="17"/>
        <v>Medium</v>
      </c>
    </row>
    <row r="358" spans="1:18"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c r="O358" s="1">
        <f t="shared" si="15"/>
        <v>5070</v>
      </c>
      <c r="P358" s="1" t="str">
        <f t="shared" si="16"/>
        <v>Low_Price</v>
      </c>
      <c r="Q358" s="1" t="str" cm="1">
        <f t="array" ref="Q358">_xlfn.IFS(N358&gt;=10,"High",N358&gt;=5,"Medium",N358&lt;5,"Low")</f>
        <v>High</v>
      </c>
      <c r="R358" s="1" t="str">
        <f t="shared" si="17"/>
        <v>Medium</v>
      </c>
    </row>
    <row r="359" spans="1:18"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c r="O359" s="1">
        <f t="shared" si="15"/>
        <v>9284.08</v>
      </c>
      <c r="P359" s="1" t="str">
        <f t="shared" si="16"/>
        <v>Low_Price</v>
      </c>
      <c r="Q359" s="1" t="str" cm="1">
        <f t="array" ref="Q359">_xlfn.IFS(N359&gt;=10,"High",N359&gt;=5,"Medium",N359&lt;5,"Low")</f>
        <v>Low</v>
      </c>
      <c r="R359" s="1" t="str">
        <f t="shared" si="17"/>
        <v>Medium</v>
      </c>
    </row>
    <row r="360" spans="1:18"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c r="O360" s="1">
        <f t="shared" si="15"/>
        <v>15205.679999999998</v>
      </c>
      <c r="P360" s="1" t="str">
        <f t="shared" si="16"/>
        <v>High_Price</v>
      </c>
      <c r="Q360" s="1" t="str" cm="1">
        <f t="array" ref="Q360">_xlfn.IFS(N360&gt;=10,"High",N360&gt;=5,"Medium",N360&lt;5,"Low")</f>
        <v>High</v>
      </c>
      <c r="R360" s="1" t="str">
        <f t="shared" si="17"/>
        <v>Medium</v>
      </c>
    </row>
    <row r="361" spans="1:18"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c r="O361" s="1">
        <f t="shared" si="15"/>
        <v>2589.6799999999998</v>
      </c>
      <c r="P361" s="1" t="str">
        <f t="shared" si="16"/>
        <v>Low_Price</v>
      </c>
      <c r="Q361" s="1" t="str" cm="1">
        <f t="array" ref="Q361">_xlfn.IFS(N361&gt;=10,"High",N361&gt;=5,"Medium",N361&lt;5,"Low")</f>
        <v>High</v>
      </c>
      <c r="R361" s="1" t="str">
        <f t="shared" si="17"/>
        <v>Low</v>
      </c>
    </row>
    <row r="362" spans="1:18"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c r="O362" s="1">
        <f t="shared" si="15"/>
        <v>6981.93</v>
      </c>
      <c r="P362" s="1" t="str">
        <f t="shared" si="16"/>
        <v>Low_Price</v>
      </c>
      <c r="Q362" s="1" t="str" cm="1">
        <f t="array" ref="Q362">_xlfn.IFS(N362&gt;=10,"High",N362&gt;=5,"Medium",N362&lt;5,"Low")</f>
        <v>Low</v>
      </c>
      <c r="R362" s="1" t="str">
        <f t="shared" si="17"/>
        <v>High</v>
      </c>
    </row>
    <row r="363" spans="1:18"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c r="O363" s="1">
        <f t="shared" si="15"/>
        <v>11004.56</v>
      </c>
      <c r="P363" s="1" t="str">
        <f t="shared" si="16"/>
        <v>Low_Price</v>
      </c>
      <c r="Q363" s="1" t="str" cm="1">
        <f t="array" ref="Q363">_xlfn.IFS(N363&gt;=10,"High",N363&gt;=5,"Medium",N363&lt;5,"Low")</f>
        <v>High</v>
      </c>
      <c r="R363" s="1" t="str">
        <f t="shared" si="17"/>
        <v>Low</v>
      </c>
    </row>
    <row r="364" spans="1:18"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c r="O364" s="1">
        <f t="shared" si="15"/>
        <v>20295.04</v>
      </c>
      <c r="P364" s="1" t="str">
        <f t="shared" si="16"/>
        <v>High_Price</v>
      </c>
      <c r="Q364" s="1" t="str" cm="1">
        <f t="array" ref="Q364">_xlfn.IFS(N364&gt;=10,"High",N364&gt;=5,"Medium",N364&lt;5,"Low")</f>
        <v>Medium</v>
      </c>
      <c r="R364" s="1" t="str">
        <f t="shared" si="17"/>
        <v>Medium</v>
      </c>
    </row>
    <row r="365" spans="1:18"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c r="O365" s="1">
        <f t="shared" si="15"/>
        <v>19866.419999999998</v>
      </c>
      <c r="P365" s="1" t="str">
        <f t="shared" si="16"/>
        <v>High_Price</v>
      </c>
      <c r="Q365" s="1" t="str" cm="1">
        <f t="array" ref="Q365">_xlfn.IFS(N365&gt;=10,"High",N365&gt;=5,"Medium",N365&lt;5,"Low")</f>
        <v>High</v>
      </c>
      <c r="R365" s="1" t="str">
        <f t="shared" si="17"/>
        <v>Medium</v>
      </c>
    </row>
    <row r="366" spans="1:18"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c r="O366" s="1">
        <f t="shared" si="15"/>
        <v>4887.1499999999996</v>
      </c>
      <c r="P366" s="1" t="str">
        <f t="shared" si="16"/>
        <v>Low_Price</v>
      </c>
      <c r="Q366" s="1" t="str" cm="1">
        <f t="array" ref="Q366">_xlfn.IFS(N366&gt;=10,"High",N366&gt;=5,"Medium",N366&lt;5,"Low")</f>
        <v>High</v>
      </c>
      <c r="R366" s="1" t="str">
        <f t="shared" si="17"/>
        <v>Medium</v>
      </c>
    </row>
    <row r="367" spans="1:18"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c r="O367" s="1">
        <f t="shared" si="15"/>
        <v>10850.21</v>
      </c>
      <c r="P367" s="1" t="str">
        <f t="shared" si="16"/>
        <v>Low_Price</v>
      </c>
      <c r="Q367" s="1" t="str" cm="1">
        <f t="array" ref="Q367">_xlfn.IFS(N367&gt;=10,"High",N367&gt;=5,"Medium",N367&lt;5,"Low")</f>
        <v>High</v>
      </c>
      <c r="R367" s="1" t="str">
        <f t="shared" si="17"/>
        <v>Medium</v>
      </c>
    </row>
    <row r="368" spans="1:18"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c r="O368" s="1">
        <f t="shared" si="15"/>
        <v>2647.9500000000003</v>
      </c>
      <c r="P368" s="1" t="str">
        <f t="shared" si="16"/>
        <v>Low_Price</v>
      </c>
      <c r="Q368" s="1" t="str" cm="1">
        <f t="array" ref="Q368">_xlfn.IFS(N368&gt;=10,"High",N368&gt;=5,"Medium",N368&lt;5,"Low")</f>
        <v>Medium</v>
      </c>
      <c r="R368" s="1" t="str">
        <f t="shared" si="17"/>
        <v>Medium</v>
      </c>
    </row>
    <row r="369" spans="1:18"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c r="O369" s="1">
        <f t="shared" si="15"/>
        <v>4787.5200000000004</v>
      </c>
      <c r="P369" s="1" t="str">
        <f t="shared" si="16"/>
        <v>Low_Price</v>
      </c>
      <c r="Q369" s="1" t="str" cm="1">
        <f t="array" ref="Q369">_xlfn.IFS(N369&gt;=10,"High",N369&gt;=5,"Medium",N369&lt;5,"Low")</f>
        <v>Low</v>
      </c>
      <c r="R369" s="1" t="str">
        <f t="shared" si="17"/>
        <v>Medium</v>
      </c>
    </row>
    <row r="370" spans="1:18"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c r="O370" s="1">
        <f t="shared" si="15"/>
        <v>6773.4600000000009</v>
      </c>
      <c r="P370" s="1" t="str">
        <f t="shared" si="16"/>
        <v>Low_Price</v>
      </c>
      <c r="Q370" s="1" t="str" cm="1">
        <f t="array" ref="Q370">_xlfn.IFS(N370&gt;=10,"High",N370&gt;=5,"Medium",N370&lt;5,"Low")</f>
        <v>High</v>
      </c>
      <c r="R370" s="1" t="str">
        <f t="shared" si="17"/>
        <v>Medium</v>
      </c>
    </row>
    <row r="371" spans="1:18"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c r="O371" s="1">
        <f t="shared" si="15"/>
        <v>6437.75</v>
      </c>
      <c r="P371" s="1" t="str">
        <f t="shared" si="16"/>
        <v>Low_Price</v>
      </c>
      <c r="Q371" s="1" t="str" cm="1">
        <f t="array" ref="Q371">_xlfn.IFS(N371&gt;=10,"High",N371&gt;=5,"Medium",N371&lt;5,"Low")</f>
        <v>Low</v>
      </c>
      <c r="R371" s="1" t="str">
        <f t="shared" si="17"/>
        <v>Medium</v>
      </c>
    </row>
    <row r="372" spans="1:18"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c r="O372" s="1">
        <f t="shared" si="15"/>
        <v>19713.509999999998</v>
      </c>
      <c r="P372" s="1" t="str">
        <f t="shared" si="16"/>
        <v>High_Price</v>
      </c>
      <c r="Q372" s="1" t="str" cm="1">
        <f t="array" ref="Q372">_xlfn.IFS(N372&gt;=10,"High",N372&gt;=5,"Medium",N372&lt;5,"Low")</f>
        <v>High</v>
      </c>
      <c r="R372" s="1" t="str">
        <f t="shared" si="17"/>
        <v>High</v>
      </c>
    </row>
    <row r="373" spans="1:18"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c r="O373" s="1">
        <f t="shared" si="15"/>
        <v>2432.17</v>
      </c>
      <c r="P373" s="1" t="str">
        <f t="shared" si="16"/>
        <v>Low_Price</v>
      </c>
      <c r="Q373" s="1" t="str" cm="1">
        <f t="array" ref="Q373">_xlfn.IFS(N373&gt;=10,"High",N373&gt;=5,"Medium",N373&lt;5,"Low")</f>
        <v>High</v>
      </c>
      <c r="R373" s="1" t="str">
        <f t="shared" si="17"/>
        <v>Low</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98C4-81C8-4373-8F74-16F00AC4F099}">
  <dimension ref="A1:G16"/>
  <sheetViews>
    <sheetView workbookViewId="0">
      <selection activeCell="F2" sqref="F2:F9"/>
    </sheetView>
  </sheetViews>
  <sheetFormatPr defaultRowHeight="14.4" x14ac:dyDescent="0.3"/>
  <cols>
    <col min="1" max="1" width="13.21875" bestFit="1" customWidth="1"/>
  </cols>
  <sheetData>
    <row r="1" spans="1:7" x14ac:dyDescent="0.3">
      <c r="A1" s="1" t="s">
        <v>74</v>
      </c>
      <c r="B1" s="1" t="s">
        <v>75</v>
      </c>
      <c r="C1" s="1" t="s">
        <v>76</v>
      </c>
      <c r="D1" s="1" t="s">
        <v>77</v>
      </c>
      <c r="E1" s="1" t="s">
        <v>78</v>
      </c>
      <c r="F1" s="1" t="s">
        <v>79</v>
      </c>
      <c r="G1" s="1" t="s">
        <v>80</v>
      </c>
    </row>
    <row r="2" spans="1:7" x14ac:dyDescent="0.3">
      <c r="A2" s="1" t="s">
        <v>81</v>
      </c>
      <c r="B2" s="1">
        <v>90</v>
      </c>
      <c r="C2" s="1">
        <v>90</v>
      </c>
      <c r="D2" s="1">
        <v>90</v>
      </c>
      <c r="E2" s="1">
        <f>SUM(B2:D2)</f>
        <v>270</v>
      </c>
      <c r="F2" s="1">
        <f>AVERAGE(B2:D2)</f>
        <v>90</v>
      </c>
      <c r="G2" s="1" t="str">
        <f>IF(F2&gt;=90,"A",IF(F2&gt;=70,"B",IF(F2&gt;=50,"C",IF(F2&gt;=40,"Pass",IF(F2&lt;40,"Fail")))))</f>
        <v>A</v>
      </c>
    </row>
    <row r="3" spans="1:7" x14ac:dyDescent="0.3">
      <c r="A3" s="1" t="s">
        <v>82</v>
      </c>
      <c r="B3" s="1">
        <f t="shared" ref="B3:B9" ca="1" si="0">RANDBETWEEN(40,100)</f>
        <v>56</v>
      </c>
      <c r="C3" s="1">
        <f t="shared" ref="C3:D9" ca="1" si="1">RANDBETWEEN(40,100)</f>
        <v>78</v>
      </c>
      <c r="D3" s="1">
        <f t="shared" ca="1" si="1"/>
        <v>50</v>
      </c>
      <c r="E3" s="1">
        <f t="shared" ref="E3:E9" ca="1" si="2">SUM(B3:D3)</f>
        <v>184</v>
      </c>
      <c r="F3" s="1">
        <f t="shared" ref="F3:F9" ca="1" si="3">AVERAGE(B3:D3)</f>
        <v>61.333333333333336</v>
      </c>
      <c r="G3" s="1" t="str">
        <f t="shared" ref="G3:G8" ca="1" si="4">IF(F3&gt;=90,"A",IF(F3&gt;=70,"B",IF(F3&gt;=50,"C",IF(F3&gt;=40,"Pass",IF(F3&lt;40,"Fail")))))</f>
        <v>C</v>
      </c>
    </row>
    <row r="4" spans="1:7" x14ac:dyDescent="0.3">
      <c r="A4" s="1" t="s">
        <v>83</v>
      </c>
      <c r="B4" s="1">
        <f t="shared" ca="1" si="0"/>
        <v>75</v>
      </c>
      <c r="C4" s="1">
        <f t="shared" ca="1" si="1"/>
        <v>44</v>
      </c>
      <c r="D4" s="1">
        <f t="shared" ca="1" si="1"/>
        <v>68</v>
      </c>
      <c r="E4" s="1">
        <f t="shared" ca="1" si="2"/>
        <v>187</v>
      </c>
      <c r="F4" s="1">
        <f t="shared" ca="1" si="3"/>
        <v>62.333333333333336</v>
      </c>
      <c r="G4" s="1" t="str">
        <f t="shared" ca="1" si="4"/>
        <v>C</v>
      </c>
    </row>
    <row r="5" spans="1:7" x14ac:dyDescent="0.3">
      <c r="A5" s="1" t="s">
        <v>84</v>
      </c>
      <c r="B5" s="1">
        <f t="shared" ca="1" si="0"/>
        <v>89</v>
      </c>
      <c r="C5" s="1">
        <f t="shared" ca="1" si="1"/>
        <v>71</v>
      </c>
      <c r="D5" s="1">
        <f t="shared" ca="1" si="1"/>
        <v>79</v>
      </c>
      <c r="E5" s="1">
        <f t="shared" ca="1" si="2"/>
        <v>239</v>
      </c>
      <c r="F5" s="1">
        <f t="shared" ca="1" si="3"/>
        <v>79.666666666666671</v>
      </c>
      <c r="G5" s="1" t="str">
        <f t="shared" ca="1" si="4"/>
        <v>B</v>
      </c>
    </row>
    <row r="6" spans="1:7" x14ac:dyDescent="0.3">
      <c r="A6" s="1" t="s">
        <v>85</v>
      </c>
      <c r="B6" s="1">
        <f t="shared" ca="1" si="0"/>
        <v>62</v>
      </c>
      <c r="C6" s="1">
        <f t="shared" ca="1" si="1"/>
        <v>65</v>
      </c>
      <c r="D6" s="1">
        <f t="shared" ca="1" si="1"/>
        <v>53</v>
      </c>
      <c r="E6" s="1">
        <f t="shared" ca="1" si="2"/>
        <v>180</v>
      </c>
      <c r="F6" s="1">
        <f t="shared" ca="1" si="3"/>
        <v>60</v>
      </c>
      <c r="G6" s="1" t="str">
        <f t="shared" ca="1" si="4"/>
        <v>C</v>
      </c>
    </row>
    <row r="7" spans="1:7" x14ac:dyDescent="0.3">
      <c r="A7" s="1" t="s">
        <v>86</v>
      </c>
      <c r="B7" s="1">
        <v>39</v>
      </c>
      <c r="C7" s="1">
        <v>39</v>
      </c>
      <c r="D7" s="1">
        <v>41</v>
      </c>
      <c r="E7" s="1">
        <f t="shared" si="2"/>
        <v>119</v>
      </c>
      <c r="F7" s="1">
        <f t="shared" si="3"/>
        <v>39.666666666666664</v>
      </c>
      <c r="G7" s="1" t="str">
        <f t="shared" si="4"/>
        <v>Fail</v>
      </c>
    </row>
    <row r="8" spans="1:7" x14ac:dyDescent="0.3">
      <c r="A8" s="1" t="s">
        <v>87</v>
      </c>
      <c r="B8" s="1">
        <f t="shared" ca="1" si="0"/>
        <v>87</v>
      </c>
      <c r="C8" s="1">
        <f t="shared" ca="1" si="1"/>
        <v>80</v>
      </c>
      <c r="D8" s="1">
        <f t="shared" ca="1" si="1"/>
        <v>55</v>
      </c>
      <c r="E8" s="1">
        <f t="shared" ca="1" si="2"/>
        <v>222</v>
      </c>
      <c r="F8" s="1">
        <f t="shared" ca="1" si="3"/>
        <v>74</v>
      </c>
      <c r="G8" s="1" t="str">
        <f t="shared" ca="1" si="4"/>
        <v>B</v>
      </c>
    </row>
    <row r="9" spans="1:7" x14ac:dyDescent="0.3">
      <c r="A9" s="1" t="s">
        <v>88</v>
      </c>
      <c r="B9" s="1">
        <f t="shared" ca="1" si="0"/>
        <v>86</v>
      </c>
      <c r="C9" s="1">
        <f t="shared" ca="1" si="1"/>
        <v>78</v>
      </c>
      <c r="D9" s="1">
        <f t="shared" ca="1" si="1"/>
        <v>78</v>
      </c>
      <c r="E9" s="1">
        <f t="shared" ca="1" si="2"/>
        <v>242</v>
      </c>
      <c r="F9" s="1">
        <f t="shared" ca="1" si="3"/>
        <v>80.666666666666671</v>
      </c>
      <c r="G9" s="1" t="str">
        <f ca="1">IF(IF9&gt;=90,"A",IF(F9&gt;=70,"B",IF(F9&gt;=50,"C",IF(F9&gt;=40,"Pass",IF(F9&lt;40,"Fail")))))</f>
        <v>B</v>
      </c>
    </row>
    <row r="12" spans="1:7" x14ac:dyDescent="0.3">
      <c r="C12" s="1" t="s">
        <v>89</v>
      </c>
      <c r="D12" s="1" t="s">
        <v>94</v>
      </c>
    </row>
    <row r="13" spans="1:7" x14ac:dyDescent="0.3">
      <c r="C13" s="1" t="s">
        <v>90</v>
      </c>
      <c r="D13" s="1" t="s">
        <v>95</v>
      </c>
    </row>
    <row r="14" spans="1:7" x14ac:dyDescent="0.3">
      <c r="C14" s="1" t="s">
        <v>91</v>
      </c>
      <c r="D14" s="1" t="s">
        <v>96</v>
      </c>
    </row>
    <row r="15" spans="1:7" x14ac:dyDescent="0.3">
      <c r="C15" s="1" t="s">
        <v>92</v>
      </c>
      <c r="D15" s="1" t="s">
        <v>97</v>
      </c>
    </row>
    <row r="16" spans="1:7" x14ac:dyDescent="0.3">
      <c r="C16" s="1" t="s">
        <v>93</v>
      </c>
      <c r="D16"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FF8A-8C51-412C-A22F-38BAAC63806D}">
  <dimension ref="A1:Q373"/>
  <sheetViews>
    <sheetView topLeftCell="D1" zoomScale="80" workbookViewId="0">
      <selection activeCell="Q14" sqref="Q14"/>
    </sheetView>
  </sheetViews>
  <sheetFormatPr defaultRowHeight="14.4" x14ac:dyDescent="0.3"/>
  <cols>
    <col min="1" max="1" width="8.77734375" bestFit="1" customWidth="1"/>
    <col min="2" max="2" width="12.109375" bestFit="1" customWidth="1"/>
    <col min="3" max="4" width="11.21875" bestFit="1" customWidth="1"/>
    <col min="5" max="5" width="10.44140625" bestFit="1" customWidth="1"/>
    <col min="6" max="6" width="12.21875" bestFit="1" customWidth="1"/>
    <col min="7" max="7" width="13.109375" bestFit="1" customWidth="1"/>
    <col min="8" max="8" width="16.5546875" bestFit="1" customWidth="1"/>
    <col min="9" max="9" width="16.33203125" bestFit="1" customWidth="1"/>
    <col min="10" max="10" width="13.5546875" bestFit="1" customWidth="1"/>
    <col min="11" max="11" width="7.44140625" bestFit="1" customWidth="1"/>
    <col min="12" max="12" width="9.88671875" bestFit="1" customWidth="1"/>
    <col min="13" max="13" width="9.6640625" bestFit="1" customWidth="1"/>
    <col min="14" max="14" width="10.77734375" bestFit="1" customWidth="1"/>
    <col min="17" max="17" width="11.55468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7" x14ac:dyDescent="0.3">
      <c r="A2" s="1">
        <v>10001</v>
      </c>
      <c r="B2" s="1">
        <v>1102</v>
      </c>
      <c r="C2" s="2">
        <v>45197</v>
      </c>
      <c r="D2" s="2">
        <v>45203</v>
      </c>
      <c r="E2" s="1" t="s">
        <v>14</v>
      </c>
      <c r="F2" s="1" t="s">
        <v>15</v>
      </c>
      <c r="G2" s="1" t="s">
        <v>16</v>
      </c>
      <c r="H2" s="1" t="s">
        <v>17</v>
      </c>
      <c r="I2" s="1" t="s">
        <v>18</v>
      </c>
      <c r="J2" s="1" t="s">
        <v>19</v>
      </c>
      <c r="K2" s="1" t="s">
        <v>20</v>
      </c>
      <c r="L2" s="1">
        <v>7</v>
      </c>
      <c r="M2" s="1">
        <v>2843.87</v>
      </c>
      <c r="N2" s="1">
        <v>0</v>
      </c>
    </row>
    <row r="3" spans="1:17" x14ac:dyDescent="0.3">
      <c r="A3" s="1">
        <v>10002</v>
      </c>
      <c r="B3" s="1">
        <v>1435</v>
      </c>
      <c r="C3" s="2">
        <v>45199</v>
      </c>
      <c r="D3" s="2">
        <v>45203</v>
      </c>
      <c r="E3" s="1" t="s">
        <v>21</v>
      </c>
      <c r="F3" s="1" t="s">
        <v>22</v>
      </c>
      <c r="G3" s="1" t="s">
        <v>23</v>
      </c>
      <c r="H3" s="1" t="s">
        <v>24</v>
      </c>
      <c r="I3" s="1" t="s">
        <v>25</v>
      </c>
      <c r="J3" s="1" t="s">
        <v>26</v>
      </c>
      <c r="K3" s="1" t="s">
        <v>27</v>
      </c>
      <c r="L3" s="1">
        <v>9</v>
      </c>
      <c r="M3" s="1">
        <v>2525.23</v>
      </c>
      <c r="N3" s="1">
        <v>5</v>
      </c>
    </row>
    <row r="4" spans="1:17" x14ac:dyDescent="0.3">
      <c r="A4" s="1">
        <v>10003</v>
      </c>
      <c r="B4" s="1">
        <v>1860</v>
      </c>
      <c r="C4" s="2">
        <v>45109</v>
      </c>
      <c r="D4" s="2">
        <v>45114</v>
      </c>
      <c r="E4" s="1" t="s">
        <v>14</v>
      </c>
      <c r="F4" s="1" t="s">
        <v>28</v>
      </c>
      <c r="G4" s="1" t="s">
        <v>29</v>
      </c>
      <c r="H4" s="1" t="s">
        <v>24</v>
      </c>
      <c r="I4" s="1" t="s">
        <v>30</v>
      </c>
      <c r="J4" s="1" t="s">
        <v>31</v>
      </c>
      <c r="K4" s="1" t="s">
        <v>32</v>
      </c>
      <c r="L4" s="1">
        <v>6</v>
      </c>
      <c r="M4" s="1">
        <v>3474.34</v>
      </c>
      <c r="N4" s="1">
        <v>15</v>
      </c>
    </row>
    <row r="5" spans="1:17" x14ac:dyDescent="0.3">
      <c r="A5" s="1">
        <v>10004</v>
      </c>
      <c r="B5" s="1">
        <v>1270</v>
      </c>
      <c r="C5" s="2">
        <v>45079</v>
      </c>
      <c r="D5" s="2">
        <v>45087</v>
      </c>
      <c r="E5" s="1" t="s">
        <v>33</v>
      </c>
      <c r="F5" s="1" t="s">
        <v>28</v>
      </c>
      <c r="G5" s="1" t="s">
        <v>23</v>
      </c>
      <c r="H5" s="1" t="s">
        <v>34</v>
      </c>
      <c r="I5" s="1" t="s">
        <v>25</v>
      </c>
      <c r="J5" s="1" t="s">
        <v>35</v>
      </c>
      <c r="K5" s="1" t="s">
        <v>20</v>
      </c>
      <c r="L5" s="1">
        <v>1</v>
      </c>
      <c r="M5" s="1">
        <v>1008.79</v>
      </c>
      <c r="N5" s="1">
        <v>15</v>
      </c>
    </row>
    <row r="6" spans="1:17" x14ac:dyDescent="0.3">
      <c r="A6" s="1">
        <v>10005</v>
      </c>
      <c r="B6" s="1">
        <v>1106</v>
      </c>
      <c r="C6" s="2">
        <v>45241</v>
      </c>
      <c r="D6" s="2">
        <v>45244</v>
      </c>
      <c r="E6" s="1" t="s">
        <v>36</v>
      </c>
      <c r="F6" s="1" t="s">
        <v>37</v>
      </c>
      <c r="G6" s="1" t="s">
        <v>29</v>
      </c>
      <c r="H6" s="1" t="s">
        <v>17</v>
      </c>
      <c r="I6" s="1" t="s">
        <v>30</v>
      </c>
      <c r="J6" s="1" t="s">
        <v>38</v>
      </c>
      <c r="K6" s="1" t="s">
        <v>20</v>
      </c>
      <c r="L6" s="1">
        <v>7</v>
      </c>
      <c r="M6" s="1">
        <v>3511.47</v>
      </c>
      <c r="N6" s="1">
        <v>20</v>
      </c>
    </row>
    <row r="7" spans="1:17" x14ac:dyDescent="0.3">
      <c r="A7" s="1">
        <v>10006</v>
      </c>
      <c r="B7" s="1">
        <v>1071</v>
      </c>
      <c r="C7" s="2">
        <v>45260</v>
      </c>
      <c r="D7" s="2">
        <v>45263</v>
      </c>
      <c r="E7" s="1" t="s">
        <v>39</v>
      </c>
      <c r="F7" s="1" t="s">
        <v>40</v>
      </c>
      <c r="G7" s="1" t="s">
        <v>23</v>
      </c>
      <c r="H7" s="1" t="s">
        <v>41</v>
      </c>
      <c r="I7" s="1" t="s">
        <v>18</v>
      </c>
      <c r="J7" s="1" t="s">
        <v>42</v>
      </c>
      <c r="K7" s="1" t="s">
        <v>32</v>
      </c>
      <c r="L7" s="1">
        <v>3</v>
      </c>
      <c r="M7" s="1">
        <v>3189.55</v>
      </c>
      <c r="N7" s="1">
        <v>10</v>
      </c>
    </row>
    <row r="8" spans="1:17" x14ac:dyDescent="0.3">
      <c r="A8" s="1">
        <v>10007</v>
      </c>
      <c r="B8" s="1">
        <v>1700</v>
      </c>
      <c r="C8" s="2">
        <v>45050</v>
      </c>
      <c r="D8" s="2">
        <v>45054</v>
      </c>
      <c r="E8" s="1" t="s">
        <v>33</v>
      </c>
      <c r="F8" s="1" t="s">
        <v>40</v>
      </c>
      <c r="G8" s="1" t="s">
        <v>16</v>
      </c>
      <c r="H8" s="1" t="s">
        <v>43</v>
      </c>
      <c r="I8" s="1" t="s">
        <v>30</v>
      </c>
      <c r="J8" s="1" t="s">
        <v>31</v>
      </c>
      <c r="K8" s="1" t="s">
        <v>44</v>
      </c>
      <c r="L8" s="1">
        <v>5</v>
      </c>
      <c r="M8" s="1">
        <v>3030.42</v>
      </c>
      <c r="N8" s="1">
        <v>10</v>
      </c>
    </row>
    <row r="9" spans="1:17"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P9" s="10" t="s">
        <v>12</v>
      </c>
      <c r="Q9" s="11">
        <v>3000</v>
      </c>
    </row>
    <row r="10" spans="1:17"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row>
    <row r="11" spans="1:17"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P11" s="10" t="s">
        <v>5</v>
      </c>
      <c r="Q11" s="1" t="s">
        <v>37</v>
      </c>
    </row>
    <row r="12" spans="1:17"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row>
    <row r="13" spans="1:17"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P13" s="10" t="s">
        <v>4</v>
      </c>
      <c r="Q13" s="1" t="s">
        <v>109</v>
      </c>
    </row>
    <row r="14" spans="1:17"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row>
    <row r="15" spans="1:17"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row>
    <row r="16" spans="1:17"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row>
    <row r="17" spans="1:1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row>
    <row r="18" spans="1:1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row>
    <row r="19" spans="1:1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row>
    <row r="20" spans="1:1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row>
    <row r="21" spans="1:1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row>
    <row r="22" spans="1:1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row>
    <row r="23" spans="1:1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row>
    <row r="24" spans="1:1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row>
    <row r="25" spans="1:1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row>
    <row r="26" spans="1:1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row>
    <row r="27" spans="1:1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row>
    <row r="28" spans="1:1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row>
    <row r="29" spans="1:1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row>
    <row r="30" spans="1:1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row>
    <row r="31" spans="1:1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row>
    <row r="32" spans="1:1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row>
    <row r="33" spans="1:1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row>
    <row r="34" spans="1:1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row>
    <row r="35" spans="1:1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row>
    <row r="36" spans="1:1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row>
    <row r="37" spans="1:1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row>
    <row r="38" spans="1:1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row>
    <row r="39" spans="1:1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row>
    <row r="40" spans="1:1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row>
    <row r="41" spans="1:1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row>
    <row r="42" spans="1:1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row>
    <row r="43" spans="1:1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row>
    <row r="44" spans="1:1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row>
    <row r="45" spans="1:1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row>
    <row r="46" spans="1:1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row>
    <row r="47" spans="1:1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row>
    <row r="48" spans="1:1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row>
    <row r="49" spans="1:14"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row>
    <row r="50" spans="1:14"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row>
    <row r="51" spans="1:14"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row>
    <row r="52" spans="1:14"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row>
    <row r="53" spans="1:14"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row>
    <row r="54" spans="1:14"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row>
    <row r="55" spans="1:14"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row>
    <row r="56" spans="1:14"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row>
    <row r="57" spans="1:14"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row>
    <row r="58" spans="1:14"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row>
    <row r="59" spans="1:14"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row>
    <row r="60" spans="1:14"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row>
    <row r="61" spans="1:14"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row>
    <row r="62" spans="1:14"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row>
    <row r="63" spans="1:14"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row>
    <row r="64" spans="1:14"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row>
    <row r="65" spans="1:14"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row>
    <row r="66" spans="1:14"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row>
    <row r="67" spans="1:14"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row>
    <row r="68" spans="1:14"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row>
    <row r="69" spans="1:14"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row>
    <row r="70" spans="1:14"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row>
    <row r="71" spans="1:14"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row>
    <row r="72" spans="1:14"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row>
    <row r="73" spans="1:14"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row>
    <row r="74" spans="1:14"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row>
    <row r="75" spans="1:14"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row>
    <row r="76" spans="1:14"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row>
    <row r="77" spans="1:14"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row>
    <row r="78" spans="1:14"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row>
    <row r="79" spans="1:14"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row>
    <row r="80" spans="1:14"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row>
    <row r="81" spans="1:14"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row>
    <row r="82" spans="1:14"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row>
    <row r="83" spans="1:14"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row>
    <row r="84" spans="1:14"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row>
    <row r="85" spans="1:14"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row>
    <row r="86" spans="1:14"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row>
    <row r="87" spans="1:14"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row>
    <row r="88" spans="1:14"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row>
    <row r="89" spans="1:14"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row>
    <row r="90" spans="1:14"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row>
    <row r="91" spans="1:14"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row>
    <row r="92" spans="1:14"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row>
    <row r="93" spans="1:14"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row>
    <row r="94" spans="1:14"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row>
    <row r="95" spans="1:14"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row>
    <row r="96" spans="1:14"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row>
    <row r="97" spans="1:14"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row>
    <row r="98" spans="1:14"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row>
    <row r="99" spans="1:14"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row>
    <row r="100" spans="1:14"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row>
    <row r="101" spans="1:14"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row>
    <row r="102" spans="1:14"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row>
    <row r="103" spans="1:14"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row>
    <row r="104" spans="1:14"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row>
    <row r="105" spans="1:14"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row>
    <row r="106" spans="1:14"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row>
    <row r="107" spans="1:14"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row>
    <row r="108" spans="1:14"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row>
    <row r="109" spans="1:14"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row>
    <row r="110" spans="1:14"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row>
    <row r="111" spans="1:14"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row>
    <row r="112" spans="1:14"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row>
    <row r="113" spans="1:14"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row>
    <row r="114" spans="1:14"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row>
    <row r="115" spans="1:14"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row>
    <row r="116" spans="1:14"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row>
    <row r="117" spans="1:14"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row>
    <row r="118" spans="1:14"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row>
    <row r="119" spans="1:14"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row>
    <row r="120" spans="1:14"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row>
    <row r="121" spans="1:14"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row>
    <row r="122" spans="1:14"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row>
    <row r="123" spans="1:14"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row>
    <row r="124" spans="1:14"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row>
    <row r="125" spans="1:14"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row>
    <row r="126" spans="1:14"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row>
    <row r="127" spans="1:14"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row>
    <row r="128" spans="1:14"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row>
    <row r="129" spans="1:14"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row>
    <row r="130" spans="1:14"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row>
    <row r="131" spans="1:14"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row>
    <row r="132" spans="1:14"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row>
    <row r="133" spans="1:14"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row>
    <row r="134" spans="1:14"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row>
    <row r="135" spans="1:14"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row>
    <row r="136" spans="1:14"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row>
    <row r="137" spans="1:14"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row>
    <row r="138" spans="1:14"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row>
    <row r="139" spans="1:14"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row>
    <row r="140" spans="1:14"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row>
    <row r="141" spans="1:14"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row>
    <row r="142" spans="1:14"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row>
    <row r="143" spans="1:14"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row>
    <row r="144" spans="1:14"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row>
    <row r="145" spans="1:14"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row>
    <row r="146" spans="1:14"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row>
    <row r="147" spans="1:14"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row>
    <row r="148" spans="1:14"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row>
    <row r="149" spans="1:14"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row>
    <row r="150" spans="1:14"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row>
    <row r="151" spans="1:14"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row>
    <row r="152" spans="1:14"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row>
    <row r="153" spans="1:14"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row>
    <row r="154" spans="1:14"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row>
    <row r="155" spans="1:14"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row>
    <row r="156" spans="1:14"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row>
    <row r="157" spans="1:14"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row>
    <row r="158" spans="1:14"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row>
    <row r="159" spans="1:14"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row>
    <row r="160" spans="1:14"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row>
    <row r="161" spans="1:14"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row>
    <row r="162" spans="1:14"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row>
    <row r="163" spans="1:14"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row>
    <row r="164" spans="1:14"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row>
    <row r="165" spans="1:14"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row>
    <row r="166" spans="1:14"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row>
    <row r="167" spans="1:14"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row>
    <row r="168" spans="1:14"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row>
    <row r="169" spans="1:14"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row>
    <row r="170" spans="1:14"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row>
    <row r="171" spans="1:14"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row>
    <row r="172" spans="1:14"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row>
    <row r="173" spans="1:14"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row>
    <row r="174" spans="1:14"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row>
    <row r="175" spans="1:14"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row>
    <row r="176" spans="1:14"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row>
    <row r="177" spans="1:14"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row>
    <row r="178" spans="1:14"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row>
    <row r="179" spans="1:14"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row>
    <row r="180" spans="1:14"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row>
    <row r="181" spans="1:14"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row>
    <row r="182" spans="1:14"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row>
    <row r="183" spans="1:14"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row>
    <row r="184" spans="1:14"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row>
    <row r="185" spans="1:14"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row>
    <row r="186" spans="1:14"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row>
    <row r="187" spans="1:14"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row>
    <row r="188" spans="1:14"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row>
    <row r="189" spans="1:14"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row>
    <row r="190" spans="1:14"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row>
    <row r="191" spans="1:14"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row>
    <row r="192" spans="1:14"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row>
    <row r="193" spans="1:14"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row>
    <row r="194" spans="1:14"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row>
    <row r="195" spans="1:14"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row>
    <row r="196" spans="1:14"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row>
    <row r="197" spans="1:14"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row>
    <row r="198" spans="1:14"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row>
    <row r="199" spans="1:14"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row>
    <row r="200" spans="1:14"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row>
    <row r="201" spans="1:14"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row>
    <row r="202" spans="1:14"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row>
    <row r="203" spans="1:14"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row>
    <row r="204" spans="1:14"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row>
    <row r="205" spans="1:14"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row>
    <row r="206" spans="1:14"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row>
    <row r="207" spans="1:14"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row>
    <row r="208" spans="1:14"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row>
    <row r="209" spans="1:14"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row>
    <row r="210" spans="1:14"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row>
    <row r="211" spans="1:14"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row>
    <row r="212" spans="1:14"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row>
    <row r="213" spans="1:14"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row>
    <row r="214" spans="1:14"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row>
    <row r="215" spans="1:14"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row>
    <row r="216" spans="1:14"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row>
    <row r="217" spans="1:14"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row>
    <row r="218" spans="1:14"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row>
    <row r="219" spans="1:14"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row>
    <row r="220" spans="1:14"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row>
    <row r="221" spans="1:14"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row>
    <row r="222" spans="1:14"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row>
    <row r="223" spans="1:14"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row>
    <row r="224" spans="1:14"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row>
    <row r="225" spans="1:14"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row>
    <row r="226" spans="1:14"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row>
    <row r="227" spans="1:14"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row>
    <row r="228" spans="1:14"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row>
    <row r="229" spans="1:14"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row>
    <row r="230" spans="1:14"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row>
    <row r="231" spans="1:14"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row>
    <row r="232" spans="1:14"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row>
    <row r="233" spans="1:14"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row>
    <row r="234" spans="1:14"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row>
    <row r="235" spans="1:14"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row>
    <row r="236" spans="1:14"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row>
    <row r="237" spans="1:14"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row>
    <row r="238" spans="1:14"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row>
    <row r="239" spans="1:14"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row>
    <row r="240" spans="1:14"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row>
    <row r="241" spans="1:14"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row>
    <row r="242" spans="1:14"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row>
    <row r="243" spans="1:14"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row>
    <row r="244" spans="1:14"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row>
    <row r="245" spans="1:14"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row>
    <row r="246" spans="1:14"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row>
    <row r="247" spans="1:14"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row>
    <row r="248" spans="1:14"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row>
    <row r="249" spans="1:14"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row>
    <row r="250" spans="1:14"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row>
    <row r="251" spans="1:14"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row>
    <row r="252" spans="1:14"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row>
    <row r="253" spans="1:14"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row>
    <row r="254" spans="1:14"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row>
    <row r="255" spans="1:14"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row>
    <row r="256" spans="1:14"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row>
    <row r="257" spans="1:14"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row>
    <row r="258" spans="1:14"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row>
    <row r="259" spans="1:14"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row>
    <row r="260" spans="1:14"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row>
    <row r="261" spans="1:14"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row>
    <row r="262" spans="1:14"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row>
    <row r="263" spans="1:14"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row>
    <row r="264" spans="1:14"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row>
    <row r="265" spans="1:14"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row>
    <row r="266" spans="1:14"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row>
    <row r="267" spans="1:14"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row>
    <row r="268" spans="1:14"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row>
    <row r="269" spans="1:14"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row>
    <row r="270" spans="1:14"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row>
    <row r="271" spans="1:14"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row>
    <row r="272" spans="1:14"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row>
    <row r="273" spans="1:14"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row>
    <row r="274" spans="1:14"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row>
    <row r="275" spans="1:14"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row>
    <row r="276" spans="1:14"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row>
    <row r="277" spans="1:14"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row>
    <row r="278" spans="1:14"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row>
    <row r="279" spans="1:14"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row>
    <row r="280" spans="1:14"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row>
    <row r="281" spans="1:14"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row>
    <row r="282" spans="1:14"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row>
    <row r="283" spans="1:14"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row>
    <row r="284" spans="1:14"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row>
    <row r="285" spans="1:14"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row>
    <row r="286" spans="1:14"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row>
    <row r="287" spans="1:14"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row>
    <row r="288" spans="1:14"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row>
    <row r="289" spans="1:14"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row>
    <row r="290" spans="1:14"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row>
    <row r="291" spans="1:14"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row>
    <row r="292" spans="1:14"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row>
    <row r="293" spans="1:14"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row>
    <row r="294" spans="1:14"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row>
    <row r="295" spans="1:14"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row>
    <row r="296" spans="1:14"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row>
    <row r="297" spans="1:14"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row>
    <row r="298" spans="1:14"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row>
    <row r="299" spans="1:14"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row>
    <row r="300" spans="1:14"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row>
    <row r="301" spans="1:14"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row>
    <row r="302" spans="1:14"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row>
    <row r="303" spans="1:14"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row>
    <row r="304" spans="1:14"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row>
    <row r="305" spans="1:14"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row>
    <row r="306" spans="1:14"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row>
    <row r="307" spans="1:14"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row>
    <row r="308" spans="1:14"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row>
    <row r="309" spans="1:14"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row>
    <row r="310" spans="1:14"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row>
    <row r="311" spans="1:14"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row>
    <row r="312" spans="1:14"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row>
    <row r="313" spans="1:14"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row>
    <row r="314" spans="1:14"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row>
    <row r="315" spans="1:14"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row>
    <row r="316" spans="1:14"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row>
    <row r="317" spans="1:14"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row>
    <row r="318" spans="1:14"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row>
    <row r="319" spans="1:14"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row>
    <row r="320" spans="1:14"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row>
    <row r="321" spans="1:14"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row>
    <row r="322" spans="1:14"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row>
    <row r="323" spans="1:14"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row>
    <row r="324" spans="1:14"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row>
    <row r="325" spans="1:14"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row>
    <row r="326" spans="1:14"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row>
    <row r="327" spans="1:14"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row>
    <row r="328" spans="1:14"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row>
    <row r="329" spans="1:14"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row>
    <row r="330" spans="1:14"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row>
    <row r="331" spans="1:14"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row>
    <row r="332" spans="1:14"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row>
    <row r="333" spans="1:14"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row>
    <row r="334" spans="1:14"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row>
    <row r="335" spans="1:14"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row>
    <row r="336" spans="1:14"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row>
    <row r="337" spans="1:14"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row>
    <row r="338" spans="1:14"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row>
    <row r="339" spans="1:14"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row>
    <row r="340" spans="1:14"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row>
    <row r="341" spans="1:14"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row>
    <row r="342" spans="1:14"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row>
    <row r="343" spans="1:14"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row>
    <row r="344" spans="1:14"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row>
    <row r="345" spans="1:14"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row>
    <row r="346" spans="1:14"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row>
    <row r="347" spans="1:14"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row>
    <row r="348" spans="1:14"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row>
    <row r="349" spans="1:14"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row>
    <row r="350" spans="1:14"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row>
    <row r="351" spans="1:14"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row>
    <row r="352" spans="1:14"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row>
    <row r="353" spans="1:14"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row>
    <row r="354" spans="1:14"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row>
    <row r="355" spans="1:14"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row>
    <row r="356" spans="1:14"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row>
    <row r="357" spans="1:14"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row>
    <row r="358" spans="1:14"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row>
    <row r="359" spans="1:14"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row>
    <row r="360" spans="1:14"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row>
    <row r="361" spans="1:14"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row>
    <row r="362" spans="1:14"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row>
    <row r="363" spans="1:14"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row>
    <row r="364" spans="1:14"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row>
    <row r="365" spans="1:14"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row>
    <row r="366" spans="1:14"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row>
    <row r="367" spans="1:14"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row>
    <row r="368" spans="1:14"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row>
    <row r="369" spans="1:14"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row>
    <row r="370" spans="1:14"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row>
    <row r="371" spans="1:14"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row>
    <row r="372" spans="1:14"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row>
    <row r="373" spans="1:14"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row>
  </sheetData>
  <conditionalFormatting sqref="M2:M373">
    <cfRule type="cellIs" dxfId="10" priority="6" operator="greaterThan">
      <formula>$Q$9</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73673268-F3ED-43EC-BDDB-D2CBF6FA12A4}">
            <xm:f>NOT(ISERROR(SEARCH($Q$11,F2)))</xm:f>
            <xm:f>$Q$11</xm:f>
            <x14:dxf>
              <font>
                <b/>
                <i val="0"/>
                <color rgb="FFFF0000"/>
              </font>
              <fill>
                <patternFill>
                  <bgColor rgb="FFFFFF00"/>
                </patternFill>
              </fill>
            </x14:dxf>
          </x14:cfRule>
          <xm:sqref>F2:F373</xm:sqref>
        </x14:conditionalFormatting>
        <x14:conditionalFormatting xmlns:xm="http://schemas.microsoft.com/office/excel/2006/main">
          <x14:cfRule type="containsText" priority="1" operator="containsText" id="{5D9E205C-6A10-46D8-8BEA-ECF11D90CFE6}">
            <xm:f>NOT(ISERROR(SEARCH($Q$13,E2)))</xm:f>
            <xm:f>$Q$13</xm:f>
            <x14:dxf>
              <font>
                <b/>
                <i val="0"/>
                <color rgb="FFFF0000"/>
              </font>
              <fill>
                <patternFill>
                  <bgColor rgb="FFFFFF00"/>
                </patternFill>
              </fill>
            </x14:dxf>
          </x14:cfRule>
          <xm:sqref>E2:E373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9B52-D94B-4FFF-8647-44CE35F0F410}">
  <dimension ref="A1:R373"/>
  <sheetViews>
    <sheetView zoomScale="82" workbookViewId="0">
      <selection activeCell="F21" sqref="A1:N373"/>
    </sheetView>
  </sheetViews>
  <sheetFormatPr defaultRowHeight="14.4" x14ac:dyDescent="0.3"/>
  <cols>
    <col min="1" max="1" width="11" bestFit="1" customWidth="1"/>
    <col min="2" max="2" width="16" bestFit="1" customWidth="1"/>
    <col min="3" max="4" width="14" bestFit="1" customWidth="1"/>
    <col min="5" max="5" width="13.44140625" bestFit="1" customWidth="1"/>
    <col min="6" max="6" width="15.77734375" bestFit="1" customWidth="1"/>
    <col min="7" max="7" width="17.77734375" bestFit="1" customWidth="1"/>
    <col min="8" max="8" width="21" bestFit="1" customWidth="1"/>
    <col min="9" max="9" width="21.88671875" bestFit="1" customWidth="1"/>
    <col min="10" max="10" width="18" bestFit="1" customWidth="1"/>
    <col min="11" max="11" width="10.109375" bestFit="1" customWidth="1"/>
    <col min="12" max="12" width="13.21875" bestFit="1" customWidth="1"/>
    <col min="13" max="13" width="12.77734375" bestFit="1" customWidth="1"/>
    <col min="14" max="14" width="14.21875" bestFit="1" customWidth="1"/>
    <col min="18" max="18" width="12.77734375" bestFit="1" customWidth="1"/>
  </cols>
  <sheetData>
    <row r="1" spans="1:18"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8"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8"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8"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8"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8"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8"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8"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8"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c r="Q9" s="10" t="s">
        <v>5</v>
      </c>
      <c r="R9" s="1" t="s">
        <v>40</v>
      </c>
    </row>
    <row r="10" spans="1:18"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8"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8"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8"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8"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8"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8"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2:N373">
    <cfRule type="expression" dxfId="7" priority="1">
      <formula>$F2=$R$9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EEC-34BB-48ED-9808-FDD8587998CA}">
  <dimension ref="A1:P373"/>
  <sheetViews>
    <sheetView workbookViewId="0">
      <selection activeCell="I22" sqref="A1:N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 min="16" max="16" width="15.109375" bestFit="1" customWidth="1"/>
    <col min="17" max="17" width="10.109375" bestFit="1" customWidth="1"/>
  </cols>
  <sheetData>
    <row r="1" spans="1:16"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6"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6"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6"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6"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6"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6"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6"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6"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6"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c r="P10" t="s">
        <v>110</v>
      </c>
    </row>
    <row r="11" spans="1:16"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6"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6"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6"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6"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6"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6" priority="1">
      <formula>A$1=$P$10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99CE-C4BD-4464-85DE-24FB588EEB9E}">
  <dimension ref="A1:N373"/>
  <sheetViews>
    <sheetView workbookViewId="0">
      <selection activeCell="P356" sqref="P356"/>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s>
  <sheetData>
    <row r="1" spans="1:14"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4"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4"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4"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4"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4"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4"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4"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4"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4"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4"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4"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4"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4"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4"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5" priority="2">
      <formula>A$1=$P$10</formula>
    </cfRule>
  </conditionalFormatting>
  <conditionalFormatting sqref="L1:L373">
    <cfRule type="dataBar" priority="1">
      <dataBar>
        <cfvo type="min"/>
        <cfvo type="max"/>
        <color rgb="FFD6007B"/>
      </dataBar>
      <extLst>
        <ext xmlns:x14="http://schemas.microsoft.com/office/spreadsheetml/2009/9/main" uri="{B025F937-C7B1-47D3-B67F-A62EFF666E3E}">
          <x14:id>{C2A36A62-E90A-4A4D-8840-7DB56D650F95}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A36A62-E90A-4A4D-8840-7DB56D650F95}">
            <x14:dataBar minLength="0" maxLength="100" border="1" negativeBarBorderColorSameAsPositive="0">
              <x14:cfvo type="autoMin"/>
              <x14:cfvo type="autoMax"/>
              <x14:borderColor rgb="FFD6007B"/>
              <x14:negativeFillColor rgb="FFFF0000"/>
              <x14:negativeBorderColor rgb="FFFF0000"/>
              <x14:axisColor rgb="FF000000"/>
            </x14:dataBar>
          </x14:cfRule>
          <xm:sqref>L1:L373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9A6-2920-4D02-8233-68198A6A06D9}">
  <dimension ref="A1:T28"/>
  <sheetViews>
    <sheetView tabSelected="1" zoomScale="86" zoomScaleNormal="100" workbookViewId="0">
      <selection activeCell="U25" sqref="U25"/>
    </sheetView>
  </sheetViews>
  <sheetFormatPr defaultRowHeight="13.8" x14ac:dyDescent="0.25"/>
  <cols>
    <col min="1" max="1" width="9.77734375" style="16" bestFit="1" customWidth="1"/>
    <col min="2" max="2" width="6.5546875" style="16" bestFit="1" customWidth="1"/>
    <col min="3" max="3" width="10.6640625" style="16" bestFit="1" customWidth="1"/>
    <col min="4" max="4" width="5.109375" style="16" bestFit="1" customWidth="1"/>
    <col min="5" max="6" width="8.88671875" style="16"/>
    <col min="7" max="7" width="9.77734375" style="16" bestFit="1" customWidth="1"/>
    <col min="8" max="8" width="6.5546875" style="16" bestFit="1" customWidth="1"/>
    <col min="9" max="9" width="10.6640625" style="16" bestFit="1" customWidth="1"/>
    <col min="10" max="10" width="5.109375" style="16" bestFit="1" customWidth="1"/>
    <col min="11" max="12" width="8.88671875" style="16"/>
    <col min="13" max="13" width="9.21875" style="16" bestFit="1" customWidth="1"/>
    <col min="14" max="14" width="6.5546875" style="16" bestFit="1" customWidth="1"/>
    <col min="15" max="15" width="10.6640625" style="16" bestFit="1" customWidth="1"/>
    <col min="16" max="16" width="10.44140625" style="16" bestFit="1" customWidth="1"/>
    <col min="17" max="17" width="6.5546875" style="16" bestFit="1" customWidth="1"/>
    <col min="18" max="18" width="10.6640625" style="16" bestFit="1" customWidth="1"/>
    <col min="19" max="19" width="5.109375" style="16" bestFit="1" customWidth="1"/>
    <col min="20" max="16384" width="8.88671875" style="16"/>
  </cols>
  <sheetData>
    <row r="1" spans="1:20" x14ac:dyDescent="0.25">
      <c r="A1" s="15" t="s">
        <v>100</v>
      </c>
      <c r="B1" s="15" t="s">
        <v>111</v>
      </c>
      <c r="C1" s="15" t="s">
        <v>112</v>
      </c>
      <c r="D1" s="15" t="s">
        <v>113</v>
      </c>
      <c r="E1" s="16" t="s">
        <v>126</v>
      </c>
      <c r="P1" s="15" t="s">
        <v>100</v>
      </c>
      <c r="Q1" s="15" t="s">
        <v>111</v>
      </c>
      <c r="R1" s="15" t="s">
        <v>112</v>
      </c>
      <c r="S1" s="15" t="s">
        <v>113</v>
      </c>
      <c r="T1" s="16" t="s">
        <v>127</v>
      </c>
    </row>
    <row r="2" spans="1:20" x14ac:dyDescent="0.25">
      <c r="A2" s="15" t="s">
        <v>114</v>
      </c>
      <c r="B2" s="15" t="s">
        <v>117</v>
      </c>
      <c r="C2" s="17">
        <v>45292</v>
      </c>
      <c r="D2" s="15">
        <v>120</v>
      </c>
      <c r="P2" s="15" t="s">
        <v>114</v>
      </c>
      <c r="Q2" s="15" t="s">
        <v>117</v>
      </c>
      <c r="R2" s="17">
        <v>45292</v>
      </c>
      <c r="S2" s="15">
        <v>120</v>
      </c>
    </row>
    <row r="3" spans="1:20" x14ac:dyDescent="0.25">
      <c r="A3" s="15" t="s">
        <v>115</v>
      </c>
      <c r="B3" s="15" t="s">
        <v>118</v>
      </c>
      <c r="C3" s="17">
        <v>45293</v>
      </c>
      <c r="D3" s="15">
        <v>150</v>
      </c>
      <c r="P3" s="15" t="s">
        <v>115</v>
      </c>
      <c r="Q3" s="15" t="s">
        <v>118</v>
      </c>
      <c r="R3" s="17">
        <v>45293</v>
      </c>
      <c r="S3" s="15">
        <v>150</v>
      </c>
    </row>
    <row r="4" spans="1:20" x14ac:dyDescent="0.25">
      <c r="A4" s="15" t="s">
        <v>114</v>
      </c>
      <c r="B4" s="15" t="s">
        <v>119</v>
      </c>
      <c r="C4" s="17">
        <v>45294</v>
      </c>
      <c r="D4" s="15">
        <v>200</v>
      </c>
      <c r="P4" s="15" t="s">
        <v>114</v>
      </c>
      <c r="Q4" s="15" t="s">
        <v>119</v>
      </c>
      <c r="R4" s="17">
        <v>45294</v>
      </c>
      <c r="S4" s="15">
        <v>200</v>
      </c>
    </row>
    <row r="5" spans="1:20" x14ac:dyDescent="0.25">
      <c r="A5" s="15" t="s">
        <v>116</v>
      </c>
      <c r="B5" s="15" t="s">
        <v>120</v>
      </c>
      <c r="C5" s="17">
        <v>45295</v>
      </c>
      <c r="D5" s="15">
        <v>90</v>
      </c>
      <c r="P5" s="15" t="s">
        <v>116</v>
      </c>
      <c r="Q5" s="15" t="s">
        <v>120</v>
      </c>
      <c r="R5" s="17">
        <v>45295</v>
      </c>
      <c r="S5" s="15">
        <v>90</v>
      </c>
    </row>
    <row r="6" spans="1:20" x14ac:dyDescent="0.25">
      <c r="A6" s="15" t="s">
        <v>115</v>
      </c>
      <c r="B6" s="15" t="s">
        <v>117</v>
      </c>
      <c r="C6" s="17">
        <v>45296</v>
      </c>
      <c r="D6" s="15">
        <v>220</v>
      </c>
      <c r="P6" s="15" t="s">
        <v>115</v>
      </c>
      <c r="Q6" s="15" t="s">
        <v>117</v>
      </c>
      <c r="R6" s="17">
        <v>45296</v>
      </c>
      <c r="S6" s="15">
        <v>220</v>
      </c>
    </row>
    <row r="7" spans="1:20" x14ac:dyDescent="0.25">
      <c r="A7" s="15" t="s">
        <v>114</v>
      </c>
      <c r="B7" s="15" t="s">
        <v>118</v>
      </c>
      <c r="C7" s="17">
        <v>45297</v>
      </c>
      <c r="D7" s="15">
        <v>130</v>
      </c>
      <c r="P7" s="15" t="s">
        <v>114</v>
      </c>
      <c r="Q7" s="15" t="s">
        <v>118</v>
      </c>
      <c r="R7" s="17">
        <v>45297</v>
      </c>
      <c r="S7" s="15">
        <v>130</v>
      </c>
    </row>
    <row r="8" spans="1:20" x14ac:dyDescent="0.25">
      <c r="A8" s="15" t="s">
        <v>116</v>
      </c>
      <c r="B8" s="15" t="s">
        <v>117</v>
      </c>
      <c r="C8" s="17">
        <v>45298</v>
      </c>
      <c r="D8" s="15">
        <v>300</v>
      </c>
      <c r="I8" s="18" t="s">
        <v>122</v>
      </c>
      <c r="J8" s="19"/>
      <c r="K8" s="19"/>
      <c r="L8" s="19"/>
      <c r="M8" s="19"/>
      <c r="N8" s="19"/>
      <c r="P8" s="15" t="s">
        <v>116</v>
      </c>
      <c r="Q8" s="15" t="s">
        <v>117</v>
      </c>
      <c r="R8" s="17">
        <v>45298</v>
      </c>
      <c r="S8" s="15">
        <v>300</v>
      </c>
    </row>
    <row r="9" spans="1:20" x14ac:dyDescent="0.25">
      <c r="A9" s="15" t="s">
        <v>115</v>
      </c>
      <c r="B9" s="15" t="s">
        <v>121</v>
      </c>
      <c r="C9" s="17">
        <v>45299</v>
      </c>
      <c r="D9" s="15">
        <v>80</v>
      </c>
      <c r="I9" s="19"/>
      <c r="J9" s="19"/>
      <c r="K9" s="19"/>
      <c r="L9" s="19"/>
      <c r="M9" s="19"/>
      <c r="N9" s="19"/>
      <c r="P9" s="15" t="s">
        <v>115</v>
      </c>
      <c r="Q9" s="15" t="s">
        <v>121</v>
      </c>
      <c r="R9" s="17">
        <v>45299</v>
      </c>
      <c r="S9" s="15">
        <v>80</v>
      </c>
    </row>
    <row r="10" spans="1:20" x14ac:dyDescent="0.25">
      <c r="I10" s="19"/>
      <c r="J10" s="19"/>
      <c r="K10" s="19"/>
      <c r="L10" s="19"/>
      <c r="M10" s="19"/>
      <c r="N10" s="19"/>
    </row>
    <row r="11" spans="1:20" x14ac:dyDescent="0.25">
      <c r="I11" s="19"/>
      <c r="J11" s="19"/>
      <c r="K11" s="19"/>
      <c r="L11" s="19"/>
      <c r="M11" s="19"/>
      <c r="N11" s="19"/>
    </row>
    <row r="12" spans="1:20" x14ac:dyDescent="0.25">
      <c r="I12" s="19"/>
      <c r="J12" s="19"/>
      <c r="K12" s="19"/>
      <c r="L12" s="19"/>
      <c r="M12" s="19"/>
      <c r="N12" s="19"/>
    </row>
    <row r="13" spans="1:20" x14ac:dyDescent="0.25">
      <c r="I13" s="19"/>
      <c r="J13" s="19"/>
      <c r="K13" s="19"/>
      <c r="L13" s="19"/>
      <c r="M13" s="19"/>
      <c r="N13" s="19"/>
    </row>
    <row r="14" spans="1:20" x14ac:dyDescent="0.25">
      <c r="I14" s="19"/>
      <c r="J14" s="19"/>
      <c r="K14" s="19"/>
      <c r="L14" s="19"/>
      <c r="M14" s="19"/>
      <c r="N14" s="19"/>
    </row>
    <row r="15" spans="1:20" x14ac:dyDescent="0.25">
      <c r="I15" s="19"/>
      <c r="J15" s="19"/>
      <c r="K15" s="19"/>
      <c r="L15" s="19"/>
      <c r="M15" s="19"/>
      <c r="N15" s="19"/>
    </row>
    <row r="16" spans="1:20" x14ac:dyDescent="0.25">
      <c r="I16" s="19"/>
      <c r="J16" s="19"/>
      <c r="K16" s="19"/>
      <c r="L16" s="19"/>
      <c r="M16" s="19"/>
      <c r="N16" s="19"/>
    </row>
    <row r="17" spans="1:17" x14ac:dyDescent="0.25">
      <c r="I17" s="19"/>
      <c r="J17" s="19"/>
      <c r="K17" s="19"/>
      <c r="L17" s="19"/>
      <c r="M17" s="19"/>
      <c r="N17" s="19"/>
    </row>
    <row r="20" spans="1:17" x14ac:dyDescent="0.25">
      <c r="A20" s="15" t="s">
        <v>100</v>
      </c>
      <c r="B20" s="15" t="s">
        <v>111</v>
      </c>
      <c r="C20" s="15" t="s">
        <v>112</v>
      </c>
      <c r="D20" s="15" t="s">
        <v>113</v>
      </c>
      <c r="E20" s="16" t="s">
        <v>128</v>
      </c>
      <c r="G20" s="15" t="s">
        <v>100</v>
      </c>
      <c r="H20" s="15" t="s">
        <v>111</v>
      </c>
      <c r="I20" s="15" t="s">
        <v>112</v>
      </c>
      <c r="J20" s="15" t="s">
        <v>113</v>
      </c>
      <c r="K20" s="16" t="s">
        <v>129</v>
      </c>
      <c r="M20" s="15" t="s">
        <v>100</v>
      </c>
      <c r="N20" s="15" t="s">
        <v>111</v>
      </c>
      <c r="O20" s="15" t="s">
        <v>112</v>
      </c>
      <c r="P20" s="15" t="s">
        <v>113</v>
      </c>
      <c r="Q20" s="16" t="s">
        <v>130</v>
      </c>
    </row>
    <row r="21" spans="1:17" x14ac:dyDescent="0.25">
      <c r="A21" s="15" t="s">
        <v>114</v>
      </c>
      <c r="B21" s="15" t="s">
        <v>117</v>
      </c>
      <c r="C21" s="17">
        <v>45292</v>
      </c>
      <c r="D21" s="15">
        <v>120</v>
      </c>
      <c r="G21" s="15" t="s">
        <v>114</v>
      </c>
      <c r="H21" s="15" t="s">
        <v>117</v>
      </c>
      <c r="I21" s="17">
        <v>45292</v>
      </c>
      <c r="J21" s="15">
        <v>120</v>
      </c>
      <c r="M21" s="15" t="s">
        <v>123</v>
      </c>
      <c r="N21" s="15" t="s">
        <v>117</v>
      </c>
      <c r="O21" s="17">
        <v>45292</v>
      </c>
      <c r="P21" s="15">
        <v>120</v>
      </c>
    </row>
    <row r="22" spans="1:17" x14ac:dyDescent="0.25">
      <c r="A22" s="15" t="s">
        <v>115</v>
      </c>
      <c r="B22" s="15" t="s">
        <v>118</v>
      </c>
      <c r="C22" s="17">
        <v>45293</v>
      </c>
      <c r="D22" s="15">
        <v>150</v>
      </c>
      <c r="G22" s="15" t="s">
        <v>115</v>
      </c>
      <c r="H22" s="15" t="s">
        <v>118</v>
      </c>
      <c r="I22" s="17">
        <v>45293</v>
      </c>
      <c r="J22" s="15">
        <v>150</v>
      </c>
      <c r="M22" s="15" t="s">
        <v>124</v>
      </c>
      <c r="N22" s="15" t="s">
        <v>118</v>
      </c>
      <c r="O22" s="17">
        <v>45293</v>
      </c>
      <c r="P22" s="15">
        <v>150</v>
      </c>
    </row>
    <row r="23" spans="1:17" x14ac:dyDescent="0.25">
      <c r="A23" s="15" t="s">
        <v>114</v>
      </c>
      <c r="B23" s="15" t="s">
        <v>119</v>
      </c>
      <c r="C23" s="17">
        <v>45294</v>
      </c>
      <c r="D23" s="15">
        <v>200</v>
      </c>
      <c r="G23" s="15" t="s">
        <v>114</v>
      </c>
      <c r="H23" s="15" t="s">
        <v>119</v>
      </c>
      <c r="I23" s="17">
        <v>45294</v>
      </c>
      <c r="J23" s="15">
        <v>200</v>
      </c>
      <c r="M23" s="15" t="s">
        <v>123</v>
      </c>
      <c r="N23" s="15" t="s">
        <v>119</v>
      </c>
      <c r="O23" s="17">
        <v>45294</v>
      </c>
      <c r="P23" s="15">
        <v>200</v>
      </c>
    </row>
    <row r="24" spans="1:17" x14ac:dyDescent="0.25">
      <c r="A24" s="15" t="s">
        <v>116</v>
      </c>
      <c r="B24" s="15" t="s">
        <v>120</v>
      </c>
      <c r="C24" s="17">
        <v>45295</v>
      </c>
      <c r="D24" s="15">
        <v>90</v>
      </c>
      <c r="G24" s="15" t="s">
        <v>116</v>
      </c>
      <c r="H24" s="15" t="s">
        <v>120</v>
      </c>
      <c r="I24" s="17">
        <v>45295</v>
      </c>
      <c r="J24" s="15">
        <v>90</v>
      </c>
      <c r="M24" s="15" t="s">
        <v>125</v>
      </c>
      <c r="N24" s="15" t="s">
        <v>120</v>
      </c>
      <c r="O24" s="17">
        <v>45295</v>
      </c>
      <c r="P24" s="15">
        <v>90</v>
      </c>
    </row>
    <row r="25" spans="1:17" x14ac:dyDescent="0.25">
      <c r="A25" s="15" t="s">
        <v>115</v>
      </c>
      <c r="B25" s="15" t="s">
        <v>117</v>
      </c>
      <c r="C25" s="17">
        <v>45296</v>
      </c>
      <c r="D25" s="15">
        <v>220</v>
      </c>
      <c r="G25" s="15" t="s">
        <v>115</v>
      </c>
      <c r="H25" s="15" t="s">
        <v>117</v>
      </c>
      <c r="I25" s="17">
        <v>45296</v>
      </c>
      <c r="J25" s="15">
        <v>220</v>
      </c>
      <c r="M25" s="15" t="s">
        <v>124</v>
      </c>
      <c r="N25" s="15" t="s">
        <v>117</v>
      </c>
      <c r="O25" s="17">
        <v>45296</v>
      </c>
      <c r="P25" s="15">
        <v>220</v>
      </c>
    </row>
    <row r="26" spans="1:17" x14ac:dyDescent="0.25">
      <c r="A26" s="15" t="s">
        <v>114</v>
      </c>
      <c r="B26" s="15" t="s">
        <v>118</v>
      </c>
      <c r="C26" s="17">
        <v>45297</v>
      </c>
      <c r="D26" s="15">
        <v>130</v>
      </c>
      <c r="G26" s="15" t="s">
        <v>114</v>
      </c>
      <c r="H26" s="15" t="s">
        <v>118</v>
      </c>
      <c r="I26" s="17">
        <v>45297</v>
      </c>
      <c r="J26" s="15">
        <v>130</v>
      </c>
      <c r="M26" s="15" t="s">
        <v>123</v>
      </c>
      <c r="N26" s="15" t="s">
        <v>118</v>
      </c>
      <c r="O26" s="17">
        <v>45297</v>
      </c>
      <c r="P26" s="15">
        <v>130</v>
      </c>
    </row>
    <row r="27" spans="1:17" x14ac:dyDescent="0.25">
      <c r="A27" s="15" t="s">
        <v>116</v>
      </c>
      <c r="B27" s="15" t="s">
        <v>117</v>
      </c>
      <c r="C27" s="17">
        <v>45298</v>
      </c>
      <c r="D27" s="15">
        <v>300</v>
      </c>
      <c r="G27" s="15" t="s">
        <v>116</v>
      </c>
      <c r="H27" s="15" t="s">
        <v>117</v>
      </c>
      <c r="I27" s="17">
        <v>45298</v>
      </c>
      <c r="J27" s="15">
        <v>300</v>
      </c>
      <c r="M27" s="15" t="s">
        <v>125</v>
      </c>
      <c r="N27" s="15" t="s">
        <v>117</v>
      </c>
      <c r="O27" s="17">
        <v>45298</v>
      </c>
      <c r="P27" s="15">
        <v>300</v>
      </c>
    </row>
    <row r="28" spans="1:17" x14ac:dyDescent="0.25">
      <c r="A28" s="15" t="s">
        <v>115</v>
      </c>
      <c r="B28" s="15" t="s">
        <v>121</v>
      </c>
      <c r="C28" s="17">
        <v>45299</v>
      </c>
      <c r="D28" s="15">
        <v>80</v>
      </c>
      <c r="G28" s="15" t="s">
        <v>115</v>
      </c>
      <c r="H28" s="15" t="s">
        <v>121</v>
      </c>
      <c r="I28" s="17">
        <v>45299</v>
      </c>
      <c r="J28" s="15">
        <v>80</v>
      </c>
      <c r="M28" s="15" t="s">
        <v>124</v>
      </c>
      <c r="N28" s="15" t="s">
        <v>121</v>
      </c>
      <c r="O28" s="17">
        <v>45299</v>
      </c>
      <c r="P28" s="15">
        <v>80</v>
      </c>
    </row>
  </sheetData>
  <mergeCells count="1">
    <mergeCell ref="I8:N17"/>
  </mergeCells>
  <conditionalFormatting sqref="D2:D9">
    <cfRule type="cellIs" dxfId="4" priority="8" operator="greaterThanOrEqual">
      <formula>150</formula>
    </cfRule>
  </conditionalFormatting>
  <conditionalFormatting sqref="P2:P9">
    <cfRule type="containsText" dxfId="3" priority="7" operator="containsText" text="Product A ">
      <formula>NOT(ISERROR(SEARCH("Product A ",P2)))</formula>
    </cfRule>
  </conditionalFormatting>
  <conditionalFormatting sqref="J21:J28">
    <cfRule type="top10" dxfId="2" priority="5" rank="3"/>
  </conditionalFormatting>
  <conditionalFormatting sqref="C21:C28">
    <cfRule type="expression" dxfId="1" priority="3">
      <formula>MONTH(C21)=1</formula>
    </cfRule>
  </conditionalFormatting>
  <conditionalFormatting sqref="P21:P28">
    <cfRule type="expression" dxfId="0" priority="1">
      <formula>AND($M21="Product B",$N21="North")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Function &amp; Formula Used</vt:lpstr>
      <vt:lpstr>Grading System</vt:lpstr>
      <vt:lpstr>Conditional Formatting</vt:lpstr>
      <vt:lpstr>Condtional_Formatting(DAY 2)</vt:lpstr>
      <vt:lpstr>Conditional_Formatting(DAY 2.1)</vt:lpstr>
      <vt:lpstr>Conditional_Formatting(Day2.2)</vt:lpstr>
      <vt:lpstr>ConditionalFormat2.3labwork</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Sayar Paul</cp:lastModifiedBy>
  <dcterms:created xsi:type="dcterms:W3CDTF">2026-02-23T05:28:23Z</dcterms:created>
  <dcterms:modified xsi:type="dcterms:W3CDTF">2026-02-26T06:27:05Z</dcterms:modified>
</cp:coreProperties>
</file>