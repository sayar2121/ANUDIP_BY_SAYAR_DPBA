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13_ncr:1_{099FF40E-9021-4127-ADFA-F74AA87CE979}" xr6:coauthVersionLast="47" xr6:coauthVersionMax="47" xr10:uidLastSave="{00000000-0000-0000-0000-000000000000}"/>
  <bookViews>
    <workbookView xWindow="1044" yWindow="1044" windowWidth="17280" windowHeight="8880" firstSheet="2" activeTab="5" xr2:uid="{5390CD2B-D633-4461-ACBA-78D32552B946}"/>
  </bookViews>
  <sheets>
    <sheet name="Sheet3" sheetId="3" r:id="rId1"/>
    <sheet name="Sheet2" sheetId="2" r:id="rId2"/>
    <sheet name="Sheet1" sheetId="1" r:id="rId3"/>
    <sheet name="Sheet4" sheetId="4" r:id="rId4"/>
    <sheet name="Data Clean" sheetId="5" r:id="rId5"/>
    <sheet name="Data Clean (2)" sheetId="6" r:id="rId6"/>
  </sheets>
  <definedNames>
    <definedName name="Slicer_Category">#N/A</definedName>
    <definedName name="Slicer_Region">#N/A</definedName>
  </definedNames>
  <calcPr calcId="191029"/>
  <pivotCaches>
    <pivotCache cacheId="46" r:id="rId7"/>
    <pivotCache cacheId="5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6" l="1"/>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alcChain>
</file>

<file path=xl/sharedStrings.xml><?xml version="1.0" encoding="utf-8"?>
<sst xmlns="http://schemas.openxmlformats.org/spreadsheetml/2006/main" count="2780" uniqueCount="175">
  <si>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</si>
  <si>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</si>
  <si>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</si>
  <si>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</si>
  <si>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</si>
  <si>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</si>
  <si>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</si>
  <si>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</si>
  <si>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</si>
  <si>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</si>
  <si>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</si>
  <si>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</si>
  <si>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</si>
  <si>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</si>
  <si>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</si>
  <si>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</si>
  <si>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</si>
  <si>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</si>
  <si>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</si>
  <si>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</si>
  <si>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</si>
  <si>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</si>
  <si>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</si>
  <si>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</si>
  <si>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</si>
  <si>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</si>
  <si>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</si>
  <si>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</si>
  <si>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</si>
  <si>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</si>
  <si>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</si>
  <si>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</si>
  <si>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</si>
  <si>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</si>
  <si>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</si>
  <si>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</si>
  <si>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</si>
  <si>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</si>
  <si>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</si>
  <si>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</si>
  <si>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</si>
  <si>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</si>
  <si>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</si>
  <si>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</si>
  <si>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</si>
  <si>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</si>
  <si>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</si>
  <si>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</si>
  <si>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</si>
  <si>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</si>
  <si>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</si>
  <si>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</si>
  <si>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</si>
  <si>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</si>
  <si>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</si>
  <si>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</si>
  <si>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</si>
  <si>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</si>
  <si>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</si>
  <si>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</si>
  <si>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</si>
  <si>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</si>
  <si>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</si>
  <si>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</si>
  <si>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</si>
  <si>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</si>
  <si>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</si>
  <si>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</si>
  <si>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</si>
  <si>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</si>
  <si>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</si>
  <si>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</si>
  <si>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</si>
  <si>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</si>
  <si>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</si>
  <si>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</si>
  <si>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</si>
  <si>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</si>
  <si>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</si>
  <si>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</si>
  <si>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</si>
  <si>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</si>
  <si>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</si>
  <si>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</si>
  <si>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</si>
  <si>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</si>
  <si>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</si>
  <si>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</si>
  <si>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</si>
  <si>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</si>
  <si>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</si>
  <si>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</si>
  <si>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</si>
  <si>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</si>
  <si>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</si>
  <si>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</si>
  <si>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</si>
  <si>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</si>
  <si>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</si>
  <si>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</si>
  <si>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</si>
  <si>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</si>
  <si>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</si>
  <si>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</si>
  <si>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</si>
  <si>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</si>
  <si>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</si>
  <si>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</si>
  <si>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</si>
  <si>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</si>
  <si>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</si>
  <si>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</si>
  <si>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</si>
  <si>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</si>
  <si>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</si>
  <si>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</si>
  <si>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</si>
  <si>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</si>
  <si>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</si>
  <si>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</si>
  <si>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</si>
  <si>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</si>
  <si>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</si>
  <si>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</si>
  <si>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</si>
  <si>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</si>
  <si>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</si>
  <si>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</si>
  <si>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</si>
  <si>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</si>
  <si>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</si>
  <si>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</si>
  <si>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</si>
  <si>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</si>
  <si>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</si>
  <si>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</si>
  <si>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</si>
  <si>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</si>
  <si>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</si>
  <si>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</si>
  <si>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</si>
  <si>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</si>
  <si>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</si>
  <si>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</si>
  <si>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</si>
  <si>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Column Labels</t>
  </si>
  <si>
    <t>Total Sales 1</t>
  </si>
  <si>
    <t>Jan</t>
  </si>
  <si>
    <t>Feb</t>
  </si>
  <si>
    <t>Mar</t>
  </si>
  <si>
    <t>Apr</t>
  </si>
  <si>
    <t>May</t>
  </si>
  <si>
    <t>Jun</t>
  </si>
  <si>
    <t>Jul</t>
  </si>
  <si>
    <t>Aug</t>
  </si>
  <si>
    <t>Sep</t>
  </si>
  <si>
    <t>Oct</t>
  </si>
  <si>
    <t>Nov</t>
  </si>
  <si>
    <t>Dec</t>
  </si>
  <si>
    <t>Sum of Field1</t>
  </si>
  <si>
    <t>Sum of Quantity</t>
  </si>
  <si>
    <t>Column1</t>
  </si>
  <si>
    <t>Column2</t>
  </si>
  <si>
    <t>No</t>
  </si>
  <si>
    <t>Location</t>
  </si>
  <si>
    <t>City</t>
  </si>
  <si>
    <t>Pin</t>
  </si>
  <si>
    <t>Dunlop,Kolkata,700054</t>
  </si>
  <si>
    <t>Dunlop</t>
  </si>
  <si>
    <t>Kolkata</t>
  </si>
  <si>
    <t>NA</t>
  </si>
  <si>
    <t>Category2</t>
  </si>
  <si>
    <t>OFFICE SUPPLIES</t>
  </si>
  <si>
    <t>TECHNOLOGY</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</si>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</sst>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1" xfId="0" applyFont="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1" xfId="0" applyFont="1" applyFill="1" applyBorder="1"/>
    <xf numFmtId="14" fontId="0" fillId="0" borderId="0" xfId="0" applyNumberFormat="1" applyAlignment="1">
      <alignment horizontal="left"/>
    </xf>
    <xf numFmtId="10" fontId="0" fillId="0" borderId="0" xfId="0" applyNumberFormat="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Fill="1"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0" fillId="0" borderId="5" xfId="0" applyBorder="1"/>
    <xf numFmtId="1" fontId="0" fillId="0" borderId="5" xfId="0" applyNumberFormat="1" applyBorder="1"/>
  </cellXfs>
  <cellStyles count="1">
    <cellStyle name="Normal" xfId="0" builtinId="0"/>
  </cellStyles>
  <dxfs count="24">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Sheet2!$H$18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Sheet2!$G$19:$G$31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Sheet2!$H$19:$H$31</c:f>
              <c:numCache>
                <c:formatCode>General</c:formatCode>
                <c:ptCount val="12"/>
                <c:pt idx="0">
                  <c:v>47320.349999999991</c:v>
                </c:pt>
                <c:pt idx="1">
                  <c:v>62559.839999999997</c:v>
                </c:pt>
                <c:pt idx="2">
                  <c:v>19909.03</c:v>
                </c:pt>
                <c:pt idx="3">
                  <c:v>44310.17</c:v>
                </c:pt>
                <c:pt idx="4">
                  <c:v>22554.239999999998</c:v>
                </c:pt>
                <c:pt idx="5">
                  <c:v>24101.27</c:v>
                </c:pt>
                <c:pt idx="6">
                  <c:v>33977.269999999997</c:v>
                </c:pt>
                <c:pt idx="7">
                  <c:v>50714.99</c:v>
                </c:pt>
                <c:pt idx="8">
                  <c:v>42323.599999999991</c:v>
                </c:pt>
                <c:pt idx="9">
                  <c:v>47650.590000000004</c:v>
                </c:pt>
                <c:pt idx="10">
                  <c:v>40175.599999999999</c:v>
                </c:pt>
                <c:pt idx="11">
                  <c:v>55476.180000000008</c:v>
                </c:pt>
              </c:numCache>
            </c:numRef>
          </c:val>
          <c:extLst>
            <c:ext xmlns:c16="http://schemas.microsoft.com/office/drawing/2014/chart" uri="{C3380CC4-5D6E-409C-BE32-E72D297353CC}">
              <c16:uniqueId val="{00000000-E92E-42E9-AD23-1F376F4647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236220</xdr:colOff>
      <xdr:row>24</xdr:row>
      <xdr:rowOff>53340</xdr:rowOff>
    </xdr:from>
    <xdr:to>
      <xdr:col>10</xdr:col>
      <xdr:colOff>601981</xdr:colOff>
      <xdr:row>37</xdr:row>
      <xdr:rowOff>142875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249184F-27BF-4324-AD66-61CAB315B2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21880" y="444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220980</xdr:colOff>
      <xdr:row>37</xdr:row>
      <xdr:rowOff>137160</xdr:rowOff>
    </xdr:from>
    <xdr:to>
      <xdr:col>10</xdr:col>
      <xdr:colOff>586741</xdr:colOff>
      <xdr:row>51</xdr:row>
      <xdr:rowOff>43815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CAD2274-24FF-4D5C-9EBD-AAF39EDDDC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06640" y="6903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435428</xdr:colOff>
      <xdr:row>16</xdr:row>
      <xdr:rowOff>59872</xdr:rowOff>
    </xdr:from>
    <xdr:to>
      <xdr:col>15</xdr:col>
      <xdr:colOff>283028</xdr:colOff>
      <xdr:row>31</xdr:row>
      <xdr:rowOff>27215</xdr:rowOff>
    </xdr:to>
    <xdr:graphicFrame macro="">
      <xdr:nvGraphicFramePr>
        <xdr:cNvPr id="4" name="Chart 3">
          <a:extLst>
            <a:ext uri="{FF2B5EF4-FFF2-40B4-BE49-F238E27FC236}">
              <a16:creationId xmlns:a16="http://schemas.microsoft.com/office/drawing/2014/main" id="{DD5DB022-7849-454A-8379-182E88CBB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7.456680439813" createdVersion="7" refreshedVersion="7" minRefreshableVersion="3" recordCount="100" xr:uid="{9C2281D4-3294-41D5-8BB8-6DE24670CD45}">
  <cacheSource type="worksheet">
    <worksheetSource ref="A1:L101" sheet="Sheet1"/>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7.458475578707" createdVersion="7" refreshedVersion="7" minRefreshableVersion="3" recordCount="100" xr:uid="{C484C34B-9822-4880-A97C-FB6CADA77804}">
  <cacheSource type="worksheet">
    <worksheetSource ref="A1:M101" sheet="Sheet1"/>
  </cacheSource>
  <cacheFields count="14">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base="1">
        <rangePr groupBy="months" startDate="2023-01-02T00:00:00" endDate="2023-12-31T00:00:00"/>
        <groupItems count="14">
          <s v="&lt;02-01-2023"/>
          <s v="Jan"/>
          <s v="Feb"/>
          <s v="Mar"/>
          <s v="Apr"/>
          <s v="May"/>
          <s v="Jun"/>
          <s v="Jul"/>
          <s v="Aug"/>
          <s v="Sep"/>
          <s v="Oct"/>
          <s v="Nov"/>
          <s v="Dec"/>
          <s v="&gt;31-12-2023"/>
        </groupItems>
      </fieldGroup>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ount="9">
        <n v="3"/>
        <n v="7"/>
        <n v="8"/>
        <n v="5"/>
        <n v="4"/>
        <n v="6"/>
        <n v="2"/>
        <n v="9"/>
        <n v="1"/>
      </sharedItems>
    </cacheField>
    <cacheField name="Unit Price" numFmtId="0">
      <sharedItems containsSemiMixedTypes="0" containsString="0" containsNumber="1" minValue="105.15" maxValue="1975.82" count="100">
        <n v="1443.03"/>
        <n v="1715.07"/>
        <n v="621.97"/>
        <n v="1166.43"/>
        <n v="1003.2"/>
        <n v="1891.42"/>
        <n v="1755.78"/>
        <n v="1802.57"/>
        <n v="412.85"/>
        <n v="515.65"/>
        <n v="1453.31"/>
        <n v="162.80000000000001"/>
        <n v="1377.06"/>
        <n v="857.77"/>
        <n v="131.52000000000001"/>
        <n v="834.8"/>
        <n v="534.25"/>
        <n v="1810.79"/>
        <n v="1786.76"/>
        <n v="1360.65"/>
        <n v="434.26"/>
        <n v="685.32"/>
        <n v="1959.9"/>
        <n v="470.96"/>
        <n v="1778.64"/>
        <n v="1962.63"/>
        <n v="1157.92"/>
        <n v="366.16"/>
        <n v="783.03"/>
        <n v="1052.8800000000001"/>
        <n v="152.47"/>
        <n v="1222.58"/>
        <n v="1672.95"/>
        <n v="881.57"/>
        <n v="1610.85"/>
        <n v="913.8"/>
        <n v="1457.73"/>
        <n v="190.66"/>
        <n v="278.89999999999998"/>
        <n v="429.08"/>
        <n v="1055.96"/>
        <n v="1747.68"/>
        <n v="1659.22"/>
        <n v="174.03"/>
        <n v="595.32000000000005"/>
        <n v="1938.4"/>
        <n v="883.97"/>
        <n v="1526.66"/>
        <n v="839.48"/>
        <n v="1189.53"/>
        <n v="1584.46"/>
        <n v="1500.37"/>
        <n v="292.13"/>
        <n v="1075.32"/>
        <n v="1973.4"/>
        <n v="311.27999999999997"/>
        <n v="1514"/>
        <n v="1103.9000000000001"/>
        <n v="580.67999999999995"/>
        <n v="1292.3599999999999"/>
        <n v="1278.25"/>
        <n v="593.9"/>
        <n v="1662.82"/>
        <n v="1765.66"/>
        <n v="1975.82"/>
        <n v="1692.82"/>
        <n v="1115.26"/>
        <n v="569.96"/>
        <n v="1538.3"/>
        <n v="1567.4"/>
        <n v="1220.92"/>
        <n v="766.12"/>
        <n v="1588.94"/>
        <n v="972.76"/>
        <n v="760.09"/>
        <n v="1425.57"/>
        <n v="1243.68"/>
        <n v="268.52999999999997"/>
        <n v="275.35000000000002"/>
        <n v="626.07000000000005"/>
        <n v="1020.59"/>
        <n v="352.92"/>
        <n v="1501.07"/>
        <n v="1792"/>
        <n v="1120.5"/>
        <n v="741.15"/>
        <n v="1250.97"/>
        <n v="1803.85"/>
        <n v="1194.4000000000001"/>
        <n v="1659.64"/>
        <n v="1939.19"/>
        <n v="1204.3499999999999"/>
        <n v="220.41"/>
        <n v="105.15"/>
        <n v="1716.38"/>
        <n v="226.34"/>
        <n v="412.11"/>
        <n v="1397.67"/>
        <n v="775.19"/>
        <n v="1885.68"/>
      </sharedItems>
    </cacheField>
    <cacheField name="Discount" numFmtId="0">
      <sharedItems containsSemiMixedTypes="0" containsString="0" containsNumber="1" minValue="0" maxValue="0.2" count="5">
        <n v="0.1"/>
        <n v="0.15"/>
        <n v="0.2"/>
        <n v="0"/>
        <n v="0.05"/>
      </sharedItems>
    </cacheField>
    <cacheField name="Total Sales" numFmtId="0">
      <sharedItems containsSemiMixedTypes="0" containsString="0" containsNumber="1" minValue="233.71" maxValue="13708.81" count="100">
        <n v="3896.18"/>
        <n v="10204.69"/>
        <n v="4478.1899999999996"/>
        <n v="5248.92"/>
        <n v="5617.94"/>
        <n v="6809.12"/>
        <n v="7462.04"/>
        <n v="12618.01"/>
        <n v="2600.9299999999998"/>
        <n v="3093.91"/>
        <n v="2325.3000000000002"/>
        <n v="976.78"/>
        <n v="8675.4599999999991"/>
        <n v="5146.6000000000004"/>
        <n v="473.46"/>
        <n v="6344.46"/>
        <n v="1522.6"/>
        <n v="8148.57"/>
        <n v="12149.99"/>
        <n v="9796.7000000000007"/>
        <n v="3322.07"/>
        <n v="582.52"/>
        <n v="10583.44"/>
        <n v="376.77"/>
        <n v="7559.21"/>
        <n v="5004.71"/>
        <n v="2200.0500000000002"/>
        <n v="2306.81"/>
        <n v="3758.56"/>
        <n v="5896.13"/>
        <n v="1013.94"/>
        <n v="7335.5"/>
        <n v="1422.01"/>
        <n v="3173.66"/>
        <n v="4349.3100000000004"/>
        <n v="5437.1"/>
        <n v="6997.11"/>
        <n v="1267.8900000000001"/>
        <n v="1185.32"/>
        <n v="1373.07"/>
        <n v="3167.88"/>
        <n v="1572.91"/>
        <n v="4231"/>
        <n v="330.66"/>
        <n v="1012.04"/>
        <n v="8238.2099999999991"/>
        <n v="2519.3200000000002"/>
        <n v="10686.59"/>
        <n v="2140.6799999999998"/>
        <n v="3806.5"/>
        <n v="8872.99"/>
        <n v="6001.47"/>
        <n v="233.71"/>
        <n v="4838.9399999999996"/>
        <n v="11741.74"/>
        <n v="840.44"/>
        <n v="12263.42"/>
        <n v="7064.98"/>
        <n v="2613.0700000000002"/>
        <n v="1163.1199999999999"/>
        <n v="9714.7099999999991"/>
        <n v="4810.63"/>
        <n v="4739.04"/>
        <n v="12712.73"/>
        <n v="3951.65"/>
        <n v="1608.18"/>
        <n v="892.21"/>
        <n v="1709.88"/>
        <n v="1461.38"/>
        <n v="8463.99"/>
        <n v="8790.6"/>
        <n v="1455.62"/>
        <n v="1350.6"/>
        <n v="3891.04"/>
        <n v="3420.38"/>
        <n v="7270.4"/>
        <n v="2238.62"/>
        <n v="1611.21"/>
        <n v="2478.17"/>
        <n v="626.07000000000005"/>
        <n v="7756.51"/>
        <n v="2541.04"/>
        <n v="11483.18"/>
        <n v="13708.81"/>
        <n v="4257.91"/>
        <n v="5669.79"/>
        <n v="7505.83"/>
        <n v="12987.75"/>
        <n v="2149.91"/>
        <n v="4729.96"/>
        <n v="9889.86"/>
        <n v="6503.5"/>
        <n v="934.75"/>
        <n v="525.75"/>
        <n v="1458.92"/>
        <n v="577.16999999999996"/>
        <n v="989.05"/>
        <n v="11321.09"/>
        <n v="6627.86"/>
        <n v="10182.68"/>
      </sharedItems>
    </cacheField>
    <cacheField name="Profit" numFmtId="0">
      <sharedItems containsSemiMixedTypes="0" containsString="0" containsNumber="1" minValue="24.69" maxValue="2889.4" count="100">
        <n v="964.48"/>
        <n v="1354.41"/>
        <n v="752.58"/>
        <n v="948.39"/>
        <n v="995.18"/>
        <n v="1523.17"/>
        <n v="780.61"/>
        <n v="1489.34"/>
        <n v="401.46"/>
        <n v="467.05"/>
        <n v="281.85000000000002"/>
        <n v="203.74"/>
        <n v="1235.5"/>
        <n v="451.25"/>
        <n v="119.49"/>
        <n v="1645.93"/>
        <n v="449.99"/>
        <n v="791.85"/>
        <n v="863.07"/>
        <n v="1185.21"/>
        <n v="363.14"/>
        <n v="103.22"/>
        <n v="2889.4"/>
        <n v="65.86"/>
        <n v="407.17"/>
        <n v="618.64"/>
        <n v="621.52"/>
        <n v="285.63"/>
        <n v="466.54"/>
        <n v="581.16999999999996"/>
        <n v="74.52"/>
        <n v="435.27"/>
        <n v="147.83000000000001"/>
        <n v="664.43"/>
        <n v="694.77"/>
        <n v="827.73"/>
        <n v="839.54"/>
        <n v="176.23"/>
        <n v="111.22"/>
        <n v="205.45"/>
        <n v="585.55999999999995"/>
        <n v="393.6"/>
        <n v="619.95000000000005"/>
        <n v="72.989999999999995"/>
        <n v="225.91"/>
        <n v="777.36"/>
        <n v="283.43"/>
        <n v="1170.81"/>
        <n v="620.02"/>
        <n v="277.58999999999997"/>
        <n v="2508.6799999999998"/>
        <n v="826.58"/>
        <n v="24.69"/>
        <n v="945.17"/>
        <n v="1615.13"/>
        <n v="95.32"/>
        <n v="2401.69"/>
        <n v="2054.54"/>
        <n v="763.87"/>
        <n v="320.2"/>
        <n v="942.62"/>
        <n v="1080.18"/>
        <n v="730.57"/>
        <n v="779.35"/>
        <n v="569.77"/>
        <n v="95.21"/>
        <n v="266.91000000000003"/>
        <n v="140.71"/>
        <n v="203.92"/>
        <n v="1074.45"/>
        <n v="1802.75"/>
        <n v="304.45999999999998"/>
        <n v="168.14"/>
        <n v="673.26"/>
        <n v="666.68"/>
        <n v="694.11"/>
        <n v="134.80000000000001"/>
        <n v="295.83"/>
        <n v="550.02"/>
        <n v="44.53"/>
        <n v="1861.48"/>
        <n v="695.74"/>
        <n v="631.78"/>
        <n v="2309.83"/>
        <n v="806.6"/>
        <n v="1199.04"/>
        <n v="389.43"/>
        <n v="2352.44"/>
        <n v="572.69000000000005"/>
        <n v="894.87"/>
        <n v="1546.37"/>
        <n v="1840.51"/>
        <n v="94.08"/>
        <n v="104.58"/>
        <n v="424.92"/>
        <n v="150.33000000000001"/>
        <n v="107.73"/>
        <n v="2332.4299999999998"/>
        <n v="1232.04"/>
        <n v="1361.69"/>
      </sharedItems>
    </cacheField>
    <cacheField name="Payment Mode" numFmtId="0">
      <sharedItems count="4">
        <s v="UPI"/>
        <s v="Cash"/>
        <s v="Net Banking"/>
        <s v="Credit Card"/>
      </sharedItems>
    </cacheField>
    <cacheField name="Total Sales 1" numFmtId="0">
      <sharedItems containsSemiMixedTypes="0" containsString="0" containsNumber="1" minValue="292.13" maxValue="16128" count="100">
        <n v="4329.09"/>
        <n v="12005.49"/>
        <n v="4975.76"/>
        <n v="5832.1500000000005"/>
        <n v="7022.4000000000005"/>
        <n v="7565.68"/>
        <n v="8778.9"/>
        <n v="12617.99"/>
        <n v="2889.9500000000003"/>
        <n v="3093.8999999999996"/>
        <n v="2906.62"/>
        <n v="976.80000000000007"/>
        <n v="9639.42"/>
        <n v="5146.62"/>
        <n v="526.08000000000004"/>
        <n v="6678.4"/>
        <n v="1602.75"/>
        <n v="9053.9500000000007"/>
        <n v="14294.08"/>
        <n v="12245.85"/>
        <n v="3908.34"/>
        <n v="685.32"/>
        <n v="11759.400000000001"/>
        <n v="470.96"/>
        <n v="8893.2000000000007"/>
        <n v="5887.89"/>
        <n v="2315.84"/>
        <n v="2563.1200000000003"/>
        <n v="4698.18"/>
        <n v="7370.1600000000008"/>
        <n v="1067.29"/>
        <n v="7335.48"/>
        <n v="1672.95"/>
        <n v="3526.28"/>
        <n v="4832.5499999999993"/>
        <n v="6396.5999999999995"/>
        <n v="8746.380000000001"/>
        <n v="1334.62"/>
        <n v="1394.5"/>
        <n v="1716.32"/>
        <n v="3167.88"/>
        <n v="1747.68"/>
        <n v="4977.66"/>
        <n v="348.06"/>
        <n v="1190.6400000000001"/>
        <n v="9692"/>
        <n v="2651.91"/>
        <n v="10686.62"/>
        <n v="2518.44"/>
        <n v="4758.12"/>
        <n v="11091.220000000001"/>
        <n v="7501.8499999999995"/>
        <n v="292.13"/>
        <n v="5376.5999999999995"/>
        <n v="13813.800000000001"/>
        <n v="933.83999999999992"/>
        <n v="13626"/>
        <n v="8831.2000000000007"/>
        <n v="2903.3999999999996"/>
        <n v="1292.3599999999999"/>
        <n v="10226"/>
        <n v="5345.0999999999995"/>
        <n v="4988.46"/>
        <n v="14125.28"/>
        <n v="3951.64"/>
        <n v="1692.82"/>
        <n v="1115.26"/>
        <n v="1709.88"/>
        <n v="1538.3"/>
        <n v="9404.4000000000015"/>
        <n v="10988.28"/>
        <n v="1532.24"/>
        <n v="1588.94"/>
        <n v="3891.04"/>
        <n v="3800.4500000000003"/>
        <n v="8553.42"/>
        <n v="2487.36"/>
        <n v="1611.1799999999998"/>
        <n v="2478.15"/>
        <n v="626.07000000000005"/>
        <n v="8164.72"/>
        <n v="2823.36"/>
        <n v="13509.63"/>
        <n v="16128"/>
        <n v="4482"/>
        <n v="6670.3499999999995"/>
        <n v="7505.82"/>
        <n v="14430.8"/>
        <n v="2388.8000000000002"/>
        <n v="4978.92"/>
        <n v="11635.14"/>
        <n v="7226.0999999999995"/>
        <n v="1102.05"/>
        <n v="525.75"/>
        <n v="1716.38"/>
        <n v="679.02"/>
        <n v="1236.33"/>
        <n v="12579.03"/>
        <n v="6976.7100000000009"/>
        <n v="11314.08"/>
      </sharedItems>
    </cacheField>
    <cacheField name="Field1" numFmtId="0" formula="'Total Sales'*10%" databaseField="0"/>
  </cacheFields>
  <extLst>
    <ext xmlns:x14="http://schemas.microsoft.com/office/spreadsheetml/2009/9/main" uri="{725AE2AE-9491-48be-B2B4-4EB974FC3084}">
      <x14:pivotCacheDefinition pivotCacheId="1507410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04-13T00:00:00"/>
    <x v="0"/>
    <x v="0"/>
    <s v="Office Supplies"/>
    <s v="Pens"/>
    <n v="3"/>
    <n v="1443.03"/>
    <n v="0.1"/>
    <n v="3896.18"/>
    <n v="964.48"/>
    <s v="UPI"/>
  </r>
  <r>
    <x v="1"/>
    <d v="2023-12-15T00:00:00"/>
    <x v="1"/>
    <x v="1"/>
    <s v="Technology"/>
    <s v="Laptops"/>
    <n v="7"/>
    <n v="1715.07"/>
    <n v="0.15"/>
    <n v="10204.69"/>
    <n v="1354.41"/>
    <s v="Cash"/>
  </r>
  <r>
    <x v="2"/>
    <d v="2023-09-28T00:00:00"/>
    <x v="0"/>
    <x v="1"/>
    <s v="Furniture"/>
    <s v="Bookcases"/>
    <n v="8"/>
    <n v="621.97"/>
    <n v="0.1"/>
    <n v="4478.1899999999996"/>
    <n v="752.58"/>
    <s v="Cash"/>
  </r>
  <r>
    <x v="3"/>
    <d v="2023-04-17T00:00:00"/>
    <x v="2"/>
    <x v="0"/>
    <s v="Office Supplies"/>
    <s v="Paper"/>
    <n v="5"/>
    <n v="1166.43"/>
    <n v="0.1"/>
    <n v="5248.92"/>
    <n v="948.39"/>
    <s v="Net Banking"/>
  </r>
  <r>
    <x v="4"/>
    <d v="2023-03-13T00:00:00"/>
    <x v="0"/>
    <x v="1"/>
    <s v="Furniture"/>
    <s v="Bookcases"/>
    <n v="7"/>
    <n v="1003.2"/>
    <n v="0.2"/>
    <n v="5617.94"/>
    <n v="995.18"/>
    <s v="UPI"/>
  </r>
  <r>
    <x v="5"/>
    <d v="2023-07-08T00:00:00"/>
    <x v="3"/>
    <x v="0"/>
    <s v="Furniture"/>
    <s v="Bookcases"/>
    <n v="4"/>
    <n v="1891.42"/>
    <n v="0.1"/>
    <n v="6809.12"/>
    <n v="1523.17"/>
    <s v="Credit Card"/>
  </r>
  <r>
    <x v="6"/>
    <d v="2023-01-21T00:00:00"/>
    <x v="4"/>
    <x v="0"/>
    <s v="Technology"/>
    <s v="Laptops"/>
    <n v="5"/>
    <n v="1755.78"/>
    <n v="0.15"/>
    <n v="7462.04"/>
    <n v="780.61"/>
    <s v="Cash"/>
  </r>
  <r>
    <x v="7"/>
    <d v="2023-04-13T00:00:00"/>
    <x v="5"/>
    <x v="2"/>
    <s v="Office Supplies"/>
    <s v="Binders"/>
    <n v="7"/>
    <n v="1802.57"/>
    <n v="0"/>
    <n v="12618.01"/>
    <n v="1489.34"/>
    <s v="Credit Card"/>
  </r>
  <r>
    <x v="8"/>
    <d v="2023-05-02T00:00:00"/>
    <x v="0"/>
    <x v="3"/>
    <s v="Furniture"/>
    <s v="Bookcases"/>
    <n v="7"/>
    <n v="412.85"/>
    <n v="0.1"/>
    <n v="2600.9299999999998"/>
    <n v="401.46"/>
    <s v="UPI"/>
  </r>
  <r>
    <x v="9"/>
    <d v="2023-08-03T00:00:00"/>
    <x v="6"/>
    <x v="0"/>
    <s v="Technology"/>
    <s v="Printers"/>
    <n v="6"/>
    <n v="515.65"/>
    <n v="0"/>
    <n v="3093.91"/>
    <n v="467.05"/>
    <s v="Net Banking"/>
  </r>
  <r>
    <x v="10"/>
    <d v="2023-11-27T00:00:00"/>
    <x v="6"/>
    <x v="1"/>
    <s v="Technology"/>
    <s v="Printers"/>
    <n v="2"/>
    <n v="1453.31"/>
    <n v="0.2"/>
    <n v="2325.3000000000002"/>
    <n v="281.85000000000002"/>
    <s v="Credit Card"/>
  </r>
  <r>
    <x v="11"/>
    <d v="2023-03-29T00:00:00"/>
    <x v="3"/>
    <x v="3"/>
    <s v="Technology"/>
    <s v="Mobiles"/>
    <n v="6"/>
    <n v="162.80000000000001"/>
    <n v="0"/>
    <n v="976.78"/>
    <n v="203.74"/>
    <s v="Net Banking"/>
  </r>
  <r>
    <x v="12"/>
    <d v="2023-04-10T00:00:00"/>
    <x v="6"/>
    <x v="1"/>
    <s v="Technology"/>
    <s v="Mobiles"/>
    <n v="7"/>
    <n v="1377.06"/>
    <n v="0.1"/>
    <n v="8675.4599999999991"/>
    <n v="1235.5"/>
    <s v="Cash"/>
  </r>
  <r>
    <x v="13"/>
    <d v="2023-12-26T00:00:00"/>
    <x v="7"/>
    <x v="2"/>
    <s v="Furniture"/>
    <s v="Tables"/>
    <n v="6"/>
    <n v="857.77"/>
    <n v="0"/>
    <n v="5146.6000000000004"/>
    <n v="451.25"/>
    <s v="Credit Card"/>
  </r>
  <r>
    <x v="14"/>
    <d v="2023-06-01T00:00:00"/>
    <x v="4"/>
    <x v="2"/>
    <s v="Office Supplies"/>
    <s v="Pens"/>
    <n v="4"/>
    <n v="131.52000000000001"/>
    <n v="0.1"/>
    <n v="473.46"/>
    <n v="119.49"/>
    <s v="UPI"/>
  </r>
  <r>
    <x v="15"/>
    <d v="2023-05-11T00:00:00"/>
    <x v="5"/>
    <x v="3"/>
    <s v="Furniture"/>
    <s v="Chairs"/>
    <n v="8"/>
    <n v="834.8"/>
    <n v="0.05"/>
    <n v="6344.46"/>
    <n v="1645.93"/>
    <s v="Cash"/>
  </r>
  <r>
    <x v="16"/>
    <d v="2023-05-30T00:00:00"/>
    <x v="4"/>
    <x v="2"/>
    <s v="Office Supplies"/>
    <s v="Pens"/>
    <n v="3"/>
    <n v="534.25"/>
    <n v="0.05"/>
    <n v="1522.6"/>
    <n v="449.99"/>
    <s v="Credit Card"/>
  </r>
  <r>
    <x v="17"/>
    <d v="2023-11-05T00:00:00"/>
    <x v="5"/>
    <x v="1"/>
    <s v="Technology"/>
    <s v="Laptops"/>
    <n v="5"/>
    <n v="1810.79"/>
    <n v="0.1"/>
    <n v="8148.57"/>
    <n v="791.85"/>
    <s v="UPI"/>
  </r>
  <r>
    <x v="18"/>
    <d v="2023-09-15T00:00:00"/>
    <x v="8"/>
    <x v="2"/>
    <s v="Office Supplies"/>
    <s v="Binders"/>
    <n v="8"/>
    <n v="1786.76"/>
    <n v="0.15"/>
    <n v="12149.99"/>
    <n v="863.07"/>
    <s v="Cash"/>
  </r>
  <r>
    <x v="19"/>
    <d v="2023-12-10T00:00:00"/>
    <x v="3"/>
    <x v="0"/>
    <s v="Technology"/>
    <s v="Printers"/>
    <n v="9"/>
    <n v="1360.65"/>
    <n v="0.2"/>
    <n v="9796.7000000000007"/>
    <n v="1185.21"/>
    <s v="Cash"/>
  </r>
  <r>
    <x v="20"/>
    <d v="2023-10-21T00:00:00"/>
    <x v="0"/>
    <x v="2"/>
    <s v="Office Supplies"/>
    <s v="Paper"/>
    <n v="9"/>
    <n v="434.26"/>
    <n v="0.15"/>
    <n v="3322.07"/>
    <n v="363.14"/>
    <s v="Net Banking"/>
  </r>
  <r>
    <x v="21"/>
    <d v="2023-07-11T00:00:00"/>
    <x v="7"/>
    <x v="1"/>
    <s v="Office Supplies"/>
    <s v="Pens"/>
    <n v="1"/>
    <n v="685.32"/>
    <n v="0.15"/>
    <n v="582.52"/>
    <n v="103.22"/>
    <s v="Cash"/>
  </r>
  <r>
    <x v="22"/>
    <d v="2023-10-04T00:00:00"/>
    <x v="3"/>
    <x v="3"/>
    <s v="Technology"/>
    <s v="Mobiles"/>
    <n v="6"/>
    <n v="1959.9"/>
    <n v="0.1"/>
    <n v="10583.44"/>
    <n v="2889.4"/>
    <s v="Cash"/>
  </r>
  <r>
    <x v="23"/>
    <d v="2023-06-10T00:00:00"/>
    <x v="4"/>
    <x v="1"/>
    <s v="Furniture"/>
    <s v="Bookcases"/>
    <n v="1"/>
    <n v="470.96"/>
    <n v="0.2"/>
    <n v="376.77"/>
    <n v="65.86"/>
    <s v="Net Banking"/>
  </r>
  <r>
    <x v="24"/>
    <d v="2023-11-10T00:00:00"/>
    <x v="8"/>
    <x v="3"/>
    <s v="Furniture"/>
    <s v="Chairs"/>
    <n v="5"/>
    <n v="1778.64"/>
    <n v="0.15"/>
    <n v="7559.21"/>
    <n v="407.17"/>
    <s v="Credit Card"/>
  </r>
  <r>
    <x v="25"/>
    <d v="2023-01-22T00:00:00"/>
    <x v="0"/>
    <x v="2"/>
    <s v="Technology"/>
    <s v="Laptops"/>
    <n v="3"/>
    <n v="1962.63"/>
    <n v="0.15"/>
    <n v="5004.71"/>
    <n v="618.64"/>
    <s v="UPI"/>
  </r>
  <r>
    <x v="26"/>
    <d v="2023-09-10T00:00:00"/>
    <x v="8"/>
    <x v="0"/>
    <s v="Furniture"/>
    <s v="Bookcases"/>
    <n v="2"/>
    <n v="1157.92"/>
    <n v="0.05"/>
    <n v="2200.0500000000002"/>
    <n v="621.52"/>
    <s v="Net Banking"/>
  </r>
  <r>
    <x v="27"/>
    <d v="2023-08-24T00:00:00"/>
    <x v="2"/>
    <x v="3"/>
    <s v="Office Supplies"/>
    <s v="Binders"/>
    <n v="7"/>
    <n v="366.16"/>
    <n v="0.1"/>
    <n v="2306.81"/>
    <n v="285.63"/>
    <s v="Net Banking"/>
  </r>
  <r>
    <x v="28"/>
    <d v="2023-12-11T00:00:00"/>
    <x v="2"/>
    <x v="1"/>
    <s v="Furniture"/>
    <s v="Chairs"/>
    <n v="6"/>
    <n v="783.03"/>
    <n v="0.2"/>
    <n v="3758.56"/>
    <n v="466.54"/>
    <s v="Cash"/>
  </r>
  <r>
    <x v="29"/>
    <d v="2023-02-18T00:00:00"/>
    <x v="8"/>
    <x v="2"/>
    <s v="Furniture"/>
    <s v="Chairs"/>
    <n v="7"/>
    <n v="1052.8800000000001"/>
    <n v="0.2"/>
    <n v="5896.13"/>
    <n v="581.16999999999996"/>
    <s v="Cash"/>
  </r>
  <r>
    <x v="30"/>
    <d v="2023-02-28T00:00:00"/>
    <x v="1"/>
    <x v="1"/>
    <s v="Technology"/>
    <s v="Printers"/>
    <n v="7"/>
    <n v="152.47"/>
    <n v="0.05"/>
    <n v="1013.94"/>
    <n v="74.52"/>
    <s v="Cash"/>
  </r>
  <r>
    <x v="31"/>
    <d v="2023-06-19T00:00:00"/>
    <x v="7"/>
    <x v="1"/>
    <s v="Office Supplies"/>
    <s v="Paper"/>
    <n v="6"/>
    <n v="1222.58"/>
    <n v="0"/>
    <n v="7335.5"/>
    <n v="435.27"/>
    <s v="Cash"/>
  </r>
  <r>
    <x v="32"/>
    <d v="2023-07-07T00:00:00"/>
    <x v="0"/>
    <x v="1"/>
    <s v="Office Supplies"/>
    <s v="Paper"/>
    <n v="1"/>
    <n v="1672.95"/>
    <n v="0.15"/>
    <n v="1422.01"/>
    <n v="147.83000000000001"/>
    <s v="Net Banking"/>
  </r>
  <r>
    <x v="33"/>
    <d v="2023-09-28T00:00:00"/>
    <x v="4"/>
    <x v="2"/>
    <s v="Technology"/>
    <s v="Laptops"/>
    <n v="4"/>
    <n v="881.57"/>
    <n v="0.1"/>
    <n v="3173.66"/>
    <n v="664.43"/>
    <s v="Credit Card"/>
  </r>
  <r>
    <x v="34"/>
    <d v="2023-07-09T00:00:00"/>
    <x v="1"/>
    <x v="0"/>
    <s v="Technology"/>
    <s v="Mobiles"/>
    <n v="3"/>
    <n v="1610.85"/>
    <n v="0.1"/>
    <n v="4349.3100000000004"/>
    <n v="694.77"/>
    <s v="Credit Card"/>
  </r>
  <r>
    <x v="35"/>
    <d v="2023-06-24T00:00:00"/>
    <x v="2"/>
    <x v="0"/>
    <s v="Technology"/>
    <s v="Laptops"/>
    <n v="7"/>
    <n v="913.8"/>
    <n v="0.15"/>
    <n v="5437.1"/>
    <n v="827.73"/>
    <s v="Credit Card"/>
  </r>
  <r>
    <x v="36"/>
    <d v="2023-02-20T00:00:00"/>
    <x v="1"/>
    <x v="2"/>
    <s v="Office Supplies"/>
    <s v="Binders"/>
    <n v="6"/>
    <n v="1457.73"/>
    <n v="0.2"/>
    <n v="6997.11"/>
    <n v="839.54"/>
    <s v="UPI"/>
  </r>
  <r>
    <x v="37"/>
    <d v="2023-12-30T00:00:00"/>
    <x v="0"/>
    <x v="0"/>
    <s v="Furniture"/>
    <s v="Tables"/>
    <n v="7"/>
    <n v="190.66"/>
    <n v="0.05"/>
    <n v="1267.8900000000001"/>
    <n v="176.23"/>
    <s v="Credit Card"/>
  </r>
  <r>
    <x v="38"/>
    <d v="2023-02-24T00:00:00"/>
    <x v="2"/>
    <x v="0"/>
    <s v="Furniture"/>
    <s v="Tables"/>
    <n v="5"/>
    <n v="278.89999999999998"/>
    <n v="0.15"/>
    <n v="1185.32"/>
    <n v="111.22"/>
    <s v="Net Banking"/>
  </r>
  <r>
    <x v="39"/>
    <d v="2023-09-01T00:00:00"/>
    <x v="2"/>
    <x v="0"/>
    <s v="Furniture"/>
    <s v="Bookcases"/>
    <n v="4"/>
    <n v="429.08"/>
    <n v="0.2"/>
    <n v="1373.07"/>
    <n v="205.45"/>
    <s v="Credit Card"/>
  </r>
  <r>
    <x v="40"/>
    <d v="2023-11-16T00:00:00"/>
    <x v="4"/>
    <x v="2"/>
    <s v="Technology"/>
    <s v="Printers"/>
    <n v="3"/>
    <n v="1055.96"/>
    <n v="0"/>
    <n v="3167.88"/>
    <n v="585.55999999999995"/>
    <s v="Net Banking"/>
  </r>
  <r>
    <x v="41"/>
    <d v="2023-05-11T00:00:00"/>
    <x v="3"/>
    <x v="1"/>
    <s v="Office Supplies"/>
    <s v="Binders"/>
    <n v="1"/>
    <n v="1747.68"/>
    <n v="0.1"/>
    <n v="1572.91"/>
    <n v="393.6"/>
    <s v="Net Banking"/>
  </r>
  <r>
    <x v="42"/>
    <d v="2023-11-03T00:00:00"/>
    <x v="6"/>
    <x v="2"/>
    <s v="Furniture"/>
    <s v="Chairs"/>
    <n v="3"/>
    <n v="1659.22"/>
    <n v="0.15"/>
    <n v="4231"/>
    <n v="619.95000000000005"/>
    <s v="Cash"/>
  </r>
  <r>
    <x v="43"/>
    <d v="2023-05-15T00:00:00"/>
    <x v="6"/>
    <x v="0"/>
    <s v="Office Supplies"/>
    <s v="Paper"/>
    <n v="2"/>
    <n v="174.03"/>
    <n v="0.05"/>
    <n v="330.66"/>
    <n v="72.989999999999995"/>
    <s v="Net Banking"/>
  </r>
  <r>
    <x v="44"/>
    <d v="2023-01-21T00:00:00"/>
    <x v="3"/>
    <x v="3"/>
    <s v="Furniture"/>
    <s v="Tables"/>
    <n v="2"/>
    <n v="595.32000000000005"/>
    <n v="0.15"/>
    <n v="1012.04"/>
    <n v="225.91"/>
    <s v="UPI"/>
  </r>
  <r>
    <x v="45"/>
    <d v="2023-11-25T00:00:00"/>
    <x v="5"/>
    <x v="2"/>
    <s v="Furniture"/>
    <s v="Chairs"/>
    <n v="5"/>
    <n v="1938.4"/>
    <n v="0.15"/>
    <n v="8238.2099999999991"/>
    <n v="777.36"/>
    <s v="Net Banking"/>
  </r>
  <r>
    <x v="46"/>
    <d v="2023-06-16T00:00:00"/>
    <x v="8"/>
    <x v="1"/>
    <s v="Office Supplies"/>
    <s v="Paper"/>
    <n v="3"/>
    <n v="883.97"/>
    <n v="0.05"/>
    <n v="2519.3200000000002"/>
    <n v="283.43"/>
    <s v="Cash"/>
  </r>
  <r>
    <x v="47"/>
    <d v="2023-10-01T00:00:00"/>
    <x v="6"/>
    <x v="3"/>
    <s v="Furniture"/>
    <s v="Chairs"/>
    <n v="7"/>
    <n v="1526.66"/>
    <n v="0"/>
    <n v="10686.59"/>
    <n v="1170.81"/>
    <s v="Cash"/>
  </r>
  <r>
    <x v="48"/>
    <d v="2023-03-30T00:00:00"/>
    <x v="9"/>
    <x v="2"/>
    <s v="Furniture"/>
    <s v="Tables"/>
    <n v="3"/>
    <n v="839.48"/>
    <n v="0.15"/>
    <n v="2140.6799999999998"/>
    <n v="620.02"/>
    <s v="Credit Card"/>
  </r>
  <r>
    <x v="49"/>
    <d v="2023-11-12T00:00:00"/>
    <x v="5"/>
    <x v="2"/>
    <s v="Office Supplies"/>
    <s v="Binders"/>
    <n v="4"/>
    <n v="1189.53"/>
    <n v="0.2"/>
    <n v="3806.5"/>
    <n v="277.58999999999997"/>
    <s v="UPI"/>
  </r>
  <r>
    <x v="50"/>
    <d v="2023-01-14T00:00:00"/>
    <x v="2"/>
    <x v="1"/>
    <s v="Furniture"/>
    <s v="Chairs"/>
    <n v="7"/>
    <n v="1584.46"/>
    <n v="0.2"/>
    <n v="8872.99"/>
    <n v="2508.6799999999998"/>
    <s v="Cash"/>
  </r>
  <r>
    <x v="51"/>
    <d v="2023-08-30T00:00:00"/>
    <x v="3"/>
    <x v="1"/>
    <s v="Office Supplies"/>
    <s v="Binders"/>
    <n v="5"/>
    <n v="1500.37"/>
    <n v="0.2"/>
    <n v="6001.47"/>
    <n v="826.58"/>
    <s v="Net Banking"/>
  </r>
  <r>
    <x v="52"/>
    <d v="2023-09-22T00:00:00"/>
    <x v="5"/>
    <x v="0"/>
    <s v="Furniture"/>
    <s v="Tables"/>
    <n v="1"/>
    <n v="292.13"/>
    <n v="0.2"/>
    <n v="233.71"/>
    <n v="24.69"/>
    <s v="UPI"/>
  </r>
  <r>
    <x v="53"/>
    <d v="2023-12-12T00:00:00"/>
    <x v="6"/>
    <x v="0"/>
    <s v="Technology"/>
    <s v="Mobiles"/>
    <n v="5"/>
    <n v="1075.32"/>
    <n v="0.1"/>
    <n v="4838.9399999999996"/>
    <n v="945.17"/>
    <s v="Net Banking"/>
  </r>
  <r>
    <x v="54"/>
    <d v="2023-02-22T00:00:00"/>
    <x v="9"/>
    <x v="3"/>
    <s v="Furniture"/>
    <s v="Bookcases"/>
    <n v="7"/>
    <n v="1973.4"/>
    <n v="0.15"/>
    <n v="11741.74"/>
    <n v="1615.13"/>
    <s v="Net Banking"/>
  </r>
  <r>
    <x v="55"/>
    <d v="2023-12-06T00:00:00"/>
    <x v="3"/>
    <x v="2"/>
    <s v="Technology"/>
    <s v="Printers"/>
    <n v="3"/>
    <n v="311.27999999999997"/>
    <n v="0.1"/>
    <n v="840.44"/>
    <n v="95.32"/>
    <s v="Cash"/>
  </r>
  <r>
    <x v="56"/>
    <d v="2023-04-02T00:00:00"/>
    <x v="5"/>
    <x v="1"/>
    <s v="Technology"/>
    <s v="Laptops"/>
    <n v="9"/>
    <n v="1514"/>
    <n v="0.1"/>
    <n v="12263.42"/>
    <n v="2401.69"/>
    <s v="Net Banking"/>
  </r>
  <r>
    <x v="57"/>
    <d v="2023-09-21T00:00:00"/>
    <x v="0"/>
    <x v="2"/>
    <s v="Furniture"/>
    <s v="Chairs"/>
    <n v="8"/>
    <n v="1103.9000000000001"/>
    <n v="0.2"/>
    <n v="7064.98"/>
    <n v="2054.54"/>
    <s v="Cash"/>
  </r>
  <r>
    <x v="58"/>
    <d v="2023-02-04T00:00:00"/>
    <x v="3"/>
    <x v="1"/>
    <s v="Furniture"/>
    <s v="Bookcases"/>
    <n v="5"/>
    <n v="580.67999999999995"/>
    <n v="0.1"/>
    <n v="2613.0700000000002"/>
    <n v="763.87"/>
    <s v="Credit Card"/>
  </r>
  <r>
    <x v="59"/>
    <d v="2023-07-25T00:00:00"/>
    <x v="5"/>
    <x v="1"/>
    <s v="Furniture"/>
    <s v="Tables"/>
    <n v="1"/>
    <n v="1292.3599999999999"/>
    <n v="0.1"/>
    <n v="1163.1199999999999"/>
    <n v="320.2"/>
    <s v="Net Banking"/>
  </r>
  <r>
    <x v="60"/>
    <d v="2023-03-22T00:00:00"/>
    <x v="2"/>
    <x v="2"/>
    <s v="Technology"/>
    <s v="Mobiles"/>
    <n v="8"/>
    <n v="1278.25"/>
    <n v="0.05"/>
    <n v="9714.7099999999991"/>
    <n v="942.62"/>
    <s v="Cash"/>
  </r>
  <r>
    <x v="61"/>
    <d v="2023-02-19T00:00:00"/>
    <x v="6"/>
    <x v="3"/>
    <s v="Technology"/>
    <s v="Laptops"/>
    <n v="9"/>
    <n v="593.9"/>
    <n v="0.1"/>
    <n v="4810.63"/>
    <n v="1080.18"/>
    <s v="Credit Card"/>
  </r>
  <r>
    <x v="62"/>
    <d v="2023-12-26T00:00:00"/>
    <x v="0"/>
    <x v="1"/>
    <s v="Furniture"/>
    <s v="Chairs"/>
    <n v="3"/>
    <n v="1662.82"/>
    <n v="0.05"/>
    <n v="4739.04"/>
    <n v="730.57"/>
    <s v="Credit Card"/>
  </r>
  <r>
    <x v="63"/>
    <d v="2023-01-02T00:00:00"/>
    <x v="1"/>
    <x v="2"/>
    <s v="Technology"/>
    <s v="Mobiles"/>
    <n v="8"/>
    <n v="1765.66"/>
    <n v="0.1"/>
    <n v="12712.73"/>
    <n v="779.35"/>
    <s v="Credit Card"/>
  </r>
  <r>
    <x v="64"/>
    <d v="2023-02-23T00:00:00"/>
    <x v="2"/>
    <x v="1"/>
    <s v="Technology"/>
    <s v="Laptops"/>
    <n v="2"/>
    <n v="1975.82"/>
    <n v="0"/>
    <n v="3951.65"/>
    <n v="569.77"/>
    <s v="Credit Card"/>
  </r>
  <r>
    <x v="65"/>
    <d v="2023-04-16T00:00:00"/>
    <x v="6"/>
    <x v="3"/>
    <s v="Technology"/>
    <s v="Printers"/>
    <n v="1"/>
    <n v="1692.82"/>
    <n v="0.05"/>
    <n v="1608.18"/>
    <n v="95.21"/>
    <s v="Net Banking"/>
  </r>
  <r>
    <x v="66"/>
    <d v="2023-09-17T00:00:00"/>
    <x v="0"/>
    <x v="1"/>
    <s v="Office Supplies"/>
    <s v="Binders"/>
    <n v="1"/>
    <n v="1115.26"/>
    <n v="0.2"/>
    <n v="892.21"/>
    <n v="266.91000000000003"/>
    <s v="Credit Card"/>
  </r>
  <r>
    <x v="67"/>
    <d v="2023-11-06T00:00:00"/>
    <x v="9"/>
    <x v="3"/>
    <s v="Furniture"/>
    <s v="Chairs"/>
    <n v="3"/>
    <n v="569.96"/>
    <n v="0"/>
    <n v="1709.88"/>
    <n v="140.71"/>
    <s v="Credit Card"/>
  </r>
  <r>
    <x v="68"/>
    <d v="2023-07-10T00:00:00"/>
    <x v="8"/>
    <x v="1"/>
    <s v="Technology"/>
    <s v="Laptops"/>
    <n v="1"/>
    <n v="1538.3"/>
    <n v="0.05"/>
    <n v="1461.38"/>
    <n v="203.92"/>
    <s v="Cash"/>
  </r>
  <r>
    <x v="69"/>
    <d v="2023-08-06T00:00:00"/>
    <x v="6"/>
    <x v="0"/>
    <s v="Technology"/>
    <s v="Mobiles"/>
    <n v="6"/>
    <n v="1567.4"/>
    <n v="0.1"/>
    <n v="8463.99"/>
    <n v="1074.45"/>
    <s v="Net Banking"/>
  </r>
  <r>
    <x v="70"/>
    <d v="2023-02-13T00:00:00"/>
    <x v="3"/>
    <x v="1"/>
    <s v="Furniture"/>
    <s v="Tables"/>
    <n v="9"/>
    <n v="1220.92"/>
    <n v="0.2"/>
    <n v="8790.6"/>
    <n v="1802.75"/>
    <s v="UPI"/>
  </r>
  <r>
    <x v="71"/>
    <d v="2023-06-11T00:00:00"/>
    <x v="9"/>
    <x v="1"/>
    <s v="Office Supplies"/>
    <s v="Binders"/>
    <n v="2"/>
    <n v="766.12"/>
    <n v="0.05"/>
    <n v="1455.62"/>
    <n v="304.45999999999998"/>
    <s v="Cash"/>
  </r>
  <r>
    <x v="72"/>
    <d v="2023-07-21T00:00:00"/>
    <x v="2"/>
    <x v="1"/>
    <s v="Furniture"/>
    <s v="Tables"/>
    <n v="1"/>
    <n v="1588.94"/>
    <n v="0.15"/>
    <n v="1350.6"/>
    <n v="168.14"/>
    <s v="Credit Card"/>
  </r>
  <r>
    <x v="73"/>
    <d v="2023-09-27T00:00:00"/>
    <x v="4"/>
    <x v="2"/>
    <s v="Furniture"/>
    <s v="Chairs"/>
    <n v="4"/>
    <n v="972.76"/>
    <n v="0"/>
    <n v="3891.04"/>
    <n v="673.26"/>
    <s v="Credit Card"/>
  </r>
  <r>
    <x v="74"/>
    <d v="2023-12-17T00:00:00"/>
    <x v="9"/>
    <x v="1"/>
    <s v="Technology"/>
    <s v="Mobiles"/>
    <n v="5"/>
    <n v="760.09"/>
    <n v="0.1"/>
    <n v="3420.38"/>
    <n v="666.68"/>
    <s v="Credit Card"/>
  </r>
  <r>
    <x v="75"/>
    <d v="2023-10-31T00:00:00"/>
    <x v="8"/>
    <x v="3"/>
    <s v="Office Supplies"/>
    <s v="Pens"/>
    <n v="6"/>
    <n v="1425.57"/>
    <n v="0.15"/>
    <n v="7270.4"/>
    <n v="694.11"/>
    <s v="UPI"/>
  </r>
  <r>
    <x v="76"/>
    <d v="2023-09-28T00:00:00"/>
    <x v="0"/>
    <x v="0"/>
    <s v="Office Supplies"/>
    <s v="Pens"/>
    <n v="2"/>
    <n v="1243.68"/>
    <n v="0.1"/>
    <n v="2238.62"/>
    <n v="134.80000000000001"/>
    <s v="Net Banking"/>
  </r>
  <r>
    <x v="77"/>
    <d v="2023-08-03T00:00:00"/>
    <x v="2"/>
    <x v="0"/>
    <s v="Technology"/>
    <s v="Laptops"/>
    <n v="6"/>
    <n v="268.52999999999997"/>
    <n v="0"/>
    <n v="1611.21"/>
    <n v="295.83"/>
    <s v="Cash"/>
  </r>
  <r>
    <x v="78"/>
    <d v="2023-09-09T00:00:00"/>
    <x v="8"/>
    <x v="0"/>
    <s v="Furniture"/>
    <s v="Tables"/>
    <n v="9"/>
    <n v="275.35000000000002"/>
    <n v="0"/>
    <n v="2478.17"/>
    <n v="550.02"/>
    <s v="UPI"/>
  </r>
  <r>
    <x v="79"/>
    <d v="2023-07-09T00:00:00"/>
    <x v="9"/>
    <x v="3"/>
    <s v="Office Supplies"/>
    <s v="Paper"/>
    <n v="1"/>
    <n v="626.07000000000005"/>
    <n v="0"/>
    <n v="626.07000000000005"/>
    <n v="44.53"/>
    <s v="Net Banking"/>
  </r>
  <r>
    <x v="80"/>
    <d v="2023-10-23T00:00:00"/>
    <x v="8"/>
    <x v="0"/>
    <s v="Office Supplies"/>
    <s v="Pens"/>
    <n v="8"/>
    <n v="1020.59"/>
    <n v="0.05"/>
    <n v="7756.51"/>
    <n v="1861.48"/>
    <s v="Credit Card"/>
  </r>
  <r>
    <x v="81"/>
    <d v="2023-08-01T00:00:00"/>
    <x v="3"/>
    <x v="0"/>
    <s v="Technology"/>
    <s v="Mobiles"/>
    <n v="8"/>
    <n v="352.92"/>
    <n v="0.1"/>
    <n v="2541.04"/>
    <n v="695.74"/>
    <s v="Cash"/>
  </r>
  <r>
    <x v="82"/>
    <d v="2023-07-27T00:00:00"/>
    <x v="5"/>
    <x v="3"/>
    <s v="Office Supplies"/>
    <s v="Pens"/>
    <n v="9"/>
    <n v="1501.07"/>
    <n v="0.15"/>
    <n v="11483.18"/>
    <n v="631.78"/>
    <s v="UPI"/>
  </r>
  <r>
    <x v="83"/>
    <d v="2023-08-25T00:00:00"/>
    <x v="2"/>
    <x v="1"/>
    <s v="Technology"/>
    <s v="Mobiles"/>
    <n v="9"/>
    <n v="1792"/>
    <n v="0.15"/>
    <n v="13708.81"/>
    <n v="2309.83"/>
    <s v="Credit Card"/>
  </r>
  <r>
    <x v="84"/>
    <d v="2023-12-04T00:00:00"/>
    <x v="8"/>
    <x v="3"/>
    <s v="Furniture"/>
    <s v="Tables"/>
    <n v="4"/>
    <n v="1120.5"/>
    <n v="0.05"/>
    <n v="4257.91"/>
    <n v="806.6"/>
    <s v="Net Banking"/>
  </r>
  <r>
    <x v="85"/>
    <d v="2023-02-22T00:00:00"/>
    <x v="3"/>
    <x v="1"/>
    <s v="Office Supplies"/>
    <s v="Binders"/>
    <n v="9"/>
    <n v="741.15"/>
    <n v="0.15"/>
    <n v="5669.79"/>
    <n v="1199.04"/>
    <s v="Net Banking"/>
  </r>
  <r>
    <x v="86"/>
    <d v="2023-10-07T00:00:00"/>
    <x v="0"/>
    <x v="0"/>
    <s v="Office Supplies"/>
    <s v="Paper"/>
    <n v="6"/>
    <n v="1250.97"/>
    <n v="0"/>
    <n v="7505.83"/>
    <n v="389.43"/>
    <s v="Cash"/>
  </r>
  <r>
    <x v="87"/>
    <d v="2023-08-05T00:00:00"/>
    <x v="8"/>
    <x v="3"/>
    <s v="Office Supplies"/>
    <s v="Binders"/>
    <n v="8"/>
    <n v="1803.85"/>
    <n v="0.1"/>
    <n v="12987.75"/>
    <n v="2352.44"/>
    <s v="Net Banking"/>
  </r>
  <r>
    <x v="88"/>
    <d v="2023-09-09T00:00:00"/>
    <x v="7"/>
    <x v="0"/>
    <s v="Office Supplies"/>
    <s v="Binders"/>
    <n v="2"/>
    <n v="1194.4000000000001"/>
    <n v="0.1"/>
    <n v="2149.91"/>
    <n v="572.69000000000005"/>
    <s v="Credit Card"/>
  </r>
  <r>
    <x v="89"/>
    <d v="2023-07-07T00:00:00"/>
    <x v="8"/>
    <x v="0"/>
    <s v="Technology"/>
    <s v="Mobiles"/>
    <n v="3"/>
    <n v="1659.64"/>
    <n v="0.05"/>
    <n v="4729.96"/>
    <n v="894.87"/>
    <s v="UPI"/>
  </r>
  <r>
    <x v="90"/>
    <d v="2023-02-10T00:00:00"/>
    <x v="6"/>
    <x v="2"/>
    <s v="Furniture"/>
    <s v="Chairs"/>
    <n v="6"/>
    <n v="1939.19"/>
    <n v="0.15"/>
    <n v="9889.86"/>
    <n v="1546.37"/>
    <s v="Credit Card"/>
  </r>
  <r>
    <x v="91"/>
    <d v="2023-06-06T00:00:00"/>
    <x v="9"/>
    <x v="3"/>
    <s v="Office Supplies"/>
    <s v="Paper"/>
    <n v="6"/>
    <n v="1204.3499999999999"/>
    <n v="0.1"/>
    <n v="6503.5"/>
    <n v="1840.51"/>
    <s v="Cash"/>
  </r>
  <r>
    <x v="92"/>
    <d v="2023-01-15T00:00:00"/>
    <x v="8"/>
    <x v="0"/>
    <s v="Technology"/>
    <s v="Mobiles"/>
    <n v="5"/>
    <n v="220.41"/>
    <n v="0.15"/>
    <n v="934.75"/>
    <n v="94.08"/>
    <s v="Net Banking"/>
  </r>
  <r>
    <x v="93"/>
    <d v="2023-10-28T00:00:00"/>
    <x v="8"/>
    <x v="0"/>
    <s v="Furniture"/>
    <s v="Bookcases"/>
    <n v="5"/>
    <n v="105.15"/>
    <n v="0"/>
    <n v="525.75"/>
    <n v="104.58"/>
    <s v="UPI"/>
  </r>
  <r>
    <x v="94"/>
    <d v="2023-03-06T00:00:00"/>
    <x v="0"/>
    <x v="2"/>
    <s v="Office Supplies"/>
    <s v="Binders"/>
    <n v="1"/>
    <n v="1716.38"/>
    <n v="0.15"/>
    <n v="1458.92"/>
    <n v="424.92"/>
    <s v="UPI"/>
  </r>
  <r>
    <x v="95"/>
    <d v="2023-12-11T00:00:00"/>
    <x v="8"/>
    <x v="1"/>
    <s v="Furniture"/>
    <s v="Tables"/>
    <n v="3"/>
    <n v="226.34"/>
    <n v="0.15"/>
    <n v="577.16999999999996"/>
    <n v="150.33000000000001"/>
    <s v="Credit Card"/>
  </r>
  <r>
    <x v="96"/>
    <d v="2023-11-23T00:00:00"/>
    <x v="2"/>
    <x v="0"/>
    <s v="Furniture"/>
    <s v="Tables"/>
    <n v="3"/>
    <n v="412.11"/>
    <n v="0.2"/>
    <n v="989.05"/>
    <n v="107.73"/>
    <s v="Net Banking"/>
  </r>
  <r>
    <x v="97"/>
    <d v="2023-01-09T00:00:00"/>
    <x v="6"/>
    <x v="1"/>
    <s v="Furniture"/>
    <s v="Chairs"/>
    <n v="9"/>
    <n v="1397.67"/>
    <n v="0.1"/>
    <n v="11321.09"/>
    <n v="2332.4299999999998"/>
    <s v="UPI"/>
  </r>
  <r>
    <x v="98"/>
    <d v="2023-12-10T00:00:00"/>
    <x v="8"/>
    <x v="2"/>
    <s v="Office Supplies"/>
    <s v="Paper"/>
    <n v="9"/>
    <n v="775.19"/>
    <n v="0.05"/>
    <n v="6627.86"/>
    <n v="1232.04"/>
    <s v="UPI"/>
  </r>
  <r>
    <x v="99"/>
    <d v="2023-05-09T00:00:00"/>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x v="0"/>
    <x v="0"/>
    <x v="0"/>
    <x v="0"/>
    <x v="0"/>
    <x v="0"/>
    <x v="0"/>
  </r>
  <r>
    <s v="ORD-1001"/>
    <x v="1"/>
    <x v="1"/>
    <x v="1"/>
    <x v="1"/>
    <x v="1"/>
    <x v="1"/>
    <x v="1"/>
    <x v="1"/>
    <x v="1"/>
    <x v="1"/>
    <x v="1"/>
    <x v="1"/>
  </r>
  <r>
    <s v="ORD-1002"/>
    <x v="2"/>
    <x v="0"/>
    <x v="1"/>
    <x v="2"/>
    <x v="2"/>
    <x v="2"/>
    <x v="2"/>
    <x v="0"/>
    <x v="2"/>
    <x v="2"/>
    <x v="1"/>
    <x v="2"/>
  </r>
  <r>
    <s v="ORD-1003"/>
    <x v="3"/>
    <x v="2"/>
    <x v="0"/>
    <x v="0"/>
    <x v="3"/>
    <x v="3"/>
    <x v="3"/>
    <x v="0"/>
    <x v="3"/>
    <x v="3"/>
    <x v="2"/>
    <x v="3"/>
  </r>
  <r>
    <s v="ORD-1004"/>
    <x v="4"/>
    <x v="0"/>
    <x v="1"/>
    <x v="2"/>
    <x v="2"/>
    <x v="1"/>
    <x v="4"/>
    <x v="2"/>
    <x v="4"/>
    <x v="4"/>
    <x v="0"/>
    <x v="4"/>
  </r>
  <r>
    <s v="ORD-1005"/>
    <x v="5"/>
    <x v="3"/>
    <x v="0"/>
    <x v="2"/>
    <x v="2"/>
    <x v="4"/>
    <x v="5"/>
    <x v="0"/>
    <x v="5"/>
    <x v="5"/>
    <x v="3"/>
    <x v="5"/>
  </r>
  <r>
    <s v="ORD-1006"/>
    <x v="6"/>
    <x v="4"/>
    <x v="0"/>
    <x v="1"/>
    <x v="1"/>
    <x v="3"/>
    <x v="6"/>
    <x v="1"/>
    <x v="6"/>
    <x v="6"/>
    <x v="1"/>
    <x v="6"/>
  </r>
  <r>
    <s v="ORD-1007"/>
    <x v="0"/>
    <x v="5"/>
    <x v="2"/>
    <x v="0"/>
    <x v="4"/>
    <x v="1"/>
    <x v="7"/>
    <x v="3"/>
    <x v="7"/>
    <x v="7"/>
    <x v="3"/>
    <x v="7"/>
  </r>
  <r>
    <s v="ORD-1008"/>
    <x v="7"/>
    <x v="0"/>
    <x v="3"/>
    <x v="2"/>
    <x v="2"/>
    <x v="1"/>
    <x v="8"/>
    <x v="0"/>
    <x v="8"/>
    <x v="8"/>
    <x v="0"/>
    <x v="8"/>
  </r>
  <r>
    <s v="ORD-1009"/>
    <x v="8"/>
    <x v="6"/>
    <x v="0"/>
    <x v="1"/>
    <x v="5"/>
    <x v="5"/>
    <x v="9"/>
    <x v="3"/>
    <x v="9"/>
    <x v="9"/>
    <x v="2"/>
    <x v="9"/>
  </r>
  <r>
    <s v="ORD-1010"/>
    <x v="9"/>
    <x v="6"/>
    <x v="1"/>
    <x v="1"/>
    <x v="5"/>
    <x v="6"/>
    <x v="10"/>
    <x v="2"/>
    <x v="10"/>
    <x v="10"/>
    <x v="3"/>
    <x v="10"/>
  </r>
  <r>
    <s v="ORD-1011"/>
    <x v="10"/>
    <x v="3"/>
    <x v="3"/>
    <x v="1"/>
    <x v="6"/>
    <x v="5"/>
    <x v="11"/>
    <x v="3"/>
    <x v="11"/>
    <x v="11"/>
    <x v="2"/>
    <x v="11"/>
  </r>
  <r>
    <s v="ORD-1012"/>
    <x v="11"/>
    <x v="6"/>
    <x v="1"/>
    <x v="1"/>
    <x v="6"/>
    <x v="1"/>
    <x v="12"/>
    <x v="0"/>
    <x v="12"/>
    <x v="12"/>
    <x v="1"/>
    <x v="12"/>
  </r>
  <r>
    <s v="ORD-1013"/>
    <x v="12"/>
    <x v="7"/>
    <x v="2"/>
    <x v="2"/>
    <x v="7"/>
    <x v="5"/>
    <x v="13"/>
    <x v="3"/>
    <x v="13"/>
    <x v="13"/>
    <x v="3"/>
    <x v="13"/>
  </r>
  <r>
    <s v="ORD-1014"/>
    <x v="13"/>
    <x v="4"/>
    <x v="2"/>
    <x v="0"/>
    <x v="0"/>
    <x v="4"/>
    <x v="14"/>
    <x v="0"/>
    <x v="14"/>
    <x v="14"/>
    <x v="0"/>
    <x v="14"/>
  </r>
  <r>
    <s v="ORD-1015"/>
    <x v="14"/>
    <x v="5"/>
    <x v="3"/>
    <x v="2"/>
    <x v="8"/>
    <x v="2"/>
    <x v="15"/>
    <x v="4"/>
    <x v="15"/>
    <x v="15"/>
    <x v="1"/>
    <x v="15"/>
  </r>
  <r>
    <s v="ORD-1016"/>
    <x v="15"/>
    <x v="4"/>
    <x v="2"/>
    <x v="0"/>
    <x v="0"/>
    <x v="0"/>
    <x v="16"/>
    <x v="4"/>
    <x v="16"/>
    <x v="16"/>
    <x v="3"/>
    <x v="16"/>
  </r>
  <r>
    <s v="ORD-1017"/>
    <x v="16"/>
    <x v="5"/>
    <x v="1"/>
    <x v="1"/>
    <x v="1"/>
    <x v="3"/>
    <x v="17"/>
    <x v="0"/>
    <x v="17"/>
    <x v="17"/>
    <x v="0"/>
    <x v="17"/>
  </r>
  <r>
    <s v="ORD-1018"/>
    <x v="17"/>
    <x v="8"/>
    <x v="2"/>
    <x v="0"/>
    <x v="4"/>
    <x v="2"/>
    <x v="18"/>
    <x v="1"/>
    <x v="18"/>
    <x v="18"/>
    <x v="1"/>
    <x v="18"/>
  </r>
  <r>
    <s v="ORD-1019"/>
    <x v="18"/>
    <x v="3"/>
    <x v="0"/>
    <x v="1"/>
    <x v="5"/>
    <x v="7"/>
    <x v="19"/>
    <x v="2"/>
    <x v="19"/>
    <x v="19"/>
    <x v="1"/>
    <x v="19"/>
  </r>
  <r>
    <s v="ORD-1020"/>
    <x v="19"/>
    <x v="0"/>
    <x v="2"/>
    <x v="0"/>
    <x v="3"/>
    <x v="7"/>
    <x v="20"/>
    <x v="1"/>
    <x v="20"/>
    <x v="20"/>
    <x v="2"/>
    <x v="20"/>
  </r>
  <r>
    <s v="ORD-1021"/>
    <x v="20"/>
    <x v="7"/>
    <x v="1"/>
    <x v="0"/>
    <x v="0"/>
    <x v="8"/>
    <x v="21"/>
    <x v="1"/>
    <x v="21"/>
    <x v="21"/>
    <x v="1"/>
    <x v="21"/>
  </r>
  <r>
    <s v="ORD-1022"/>
    <x v="21"/>
    <x v="3"/>
    <x v="3"/>
    <x v="1"/>
    <x v="6"/>
    <x v="5"/>
    <x v="22"/>
    <x v="0"/>
    <x v="22"/>
    <x v="22"/>
    <x v="1"/>
    <x v="22"/>
  </r>
  <r>
    <s v="ORD-1023"/>
    <x v="22"/>
    <x v="4"/>
    <x v="1"/>
    <x v="2"/>
    <x v="2"/>
    <x v="8"/>
    <x v="23"/>
    <x v="2"/>
    <x v="23"/>
    <x v="23"/>
    <x v="2"/>
    <x v="23"/>
  </r>
  <r>
    <s v="ORD-1024"/>
    <x v="23"/>
    <x v="8"/>
    <x v="3"/>
    <x v="2"/>
    <x v="8"/>
    <x v="3"/>
    <x v="24"/>
    <x v="1"/>
    <x v="24"/>
    <x v="24"/>
    <x v="3"/>
    <x v="24"/>
  </r>
  <r>
    <s v="ORD-1025"/>
    <x v="24"/>
    <x v="0"/>
    <x v="2"/>
    <x v="1"/>
    <x v="1"/>
    <x v="0"/>
    <x v="25"/>
    <x v="1"/>
    <x v="25"/>
    <x v="25"/>
    <x v="0"/>
    <x v="25"/>
  </r>
  <r>
    <s v="ORD-1026"/>
    <x v="25"/>
    <x v="8"/>
    <x v="0"/>
    <x v="2"/>
    <x v="2"/>
    <x v="6"/>
    <x v="26"/>
    <x v="4"/>
    <x v="26"/>
    <x v="26"/>
    <x v="2"/>
    <x v="26"/>
  </r>
  <r>
    <s v="ORD-1027"/>
    <x v="26"/>
    <x v="2"/>
    <x v="3"/>
    <x v="0"/>
    <x v="4"/>
    <x v="1"/>
    <x v="27"/>
    <x v="0"/>
    <x v="27"/>
    <x v="27"/>
    <x v="2"/>
    <x v="27"/>
  </r>
  <r>
    <s v="ORD-1028"/>
    <x v="27"/>
    <x v="2"/>
    <x v="1"/>
    <x v="2"/>
    <x v="8"/>
    <x v="5"/>
    <x v="28"/>
    <x v="2"/>
    <x v="28"/>
    <x v="28"/>
    <x v="1"/>
    <x v="28"/>
  </r>
  <r>
    <s v="ORD-1029"/>
    <x v="28"/>
    <x v="8"/>
    <x v="2"/>
    <x v="2"/>
    <x v="8"/>
    <x v="1"/>
    <x v="29"/>
    <x v="2"/>
    <x v="29"/>
    <x v="29"/>
    <x v="1"/>
    <x v="29"/>
  </r>
  <r>
    <s v="ORD-1030"/>
    <x v="29"/>
    <x v="1"/>
    <x v="1"/>
    <x v="1"/>
    <x v="5"/>
    <x v="1"/>
    <x v="30"/>
    <x v="4"/>
    <x v="30"/>
    <x v="30"/>
    <x v="1"/>
    <x v="30"/>
  </r>
  <r>
    <s v="ORD-1031"/>
    <x v="30"/>
    <x v="7"/>
    <x v="1"/>
    <x v="0"/>
    <x v="3"/>
    <x v="5"/>
    <x v="31"/>
    <x v="3"/>
    <x v="31"/>
    <x v="31"/>
    <x v="1"/>
    <x v="31"/>
  </r>
  <r>
    <s v="ORD-1032"/>
    <x v="31"/>
    <x v="0"/>
    <x v="1"/>
    <x v="0"/>
    <x v="3"/>
    <x v="8"/>
    <x v="32"/>
    <x v="1"/>
    <x v="32"/>
    <x v="32"/>
    <x v="2"/>
    <x v="32"/>
  </r>
  <r>
    <s v="ORD-1033"/>
    <x v="2"/>
    <x v="4"/>
    <x v="2"/>
    <x v="1"/>
    <x v="1"/>
    <x v="4"/>
    <x v="33"/>
    <x v="0"/>
    <x v="33"/>
    <x v="33"/>
    <x v="3"/>
    <x v="33"/>
  </r>
  <r>
    <s v="ORD-1034"/>
    <x v="32"/>
    <x v="1"/>
    <x v="0"/>
    <x v="1"/>
    <x v="6"/>
    <x v="0"/>
    <x v="34"/>
    <x v="0"/>
    <x v="34"/>
    <x v="34"/>
    <x v="3"/>
    <x v="34"/>
  </r>
  <r>
    <s v="ORD-1035"/>
    <x v="33"/>
    <x v="2"/>
    <x v="0"/>
    <x v="1"/>
    <x v="1"/>
    <x v="1"/>
    <x v="35"/>
    <x v="1"/>
    <x v="35"/>
    <x v="35"/>
    <x v="3"/>
    <x v="35"/>
  </r>
  <r>
    <s v="ORD-1036"/>
    <x v="34"/>
    <x v="1"/>
    <x v="2"/>
    <x v="0"/>
    <x v="4"/>
    <x v="5"/>
    <x v="36"/>
    <x v="2"/>
    <x v="36"/>
    <x v="36"/>
    <x v="0"/>
    <x v="36"/>
  </r>
  <r>
    <s v="ORD-1037"/>
    <x v="35"/>
    <x v="0"/>
    <x v="0"/>
    <x v="2"/>
    <x v="7"/>
    <x v="1"/>
    <x v="37"/>
    <x v="4"/>
    <x v="37"/>
    <x v="37"/>
    <x v="3"/>
    <x v="37"/>
  </r>
  <r>
    <s v="ORD-1038"/>
    <x v="36"/>
    <x v="2"/>
    <x v="0"/>
    <x v="2"/>
    <x v="7"/>
    <x v="3"/>
    <x v="38"/>
    <x v="1"/>
    <x v="38"/>
    <x v="38"/>
    <x v="2"/>
    <x v="38"/>
  </r>
  <r>
    <s v="ORD-1039"/>
    <x v="37"/>
    <x v="2"/>
    <x v="0"/>
    <x v="2"/>
    <x v="2"/>
    <x v="4"/>
    <x v="39"/>
    <x v="2"/>
    <x v="39"/>
    <x v="39"/>
    <x v="3"/>
    <x v="39"/>
  </r>
  <r>
    <s v="ORD-1040"/>
    <x v="38"/>
    <x v="4"/>
    <x v="2"/>
    <x v="1"/>
    <x v="5"/>
    <x v="0"/>
    <x v="40"/>
    <x v="3"/>
    <x v="40"/>
    <x v="40"/>
    <x v="2"/>
    <x v="40"/>
  </r>
  <r>
    <s v="ORD-1041"/>
    <x v="14"/>
    <x v="3"/>
    <x v="1"/>
    <x v="0"/>
    <x v="4"/>
    <x v="8"/>
    <x v="41"/>
    <x v="0"/>
    <x v="41"/>
    <x v="41"/>
    <x v="2"/>
    <x v="41"/>
  </r>
  <r>
    <s v="ORD-1042"/>
    <x v="39"/>
    <x v="6"/>
    <x v="2"/>
    <x v="2"/>
    <x v="8"/>
    <x v="0"/>
    <x v="42"/>
    <x v="1"/>
    <x v="42"/>
    <x v="42"/>
    <x v="1"/>
    <x v="42"/>
  </r>
  <r>
    <s v="ORD-1043"/>
    <x v="40"/>
    <x v="6"/>
    <x v="0"/>
    <x v="0"/>
    <x v="3"/>
    <x v="6"/>
    <x v="43"/>
    <x v="4"/>
    <x v="43"/>
    <x v="43"/>
    <x v="2"/>
    <x v="43"/>
  </r>
  <r>
    <s v="ORD-1044"/>
    <x v="6"/>
    <x v="3"/>
    <x v="3"/>
    <x v="2"/>
    <x v="7"/>
    <x v="6"/>
    <x v="44"/>
    <x v="1"/>
    <x v="44"/>
    <x v="44"/>
    <x v="0"/>
    <x v="44"/>
  </r>
  <r>
    <s v="ORD-1045"/>
    <x v="41"/>
    <x v="5"/>
    <x v="2"/>
    <x v="2"/>
    <x v="8"/>
    <x v="3"/>
    <x v="45"/>
    <x v="1"/>
    <x v="45"/>
    <x v="45"/>
    <x v="2"/>
    <x v="45"/>
  </r>
  <r>
    <s v="ORD-1046"/>
    <x v="42"/>
    <x v="8"/>
    <x v="1"/>
    <x v="0"/>
    <x v="3"/>
    <x v="0"/>
    <x v="46"/>
    <x v="4"/>
    <x v="46"/>
    <x v="46"/>
    <x v="1"/>
    <x v="46"/>
  </r>
  <r>
    <s v="ORD-1047"/>
    <x v="43"/>
    <x v="6"/>
    <x v="3"/>
    <x v="2"/>
    <x v="8"/>
    <x v="1"/>
    <x v="47"/>
    <x v="3"/>
    <x v="47"/>
    <x v="47"/>
    <x v="1"/>
    <x v="47"/>
  </r>
  <r>
    <s v="ORD-1048"/>
    <x v="44"/>
    <x v="9"/>
    <x v="2"/>
    <x v="2"/>
    <x v="7"/>
    <x v="0"/>
    <x v="48"/>
    <x v="1"/>
    <x v="48"/>
    <x v="48"/>
    <x v="3"/>
    <x v="48"/>
  </r>
  <r>
    <s v="ORD-1049"/>
    <x v="45"/>
    <x v="5"/>
    <x v="2"/>
    <x v="0"/>
    <x v="4"/>
    <x v="4"/>
    <x v="49"/>
    <x v="2"/>
    <x v="49"/>
    <x v="49"/>
    <x v="0"/>
    <x v="49"/>
  </r>
  <r>
    <s v="ORD-1050"/>
    <x v="46"/>
    <x v="2"/>
    <x v="1"/>
    <x v="2"/>
    <x v="8"/>
    <x v="1"/>
    <x v="50"/>
    <x v="2"/>
    <x v="50"/>
    <x v="50"/>
    <x v="1"/>
    <x v="50"/>
  </r>
  <r>
    <s v="ORD-1051"/>
    <x v="47"/>
    <x v="3"/>
    <x v="1"/>
    <x v="0"/>
    <x v="4"/>
    <x v="3"/>
    <x v="51"/>
    <x v="2"/>
    <x v="51"/>
    <x v="51"/>
    <x v="2"/>
    <x v="51"/>
  </r>
  <r>
    <s v="ORD-1052"/>
    <x v="48"/>
    <x v="5"/>
    <x v="0"/>
    <x v="2"/>
    <x v="7"/>
    <x v="8"/>
    <x v="52"/>
    <x v="2"/>
    <x v="52"/>
    <x v="52"/>
    <x v="0"/>
    <x v="52"/>
  </r>
  <r>
    <s v="ORD-1053"/>
    <x v="49"/>
    <x v="6"/>
    <x v="0"/>
    <x v="1"/>
    <x v="6"/>
    <x v="3"/>
    <x v="53"/>
    <x v="0"/>
    <x v="53"/>
    <x v="53"/>
    <x v="2"/>
    <x v="53"/>
  </r>
  <r>
    <s v="ORD-1054"/>
    <x v="50"/>
    <x v="9"/>
    <x v="3"/>
    <x v="2"/>
    <x v="2"/>
    <x v="1"/>
    <x v="54"/>
    <x v="1"/>
    <x v="54"/>
    <x v="54"/>
    <x v="2"/>
    <x v="54"/>
  </r>
  <r>
    <s v="ORD-1055"/>
    <x v="51"/>
    <x v="3"/>
    <x v="2"/>
    <x v="1"/>
    <x v="5"/>
    <x v="0"/>
    <x v="55"/>
    <x v="0"/>
    <x v="55"/>
    <x v="55"/>
    <x v="1"/>
    <x v="55"/>
  </r>
  <r>
    <s v="ORD-1056"/>
    <x v="52"/>
    <x v="5"/>
    <x v="1"/>
    <x v="1"/>
    <x v="1"/>
    <x v="7"/>
    <x v="56"/>
    <x v="0"/>
    <x v="56"/>
    <x v="56"/>
    <x v="2"/>
    <x v="56"/>
  </r>
  <r>
    <s v="ORD-1057"/>
    <x v="53"/>
    <x v="0"/>
    <x v="2"/>
    <x v="2"/>
    <x v="8"/>
    <x v="2"/>
    <x v="57"/>
    <x v="2"/>
    <x v="57"/>
    <x v="57"/>
    <x v="1"/>
    <x v="57"/>
  </r>
  <r>
    <s v="ORD-1058"/>
    <x v="54"/>
    <x v="3"/>
    <x v="1"/>
    <x v="2"/>
    <x v="2"/>
    <x v="3"/>
    <x v="58"/>
    <x v="0"/>
    <x v="58"/>
    <x v="58"/>
    <x v="3"/>
    <x v="58"/>
  </r>
  <r>
    <s v="ORD-1059"/>
    <x v="55"/>
    <x v="5"/>
    <x v="1"/>
    <x v="2"/>
    <x v="7"/>
    <x v="8"/>
    <x v="59"/>
    <x v="0"/>
    <x v="59"/>
    <x v="59"/>
    <x v="2"/>
    <x v="59"/>
  </r>
  <r>
    <s v="ORD-1060"/>
    <x v="56"/>
    <x v="2"/>
    <x v="2"/>
    <x v="1"/>
    <x v="6"/>
    <x v="2"/>
    <x v="60"/>
    <x v="4"/>
    <x v="60"/>
    <x v="60"/>
    <x v="1"/>
    <x v="60"/>
  </r>
  <r>
    <s v="ORD-1061"/>
    <x v="57"/>
    <x v="6"/>
    <x v="3"/>
    <x v="1"/>
    <x v="1"/>
    <x v="7"/>
    <x v="61"/>
    <x v="0"/>
    <x v="61"/>
    <x v="61"/>
    <x v="3"/>
    <x v="61"/>
  </r>
  <r>
    <s v="ORD-1062"/>
    <x v="12"/>
    <x v="0"/>
    <x v="1"/>
    <x v="2"/>
    <x v="8"/>
    <x v="0"/>
    <x v="62"/>
    <x v="4"/>
    <x v="62"/>
    <x v="62"/>
    <x v="3"/>
    <x v="62"/>
  </r>
  <r>
    <s v="ORD-1063"/>
    <x v="58"/>
    <x v="1"/>
    <x v="2"/>
    <x v="1"/>
    <x v="6"/>
    <x v="2"/>
    <x v="63"/>
    <x v="0"/>
    <x v="63"/>
    <x v="63"/>
    <x v="3"/>
    <x v="63"/>
  </r>
  <r>
    <s v="ORD-1064"/>
    <x v="59"/>
    <x v="2"/>
    <x v="1"/>
    <x v="1"/>
    <x v="1"/>
    <x v="6"/>
    <x v="64"/>
    <x v="3"/>
    <x v="64"/>
    <x v="64"/>
    <x v="3"/>
    <x v="64"/>
  </r>
  <r>
    <s v="ORD-1065"/>
    <x v="60"/>
    <x v="6"/>
    <x v="3"/>
    <x v="1"/>
    <x v="5"/>
    <x v="8"/>
    <x v="65"/>
    <x v="4"/>
    <x v="65"/>
    <x v="65"/>
    <x v="2"/>
    <x v="65"/>
  </r>
  <r>
    <s v="ORD-1066"/>
    <x v="61"/>
    <x v="0"/>
    <x v="1"/>
    <x v="0"/>
    <x v="4"/>
    <x v="8"/>
    <x v="66"/>
    <x v="2"/>
    <x v="66"/>
    <x v="66"/>
    <x v="3"/>
    <x v="66"/>
  </r>
  <r>
    <s v="ORD-1067"/>
    <x v="62"/>
    <x v="9"/>
    <x v="3"/>
    <x v="2"/>
    <x v="8"/>
    <x v="0"/>
    <x v="67"/>
    <x v="3"/>
    <x v="67"/>
    <x v="67"/>
    <x v="3"/>
    <x v="67"/>
  </r>
  <r>
    <s v="ORD-1068"/>
    <x v="63"/>
    <x v="8"/>
    <x v="1"/>
    <x v="1"/>
    <x v="1"/>
    <x v="8"/>
    <x v="68"/>
    <x v="4"/>
    <x v="68"/>
    <x v="68"/>
    <x v="1"/>
    <x v="68"/>
  </r>
  <r>
    <s v="ORD-1069"/>
    <x v="64"/>
    <x v="6"/>
    <x v="0"/>
    <x v="1"/>
    <x v="6"/>
    <x v="5"/>
    <x v="69"/>
    <x v="0"/>
    <x v="69"/>
    <x v="69"/>
    <x v="2"/>
    <x v="69"/>
  </r>
  <r>
    <s v="ORD-1070"/>
    <x v="65"/>
    <x v="3"/>
    <x v="1"/>
    <x v="2"/>
    <x v="7"/>
    <x v="7"/>
    <x v="70"/>
    <x v="2"/>
    <x v="70"/>
    <x v="70"/>
    <x v="0"/>
    <x v="70"/>
  </r>
  <r>
    <s v="ORD-1071"/>
    <x v="66"/>
    <x v="9"/>
    <x v="1"/>
    <x v="0"/>
    <x v="4"/>
    <x v="6"/>
    <x v="71"/>
    <x v="4"/>
    <x v="71"/>
    <x v="71"/>
    <x v="1"/>
    <x v="71"/>
  </r>
  <r>
    <s v="ORD-1072"/>
    <x v="67"/>
    <x v="2"/>
    <x v="1"/>
    <x v="2"/>
    <x v="7"/>
    <x v="8"/>
    <x v="72"/>
    <x v="1"/>
    <x v="72"/>
    <x v="72"/>
    <x v="3"/>
    <x v="72"/>
  </r>
  <r>
    <s v="ORD-1073"/>
    <x v="68"/>
    <x v="4"/>
    <x v="2"/>
    <x v="2"/>
    <x v="8"/>
    <x v="4"/>
    <x v="73"/>
    <x v="3"/>
    <x v="73"/>
    <x v="73"/>
    <x v="3"/>
    <x v="73"/>
  </r>
  <r>
    <s v="ORD-1074"/>
    <x v="69"/>
    <x v="9"/>
    <x v="1"/>
    <x v="1"/>
    <x v="6"/>
    <x v="3"/>
    <x v="74"/>
    <x v="0"/>
    <x v="74"/>
    <x v="74"/>
    <x v="3"/>
    <x v="74"/>
  </r>
  <r>
    <s v="ORD-1075"/>
    <x v="70"/>
    <x v="8"/>
    <x v="3"/>
    <x v="0"/>
    <x v="0"/>
    <x v="5"/>
    <x v="75"/>
    <x v="1"/>
    <x v="75"/>
    <x v="75"/>
    <x v="0"/>
    <x v="75"/>
  </r>
  <r>
    <s v="ORD-1076"/>
    <x v="2"/>
    <x v="0"/>
    <x v="0"/>
    <x v="0"/>
    <x v="0"/>
    <x v="6"/>
    <x v="76"/>
    <x v="0"/>
    <x v="76"/>
    <x v="76"/>
    <x v="2"/>
    <x v="76"/>
  </r>
  <r>
    <s v="ORD-1077"/>
    <x v="8"/>
    <x v="2"/>
    <x v="0"/>
    <x v="1"/>
    <x v="1"/>
    <x v="5"/>
    <x v="77"/>
    <x v="3"/>
    <x v="77"/>
    <x v="77"/>
    <x v="1"/>
    <x v="77"/>
  </r>
  <r>
    <s v="ORD-1078"/>
    <x v="71"/>
    <x v="8"/>
    <x v="0"/>
    <x v="2"/>
    <x v="7"/>
    <x v="7"/>
    <x v="78"/>
    <x v="3"/>
    <x v="78"/>
    <x v="78"/>
    <x v="0"/>
    <x v="78"/>
  </r>
  <r>
    <s v="ORD-1079"/>
    <x v="32"/>
    <x v="9"/>
    <x v="3"/>
    <x v="0"/>
    <x v="3"/>
    <x v="8"/>
    <x v="79"/>
    <x v="3"/>
    <x v="79"/>
    <x v="79"/>
    <x v="2"/>
    <x v="79"/>
  </r>
  <r>
    <s v="ORD-1080"/>
    <x v="72"/>
    <x v="8"/>
    <x v="0"/>
    <x v="0"/>
    <x v="0"/>
    <x v="2"/>
    <x v="80"/>
    <x v="4"/>
    <x v="80"/>
    <x v="80"/>
    <x v="3"/>
    <x v="80"/>
  </r>
  <r>
    <s v="ORD-1081"/>
    <x v="73"/>
    <x v="3"/>
    <x v="0"/>
    <x v="1"/>
    <x v="6"/>
    <x v="2"/>
    <x v="81"/>
    <x v="0"/>
    <x v="81"/>
    <x v="81"/>
    <x v="1"/>
    <x v="81"/>
  </r>
  <r>
    <s v="ORD-1082"/>
    <x v="74"/>
    <x v="5"/>
    <x v="3"/>
    <x v="0"/>
    <x v="0"/>
    <x v="7"/>
    <x v="82"/>
    <x v="1"/>
    <x v="82"/>
    <x v="82"/>
    <x v="0"/>
    <x v="82"/>
  </r>
  <r>
    <s v="ORD-1083"/>
    <x v="75"/>
    <x v="2"/>
    <x v="1"/>
    <x v="1"/>
    <x v="6"/>
    <x v="7"/>
    <x v="83"/>
    <x v="1"/>
    <x v="83"/>
    <x v="83"/>
    <x v="3"/>
    <x v="83"/>
  </r>
  <r>
    <s v="ORD-1084"/>
    <x v="76"/>
    <x v="8"/>
    <x v="3"/>
    <x v="2"/>
    <x v="7"/>
    <x v="4"/>
    <x v="84"/>
    <x v="4"/>
    <x v="84"/>
    <x v="84"/>
    <x v="2"/>
    <x v="84"/>
  </r>
  <r>
    <s v="ORD-1085"/>
    <x v="50"/>
    <x v="3"/>
    <x v="1"/>
    <x v="0"/>
    <x v="4"/>
    <x v="7"/>
    <x v="85"/>
    <x v="1"/>
    <x v="85"/>
    <x v="85"/>
    <x v="2"/>
    <x v="85"/>
  </r>
  <r>
    <s v="ORD-1086"/>
    <x v="77"/>
    <x v="0"/>
    <x v="0"/>
    <x v="0"/>
    <x v="3"/>
    <x v="5"/>
    <x v="86"/>
    <x v="3"/>
    <x v="86"/>
    <x v="86"/>
    <x v="1"/>
    <x v="86"/>
  </r>
  <r>
    <s v="ORD-1087"/>
    <x v="78"/>
    <x v="8"/>
    <x v="3"/>
    <x v="0"/>
    <x v="4"/>
    <x v="2"/>
    <x v="87"/>
    <x v="0"/>
    <x v="87"/>
    <x v="87"/>
    <x v="2"/>
    <x v="87"/>
  </r>
  <r>
    <s v="ORD-1088"/>
    <x v="71"/>
    <x v="7"/>
    <x v="0"/>
    <x v="0"/>
    <x v="4"/>
    <x v="6"/>
    <x v="88"/>
    <x v="0"/>
    <x v="88"/>
    <x v="88"/>
    <x v="3"/>
    <x v="88"/>
  </r>
  <r>
    <s v="ORD-1089"/>
    <x v="31"/>
    <x v="8"/>
    <x v="0"/>
    <x v="1"/>
    <x v="6"/>
    <x v="0"/>
    <x v="89"/>
    <x v="4"/>
    <x v="89"/>
    <x v="89"/>
    <x v="0"/>
    <x v="89"/>
  </r>
  <r>
    <s v="ORD-1090"/>
    <x v="79"/>
    <x v="6"/>
    <x v="2"/>
    <x v="2"/>
    <x v="8"/>
    <x v="5"/>
    <x v="90"/>
    <x v="1"/>
    <x v="90"/>
    <x v="90"/>
    <x v="3"/>
    <x v="90"/>
  </r>
  <r>
    <s v="ORD-1091"/>
    <x v="80"/>
    <x v="9"/>
    <x v="3"/>
    <x v="0"/>
    <x v="3"/>
    <x v="5"/>
    <x v="91"/>
    <x v="0"/>
    <x v="91"/>
    <x v="91"/>
    <x v="1"/>
    <x v="91"/>
  </r>
  <r>
    <s v="ORD-1092"/>
    <x v="81"/>
    <x v="8"/>
    <x v="0"/>
    <x v="1"/>
    <x v="6"/>
    <x v="3"/>
    <x v="92"/>
    <x v="1"/>
    <x v="92"/>
    <x v="92"/>
    <x v="2"/>
    <x v="92"/>
  </r>
  <r>
    <s v="ORD-1093"/>
    <x v="82"/>
    <x v="8"/>
    <x v="0"/>
    <x v="2"/>
    <x v="2"/>
    <x v="3"/>
    <x v="93"/>
    <x v="3"/>
    <x v="93"/>
    <x v="93"/>
    <x v="0"/>
    <x v="93"/>
  </r>
  <r>
    <s v="ORD-1094"/>
    <x v="83"/>
    <x v="0"/>
    <x v="2"/>
    <x v="0"/>
    <x v="4"/>
    <x v="8"/>
    <x v="94"/>
    <x v="1"/>
    <x v="94"/>
    <x v="94"/>
    <x v="0"/>
    <x v="94"/>
  </r>
  <r>
    <s v="ORD-1095"/>
    <x v="27"/>
    <x v="8"/>
    <x v="1"/>
    <x v="2"/>
    <x v="7"/>
    <x v="0"/>
    <x v="95"/>
    <x v="1"/>
    <x v="95"/>
    <x v="95"/>
    <x v="3"/>
    <x v="95"/>
  </r>
  <r>
    <s v="ORD-1096"/>
    <x v="84"/>
    <x v="2"/>
    <x v="0"/>
    <x v="2"/>
    <x v="7"/>
    <x v="0"/>
    <x v="96"/>
    <x v="2"/>
    <x v="96"/>
    <x v="96"/>
    <x v="2"/>
    <x v="96"/>
  </r>
  <r>
    <s v="ORD-1097"/>
    <x v="85"/>
    <x v="6"/>
    <x v="1"/>
    <x v="2"/>
    <x v="8"/>
    <x v="7"/>
    <x v="97"/>
    <x v="0"/>
    <x v="97"/>
    <x v="97"/>
    <x v="0"/>
    <x v="97"/>
  </r>
  <r>
    <s v="ORD-1098"/>
    <x v="18"/>
    <x v="8"/>
    <x v="2"/>
    <x v="0"/>
    <x v="3"/>
    <x v="7"/>
    <x v="98"/>
    <x v="4"/>
    <x v="98"/>
    <x v="98"/>
    <x v="0"/>
    <x v="98"/>
  </r>
  <r>
    <s v="ORD-1099"/>
    <x v="86"/>
    <x v="4"/>
    <x v="1"/>
    <x v="0"/>
    <x v="0"/>
    <x v="5"/>
    <x v="99"/>
    <x v="0"/>
    <x v="99"/>
    <x v="99"/>
    <x v="0"/>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AA312-6C14-44DB-B65E-2CFE3FECFBCA}" name="PivotTable23"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3:E64"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axis="axisRow" showAll="0">
      <items count="11">
        <item x="6"/>
        <item x="0"/>
        <item x="8"/>
        <item x="7"/>
        <item x="4"/>
        <item x="5"/>
        <item x="9"/>
        <item x="2"/>
        <item x="3"/>
        <item x="1"/>
        <item t="default"/>
      </items>
    </pivotField>
    <pivotField showAll="0">
      <items count="5">
        <item x="1"/>
        <item x="3"/>
        <item x="0"/>
        <item x="2"/>
        <item t="default"/>
      </items>
    </pivotField>
    <pivotField showAll="0">
      <items count="4">
        <item x="2"/>
        <item x="0"/>
        <item x="1"/>
        <item t="default"/>
      </items>
    </pivotField>
    <pivotField showAll="0">
      <items count="10">
        <item x="4"/>
        <item x="2"/>
        <item x="8"/>
        <item x="1"/>
        <item x="6"/>
        <item x="3"/>
        <item x="0"/>
        <item x="5"/>
        <item x="7"/>
        <item t="default"/>
      </items>
    </pivotField>
    <pivotField dataField="1" showAll="0">
      <items count="10">
        <item x="8"/>
        <item x="6"/>
        <item x="0"/>
        <item x="4"/>
        <item x="3"/>
        <item x="5"/>
        <item x="1"/>
        <item x="2"/>
        <item x="7"/>
        <item t="default"/>
      </items>
    </pivotField>
    <pivotField showAll="0">
      <items count="101">
        <item x="93"/>
        <item x="14"/>
        <item x="30"/>
        <item x="11"/>
        <item x="43"/>
        <item x="37"/>
        <item x="92"/>
        <item x="95"/>
        <item x="77"/>
        <item x="78"/>
        <item x="38"/>
        <item x="52"/>
        <item x="55"/>
        <item x="81"/>
        <item x="27"/>
        <item x="96"/>
        <item x="8"/>
        <item x="39"/>
        <item x="20"/>
        <item x="23"/>
        <item x="9"/>
        <item x="16"/>
        <item x="67"/>
        <item x="58"/>
        <item x="61"/>
        <item x="44"/>
        <item x="2"/>
        <item x="79"/>
        <item x="21"/>
        <item x="85"/>
        <item x="74"/>
        <item x="71"/>
        <item x="98"/>
        <item x="28"/>
        <item x="15"/>
        <item x="48"/>
        <item x="13"/>
        <item x="33"/>
        <item x="46"/>
        <item x="35"/>
        <item x="73"/>
        <item x="4"/>
        <item x="80"/>
        <item x="29"/>
        <item x="40"/>
        <item x="53"/>
        <item x="57"/>
        <item x="66"/>
        <item x="84"/>
        <item x="26"/>
        <item x="3"/>
        <item x="49"/>
        <item x="88"/>
        <item x="91"/>
        <item x="70"/>
        <item x="31"/>
        <item x="76"/>
        <item x="86"/>
        <item x="60"/>
        <item x="59"/>
        <item x="19"/>
        <item x="12"/>
        <item x="97"/>
        <item x="75"/>
        <item x="0"/>
        <item x="10"/>
        <item x="36"/>
        <item x="51"/>
        <item x="82"/>
        <item x="56"/>
        <item x="47"/>
        <item x="68"/>
        <item x="69"/>
        <item x="50"/>
        <item x="72"/>
        <item x="34"/>
        <item x="42"/>
        <item x="89"/>
        <item x="62"/>
        <item x="32"/>
        <item x="65"/>
        <item x="1"/>
        <item x="94"/>
        <item x="41"/>
        <item x="6"/>
        <item x="63"/>
        <item x="24"/>
        <item x="18"/>
        <item x="83"/>
        <item x="7"/>
        <item x="87"/>
        <item x="17"/>
        <item x="99"/>
        <item x="5"/>
        <item x="45"/>
        <item x="90"/>
        <item x="22"/>
        <item x="25"/>
        <item x="54"/>
        <item x="64"/>
        <item t="default"/>
      </items>
    </pivotField>
    <pivotField showAll="0">
      <items count="6">
        <item x="3"/>
        <item x="4"/>
        <item x="0"/>
        <item x="1"/>
        <item x="2"/>
        <item t="default"/>
      </items>
    </pivotField>
    <pivotField showAll="0">
      <items count="101">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 t="default"/>
      </items>
    </pivotField>
    <pivotField showAll="0">
      <items count="101">
        <item x="52"/>
        <item x="79"/>
        <item x="23"/>
        <item x="43"/>
        <item x="30"/>
        <item x="92"/>
        <item x="65"/>
        <item x="55"/>
        <item x="21"/>
        <item x="93"/>
        <item x="96"/>
        <item x="38"/>
        <item x="14"/>
        <item x="76"/>
        <item x="67"/>
        <item x="32"/>
        <item x="95"/>
        <item x="72"/>
        <item x="37"/>
        <item x="11"/>
        <item x="68"/>
        <item x="39"/>
        <item x="44"/>
        <item x="66"/>
        <item x="49"/>
        <item x="10"/>
        <item x="46"/>
        <item x="27"/>
        <item x="77"/>
        <item x="71"/>
        <item x="59"/>
        <item x="20"/>
        <item x="86"/>
        <item x="41"/>
        <item x="8"/>
        <item x="24"/>
        <item x="94"/>
        <item x="31"/>
        <item x="16"/>
        <item x="13"/>
        <item x="28"/>
        <item x="9"/>
        <item x="78"/>
        <item x="64"/>
        <item x="88"/>
        <item x="29"/>
        <item x="40"/>
        <item x="25"/>
        <item x="42"/>
        <item x="48"/>
        <item x="26"/>
        <item x="82"/>
        <item x="33"/>
        <item x="74"/>
        <item x="73"/>
        <item x="75"/>
        <item x="34"/>
        <item x="81"/>
        <item x="62"/>
        <item x="2"/>
        <item x="58"/>
        <item x="45"/>
        <item x="63"/>
        <item x="6"/>
        <item x="17"/>
        <item x="84"/>
        <item x="51"/>
        <item x="35"/>
        <item x="36"/>
        <item x="18"/>
        <item x="89"/>
        <item x="60"/>
        <item x="53"/>
        <item x="3"/>
        <item x="0"/>
        <item x="4"/>
        <item x="69"/>
        <item x="61"/>
        <item x="47"/>
        <item x="19"/>
        <item x="85"/>
        <item x="98"/>
        <item x="12"/>
        <item x="1"/>
        <item x="99"/>
        <item x="7"/>
        <item x="5"/>
        <item x="90"/>
        <item x="54"/>
        <item x="15"/>
        <item x="70"/>
        <item x="91"/>
        <item x="80"/>
        <item x="57"/>
        <item x="83"/>
        <item x="97"/>
        <item x="87"/>
        <item x="56"/>
        <item x="50"/>
        <item x="22"/>
        <item t="default"/>
      </items>
    </pivotField>
    <pivotField showAll="0">
      <items count="5">
        <item x="1"/>
        <item x="3"/>
        <item x="2"/>
        <item x="0"/>
        <item t="default"/>
      </items>
    </pivotField>
    <pivotField showAll="0">
      <items count="101">
        <item x="52"/>
        <item x="43"/>
        <item x="23"/>
        <item x="93"/>
        <item x="14"/>
        <item x="79"/>
        <item x="95"/>
        <item x="21"/>
        <item x="55"/>
        <item x="11"/>
        <item x="30"/>
        <item x="92"/>
        <item x="66"/>
        <item x="44"/>
        <item x="96"/>
        <item x="59"/>
        <item x="37"/>
        <item x="38"/>
        <item x="71"/>
        <item x="68"/>
        <item x="72"/>
        <item x="16"/>
        <item x="77"/>
        <item x="32"/>
        <item x="65"/>
        <item x="67"/>
        <item x="39"/>
        <item x="94"/>
        <item x="41"/>
        <item x="26"/>
        <item x="88"/>
        <item x="78"/>
        <item x="76"/>
        <item x="48"/>
        <item x="27"/>
        <item x="46"/>
        <item x="81"/>
        <item x="8"/>
        <item x="58"/>
        <item x="10"/>
        <item x="9"/>
        <item x="40"/>
        <item x="33"/>
        <item x="74"/>
        <item x="73"/>
        <item x="20"/>
        <item x="64"/>
        <item x="0"/>
        <item x="84"/>
        <item x="28"/>
        <item x="49"/>
        <item x="34"/>
        <item x="2"/>
        <item x="42"/>
        <item x="89"/>
        <item x="62"/>
        <item x="13"/>
        <item x="61"/>
        <item x="53"/>
        <item x="3"/>
        <item x="25"/>
        <item x="35"/>
        <item x="85"/>
        <item x="15"/>
        <item x="98"/>
        <item x="4"/>
        <item x="91"/>
        <item x="31"/>
        <item x="29"/>
        <item x="51"/>
        <item x="86"/>
        <item x="5"/>
        <item x="80"/>
        <item x="75"/>
        <item x="36"/>
        <item x="6"/>
        <item x="57"/>
        <item x="24"/>
        <item x="17"/>
        <item x="69"/>
        <item x="12"/>
        <item x="45"/>
        <item x="60"/>
        <item x="47"/>
        <item x="70"/>
        <item x="50"/>
        <item x="99"/>
        <item x="90"/>
        <item x="22"/>
        <item x="1"/>
        <item x="19"/>
        <item x="97"/>
        <item x="7"/>
        <item x="82"/>
        <item x="56"/>
        <item x="54"/>
        <item x="63"/>
        <item x="18"/>
        <item x="87"/>
        <item x="83"/>
        <item t="default"/>
      </items>
    </pivotField>
    <pivotField dragToRow="0" dragToCol="0" dragToPage="0" showAll="0" defaultSubtotal="0"/>
  </pivotFields>
  <rowFields count="1">
    <field x="2"/>
  </rowFields>
  <rowItems count="11">
    <i>
      <x/>
    </i>
    <i>
      <x v="1"/>
    </i>
    <i>
      <x v="2"/>
    </i>
    <i>
      <x v="3"/>
    </i>
    <i>
      <x v="4"/>
    </i>
    <i>
      <x v="5"/>
    </i>
    <i>
      <x v="6"/>
    </i>
    <i>
      <x v="7"/>
    </i>
    <i>
      <x v="8"/>
    </i>
    <i>
      <x v="9"/>
    </i>
    <i t="grand">
      <x/>
    </i>
  </rowItems>
  <colItems count="1">
    <i/>
  </colItems>
  <dataFields count="1">
    <dataField name="Sum of Quantity" fld="6" showDataAs="percent"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6CC61-8B1D-4A84-9A2F-7D3EF1440343}" name="PivotTable6"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5:I66" firstHeaderRow="0" firstDataRow="1" firstDataCol="1"/>
  <pivotFields count="14">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dataField="1"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otal Sales" fld="9" baseField="0" baseItem="0"/>
    <dataField name="Sum of Field1"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F4A33C-8B00-4DEE-90AF-514213A0182F}" name="PivotTable5"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4:H38" firstHeaderRow="1" firstDataRow="1" firstDataCol="1"/>
  <pivotFields count="14">
    <pivotField showAll="0"/>
    <pivotField numFmtId="14" showAll="0"/>
    <pivotField showAll="0"/>
    <pivotField axis="axisRow" showAll="0">
      <items count="5">
        <item h="1" x="1"/>
        <item x="3"/>
        <item h="1" x="0"/>
        <item h="1" x="2"/>
        <item t="default"/>
      </items>
    </pivotField>
    <pivotField axis="axisRow" showAll="0">
      <items count="4">
        <item x="2"/>
        <item x="0"/>
        <item h="1"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2">
    <field x="3"/>
    <field x="4"/>
  </rowFields>
  <rowItems count="4">
    <i>
      <x v="1"/>
    </i>
    <i r="1">
      <x/>
    </i>
    <i r="1">
      <x v="1"/>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815747-FB71-4498-8364-FE9BB26A13E0}" name="PivotTable2"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50"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axis="axisRow" showAll="0">
      <items count="11">
        <item x="6"/>
        <item x="0"/>
        <item x="8"/>
        <item x="7"/>
        <item x="4"/>
        <item x="5"/>
        <item x="9"/>
        <item x="2"/>
        <item x="3"/>
        <item x="1"/>
        <item t="default"/>
      </items>
    </pivotField>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2">
    <field x="2"/>
    <field x="3"/>
  </rowFields>
  <rowItems count="47">
    <i>
      <x/>
    </i>
    <i r="1">
      <x/>
    </i>
    <i r="1">
      <x v="1"/>
    </i>
    <i r="1">
      <x v="2"/>
    </i>
    <i r="1">
      <x v="3"/>
    </i>
    <i>
      <x v="1"/>
    </i>
    <i r="1">
      <x/>
    </i>
    <i r="1">
      <x v="1"/>
    </i>
    <i r="1">
      <x v="2"/>
    </i>
    <i r="1">
      <x v="3"/>
    </i>
    <i>
      <x v="2"/>
    </i>
    <i r="1">
      <x/>
    </i>
    <i r="1">
      <x v="1"/>
    </i>
    <i r="1">
      <x v="2"/>
    </i>
    <i r="1">
      <x v="3"/>
    </i>
    <i>
      <x v="3"/>
    </i>
    <i r="1">
      <x/>
    </i>
    <i r="1">
      <x v="2"/>
    </i>
    <i r="1">
      <x v="3"/>
    </i>
    <i>
      <x v="4"/>
    </i>
    <i r="1">
      <x/>
    </i>
    <i r="1">
      <x v="2"/>
    </i>
    <i r="1">
      <x v="3"/>
    </i>
    <i>
      <x v="5"/>
    </i>
    <i r="1">
      <x/>
    </i>
    <i r="1">
      <x v="1"/>
    </i>
    <i r="1">
      <x v="2"/>
    </i>
    <i r="1">
      <x v="3"/>
    </i>
    <i>
      <x v="6"/>
    </i>
    <i r="1">
      <x/>
    </i>
    <i r="1">
      <x v="1"/>
    </i>
    <i r="1">
      <x v="3"/>
    </i>
    <i>
      <x v="7"/>
    </i>
    <i r="1">
      <x/>
    </i>
    <i r="1">
      <x v="1"/>
    </i>
    <i r="1">
      <x v="2"/>
    </i>
    <i r="1">
      <x v="3"/>
    </i>
    <i>
      <x v="8"/>
    </i>
    <i r="1">
      <x/>
    </i>
    <i r="1">
      <x v="1"/>
    </i>
    <i r="1">
      <x v="2"/>
    </i>
    <i r="1">
      <x v="3"/>
    </i>
    <i>
      <x v="9"/>
    </i>
    <i r="1">
      <x/>
    </i>
    <i r="1">
      <x v="2"/>
    </i>
    <i r="1">
      <x v="3"/>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7E88C-46DF-453D-86B9-C2EC6F674C00}" name="PivotTable4"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18:H31"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2CCE6C-C38A-499A-9F30-969E2B621C63}" name="PivotTable3"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L15" firstHeaderRow="1" firstDataRow="2" firstDataCol="1"/>
  <pivotFields count="12">
    <pivotField showAll="0"/>
    <pivotField numFmtId="14" showAll="0"/>
    <pivotField axis="axisRow" showAll="0">
      <items count="11">
        <item x="6"/>
        <item x="0"/>
        <item x="8"/>
        <item x="7"/>
        <item x="4"/>
        <item x="5"/>
        <item x="9"/>
        <item x="2"/>
        <item x="3"/>
        <item x="1"/>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F9BC9-3D8E-4E19-8EAB-2A3C712D4DF5}" name="PivotTable1"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4" firstHeaderRow="1" firstDataRow="1" firstDataCol="1"/>
  <pivotFields count="12">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6E0B10-A9E7-49A6-87A1-C5A934E356FA}" sourceName="Region">
  <pivotTables>
    <pivotTable tabId="2" name="PivotTable5"/>
  </pivotTables>
  <data>
    <tabular pivotCacheId="1507410440">
      <items count="4">
        <i x="1"/>
        <i x="3"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C96A0F-CF57-47C4-ABB7-0D0120D0ADD0}" sourceName="Category">
  <pivotTables>
    <pivotTable tabId="2" name="PivotTable5"/>
  </pivotTables>
  <data>
    <tabular pivotCacheId="1507410440">
      <items count="3">
        <i x="2" s="1"/>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8EF8BF-242E-4F8F-ABE6-295CBAB280F5}" cache="Slicer_Region" caption="Region" rowHeight="234950"/>
  <slicer name="Category" xr10:uid="{5B65C94C-C1C3-48FE-8158-823ECCDABFD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CA369F-8769-497C-BE2C-49DF51589015}" name="Table2" displayName="Table2" ref="A1:T101" totalsRowShown="0" headerRowDxfId="8" headerRowBorderDxfId="22" tableBorderDxfId="23" totalsRowBorderDxfId="21">
  <autoFilter ref="A1:T101" xr:uid="{9DCA369F-8769-497C-BE2C-49DF51589015}"/>
  <tableColumns count="20">
    <tableColumn id="1" xr3:uid="{12D72780-17BD-4810-89B6-1599E714ADB1}" name="Order ID" dataDxfId="20"/>
    <tableColumn id="2" xr3:uid="{DE73AAD3-F1BF-47BD-983A-D6BF83DEE5FD}" name="Order Date" dataDxfId="19"/>
    <tableColumn id="3" xr3:uid="{14E799FE-539D-4A92-9868-6C294AC1DE0E}" name="Customer Name" dataDxfId="18"/>
    <tableColumn id="4" xr3:uid="{3CF7B42E-0BE9-4274-91E8-B45E042FD029}" name="Region" dataDxfId="17"/>
    <tableColumn id="5" xr3:uid="{0A2503E1-E47E-4845-8711-7C5D0F6C626E}" name="Category" dataDxfId="1"/>
    <tableColumn id="20" xr3:uid="{0173C94A-D364-4451-A694-2DA6E85BDF46}" name="Category2" dataDxfId="0"/>
    <tableColumn id="6" xr3:uid="{C2CC4F67-68A2-43A9-9F9A-B1D1B053DC69}" name="Sub-Category" dataDxfId="16"/>
    <tableColumn id="7" xr3:uid="{F0455609-ACFD-49E1-8BF6-8E8D6D75FCBE}" name="Quantity" dataDxfId="15"/>
    <tableColumn id="8" xr3:uid="{91BDFC53-91A6-41B6-8F29-BFC5F8CE6BBC}" name="Unit Price" dataDxfId="14"/>
    <tableColumn id="9" xr3:uid="{766E8C7F-22F9-4D27-985B-41B1FA517F6B}" name="Discount" dataDxfId="13"/>
    <tableColumn id="10" xr3:uid="{43ED23BD-8EEB-4A05-BD56-FD5A464C39F4}" name="Total Sales" dataDxfId="12"/>
    <tableColumn id="11" xr3:uid="{9DDBA2C9-A8FC-492E-95AC-0D13EC749AC6}" name="Profit" dataDxfId="11"/>
    <tableColumn id="12" xr3:uid="{0D0CDAB6-2253-4B6D-9934-83464A3D7AD5}" name="Payment Mode" dataDxfId="10"/>
    <tableColumn id="13" xr3:uid="{B0C37DDD-A235-4970-8914-8FFD9FC9D512}" name="Total Sales 1" dataDxfId="9">
      <calculatedColumnFormula>I2*H2</calculatedColumnFormula>
    </tableColumn>
    <tableColumn id="14" xr3:uid="{8E5792B6-0865-4496-995E-116593E5F261}" name="No" dataDxfId="7"/>
    <tableColumn id="15" xr3:uid="{E7926EF5-B14A-4585-814F-ED9BF309FFCE}" name="Location" dataDxfId="6"/>
    <tableColumn id="16" xr3:uid="{9C94481C-E395-4F2D-9D34-2D94887AB47C}" name="City" dataDxfId="5"/>
    <tableColumn id="17" xr3:uid="{2EC268C8-470A-405E-9AA6-1311C9CB3F0C}" name="Pin" dataDxfId="4"/>
    <tableColumn id="18" xr3:uid="{03CA0C41-3BB9-432D-989E-EA2AEDDB696C}" name="Column1" dataDxfId="3"/>
    <tableColumn id="19" xr3:uid="{E946BC89-40F3-413D-95D7-3EA71A9E8E2D}" name="Column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F6CF-AAA9-4878-A91A-5BA9D11E4C2B}">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C5E8-B542-4CBE-8176-FCE9612F303E}">
  <dimension ref="A3:L104"/>
  <sheetViews>
    <sheetView topLeftCell="B1" zoomScale="70" zoomScaleNormal="70" workbookViewId="0">
      <selection activeCell="N35" sqref="N35"/>
    </sheetView>
  </sheetViews>
  <sheetFormatPr defaultRowHeight="14.4" x14ac:dyDescent="0.3"/>
  <cols>
    <col min="1" max="1" width="12.5546875" bestFit="1" customWidth="1"/>
    <col min="2" max="2" width="16.44140625" bestFit="1" customWidth="1"/>
    <col min="4" max="4" width="13.88671875" bestFit="1" customWidth="1"/>
    <col min="5" max="5" width="15.33203125" bestFit="1" customWidth="1"/>
    <col min="7" max="7" width="12.5546875" bestFit="1" customWidth="1"/>
    <col min="8" max="8" width="16.44140625" bestFit="1" customWidth="1"/>
    <col min="9" max="9" width="12.33203125" bestFit="1" customWidth="1"/>
    <col min="10" max="10" width="9" bestFit="1" customWidth="1"/>
    <col min="11" max="11" width="10" bestFit="1" customWidth="1"/>
    <col min="12" max="12" width="10.77734375" bestFit="1" customWidth="1"/>
  </cols>
  <sheetData>
    <row r="3" spans="1:12" x14ac:dyDescent="0.3">
      <c r="A3" s="4" t="s">
        <v>142</v>
      </c>
      <c r="B3" t="s">
        <v>144</v>
      </c>
      <c r="D3" s="4" t="s">
        <v>142</v>
      </c>
      <c r="E3" t="s">
        <v>144</v>
      </c>
      <c r="G3" s="4" t="s">
        <v>144</v>
      </c>
      <c r="H3" s="4" t="s">
        <v>145</v>
      </c>
    </row>
    <row r="4" spans="1:12" x14ac:dyDescent="0.3">
      <c r="A4" s="5" t="s">
        <v>12</v>
      </c>
      <c r="B4" s="6">
        <v>3896.18</v>
      </c>
      <c r="D4" s="5" t="s">
        <v>44</v>
      </c>
      <c r="E4" s="6">
        <v>70275.61</v>
      </c>
      <c r="G4" s="4" t="s">
        <v>142</v>
      </c>
      <c r="H4" t="s">
        <v>20</v>
      </c>
      <c r="I4" t="s">
        <v>42</v>
      </c>
      <c r="J4" t="s">
        <v>14</v>
      </c>
      <c r="K4" t="s">
        <v>39</v>
      </c>
      <c r="L4" t="s">
        <v>143</v>
      </c>
    </row>
    <row r="5" spans="1:12" x14ac:dyDescent="0.3">
      <c r="A5" s="5" t="s">
        <v>18</v>
      </c>
      <c r="B5" s="6">
        <v>10204.69</v>
      </c>
      <c r="D5" s="7" t="s">
        <v>20</v>
      </c>
      <c r="E5" s="6">
        <v>22321.85</v>
      </c>
      <c r="G5" s="5" t="s">
        <v>44</v>
      </c>
      <c r="H5" s="6">
        <v>22321.85</v>
      </c>
      <c r="I5" s="6">
        <v>17105.400000000001</v>
      </c>
      <c r="J5" s="6">
        <v>16727.5</v>
      </c>
      <c r="K5" s="6">
        <v>14120.86</v>
      </c>
      <c r="L5" s="6">
        <v>70275.61</v>
      </c>
    </row>
    <row r="6" spans="1:12" x14ac:dyDescent="0.3">
      <c r="A6" s="5" t="s">
        <v>24</v>
      </c>
      <c r="B6" s="6">
        <v>4478.1899999999996</v>
      </c>
      <c r="D6" s="7" t="s">
        <v>42</v>
      </c>
      <c r="E6" s="6">
        <v>17105.400000000001</v>
      </c>
      <c r="G6" s="5" t="s">
        <v>13</v>
      </c>
      <c r="H6" s="6">
        <v>17149.39</v>
      </c>
      <c r="I6" s="6">
        <v>2600.9299999999998</v>
      </c>
      <c r="J6" s="6">
        <v>14908.52</v>
      </c>
      <c r="K6" s="6">
        <v>16850.68</v>
      </c>
      <c r="L6" s="6">
        <v>51509.52</v>
      </c>
    </row>
    <row r="7" spans="1:12" x14ac:dyDescent="0.3">
      <c r="A7" s="5" t="s">
        <v>27</v>
      </c>
      <c r="B7" s="6">
        <v>5248.92</v>
      </c>
      <c r="D7" s="7" t="s">
        <v>14</v>
      </c>
      <c r="E7" s="6">
        <v>16727.5</v>
      </c>
      <c r="G7" s="5" t="s">
        <v>59</v>
      </c>
      <c r="H7" s="6">
        <v>4557.87</v>
      </c>
      <c r="I7" s="6">
        <v>32075.27</v>
      </c>
      <c r="J7" s="6">
        <v>18625.189999999999</v>
      </c>
      <c r="K7" s="6">
        <v>24673.98</v>
      </c>
      <c r="L7" s="6">
        <v>79932.31</v>
      </c>
    </row>
    <row r="8" spans="1:12" x14ac:dyDescent="0.3">
      <c r="A8" s="5" t="s">
        <v>31</v>
      </c>
      <c r="B8" s="6">
        <v>5617.94</v>
      </c>
      <c r="D8" s="7" t="s">
        <v>39</v>
      </c>
      <c r="E8" s="6">
        <v>14120.86</v>
      </c>
      <c r="G8" s="5" t="s">
        <v>51</v>
      </c>
      <c r="H8" s="6">
        <v>7918.02</v>
      </c>
      <c r="I8" s="6"/>
      <c r="J8" s="6">
        <v>2149.91</v>
      </c>
      <c r="K8" s="6">
        <v>5146.6000000000004</v>
      </c>
      <c r="L8" s="6">
        <v>15214.53</v>
      </c>
    </row>
    <row r="9" spans="1:12" x14ac:dyDescent="0.3">
      <c r="A9" s="5" t="s">
        <v>32</v>
      </c>
      <c r="B9" s="6">
        <v>6809.12</v>
      </c>
      <c r="D9" s="5" t="s">
        <v>13</v>
      </c>
      <c r="E9" s="6">
        <v>51509.52</v>
      </c>
      <c r="G9" s="5" t="s">
        <v>36</v>
      </c>
      <c r="H9" s="6">
        <v>10559.45</v>
      </c>
      <c r="I9" s="6"/>
      <c r="J9" s="6">
        <v>7462.04</v>
      </c>
      <c r="K9" s="6">
        <v>12228.64</v>
      </c>
      <c r="L9" s="6">
        <v>30250.13</v>
      </c>
    </row>
    <row r="10" spans="1:12" x14ac:dyDescent="0.3">
      <c r="A10" s="5" t="s">
        <v>35</v>
      </c>
      <c r="B10" s="6">
        <v>7462.04</v>
      </c>
      <c r="D10" s="7" t="s">
        <v>20</v>
      </c>
      <c r="E10" s="6">
        <v>17149.39</v>
      </c>
      <c r="G10" s="5" t="s">
        <v>38</v>
      </c>
      <c r="H10" s="6">
        <v>21575.109999999997</v>
      </c>
      <c r="I10" s="6">
        <v>17827.64</v>
      </c>
      <c r="J10" s="6">
        <v>233.71</v>
      </c>
      <c r="K10" s="6">
        <v>24662.720000000001</v>
      </c>
      <c r="L10" s="6">
        <v>64299.18</v>
      </c>
    </row>
    <row r="11" spans="1:12" x14ac:dyDescent="0.3">
      <c r="A11" s="5" t="s">
        <v>37</v>
      </c>
      <c r="B11" s="6">
        <v>12618.01</v>
      </c>
      <c r="D11" s="7" t="s">
        <v>42</v>
      </c>
      <c r="E11" s="6">
        <v>2600.9299999999998</v>
      </c>
      <c r="G11" s="5" t="s">
        <v>90</v>
      </c>
      <c r="H11" s="6">
        <v>4876</v>
      </c>
      <c r="I11" s="6">
        <v>20581.189999999999</v>
      </c>
      <c r="J11" s="6"/>
      <c r="K11" s="6">
        <v>2140.6799999999998</v>
      </c>
      <c r="L11" s="6">
        <v>27597.87</v>
      </c>
    </row>
    <row r="12" spans="1:12" x14ac:dyDescent="0.3">
      <c r="A12" s="5" t="s">
        <v>41</v>
      </c>
      <c r="B12" s="6">
        <v>2600.9299999999998</v>
      </c>
      <c r="D12" s="7" t="s">
        <v>14</v>
      </c>
      <c r="E12" s="6">
        <v>14908.52</v>
      </c>
      <c r="G12" s="5" t="s">
        <v>28</v>
      </c>
      <c r="H12" s="6">
        <v>31642.61</v>
      </c>
      <c r="I12" s="6">
        <v>2306.81</v>
      </c>
      <c r="J12" s="6">
        <v>15844.669999999998</v>
      </c>
      <c r="K12" s="6">
        <v>9714.7099999999991</v>
      </c>
      <c r="L12" s="6">
        <v>59508.799999999996</v>
      </c>
    </row>
    <row r="13" spans="1:12" x14ac:dyDescent="0.3">
      <c r="A13" s="5" t="s">
        <v>43</v>
      </c>
      <c r="B13" s="6">
        <v>3093.91</v>
      </c>
      <c r="D13" s="7" t="s">
        <v>39</v>
      </c>
      <c r="E13" s="6">
        <v>16850.68</v>
      </c>
      <c r="G13" s="5" t="s">
        <v>33</v>
      </c>
      <c r="H13" s="6">
        <v>24647.840000000004</v>
      </c>
      <c r="I13" s="6">
        <v>12572.260000000002</v>
      </c>
      <c r="J13" s="6">
        <v>19146.86</v>
      </c>
      <c r="K13" s="6">
        <v>840.44</v>
      </c>
      <c r="L13" s="6">
        <v>57207.400000000009</v>
      </c>
    </row>
    <row r="14" spans="1:12" x14ac:dyDescent="0.3">
      <c r="A14" s="5" t="s">
        <v>46</v>
      </c>
      <c r="B14" s="6">
        <v>2325.3000000000002</v>
      </c>
      <c r="D14" s="5" t="s">
        <v>59</v>
      </c>
      <c r="E14" s="6">
        <v>79932.31</v>
      </c>
      <c r="G14" s="5" t="s">
        <v>19</v>
      </c>
      <c r="H14" s="6">
        <v>11218.630000000001</v>
      </c>
      <c r="I14" s="6"/>
      <c r="J14" s="6">
        <v>4349.3100000000004</v>
      </c>
      <c r="K14" s="6">
        <v>19709.84</v>
      </c>
      <c r="L14" s="6">
        <v>35277.78</v>
      </c>
    </row>
    <row r="15" spans="1:12" x14ac:dyDescent="0.3">
      <c r="A15" s="5" t="s">
        <v>47</v>
      </c>
      <c r="B15" s="6">
        <v>976.78</v>
      </c>
      <c r="D15" s="7" t="s">
        <v>20</v>
      </c>
      <c r="E15" s="6">
        <v>4557.87</v>
      </c>
      <c r="G15" s="5" t="s">
        <v>143</v>
      </c>
      <c r="H15" s="6">
        <v>156466.77000000002</v>
      </c>
      <c r="I15" s="6">
        <v>105069.5</v>
      </c>
      <c r="J15" s="6">
        <v>99447.709999999992</v>
      </c>
      <c r="K15" s="6">
        <v>130089.15</v>
      </c>
      <c r="L15" s="6">
        <v>491073.13</v>
      </c>
    </row>
    <row r="16" spans="1:12" x14ac:dyDescent="0.3">
      <c r="A16" s="5" t="s">
        <v>49</v>
      </c>
      <c r="B16" s="6">
        <v>8675.4599999999991</v>
      </c>
      <c r="D16" s="7" t="s">
        <v>42</v>
      </c>
      <c r="E16" s="6">
        <v>32075.27</v>
      </c>
    </row>
    <row r="17" spans="1:8" x14ac:dyDescent="0.3">
      <c r="A17" s="5" t="s">
        <v>50</v>
      </c>
      <c r="B17" s="6">
        <v>5146.6000000000004</v>
      </c>
      <c r="D17" s="7" t="s">
        <v>14</v>
      </c>
      <c r="E17" s="6">
        <v>18625.189999999999</v>
      </c>
    </row>
    <row r="18" spans="1:8" x14ac:dyDescent="0.3">
      <c r="A18" s="5" t="s">
        <v>53</v>
      </c>
      <c r="B18" s="6">
        <v>473.46</v>
      </c>
      <c r="D18" s="7" t="s">
        <v>39</v>
      </c>
      <c r="E18" s="6">
        <v>24673.98</v>
      </c>
      <c r="G18" s="4" t="s">
        <v>142</v>
      </c>
      <c r="H18" t="s">
        <v>144</v>
      </c>
    </row>
    <row r="19" spans="1:8" x14ac:dyDescent="0.3">
      <c r="A19" s="5" t="s">
        <v>54</v>
      </c>
      <c r="B19" s="6">
        <v>6344.46</v>
      </c>
      <c r="D19" s="5" t="s">
        <v>51</v>
      </c>
      <c r="E19" s="6">
        <v>15214.53</v>
      </c>
      <c r="G19" s="9" t="s">
        <v>147</v>
      </c>
      <c r="H19" s="6">
        <v>47320.349999999991</v>
      </c>
    </row>
    <row r="20" spans="1:8" x14ac:dyDescent="0.3">
      <c r="A20" s="5" t="s">
        <v>56</v>
      </c>
      <c r="B20" s="6">
        <v>1522.6</v>
      </c>
      <c r="D20" s="7" t="s">
        <v>20</v>
      </c>
      <c r="E20" s="6">
        <v>7918.02</v>
      </c>
      <c r="G20" s="9" t="s">
        <v>148</v>
      </c>
      <c r="H20" s="6">
        <v>62559.839999999997</v>
      </c>
    </row>
    <row r="21" spans="1:8" x14ac:dyDescent="0.3">
      <c r="A21" s="5" t="s">
        <v>57</v>
      </c>
      <c r="B21" s="6">
        <v>8148.57</v>
      </c>
      <c r="D21" s="7" t="s">
        <v>14</v>
      </c>
      <c r="E21" s="6">
        <v>2149.91</v>
      </c>
      <c r="G21" s="9" t="s">
        <v>149</v>
      </c>
      <c r="H21" s="6">
        <v>19909.03</v>
      </c>
    </row>
    <row r="22" spans="1:8" x14ac:dyDescent="0.3">
      <c r="A22" s="5" t="s">
        <v>58</v>
      </c>
      <c r="B22" s="6">
        <v>12149.99</v>
      </c>
      <c r="D22" s="7" t="s">
        <v>39</v>
      </c>
      <c r="E22" s="6">
        <v>5146.6000000000004</v>
      </c>
      <c r="G22" s="9" t="s">
        <v>150</v>
      </c>
      <c r="H22" s="6">
        <v>44310.17</v>
      </c>
    </row>
    <row r="23" spans="1:8" x14ac:dyDescent="0.3">
      <c r="A23" s="5" t="s">
        <v>60</v>
      </c>
      <c r="B23" s="6">
        <v>9796.7000000000007</v>
      </c>
      <c r="D23" s="5" t="s">
        <v>36</v>
      </c>
      <c r="E23" s="6">
        <v>30250.13</v>
      </c>
      <c r="G23" s="9" t="s">
        <v>151</v>
      </c>
      <c r="H23" s="6">
        <v>22554.239999999998</v>
      </c>
    </row>
    <row r="24" spans="1:8" x14ac:dyDescent="0.3">
      <c r="A24" s="5" t="s">
        <v>61</v>
      </c>
      <c r="B24" s="6">
        <v>3322.07</v>
      </c>
      <c r="D24" s="7" t="s">
        <v>20</v>
      </c>
      <c r="E24" s="6">
        <v>10559.45</v>
      </c>
      <c r="G24" s="9" t="s">
        <v>152</v>
      </c>
      <c r="H24" s="6">
        <v>24101.27</v>
      </c>
    </row>
    <row r="25" spans="1:8" x14ac:dyDescent="0.3">
      <c r="A25" s="5" t="s">
        <v>62</v>
      </c>
      <c r="B25" s="6">
        <v>582.52</v>
      </c>
      <c r="D25" s="7" t="s">
        <v>14</v>
      </c>
      <c r="E25" s="6">
        <v>7462.04</v>
      </c>
      <c r="G25" s="9" t="s">
        <v>153</v>
      </c>
      <c r="H25" s="6">
        <v>33977.269999999997</v>
      </c>
    </row>
    <row r="26" spans="1:8" x14ac:dyDescent="0.3">
      <c r="A26" s="5" t="s">
        <v>63</v>
      </c>
      <c r="B26" s="6">
        <v>10583.44</v>
      </c>
      <c r="D26" s="7" t="s">
        <v>39</v>
      </c>
      <c r="E26" s="6">
        <v>12228.64</v>
      </c>
      <c r="G26" s="9" t="s">
        <v>154</v>
      </c>
      <c r="H26" s="6">
        <v>50714.99</v>
      </c>
    </row>
    <row r="27" spans="1:8" x14ac:dyDescent="0.3">
      <c r="A27" s="5" t="s">
        <v>64</v>
      </c>
      <c r="B27" s="6">
        <v>376.77</v>
      </c>
      <c r="D27" s="5" t="s">
        <v>38</v>
      </c>
      <c r="E27" s="6">
        <v>64299.18</v>
      </c>
      <c r="G27" s="9" t="s">
        <v>155</v>
      </c>
      <c r="H27" s="6">
        <v>42323.599999999991</v>
      </c>
    </row>
    <row r="28" spans="1:8" x14ac:dyDescent="0.3">
      <c r="A28" s="5" t="s">
        <v>65</v>
      </c>
      <c r="B28" s="6">
        <v>7559.21</v>
      </c>
      <c r="D28" s="7" t="s">
        <v>20</v>
      </c>
      <c r="E28" s="6">
        <v>21575.109999999997</v>
      </c>
      <c r="G28" s="9" t="s">
        <v>156</v>
      </c>
      <c r="H28" s="6">
        <v>47650.590000000004</v>
      </c>
    </row>
    <row r="29" spans="1:8" x14ac:dyDescent="0.3">
      <c r="A29" s="5" t="s">
        <v>66</v>
      </c>
      <c r="B29" s="6">
        <v>5004.71</v>
      </c>
      <c r="D29" s="7" t="s">
        <v>42</v>
      </c>
      <c r="E29" s="6">
        <v>17827.64</v>
      </c>
      <c r="G29" s="9" t="s">
        <v>157</v>
      </c>
      <c r="H29" s="6">
        <v>40175.599999999999</v>
      </c>
    </row>
    <row r="30" spans="1:8" x14ac:dyDescent="0.3">
      <c r="A30" s="5" t="s">
        <v>67</v>
      </c>
      <c r="B30" s="6">
        <v>2200.0500000000002</v>
      </c>
      <c r="D30" s="7" t="s">
        <v>14</v>
      </c>
      <c r="E30" s="6">
        <v>233.71</v>
      </c>
      <c r="G30" s="9" t="s">
        <v>158</v>
      </c>
      <c r="H30" s="6">
        <v>55476.180000000008</v>
      </c>
    </row>
    <row r="31" spans="1:8" x14ac:dyDescent="0.3">
      <c r="A31" s="5" t="s">
        <v>68</v>
      </c>
      <c r="B31" s="6">
        <v>2306.81</v>
      </c>
      <c r="D31" s="7" t="s">
        <v>39</v>
      </c>
      <c r="E31" s="6">
        <v>24662.720000000001</v>
      </c>
      <c r="G31" s="9" t="s">
        <v>143</v>
      </c>
      <c r="H31" s="6">
        <v>491073.12999999995</v>
      </c>
    </row>
    <row r="32" spans="1:8" x14ac:dyDescent="0.3">
      <c r="A32" s="5" t="s">
        <v>69</v>
      </c>
      <c r="B32" s="6">
        <v>3758.56</v>
      </c>
      <c r="D32" s="5" t="s">
        <v>90</v>
      </c>
      <c r="E32" s="6">
        <v>27597.87</v>
      </c>
    </row>
    <row r="33" spans="1:8" x14ac:dyDescent="0.3">
      <c r="A33" s="5" t="s">
        <v>70</v>
      </c>
      <c r="B33" s="6">
        <v>5896.13</v>
      </c>
      <c r="D33" s="7" t="s">
        <v>20</v>
      </c>
      <c r="E33" s="6">
        <v>4876</v>
      </c>
    </row>
    <row r="34" spans="1:8" x14ac:dyDescent="0.3">
      <c r="A34" s="5" t="s">
        <v>71</v>
      </c>
      <c r="B34" s="6">
        <v>1013.94</v>
      </c>
      <c r="D34" s="7" t="s">
        <v>42</v>
      </c>
      <c r="E34" s="6">
        <v>20581.189999999999</v>
      </c>
      <c r="G34" s="4" t="s">
        <v>142</v>
      </c>
      <c r="H34" t="s">
        <v>144</v>
      </c>
    </row>
    <row r="35" spans="1:8" x14ac:dyDescent="0.3">
      <c r="A35" s="5" t="s">
        <v>72</v>
      </c>
      <c r="B35" s="6">
        <v>7335.5</v>
      </c>
      <c r="D35" s="7" t="s">
        <v>39</v>
      </c>
      <c r="E35" s="6">
        <v>2140.6799999999998</v>
      </c>
      <c r="G35" s="5" t="s">
        <v>42</v>
      </c>
      <c r="H35" s="6">
        <v>87090.47</v>
      </c>
    </row>
    <row r="36" spans="1:8" x14ac:dyDescent="0.3">
      <c r="A36" s="5" t="s">
        <v>73</v>
      </c>
      <c r="B36" s="6">
        <v>1422.01</v>
      </c>
      <c r="D36" s="5" t="s">
        <v>28</v>
      </c>
      <c r="E36" s="6">
        <v>59508.799999999996</v>
      </c>
      <c r="G36" s="7" t="s">
        <v>25</v>
      </c>
      <c r="H36" s="6">
        <v>45912.76</v>
      </c>
    </row>
    <row r="37" spans="1:8" x14ac:dyDescent="0.3">
      <c r="A37" s="5" t="s">
        <v>74</v>
      </c>
      <c r="B37" s="6">
        <v>3173.66</v>
      </c>
      <c r="D37" s="7" t="s">
        <v>20</v>
      </c>
      <c r="E37" s="6">
        <v>31642.61</v>
      </c>
      <c r="G37" s="7" t="s">
        <v>15</v>
      </c>
      <c r="H37" s="6">
        <v>41177.71</v>
      </c>
    </row>
    <row r="38" spans="1:8" x14ac:dyDescent="0.3">
      <c r="A38" s="5" t="s">
        <v>75</v>
      </c>
      <c r="B38" s="6">
        <v>4349.3100000000004</v>
      </c>
      <c r="D38" s="7" t="s">
        <v>42</v>
      </c>
      <c r="E38" s="6">
        <v>2306.81</v>
      </c>
      <c r="G38" s="5" t="s">
        <v>143</v>
      </c>
      <c r="H38" s="6">
        <v>87090.47</v>
      </c>
    </row>
    <row r="39" spans="1:8" x14ac:dyDescent="0.3">
      <c r="A39" s="5" t="s">
        <v>76</v>
      </c>
      <c r="B39" s="6">
        <v>5437.1</v>
      </c>
      <c r="D39" s="7" t="s">
        <v>14</v>
      </c>
      <c r="E39" s="6">
        <v>15844.669999999998</v>
      </c>
    </row>
    <row r="40" spans="1:8" x14ac:dyDescent="0.3">
      <c r="A40" s="5" t="s">
        <v>77</v>
      </c>
      <c r="B40" s="6">
        <v>6997.11</v>
      </c>
      <c r="D40" s="7" t="s">
        <v>39</v>
      </c>
      <c r="E40" s="6">
        <v>9714.7099999999991</v>
      </c>
    </row>
    <row r="41" spans="1:8" x14ac:dyDescent="0.3">
      <c r="A41" s="5" t="s">
        <v>78</v>
      </c>
      <c r="B41" s="6">
        <v>1267.8900000000001</v>
      </c>
      <c r="D41" s="5" t="s">
        <v>33</v>
      </c>
      <c r="E41" s="6">
        <v>57207.400000000009</v>
      </c>
    </row>
    <row r="42" spans="1:8" x14ac:dyDescent="0.3">
      <c r="A42" s="5" t="s">
        <v>79</v>
      </c>
      <c r="B42" s="6">
        <v>1185.32</v>
      </c>
      <c r="D42" s="7" t="s">
        <v>20</v>
      </c>
      <c r="E42" s="6">
        <v>24647.840000000004</v>
      </c>
    </row>
    <row r="43" spans="1:8" x14ac:dyDescent="0.3">
      <c r="A43" s="5" t="s">
        <v>80</v>
      </c>
      <c r="B43" s="6">
        <v>1373.07</v>
      </c>
      <c r="D43" s="7" t="s">
        <v>42</v>
      </c>
      <c r="E43" s="6">
        <v>12572.260000000002</v>
      </c>
    </row>
    <row r="44" spans="1:8" x14ac:dyDescent="0.3">
      <c r="A44" s="5" t="s">
        <v>81</v>
      </c>
      <c r="B44" s="6">
        <v>3167.88</v>
      </c>
      <c r="D44" s="7" t="s">
        <v>14</v>
      </c>
      <c r="E44" s="6">
        <v>19146.86</v>
      </c>
    </row>
    <row r="45" spans="1:8" x14ac:dyDescent="0.3">
      <c r="A45" s="5" t="s">
        <v>82</v>
      </c>
      <c r="B45" s="6">
        <v>1572.91</v>
      </c>
      <c r="D45" s="7" t="s">
        <v>39</v>
      </c>
      <c r="E45" s="6">
        <v>840.44</v>
      </c>
    </row>
    <row r="46" spans="1:8" x14ac:dyDescent="0.3">
      <c r="A46" s="5" t="s">
        <v>83</v>
      </c>
      <c r="B46" s="6">
        <v>4231</v>
      </c>
      <c r="D46" s="5" t="s">
        <v>19</v>
      </c>
      <c r="E46" s="6">
        <v>35277.78</v>
      </c>
    </row>
    <row r="47" spans="1:8" x14ac:dyDescent="0.3">
      <c r="A47" s="5" t="s">
        <v>84</v>
      </c>
      <c r="B47" s="6">
        <v>330.66</v>
      </c>
      <c r="D47" s="7" t="s">
        <v>20</v>
      </c>
      <c r="E47" s="6">
        <v>11218.630000000001</v>
      </c>
    </row>
    <row r="48" spans="1:8" x14ac:dyDescent="0.3">
      <c r="A48" s="5" t="s">
        <v>85</v>
      </c>
      <c r="B48" s="6">
        <v>1012.04</v>
      </c>
      <c r="D48" s="7" t="s">
        <v>14</v>
      </c>
      <c r="E48" s="6">
        <v>4349.3100000000004</v>
      </c>
    </row>
    <row r="49" spans="1:9" x14ac:dyDescent="0.3">
      <c r="A49" s="5" t="s">
        <v>86</v>
      </c>
      <c r="B49" s="6">
        <v>8238.2099999999991</v>
      </c>
      <c r="D49" s="7" t="s">
        <v>39</v>
      </c>
      <c r="E49" s="6">
        <v>19709.84</v>
      </c>
    </row>
    <row r="50" spans="1:9" x14ac:dyDescent="0.3">
      <c r="A50" s="5" t="s">
        <v>87</v>
      </c>
      <c r="B50" s="6">
        <v>2519.3200000000002</v>
      </c>
      <c r="D50" s="5" t="s">
        <v>143</v>
      </c>
      <c r="E50" s="6">
        <v>491073.13000000006</v>
      </c>
    </row>
    <row r="51" spans="1:9" x14ac:dyDescent="0.3">
      <c r="A51" s="5" t="s">
        <v>88</v>
      </c>
      <c r="B51" s="6">
        <v>10686.59</v>
      </c>
    </row>
    <row r="52" spans="1:9" x14ac:dyDescent="0.3">
      <c r="A52" s="5" t="s">
        <v>89</v>
      </c>
      <c r="B52" s="6">
        <v>2140.6799999999998</v>
      </c>
    </row>
    <row r="53" spans="1:9" x14ac:dyDescent="0.3">
      <c r="A53" s="5" t="s">
        <v>91</v>
      </c>
      <c r="B53" s="6">
        <v>3806.5</v>
      </c>
      <c r="D53" s="4" t="s">
        <v>142</v>
      </c>
      <c r="E53" t="s">
        <v>160</v>
      </c>
    </row>
    <row r="54" spans="1:9" x14ac:dyDescent="0.3">
      <c r="A54" s="5" t="s">
        <v>92</v>
      </c>
      <c r="B54" s="6">
        <v>8872.99</v>
      </c>
      <c r="D54" s="5" t="s">
        <v>44</v>
      </c>
      <c r="E54" s="10">
        <v>1</v>
      </c>
    </row>
    <row r="55" spans="1:9" x14ac:dyDescent="0.3">
      <c r="A55" s="5" t="s">
        <v>93</v>
      </c>
      <c r="B55" s="6">
        <v>6001.47</v>
      </c>
      <c r="D55" s="5" t="s">
        <v>13</v>
      </c>
      <c r="E55" s="10">
        <v>1.0476190476190477</v>
      </c>
      <c r="G55" s="4" t="s">
        <v>142</v>
      </c>
      <c r="H55" t="s">
        <v>144</v>
      </c>
      <c r="I55" t="s">
        <v>159</v>
      </c>
    </row>
    <row r="56" spans="1:9" x14ac:dyDescent="0.3">
      <c r="A56" s="5" t="s">
        <v>94</v>
      </c>
      <c r="B56" s="6">
        <v>233.71</v>
      </c>
      <c r="D56" s="5" t="s">
        <v>59</v>
      </c>
      <c r="E56" s="10">
        <v>1.3650793650793651</v>
      </c>
      <c r="G56" s="5" t="s">
        <v>44</v>
      </c>
      <c r="H56" s="6">
        <v>70275.61</v>
      </c>
      <c r="I56" s="6">
        <v>7027.5610000000006</v>
      </c>
    </row>
    <row r="57" spans="1:9" x14ac:dyDescent="0.3">
      <c r="A57" s="5" t="s">
        <v>95</v>
      </c>
      <c r="B57" s="6">
        <v>4838.9399999999996</v>
      </c>
      <c r="D57" s="5" t="s">
        <v>51</v>
      </c>
      <c r="E57" s="10">
        <v>0.23809523809523808</v>
      </c>
      <c r="G57" s="5" t="s">
        <v>13</v>
      </c>
      <c r="H57" s="6">
        <v>51509.52</v>
      </c>
      <c r="I57" s="6">
        <v>5150.9520000000002</v>
      </c>
    </row>
    <row r="58" spans="1:9" x14ac:dyDescent="0.3">
      <c r="A58" s="5" t="s">
        <v>96</v>
      </c>
      <c r="B58" s="6">
        <v>11741.74</v>
      </c>
      <c r="D58" s="5" t="s">
        <v>36</v>
      </c>
      <c r="E58" s="10">
        <v>0.47619047619047616</v>
      </c>
      <c r="G58" s="5" t="s">
        <v>59</v>
      </c>
      <c r="H58" s="6">
        <v>79932.310000000012</v>
      </c>
      <c r="I58" s="6">
        <v>7993.2310000000016</v>
      </c>
    </row>
    <row r="59" spans="1:9" x14ac:dyDescent="0.3">
      <c r="A59" s="5" t="s">
        <v>97</v>
      </c>
      <c r="B59" s="6">
        <v>840.44</v>
      </c>
      <c r="D59" s="5" t="s">
        <v>38</v>
      </c>
      <c r="E59" s="10">
        <v>0.77777777777777779</v>
      </c>
      <c r="G59" s="5" t="s">
        <v>51</v>
      </c>
      <c r="H59" s="6">
        <v>15214.53</v>
      </c>
      <c r="I59" s="6">
        <v>1521.4530000000002</v>
      </c>
    </row>
    <row r="60" spans="1:9" x14ac:dyDescent="0.3">
      <c r="A60" s="5" t="s">
        <v>98</v>
      </c>
      <c r="B60" s="6">
        <v>12263.42</v>
      </c>
      <c r="D60" s="5" t="s">
        <v>90</v>
      </c>
      <c r="E60" s="10">
        <v>0.42857142857142855</v>
      </c>
      <c r="G60" s="5" t="s">
        <v>36</v>
      </c>
      <c r="H60" s="6">
        <v>30250.13</v>
      </c>
      <c r="I60" s="6">
        <v>3025.0130000000004</v>
      </c>
    </row>
    <row r="61" spans="1:9" x14ac:dyDescent="0.3">
      <c r="A61" s="5" t="s">
        <v>99</v>
      </c>
      <c r="B61" s="6">
        <v>7064.98</v>
      </c>
      <c r="D61" s="5" t="s">
        <v>28</v>
      </c>
      <c r="E61" s="10">
        <v>1.1111111111111112</v>
      </c>
      <c r="G61" s="5" t="s">
        <v>38</v>
      </c>
      <c r="H61" s="6">
        <v>64299.18</v>
      </c>
      <c r="I61" s="6">
        <v>6429.9180000000006</v>
      </c>
    </row>
    <row r="62" spans="1:9" x14ac:dyDescent="0.3">
      <c r="A62" s="5" t="s">
        <v>100</v>
      </c>
      <c r="B62" s="6">
        <v>2613.0700000000002</v>
      </c>
      <c r="D62" s="5" t="s">
        <v>33</v>
      </c>
      <c r="E62" s="10">
        <v>1.0634920634920635</v>
      </c>
      <c r="G62" s="5" t="s">
        <v>90</v>
      </c>
      <c r="H62" s="6">
        <v>27597.87</v>
      </c>
      <c r="I62" s="6">
        <v>2759.7870000000003</v>
      </c>
    </row>
    <row r="63" spans="1:9" x14ac:dyDescent="0.3">
      <c r="A63" s="5" t="s">
        <v>101</v>
      </c>
      <c r="B63" s="6">
        <v>1163.1199999999999</v>
      </c>
      <c r="D63" s="5" t="s">
        <v>19</v>
      </c>
      <c r="E63" s="10">
        <v>0.49206349206349204</v>
      </c>
      <c r="G63" s="5" t="s">
        <v>28</v>
      </c>
      <c r="H63" s="6">
        <v>59508.799999999996</v>
      </c>
      <c r="I63" s="6">
        <v>5950.88</v>
      </c>
    </row>
    <row r="64" spans="1:9" x14ac:dyDescent="0.3">
      <c r="A64" s="5" t="s">
        <v>102</v>
      </c>
      <c r="B64" s="6">
        <v>9714.7099999999991</v>
      </c>
      <c r="D64" s="5" t="s">
        <v>143</v>
      </c>
      <c r="E64" s="10"/>
      <c r="G64" s="5" t="s">
        <v>33</v>
      </c>
      <c r="H64" s="6">
        <v>57207.4</v>
      </c>
      <c r="I64" s="6">
        <v>5720.7400000000007</v>
      </c>
    </row>
    <row r="65" spans="1:9" x14ac:dyDescent="0.3">
      <c r="A65" s="5" t="s">
        <v>103</v>
      </c>
      <c r="B65" s="6">
        <v>4810.63</v>
      </c>
      <c r="G65" s="5" t="s">
        <v>19</v>
      </c>
      <c r="H65" s="6">
        <v>35277.78</v>
      </c>
      <c r="I65" s="6">
        <v>3527.7780000000002</v>
      </c>
    </row>
    <row r="66" spans="1:9" x14ac:dyDescent="0.3">
      <c r="A66" s="5" t="s">
        <v>104</v>
      </c>
      <c r="B66" s="6">
        <v>4739.04</v>
      </c>
      <c r="G66" s="5" t="s">
        <v>143</v>
      </c>
      <c r="H66" s="6">
        <v>491073.13</v>
      </c>
      <c r="I66" s="6">
        <v>49107.312999999995</v>
      </c>
    </row>
    <row r="67" spans="1:9" x14ac:dyDescent="0.3">
      <c r="A67" s="5" t="s">
        <v>105</v>
      </c>
      <c r="B67" s="6">
        <v>12712.73</v>
      </c>
    </row>
    <row r="68" spans="1:9" x14ac:dyDescent="0.3">
      <c r="A68" s="5" t="s">
        <v>106</v>
      </c>
      <c r="B68" s="6">
        <v>3951.65</v>
      </c>
    </row>
    <row r="69" spans="1:9" x14ac:dyDescent="0.3">
      <c r="A69" s="5" t="s">
        <v>107</v>
      </c>
      <c r="B69" s="6">
        <v>1608.18</v>
      </c>
    </row>
    <row r="70" spans="1:9" x14ac:dyDescent="0.3">
      <c r="A70" s="5" t="s">
        <v>108</v>
      </c>
      <c r="B70" s="6">
        <v>892.21</v>
      </c>
    </row>
    <row r="71" spans="1:9" x14ac:dyDescent="0.3">
      <c r="A71" s="5" t="s">
        <v>109</v>
      </c>
      <c r="B71" s="6">
        <v>1709.88</v>
      </c>
    </row>
    <row r="72" spans="1:9" x14ac:dyDescent="0.3">
      <c r="A72" s="5" t="s">
        <v>110</v>
      </c>
      <c r="B72" s="6">
        <v>1461.38</v>
      </c>
    </row>
    <row r="73" spans="1:9" x14ac:dyDescent="0.3">
      <c r="A73" s="5" t="s">
        <v>111</v>
      </c>
      <c r="B73" s="6">
        <v>8463.99</v>
      </c>
    </row>
    <row r="74" spans="1:9" x14ac:dyDescent="0.3">
      <c r="A74" s="5" t="s">
        <v>112</v>
      </c>
      <c r="B74" s="6">
        <v>8790.6</v>
      </c>
    </row>
    <row r="75" spans="1:9" x14ac:dyDescent="0.3">
      <c r="A75" s="5" t="s">
        <v>113</v>
      </c>
      <c r="B75" s="6">
        <v>1455.62</v>
      </c>
    </row>
    <row r="76" spans="1:9" x14ac:dyDescent="0.3">
      <c r="A76" s="5" t="s">
        <v>114</v>
      </c>
      <c r="B76" s="6">
        <v>1350.6</v>
      </c>
    </row>
    <row r="77" spans="1:9" x14ac:dyDescent="0.3">
      <c r="A77" s="5" t="s">
        <v>115</v>
      </c>
      <c r="B77" s="6">
        <v>3891.04</v>
      </c>
    </row>
    <row r="78" spans="1:9" x14ac:dyDescent="0.3">
      <c r="A78" s="5" t="s">
        <v>116</v>
      </c>
      <c r="B78" s="6">
        <v>3420.38</v>
      </c>
    </row>
    <row r="79" spans="1:9" x14ac:dyDescent="0.3">
      <c r="A79" s="5" t="s">
        <v>117</v>
      </c>
      <c r="B79" s="6">
        <v>7270.4</v>
      </c>
    </row>
    <row r="80" spans="1:9" x14ac:dyDescent="0.3">
      <c r="A80" s="5" t="s">
        <v>118</v>
      </c>
      <c r="B80" s="6">
        <v>2238.62</v>
      </c>
    </row>
    <row r="81" spans="1:2" x14ac:dyDescent="0.3">
      <c r="A81" s="5" t="s">
        <v>119</v>
      </c>
      <c r="B81" s="6">
        <v>1611.21</v>
      </c>
    </row>
    <row r="82" spans="1:2" x14ac:dyDescent="0.3">
      <c r="A82" s="5" t="s">
        <v>120</v>
      </c>
      <c r="B82" s="6">
        <v>2478.17</v>
      </c>
    </row>
    <row r="83" spans="1:2" x14ac:dyDescent="0.3">
      <c r="A83" s="5" t="s">
        <v>121</v>
      </c>
      <c r="B83" s="6">
        <v>626.07000000000005</v>
      </c>
    </row>
    <row r="84" spans="1:2" x14ac:dyDescent="0.3">
      <c r="A84" s="5" t="s">
        <v>122</v>
      </c>
      <c r="B84" s="6">
        <v>7756.51</v>
      </c>
    </row>
    <row r="85" spans="1:2" x14ac:dyDescent="0.3">
      <c r="A85" s="5" t="s">
        <v>123</v>
      </c>
      <c r="B85" s="6">
        <v>2541.04</v>
      </c>
    </row>
    <row r="86" spans="1:2" x14ac:dyDescent="0.3">
      <c r="A86" s="5" t="s">
        <v>124</v>
      </c>
      <c r="B86" s="6">
        <v>11483.18</v>
      </c>
    </row>
    <row r="87" spans="1:2" x14ac:dyDescent="0.3">
      <c r="A87" s="5" t="s">
        <v>125</v>
      </c>
      <c r="B87" s="6">
        <v>13708.81</v>
      </c>
    </row>
    <row r="88" spans="1:2" x14ac:dyDescent="0.3">
      <c r="A88" s="5" t="s">
        <v>126</v>
      </c>
      <c r="B88" s="6">
        <v>4257.91</v>
      </c>
    </row>
    <row r="89" spans="1:2" x14ac:dyDescent="0.3">
      <c r="A89" s="5" t="s">
        <v>127</v>
      </c>
      <c r="B89" s="6">
        <v>5669.79</v>
      </c>
    </row>
    <row r="90" spans="1:2" x14ac:dyDescent="0.3">
      <c r="A90" s="5" t="s">
        <v>128</v>
      </c>
      <c r="B90" s="6">
        <v>7505.83</v>
      </c>
    </row>
    <row r="91" spans="1:2" x14ac:dyDescent="0.3">
      <c r="A91" s="5" t="s">
        <v>129</v>
      </c>
      <c r="B91" s="6">
        <v>12987.75</v>
      </c>
    </row>
    <row r="92" spans="1:2" x14ac:dyDescent="0.3">
      <c r="A92" s="5" t="s">
        <v>130</v>
      </c>
      <c r="B92" s="6">
        <v>2149.91</v>
      </c>
    </row>
    <row r="93" spans="1:2" x14ac:dyDescent="0.3">
      <c r="A93" s="5" t="s">
        <v>131</v>
      </c>
      <c r="B93" s="6">
        <v>4729.96</v>
      </c>
    </row>
    <row r="94" spans="1:2" x14ac:dyDescent="0.3">
      <c r="A94" s="5" t="s">
        <v>132</v>
      </c>
      <c r="B94" s="6">
        <v>9889.86</v>
      </c>
    </row>
    <row r="95" spans="1:2" x14ac:dyDescent="0.3">
      <c r="A95" s="5" t="s">
        <v>133</v>
      </c>
      <c r="B95" s="6">
        <v>6503.5</v>
      </c>
    </row>
    <row r="96" spans="1:2" x14ac:dyDescent="0.3">
      <c r="A96" s="5" t="s">
        <v>134</v>
      </c>
      <c r="B96" s="6">
        <v>934.75</v>
      </c>
    </row>
    <row r="97" spans="1:2" x14ac:dyDescent="0.3">
      <c r="A97" s="5" t="s">
        <v>135</v>
      </c>
      <c r="B97" s="6">
        <v>525.75</v>
      </c>
    </row>
    <row r="98" spans="1:2" x14ac:dyDescent="0.3">
      <c r="A98" s="5" t="s">
        <v>136</v>
      </c>
      <c r="B98" s="6">
        <v>1458.92</v>
      </c>
    </row>
    <row r="99" spans="1:2" x14ac:dyDescent="0.3">
      <c r="A99" s="5" t="s">
        <v>137</v>
      </c>
      <c r="B99" s="6">
        <v>577.16999999999996</v>
      </c>
    </row>
    <row r="100" spans="1:2" x14ac:dyDescent="0.3">
      <c r="A100" s="5" t="s">
        <v>138</v>
      </c>
      <c r="B100" s="6">
        <v>989.05</v>
      </c>
    </row>
    <row r="101" spans="1:2" x14ac:dyDescent="0.3">
      <c r="A101" s="5" t="s">
        <v>139</v>
      </c>
      <c r="B101" s="6">
        <v>11321.09</v>
      </c>
    </row>
    <row r="102" spans="1:2" x14ac:dyDescent="0.3">
      <c r="A102" s="5" t="s">
        <v>140</v>
      </c>
      <c r="B102" s="6">
        <v>6627.86</v>
      </c>
    </row>
    <row r="103" spans="1:2" x14ac:dyDescent="0.3">
      <c r="A103" s="5" t="s">
        <v>141</v>
      </c>
      <c r="B103" s="6">
        <v>10182.68</v>
      </c>
    </row>
    <row r="104" spans="1:2" x14ac:dyDescent="0.3">
      <c r="A104" s="5" t="s">
        <v>143</v>
      </c>
      <c r="B104" s="6">
        <v>491073.12999999983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E5E17-7648-4505-B3AA-92107CECD9A6}">
  <dimension ref="A1:M101"/>
  <sheetViews>
    <sheetView zoomScale="61" workbookViewId="0">
      <selection activeCell="F17" sqref="A1:M101"/>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11.33203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8" t="s">
        <v>146</v>
      </c>
    </row>
    <row r="2" spans="1:13" x14ac:dyDescent="0.3">
      <c r="A2" s="2" t="s">
        <v>12</v>
      </c>
      <c r="B2" s="3">
        <v>45029</v>
      </c>
      <c r="C2" s="2" t="s">
        <v>13</v>
      </c>
      <c r="D2" s="2" t="s">
        <v>14</v>
      </c>
      <c r="E2" s="2" t="s">
        <v>15</v>
      </c>
      <c r="F2" s="2" t="s">
        <v>16</v>
      </c>
      <c r="G2" s="2">
        <v>3</v>
      </c>
      <c r="H2" s="2">
        <v>1443.03</v>
      </c>
      <c r="I2" s="2">
        <v>0.1</v>
      </c>
      <c r="J2" s="2">
        <v>3896.18</v>
      </c>
      <c r="K2" s="2">
        <v>964.48</v>
      </c>
      <c r="L2" s="2" t="s">
        <v>17</v>
      </c>
      <c r="M2" s="2">
        <f>H2*G2</f>
        <v>4329.09</v>
      </c>
    </row>
    <row r="3" spans="1:13" x14ac:dyDescent="0.3">
      <c r="A3" s="2" t="s">
        <v>18</v>
      </c>
      <c r="B3" s="3">
        <v>45275</v>
      </c>
      <c r="C3" s="2" t="s">
        <v>19</v>
      </c>
      <c r="D3" s="2" t="s">
        <v>20</v>
      </c>
      <c r="E3" s="2" t="s">
        <v>21</v>
      </c>
      <c r="F3" s="2" t="s">
        <v>22</v>
      </c>
      <c r="G3" s="2">
        <v>7</v>
      </c>
      <c r="H3" s="2">
        <v>1715.07</v>
      </c>
      <c r="I3" s="2">
        <v>0.15</v>
      </c>
      <c r="J3" s="2">
        <v>10204.69</v>
      </c>
      <c r="K3" s="2">
        <v>1354.41</v>
      </c>
      <c r="L3" s="2" t="s">
        <v>23</v>
      </c>
      <c r="M3" s="2">
        <f t="shared" ref="M3:M66" si="0">H3*G3</f>
        <v>12005.49</v>
      </c>
    </row>
    <row r="4" spans="1:13" x14ac:dyDescent="0.3">
      <c r="A4" s="2" t="s">
        <v>24</v>
      </c>
      <c r="B4" s="3">
        <v>45197</v>
      </c>
      <c r="C4" s="2" t="s">
        <v>13</v>
      </c>
      <c r="D4" s="2" t="s">
        <v>20</v>
      </c>
      <c r="E4" s="2" t="s">
        <v>25</v>
      </c>
      <c r="F4" s="2" t="s">
        <v>26</v>
      </c>
      <c r="G4" s="2">
        <v>8</v>
      </c>
      <c r="H4" s="2">
        <v>621.97</v>
      </c>
      <c r="I4" s="2">
        <v>0.1</v>
      </c>
      <c r="J4" s="2">
        <v>4478.1899999999996</v>
      </c>
      <c r="K4" s="2">
        <v>752.58</v>
      </c>
      <c r="L4" s="2" t="s">
        <v>23</v>
      </c>
      <c r="M4" s="2">
        <f t="shared" si="0"/>
        <v>4975.76</v>
      </c>
    </row>
    <row r="5" spans="1:13" x14ac:dyDescent="0.3">
      <c r="A5" s="2" t="s">
        <v>27</v>
      </c>
      <c r="B5" s="3">
        <v>45033</v>
      </c>
      <c r="C5" s="2" t="s">
        <v>28</v>
      </c>
      <c r="D5" s="2" t="s">
        <v>14</v>
      </c>
      <c r="E5" s="2" t="s">
        <v>15</v>
      </c>
      <c r="F5" s="2" t="s">
        <v>29</v>
      </c>
      <c r="G5" s="2">
        <v>5</v>
      </c>
      <c r="H5" s="2">
        <v>1166.43</v>
      </c>
      <c r="I5" s="2">
        <v>0.1</v>
      </c>
      <c r="J5" s="2">
        <v>5248.92</v>
      </c>
      <c r="K5" s="2">
        <v>948.39</v>
      </c>
      <c r="L5" s="2" t="s">
        <v>30</v>
      </c>
      <c r="M5" s="2">
        <f t="shared" si="0"/>
        <v>5832.1500000000005</v>
      </c>
    </row>
    <row r="6" spans="1:13" x14ac:dyDescent="0.3">
      <c r="A6" s="2" t="s">
        <v>31</v>
      </c>
      <c r="B6" s="3">
        <v>44998</v>
      </c>
      <c r="C6" s="2" t="s">
        <v>13</v>
      </c>
      <c r="D6" s="2" t="s">
        <v>20</v>
      </c>
      <c r="E6" s="2" t="s">
        <v>25</v>
      </c>
      <c r="F6" s="2" t="s">
        <v>26</v>
      </c>
      <c r="G6" s="2">
        <v>7</v>
      </c>
      <c r="H6" s="2">
        <v>1003.2</v>
      </c>
      <c r="I6" s="2">
        <v>0.2</v>
      </c>
      <c r="J6" s="2">
        <v>5617.94</v>
      </c>
      <c r="K6" s="2">
        <v>995.18</v>
      </c>
      <c r="L6" s="2" t="s">
        <v>17</v>
      </c>
      <c r="M6" s="2">
        <f t="shared" si="0"/>
        <v>7022.4000000000005</v>
      </c>
    </row>
    <row r="7" spans="1:13" x14ac:dyDescent="0.3">
      <c r="A7" s="2" t="s">
        <v>32</v>
      </c>
      <c r="B7" s="3">
        <v>45115</v>
      </c>
      <c r="C7" s="2" t="s">
        <v>33</v>
      </c>
      <c r="D7" s="2" t="s">
        <v>14</v>
      </c>
      <c r="E7" s="2" t="s">
        <v>25</v>
      </c>
      <c r="F7" s="2" t="s">
        <v>26</v>
      </c>
      <c r="G7" s="2">
        <v>4</v>
      </c>
      <c r="H7" s="2">
        <v>1891.42</v>
      </c>
      <c r="I7" s="2">
        <v>0.1</v>
      </c>
      <c r="J7" s="2">
        <v>6809.12</v>
      </c>
      <c r="K7" s="2">
        <v>1523.17</v>
      </c>
      <c r="L7" s="2" t="s">
        <v>34</v>
      </c>
      <c r="M7" s="2">
        <f t="shared" si="0"/>
        <v>7565.68</v>
      </c>
    </row>
    <row r="8" spans="1:13" x14ac:dyDescent="0.3">
      <c r="A8" s="2" t="s">
        <v>35</v>
      </c>
      <c r="B8" s="3">
        <v>44947</v>
      </c>
      <c r="C8" s="2" t="s">
        <v>36</v>
      </c>
      <c r="D8" s="2" t="s">
        <v>14</v>
      </c>
      <c r="E8" s="2" t="s">
        <v>21</v>
      </c>
      <c r="F8" s="2" t="s">
        <v>22</v>
      </c>
      <c r="G8" s="2">
        <v>5</v>
      </c>
      <c r="H8" s="2">
        <v>1755.78</v>
      </c>
      <c r="I8" s="2">
        <v>0.15</v>
      </c>
      <c r="J8" s="2">
        <v>7462.04</v>
      </c>
      <c r="K8" s="2">
        <v>780.61</v>
      </c>
      <c r="L8" s="2" t="s">
        <v>23</v>
      </c>
      <c r="M8" s="2">
        <f t="shared" si="0"/>
        <v>8778.9</v>
      </c>
    </row>
    <row r="9" spans="1:13" x14ac:dyDescent="0.3">
      <c r="A9" s="2" t="s">
        <v>37</v>
      </c>
      <c r="B9" s="3">
        <v>45029</v>
      </c>
      <c r="C9" s="2" t="s">
        <v>38</v>
      </c>
      <c r="D9" s="2" t="s">
        <v>39</v>
      </c>
      <c r="E9" s="2" t="s">
        <v>15</v>
      </c>
      <c r="F9" s="2" t="s">
        <v>40</v>
      </c>
      <c r="G9" s="2">
        <v>7</v>
      </c>
      <c r="H9" s="2">
        <v>1802.57</v>
      </c>
      <c r="I9" s="2">
        <v>0</v>
      </c>
      <c r="J9" s="2">
        <v>12618.01</v>
      </c>
      <c r="K9" s="2">
        <v>1489.34</v>
      </c>
      <c r="L9" s="2" t="s">
        <v>34</v>
      </c>
      <c r="M9" s="2">
        <f t="shared" si="0"/>
        <v>12617.99</v>
      </c>
    </row>
    <row r="10" spans="1:13" x14ac:dyDescent="0.3">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row>
    <row r="11" spans="1:13" x14ac:dyDescent="0.3">
      <c r="A11" s="2" t="s">
        <v>43</v>
      </c>
      <c r="B11" s="3">
        <v>45141</v>
      </c>
      <c r="C11" s="2" t="s">
        <v>44</v>
      </c>
      <c r="D11" s="2" t="s">
        <v>14</v>
      </c>
      <c r="E11" s="2" t="s">
        <v>21</v>
      </c>
      <c r="F11" s="2" t="s">
        <v>45</v>
      </c>
      <c r="G11" s="2">
        <v>6</v>
      </c>
      <c r="H11" s="2">
        <v>515.65</v>
      </c>
      <c r="I11" s="2">
        <v>0</v>
      </c>
      <c r="J11" s="2">
        <v>3093.91</v>
      </c>
      <c r="K11" s="2">
        <v>467.05</v>
      </c>
      <c r="L11" s="2" t="s">
        <v>30</v>
      </c>
      <c r="M11" s="2">
        <f t="shared" si="0"/>
        <v>3093.8999999999996</v>
      </c>
    </row>
    <row r="12" spans="1:13" x14ac:dyDescent="0.3">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row>
    <row r="13" spans="1:13" x14ac:dyDescent="0.3">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row>
    <row r="14" spans="1:13" x14ac:dyDescent="0.3">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row>
    <row r="15" spans="1:13" x14ac:dyDescent="0.3">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row>
    <row r="16" spans="1:13" x14ac:dyDescent="0.3">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row>
    <row r="17" spans="1:13" x14ac:dyDescent="0.3">
      <c r="A17" s="2" t="s">
        <v>54</v>
      </c>
      <c r="B17" s="3">
        <v>45057</v>
      </c>
      <c r="C17" s="2" t="s">
        <v>38</v>
      </c>
      <c r="D17" s="2" t="s">
        <v>42</v>
      </c>
      <c r="E17" s="2" t="s">
        <v>25</v>
      </c>
      <c r="F17" s="2" t="s">
        <v>55</v>
      </c>
      <c r="G17" s="2">
        <v>8</v>
      </c>
      <c r="H17" s="2">
        <v>834.8</v>
      </c>
      <c r="I17" s="2">
        <v>0.05</v>
      </c>
      <c r="J17" s="2">
        <v>6344.46</v>
      </c>
      <c r="K17" s="2">
        <v>1645.93</v>
      </c>
      <c r="L17" s="2" t="s">
        <v>23</v>
      </c>
      <c r="M17" s="2">
        <f t="shared" si="0"/>
        <v>6678.4</v>
      </c>
    </row>
    <row r="18" spans="1:13" x14ac:dyDescent="0.3">
      <c r="A18" s="2" t="s">
        <v>56</v>
      </c>
      <c r="B18" s="3">
        <v>45076</v>
      </c>
      <c r="C18" s="2" t="s">
        <v>36</v>
      </c>
      <c r="D18" s="2" t="s">
        <v>39</v>
      </c>
      <c r="E18" s="2" t="s">
        <v>15</v>
      </c>
      <c r="F18" s="2" t="s">
        <v>16</v>
      </c>
      <c r="G18" s="2">
        <v>3</v>
      </c>
      <c r="H18" s="2">
        <v>534.25</v>
      </c>
      <c r="I18" s="2">
        <v>0.05</v>
      </c>
      <c r="J18" s="2">
        <v>1522.6</v>
      </c>
      <c r="K18" s="2">
        <v>449.99</v>
      </c>
      <c r="L18" s="2" t="s">
        <v>34</v>
      </c>
      <c r="M18" s="2">
        <f t="shared" si="0"/>
        <v>1602.75</v>
      </c>
    </row>
    <row r="19" spans="1:13" x14ac:dyDescent="0.3">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row>
    <row r="20" spans="1:13" x14ac:dyDescent="0.3">
      <c r="A20" s="2" t="s">
        <v>58</v>
      </c>
      <c r="B20" s="3">
        <v>45184</v>
      </c>
      <c r="C20" s="2" t="s">
        <v>59</v>
      </c>
      <c r="D20" s="2" t="s">
        <v>39</v>
      </c>
      <c r="E20" s="2" t="s">
        <v>15</v>
      </c>
      <c r="F20" s="2" t="s">
        <v>40</v>
      </c>
      <c r="G20" s="2">
        <v>8</v>
      </c>
      <c r="H20" s="2">
        <v>1786.76</v>
      </c>
      <c r="I20" s="2">
        <v>0.15</v>
      </c>
      <c r="J20" s="2">
        <v>12149.99</v>
      </c>
      <c r="K20" s="2">
        <v>863.07</v>
      </c>
      <c r="L20" s="2" t="s">
        <v>23</v>
      </c>
      <c r="M20" s="2">
        <f t="shared" si="0"/>
        <v>14294.08</v>
      </c>
    </row>
    <row r="21" spans="1:13" x14ac:dyDescent="0.3">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row>
    <row r="22" spans="1:13" x14ac:dyDescent="0.3">
      <c r="A22" s="2" t="s">
        <v>61</v>
      </c>
      <c r="B22" s="3">
        <v>45220</v>
      </c>
      <c r="C22" s="2" t="s">
        <v>13</v>
      </c>
      <c r="D22" s="2" t="s">
        <v>39</v>
      </c>
      <c r="E22" s="2" t="s">
        <v>15</v>
      </c>
      <c r="F22" s="2" t="s">
        <v>29</v>
      </c>
      <c r="G22" s="2">
        <v>9</v>
      </c>
      <c r="H22" s="2">
        <v>434.26</v>
      </c>
      <c r="I22" s="2">
        <v>0.15</v>
      </c>
      <c r="J22" s="2">
        <v>3322.07</v>
      </c>
      <c r="K22" s="2">
        <v>363.14</v>
      </c>
      <c r="L22" s="2" t="s">
        <v>30</v>
      </c>
      <c r="M22" s="2">
        <f t="shared" si="0"/>
        <v>3908.34</v>
      </c>
    </row>
    <row r="23" spans="1:13" x14ac:dyDescent="0.3">
      <c r="A23" s="2" t="s">
        <v>62</v>
      </c>
      <c r="B23" s="3">
        <v>45118</v>
      </c>
      <c r="C23" s="2" t="s">
        <v>51</v>
      </c>
      <c r="D23" s="2" t="s">
        <v>20</v>
      </c>
      <c r="E23" s="2" t="s">
        <v>15</v>
      </c>
      <c r="F23" s="2" t="s">
        <v>16</v>
      </c>
      <c r="G23" s="2">
        <v>1</v>
      </c>
      <c r="H23" s="2">
        <v>685.32</v>
      </c>
      <c r="I23" s="2">
        <v>0.15</v>
      </c>
      <c r="J23" s="2">
        <v>582.52</v>
      </c>
      <c r="K23" s="2">
        <v>103.22</v>
      </c>
      <c r="L23" s="2" t="s">
        <v>23</v>
      </c>
      <c r="M23" s="2">
        <f t="shared" si="0"/>
        <v>685.32</v>
      </c>
    </row>
    <row r="24" spans="1:13" x14ac:dyDescent="0.3">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row>
    <row r="25" spans="1:13" x14ac:dyDescent="0.3">
      <c r="A25" s="2" t="s">
        <v>64</v>
      </c>
      <c r="B25" s="3">
        <v>45087</v>
      </c>
      <c r="C25" s="2" t="s">
        <v>36</v>
      </c>
      <c r="D25" s="2" t="s">
        <v>20</v>
      </c>
      <c r="E25" s="2" t="s">
        <v>25</v>
      </c>
      <c r="F25" s="2" t="s">
        <v>26</v>
      </c>
      <c r="G25" s="2">
        <v>1</v>
      </c>
      <c r="H25" s="2">
        <v>470.96</v>
      </c>
      <c r="I25" s="2">
        <v>0.2</v>
      </c>
      <c r="J25" s="2">
        <v>376.77</v>
      </c>
      <c r="K25" s="2">
        <v>65.86</v>
      </c>
      <c r="L25" s="2" t="s">
        <v>30</v>
      </c>
      <c r="M25" s="2">
        <f t="shared" si="0"/>
        <v>470.96</v>
      </c>
    </row>
    <row r="26" spans="1:13" x14ac:dyDescent="0.3">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row>
    <row r="27" spans="1:13" x14ac:dyDescent="0.3">
      <c r="A27" s="2" t="s">
        <v>66</v>
      </c>
      <c r="B27" s="3">
        <v>44948</v>
      </c>
      <c r="C27" s="2" t="s">
        <v>13</v>
      </c>
      <c r="D27" s="2" t="s">
        <v>39</v>
      </c>
      <c r="E27" s="2" t="s">
        <v>21</v>
      </c>
      <c r="F27" s="2" t="s">
        <v>22</v>
      </c>
      <c r="G27" s="2">
        <v>3</v>
      </c>
      <c r="H27" s="2">
        <v>1962.63</v>
      </c>
      <c r="I27" s="2">
        <v>0.15</v>
      </c>
      <c r="J27" s="2">
        <v>5004.71</v>
      </c>
      <c r="K27" s="2">
        <v>618.64</v>
      </c>
      <c r="L27" s="2" t="s">
        <v>17</v>
      </c>
      <c r="M27" s="2">
        <f t="shared" si="0"/>
        <v>5887.89</v>
      </c>
    </row>
    <row r="28" spans="1:13" x14ac:dyDescent="0.3">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row>
    <row r="29" spans="1:13" x14ac:dyDescent="0.3">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row>
    <row r="30" spans="1:13" x14ac:dyDescent="0.3">
      <c r="A30" s="2" t="s">
        <v>69</v>
      </c>
      <c r="B30" s="3">
        <v>45271</v>
      </c>
      <c r="C30" s="2" t="s">
        <v>28</v>
      </c>
      <c r="D30" s="2" t="s">
        <v>20</v>
      </c>
      <c r="E30" s="2" t="s">
        <v>25</v>
      </c>
      <c r="F30" s="2" t="s">
        <v>55</v>
      </c>
      <c r="G30" s="2">
        <v>6</v>
      </c>
      <c r="H30" s="2">
        <v>783.03</v>
      </c>
      <c r="I30" s="2">
        <v>0.2</v>
      </c>
      <c r="J30" s="2">
        <v>3758.56</v>
      </c>
      <c r="K30" s="2">
        <v>466.54</v>
      </c>
      <c r="L30" s="2" t="s">
        <v>23</v>
      </c>
      <c r="M30" s="2">
        <f t="shared" si="0"/>
        <v>4698.18</v>
      </c>
    </row>
    <row r="31" spans="1:13" x14ac:dyDescent="0.3">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row>
    <row r="32" spans="1:13" x14ac:dyDescent="0.3">
      <c r="A32" s="2" t="s">
        <v>71</v>
      </c>
      <c r="B32" s="3">
        <v>44985</v>
      </c>
      <c r="C32" s="2" t="s">
        <v>19</v>
      </c>
      <c r="D32" s="2" t="s">
        <v>20</v>
      </c>
      <c r="E32" s="2" t="s">
        <v>21</v>
      </c>
      <c r="F32" s="2" t="s">
        <v>45</v>
      </c>
      <c r="G32" s="2">
        <v>7</v>
      </c>
      <c r="H32" s="2">
        <v>152.47</v>
      </c>
      <c r="I32" s="2">
        <v>0.05</v>
      </c>
      <c r="J32" s="2">
        <v>1013.94</v>
      </c>
      <c r="K32" s="2">
        <v>74.52</v>
      </c>
      <c r="L32" s="2" t="s">
        <v>23</v>
      </c>
      <c r="M32" s="2">
        <f t="shared" si="0"/>
        <v>1067.29</v>
      </c>
    </row>
    <row r="33" spans="1:13" x14ac:dyDescent="0.3">
      <c r="A33" s="2" t="s">
        <v>72</v>
      </c>
      <c r="B33" s="3">
        <v>45096</v>
      </c>
      <c r="C33" s="2" t="s">
        <v>51</v>
      </c>
      <c r="D33" s="2" t="s">
        <v>20</v>
      </c>
      <c r="E33" s="2" t="s">
        <v>15</v>
      </c>
      <c r="F33" s="2" t="s">
        <v>29</v>
      </c>
      <c r="G33" s="2">
        <v>6</v>
      </c>
      <c r="H33" s="2">
        <v>1222.58</v>
      </c>
      <c r="I33" s="2">
        <v>0</v>
      </c>
      <c r="J33" s="2">
        <v>7335.5</v>
      </c>
      <c r="K33" s="2">
        <v>435.27</v>
      </c>
      <c r="L33" s="2" t="s">
        <v>23</v>
      </c>
      <c r="M33" s="2">
        <f t="shared" si="0"/>
        <v>7335.48</v>
      </c>
    </row>
    <row r="34" spans="1:13" x14ac:dyDescent="0.3">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row>
    <row r="35" spans="1:13" x14ac:dyDescent="0.3">
      <c r="A35" s="2" t="s">
        <v>74</v>
      </c>
      <c r="B35" s="3">
        <v>45197</v>
      </c>
      <c r="C35" s="2" t="s">
        <v>36</v>
      </c>
      <c r="D35" s="2" t="s">
        <v>39</v>
      </c>
      <c r="E35" s="2" t="s">
        <v>21</v>
      </c>
      <c r="F35" s="2" t="s">
        <v>22</v>
      </c>
      <c r="G35" s="2">
        <v>4</v>
      </c>
      <c r="H35" s="2">
        <v>881.57</v>
      </c>
      <c r="I35" s="2">
        <v>0.1</v>
      </c>
      <c r="J35" s="2">
        <v>3173.66</v>
      </c>
      <c r="K35" s="2">
        <v>664.43</v>
      </c>
      <c r="L35" s="2" t="s">
        <v>34</v>
      </c>
      <c r="M35" s="2">
        <f t="shared" si="0"/>
        <v>3526.28</v>
      </c>
    </row>
    <row r="36" spans="1:13" x14ac:dyDescent="0.3">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row>
    <row r="37" spans="1:13" x14ac:dyDescent="0.3">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row>
    <row r="38" spans="1:13" x14ac:dyDescent="0.3">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row>
    <row r="39" spans="1:13" x14ac:dyDescent="0.3">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row>
    <row r="40" spans="1:13" x14ac:dyDescent="0.3">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row>
    <row r="41" spans="1:13" x14ac:dyDescent="0.3">
      <c r="A41" s="2" t="s">
        <v>80</v>
      </c>
      <c r="B41" s="3">
        <v>45170</v>
      </c>
      <c r="C41" s="2" t="s">
        <v>28</v>
      </c>
      <c r="D41" s="2" t="s">
        <v>14</v>
      </c>
      <c r="E41" s="2" t="s">
        <v>25</v>
      </c>
      <c r="F41" s="2" t="s">
        <v>26</v>
      </c>
      <c r="G41" s="2">
        <v>4</v>
      </c>
      <c r="H41" s="2">
        <v>429.08</v>
      </c>
      <c r="I41" s="2">
        <v>0.2</v>
      </c>
      <c r="J41" s="2">
        <v>1373.07</v>
      </c>
      <c r="K41" s="2">
        <v>205.45</v>
      </c>
      <c r="L41" s="2" t="s">
        <v>34</v>
      </c>
      <c r="M41" s="2">
        <f t="shared" si="0"/>
        <v>1716.32</v>
      </c>
    </row>
    <row r="42" spans="1:13" x14ac:dyDescent="0.3">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row>
    <row r="43" spans="1:13" x14ac:dyDescent="0.3">
      <c r="A43" s="2" t="s">
        <v>82</v>
      </c>
      <c r="B43" s="3">
        <v>45057</v>
      </c>
      <c r="C43" s="2" t="s">
        <v>33</v>
      </c>
      <c r="D43" s="2" t="s">
        <v>20</v>
      </c>
      <c r="E43" s="2" t="s">
        <v>15</v>
      </c>
      <c r="F43" s="2" t="s">
        <v>40</v>
      </c>
      <c r="G43" s="2">
        <v>1</v>
      </c>
      <c r="H43" s="2">
        <v>1747.68</v>
      </c>
      <c r="I43" s="2">
        <v>0.1</v>
      </c>
      <c r="J43" s="2">
        <v>1572.91</v>
      </c>
      <c r="K43" s="2">
        <v>393.6</v>
      </c>
      <c r="L43" s="2" t="s">
        <v>30</v>
      </c>
      <c r="M43" s="2">
        <f t="shared" si="0"/>
        <v>1747.68</v>
      </c>
    </row>
    <row r="44" spans="1:13" x14ac:dyDescent="0.3">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row>
    <row r="45" spans="1:13" x14ac:dyDescent="0.3">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row>
    <row r="46" spans="1:13" x14ac:dyDescent="0.3">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row>
    <row r="47" spans="1:13" x14ac:dyDescent="0.3">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row>
    <row r="48" spans="1:13" x14ac:dyDescent="0.3">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row>
    <row r="49" spans="1:13" x14ac:dyDescent="0.3">
      <c r="A49" s="2" t="s">
        <v>88</v>
      </c>
      <c r="B49" s="3">
        <v>45200</v>
      </c>
      <c r="C49" s="2" t="s">
        <v>44</v>
      </c>
      <c r="D49" s="2" t="s">
        <v>42</v>
      </c>
      <c r="E49" s="2" t="s">
        <v>25</v>
      </c>
      <c r="F49" s="2" t="s">
        <v>55</v>
      </c>
      <c r="G49" s="2">
        <v>7</v>
      </c>
      <c r="H49" s="2">
        <v>1526.66</v>
      </c>
      <c r="I49" s="2">
        <v>0</v>
      </c>
      <c r="J49" s="2">
        <v>10686.59</v>
      </c>
      <c r="K49" s="2">
        <v>1170.81</v>
      </c>
      <c r="L49" s="2" t="s">
        <v>23</v>
      </c>
      <c r="M49" s="2">
        <f t="shared" si="0"/>
        <v>10686.62</v>
      </c>
    </row>
    <row r="50" spans="1:13" x14ac:dyDescent="0.3">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row>
    <row r="51" spans="1:13" x14ac:dyDescent="0.3">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row>
    <row r="52" spans="1:13" x14ac:dyDescent="0.3">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row>
    <row r="53" spans="1:13" x14ac:dyDescent="0.3">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row>
    <row r="54" spans="1:13" x14ac:dyDescent="0.3">
      <c r="A54" s="2" t="s">
        <v>94</v>
      </c>
      <c r="B54" s="3">
        <v>45191</v>
      </c>
      <c r="C54" s="2" t="s">
        <v>38</v>
      </c>
      <c r="D54" s="2" t="s">
        <v>14</v>
      </c>
      <c r="E54" s="2" t="s">
        <v>25</v>
      </c>
      <c r="F54" s="2" t="s">
        <v>52</v>
      </c>
      <c r="G54" s="2">
        <v>1</v>
      </c>
      <c r="H54" s="2">
        <v>292.13</v>
      </c>
      <c r="I54" s="2">
        <v>0.2</v>
      </c>
      <c r="J54" s="2">
        <v>233.71</v>
      </c>
      <c r="K54" s="2">
        <v>24.69</v>
      </c>
      <c r="L54" s="2" t="s">
        <v>17</v>
      </c>
      <c r="M54" s="2">
        <f t="shared" si="0"/>
        <v>292.13</v>
      </c>
    </row>
    <row r="55" spans="1:13" x14ac:dyDescent="0.3">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row>
    <row r="56" spans="1:13" x14ac:dyDescent="0.3">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row>
    <row r="57" spans="1:13" x14ac:dyDescent="0.3">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row>
    <row r="58" spans="1:13" x14ac:dyDescent="0.3">
      <c r="A58" s="2" t="s">
        <v>98</v>
      </c>
      <c r="B58" s="3">
        <v>45018</v>
      </c>
      <c r="C58" s="2" t="s">
        <v>38</v>
      </c>
      <c r="D58" s="2" t="s">
        <v>20</v>
      </c>
      <c r="E58" s="2" t="s">
        <v>21</v>
      </c>
      <c r="F58" s="2" t="s">
        <v>22</v>
      </c>
      <c r="G58" s="2">
        <v>9</v>
      </c>
      <c r="H58" s="2">
        <v>1514</v>
      </c>
      <c r="I58" s="2">
        <v>0.1</v>
      </c>
      <c r="J58" s="2">
        <v>12263.42</v>
      </c>
      <c r="K58" s="2">
        <v>2401.69</v>
      </c>
      <c r="L58" s="2" t="s">
        <v>30</v>
      </c>
      <c r="M58" s="2">
        <f t="shared" si="0"/>
        <v>13626</v>
      </c>
    </row>
    <row r="59" spans="1:13" x14ac:dyDescent="0.3">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row>
    <row r="60" spans="1:13" x14ac:dyDescent="0.3">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row>
    <row r="61" spans="1:13" x14ac:dyDescent="0.3">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row>
    <row r="62" spans="1:13" x14ac:dyDescent="0.3">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row>
    <row r="63" spans="1:13" x14ac:dyDescent="0.3">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row>
    <row r="64" spans="1:13" x14ac:dyDescent="0.3">
      <c r="A64" s="2" t="s">
        <v>104</v>
      </c>
      <c r="B64" s="3">
        <v>45286</v>
      </c>
      <c r="C64" s="2" t="s">
        <v>13</v>
      </c>
      <c r="D64" s="2" t="s">
        <v>20</v>
      </c>
      <c r="E64" s="2" t="s">
        <v>25</v>
      </c>
      <c r="F64" s="2" t="s">
        <v>55</v>
      </c>
      <c r="G64" s="2">
        <v>3</v>
      </c>
      <c r="H64" s="2">
        <v>1662.82</v>
      </c>
      <c r="I64" s="2">
        <v>0.05</v>
      </c>
      <c r="J64" s="2">
        <v>4739.04</v>
      </c>
      <c r="K64" s="2">
        <v>730.57</v>
      </c>
      <c r="L64" s="2" t="s">
        <v>34</v>
      </c>
      <c r="M64" s="2">
        <f t="shared" si="0"/>
        <v>4988.46</v>
      </c>
    </row>
    <row r="65" spans="1:13" x14ac:dyDescent="0.3">
      <c r="A65" s="2" t="s">
        <v>105</v>
      </c>
      <c r="B65" s="3">
        <v>44928</v>
      </c>
      <c r="C65" s="2" t="s">
        <v>19</v>
      </c>
      <c r="D65" s="2" t="s">
        <v>39</v>
      </c>
      <c r="E65" s="2" t="s">
        <v>21</v>
      </c>
      <c r="F65" s="2" t="s">
        <v>48</v>
      </c>
      <c r="G65" s="2">
        <v>8</v>
      </c>
      <c r="H65" s="2">
        <v>1765.66</v>
      </c>
      <c r="I65" s="2">
        <v>0.1</v>
      </c>
      <c r="J65" s="2">
        <v>12712.73</v>
      </c>
      <c r="K65" s="2">
        <v>779.35</v>
      </c>
      <c r="L65" s="2" t="s">
        <v>34</v>
      </c>
      <c r="M65" s="2">
        <f t="shared" si="0"/>
        <v>14125.28</v>
      </c>
    </row>
    <row r="66" spans="1:13" x14ac:dyDescent="0.3">
      <c r="A66" s="2" t="s">
        <v>106</v>
      </c>
      <c r="B66" s="3">
        <v>44980</v>
      </c>
      <c r="C66" s="2" t="s">
        <v>28</v>
      </c>
      <c r="D66" s="2" t="s">
        <v>20</v>
      </c>
      <c r="E66" s="2" t="s">
        <v>21</v>
      </c>
      <c r="F66" s="2" t="s">
        <v>22</v>
      </c>
      <c r="G66" s="2">
        <v>2</v>
      </c>
      <c r="H66" s="2">
        <v>1975.82</v>
      </c>
      <c r="I66" s="2">
        <v>0</v>
      </c>
      <c r="J66" s="2">
        <v>3951.65</v>
      </c>
      <c r="K66" s="2">
        <v>569.77</v>
      </c>
      <c r="L66" s="2" t="s">
        <v>34</v>
      </c>
      <c r="M66" s="2">
        <f t="shared" si="0"/>
        <v>3951.64</v>
      </c>
    </row>
    <row r="67" spans="1:13" x14ac:dyDescent="0.3">
      <c r="A67" s="2" t="s">
        <v>107</v>
      </c>
      <c r="B67" s="3">
        <v>45032</v>
      </c>
      <c r="C67" s="2" t="s">
        <v>44</v>
      </c>
      <c r="D67" s="2" t="s">
        <v>42</v>
      </c>
      <c r="E67" s="2" t="s">
        <v>21</v>
      </c>
      <c r="F67" s="2" t="s">
        <v>45</v>
      </c>
      <c r="G67" s="2">
        <v>1</v>
      </c>
      <c r="H67" s="2">
        <v>1692.82</v>
      </c>
      <c r="I67" s="2">
        <v>0.05</v>
      </c>
      <c r="J67" s="2">
        <v>1608.18</v>
      </c>
      <c r="K67" s="2">
        <v>95.21</v>
      </c>
      <c r="L67" s="2" t="s">
        <v>30</v>
      </c>
      <c r="M67" s="2">
        <f t="shared" ref="M67:M101" si="1">H67*G67</f>
        <v>1692.82</v>
      </c>
    </row>
    <row r="68" spans="1:13" x14ac:dyDescent="0.3">
      <c r="A68" s="2" t="s">
        <v>108</v>
      </c>
      <c r="B68" s="3">
        <v>45186</v>
      </c>
      <c r="C68" s="2" t="s">
        <v>13</v>
      </c>
      <c r="D68" s="2" t="s">
        <v>20</v>
      </c>
      <c r="E68" s="2" t="s">
        <v>15</v>
      </c>
      <c r="F68" s="2" t="s">
        <v>40</v>
      </c>
      <c r="G68" s="2">
        <v>1</v>
      </c>
      <c r="H68" s="2">
        <v>1115.26</v>
      </c>
      <c r="I68" s="2">
        <v>0.2</v>
      </c>
      <c r="J68" s="2">
        <v>892.21</v>
      </c>
      <c r="K68" s="2">
        <v>266.91000000000003</v>
      </c>
      <c r="L68" s="2" t="s">
        <v>34</v>
      </c>
      <c r="M68" s="2">
        <f t="shared" si="1"/>
        <v>1115.26</v>
      </c>
    </row>
    <row r="69" spans="1:13" x14ac:dyDescent="0.3">
      <c r="A69" s="2" t="s">
        <v>109</v>
      </c>
      <c r="B69" s="3">
        <v>45236</v>
      </c>
      <c r="C69" s="2" t="s">
        <v>90</v>
      </c>
      <c r="D69" s="2" t="s">
        <v>42</v>
      </c>
      <c r="E69" s="2" t="s">
        <v>25</v>
      </c>
      <c r="F69" s="2" t="s">
        <v>55</v>
      </c>
      <c r="G69" s="2">
        <v>3</v>
      </c>
      <c r="H69" s="2">
        <v>569.96</v>
      </c>
      <c r="I69" s="2">
        <v>0</v>
      </c>
      <c r="J69" s="2">
        <v>1709.88</v>
      </c>
      <c r="K69" s="2">
        <v>140.71</v>
      </c>
      <c r="L69" s="2" t="s">
        <v>34</v>
      </c>
      <c r="M69" s="2">
        <f t="shared" si="1"/>
        <v>1709.88</v>
      </c>
    </row>
    <row r="70" spans="1:13" x14ac:dyDescent="0.3">
      <c r="A70" s="2" t="s">
        <v>110</v>
      </c>
      <c r="B70" s="3">
        <v>45117</v>
      </c>
      <c r="C70" s="2" t="s">
        <v>59</v>
      </c>
      <c r="D70" s="2" t="s">
        <v>20</v>
      </c>
      <c r="E70" s="2" t="s">
        <v>21</v>
      </c>
      <c r="F70" s="2" t="s">
        <v>22</v>
      </c>
      <c r="G70" s="2">
        <v>1</v>
      </c>
      <c r="H70" s="2">
        <v>1538.3</v>
      </c>
      <c r="I70" s="2">
        <v>0.05</v>
      </c>
      <c r="J70" s="2">
        <v>1461.38</v>
      </c>
      <c r="K70" s="2">
        <v>203.92</v>
      </c>
      <c r="L70" s="2" t="s">
        <v>23</v>
      </c>
      <c r="M70" s="2">
        <f t="shared" si="1"/>
        <v>1538.3</v>
      </c>
    </row>
    <row r="71" spans="1:13" x14ac:dyDescent="0.3">
      <c r="A71" s="2" t="s">
        <v>111</v>
      </c>
      <c r="B71" s="3">
        <v>45144</v>
      </c>
      <c r="C71" s="2" t="s">
        <v>44</v>
      </c>
      <c r="D71" s="2" t="s">
        <v>14</v>
      </c>
      <c r="E71" s="2" t="s">
        <v>21</v>
      </c>
      <c r="F71" s="2" t="s">
        <v>48</v>
      </c>
      <c r="G71" s="2">
        <v>6</v>
      </c>
      <c r="H71" s="2">
        <v>1567.4</v>
      </c>
      <c r="I71" s="2">
        <v>0.1</v>
      </c>
      <c r="J71" s="2">
        <v>8463.99</v>
      </c>
      <c r="K71" s="2">
        <v>1074.45</v>
      </c>
      <c r="L71" s="2" t="s">
        <v>30</v>
      </c>
      <c r="M71" s="2">
        <f t="shared" si="1"/>
        <v>9404.4000000000015</v>
      </c>
    </row>
    <row r="72" spans="1:13" x14ac:dyDescent="0.3">
      <c r="A72" s="2" t="s">
        <v>112</v>
      </c>
      <c r="B72" s="3">
        <v>44970</v>
      </c>
      <c r="C72" s="2" t="s">
        <v>33</v>
      </c>
      <c r="D72" s="2" t="s">
        <v>20</v>
      </c>
      <c r="E72" s="2" t="s">
        <v>25</v>
      </c>
      <c r="F72" s="2" t="s">
        <v>52</v>
      </c>
      <c r="G72" s="2">
        <v>9</v>
      </c>
      <c r="H72" s="2">
        <v>1220.92</v>
      </c>
      <c r="I72" s="2">
        <v>0.2</v>
      </c>
      <c r="J72" s="2">
        <v>8790.6</v>
      </c>
      <c r="K72" s="2">
        <v>1802.75</v>
      </c>
      <c r="L72" s="2" t="s">
        <v>17</v>
      </c>
      <c r="M72" s="2">
        <f t="shared" si="1"/>
        <v>10988.28</v>
      </c>
    </row>
    <row r="73" spans="1:13" x14ac:dyDescent="0.3">
      <c r="A73" s="2" t="s">
        <v>113</v>
      </c>
      <c r="B73" s="3">
        <v>45088</v>
      </c>
      <c r="C73" s="2" t="s">
        <v>90</v>
      </c>
      <c r="D73" s="2" t="s">
        <v>20</v>
      </c>
      <c r="E73" s="2" t="s">
        <v>15</v>
      </c>
      <c r="F73" s="2" t="s">
        <v>40</v>
      </c>
      <c r="G73" s="2">
        <v>2</v>
      </c>
      <c r="H73" s="2">
        <v>766.12</v>
      </c>
      <c r="I73" s="2">
        <v>0.05</v>
      </c>
      <c r="J73" s="2">
        <v>1455.62</v>
      </c>
      <c r="K73" s="2">
        <v>304.45999999999998</v>
      </c>
      <c r="L73" s="2" t="s">
        <v>23</v>
      </c>
      <c r="M73" s="2">
        <f t="shared" si="1"/>
        <v>1532.24</v>
      </c>
    </row>
    <row r="74" spans="1:13" x14ac:dyDescent="0.3">
      <c r="A74" s="2" t="s">
        <v>114</v>
      </c>
      <c r="B74" s="3">
        <v>45128</v>
      </c>
      <c r="C74" s="2" t="s">
        <v>28</v>
      </c>
      <c r="D74" s="2" t="s">
        <v>20</v>
      </c>
      <c r="E74" s="2" t="s">
        <v>25</v>
      </c>
      <c r="F74" s="2" t="s">
        <v>52</v>
      </c>
      <c r="G74" s="2">
        <v>1</v>
      </c>
      <c r="H74" s="2">
        <v>1588.94</v>
      </c>
      <c r="I74" s="2">
        <v>0.15</v>
      </c>
      <c r="J74" s="2">
        <v>1350.6</v>
      </c>
      <c r="K74" s="2">
        <v>168.14</v>
      </c>
      <c r="L74" s="2" t="s">
        <v>34</v>
      </c>
      <c r="M74" s="2">
        <f t="shared" si="1"/>
        <v>1588.94</v>
      </c>
    </row>
    <row r="75" spans="1:13" x14ac:dyDescent="0.3">
      <c r="A75" s="2" t="s">
        <v>115</v>
      </c>
      <c r="B75" s="3">
        <v>45196</v>
      </c>
      <c r="C75" s="2" t="s">
        <v>36</v>
      </c>
      <c r="D75" s="2" t="s">
        <v>39</v>
      </c>
      <c r="E75" s="2" t="s">
        <v>25</v>
      </c>
      <c r="F75" s="2" t="s">
        <v>55</v>
      </c>
      <c r="G75" s="2">
        <v>4</v>
      </c>
      <c r="H75" s="2">
        <v>972.76</v>
      </c>
      <c r="I75" s="2">
        <v>0</v>
      </c>
      <c r="J75" s="2">
        <v>3891.04</v>
      </c>
      <c r="K75" s="2">
        <v>673.26</v>
      </c>
      <c r="L75" s="2" t="s">
        <v>34</v>
      </c>
      <c r="M75" s="2">
        <f t="shared" si="1"/>
        <v>3891.04</v>
      </c>
    </row>
    <row r="76" spans="1:13" x14ac:dyDescent="0.3">
      <c r="A76" s="2" t="s">
        <v>116</v>
      </c>
      <c r="B76" s="3">
        <v>45277</v>
      </c>
      <c r="C76" s="2" t="s">
        <v>90</v>
      </c>
      <c r="D76" s="2" t="s">
        <v>20</v>
      </c>
      <c r="E76" s="2" t="s">
        <v>21</v>
      </c>
      <c r="F76" s="2" t="s">
        <v>48</v>
      </c>
      <c r="G76" s="2">
        <v>5</v>
      </c>
      <c r="H76" s="2">
        <v>760.09</v>
      </c>
      <c r="I76" s="2">
        <v>0.1</v>
      </c>
      <c r="J76" s="2">
        <v>3420.38</v>
      </c>
      <c r="K76" s="2">
        <v>666.68</v>
      </c>
      <c r="L76" s="2" t="s">
        <v>34</v>
      </c>
      <c r="M76" s="2">
        <f t="shared" si="1"/>
        <v>3800.4500000000003</v>
      </c>
    </row>
    <row r="77" spans="1:13" x14ac:dyDescent="0.3">
      <c r="A77" s="2" t="s">
        <v>117</v>
      </c>
      <c r="B77" s="3">
        <v>45230</v>
      </c>
      <c r="C77" s="2" t="s">
        <v>59</v>
      </c>
      <c r="D77" s="2" t="s">
        <v>42</v>
      </c>
      <c r="E77" s="2" t="s">
        <v>15</v>
      </c>
      <c r="F77" s="2" t="s">
        <v>16</v>
      </c>
      <c r="G77" s="2">
        <v>6</v>
      </c>
      <c r="H77" s="2">
        <v>1425.57</v>
      </c>
      <c r="I77" s="2">
        <v>0.15</v>
      </c>
      <c r="J77" s="2">
        <v>7270.4</v>
      </c>
      <c r="K77" s="2">
        <v>694.11</v>
      </c>
      <c r="L77" s="2" t="s">
        <v>17</v>
      </c>
      <c r="M77" s="2">
        <f t="shared" si="1"/>
        <v>8553.42</v>
      </c>
    </row>
    <row r="78" spans="1:13" x14ac:dyDescent="0.3">
      <c r="A78" s="2" t="s">
        <v>118</v>
      </c>
      <c r="B78" s="3">
        <v>45197</v>
      </c>
      <c r="C78" s="2" t="s">
        <v>13</v>
      </c>
      <c r="D78" s="2" t="s">
        <v>14</v>
      </c>
      <c r="E78" s="2" t="s">
        <v>15</v>
      </c>
      <c r="F78" s="2" t="s">
        <v>16</v>
      </c>
      <c r="G78" s="2">
        <v>2</v>
      </c>
      <c r="H78" s="2">
        <v>1243.68</v>
      </c>
      <c r="I78" s="2">
        <v>0.1</v>
      </c>
      <c r="J78" s="2">
        <v>2238.62</v>
      </c>
      <c r="K78" s="2">
        <v>134.80000000000001</v>
      </c>
      <c r="L78" s="2" t="s">
        <v>30</v>
      </c>
      <c r="M78" s="2">
        <f t="shared" si="1"/>
        <v>2487.36</v>
      </c>
    </row>
    <row r="79" spans="1:13" x14ac:dyDescent="0.3">
      <c r="A79" s="2" t="s">
        <v>119</v>
      </c>
      <c r="B79" s="3">
        <v>45141</v>
      </c>
      <c r="C79" s="2" t="s">
        <v>28</v>
      </c>
      <c r="D79" s="2" t="s">
        <v>14</v>
      </c>
      <c r="E79" s="2" t="s">
        <v>21</v>
      </c>
      <c r="F79" s="2" t="s">
        <v>22</v>
      </c>
      <c r="G79" s="2">
        <v>6</v>
      </c>
      <c r="H79" s="2">
        <v>268.52999999999997</v>
      </c>
      <c r="I79" s="2">
        <v>0</v>
      </c>
      <c r="J79" s="2">
        <v>1611.21</v>
      </c>
      <c r="K79" s="2">
        <v>295.83</v>
      </c>
      <c r="L79" s="2" t="s">
        <v>23</v>
      </c>
      <c r="M79" s="2">
        <f t="shared" si="1"/>
        <v>1611.1799999999998</v>
      </c>
    </row>
    <row r="80" spans="1:13" x14ac:dyDescent="0.3">
      <c r="A80" s="2" t="s">
        <v>120</v>
      </c>
      <c r="B80" s="3">
        <v>45178</v>
      </c>
      <c r="C80" s="2" t="s">
        <v>59</v>
      </c>
      <c r="D80" s="2" t="s">
        <v>14</v>
      </c>
      <c r="E80" s="2" t="s">
        <v>25</v>
      </c>
      <c r="F80" s="2" t="s">
        <v>52</v>
      </c>
      <c r="G80" s="2">
        <v>9</v>
      </c>
      <c r="H80" s="2">
        <v>275.35000000000002</v>
      </c>
      <c r="I80" s="2">
        <v>0</v>
      </c>
      <c r="J80" s="2">
        <v>2478.17</v>
      </c>
      <c r="K80" s="2">
        <v>550.02</v>
      </c>
      <c r="L80" s="2" t="s">
        <v>17</v>
      </c>
      <c r="M80" s="2">
        <f t="shared" si="1"/>
        <v>2478.15</v>
      </c>
    </row>
    <row r="81" spans="1:13" x14ac:dyDescent="0.3">
      <c r="A81" s="2" t="s">
        <v>121</v>
      </c>
      <c r="B81" s="3">
        <v>45116</v>
      </c>
      <c r="C81" s="2" t="s">
        <v>90</v>
      </c>
      <c r="D81" s="2" t="s">
        <v>42</v>
      </c>
      <c r="E81" s="2" t="s">
        <v>15</v>
      </c>
      <c r="F81" s="2" t="s">
        <v>29</v>
      </c>
      <c r="G81" s="2">
        <v>1</v>
      </c>
      <c r="H81" s="2">
        <v>626.07000000000005</v>
      </c>
      <c r="I81" s="2">
        <v>0</v>
      </c>
      <c r="J81" s="2">
        <v>626.07000000000005</v>
      </c>
      <c r="K81" s="2">
        <v>44.53</v>
      </c>
      <c r="L81" s="2" t="s">
        <v>30</v>
      </c>
      <c r="M81" s="2">
        <f t="shared" si="1"/>
        <v>626.07000000000005</v>
      </c>
    </row>
    <row r="82" spans="1:13" x14ac:dyDescent="0.3">
      <c r="A82" s="2" t="s">
        <v>122</v>
      </c>
      <c r="B82" s="3">
        <v>45222</v>
      </c>
      <c r="C82" s="2" t="s">
        <v>59</v>
      </c>
      <c r="D82" s="2" t="s">
        <v>14</v>
      </c>
      <c r="E82" s="2" t="s">
        <v>15</v>
      </c>
      <c r="F82" s="2" t="s">
        <v>16</v>
      </c>
      <c r="G82" s="2">
        <v>8</v>
      </c>
      <c r="H82" s="2">
        <v>1020.59</v>
      </c>
      <c r="I82" s="2">
        <v>0.05</v>
      </c>
      <c r="J82" s="2">
        <v>7756.51</v>
      </c>
      <c r="K82" s="2">
        <v>1861.48</v>
      </c>
      <c r="L82" s="2" t="s">
        <v>34</v>
      </c>
      <c r="M82" s="2">
        <f t="shared" si="1"/>
        <v>8164.72</v>
      </c>
    </row>
    <row r="83" spans="1:13" x14ac:dyDescent="0.3">
      <c r="A83" s="2" t="s">
        <v>123</v>
      </c>
      <c r="B83" s="3">
        <v>45139</v>
      </c>
      <c r="C83" s="2" t="s">
        <v>33</v>
      </c>
      <c r="D83" s="2" t="s">
        <v>14</v>
      </c>
      <c r="E83" s="2" t="s">
        <v>21</v>
      </c>
      <c r="F83" s="2" t="s">
        <v>48</v>
      </c>
      <c r="G83" s="2">
        <v>8</v>
      </c>
      <c r="H83" s="2">
        <v>352.92</v>
      </c>
      <c r="I83" s="2">
        <v>0.1</v>
      </c>
      <c r="J83" s="2">
        <v>2541.04</v>
      </c>
      <c r="K83" s="2">
        <v>695.74</v>
      </c>
      <c r="L83" s="2" t="s">
        <v>23</v>
      </c>
      <c r="M83" s="2">
        <f t="shared" si="1"/>
        <v>2823.36</v>
      </c>
    </row>
    <row r="84" spans="1:13" x14ac:dyDescent="0.3">
      <c r="A84" s="2" t="s">
        <v>124</v>
      </c>
      <c r="B84" s="3">
        <v>45134</v>
      </c>
      <c r="C84" s="2" t="s">
        <v>38</v>
      </c>
      <c r="D84" s="2" t="s">
        <v>42</v>
      </c>
      <c r="E84" s="2" t="s">
        <v>15</v>
      </c>
      <c r="F84" s="2" t="s">
        <v>16</v>
      </c>
      <c r="G84" s="2">
        <v>9</v>
      </c>
      <c r="H84" s="2">
        <v>1501.07</v>
      </c>
      <c r="I84" s="2">
        <v>0.15</v>
      </c>
      <c r="J84" s="2">
        <v>11483.18</v>
      </c>
      <c r="K84" s="2">
        <v>631.78</v>
      </c>
      <c r="L84" s="2" t="s">
        <v>17</v>
      </c>
      <c r="M84" s="2">
        <f t="shared" si="1"/>
        <v>13509.63</v>
      </c>
    </row>
    <row r="85" spans="1:13" x14ac:dyDescent="0.3">
      <c r="A85" s="2" t="s">
        <v>125</v>
      </c>
      <c r="B85" s="3">
        <v>45163</v>
      </c>
      <c r="C85" s="2" t="s">
        <v>28</v>
      </c>
      <c r="D85" s="2" t="s">
        <v>20</v>
      </c>
      <c r="E85" s="2" t="s">
        <v>21</v>
      </c>
      <c r="F85" s="2" t="s">
        <v>48</v>
      </c>
      <c r="G85" s="2">
        <v>9</v>
      </c>
      <c r="H85" s="2">
        <v>1792</v>
      </c>
      <c r="I85" s="2">
        <v>0.15</v>
      </c>
      <c r="J85" s="2">
        <v>13708.81</v>
      </c>
      <c r="K85" s="2">
        <v>2309.83</v>
      </c>
      <c r="L85" s="2" t="s">
        <v>34</v>
      </c>
      <c r="M85" s="2">
        <f t="shared" si="1"/>
        <v>16128</v>
      </c>
    </row>
    <row r="86" spans="1:13" x14ac:dyDescent="0.3">
      <c r="A86" s="2" t="s">
        <v>126</v>
      </c>
      <c r="B86" s="3">
        <v>45264</v>
      </c>
      <c r="C86" s="2" t="s">
        <v>59</v>
      </c>
      <c r="D86" s="2" t="s">
        <v>42</v>
      </c>
      <c r="E86" s="2" t="s">
        <v>25</v>
      </c>
      <c r="F86" s="2" t="s">
        <v>52</v>
      </c>
      <c r="G86" s="2">
        <v>4</v>
      </c>
      <c r="H86" s="2">
        <v>1120.5</v>
      </c>
      <c r="I86" s="2">
        <v>0.05</v>
      </c>
      <c r="J86" s="2">
        <v>4257.91</v>
      </c>
      <c r="K86" s="2">
        <v>806.6</v>
      </c>
      <c r="L86" s="2" t="s">
        <v>30</v>
      </c>
      <c r="M86" s="2">
        <f t="shared" si="1"/>
        <v>4482</v>
      </c>
    </row>
    <row r="87" spans="1:13" x14ac:dyDescent="0.3">
      <c r="A87" s="2" t="s">
        <v>127</v>
      </c>
      <c r="B87" s="3">
        <v>44979</v>
      </c>
      <c r="C87" s="2" t="s">
        <v>33</v>
      </c>
      <c r="D87" s="2" t="s">
        <v>20</v>
      </c>
      <c r="E87" s="2" t="s">
        <v>15</v>
      </c>
      <c r="F87" s="2" t="s">
        <v>40</v>
      </c>
      <c r="G87" s="2">
        <v>9</v>
      </c>
      <c r="H87" s="2">
        <v>741.15</v>
      </c>
      <c r="I87" s="2">
        <v>0.15</v>
      </c>
      <c r="J87" s="2">
        <v>5669.79</v>
      </c>
      <c r="K87" s="2">
        <v>1199.04</v>
      </c>
      <c r="L87" s="2" t="s">
        <v>30</v>
      </c>
      <c r="M87" s="2">
        <f t="shared" si="1"/>
        <v>6670.3499999999995</v>
      </c>
    </row>
    <row r="88" spans="1:13" x14ac:dyDescent="0.3">
      <c r="A88" s="2" t="s">
        <v>128</v>
      </c>
      <c r="B88" s="3">
        <v>45206</v>
      </c>
      <c r="C88" s="2" t="s">
        <v>13</v>
      </c>
      <c r="D88" s="2" t="s">
        <v>14</v>
      </c>
      <c r="E88" s="2" t="s">
        <v>15</v>
      </c>
      <c r="F88" s="2" t="s">
        <v>29</v>
      </c>
      <c r="G88" s="2">
        <v>6</v>
      </c>
      <c r="H88" s="2">
        <v>1250.97</v>
      </c>
      <c r="I88" s="2">
        <v>0</v>
      </c>
      <c r="J88" s="2">
        <v>7505.83</v>
      </c>
      <c r="K88" s="2">
        <v>389.43</v>
      </c>
      <c r="L88" s="2" t="s">
        <v>23</v>
      </c>
      <c r="M88" s="2">
        <f t="shared" si="1"/>
        <v>7505.82</v>
      </c>
    </row>
    <row r="89" spans="1:13" x14ac:dyDescent="0.3">
      <c r="A89" s="2" t="s">
        <v>129</v>
      </c>
      <c r="B89" s="3">
        <v>45143</v>
      </c>
      <c r="C89" s="2" t="s">
        <v>59</v>
      </c>
      <c r="D89" s="2" t="s">
        <v>42</v>
      </c>
      <c r="E89" s="2" t="s">
        <v>15</v>
      </c>
      <c r="F89" s="2" t="s">
        <v>40</v>
      </c>
      <c r="G89" s="2">
        <v>8</v>
      </c>
      <c r="H89" s="2">
        <v>1803.85</v>
      </c>
      <c r="I89" s="2">
        <v>0.1</v>
      </c>
      <c r="J89" s="2">
        <v>12987.75</v>
      </c>
      <c r="K89" s="2">
        <v>2352.44</v>
      </c>
      <c r="L89" s="2" t="s">
        <v>30</v>
      </c>
      <c r="M89" s="2">
        <f t="shared" si="1"/>
        <v>14430.8</v>
      </c>
    </row>
    <row r="90" spans="1:13" x14ac:dyDescent="0.3">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1"/>
        <v>2388.8000000000002</v>
      </c>
    </row>
    <row r="91" spans="1:13" x14ac:dyDescent="0.3">
      <c r="A91" s="2" t="s">
        <v>131</v>
      </c>
      <c r="B91" s="3">
        <v>45114</v>
      </c>
      <c r="C91" s="2" t="s">
        <v>59</v>
      </c>
      <c r="D91" s="2" t="s">
        <v>14</v>
      </c>
      <c r="E91" s="2" t="s">
        <v>21</v>
      </c>
      <c r="F91" s="2" t="s">
        <v>48</v>
      </c>
      <c r="G91" s="2">
        <v>3</v>
      </c>
      <c r="H91" s="2">
        <v>1659.64</v>
      </c>
      <c r="I91" s="2">
        <v>0.05</v>
      </c>
      <c r="J91" s="2">
        <v>4729.96</v>
      </c>
      <c r="K91" s="2">
        <v>894.87</v>
      </c>
      <c r="L91" s="2" t="s">
        <v>17</v>
      </c>
      <c r="M91" s="2">
        <f t="shared" si="1"/>
        <v>4978.92</v>
      </c>
    </row>
    <row r="92" spans="1:13" x14ac:dyDescent="0.3">
      <c r="A92" s="2" t="s">
        <v>132</v>
      </c>
      <c r="B92" s="3">
        <v>44967</v>
      </c>
      <c r="C92" s="2" t="s">
        <v>44</v>
      </c>
      <c r="D92" s="2" t="s">
        <v>39</v>
      </c>
      <c r="E92" s="2" t="s">
        <v>25</v>
      </c>
      <c r="F92" s="2" t="s">
        <v>55</v>
      </c>
      <c r="G92" s="2">
        <v>6</v>
      </c>
      <c r="H92" s="2">
        <v>1939.19</v>
      </c>
      <c r="I92" s="2">
        <v>0.15</v>
      </c>
      <c r="J92" s="2">
        <v>9889.86</v>
      </c>
      <c r="K92" s="2">
        <v>1546.37</v>
      </c>
      <c r="L92" s="2" t="s">
        <v>34</v>
      </c>
      <c r="M92" s="2">
        <f t="shared" si="1"/>
        <v>11635.14</v>
      </c>
    </row>
    <row r="93" spans="1:13" x14ac:dyDescent="0.3">
      <c r="A93" s="2" t="s">
        <v>133</v>
      </c>
      <c r="B93" s="3">
        <v>45083</v>
      </c>
      <c r="C93" s="2" t="s">
        <v>90</v>
      </c>
      <c r="D93" s="2" t="s">
        <v>42</v>
      </c>
      <c r="E93" s="2" t="s">
        <v>15</v>
      </c>
      <c r="F93" s="2" t="s">
        <v>29</v>
      </c>
      <c r="G93" s="2">
        <v>6</v>
      </c>
      <c r="H93" s="2">
        <v>1204.3499999999999</v>
      </c>
      <c r="I93" s="2">
        <v>0.1</v>
      </c>
      <c r="J93" s="2">
        <v>6503.5</v>
      </c>
      <c r="K93" s="2">
        <v>1840.51</v>
      </c>
      <c r="L93" s="2" t="s">
        <v>23</v>
      </c>
      <c r="M93" s="2">
        <f t="shared" si="1"/>
        <v>7226.0999999999995</v>
      </c>
    </row>
    <row r="94" spans="1:13" x14ac:dyDescent="0.3">
      <c r="A94" s="2" t="s">
        <v>134</v>
      </c>
      <c r="B94" s="3">
        <v>44941</v>
      </c>
      <c r="C94" s="2" t="s">
        <v>59</v>
      </c>
      <c r="D94" s="2" t="s">
        <v>14</v>
      </c>
      <c r="E94" s="2" t="s">
        <v>21</v>
      </c>
      <c r="F94" s="2" t="s">
        <v>48</v>
      </c>
      <c r="G94" s="2">
        <v>5</v>
      </c>
      <c r="H94" s="2">
        <v>220.41</v>
      </c>
      <c r="I94" s="2">
        <v>0.15</v>
      </c>
      <c r="J94" s="2">
        <v>934.75</v>
      </c>
      <c r="K94" s="2">
        <v>94.08</v>
      </c>
      <c r="L94" s="2" t="s">
        <v>30</v>
      </c>
      <c r="M94" s="2">
        <f t="shared" si="1"/>
        <v>1102.05</v>
      </c>
    </row>
    <row r="95" spans="1:13" x14ac:dyDescent="0.3">
      <c r="A95" s="2" t="s">
        <v>135</v>
      </c>
      <c r="B95" s="3">
        <v>45227</v>
      </c>
      <c r="C95" s="2" t="s">
        <v>59</v>
      </c>
      <c r="D95" s="2" t="s">
        <v>14</v>
      </c>
      <c r="E95" s="2" t="s">
        <v>25</v>
      </c>
      <c r="F95" s="2" t="s">
        <v>26</v>
      </c>
      <c r="G95" s="2">
        <v>5</v>
      </c>
      <c r="H95" s="2">
        <v>105.15</v>
      </c>
      <c r="I95" s="2">
        <v>0</v>
      </c>
      <c r="J95" s="2">
        <v>525.75</v>
      </c>
      <c r="K95" s="2">
        <v>104.58</v>
      </c>
      <c r="L95" s="2" t="s">
        <v>17</v>
      </c>
      <c r="M95" s="2">
        <f t="shared" si="1"/>
        <v>525.75</v>
      </c>
    </row>
    <row r="96" spans="1:13" x14ac:dyDescent="0.3">
      <c r="A96" s="2" t="s">
        <v>136</v>
      </c>
      <c r="B96" s="3">
        <v>44991</v>
      </c>
      <c r="C96" s="2" t="s">
        <v>13</v>
      </c>
      <c r="D96" s="2" t="s">
        <v>39</v>
      </c>
      <c r="E96" s="2" t="s">
        <v>15</v>
      </c>
      <c r="F96" s="2" t="s">
        <v>40</v>
      </c>
      <c r="G96" s="2">
        <v>1</v>
      </c>
      <c r="H96" s="2">
        <v>1716.38</v>
      </c>
      <c r="I96" s="2">
        <v>0.15</v>
      </c>
      <c r="J96" s="2">
        <v>1458.92</v>
      </c>
      <c r="K96" s="2">
        <v>424.92</v>
      </c>
      <c r="L96" s="2" t="s">
        <v>17</v>
      </c>
      <c r="M96" s="2">
        <f t="shared" si="1"/>
        <v>1716.38</v>
      </c>
    </row>
    <row r="97" spans="1:13" x14ac:dyDescent="0.3">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1"/>
        <v>679.02</v>
      </c>
    </row>
    <row r="98" spans="1:13" x14ac:dyDescent="0.3">
      <c r="A98" s="2" t="s">
        <v>138</v>
      </c>
      <c r="B98" s="3">
        <v>45253</v>
      </c>
      <c r="C98" s="2" t="s">
        <v>28</v>
      </c>
      <c r="D98" s="2" t="s">
        <v>14</v>
      </c>
      <c r="E98" s="2" t="s">
        <v>25</v>
      </c>
      <c r="F98" s="2" t="s">
        <v>52</v>
      </c>
      <c r="G98" s="2">
        <v>3</v>
      </c>
      <c r="H98" s="2">
        <v>412.11</v>
      </c>
      <c r="I98" s="2">
        <v>0.2</v>
      </c>
      <c r="J98" s="2">
        <v>989.05</v>
      </c>
      <c r="K98" s="2">
        <v>107.73</v>
      </c>
      <c r="L98" s="2" t="s">
        <v>30</v>
      </c>
      <c r="M98" s="2">
        <f t="shared" si="1"/>
        <v>1236.33</v>
      </c>
    </row>
    <row r="99" spans="1:13" x14ac:dyDescent="0.3">
      <c r="A99" s="2" t="s">
        <v>139</v>
      </c>
      <c r="B99" s="3">
        <v>44935</v>
      </c>
      <c r="C99" s="2" t="s">
        <v>44</v>
      </c>
      <c r="D99" s="2" t="s">
        <v>20</v>
      </c>
      <c r="E99" s="2" t="s">
        <v>25</v>
      </c>
      <c r="F99" s="2" t="s">
        <v>55</v>
      </c>
      <c r="G99" s="2">
        <v>9</v>
      </c>
      <c r="H99" s="2">
        <v>1397.67</v>
      </c>
      <c r="I99" s="2">
        <v>0.1</v>
      </c>
      <c r="J99" s="2">
        <v>11321.09</v>
      </c>
      <c r="K99" s="2">
        <v>2332.4299999999998</v>
      </c>
      <c r="L99" s="2" t="s">
        <v>17</v>
      </c>
      <c r="M99" s="2">
        <f t="shared" si="1"/>
        <v>12579.03</v>
      </c>
    </row>
    <row r="100" spans="1:13" x14ac:dyDescent="0.3">
      <c r="A100" s="2" t="s">
        <v>140</v>
      </c>
      <c r="B100" s="3">
        <v>45270</v>
      </c>
      <c r="C100" s="2" t="s">
        <v>59</v>
      </c>
      <c r="D100" s="2" t="s">
        <v>39</v>
      </c>
      <c r="E100" s="2" t="s">
        <v>15</v>
      </c>
      <c r="F100" s="2" t="s">
        <v>29</v>
      </c>
      <c r="G100" s="2">
        <v>9</v>
      </c>
      <c r="H100" s="2">
        <v>775.19</v>
      </c>
      <c r="I100" s="2">
        <v>0.05</v>
      </c>
      <c r="J100" s="2">
        <v>6627.86</v>
      </c>
      <c r="K100" s="2">
        <v>1232.04</v>
      </c>
      <c r="L100" s="2" t="s">
        <v>17</v>
      </c>
      <c r="M100" s="2">
        <f t="shared" si="1"/>
        <v>6976.7100000000009</v>
      </c>
    </row>
    <row r="101" spans="1:13" x14ac:dyDescent="0.3">
      <c r="A101" s="2" t="s">
        <v>141</v>
      </c>
      <c r="B101" s="3">
        <v>45055</v>
      </c>
      <c r="C101" s="2" t="s">
        <v>36</v>
      </c>
      <c r="D101" s="2" t="s">
        <v>20</v>
      </c>
      <c r="E101" s="2" t="s">
        <v>15</v>
      </c>
      <c r="F101" s="2" t="s">
        <v>16</v>
      </c>
      <c r="G101" s="2">
        <v>6</v>
      </c>
      <c r="H101" s="2">
        <v>1885.68</v>
      </c>
      <c r="I101" s="2">
        <v>0.1</v>
      </c>
      <c r="J101" s="2">
        <v>10182.68</v>
      </c>
      <c r="K101" s="2">
        <v>1361.69</v>
      </c>
      <c r="L101" s="2" t="s">
        <v>17</v>
      </c>
      <c r="M101" s="2">
        <f t="shared" si="1"/>
        <v>11314.08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F6BA-EE51-4A11-8C93-A89284344CBF}">
  <dimension ref="A1:M101"/>
  <sheetViews>
    <sheetView topLeftCell="D1" workbookViewId="0">
      <selection activeCell="G24" sqref="G24"/>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11.33203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8" t="s">
        <v>146</v>
      </c>
    </row>
    <row r="2" spans="1:13" x14ac:dyDescent="0.3">
      <c r="A2" s="2" t="s">
        <v>12</v>
      </c>
      <c r="B2" s="3">
        <v>45029</v>
      </c>
      <c r="C2" s="2" t="s">
        <v>13</v>
      </c>
      <c r="D2" s="2" t="s">
        <v>14</v>
      </c>
      <c r="E2" s="2" t="s">
        <v>15</v>
      </c>
      <c r="F2" s="2" t="s">
        <v>16</v>
      </c>
      <c r="G2" s="2">
        <v>3</v>
      </c>
      <c r="H2" s="2">
        <v>1443.03</v>
      </c>
      <c r="I2" s="2">
        <v>0.1</v>
      </c>
      <c r="J2" s="2">
        <v>3896.18</v>
      </c>
      <c r="K2" s="2">
        <v>964.48</v>
      </c>
      <c r="L2" s="2" t="s">
        <v>17</v>
      </c>
      <c r="M2" s="2">
        <f>H2*G2</f>
        <v>4329.09</v>
      </c>
    </row>
    <row r="3" spans="1:13" x14ac:dyDescent="0.3">
      <c r="A3" s="2" t="s">
        <v>18</v>
      </c>
      <c r="B3" s="3">
        <v>45275</v>
      </c>
      <c r="C3" s="2" t="s">
        <v>19</v>
      </c>
      <c r="D3" s="2" t="s">
        <v>20</v>
      </c>
      <c r="E3" s="2" t="s">
        <v>21</v>
      </c>
      <c r="F3" s="2" t="s">
        <v>22</v>
      </c>
      <c r="G3" s="2">
        <v>7</v>
      </c>
      <c r="H3" s="2">
        <v>1715.07</v>
      </c>
      <c r="I3" s="2">
        <v>0.15</v>
      </c>
      <c r="J3" s="2">
        <v>10204.69</v>
      </c>
      <c r="K3" s="2">
        <v>1354.41</v>
      </c>
      <c r="L3" s="2" t="s">
        <v>23</v>
      </c>
      <c r="M3" s="2">
        <f t="shared" ref="M3:M66" si="0">H3*G3</f>
        <v>12005.49</v>
      </c>
    </row>
    <row r="4" spans="1:13" x14ac:dyDescent="0.3">
      <c r="A4" s="2" t="s">
        <v>24</v>
      </c>
      <c r="B4" s="3">
        <v>45197</v>
      </c>
      <c r="C4" s="2" t="s">
        <v>13</v>
      </c>
      <c r="D4" s="2" t="s">
        <v>20</v>
      </c>
      <c r="E4" s="2" t="s">
        <v>25</v>
      </c>
      <c r="F4" s="2" t="s">
        <v>26</v>
      </c>
      <c r="G4" s="2">
        <v>8</v>
      </c>
      <c r="H4" s="2">
        <v>621.97</v>
      </c>
      <c r="I4" s="2">
        <v>0.1</v>
      </c>
      <c r="J4" s="2">
        <v>4478.1899999999996</v>
      </c>
      <c r="K4" s="2">
        <v>752.58</v>
      </c>
      <c r="L4" s="2" t="s">
        <v>23</v>
      </c>
      <c r="M4" s="2">
        <f t="shared" si="0"/>
        <v>4975.76</v>
      </c>
    </row>
    <row r="5" spans="1:13" x14ac:dyDescent="0.3">
      <c r="A5" s="2" t="s">
        <v>27</v>
      </c>
      <c r="B5" s="3">
        <v>45033</v>
      </c>
      <c r="C5" s="2" t="s">
        <v>28</v>
      </c>
      <c r="D5" s="2" t="s">
        <v>14</v>
      </c>
      <c r="E5" s="2" t="s">
        <v>15</v>
      </c>
      <c r="F5" s="2" t="s">
        <v>29</v>
      </c>
      <c r="G5" s="2">
        <v>5</v>
      </c>
      <c r="H5" s="2">
        <v>1166.43</v>
      </c>
      <c r="I5" s="2">
        <v>0.1</v>
      </c>
      <c r="J5" s="2">
        <v>5248.92</v>
      </c>
      <c r="K5" s="2">
        <v>948.39</v>
      </c>
      <c r="L5" s="2" t="s">
        <v>30</v>
      </c>
      <c r="M5" s="2">
        <f t="shared" si="0"/>
        <v>5832.1500000000005</v>
      </c>
    </row>
    <row r="6" spans="1:13" x14ac:dyDescent="0.3">
      <c r="A6" s="2" t="s">
        <v>31</v>
      </c>
      <c r="B6" s="3">
        <v>44998</v>
      </c>
      <c r="C6" s="2" t="s">
        <v>13</v>
      </c>
      <c r="D6" s="2" t="s">
        <v>20</v>
      </c>
      <c r="E6" s="2" t="s">
        <v>25</v>
      </c>
      <c r="F6" s="2" t="s">
        <v>26</v>
      </c>
      <c r="G6" s="2">
        <v>7</v>
      </c>
      <c r="H6" s="2">
        <v>1003.2</v>
      </c>
      <c r="I6" s="2">
        <v>0.2</v>
      </c>
      <c r="J6" s="2">
        <v>5617.94</v>
      </c>
      <c r="K6" s="2">
        <v>995.18</v>
      </c>
      <c r="L6" s="2" t="s">
        <v>17</v>
      </c>
      <c r="M6" s="2">
        <f t="shared" si="0"/>
        <v>7022.4000000000005</v>
      </c>
    </row>
    <row r="7" spans="1:13" x14ac:dyDescent="0.3">
      <c r="A7" s="2" t="s">
        <v>32</v>
      </c>
      <c r="B7" s="3">
        <v>45115</v>
      </c>
      <c r="C7" s="2" t="s">
        <v>33</v>
      </c>
      <c r="D7" s="2" t="s">
        <v>14</v>
      </c>
      <c r="E7" s="2" t="s">
        <v>25</v>
      </c>
      <c r="F7" s="2" t="s">
        <v>26</v>
      </c>
      <c r="G7" s="2">
        <v>4</v>
      </c>
      <c r="H7" s="2">
        <v>1891.42</v>
      </c>
      <c r="I7" s="2">
        <v>0.1</v>
      </c>
      <c r="J7" s="2">
        <v>6809.12</v>
      </c>
      <c r="K7" s="2">
        <v>1523.17</v>
      </c>
      <c r="L7" s="2" t="s">
        <v>34</v>
      </c>
      <c r="M7" s="2">
        <f t="shared" si="0"/>
        <v>7565.68</v>
      </c>
    </row>
    <row r="8" spans="1:13" x14ac:dyDescent="0.3">
      <c r="A8" s="2" t="s">
        <v>35</v>
      </c>
      <c r="B8" s="3">
        <v>44947</v>
      </c>
      <c r="C8" s="2" t="s">
        <v>36</v>
      </c>
      <c r="D8" s="2" t="s">
        <v>14</v>
      </c>
      <c r="E8" s="2" t="s">
        <v>21</v>
      </c>
      <c r="F8" s="2" t="s">
        <v>22</v>
      </c>
      <c r="G8" s="2">
        <v>5</v>
      </c>
      <c r="H8" s="2">
        <v>1755.78</v>
      </c>
      <c r="I8" s="2">
        <v>0.15</v>
      </c>
      <c r="J8" s="2">
        <v>7462.04</v>
      </c>
      <c r="K8" s="2">
        <v>780.61</v>
      </c>
      <c r="L8" s="2" t="s">
        <v>23</v>
      </c>
      <c r="M8" s="2">
        <f t="shared" si="0"/>
        <v>8778.9</v>
      </c>
    </row>
    <row r="9" spans="1:13" x14ac:dyDescent="0.3">
      <c r="A9" s="2" t="s">
        <v>37</v>
      </c>
      <c r="B9" s="3">
        <v>45029</v>
      </c>
      <c r="C9" s="2" t="s">
        <v>38</v>
      </c>
      <c r="D9" s="2" t="s">
        <v>39</v>
      </c>
      <c r="E9" s="2" t="s">
        <v>15</v>
      </c>
      <c r="F9" s="2" t="s">
        <v>40</v>
      </c>
      <c r="G9" s="2">
        <v>7</v>
      </c>
      <c r="H9" s="2">
        <v>1802.57</v>
      </c>
      <c r="I9" s="2">
        <v>0</v>
      </c>
      <c r="J9" s="2">
        <v>12618.01</v>
      </c>
      <c r="K9" s="2">
        <v>1489.34</v>
      </c>
      <c r="L9" s="2" t="s">
        <v>34</v>
      </c>
      <c r="M9" s="2">
        <f t="shared" si="0"/>
        <v>12617.99</v>
      </c>
    </row>
    <row r="10" spans="1:13" x14ac:dyDescent="0.3">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row>
    <row r="11" spans="1:13" x14ac:dyDescent="0.3">
      <c r="A11" s="2" t="s">
        <v>43</v>
      </c>
      <c r="B11" s="3">
        <v>45141</v>
      </c>
      <c r="C11" s="2" t="s">
        <v>44</v>
      </c>
      <c r="D11" s="2" t="s">
        <v>14</v>
      </c>
      <c r="E11" s="2" t="s">
        <v>21</v>
      </c>
      <c r="F11" s="2" t="s">
        <v>45</v>
      </c>
      <c r="G11" s="2">
        <v>6</v>
      </c>
      <c r="H11" s="2">
        <v>515.65</v>
      </c>
      <c r="I11" s="2">
        <v>0</v>
      </c>
      <c r="J11" s="2">
        <v>3093.91</v>
      </c>
      <c r="K11" s="2">
        <v>467.05</v>
      </c>
      <c r="L11" s="2" t="s">
        <v>30</v>
      </c>
      <c r="M11" s="2">
        <f t="shared" si="0"/>
        <v>3093.8999999999996</v>
      </c>
    </row>
    <row r="12" spans="1:13" x14ac:dyDescent="0.3">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row>
    <row r="13" spans="1:13" x14ac:dyDescent="0.3">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row>
    <row r="14" spans="1:13" x14ac:dyDescent="0.3">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row>
    <row r="15" spans="1:13" x14ac:dyDescent="0.3">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row>
    <row r="16" spans="1:13" x14ac:dyDescent="0.3">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row>
    <row r="17" spans="1:13" x14ac:dyDescent="0.3">
      <c r="A17" s="2" t="s">
        <v>54</v>
      </c>
      <c r="B17" s="3">
        <v>45057</v>
      </c>
      <c r="C17" s="2" t="s">
        <v>38</v>
      </c>
      <c r="D17" s="2" t="s">
        <v>42</v>
      </c>
      <c r="E17" s="2" t="s">
        <v>25</v>
      </c>
      <c r="F17" s="2" t="s">
        <v>55</v>
      </c>
      <c r="G17" s="2">
        <v>8</v>
      </c>
      <c r="H17" s="2">
        <v>834.8</v>
      </c>
      <c r="I17" s="2">
        <v>0.05</v>
      </c>
      <c r="J17" s="2">
        <v>6344.46</v>
      </c>
      <c r="K17" s="2">
        <v>1645.93</v>
      </c>
      <c r="L17" s="2" t="s">
        <v>23</v>
      </c>
      <c r="M17" s="2">
        <f t="shared" si="0"/>
        <v>6678.4</v>
      </c>
    </row>
    <row r="18" spans="1:13" x14ac:dyDescent="0.3">
      <c r="A18" s="2" t="s">
        <v>56</v>
      </c>
      <c r="B18" s="3">
        <v>45076</v>
      </c>
      <c r="C18" s="2" t="s">
        <v>36</v>
      </c>
      <c r="D18" s="2" t="s">
        <v>39</v>
      </c>
      <c r="E18" s="2" t="s">
        <v>15</v>
      </c>
      <c r="F18" s="2" t="s">
        <v>16</v>
      </c>
      <c r="G18" s="2">
        <v>3</v>
      </c>
      <c r="H18" s="2">
        <v>534.25</v>
      </c>
      <c r="I18" s="2">
        <v>0.05</v>
      </c>
      <c r="J18" s="2">
        <v>1522.6</v>
      </c>
      <c r="K18" s="2">
        <v>449.99</v>
      </c>
      <c r="L18" s="2" t="s">
        <v>34</v>
      </c>
      <c r="M18" s="2">
        <f t="shared" si="0"/>
        <v>1602.75</v>
      </c>
    </row>
    <row r="19" spans="1:13" x14ac:dyDescent="0.3">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row>
    <row r="20" spans="1:13" x14ac:dyDescent="0.3">
      <c r="A20" s="2" t="s">
        <v>58</v>
      </c>
      <c r="B20" s="3">
        <v>45184</v>
      </c>
      <c r="C20" s="2" t="s">
        <v>59</v>
      </c>
      <c r="D20" s="2" t="s">
        <v>39</v>
      </c>
      <c r="E20" s="2" t="s">
        <v>15</v>
      </c>
      <c r="F20" s="2" t="s">
        <v>40</v>
      </c>
      <c r="G20" s="2">
        <v>8</v>
      </c>
      <c r="H20" s="2">
        <v>1786.76</v>
      </c>
      <c r="I20" s="2">
        <v>0.15</v>
      </c>
      <c r="J20" s="2">
        <v>12149.99</v>
      </c>
      <c r="K20" s="2">
        <v>863.07</v>
      </c>
      <c r="L20" s="2" t="s">
        <v>23</v>
      </c>
      <c r="M20" s="2">
        <f t="shared" si="0"/>
        <v>14294.08</v>
      </c>
    </row>
    <row r="21" spans="1:13" x14ac:dyDescent="0.3">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row>
    <row r="22" spans="1:13" x14ac:dyDescent="0.3">
      <c r="A22" s="2" t="s">
        <v>61</v>
      </c>
      <c r="B22" s="3">
        <v>45220</v>
      </c>
      <c r="C22" s="2" t="s">
        <v>13</v>
      </c>
      <c r="D22" s="2" t="s">
        <v>39</v>
      </c>
      <c r="E22" s="2" t="s">
        <v>15</v>
      </c>
      <c r="F22" s="2" t="s">
        <v>29</v>
      </c>
      <c r="G22" s="2">
        <v>9</v>
      </c>
      <c r="H22" s="2">
        <v>434.26</v>
      </c>
      <c r="I22" s="2">
        <v>0.15</v>
      </c>
      <c r="J22" s="2">
        <v>3322.07</v>
      </c>
      <c r="K22" s="2">
        <v>363.14</v>
      </c>
      <c r="L22" s="2" t="s">
        <v>30</v>
      </c>
      <c r="M22" s="2">
        <f t="shared" si="0"/>
        <v>3908.34</v>
      </c>
    </row>
    <row r="23" spans="1:13" x14ac:dyDescent="0.3">
      <c r="A23" s="2" t="s">
        <v>62</v>
      </c>
      <c r="B23" s="3">
        <v>45118</v>
      </c>
      <c r="C23" s="2" t="s">
        <v>51</v>
      </c>
      <c r="D23" s="2" t="s">
        <v>20</v>
      </c>
      <c r="E23" s="2" t="s">
        <v>15</v>
      </c>
      <c r="F23" s="2" t="s">
        <v>16</v>
      </c>
      <c r="G23" s="2">
        <v>1</v>
      </c>
      <c r="H23" s="2">
        <v>685.32</v>
      </c>
      <c r="I23" s="2">
        <v>0.15</v>
      </c>
      <c r="J23" s="2">
        <v>582.52</v>
      </c>
      <c r="K23" s="2">
        <v>103.22</v>
      </c>
      <c r="L23" s="2" t="s">
        <v>23</v>
      </c>
      <c r="M23" s="2">
        <f t="shared" si="0"/>
        <v>685.32</v>
      </c>
    </row>
    <row r="24" spans="1:13" x14ac:dyDescent="0.3">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row>
    <row r="25" spans="1:13" x14ac:dyDescent="0.3">
      <c r="A25" s="2" t="s">
        <v>64</v>
      </c>
      <c r="B25" s="3">
        <v>45087</v>
      </c>
      <c r="C25" s="2" t="s">
        <v>36</v>
      </c>
      <c r="D25" s="2" t="s">
        <v>20</v>
      </c>
      <c r="E25" s="2" t="s">
        <v>25</v>
      </c>
      <c r="F25" s="2" t="s">
        <v>26</v>
      </c>
      <c r="G25" s="2">
        <v>1</v>
      </c>
      <c r="H25" s="2">
        <v>470.96</v>
      </c>
      <c r="I25" s="2">
        <v>0.2</v>
      </c>
      <c r="J25" s="2">
        <v>376.77</v>
      </c>
      <c r="K25" s="2">
        <v>65.86</v>
      </c>
      <c r="L25" s="2" t="s">
        <v>30</v>
      </c>
      <c r="M25" s="2">
        <f t="shared" si="0"/>
        <v>470.96</v>
      </c>
    </row>
    <row r="26" spans="1:13" x14ac:dyDescent="0.3">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row>
    <row r="27" spans="1:13" x14ac:dyDescent="0.3">
      <c r="A27" s="2" t="s">
        <v>66</v>
      </c>
      <c r="B27" s="3">
        <v>44948</v>
      </c>
      <c r="C27" s="2" t="s">
        <v>13</v>
      </c>
      <c r="D27" s="2" t="s">
        <v>39</v>
      </c>
      <c r="E27" s="2" t="s">
        <v>21</v>
      </c>
      <c r="F27" s="2" t="s">
        <v>22</v>
      </c>
      <c r="G27" s="2">
        <v>3</v>
      </c>
      <c r="H27" s="2">
        <v>1962.63</v>
      </c>
      <c r="I27" s="2">
        <v>0.15</v>
      </c>
      <c r="J27" s="2">
        <v>5004.71</v>
      </c>
      <c r="K27" s="2">
        <v>618.64</v>
      </c>
      <c r="L27" s="2" t="s">
        <v>17</v>
      </c>
      <c r="M27" s="2">
        <f t="shared" si="0"/>
        <v>5887.89</v>
      </c>
    </row>
    <row r="28" spans="1:13" x14ac:dyDescent="0.3">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row>
    <row r="29" spans="1:13" x14ac:dyDescent="0.3">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row>
    <row r="30" spans="1:13" x14ac:dyDescent="0.3">
      <c r="A30" s="2" t="s">
        <v>69</v>
      </c>
      <c r="B30" s="3">
        <v>45271</v>
      </c>
      <c r="C30" s="2" t="s">
        <v>28</v>
      </c>
      <c r="D30" s="2" t="s">
        <v>20</v>
      </c>
      <c r="E30" s="2" t="s">
        <v>25</v>
      </c>
      <c r="F30" s="2" t="s">
        <v>55</v>
      </c>
      <c r="G30" s="2">
        <v>6</v>
      </c>
      <c r="H30" s="2">
        <v>783.03</v>
      </c>
      <c r="I30" s="2">
        <v>0.2</v>
      </c>
      <c r="J30" s="2">
        <v>3758.56</v>
      </c>
      <c r="K30" s="2">
        <v>466.54</v>
      </c>
      <c r="L30" s="2" t="s">
        <v>23</v>
      </c>
      <c r="M30" s="2">
        <f t="shared" si="0"/>
        <v>4698.18</v>
      </c>
    </row>
    <row r="31" spans="1:13" x14ac:dyDescent="0.3">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row>
    <row r="32" spans="1:13" x14ac:dyDescent="0.3">
      <c r="A32" s="2" t="s">
        <v>71</v>
      </c>
      <c r="B32" s="3">
        <v>44985</v>
      </c>
      <c r="C32" s="2" t="s">
        <v>19</v>
      </c>
      <c r="D32" s="2" t="s">
        <v>20</v>
      </c>
      <c r="E32" s="2" t="s">
        <v>21</v>
      </c>
      <c r="F32" s="2" t="s">
        <v>45</v>
      </c>
      <c r="G32" s="2">
        <v>7</v>
      </c>
      <c r="H32" s="2">
        <v>152.47</v>
      </c>
      <c r="I32" s="2">
        <v>0.05</v>
      </c>
      <c r="J32" s="2">
        <v>1013.94</v>
      </c>
      <c r="K32" s="2">
        <v>74.52</v>
      </c>
      <c r="L32" s="2" t="s">
        <v>23</v>
      </c>
      <c r="M32" s="2">
        <f t="shared" si="0"/>
        <v>1067.29</v>
      </c>
    </row>
    <row r="33" spans="1:13" x14ac:dyDescent="0.3">
      <c r="A33" s="2" t="s">
        <v>72</v>
      </c>
      <c r="B33" s="3">
        <v>45096</v>
      </c>
      <c r="C33" s="2" t="s">
        <v>51</v>
      </c>
      <c r="D33" s="2" t="s">
        <v>20</v>
      </c>
      <c r="E33" s="2" t="s">
        <v>15</v>
      </c>
      <c r="F33" s="2" t="s">
        <v>29</v>
      </c>
      <c r="G33" s="2">
        <v>6</v>
      </c>
      <c r="H33" s="2">
        <v>1222.58</v>
      </c>
      <c r="I33" s="2">
        <v>0</v>
      </c>
      <c r="J33" s="2">
        <v>7335.5</v>
      </c>
      <c r="K33" s="2">
        <v>435.27</v>
      </c>
      <c r="L33" s="2" t="s">
        <v>23</v>
      </c>
      <c r="M33" s="2">
        <f t="shared" si="0"/>
        <v>7335.48</v>
      </c>
    </row>
    <row r="34" spans="1:13" x14ac:dyDescent="0.3">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row>
    <row r="35" spans="1:13" x14ac:dyDescent="0.3">
      <c r="A35" s="2" t="s">
        <v>74</v>
      </c>
      <c r="B35" s="3">
        <v>45197</v>
      </c>
      <c r="C35" s="2" t="s">
        <v>36</v>
      </c>
      <c r="D35" s="2" t="s">
        <v>39</v>
      </c>
      <c r="E35" s="2" t="s">
        <v>21</v>
      </c>
      <c r="F35" s="2" t="s">
        <v>22</v>
      </c>
      <c r="G35" s="2">
        <v>4</v>
      </c>
      <c r="H35" s="2">
        <v>881.57</v>
      </c>
      <c r="I35" s="2">
        <v>0.1</v>
      </c>
      <c r="J35" s="2">
        <v>3173.66</v>
      </c>
      <c r="K35" s="2">
        <v>664.43</v>
      </c>
      <c r="L35" s="2" t="s">
        <v>34</v>
      </c>
      <c r="M35" s="2">
        <f t="shared" si="0"/>
        <v>3526.28</v>
      </c>
    </row>
    <row r="36" spans="1:13" x14ac:dyDescent="0.3">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row>
    <row r="37" spans="1:13" x14ac:dyDescent="0.3">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row>
    <row r="38" spans="1:13" x14ac:dyDescent="0.3">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row>
    <row r="39" spans="1:13" x14ac:dyDescent="0.3">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row>
    <row r="40" spans="1:13" x14ac:dyDescent="0.3">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row>
    <row r="41" spans="1:13" x14ac:dyDescent="0.3">
      <c r="A41" s="2" t="s">
        <v>80</v>
      </c>
      <c r="B41" s="3">
        <v>45170</v>
      </c>
      <c r="C41" s="2" t="s">
        <v>28</v>
      </c>
      <c r="D41" s="2" t="s">
        <v>14</v>
      </c>
      <c r="E41" s="2" t="s">
        <v>25</v>
      </c>
      <c r="F41" s="2" t="s">
        <v>26</v>
      </c>
      <c r="G41" s="2">
        <v>4</v>
      </c>
      <c r="H41" s="2">
        <v>429.08</v>
      </c>
      <c r="I41" s="2">
        <v>0.2</v>
      </c>
      <c r="J41" s="2">
        <v>1373.07</v>
      </c>
      <c r="K41" s="2">
        <v>205.45</v>
      </c>
      <c r="L41" s="2" t="s">
        <v>34</v>
      </c>
      <c r="M41" s="2">
        <f t="shared" si="0"/>
        <v>1716.32</v>
      </c>
    </row>
    <row r="42" spans="1:13" x14ac:dyDescent="0.3">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row>
    <row r="43" spans="1:13" x14ac:dyDescent="0.3">
      <c r="A43" s="2" t="s">
        <v>82</v>
      </c>
      <c r="B43" s="3">
        <v>45057</v>
      </c>
      <c r="C43" s="2" t="s">
        <v>33</v>
      </c>
      <c r="D43" s="2" t="s">
        <v>20</v>
      </c>
      <c r="E43" s="2" t="s">
        <v>15</v>
      </c>
      <c r="F43" s="2" t="s">
        <v>40</v>
      </c>
      <c r="G43" s="2">
        <v>1</v>
      </c>
      <c r="H43" s="2">
        <v>1747.68</v>
      </c>
      <c r="I43" s="2">
        <v>0.1</v>
      </c>
      <c r="J43" s="2">
        <v>1572.91</v>
      </c>
      <c r="K43" s="2">
        <v>393.6</v>
      </c>
      <c r="L43" s="2" t="s">
        <v>30</v>
      </c>
      <c r="M43" s="2">
        <f t="shared" si="0"/>
        <v>1747.68</v>
      </c>
    </row>
    <row r="44" spans="1:13" x14ac:dyDescent="0.3">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row>
    <row r="45" spans="1:13" x14ac:dyDescent="0.3">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row>
    <row r="46" spans="1:13" x14ac:dyDescent="0.3">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row>
    <row r="47" spans="1:13" x14ac:dyDescent="0.3">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row>
    <row r="48" spans="1:13" x14ac:dyDescent="0.3">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row>
    <row r="49" spans="1:13" x14ac:dyDescent="0.3">
      <c r="A49" s="2" t="s">
        <v>88</v>
      </c>
      <c r="B49" s="3">
        <v>45200</v>
      </c>
      <c r="C49" s="2" t="s">
        <v>44</v>
      </c>
      <c r="D49" s="2" t="s">
        <v>42</v>
      </c>
      <c r="E49" s="2" t="s">
        <v>25</v>
      </c>
      <c r="F49" s="2" t="s">
        <v>55</v>
      </c>
      <c r="G49" s="2">
        <v>7</v>
      </c>
      <c r="H49" s="2">
        <v>1526.66</v>
      </c>
      <c r="I49" s="2">
        <v>0</v>
      </c>
      <c r="J49" s="2">
        <v>10686.59</v>
      </c>
      <c r="K49" s="2">
        <v>1170.81</v>
      </c>
      <c r="L49" s="2" t="s">
        <v>23</v>
      </c>
      <c r="M49" s="2">
        <f t="shared" si="0"/>
        <v>10686.62</v>
      </c>
    </row>
    <row r="50" spans="1:13" x14ac:dyDescent="0.3">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row>
    <row r="51" spans="1:13" x14ac:dyDescent="0.3">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row>
    <row r="52" spans="1:13" x14ac:dyDescent="0.3">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row>
    <row r="53" spans="1:13" x14ac:dyDescent="0.3">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row>
    <row r="54" spans="1:13" x14ac:dyDescent="0.3">
      <c r="A54" s="2" t="s">
        <v>94</v>
      </c>
      <c r="B54" s="3">
        <v>45191</v>
      </c>
      <c r="C54" s="2" t="s">
        <v>38</v>
      </c>
      <c r="D54" s="2" t="s">
        <v>14</v>
      </c>
      <c r="E54" s="2" t="s">
        <v>25</v>
      </c>
      <c r="F54" s="2" t="s">
        <v>52</v>
      </c>
      <c r="G54" s="2">
        <v>1</v>
      </c>
      <c r="H54" s="2">
        <v>292.13</v>
      </c>
      <c r="I54" s="2">
        <v>0.2</v>
      </c>
      <c r="J54" s="2">
        <v>233.71</v>
      </c>
      <c r="K54" s="2">
        <v>24.69</v>
      </c>
      <c r="L54" s="2" t="s">
        <v>17</v>
      </c>
      <c r="M54" s="2">
        <f t="shared" si="0"/>
        <v>292.13</v>
      </c>
    </row>
    <row r="55" spans="1:13" x14ac:dyDescent="0.3">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row>
    <row r="56" spans="1:13" x14ac:dyDescent="0.3">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row>
    <row r="57" spans="1:13" x14ac:dyDescent="0.3">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row>
    <row r="58" spans="1:13" x14ac:dyDescent="0.3">
      <c r="A58" s="2" t="s">
        <v>98</v>
      </c>
      <c r="B58" s="3">
        <v>45018</v>
      </c>
      <c r="C58" s="2" t="s">
        <v>38</v>
      </c>
      <c r="D58" s="2" t="s">
        <v>20</v>
      </c>
      <c r="E58" s="2" t="s">
        <v>21</v>
      </c>
      <c r="F58" s="2" t="s">
        <v>22</v>
      </c>
      <c r="G58" s="2">
        <v>9</v>
      </c>
      <c r="H58" s="2">
        <v>1514</v>
      </c>
      <c r="I58" s="2">
        <v>0.1</v>
      </c>
      <c r="J58" s="2">
        <v>12263.42</v>
      </c>
      <c r="K58" s="2">
        <v>2401.69</v>
      </c>
      <c r="L58" s="2" t="s">
        <v>30</v>
      </c>
      <c r="M58" s="2">
        <f t="shared" si="0"/>
        <v>13626</v>
      </c>
    </row>
    <row r="59" spans="1:13" x14ac:dyDescent="0.3">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row>
    <row r="60" spans="1:13" x14ac:dyDescent="0.3">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row>
    <row r="61" spans="1:13" x14ac:dyDescent="0.3">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row>
    <row r="62" spans="1:13" x14ac:dyDescent="0.3">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row>
    <row r="63" spans="1:13" x14ac:dyDescent="0.3">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row>
    <row r="64" spans="1:13" x14ac:dyDescent="0.3">
      <c r="A64" s="2" t="s">
        <v>104</v>
      </c>
      <c r="B64" s="3">
        <v>45286</v>
      </c>
      <c r="C64" s="2" t="s">
        <v>13</v>
      </c>
      <c r="D64" s="2" t="s">
        <v>20</v>
      </c>
      <c r="E64" s="2" t="s">
        <v>25</v>
      </c>
      <c r="F64" s="2" t="s">
        <v>55</v>
      </c>
      <c r="G64" s="2">
        <v>3</v>
      </c>
      <c r="H64" s="2">
        <v>1662.82</v>
      </c>
      <c r="I64" s="2">
        <v>0.05</v>
      </c>
      <c r="J64" s="2">
        <v>4739.04</v>
      </c>
      <c r="K64" s="2">
        <v>730.57</v>
      </c>
      <c r="L64" s="2" t="s">
        <v>34</v>
      </c>
      <c r="M64" s="2">
        <f t="shared" si="0"/>
        <v>4988.46</v>
      </c>
    </row>
    <row r="65" spans="1:13" x14ac:dyDescent="0.3">
      <c r="A65" s="2" t="s">
        <v>105</v>
      </c>
      <c r="B65" s="3">
        <v>44928</v>
      </c>
      <c r="C65" s="2" t="s">
        <v>19</v>
      </c>
      <c r="D65" s="2" t="s">
        <v>39</v>
      </c>
      <c r="E65" s="2" t="s">
        <v>21</v>
      </c>
      <c r="F65" s="2" t="s">
        <v>48</v>
      </c>
      <c r="G65" s="2">
        <v>8</v>
      </c>
      <c r="H65" s="2">
        <v>1765.66</v>
      </c>
      <c r="I65" s="2">
        <v>0.1</v>
      </c>
      <c r="J65" s="2">
        <v>12712.73</v>
      </c>
      <c r="K65" s="2">
        <v>779.35</v>
      </c>
      <c r="L65" s="2" t="s">
        <v>34</v>
      </c>
      <c r="M65" s="2">
        <f t="shared" si="0"/>
        <v>14125.28</v>
      </c>
    </row>
    <row r="66" spans="1:13" x14ac:dyDescent="0.3">
      <c r="A66" s="2" t="s">
        <v>106</v>
      </c>
      <c r="B66" s="3">
        <v>44980</v>
      </c>
      <c r="C66" s="2" t="s">
        <v>28</v>
      </c>
      <c r="D66" s="2" t="s">
        <v>20</v>
      </c>
      <c r="E66" s="2" t="s">
        <v>21</v>
      </c>
      <c r="F66" s="2" t="s">
        <v>22</v>
      </c>
      <c r="G66" s="2">
        <v>2</v>
      </c>
      <c r="H66" s="2">
        <v>1975.82</v>
      </c>
      <c r="I66" s="2">
        <v>0</v>
      </c>
      <c r="J66" s="2">
        <v>3951.65</v>
      </c>
      <c r="K66" s="2">
        <v>569.77</v>
      </c>
      <c r="L66" s="2" t="s">
        <v>34</v>
      </c>
      <c r="M66" s="2">
        <f t="shared" si="0"/>
        <v>3951.64</v>
      </c>
    </row>
    <row r="67" spans="1:13" x14ac:dyDescent="0.3">
      <c r="A67" s="2" t="s">
        <v>107</v>
      </c>
      <c r="B67" s="3">
        <v>45032</v>
      </c>
      <c r="C67" s="2" t="s">
        <v>44</v>
      </c>
      <c r="D67" s="2" t="s">
        <v>42</v>
      </c>
      <c r="E67" s="2" t="s">
        <v>21</v>
      </c>
      <c r="F67" s="2" t="s">
        <v>45</v>
      </c>
      <c r="G67" s="2">
        <v>1</v>
      </c>
      <c r="H67" s="2">
        <v>1692.82</v>
      </c>
      <c r="I67" s="2">
        <v>0.05</v>
      </c>
      <c r="J67" s="2">
        <v>1608.18</v>
      </c>
      <c r="K67" s="2">
        <v>95.21</v>
      </c>
      <c r="L67" s="2" t="s">
        <v>30</v>
      </c>
      <c r="M67" s="2">
        <f t="shared" ref="M67:M101" si="1">H67*G67</f>
        <v>1692.82</v>
      </c>
    </row>
    <row r="68" spans="1:13" x14ac:dyDescent="0.3">
      <c r="A68" s="2" t="s">
        <v>108</v>
      </c>
      <c r="B68" s="3">
        <v>45186</v>
      </c>
      <c r="C68" s="2" t="s">
        <v>13</v>
      </c>
      <c r="D68" s="2" t="s">
        <v>20</v>
      </c>
      <c r="E68" s="2" t="s">
        <v>15</v>
      </c>
      <c r="F68" s="2" t="s">
        <v>40</v>
      </c>
      <c r="G68" s="2">
        <v>1</v>
      </c>
      <c r="H68" s="2">
        <v>1115.26</v>
      </c>
      <c r="I68" s="2">
        <v>0.2</v>
      </c>
      <c r="J68" s="2">
        <v>892.21</v>
      </c>
      <c r="K68" s="2">
        <v>266.91000000000003</v>
      </c>
      <c r="L68" s="2" t="s">
        <v>34</v>
      </c>
      <c r="M68" s="2">
        <f t="shared" si="1"/>
        <v>1115.26</v>
      </c>
    </row>
    <row r="69" spans="1:13" x14ac:dyDescent="0.3">
      <c r="A69" s="2" t="s">
        <v>109</v>
      </c>
      <c r="B69" s="3">
        <v>45236</v>
      </c>
      <c r="C69" s="2" t="s">
        <v>90</v>
      </c>
      <c r="D69" s="2" t="s">
        <v>42</v>
      </c>
      <c r="E69" s="2" t="s">
        <v>25</v>
      </c>
      <c r="F69" s="2" t="s">
        <v>55</v>
      </c>
      <c r="G69" s="2">
        <v>3</v>
      </c>
      <c r="H69" s="2">
        <v>569.96</v>
      </c>
      <c r="I69" s="2">
        <v>0</v>
      </c>
      <c r="J69" s="2">
        <v>1709.88</v>
      </c>
      <c r="K69" s="2">
        <v>140.71</v>
      </c>
      <c r="L69" s="2" t="s">
        <v>34</v>
      </c>
      <c r="M69" s="2">
        <f t="shared" si="1"/>
        <v>1709.88</v>
      </c>
    </row>
    <row r="70" spans="1:13" x14ac:dyDescent="0.3">
      <c r="A70" s="2" t="s">
        <v>110</v>
      </c>
      <c r="B70" s="3">
        <v>45117</v>
      </c>
      <c r="C70" s="2" t="s">
        <v>59</v>
      </c>
      <c r="D70" s="2" t="s">
        <v>20</v>
      </c>
      <c r="E70" s="2" t="s">
        <v>21</v>
      </c>
      <c r="F70" s="2" t="s">
        <v>22</v>
      </c>
      <c r="G70" s="2">
        <v>1</v>
      </c>
      <c r="H70" s="2">
        <v>1538.3</v>
      </c>
      <c r="I70" s="2">
        <v>0.05</v>
      </c>
      <c r="J70" s="2">
        <v>1461.38</v>
      </c>
      <c r="K70" s="2">
        <v>203.92</v>
      </c>
      <c r="L70" s="2" t="s">
        <v>23</v>
      </c>
      <c r="M70" s="2">
        <f t="shared" si="1"/>
        <v>1538.3</v>
      </c>
    </row>
    <row r="71" spans="1:13" x14ac:dyDescent="0.3">
      <c r="A71" s="2" t="s">
        <v>111</v>
      </c>
      <c r="B71" s="3">
        <v>45144</v>
      </c>
      <c r="C71" s="2" t="s">
        <v>44</v>
      </c>
      <c r="D71" s="2" t="s">
        <v>14</v>
      </c>
      <c r="E71" s="2" t="s">
        <v>21</v>
      </c>
      <c r="F71" s="2" t="s">
        <v>48</v>
      </c>
      <c r="G71" s="2">
        <v>6</v>
      </c>
      <c r="H71" s="2">
        <v>1567.4</v>
      </c>
      <c r="I71" s="2">
        <v>0.1</v>
      </c>
      <c r="J71" s="2">
        <v>8463.99</v>
      </c>
      <c r="K71" s="2">
        <v>1074.45</v>
      </c>
      <c r="L71" s="2" t="s">
        <v>30</v>
      </c>
      <c r="M71" s="2">
        <f t="shared" si="1"/>
        <v>9404.4000000000015</v>
      </c>
    </row>
    <row r="72" spans="1:13" x14ac:dyDescent="0.3">
      <c r="A72" s="2" t="s">
        <v>112</v>
      </c>
      <c r="B72" s="3">
        <v>44970</v>
      </c>
      <c r="C72" s="2" t="s">
        <v>33</v>
      </c>
      <c r="D72" s="2" t="s">
        <v>20</v>
      </c>
      <c r="E72" s="2" t="s">
        <v>25</v>
      </c>
      <c r="F72" s="2" t="s">
        <v>52</v>
      </c>
      <c r="G72" s="2">
        <v>9</v>
      </c>
      <c r="H72" s="2">
        <v>1220.92</v>
      </c>
      <c r="I72" s="2">
        <v>0.2</v>
      </c>
      <c r="J72" s="2">
        <v>8790.6</v>
      </c>
      <c r="K72" s="2">
        <v>1802.75</v>
      </c>
      <c r="L72" s="2" t="s">
        <v>17</v>
      </c>
      <c r="M72" s="2">
        <f t="shared" si="1"/>
        <v>10988.28</v>
      </c>
    </row>
    <row r="73" spans="1:13" x14ac:dyDescent="0.3">
      <c r="A73" s="2" t="s">
        <v>113</v>
      </c>
      <c r="B73" s="3">
        <v>45088</v>
      </c>
      <c r="C73" s="2" t="s">
        <v>90</v>
      </c>
      <c r="D73" s="2" t="s">
        <v>20</v>
      </c>
      <c r="E73" s="2" t="s">
        <v>15</v>
      </c>
      <c r="F73" s="2" t="s">
        <v>40</v>
      </c>
      <c r="G73" s="2">
        <v>2</v>
      </c>
      <c r="H73" s="2">
        <v>766.12</v>
      </c>
      <c r="I73" s="2">
        <v>0.05</v>
      </c>
      <c r="J73" s="2">
        <v>1455.62</v>
      </c>
      <c r="K73" s="2">
        <v>304.45999999999998</v>
      </c>
      <c r="L73" s="2" t="s">
        <v>23</v>
      </c>
      <c r="M73" s="2">
        <f t="shared" si="1"/>
        <v>1532.24</v>
      </c>
    </row>
    <row r="74" spans="1:13" x14ac:dyDescent="0.3">
      <c r="A74" s="2" t="s">
        <v>114</v>
      </c>
      <c r="B74" s="3">
        <v>45128</v>
      </c>
      <c r="C74" s="2" t="s">
        <v>28</v>
      </c>
      <c r="D74" s="2" t="s">
        <v>20</v>
      </c>
      <c r="E74" s="2" t="s">
        <v>25</v>
      </c>
      <c r="F74" s="2" t="s">
        <v>52</v>
      </c>
      <c r="G74" s="2">
        <v>1</v>
      </c>
      <c r="H74" s="2">
        <v>1588.94</v>
      </c>
      <c r="I74" s="2">
        <v>0.15</v>
      </c>
      <c r="J74" s="2">
        <v>1350.6</v>
      </c>
      <c r="K74" s="2">
        <v>168.14</v>
      </c>
      <c r="L74" s="2" t="s">
        <v>34</v>
      </c>
      <c r="M74" s="2">
        <f t="shared" si="1"/>
        <v>1588.94</v>
      </c>
    </row>
    <row r="75" spans="1:13" x14ac:dyDescent="0.3">
      <c r="A75" s="2" t="s">
        <v>115</v>
      </c>
      <c r="B75" s="3">
        <v>45196</v>
      </c>
      <c r="C75" s="2" t="s">
        <v>36</v>
      </c>
      <c r="D75" s="2" t="s">
        <v>39</v>
      </c>
      <c r="E75" s="2" t="s">
        <v>25</v>
      </c>
      <c r="F75" s="2" t="s">
        <v>55</v>
      </c>
      <c r="G75" s="2">
        <v>4</v>
      </c>
      <c r="H75" s="2">
        <v>972.76</v>
      </c>
      <c r="I75" s="2">
        <v>0</v>
      </c>
      <c r="J75" s="2">
        <v>3891.04</v>
      </c>
      <c r="K75" s="2">
        <v>673.26</v>
      </c>
      <c r="L75" s="2" t="s">
        <v>34</v>
      </c>
      <c r="M75" s="2">
        <f t="shared" si="1"/>
        <v>3891.04</v>
      </c>
    </row>
    <row r="76" spans="1:13" x14ac:dyDescent="0.3">
      <c r="A76" s="2" t="s">
        <v>116</v>
      </c>
      <c r="B76" s="3">
        <v>45277</v>
      </c>
      <c r="C76" s="2" t="s">
        <v>90</v>
      </c>
      <c r="D76" s="2" t="s">
        <v>20</v>
      </c>
      <c r="E76" s="2" t="s">
        <v>21</v>
      </c>
      <c r="F76" s="2" t="s">
        <v>48</v>
      </c>
      <c r="G76" s="2">
        <v>5</v>
      </c>
      <c r="H76" s="2">
        <v>760.09</v>
      </c>
      <c r="I76" s="2">
        <v>0.1</v>
      </c>
      <c r="J76" s="2">
        <v>3420.38</v>
      </c>
      <c r="K76" s="2">
        <v>666.68</v>
      </c>
      <c r="L76" s="2" t="s">
        <v>34</v>
      </c>
      <c r="M76" s="2">
        <f t="shared" si="1"/>
        <v>3800.4500000000003</v>
      </c>
    </row>
    <row r="77" spans="1:13" x14ac:dyDescent="0.3">
      <c r="A77" s="2" t="s">
        <v>117</v>
      </c>
      <c r="B77" s="3">
        <v>45230</v>
      </c>
      <c r="C77" s="2" t="s">
        <v>59</v>
      </c>
      <c r="D77" s="2" t="s">
        <v>42</v>
      </c>
      <c r="E77" s="2" t="s">
        <v>15</v>
      </c>
      <c r="F77" s="2" t="s">
        <v>16</v>
      </c>
      <c r="G77" s="2">
        <v>6</v>
      </c>
      <c r="H77" s="2">
        <v>1425.57</v>
      </c>
      <c r="I77" s="2">
        <v>0.15</v>
      </c>
      <c r="J77" s="2">
        <v>7270.4</v>
      </c>
      <c r="K77" s="2">
        <v>694.11</v>
      </c>
      <c r="L77" s="2" t="s">
        <v>17</v>
      </c>
      <c r="M77" s="2">
        <f t="shared" si="1"/>
        <v>8553.42</v>
      </c>
    </row>
    <row r="78" spans="1:13" x14ac:dyDescent="0.3">
      <c r="A78" s="2" t="s">
        <v>118</v>
      </c>
      <c r="B78" s="3">
        <v>45197</v>
      </c>
      <c r="C78" s="2" t="s">
        <v>13</v>
      </c>
      <c r="D78" s="2" t="s">
        <v>14</v>
      </c>
      <c r="E78" s="2" t="s">
        <v>15</v>
      </c>
      <c r="F78" s="2" t="s">
        <v>16</v>
      </c>
      <c r="G78" s="2">
        <v>2</v>
      </c>
      <c r="H78" s="2">
        <v>1243.68</v>
      </c>
      <c r="I78" s="2">
        <v>0.1</v>
      </c>
      <c r="J78" s="2">
        <v>2238.62</v>
      </c>
      <c r="K78" s="2">
        <v>134.80000000000001</v>
      </c>
      <c r="L78" s="2" t="s">
        <v>30</v>
      </c>
      <c r="M78" s="2">
        <f t="shared" si="1"/>
        <v>2487.36</v>
      </c>
    </row>
    <row r="79" spans="1:13" x14ac:dyDescent="0.3">
      <c r="A79" s="2" t="s">
        <v>119</v>
      </c>
      <c r="B79" s="3">
        <v>45141</v>
      </c>
      <c r="C79" s="2" t="s">
        <v>28</v>
      </c>
      <c r="D79" s="2" t="s">
        <v>14</v>
      </c>
      <c r="E79" s="2" t="s">
        <v>21</v>
      </c>
      <c r="F79" s="2" t="s">
        <v>22</v>
      </c>
      <c r="G79" s="2">
        <v>6</v>
      </c>
      <c r="H79" s="2">
        <v>268.52999999999997</v>
      </c>
      <c r="I79" s="2">
        <v>0</v>
      </c>
      <c r="J79" s="2">
        <v>1611.21</v>
      </c>
      <c r="K79" s="2">
        <v>295.83</v>
      </c>
      <c r="L79" s="2" t="s">
        <v>23</v>
      </c>
      <c r="M79" s="2">
        <f t="shared" si="1"/>
        <v>1611.1799999999998</v>
      </c>
    </row>
    <row r="80" spans="1:13" x14ac:dyDescent="0.3">
      <c r="A80" s="2" t="s">
        <v>120</v>
      </c>
      <c r="B80" s="3">
        <v>45178</v>
      </c>
      <c r="C80" s="2" t="s">
        <v>59</v>
      </c>
      <c r="D80" s="2" t="s">
        <v>14</v>
      </c>
      <c r="E80" s="2" t="s">
        <v>25</v>
      </c>
      <c r="F80" s="2" t="s">
        <v>52</v>
      </c>
      <c r="G80" s="2">
        <v>9</v>
      </c>
      <c r="H80" s="2">
        <v>275.35000000000002</v>
      </c>
      <c r="I80" s="2">
        <v>0</v>
      </c>
      <c r="J80" s="2">
        <v>2478.17</v>
      </c>
      <c r="K80" s="2">
        <v>550.02</v>
      </c>
      <c r="L80" s="2" t="s">
        <v>17</v>
      </c>
      <c r="M80" s="2">
        <f t="shared" si="1"/>
        <v>2478.15</v>
      </c>
    </row>
    <row r="81" spans="1:13" x14ac:dyDescent="0.3">
      <c r="A81" s="2" t="s">
        <v>121</v>
      </c>
      <c r="B81" s="3">
        <v>45116</v>
      </c>
      <c r="C81" s="2" t="s">
        <v>90</v>
      </c>
      <c r="D81" s="2" t="s">
        <v>42</v>
      </c>
      <c r="E81" s="2" t="s">
        <v>15</v>
      </c>
      <c r="F81" s="2" t="s">
        <v>29</v>
      </c>
      <c r="G81" s="2">
        <v>1</v>
      </c>
      <c r="H81" s="2">
        <v>626.07000000000005</v>
      </c>
      <c r="I81" s="2">
        <v>0</v>
      </c>
      <c r="J81" s="2">
        <v>626.07000000000005</v>
      </c>
      <c r="K81" s="2">
        <v>44.53</v>
      </c>
      <c r="L81" s="2" t="s">
        <v>30</v>
      </c>
      <c r="M81" s="2">
        <f t="shared" si="1"/>
        <v>626.07000000000005</v>
      </c>
    </row>
    <row r="82" spans="1:13" x14ac:dyDescent="0.3">
      <c r="A82" s="2" t="s">
        <v>122</v>
      </c>
      <c r="B82" s="3">
        <v>45222</v>
      </c>
      <c r="C82" s="2" t="s">
        <v>59</v>
      </c>
      <c r="D82" s="2" t="s">
        <v>14</v>
      </c>
      <c r="E82" s="2" t="s">
        <v>15</v>
      </c>
      <c r="F82" s="2" t="s">
        <v>16</v>
      </c>
      <c r="G82" s="2">
        <v>8</v>
      </c>
      <c r="H82" s="2">
        <v>1020.59</v>
      </c>
      <c r="I82" s="2">
        <v>0.05</v>
      </c>
      <c r="J82" s="2">
        <v>7756.51</v>
      </c>
      <c r="K82" s="2">
        <v>1861.48</v>
      </c>
      <c r="L82" s="2" t="s">
        <v>34</v>
      </c>
      <c r="M82" s="2">
        <f t="shared" si="1"/>
        <v>8164.72</v>
      </c>
    </row>
    <row r="83" spans="1:13" x14ac:dyDescent="0.3">
      <c r="A83" s="2" t="s">
        <v>123</v>
      </c>
      <c r="B83" s="3">
        <v>45139</v>
      </c>
      <c r="C83" s="2" t="s">
        <v>33</v>
      </c>
      <c r="D83" s="2" t="s">
        <v>14</v>
      </c>
      <c r="E83" s="2" t="s">
        <v>21</v>
      </c>
      <c r="F83" s="2" t="s">
        <v>48</v>
      </c>
      <c r="G83" s="2">
        <v>8</v>
      </c>
      <c r="H83" s="2">
        <v>352.92</v>
      </c>
      <c r="I83" s="2">
        <v>0.1</v>
      </c>
      <c r="J83" s="2">
        <v>2541.04</v>
      </c>
      <c r="K83" s="2">
        <v>695.74</v>
      </c>
      <c r="L83" s="2" t="s">
        <v>23</v>
      </c>
      <c r="M83" s="2">
        <f t="shared" si="1"/>
        <v>2823.36</v>
      </c>
    </row>
    <row r="84" spans="1:13" x14ac:dyDescent="0.3">
      <c r="A84" s="2" t="s">
        <v>124</v>
      </c>
      <c r="B84" s="3">
        <v>45134</v>
      </c>
      <c r="C84" s="2" t="s">
        <v>38</v>
      </c>
      <c r="D84" s="2" t="s">
        <v>42</v>
      </c>
      <c r="E84" s="2" t="s">
        <v>15</v>
      </c>
      <c r="F84" s="2" t="s">
        <v>16</v>
      </c>
      <c r="G84" s="2">
        <v>9</v>
      </c>
      <c r="H84" s="2">
        <v>1501.07</v>
      </c>
      <c r="I84" s="2">
        <v>0.15</v>
      </c>
      <c r="J84" s="2">
        <v>11483.18</v>
      </c>
      <c r="K84" s="2">
        <v>631.78</v>
      </c>
      <c r="L84" s="2" t="s">
        <v>17</v>
      </c>
      <c r="M84" s="2">
        <f t="shared" si="1"/>
        <v>13509.63</v>
      </c>
    </row>
    <row r="85" spans="1:13" x14ac:dyDescent="0.3">
      <c r="A85" s="2" t="s">
        <v>125</v>
      </c>
      <c r="B85" s="3">
        <v>45163</v>
      </c>
      <c r="C85" s="2" t="s">
        <v>28</v>
      </c>
      <c r="D85" s="2" t="s">
        <v>20</v>
      </c>
      <c r="E85" s="2" t="s">
        <v>21</v>
      </c>
      <c r="F85" s="2" t="s">
        <v>48</v>
      </c>
      <c r="G85" s="2">
        <v>9</v>
      </c>
      <c r="H85" s="2">
        <v>1792</v>
      </c>
      <c r="I85" s="2">
        <v>0.15</v>
      </c>
      <c r="J85" s="2">
        <v>13708.81</v>
      </c>
      <c r="K85" s="2">
        <v>2309.83</v>
      </c>
      <c r="L85" s="2" t="s">
        <v>34</v>
      </c>
      <c r="M85" s="2">
        <f t="shared" si="1"/>
        <v>16128</v>
      </c>
    </row>
    <row r="86" spans="1:13" x14ac:dyDescent="0.3">
      <c r="A86" s="2" t="s">
        <v>126</v>
      </c>
      <c r="B86" s="3">
        <v>45264</v>
      </c>
      <c r="C86" s="2" t="s">
        <v>59</v>
      </c>
      <c r="D86" s="2" t="s">
        <v>42</v>
      </c>
      <c r="E86" s="2" t="s">
        <v>25</v>
      </c>
      <c r="F86" s="2" t="s">
        <v>52</v>
      </c>
      <c r="G86" s="2">
        <v>4</v>
      </c>
      <c r="H86" s="2">
        <v>1120.5</v>
      </c>
      <c r="I86" s="2">
        <v>0.05</v>
      </c>
      <c r="J86" s="2">
        <v>4257.91</v>
      </c>
      <c r="K86" s="2">
        <v>806.6</v>
      </c>
      <c r="L86" s="2" t="s">
        <v>30</v>
      </c>
      <c r="M86" s="2">
        <f t="shared" si="1"/>
        <v>4482</v>
      </c>
    </row>
    <row r="87" spans="1:13" x14ac:dyDescent="0.3">
      <c r="A87" s="2" t="s">
        <v>127</v>
      </c>
      <c r="B87" s="3">
        <v>44979</v>
      </c>
      <c r="C87" s="2" t="s">
        <v>33</v>
      </c>
      <c r="D87" s="2" t="s">
        <v>20</v>
      </c>
      <c r="E87" s="2" t="s">
        <v>15</v>
      </c>
      <c r="F87" s="2" t="s">
        <v>40</v>
      </c>
      <c r="G87" s="2">
        <v>9</v>
      </c>
      <c r="H87" s="2">
        <v>741.15</v>
      </c>
      <c r="I87" s="2">
        <v>0.15</v>
      </c>
      <c r="J87" s="2">
        <v>5669.79</v>
      </c>
      <c r="K87" s="2">
        <v>1199.04</v>
      </c>
      <c r="L87" s="2" t="s">
        <v>30</v>
      </c>
      <c r="M87" s="2">
        <f t="shared" si="1"/>
        <v>6670.3499999999995</v>
      </c>
    </row>
    <row r="88" spans="1:13" x14ac:dyDescent="0.3">
      <c r="A88" s="2" t="s">
        <v>128</v>
      </c>
      <c r="B88" s="3">
        <v>45206</v>
      </c>
      <c r="C88" s="2" t="s">
        <v>13</v>
      </c>
      <c r="D88" s="2" t="s">
        <v>14</v>
      </c>
      <c r="E88" s="2" t="s">
        <v>15</v>
      </c>
      <c r="F88" s="2" t="s">
        <v>29</v>
      </c>
      <c r="G88" s="2">
        <v>6</v>
      </c>
      <c r="H88" s="2">
        <v>1250.97</v>
      </c>
      <c r="I88" s="2">
        <v>0</v>
      </c>
      <c r="J88" s="2">
        <v>7505.83</v>
      </c>
      <c r="K88" s="2">
        <v>389.43</v>
      </c>
      <c r="L88" s="2" t="s">
        <v>23</v>
      </c>
      <c r="M88" s="2">
        <f t="shared" si="1"/>
        <v>7505.82</v>
      </c>
    </row>
    <row r="89" spans="1:13" x14ac:dyDescent="0.3">
      <c r="A89" s="2" t="s">
        <v>129</v>
      </c>
      <c r="B89" s="3">
        <v>45143</v>
      </c>
      <c r="C89" s="2" t="s">
        <v>59</v>
      </c>
      <c r="D89" s="2" t="s">
        <v>42</v>
      </c>
      <c r="E89" s="2" t="s">
        <v>15</v>
      </c>
      <c r="F89" s="2" t="s">
        <v>40</v>
      </c>
      <c r="G89" s="2">
        <v>8</v>
      </c>
      <c r="H89" s="2">
        <v>1803.85</v>
      </c>
      <c r="I89" s="2">
        <v>0.1</v>
      </c>
      <c r="J89" s="2">
        <v>12987.75</v>
      </c>
      <c r="K89" s="2">
        <v>2352.44</v>
      </c>
      <c r="L89" s="2" t="s">
        <v>30</v>
      </c>
      <c r="M89" s="2">
        <f t="shared" si="1"/>
        <v>14430.8</v>
      </c>
    </row>
    <row r="90" spans="1:13" x14ac:dyDescent="0.3">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1"/>
        <v>2388.8000000000002</v>
      </c>
    </row>
    <row r="91" spans="1:13" x14ac:dyDescent="0.3">
      <c r="A91" s="2" t="s">
        <v>131</v>
      </c>
      <c r="B91" s="3">
        <v>45114</v>
      </c>
      <c r="C91" s="2" t="s">
        <v>59</v>
      </c>
      <c r="D91" s="2" t="s">
        <v>14</v>
      </c>
      <c r="E91" s="2" t="s">
        <v>21</v>
      </c>
      <c r="F91" s="2" t="s">
        <v>48</v>
      </c>
      <c r="G91" s="2">
        <v>3</v>
      </c>
      <c r="H91" s="2">
        <v>1659.64</v>
      </c>
      <c r="I91" s="2">
        <v>0.05</v>
      </c>
      <c r="J91" s="2">
        <v>4729.96</v>
      </c>
      <c r="K91" s="2">
        <v>894.87</v>
      </c>
      <c r="L91" s="2" t="s">
        <v>17</v>
      </c>
      <c r="M91" s="2">
        <f t="shared" si="1"/>
        <v>4978.92</v>
      </c>
    </row>
    <row r="92" spans="1:13" x14ac:dyDescent="0.3">
      <c r="A92" s="2" t="s">
        <v>132</v>
      </c>
      <c r="B92" s="3">
        <v>44967</v>
      </c>
      <c r="C92" s="2" t="s">
        <v>44</v>
      </c>
      <c r="D92" s="2" t="s">
        <v>39</v>
      </c>
      <c r="E92" s="2" t="s">
        <v>25</v>
      </c>
      <c r="F92" s="2" t="s">
        <v>55</v>
      </c>
      <c r="G92" s="2">
        <v>6</v>
      </c>
      <c r="H92" s="2">
        <v>1939.19</v>
      </c>
      <c r="I92" s="2">
        <v>0.15</v>
      </c>
      <c r="J92" s="2">
        <v>9889.86</v>
      </c>
      <c r="K92" s="2">
        <v>1546.37</v>
      </c>
      <c r="L92" s="2" t="s">
        <v>34</v>
      </c>
      <c r="M92" s="2">
        <f t="shared" si="1"/>
        <v>11635.14</v>
      </c>
    </row>
    <row r="93" spans="1:13" x14ac:dyDescent="0.3">
      <c r="A93" s="2" t="s">
        <v>133</v>
      </c>
      <c r="B93" s="3">
        <v>45083</v>
      </c>
      <c r="C93" s="2" t="s">
        <v>90</v>
      </c>
      <c r="D93" s="2" t="s">
        <v>42</v>
      </c>
      <c r="E93" s="2" t="s">
        <v>15</v>
      </c>
      <c r="F93" s="2" t="s">
        <v>29</v>
      </c>
      <c r="G93" s="2">
        <v>6</v>
      </c>
      <c r="H93" s="2">
        <v>1204.3499999999999</v>
      </c>
      <c r="I93" s="2">
        <v>0.1</v>
      </c>
      <c r="J93" s="2">
        <v>6503.5</v>
      </c>
      <c r="K93" s="2">
        <v>1840.51</v>
      </c>
      <c r="L93" s="2" t="s">
        <v>23</v>
      </c>
      <c r="M93" s="2">
        <f t="shared" si="1"/>
        <v>7226.0999999999995</v>
      </c>
    </row>
    <row r="94" spans="1:13" x14ac:dyDescent="0.3">
      <c r="A94" s="2" t="s">
        <v>134</v>
      </c>
      <c r="B94" s="3">
        <v>44941</v>
      </c>
      <c r="C94" s="2" t="s">
        <v>59</v>
      </c>
      <c r="D94" s="2" t="s">
        <v>14</v>
      </c>
      <c r="E94" s="2" t="s">
        <v>21</v>
      </c>
      <c r="F94" s="2" t="s">
        <v>48</v>
      </c>
      <c r="G94" s="2">
        <v>5</v>
      </c>
      <c r="H94" s="2">
        <v>220.41</v>
      </c>
      <c r="I94" s="2">
        <v>0.15</v>
      </c>
      <c r="J94" s="2">
        <v>934.75</v>
      </c>
      <c r="K94" s="2">
        <v>94.08</v>
      </c>
      <c r="L94" s="2" t="s">
        <v>30</v>
      </c>
      <c r="M94" s="2">
        <f t="shared" si="1"/>
        <v>1102.05</v>
      </c>
    </row>
    <row r="95" spans="1:13" x14ac:dyDescent="0.3">
      <c r="A95" s="2" t="s">
        <v>135</v>
      </c>
      <c r="B95" s="3">
        <v>45227</v>
      </c>
      <c r="C95" s="2" t="s">
        <v>59</v>
      </c>
      <c r="D95" s="2" t="s">
        <v>14</v>
      </c>
      <c r="E95" s="2" t="s">
        <v>25</v>
      </c>
      <c r="F95" s="2" t="s">
        <v>26</v>
      </c>
      <c r="G95" s="2">
        <v>5</v>
      </c>
      <c r="H95" s="2">
        <v>105.15</v>
      </c>
      <c r="I95" s="2">
        <v>0</v>
      </c>
      <c r="J95" s="2">
        <v>525.75</v>
      </c>
      <c r="K95" s="2">
        <v>104.58</v>
      </c>
      <c r="L95" s="2" t="s">
        <v>17</v>
      </c>
      <c r="M95" s="2">
        <f t="shared" si="1"/>
        <v>525.75</v>
      </c>
    </row>
    <row r="96" spans="1:13" x14ac:dyDescent="0.3">
      <c r="A96" s="2" t="s">
        <v>136</v>
      </c>
      <c r="B96" s="3">
        <v>44991</v>
      </c>
      <c r="C96" s="2" t="s">
        <v>13</v>
      </c>
      <c r="D96" s="2" t="s">
        <v>39</v>
      </c>
      <c r="E96" s="2" t="s">
        <v>15</v>
      </c>
      <c r="F96" s="2" t="s">
        <v>40</v>
      </c>
      <c r="G96" s="2">
        <v>1</v>
      </c>
      <c r="H96" s="2">
        <v>1716.38</v>
      </c>
      <c r="I96" s="2">
        <v>0.15</v>
      </c>
      <c r="J96" s="2">
        <v>1458.92</v>
      </c>
      <c r="K96" s="2">
        <v>424.92</v>
      </c>
      <c r="L96" s="2" t="s">
        <v>17</v>
      </c>
      <c r="M96" s="2">
        <f t="shared" si="1"/>
        <v>1716.38</v>
      </c>
    </row>
    <row r="97" spans="1:13" x14ac:dyDescent="0.3">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1"/>
        <v>679.02</v>
      </c>
    </row>
    <row r="98" spans="1:13" x14ac:dyDescent="0.3">
      <c r="A98" s="2" t="s">
        <v>138</v>
      </c>
      <c r="B98" s="3">
        <v>45253</v>
      </c>
      <c r="C98" s="2" t="s">
        <v>28</v>
      </c>
      <c r="D98" s="2" t="s">
        <v>14</v>
      </c>
      <c r="E98" s="2" t="s">
        <v>25</v>
      </c>
      <c r="F98" s="2" t="s">
        <v>52</v>
      </c>
      <c r="G98" s="2">
        <v>3</v>
      </c>
      <c r="H98" s="2">
        <v>412.11</v>
      </c>
      <c r="I98" s="2">
        <v>0.2</v>
      </c>
      <c r="J98" s="2">
        <v>989.05</v>
      </c>
      <c r="K98" s="2">
        <v>107.73</v>
      </c>
      <c r="L98" s="2" t="s">
        <v>30</v>
      </c>
      <c r="M98" s="2">
        <f t="shared" si="1"/>
        <v>1236.33</v>
      </c>
    </row>
    <row r="99" spans="1:13" x14ac:dyDescent="0.3">
      <c r="A99" s="2" t="s">
        <v>139</v>
      </c>
      <c r="B99" s="3">
        <v>44935</v>
      </c>
      <c r="C99" s="2" t="s">
        <v>44</v>
      </c>
      <c r="D99" s="2" t="s">
        <v>20</v>
      </c>
      <c r="E99" s="2" t="s">
        <v>25</v>
      </c>
      <c r="F99" s="2" t="s">
        <v>55</v>
      </c>
      <c r="G99" s="2">
        <v>9</v>
      </c>
      <c r="H99" s="2">
        <v>1397.67</v>
      </c>
      <c r="I99" s="2">
        <v>0.1</v>
      </c>
      <c r="J99" s="2">
        <v>11321.09</v>
      </c>
      <c r="K99" s="2">
        <v>2332.4299999999998</v>
      </c>
      <c r="L99" s="2" t="s">
        <v>17</v>
      </c>
      <c r="M99" s="2">
        <f t="shared" si="1"/>
        <v>12579.03</v>
      </c>
    </row>
    <row r="100" spans="1:13" x14ac:dyDescent="0.3">
      <c r="A100" s="2" t="s">
        <v>140</v>
      </c>
      <c r="B100" s="3">
        <v>45270</v>
      </c>
      <c r="C100" s="2" t="s">
        <v>59</v>
      </c>
      <c r="D100" s="2" t="s">
        <v>39</v>
      </c>
      <c r="E100" s="2" t="s">
        <v>15</v>
      </c>
      <c r="F100" s="2" t="s">
        <v>29</v>
      </c>
      <c r="G100" s="2">
        <v>9</v>
      </c>
      <c r="H100" s="2">
        <v>775.19</v>
      </c>
      <c r="I100" s="2">
        <v>0.05</v>
      </c>
      <c r="J100" s="2">
        <v>6627.86</v>
      </c>
      <c r="K100" s="2">
        <v>1232.04</v>
      </c>
      <c r="L100" s="2" t="s">
        <v>17</v>
      </c>
      <c r="M100" s="2">
        <f t="shared" si="1"/>
        <v>6976.7100000000009</v>
      </c>
    </row>
    <row r="101" spans="1:13" x14ac:dyDescent="0.3">
      <c r="A101" s="2" t="s">
        <v>141</v>
      </c>
      <c r="B101" s="3">
        <v>45055</v>
      </c>
      <c r="C101" s="2" t="s">
        <v>36</v>
      </c>
      <c r="D101" s="2" t="s">
        <v>20</v>
      </c>
      <c r="E101" s="2" t="s">
        <v>15</v>
      </c>
      <c r="F101" s="2" t="s">
        <v>16</v>
      </c>
      <c r="G101" s="2">
        <v>6</v>
      </c>
      <c r="H101" s="2">
        <v>1885.68</v>
      </c>
      <c r="I101" s="2">
        <v>0.1</v>
      </c>
      <c r="J101" s="2">
        <v>10182.68</v>
      </c>
      <c r="K101" s="2">
        <v>1361.69</v>
      </c>
      <c r="L101" s="2" t="s">
        <v>17</v>
      </c>
      <c r="M101" s="2">
        <f t="shared" si="1"/>
        <v>11314.08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B5A31-FD13-4CD4-B838-FCE00941AEEA}">
  <dimension ref="A1:M101"/>
  <sheetViews>
    <sheetView workbookViewId="0">
      <selection activeCell="I22" sqref="I22"/>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11.33203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8" t="s">
        <v>146</v>
      </c>
    </row>
    <row r="2" spans="1:13" x14ac:dyDescent="0.3">
      <c r="A2" s="2" t="s">
        <v>12</v>
      </c>
      <c r="B2" s="3">
        <v>45029</v>
      </c>
      <c r="C2" s="2" t="s">
        <v>13</v>
      </c>
      <c r="D2" s="2" t="s">
        <v>14</v>
      </c>
      <c r="E2" s="2" t="s">
        <v>15</v>
      </c>
      <c r="F2" s="2" t="s">
        <v>16</v>
      </c>
      <c r="G2" s="2">
        <v>3</v>
      </c>
      <c r="H2" s="2">
        <v>1443.03</v>
      </c>
      <c r="I2" s="2">
        <v>0.1</v>
      </c>
      <c r="J2" s="2">
        <v>3896.18</v>
      </c>
      <c r="K2" s="2">
        <v>964.48</v>
      </c>
      <c r="L2" s="2" t="s">
        <v>17</v>
      </c>
      <c r="M2" s="2">
        <f>H2*G2</f>
        <v>4329.09</v>
      </c>
    </row>
    <row r="3" spans="1:13" x14ac:dyDescent="0.3">
      <c r="A3" s="2" t="s">
        <v>18</v>
      </c>
      <c r="B3" s="3">
        <v>45275</v>
      </c>
      <c r="C3" s="2" t="s">
        <v>19</v>
      </c>
      <c r="D3" s="2" t="s">
        <v>20</v>
      </c>
      <c r="E3" s="2" t="s">
        <v>21</v>
      </c>
      <c r="F3" s="2" t="s">
        <v>22</v>
      </c>
      <c r="G3" s="2">
        <v>7</v>
      </c>
      <c r="H3" s="2">
        <v>1715.07</v>
      </c>
      <c r="I3" s="2">
        <v>0.15</v>
      </c>
      <c r="J3" s="2">
        <v>10204.69</v>
      </c>
      <c r="K3" s="2">
        <v>1354.41</v>
      </c>
      <c r="L3" s="2" t="s">
        <v>23</v>
      </c>
      <c r="M3" s="2">
        <f t="shared" ref="M3:M66" si="0">H3*G3</f>
        <v>12005.49</v>
      </c>
    </row>
    <row r="4" spans="1:13" x14ac:dyDescent="0.3">
      <c r="A4" s="2" t="s">
        <v>24</v>
      </c>
      <c r="B4" s="3">
        <v>45197</v>
      </c>
      <c r="C4" s="2" t="s">
        <v>13</v>
      </c>
      <c r="D4" s="2" t="s">
        <v>20</v>
      </c>
      <c r="E4" s="2" t="s">
        <v>25</v>
      </c>
      <c r="F4" s="2" t="s">
        <v>26</v>
      </c>
      <c r="G4" s="2">
        <v>8</v>
      </c>
      <c r="H4" s="2">
        <v>621.97</v>
      </c>
      <c r="I4" s="2">
        <v>0.1</v>
      </c>
      <c r="J4" s="2">
        <v>4478.1899999999996</v>
      </c>
      <c r="K4" s="2">
        <v>752.58</v>
      </c>
      <c r="L4" s="2" t="s">
        <v>23</v>
      </c>
      <c r="M4" s="2">
        <f t="shared" si="0"/>
        <v>4975.76</v>
      </c>
    </row>
    <row r="5" spans="1:13" x14ac:dyDescent="0.3">
      <c r="A5" s="2" t="s">
        <v>27</v>
      </c>
      <c r="B5" s="3">
        <v>45033</v>
      </c>
      <c r="C5" s="2" t="s">
        <v>28</v>
      </c>
      <c r="D5" s="2" t="s">
        <v>14</v>
      </c>
      <c r="E5" s="2" t="s">
        <v>15</v>
      </c>
      <c r="F5" s="2" t="s">
        <v>29</v>
      </c>
      <c r="G5" s="2">
        <v>5</v>
      </c>
      <c r="H5" s="2">
        <v>1166.43</v>
      </c>
      <c r="I5" s="2">
        <v>0.1</v>
      </c>
      <c r="J5" s="2">
        <v>5248.92</v>
      </c>
      <c r="K5" s="2">
        <v>948.39</v>
      </c>
      <c r="L5" s="2" t="s">
        <v>30</v>
      </c>
      <c r="M5" s="2">
        <f t="shared" si="0"/>
        <v>5832.1500000000005</v>
      </c>
    </row>
    <row r="6" spans="1:13" x14ac:dyDescent="0.3">
      <c r="A6" s="2" t="s">
        <v>31</v>
      </c>
      <c r="B6" s="3">
        <v>44998</v>
      </c>
      <c r="C6" s="2" t="s">
        <v>13</v>
      </c>
      <c r="D6" s="2" t="s">
        <v>20</v>
      </c>
      <c r="E6" s="2" t="s">
        <v>25</v>
      </c>
      <c r="F6" s="2" t="s">
        <v>26</v>
      </c>
      <c r="G6" s="2">
        <v>7</v>
      </c>
      <c r="H6" s="2">
        <v>1003.2</v>
      </c>
      <c r="I6" s="2">
        <v>0.2</v>
      </c>
      <c r="J6" s="2">
        <v>5617.94</v>
      </c>
      <c r="K6" s="2">
        <v>995.18</v>
      </c>
      <c r="L6" s="2" t="s">
        <v>17</v>
      </c>
      <c r="M6" s="2">
        <f t="shared" si="0"/>
        <v>7022.4000000000005</v>
      </c>
    </row>
    <row r="7" spans="1:13" x14ac:dyDescent="0.3">
      <c r="A7" s="2" t="s">
        <v>32</v>
      </c>
      <c r="B7" s="3">
        <v>45115</v>
      </c>
      <c r="C7" s="2" t="s">
        <v>33</v>
      </c>
      <c r="D7" s="2" t="s">
        <v>14</v>
      </c>
      <c r="E7" s="2" t="s">
        <v>25</v>
      </c>
      <c r="F7" s="2" t="s">
        <v>26</v>
      </c>
      <c r="G7" s="2">
        <v>4</v>
      </c>
      <c r="H7" s="2">
        <v>1891.42</v>
      </c>
      <c r="I7" s="2">
        <v>0.1</v>
      </c>
      <c r="J7" s="2">
        <v>6809.12</v>
      </c>
      <c r="K7" s="2">
        <v>1523.17</v>
      </c>
      <c r="L7" s="2" t="s">
        <v>34</v>
      </c>
      <c r="M7" s="2">
        <f t="shared" si="0"/>
        <v>7565.68</v>
      </c>
    </row>
    <row r="8" spans="1:13" x14ac:dyDescent="0.3">
      <c r="A8" s="2" t="s">
        <v>35</v>
      </c>
      <c r="B8" s="3">
        <v>44947</v>
      </c>
      <c r="C8" s="2" t="s">
        <v>36</v>
      </c>
      <c r="D8" s="2" t="s">
        <v>14</v>
      </c>
      <c r="E8" s="2" t="s">
        <v>21</v>
      </c>
      <c r="F8" s="2" t="s">
        <v>22</v>
      </c>
      <c r="G8" s="2">
        <v>5</v>
      </c>
      <c r="H8" s="2">
        <v>1755.78</v>
      </c>
      <c r="I8" s="2">
        <v>0.15</v>
      </c>
      <c r="J8" s="2">
        <v>7462.04</v>
      </c>
      <c r="K8" s="2">
        <v>780.61</v>
      </c>
      <c r="L8" s="2" t="s">
        <v>23</v>
      </c>
      <c r="M8" s="2">
        <f t="shared" si="0"/>
        <v>8778.9</v>
      </c>
    </row>
    <row r="9" spans="1:13" x14ac:dyDescent="0.3">
      <c r="A9" s="2" t="s">
        <v>37</v>
      </c>
      <c r="B9" s="3">
        <v>45029</v>
      </c>
      <c r="C9" s="2" t="s">
        <v>38</v>
      </c>
      <c r="D9" s="2" t="s">
        <v>39</v>
      </c>
      <c r="E9" s="2" t="s">
        <v>15</v>
      </c>
      <c r="F9" s="2" t="s">
        <v>40</v>
      </c>
      <c r="G9" s="2">
        <v>7</v>
      </c>
      <c r="H9" s="2">
        <v>1802.57</v>
      </c>
      <c r="I9" s="2">
        <v>0</v>
      </c>
      <c r="J9" s="2">
        <v>12618.01</v>
      </c>
      <c r="K9" s="2">
        <v>1489.34</v>
      </c>
      <c r="L9" s="2" t="s">
        <v>34</v>
      </c>
      <c r="M9" s="2">
        <f t="shared" si="0"/>
        <v>12617.99</v>
      </c>
    </row>
    <row r="10" spans="1:13" x14ac:dyDescent="0.3">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row>
    <row r="11" spans="1:13" x14ac:dyDescent="0.3">
      <c r="A11" s="2" t="s">
        <v>43</v>
      </c>
      <c r="B11" s="3">
        <v>45141</v>
      </c>
      <c r="C11" s="2" t="s">
        <v>44</v>
      </c>
      <c r="D11" s="2" t="s">
        <v>14</v>
      </c>
      <c r="E11" s="2" t="s">
        <v>21</v>
      </c>
      <c r="F11" s="2" t="s">
        <v>45</v>
      </c>
      <c r="G11" s="2">
        <v>6</v>
      </c>
      <c r="H11" s="2">
        <v>515.65</v>
      </c>
      <c r="I11" s="2">
        <v>0</v>
      </c>
      <c r="J11" s="2">
        <v>3093.91</v>
      </c>
      <c r="K11" s="2">
        <v>467.05</v>
      </c>
      <c r="L11" s="2" t="s">
        <v>30</v>
      </c>
      <c r="M11" s="2">
        <f t="shared" si="0"/>
        <v>3093.8999999999996</v>
      </c>
    </row>
    <row r="12" spans="1:13" x14ac:dyDescent="0.3">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row>
    <row r="13" spans="1:13" x14ac:dyDescent="0.3">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row>
    <row r="14" spans="1:13" x14ac:dyDescent="0.3">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row>
    <row r="15" spans="1:13" x14ac:dyDescent="0.3">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row>
    <row r="16" spans="1:13" x14ac:dyDescent="0.3">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row>
    <row r="17" spans="1:13" x14ac:dyDescent="0.3">
      <c r="A17" s="2" t="s">
        <v>54</v>
      </c>
      <c r="B17" s="3">
        <v>45057</v>
      </c>
      <c r="C17" s="2" t="s">
        <v>38</v>
      </c>
      <c r="D17" s="2" t="s">
        <v>42</v>
      </c>
      <c r="E17" s="2" t="s">
        <v>25</v>
      </c>
      <c r="F17" s="2" t="s">
        <v>55</v>
      </c>
      <c r="G17" s="2">
        <v>8</v>
      </c>
      <c r="H17" s="2">
        <v>834.8</v>
      </c>
      <c r="I17" s="2">
        <v>0.05</v>
      </c>
      <c r="J17" s="2">
        <v>6344.46</v>
      </c>
      <c r="K17" s="2">
        <v>1645.93</v>
      </c>
      <c r="L17" s="2" t="s">
        <v>23</v>
      </c>
      <c r="M17" s="2">
        <f t="shared" si="0"/>
        <v>6678.4</v>
      </c>
    </row>
    <row r="18" spans="1:13" x14ac:dyDescent="0.3">
      <c r="A18" s="2" t="s">
        <v>56</v>
      </c>
      <c r="B18" s="3">
        <v>45076</v>
      </c>
      <c r="C18" s="2" t="s">
        <v>36</v>
      </c>
      <c r="D18" s="2" t="s">
        <v>39</v>
      </c>
      <c r="E18" s="2" t="s">
        <v>15</v>
      </c>
      <c r="F18" s="2" t="s">
        <v>16</v>
      </c>
      <c r="G18" s="2">
        <v>3</v>
      </c>
      <c r="H18" s="2">
        <v>534.25</v>
      </c>
      <c r="I18" s="2">
        <v>0.05</v>
      </c>
      <c r="J18" s="2">
        <v>1522.6</v>
      </c>
      <c r="K18" s="2">
        <v>449.99</v>
      </c>
      <c r="L18" s="2" t="s">
        <v>34</v>
      </c>
      <c r="M18" s="2">
        <f t="shared" si="0"/>
        <v>1602.75</v>
      </c>
    </row>
    <row r="19" spans="1:13" x14ac:dyDescent="0.3">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row>
    <row r="20" spans="1:13" x14ac:dyDescent="0.3">
      <c r="A20" s="2" t="s">
        <v>58</v>
      </c>
      <c r="B20" s="3">
        <v>45184</v>
      </c>
      <c r="C20" s="2" t="s">
        <v>59</v>
      </c>
      <c r="D20" s="2" t="s">
        <v>39</v>
      </c>
      <c r="E20" s="2" t="s">
        <v>15</v>
      </c>
      <c r="F20" s="2" t="s">
        <v>40</v>
      </c>
      <c r="G20" s="2">
        <v>8</v>
      </c>
      <c r="H20" s="2">
        <v>1786.76</v>
      </c>
      <c r="I20" s="2">
        <v>0.15</v>
      </c>
      <c r="J20" s="2">
        <v>12149.99</v>
      </c>
      <c r="K20" s="2">
        <v>863.07</v>
      </c>
      <c r="L20" s="2" t="s">
        <v>23</v>
      </c>
      <c r="M20" s="2">
        <f t="shared" si="0"/>
        <v>14294.08</v>
      </c>
    </row>
    <row r="21" spans="1:13" x14ac:dyDescent="0.3">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row>
    <row r="22" spans="1:13" x14ac:dyDescent="0.3">
      <c r="A22" s="2" t="s">
        <v>61</v>
      </c>
      <c r="B22" s="3">
        <v>45220</v>
      </c>
      <c r="C22" s="2" t="s">
        <v>13</v>
      </c>
      <c r="D22" s="2" t="s">
        <v>39</v>
      </c>
      <c r="E22" s="2" t="s">
        <v>15</v>
      </c>
      <c r="F22" s="2" t="s">
        <v>29</v>
      </c>
      <c r="G22" s="2">
        <v>9</v>
      </c>
      <c r="H22" s="2">
        <v>434.26</v>
      </c>
      <c r="I22" s="2">
        <v>0.15</v>
      </c>
      <c r="J22" s="2">
        <v>3322.07</v>
      </c>
      <c r="K22" s="2">
        <v>363.14</v>
      </c>
      <c r="L22" s="2" t="s">
        <v>30</v>
      </c>
      <c r="M22" s="2">
        <f t="shared" si="0"/>
        <v>3908.34</v>
      </c>
    </row>
    <row r="23" spans="1:13" x14ac:dyDescent="0.3">
      <c r="A23" s="2" t="s">
        <v>62</v>
      </c>
      <c r="B23" s="3">
        <v>45118</v>
      </c>
      <c r="C23" s="2" t="s">
        <v>51</v>
      </c>
      <c r="D23" s="2" t="s">
        <v>20</v>
      </c>
      <c r="E23" s="2" t="s">
        <v>15</v>
      </c>
      <c r="F23" s="2" t="s">
        <v>16</v>
      </c>
      <c r="G23" s="2">
        <v>1</v>
      </c>
      <c r="H23" s="2">
        <v>685.32</v>
      </c>
      <c r="I23" s="2">
        <v>0.15</v>
      </c>
      <c r="J23" s="2">
        <v>582.52</v>
      </c>
      <c r="K23" s="2">
        <v>103.22</v>
      </c>
      <c r="L23" s="2" t="s">
        <v>23</v>
      </c>
      <c r="M23" s="2">
        <f t="shared" si="0"/>
        <v>685.32</v>
      </c>
    </row>
    <row r="24" spans="1:13" x14ac:dyDescent="0.3">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row>
    <row r="25" spans="1:13" x14ac:dyDescent="0.3">
      <c r="A25" s="2" t="s">
        <v>64</v>
      </c>
      <c r="B25" s="3">
        <v>45087</v>
      </c>
      <c r="C25" s="2" t="s">
        <v>36</v>
      </c>
      <c r="D25" s="2" t="s">
        <v>20</v>
      </c>
      <c r="E25" s="2" t="s">
        <v>25</v>
      </c>
      <c r="F25" s="2" t="s">
        <v>26</v>
      </c>
      <c r="G25" s="2">
        <v>1</v>
      </c>
      <c r="H25" s="2">
        <v>470.96</v>
      </c>
      <c r="I25" s="2">
        <v>0.2</v>
      </c>
      <c r="J25" s="2">
        <v>376.77</v>
      </c>
      <c r="K25" s="2">
        <v>65.86</v>
      </c>
      <c r="L25" s="2" t="s">
        <v>30</v>
      </c>
      <c r="M25" s="2">
        <f t="shared" si="0"/>
        <v>470.96</v>
      </c>
    </row>
    <row r="26" spans="1:13" x14ac:dyDescent="0.3">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row>
    <row r="27" spans="1:13" x14ac:dyDescent="0.3">
      <c r="A27" s="2" t="s">
        <v>66</v>
      </c>
      <c r="B27" s="3">
        <v>44948</v>
      </c>
      <c r="C27" s="2" t="s">
        <v>13</v>
      </c>
      <c r="D27" s="2" t="s">
        <v>39</v>
      </c>
      <c r="E27" s="2" t="s">
        <v>21</v>
      </c>
      <c r="F27" s="2" t="s">
        <v>22</v>
      </c>
      <c r="G27" s="2">
        <v>3</v>
      </c>
      <c r="H27" s="2">
        <v>1962.63</v>
      </c>
      <c r="I27" s="2">
        <v>0.15</v>
      </c>
      <c r="J27" s="2">
        <v>5004.71</v>
      </c>
      <c r="K27" s="2">
        <v>618.64</v>
      </c>
      <c r="L27" s="2" t="s">
        <v>17</v>
      </c>
      <c r="M27" s="2">
        <f t="shared" si="0"/>
        <v>5887.89</v>
      </c>
    </row>
    <row r="28" spans="1:13" x14ac:dyDescent="0.3">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row>
    <row r="29" spans="1:13" x14ac:dyDescent="0.3">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row>
    <row r="30" spans="1:13" x14ac:dyDescent="0.3">
      <c r="A30" s="2" t="s">
        <v>69</v>
      </c>
      <c r="B30" s="3">
        <v>45271</v>
      </c>
      <c r="C30" s="2" t="s">
        <v>28</v>
      </c>
      <c r="D30" s="2" t="s">
        <v>20</v>
      </c>
      <c r="E30" s="2" t="s">
        <v>25</v>
      </c>
      <c r="F30" s="2" t="s">
        <v>55</v>
      </c>
      <c r="G30" s="2">
        <v>6</v>
      </c>
      <c r="H30" s="2">
        <v>783.03</v>
      </c>
      <c r="I30" s="2">
        <v>0.2</v>
      </c>
      <c r="J30" s="2">
        <v>3758.56</v>
      </c>
      <c r="K30" s="2">
        <v>466.54</v>
      </c>
      <c r="L30" s="2" t="s">
        <v>23</v>
      </c>
      <c r="M30" s="2">
        <f t="shared" si="0"/>
        <v>4698.18</v>
      </c>
    </row>
    <row r="31" spans="1:13" x14ac:dyDescent="0.3">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row>
    <row r="32" spans="1:13" x14ac:dyDescent="0.3">
      <c r="A32" s="2" t="s">
        <v>71</v>
      </c>
      <c r="B32" s="3">
        <v>44985</v>
      </c>
      <c r="C32" s="2" t="s">
        <v>19</v>
      </c>
      <c r="D32" s="2" t="s">
        <v>20</v>
      </c>
      <c r="E32" s="2" t="s">
        <v>21</v>
      </c>
      <c r="F32" s="2" t="s">
        <v>45</v>
      </c>
      <c r="G32" s="2">
        <v>7</v>
      </c>
      <c r="H32" s="2">
        <v>152.47</v>
      </c>
      <c r="I32" s="2">
        <v>0.05</v>
      </c>
      <c r="J32" s="2">
        <v>1013.94</v>
      </c>
      <c r="K32" s="2">
        <v>74.52</v>
      </c>
      <c r="L32" s="2" t="s">
        <v>23</v>
      </c>
      <c r="M32" s="2">
        <f t="shared" si="0"/>
        <v>1067.29</v>
      </c>
    </row>
    <row r="33" spans="1:13" x14ac:dyDescent="0.3">
      <c r="A33" s="2" t="s">
        <v>72</v>
      </c>
      <c r="B33" s="3">
        <v>45096</v>
      </c>
      <c r="C33" s="2" t="s">
        <v>51</v>
      </c>
      <c r="D33" s="2" t="s">
        <v>20</v>
      </c>
      <c r="E33" s="2" t="s">
        <v>15</v>
      </c>
      <c r="F33" s="2" t="s">
        <v>29</v>
      </c>
      <c r="G33" s="2">
        <v>6</v>
      </c>
      <c r="H33" s="2">
        <v>1222.58</v>
      </c>
      <c r="I33" s="2">
        <v>0</v>
      </c>
      <c r="J33" s="2">
        <v>7335.5</v>
      </c>
      <c r="K33" s="2">
        <v>435.27</v>
      </c>
      <c r="L33" s="2" t="s">
        <v>23</v>
      </c>
      <c r="M33" s="2">
        <f t="shared" si="0"/>
        <v>7335.48</v>
      </c>
    </row>
    <row r="34" spans="1:13" x14ac:dyDescent="0.3">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row>
    <row r="35" spans="1:13" x14ac:dyDescent="0.3">
      <c r="A35" s="2" t="s">
        <v>74</v>
      </c>
      <c r="B35" s="3">
        <v>45197</v>
      </c>
      <c r="C35" s="2" t="s">
        <v>36</v>
      </c>
      <c r="D35" s="2" t="s">
        <v>39</v>
      </c>
      <c r="E35" s="2" t="s">
        <v>21</v>
      </c>
      <c r="F35" s="2" t="s">
        <v>22</v>
      </c>
      <c r="G35" s="2">
        <v>4</v>
      </c>
      <c r="H35" s="2">
        <v>881.57</v>
      </c>
      <c r="I35" s="2">
        <v>0.1</v>
      </c>
      <c r="J35" s="2">
        <v>3173.66</v>
      </c>
      <c r="K35" s="2">
        <v>664.43</v>
      </c>
      <c r="L35" s="2" t="s">
        <v>34</v>
      </c>
      <c r="M35" s="2">
        <f t="shared" si="0"/>
        <v>3526.28</v>
      </c>
    </row>
    <row r="36" spans="1:13" x14ac:dyDescent="0.3">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row>
    <row r="37" spans="1:13" x14ac:dyDescent="0.3">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row>
    <row r="38" spans="1:13" x14ac:dyDescent="0.3">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row>
    <row r="39" spans="1:13" x14ac:dyDescent="0.3">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row>
    <row r="40" spans="1:13" x14ac:dyDescent="0.3">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row>
    <row r="41" spans="1:13" x14ac:dyDescent="0.3">
      <c r="A41" s="2" t="s">
        <v>80</v>
      </c>
      <c r="B41" s="3">
        <v>45170</v>
      </c>
      <c r="C41" s="2" t="s">
        <v>28</v>
      </c>
      <c r="D41" s="2" t="s">
        <v>14</v>
      </c>
      <c r="E41" s="2" t="s">
        <v>25</v>
      </c>
      <c r="F41" s="2" t="s">
        <v>26</v>
      </c>
      <c r="G41" s="2">
        <v>4</v>
      </c>
      <c r="H41" s="2">
        <v>429.08</v>
      </c>
      <c r="I41" s="2">
        <v>0.2</v>
      </c>
      <c r="J41" s="2">
        <v>1373.07</v>
      </c>
      <c r="K41" s="2">
        <v>205.45</v>
      </c>
      <c r="L41" s="2" t="s">
        <v>34</v>
      </c>
      <c r="M41" s="2">
        <f t="shared" si="0"/>
        <v>1716.32</v>
      </c>
    </row>
    <row r="42" spans="1:13" x14ac:dyDescent="0.3">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row>
    <row r="43" spans="1:13" x14ac:dyDescent="0.3">
      <c r="A43" s="2" t="s">
        <v>82</v>
      </c>
      <c r="B43" s="3">
        <v>45057</v>
      </c>
      <c r="C43" s="2" t="s">
        <v>33</v>
      </c>
      <c r="D43" s="2" t="s">
        <v>20</v>
      </c>
      <c r="E43" s="2" t="s">
        <v>15</v>
      </c>
      <c r="F43" s="2" t="s">
        <v>40</v>
      </c>
      <c r="G43" s="2">
        <v>1</v>
      </c>
      <c r="H43" s="2">
        <v>1747.68</v>
      </c>
      <c r="I43" s="2">
        <v>0.1</v>
      </c>
      <c r="J43" s="2">
        <v>1572.91</v>
      </c>
      <c r="K43" s="2">
        <v>393.6</v>
      </c>
      <c r="L43" s="2" t="s">
        <v>30</v>
      </c>
      <c r="M43" s="2">
        <f t="shared" si="0"/>
        <v>1747.68</v>
      </c>
    </row>
    <row r="44" spans="1:13" x14ac:dyDescent="0.3">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row>
    <row r="45" spans="1:13" x14ac:dyDescent="0.3">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row>
    <row r="46" spans="1:13" x14ac:dyDescent="0.3">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row>
    <row r="47" spans="1:13" x14ac:dyDescent="0.3">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row>
    <row r="48" spans="1:13" x14ac:dyDescent="0.3">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row>
    <row r="49" spans="1:13" x14ac:dyDescent="0.3">
      <c r="A49" s="2" t="s">
        <v>88</v>
      </c>
      <c r="B49" s="3">
        <v>45200</v>
      </c>
      <c r="C49" s="2" t="s">
        <v>44</v>
      </c>
      <c r="D49" s="2" t="s">
        <v>42</v>
      </c>
      <c r="E49" s="2" t="s">
        <v>25</v>
      </c>
      <c r="F49" s="2" t="s">
        <v>55</v>
      </c>
      <c r="G49" s="2">
        <v>7</v>
      </c>
      <c r="H49" s="2">
        <v>1526.66</v>
      </c>
      <c r="I49" s="2">
        <v>0</v>
      </c>
      <c r="J49" s="2">
        <v>10686.59</v>
      </c>
      <c r="K49" s="2">
        <v>1170.81</v>
      </c>
      <c r="L49" s="2" t="s">
        <v>23</v>
      </c>
      <c r="M49" s="2">
        <f t="shared" si="0"/>
        <v>10686.62</v>
      </c>
    </row>
    <row r="50" spans="1:13" x14ac:dyDescent="0.3">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row>
    <row r="51" spans="1:13" x14ac:dyDescent="0.3">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row>
    <row r="52" spans="1:13" x14ac:dyDescent="0.3">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row>
    <row r="53" spans="1:13" x14ac:dyDescent="0.3">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row>
    <row r="54" spans="1:13" x14ac:dyDescent="0.3">
      <c r="A54" s="2" t="s">
        <v>94</v>
      </c>
      <c r="B54" s="3">
        <v>45191</v>
      </c>
      <c r="C54" s="2" t="s">
        <v>38</v>
      </c>
      <c r="D54" s="2" t="s">
        <v>14</v>
      </c>
      <c r="E54" s="2" t="s">
        <v>25</v>
      </c>
      <c r="F54" s="2" t="s">
        <v>52</v>
      </c>
      <c r="G54" s="2">
        <v>1</v>
      </c>
      <c r="H54" s="2">
        <v>292.13</v>
      </c>
      <c r="I54" s="2">
        <v>0.2</v>
      </c>
      <c r="J54" s="2">
        <v>233.71</v>
      </c>
      <c r="K54" s="2">
        <v>24.69</v>
      </c>
      <c r="L54" s="2" t="s">
        <v>17</v>
      </c>
      <c r="M54" s="2">
        <f t="shared" si="0"/>
        <v>292.13</v>
      </c>
    </row>
    <row r="55" spans="1:13" x14ac:dyDescent="0.3">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row>
    <row r="56" spans="1:13" x14ac:dyDescent="0.3">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row>
    <row r="57" spans="1:13" x14ac:dyDescent="0.3">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row>
    <row r="58" spans="1:13" x14ac:dyDescent="0.3">
      <c r="A58" s="2" t="s">
        <v>98</v>
      </c>
      <c r="B58" s="3">
        <v>45018</v>
      </c>
      <c r="C58" s="2" t="s">
        <v>38</v>
      </c>
      <c r="D58" s="2" t="s">
        <v>20</v>
      </c>
      <c r="E58" s="2" t="s">
        <v>21</v>
      </c>
      <c r="F58" s="2" t="s">
        <v>22</v>
      </c>
      <c r="G58" s="2">
        <v>9</v>
      </c>
      <c r="H58" s="2">
        <v>1514</v>
      </c>
      <c r="I58" s="2">
        <v>0.1</v>
      </c>
      <c r="J58" s="2">
        <v>12263.42</v>
      </c>
      <c r="K58" s="2">
        <v>2401.69</v>
      </c>
      <c r="L58" s="2" t="s">
        <v>30</v>
      </c>
      <c r="M58" s="2">
        <f t="shared" si="0"/>
        <v>13626</v>
      </c>
    </row>
    <row r="59" spans="1:13" x14ac:dyDescent="0.3">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row>
    <row r="60" spans="1:13" x14ac:dyDescent="0.3">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row>
    <row r="61" spans="1:13" x14ac:dyDescent="0.3">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row>
    <row r="62" spans="1:13" x14ac:dyDescent="0.3">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row>
    <row r="63" spans="1:13" x14ac:dyDescent="0.3">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row>
    <row r="64" spans="1:13" x14ac:dyDescent="0.3">
      <c r="A64" s="2" t="s">
        <v>104</v>
      </c>
      <c r="B64" s="3">
        <v>45286</v>
      </c>
      <c r="C64" s="2" t="s">
        <v>13</v>
      </c>
      <c r="D64" s="2" t="s">
        <v>20</v>
      </c>
      <c r="E64" s="2" t="s">
        <v>25</v>
      </c>
      <c r="F64" s="2" t="s">
        <v>55</v>
      </c>
      <c r="G64" s="2">
        <v>3</v>
      </c>
      <c r="H64" s="2">
        <v>1662.82</v>
      </c>
      <c r="I64" s="2">
        <v>0.05</v>
      </c>
      <c r="J64" s="2">
        <v>4739.04</v>
      </c>
      <c r="K64" s="2">
        <v>730.57</v>
      </c>
      <c r="L64" s="2" t="s">
        <v>34</v>
      </c>
      <c r="M64" s="2">
        <f t="shared" si="0"/>
        <v>4988.46</v>
      </c>
    </row>
    <row r="65" spans="1:13" x14ac:dyDescent="0.3">
      <c r="A65" s="2" t="s">
        <v>105</v>
      </c>
      <c r="B65" s="3">
        <v>44928</v>
      </c>
      <c r="C65" s="2" t="s">
        <v>19</v>
      </c>
      <c r="D65" s="2" t="s">
        <v>39</v>
      </c>
      <c r="E65" s="2" t="s">
        <v>21</v>
      </c>
      <c r="F65" s="2" t="s">
        <v>48</v>
      </c>
      <c r="G65" s="2">
        <v>8</v>
      </c>
      <c r="H65" s="2">
        <v>1765.66</v>
      </c>
      <c r="I65" s="2">
        <v>0.1</v>
      </c>
      <c r="J65" s="2">
        <v>12712.73</v>
      </c>
      <c r="K65" s="2">
        <v>779.35</v>
      </c>
      <c r="L65" s="2" t="s">
        <v>34</v>
      </c>
      <c r="M65" s="2">
        <f t="shared" si="0"/>
        <v>14125.28</v>
      </c>
    </row>
    <row r="66" spans="1:13" x14ac:dyDescent="0.3">
      <c r="A66" s="2" t="s">
        <v>106</v>
      </c>
      <c r="B66" s="3">
        <v>44980</v>
      </c>
      <c r="C66" s="2" t="s">
        <v>28</v>
      </c>
      <c r="D66" s="2" t="s">
        <v>20</v>
      </c>
      <c r="E66" s="2" t="s">
        <v>21</v>
      </c>
      <c r="F66" s="2" t="s">
        <v>22</v>
      </c>
      <c r="G66" s="2">
        <v>2</v>
      </c>
      <c r="H66" s="2">
        <v>1975.82</v>
      </c>
      <c r="I66" s="2">
        <v>0</v>
      </c>
      <c r="J66" s="2">
        <v>3951.65</v>
      </c>
      <c r="K66" s="2">
        <v>569.77</v>
      </c>
      <c r="L66" s="2" t="s">
        <v>34</v>
      </c>
      <c r="M66" s="2">
        <f t="shared" si="0"/>
        <v>3951.64</v>
      </c>
    </row>
    <row r="67" spans="1:13" x14ac:dyDescent="0.3">
      <c r="A67" s="2" t="s">
        <v>107</v>
      </c>
      <c r="B67" s="3">
        <v>45032</v>
      </c>
      <c r="C67" s="2" t="s">
        <v>44</v>
      </c>
      <c r="D67" s="2" t="s">
        <v>42</v>
      </c>
      <c r="E67" s="2" t="s">
        <v>21</v>
      </c>
      <c r="F67" s="2" t="s">
        <v>45</v>
      </c>
      <c r="G67" s="2">
        <v>1</v>
      </c>
      <c r="H67" s="2">
        <v>1692.82</v>
      </c>
      <c r="I67" s="2">
        <v>0.05</v>
      </c>
      <c r="J67" s="2">
        <v>1608.18</v>
      </c>
      <c r="K67" s="2">
        <v>95.21</v>
      </c>
      <c r="L67" s="2" t="s">
        <v>30</v>
      </c>
      <c r="M67" s="2">
        <f t="shared" ref="M67:M101" si="1">H67*G67</f>
        <v>1692.82</v>
      </c>
    </row>
    <row r="68" spans="1:13" x14ac:dyDescent="0.3">
      <c r="A68" s="2" t="s">
        <v>108</v>
      </c>
      <c r="B68" s="3">
        <v>45186</v>
      </c>
      <c r="C68" s="2" t="s">
        <v>13</v>
      </c>
      <c r="D68" s="2" t="s">
        <v>20</v>
      </c>
      <c r="E68" s="2" t="s">
        <v>15</v>
      </c>
      <c r="F68" s="2" t="s">
        <v>40</v>
      </c>
      <c r="G68" s="2">
        <v>1</v>
      </c>
      <c r="H68" s="2">
        <v>1115.26</v>
      </c>
      <c r="I68" s="2">
        <v>0.2</v>
      </c>
      <c r="J68" s="2">
        <v>892.21</v>
      </c>
      <c r="K68" s="2">
        <v>266.91000000000003</v>
      </c>
      <c r="L68" s="2" t="s">
        <v>34</v>
      </c>
      <c r="M68" s="2">
        <f t="shared" si="1"/>
        <v>1115.26</v>
      </c>
    </row>
    <row r="69" spans="1:13" x14ac:dyDescent="0.3">
      <c r="A69" s="2" t="s">
        <v>109</v>
      </c>
      <c r="B69" s="3">
        <v>45236</v>
      </c>
      <c r="C69" s="2" t="s">
        <v>90</v>
      </c>
      <c r="D69" s="2" t="s">
        <v>42</v>
      </c>
      <c r="E69" s="2" t="s">
        <v>25</v>
      </c>
      <c r="F69" s="2" t="s">
        <v>55</v>
      </c>
      <c r="G69" s="2">
        <v>3</v>
      </c>
      <c r="H69" s="2">
        <v>569.96</v>
      </c>
      <c r="I69" s="2">
        <v>0</v>
      </c>
      <c r="J69" s="2">
        <v>1709.88</v>
      </c>
      <c r="K69" s="2">
        <v>140.71</v>
      </c>
      <c r="L69" s="2" t="s">
        <v>34</v>
      </c>
      <c r="M69" s="2">
        <f t="shared" si="1"/>
        <v>1709.88</v>
      </c>
    </row>
    <row r="70" spans="1:13" x14ac:dyDescent="0.3">
      <c r="A70" s="2" t="s">
        <v>110</v>
      </c>
      <c r="B70" s="3">
        <v>45117</v>
      </c>
      <c r="C70" s="2" t="s">
        <v>59</v>
      </c>
      <c r="D70" s="2" t="s">
        <v>20</v>
      </c>
      <c r="E70" s="2" t="s">
        <v>21</v>
      </c>
      <c r="F70" s="2" t="s">
        <v>22</v>
      </c>
      <c r="G70" s="2">
        <v>1</v>
      </c>
      <c r="H70" s="2">
        <v>1538.3</v>
      </c>
      <c r="I70" s="2">
        <v>0.05</v>
      </c>
      <c r="J70" s="2">
        <v>1461.38</v>
      </c>
      <c r="K70" s="2">
        <v>203.92</v>
      </c>
      <c r="L70" s="2" t="s">
        <v>23</v>
      </c>
      <c r="M70" s="2">
        <f t="shared" si="1"/>
        <v>1538.3</v>
      </c>
    </row>
    <row r="71" spans="1:13" x14ac:dyDescent="0.3">
      <c r="A71" s="2" t="s">
        <v>111</v>
      </c>
      <c r="B71" s="3">
        <v>45144</v>
      </c>
      <c r="C71" s="2" t="s">
        <v>44</v>
      </c>
      <c r="D71" s="2" t="s">
        <v>14</v>
      </c>
      <c r="E71" s="2" t="s">
        <v>21</v>
      </c>
      <c r="F71" s="2" t="s">
        <v>48</v>
      </c>
      <c r="G71" s="2">
        <v>6</v>
      </c>
      <c r="H71" s="2">
        <v>1567.4</v>
      </c>
      <c r="I71" s="2">
        <v>0.1</v>
      </c>
      <c r="J71" s="2">
        <v>8463.99</v>
      </c>
      <c r="K71" s="2">
        <v>1074.45</v>
      </c>
      <c r="L71" s="2" t="s">
        <v>30</v>
      </c>
      <c r="M71" s="2">
        <f t="shared" si="1"/>
        <v>9404.4000000000015</v>
      </c>
    </row>
    <row r="72" spans="1:13" x14ac:dyDescent="0.3">
      <c r="A72" s="2" t="s">
        <v>112</v>
      </c>
      <c r="B72" s="3">
        <v>44970</v>
      </c>
      <c r="C72" s="2" t="s">
        <v>33</v>
      </c>
      <c r="D72" s="2" t="s">
        <v>20</v>
      </c>
      <c r="E72" s="2" t="s">
        <v>25</v>
      </c>
      <c r="F72" s="2" t="s">
        <v>52</v>
      </c>
      <c r="G72" s="2">
        <v>9</v>
      </c>
      <c r="H72" s="2">
        <v>1220.92</v>
      </c>
      <c r="I72" s="2">
        <v>0.2</v>
      </c>
      <c r="J72" s="2">
        <v>8790.6</v>
      </c>
      <c r="K72" s="2">
        <v>1802.75</v>
      </c>
      <c r="L72" s="2" t="s">
        <v>17</v>
      </c>
      <c r="M72" s="2">
        <f t="shared" si="1"/>
        <v>10988.28</v>
      </c>
    </row>
    <row r="73" spans="1:13" x14ac:dyDescent="0.3">
      <c r="A73" s="2" t="s">
        <v>113</v>
      </c>
      <c r="B73" s="3">
        <v>45088</v>
      </c>
      <c r="C73" s="2" t="s">
        <v>90</v>
      </c>
      <c r="D73" s="2" t="s">
        <v>20</v>
      </c>
      <c r="E73" s="2" t="s">
        <v>15</v>
      </c>
      <c r="F73" s="2" t="s">
        <v>40</v>
      </c>
      <c r="G73" s="2">
        <v>2</v>
      </c>
      <c r="H73" s="2">
        <v>766.12</v>
      </c>
      <c r="I73" s="2">
        <v>0.05</v>
      </c>
      <c r="J73" s="2">
        <v>1455.62</v>
      </c>
      <c r="K73" s="2">
        <v>304.45999999999998</v>
      </c>
      <c r="L73" s="2" t="s">
        <v>23</v>
      </c>
      <c r="M73" s="2">
        <f t="shared" si="1"/>
        <v>1532.24</v>
      </c>
    </row>
    <row r="74" spans="1:13" x14ac:dyDescent="0.3">
      <c r="A74" s="2" t="s">
        <v>114</v>
      </c>
      <c r="B74" s="3">
        <v>45128</v>
      </c>
      <c r="C74" s="2" t="s">
        <v>28</v>
      </c>
      <c r="D74" s="2" t="s">
        <v>20</v>
      </c>
      <c r="E74" s="2" t="s">
        <v>25</v>
      </c>
      <c r="F74" s="2" t="s">
        <v>52</v>
      </c>
      <c r="G74" s="2">
        <v>1</v>
      </c>
      <c r="H74" s="2">
        <v>1588.94</v>
      </c>
      <c r="I74" s="2">
        <v>0.15</v>
      </c>
      <c r="J74" s="2">
        <v>1350.6</v>
      </c>
      <c r="K74" s="2">
        <v>168.14</v>
      </c>
      <c r="L74" s="2" t="s">
        <v>34</v>
      </c>
      <c r="M74" s="2">
        <f t="shared" si="1"/>
        <v>1588.94</v>
      </c>
    </row>
    <row r="75" spans="1:13" x14ac:dyDescent="0.3">
      <c r="A75" s="2" t="s">
        <v>115</v>
      </c>
      <c r="B75" s="3">
        <v>45196</v>
      </c>
      <c r="C75" s="2" t="s">
        <v>36</v>
      </c>
      <c r="D75" s="2" t="s">
        <v>39</v>
      </c>
      <c r="E75" s="2" t="s">
        <v>25</v>
      </c>
      <c r="F75" s="2" t="s">
        <v>55</v>
      </c>
      <c r="G75" s="2">
        <v>4</v>
      </c>
      <c r="H75" s="2">
        <v>972.76</v>
      </c>
      <c r="I75" s="2">
        <v>0</v>
      </c>
      <c r="J75" s="2">
        <v>3891.04</v>
      </c>
      <c r="K75" s="2">
        <v>673.26</v>
      </c>
      <c r="L75" s="2" t="s">
        <v>34</v>
      </c>
      <c r="M75" s="2">
        <f t="shared" si="1"/>
        <v>3891.04</v>
      </c>
    </row>
    <row r="76" spans="1:13" x14ac:dyDescent="0.3">
      <c r="A76" s="2" t="s">
        <v>116</v>
      </c>
      <c r="B76" s="3">
        <v>45277</v>
      </c>
      <c r="C76" s="2" t="s">
        <v>90</v>
      </c>
      <c r="D76" s="2" t="s">
        <v>20</v>
      </c>
      <c r="E76" s="2" t="s">
        <v>21</v>
      </c>
      <c r="F76" s="2" t="s">
        <v>48</v>
      </c>
      <c r="G76" s="2">
        <v>5</v>
      </c>
      <c r="H76" s="2">
        <v>760.09</v>
      </c>
      <c r="I76" s="2">
        <v>0.1</v>
      </c>
      <c r="J76" s="2">
        <v>3420.38</v>
      </c>
      <c r="K76" s="2">
        <v>666.68</v>
      </c>
      <c r="L76" s="2" t="s">
        <v>34</v>
      </c>
      <c r="M76" s="2">
        <f t="shared" si="1"/>
        <v>3800.4500000000003</v>
      </c>
    </row>
    <row r="77" spans="1:13" x14ac:dyDescent="0.3">
      <c r="A77" s="2" t="s">
        <v>117</v>
      </c>
      <c r="B77" s="3">
        <v>45230</v>
      </c>
      <c r="C77" s="2" t="s">
        <v>59</v>
      </c>
      <c r="D77" s="2" t="s">
        <v>42</v>
      </c>
      <c r="E77" s="2" t="s">
        <v>15</v>
      </c>
      <c r="F77" s="2" t="s">
        <v>16</v>
      </c>
      <c r="G77" s="2">
        <v>6</v>
      </c>
      <c r="H77" s="2">
        <v>1425.57</v>
      </c>
      <c r="I77" s="2">
        <v>0.15</v>
      </c>
      <c r="J77" s="2">
        <v>7270.4</v>
      </c>
      <c r="K77" s="2">
        <v>694.11</v>
      </c>
      <c r="L77" s="2" t="s">
        <v>17</v>
      </c>
      <c r="M77" s="2">
        <f t="shared" si="1"/>
        <v>8553.42</v>
      </c>
    </row>
    <row r="78" spans="1:13" x14ac:dyDescent="0.3">
      <c r="A78" s="2" t="s">
        <v>118</v>
      </c>
      <c r="B78" s="3">
        <v>45197</v>
      </c>
      <c r="C78" s="2" t="s">
        <v>13</v>
      </c>
      <c r="D78" s="2" t="s">
        <v>14</v>
      </c>
      <c r="E78" s="2" t="s">
        <v>15</v>
      </c>
      <c r="F78" s="2" t="s">
        <v>16</v>
      </c>
      <c r="G78" s="2">
        <v>2</v>
      </c>
      <c r="H78" s="2">
        <v>1243.68</v>
      </c>
      <c r="I78" s="2">
        <v>0.1</v>
      </c>
      <c r="J78" s="2">
        <v>2238.62</v>
      </c>
      <c r="K78" s="2">
        <v>134.80000000000001</v>
      </c>
      <c r="L78" s="2" t="s">
        <v>30</v>
      </c>
      <c r="M78" s="2">
        <f t="shared" si="1"/>
        <v>2487.36</v>
      </c>
    </row>
    <row r="79" spans="1:13" x14ac:dyDescent="0.3">
      <c r="A79" s="2" t="s">
        <v>119</v>
      </c>
      <c r="B79" s="3">
        <v>45141</v>
      </c>
      <c r="C79" s="2" t="s">
        <v>28</v>
      </c>
      <c r="D79" s="2" t="s">
        <v>14</v>
      </c>
      <c r="E79" s="2" t="s">
        <v>21</v>
      </c>
      <c r="F79" s="2" t="s">
        <v>22</v>
      </c>
      <c r="G79" s="2">
        <v>6</v>
      </c>
      <c r="H79" s="2">
        <v>268.52999999999997</v>
      </c>
      <c r="I79" s="2">
        <v>0</v>
      </c>
      <c r="J79" s="2">
        <v>1611.21</v>
      </c>
      <c r="K79" s="2">
        <v>295.83</v>
      </c>
      <c r="L79" s="2" t="s">
        <v>23</v>
      </c>
      <c r="M79" s="2">
        <f t="shared" si="1"/>
        <v>1611.1799999999998</v>
      </c>
    </row>
    <row r="80" spans="1:13" x14ac:dyDescent="0.3">
      <c r="A80" s="2" t="s">
        <v>120</v>
      </c>
      <c r="B80" s="3">
        <v>45178</v>
      </c>
      <c r="C80" s="2" t="s">
        <v>59</v>
      </c>
      <c r="D80" s="2" t="s">
        <v>14</v>
      </c>
      <c r="E80" s="2" t="s">
        <v>25</v>
      </c>
      <c r="F80" s="2" t="s">
        <v>52</v>
      </c>
      <c r="G80" s="2">
        <v>9</v>
      </c>
      <c r="H80" s="2">
        <v>275.35000000000002</v>
      </c>
      <c r="I80" s="2">
        <v>0</v>
      </c>
      <c r="J80" s="2">
        <v>2478.17</v>
      </c>
      <c r="K80" s="2">
        <v>550.02</v>
      </c>
      <c r="L80" s="2" t="s">
        <v>17</v>
      </c>
      <c r="M80" s="2">
        <f t="shared" si="1"/>
        <v>2478.15</v>
      </c>
    </row>
    <row r="81" spans="1:13" x14ac:dyDescent="0.3">
      <c r="A81" s="2" t="s">
        <v>121</v>
      </c>
      <c r="B81" s="3">
        <v>45116</v>
      </c>
      <c r="C81" s="2" t="s">
        <v>90</v>
      </c>
      <c r="D81" s="2" t="s">
        <v>42</v>
      </c>
      <c r="E81" s="2" t="s">
        <v>15</v>
      </c>
      <c r="F81" s="2" t="s">
        <v>29</v>
      </c>
      <c r="G81" s="2">
        <v>1</v>
      </c>
      <c r="H81" s="2">
        <v>626.07000000000005</v>
      </c>
      <c r="I81" s="2">
        <v>0</v>
      </c>
      <c r="J81" s="2">
        <v>626.07000000000005</v>
      </c>
      <c r="K81" s="2">
        <v>44.53</v>
      </c>
      <c r="L81" s="2" t="s">
        <v>30</v>
      </c>
      <c r="M81" s="2">
        <f t="shared" si="1"/>
        <v>626.07000000000005</v>
      </c>
    </row>
    <row r="82" spans="1:13" x14ac:dyDescent="0.3">
      <c r="A82" s="2" t="s">
        <v>122</v>
      </c>
      <c r="B82" s="3">
        <v>45222</v>
      </c>
      <c r="C82" s="2" t="s">
        <v>59</v>
      </c>
      <c r="D82" s="2" t="s">
        <v>14</v>
      </c>
      <c r="E82" s="2" t="s">
        <v>15</v>
      </c>
      <c r="F82" s="2" t="s">
        <v>16</v>
      </c>
      <c r="G82" s="2">
        <v>8</v>
      </c>
      <c r="H82" s="2">
        <v>1020.59</v>
      </c>
      <c r="I82" s="2">
        <v>0.05</v>
      </c>
      <c r="J82" s="2">
        <v>7756.51</v>
      </c>
      <c r="K82" s="2">
        <v>1861.48</v>
      </c>
      <c r="L82" s="2" t="s">
        <v>34</v>
      </c>
      <c r="M82" s="2">
        <f t="shared" si="1"/>
        <v>8164.72</v>
      </c>
    </row>
    <row r="83" spans="1:13" x14ac:dyDescent="0.3">
      <c r="A83" s="2" t="s">
        <v>123</v>
      </c>
      <c r="B83" s="3">
        <v>45139</v>
      </c>
      <c r="C83" s="2" t="s">
        <v>33</v>
      </c>
      <c r="D83" s="2" t="s">
        <v>14</v>
      </c>
      <c r="E83" s="2" t="s">
        <v>21</v>
      </c>
      <c r="F83" s="2" t="s">
        <v>48</v>
      </c>
      <c r="G83" s="2">
        <v>8</v>
      </c>
      <c r="H83" s="2">
        <v>352.92</v>
      </c>
      <c r="I83" s="2">
        <v>0.1</v>
      </c>
      <c r="J83" s="2">
        <v>2541.04</v>
      </c>
      <c r="K83" s="2">
        <v>695.74</v>
      </c>
      <c r="L83" s="2" t="s">
        <v>23</v>
      </c>
      <c r="M83" s="2">
        <f t="shared" si="1"/>
        <v>2823.36</v>
      </c>
    </row>
    <row r="84" spans="1:13" x14ac:dyDescent="0.3">
      <c r="A84" s="2" t="s">
        <v>124</v>
      </c>
      <c r="B84" s="3">
        <v>45134</v>
      </c>
      <c r="C84" s="2" t="s">
        <v>38</v>
      </c>
      <c r="D84" s="2" t="s">
        <v>42</v>
      </c>
      <c r="E84" s="2" t="s">
        <v>15</v>
      </c>
      <c r="F84" s="2" t="s">
        <v>16</v>
      </c>
      <c r="G84" s="2">
        <v>9</v>
      </c>
      <c r="H84" s="2">
        <v>1501.07</v>
      </c>
      <c r="I84" s="2">
        <v>0.15</v>
      </c>
      <c r="J84" s="2">
        <v>11483.18</v>
      </c>
      <c r="K84" s="2">
        <v>631.78</v>
      </c>
      <c r="L84" s="2" t="s">
        <v>17</v>
      </c>
      <c r="M84" s="2">
        <f t="shared" si="1"/>
        <v>13509.63</v>
      </c>
    </row>
    <row r="85" spans="1:13" x14ac:dyDescent="0.3">
      <c r="A85" s="2" t="s">
        <v>125</v>
      </c>
      <c r="B85" s="3">
        <v>45163</v>
      </c>
      <c r="C85" s="2" t="s">
        <v>28</v>
      </c>
      <c r="D85" s="2" t="s">
        <v>20</v>
      </c>
      <c r="E85" s="2" t="s">
        <v>21</v>
      </c>
      <c r="F85" s="2" t="s">
        <v>48</v>
      </c>
      <c r="G85" s="2">
        <v>9</v>
      </c>
      <c r="H85" s="2">
        <v>1792</v>
      </c>
      <c r="I85" s="2">
        <v>0.15</v>
      </c>
      <c r="J85" s="2">
        <v>13708.81</v>
      </c>
      <c r="K85" s="2">
        <v>2309.83</v>
      </c>
      <c r="L85" s="2" t="s">
        <v>34</v>
      </c>
      <c r="M85" s="2">
        <f t="shared" si="1"/>
        <v>16128</v>
      </c>
    </row>
    <row r="86" spans="1:13" x14ac:dyDescent="0.3">
      <c r="A86" s="2" t="s">
        <v>126</v>
      </c>
      <c r="B86" s="3">
        <v>45264</v>
      </c>
      <c r="C86" s="2" t="s">
        <v>59</v>
      </c>
      <c r="D86" s="2" t="s">
        <v>42</v>
      </c>
      <c r="E86" s="2" t="s">
        <v>25</v>
      </c>
      <c r="F86" s="2" t="s">
        <v>52</v>
      </c>
      <c r="G86" s="2">
        <v>4</v>
      </c>
      <c r="H86" s="2">
        <v>1120.5</v>
      </c>
      <c r="I86" s="2">
        <v>0.05</v>
      </c>
      <c r="J86" s="2">
        <v>4257.91</v>
      </c>
      <c r="K86" s="2">
        <v>806.6</v>
      </c>
      <c r="L86" s="2" t="s">
        <v>30</v>
      </c>
      <c r="M86" s="2">
        <f t="shared" si="1"/>
        <v>4482</v>
      </c>
    </row>
    <row r="87" spans="1:13" x14ac:dyDescent="0.3">
      <c r="A87" s="2" t="s">
        <v>127</v>
      </c>
      <c r="B87" s="3">
        <v>44979</v>
      </c>
      <c r="C87" s="2" t="s">
        <v>33</v>
      </c>
      <c r="D87" s="2" t="s">
        <v>20</v>
      </c>
      <c r="E87" s="2" t="s">
        <v>15</v>
      </c>
      <c r="F87" s="2" t="s">
        <v>40</v>
      </c>
      <c r="G87" s="2">
        <v>9</v>
      </c>
      <c r="H87" s="2">
        <v>741.15</v>
      </c>
      <c r="I87" s="2">
        <v>0.15</v>
      </c>
      <c r="J87" s="2">
        <v>5669.79</v>
      </c>
      <c r="K87" s="2">
        <v>1199.04</v>
      </c>
      <c r="L87" s="2" t="s">
        <v>30</v>
      </c>
      <c r="M87" s="2">
        <f t="shared" si="1"/>
        <v>6670.3499999999995</v>
      </c>
    </row>
    <row r="88" spans="1:13" x14ac:dyDescent="0.3">
      <c r="A88" s="2" t="s">
        <v>128</v>
      </c>
      <c r="B88" s="3">
        <v>45206</v>
      </c>
      <c r="C88" s="2" t="s">
        <v>13</v>
      </c>
      <c r="D88" s="2" t="s">
        <v>14</v>
      </c>
      <c r="E88" s="2" t="s">
        <v>15</v>
      </c>
      <c r="F88" s="2" t="s">
        <v>29</v>
      </c>
      <c r="G88" s="2">
        <v>6</v>
      </c>
      <c r="H88" s="2">
        <v>1250.97</v>
      </c>
      <c r="I88" s="2">
        <v>0</v>
      </c>
      <c r="J88" s="2">
        <v>7505.83</v>
      </c>
      <c r="K88" s="2">
        <v>389.43</v>
      </c>
      <c r="L88" s="2" t="s">
        <v>23</v>
      </c>
      <c r="M88" s="2">
        <f t="shared" si="1"/>
        <v>7505.82</v>
      </c>
    </row>
    <row r="89" spans="1:13" x14ac:dyDescent="0.3">
      <c r="A89" s="2" t="s">
        <v>129</v>
      </c>
      <c r="B89" s="3">
        <v>45143</v>
      </c>
      <c r="C89" s="2" t="s">
        <v>59</v>
      </c>
      <c r="D89" s="2" t="s">
        <v>42</v>
      </c>
      <c r="E89" s="2" t="s">
        <v>15</v>
      </c>
      <c r="F89" s="2" t="s">
        <v>40</v>
      </c>
      <c r="G89" s="2">
        <v>8</v>
      </c>
      <c r="H89" s="2">
        <v>1803.85</v>
      </c>
      <c r="I89" s="2">
        <v>0.1</v>
      </c>
      <c r="J89" s="2">
        <v>12987.75</v>
      </c>
      <c r="K89" s="2">
        <v>2352.44</v>
      </c>
      <c r="L89" s="2" t="s">
        <v>30</v>
      </c>
      <c r="M89" s="2">
        <f t="shared" si="1"/>
        <v>14430.8</v>
      </c>
    </row>
    <row r="90" spans="1:13" x14ac:dyDescent="0.3">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1"/>
        <v>2388.8000000000002</v>
      </c>
    </row>
    <row r="91" spans="1:13" x14ac:dyDescent="0.3">
      <c r="A91" s="2" t="s">
        <v>131</v>
      </c>
      <c r="B91" s="3">
        <v>45114</v>
      </c>
      <c r="C91" s="2" t="s">
        <v>59</v>
      </c>
      <c r="D91" s="2" t="s">
        <v>14</v>
      </c>
      <c r="E91" s="2" t="s">
        <v>21</v>
      </c>
      <c r="F91" s="2" t="s">
        <v>48</v>
      </c>
      <c r="G91" s="2">
        <v>3</v>
      </c>
      <c r="H91" s="2">
        <v>1659.64</v>
      </c>
      <c r="I91" s="2">
        <v>0.05</v>
      </c>
      <c r="J91" s="2">
        <v>4729.96</v>
      </c>
      <c r="K91" s="2">
        <v>894.87</v>
      </c>
      <c r="L91" s="2" t="s">
        <v>17</v>
      </c>
      <c r="M91" s="2">
        <f t="shared" si="1"/>
        <v>4978.92</v>
      </c>
    </row>
    <row r="92" spans="1:13" x14ac:dyDescent="0.3">
      <c r="A92" s="2" t="s">
        <v>132</v>
      </c>
      <c r="B92" s="3">
        <v>44967</v>
      </c>
      <c r="C92" s="2" t="s">
        <v>44</v>
      </c>
      <c r="D92" s="2" t="s">
        <v>39</v>
      </c>
      <c r="E92" s="2" t="s">
        <v>25</v>
      </c>
      <c r="F92" s="2" t="s">
        <v>55</v>
      </c>
      <c r="G92" s="2">
        <v>6</v>
      </c>
      <c r="H92" s="2">
        <v>1939.19</v>
      </c>
      <c r="I92" s="2">
        <v>0.15</v>
      </c>
      <c r="J92" s="2">
        <v>9889.86</v>
      </c>
      <c r="K92" s="2">
        <v>1546.37</v>
      </c>
      <c r="L92" s="2" t="s">
        <v>34</v>
      </c>
      <c r="M92" s="2">
        <f t="shared" si="1"/>
        <v>11635.14</v>
      </c>
    </row>
    <row r="93" spans="1:13" x14ac:dyDescent="0.3">
      <c r="A93" s="2" t="s">
        <v>133</v>
      </c>
      <c r="B93" s="3">
        <v>45083</v>
      </c>
      <c r="C93" s="2" t="s">
        <v>90</v>
      </c>
      <c r="D93" s="2" t="s">
        <v>42</v>
      </c>
      <c r="E93" s="2" t="s">
        <v>15</v>
      </c>
      <c r="F93" s="2" t="s">
        <v>29</v>
      </c>
      <c r="G93" s="2">
        <v>6</v>
      </c>
      <c r="H93" s="2">
        <v>1204.3499999999999</v>
      </c>
      <c r="I93" s="2">
        <v>0.1</v>
      </c>
      <c r="J93" s="2">
        <v>6503.5</v>
      </c>
      <c r="K93" s="2">
        <v>1840.51</v>
      </c>
      <c r="L93" s="2" t="s">
        <v>23</v>
      </c>
      <c r="M93" s="2">
        <f t="shared" si="1"/>
        <v>7226.0999999999995</v>
      </c>
    </row>
    <row r="94" spans="1:13" x14ac:dyDescent="0.3">
      <c r="A94" s="2" t="s">
        <v>134</v>
      </c>
      <c r="B94" s="3">
        <v>44941</v>
      </c>
      <c r="C94" s="2" t="s">
        <v>59</v>
      </c>
      <c r="D94" s="2" t="s">
        <v>14</v>
      </c>
      <c r="E94" s="2" t="s">
        <v>21</v>
      </c>
      <c r="F94" s="2" t="s">
        <v>48</v>
      </c>
      <c r="G94" s="2">
        <v>5</v>
      </c>
      <c r="H94" s="2">
        <v>220.41</v>
      </c>
      <c r="I94" s="2">
        <v>0.15</v>
      </c>
      <c r="J94" s="2">
        <v>934.75</v>
      </c>
      <c r="K94" s="2">
        <v>94.08</v>
      </c>
      <c r="L94" s="2" t="s">
        <v>30</v>
      </c>
      <c r="M94" s="2">
        <f t="shared" si="1"/>
        <v>1102.05</v>
      </c>
    </row>
    <row r="95" spans="1:13" x14ac:dyDescent="0.3">
      <c r="A95" s="2" t="s">
        <v>135</v>
      </c>
      <c r="B95" s="3">
        <v>45227</v>
      </c>
      <c r="C95" s="2" t="s">
        <v>59</v>
      </c>
      <c r="D95" s="2" t="s">
        <v>14</v>
      </c>
      <c r="E95" s="2" t="s">
        <v>25</v>
      </c>
      <c r="F95" s="2" t="s">
        <v>26</v>
      </c>
      <c r="G95" s="2">
        <v>5</v>
      </c>
      <c r="H95" s="2">
        <v>105.15</v>
      </c>
      <c r="I95" s="2">
        <v>0</v>
      </c>
      <c r="J95" s="2">
        <v>525.75</v>
      </c>
      <c r="K95" s="2">
        <v>104.58</v>
      </c>
      <c r="L95" s="2" t="s">
        <v>17</v>
      </c>
      <c r="M95" s="2">
        <f t="shared" si="1"/>
        <v>525.75</v>
      </c>
    </row>
    <row r="96" spans="1:13" x14ac:dyDescent="0.3">
      <c r="A96" s="2" t="s">
        <v>136</v>
      </c>
      <c r="B96" s="3">
        <v>44991</v>
      </c>
      <c r="C96" s="2" t="s">
        <v>13</v>
      </c>
      <c r="D96" s="2" t="s">
        <v>39</v>
      </c>
      <c r="E96" s="2" t="s">
        <v>15</v>
      </c>
      <c r="F96" s="2" t="s">
        <v>40</v>
      </c>
      <c r="G96" s="2">
        <v>1</v>
      </c>
      <c r="H96" s="2">
        <v>1716.38</v>
      </c>
      <c r="I96" s="2">
        <v>0.15</v>
      </c>
      <c r="J96" s="2">
        <v>1458.92</v>
      </c>
      <c r="K96" s="2">
        <v>424.92</v>
      </c>
      <c r="L96" s="2" t="s">
        <v>17</v>
      </c>
      <c r="M96" s="2">
        <f t="shared" si="1"/>
        <v>1716.38</v>
      </c>
    </row>
    <row r="97" spans="1:13" x14ac:dyDescent="0.3">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1"/>
        <v>679.02</v>
      </c>
    </row>
    <row r="98" spans="1:13" x14ac:dyDescent="0.3">
      <c r="A98" s="2" t="s">
        <v>138</v>
      </c>
      <c r="B98" s="3">
        <v>45253</v>
      </c>
      <c r="C98" s="2" t="s">
        <v>28</v>
      </c>
      <c r="D98" s="2" t="s">
        <v>14</v>
      </c>
      <c r="E98" s="2" t="s">
        <v>25</v>
      </c>
      <c r="F98" s="2" t="s">
        <v>52</v>
      </c>
      <c r="G98" s="2">
        <v>3</v>
      </c>
      <c r="H98" s="2">
        <v>412.11</v>
      </c>
      <c r="I98" s="2">
        <v>0.2</v>
      </c>
      <c r="J98" s="2">
        <v>989.05</v>
      </c>
      <c r="K98" s="2">
        <v>107.73</v>
      </c>
      <c r="L98" s="2" t="s">
        <v>30</v>
      </c>
      <c r="M98" s="2">
        <f t="shared" si="1"/>
        <v>1236.33</v>
      </c>
    </row>
    <row r="99" spans="1:13" x14ac:dyDescent="0.3">
      <c r="A99" s="2" t="s">
        <v>139</v>
      </c>
      <c r="B99" s="3">
        <v>44935</v>
      </c>
      <c r="C99" s="2" t="s">
        <v>44</v>
      </c>
      <c r="D99" s="2" t="s">
        <v>20</v>
      </c>
      <c r="E99" s="2" t="s">
        <v>25</v>
      </c>
      <c r="F99" s="2" t="s">
        <v>55</v>
      </c>
      <c r="G99" s="2">
        <v>9</v>
      </c>
      <c r="H99" s="2">
        <v>1397.67</v>
      </c>
      <c r="I99" s="2">
        <v>0.1</v>
      </c>
      <c r="J99" s="2">
        <v>11321.09</v>
      </c>
      <c r="K99" s="2">
        <v>2332.4299999999998</v>
      </c>
      <c r="L99" s="2" t="s">
        <v>17</v>
      </c>
      <c r="M99" s="2">
        <f t="shared" si="1"/>
        <v>12579.03</v>
      </c>
    </row>
    <row r="100" spans="1:13" x14ac:dyDescent="0.3">
      <c r="A100" s="2" t="s">
        <v>140</v>
      </c>
      <c r="B100" s="3">
        <v>45270</v>
      </c>
      <c r="C100" s="2" t="s">
        <v>59</v>
      </c>
      <c r="D100" s="2" t="s">
        <v>39</v>
      </c>
      <c r="E100" s="2" t="s">
        <v>15</v>
      </c>
      <c r="F100" s="2" t="s">
        <v>29</v>
      </c>
      <c r="G100" s="2">
        <v>9</v>
      </c>
      <c r="H100" s="2">
        <v>775.19</v>
      </c>
      <c r="I100" s="2">
        <v>0.05</v>
      </c>
      <c r="J100" s="2">
        <v>6627.86</v>
      </c>
      <c r="K100" s="2">
        <v>1232.04</v>
      </c>
      <c r="L100" s="2" t="s">
        <v>17</v>
      </c>
      <c r="M100" s="2">
        <f t="shared" si="1"/>
        <v>6976.7100000000009</v>
      </c>
    </row>
    <row r="101" spans="1:13" x14ac:dyDescent="0.3">
      <c r="A101" s="2" t="s">
        <v>141</v>
      </c>
      <c r="B101" s="3">
        <v>45055</v>
      </c>
      <c r="C101" s="2" t="s">
        <v>36</v>
      </c>
      <c r="D101" s="2" t="s">
        <v>20</v>
      </c>
      <c r="E101" s="2" t="s">
        <v>15</v>
      </c>
      <c r="F101" s="2" t="s">
        <v>16</v>
      </c>
      <c r="G101" s="2">
        <v>6</v>
      </c>
      <c r="H101" s="2">
        <v>1885.68</v>
      </c>
      <c r="I101" s="2">
        <v>0.1</v>
      </c>
      <c r="J101" s="2">
        <v>10182.68</v>
      </c>
      <c r="K101" s="2">
        <v>1361.69</v>
      </c>
      <c r="L101" s="2" t="s">
        <v>17</v>
      </c>
      <c r="M101" s="2">
        <f t="shared" si="1"/>
        <v>11314.08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F174-8C14-46A0-BDC6-2546876C3502}">
  <dimension ref="A1:T101"/>
  <sheetViews>
    <sheetView tabSelected="1" topLeftCell="B1" zoomScale="58" zoomScaleNormal="100" workbookViewId="0">
      <selection activeCell="P25" sqref="P25"/>
    </sheetView>
  </sheetViews>
  <sheetFormatPr defaultRowHeight="14.4" x14ac:dyDescent="0.3"/>
  <cols>
    <col min="1" max="1" width="9.88671875" customWidth="1"/>
    <col min="2" max="2" width="12" customWidth="1"/>
    <col min="3" max="3" width="16.44140625" customWidth="1"/>
    <col min="4" max="4" width="8.6640625" customWidth="1"/>
    <col min="5" max="5" width="17.109375" bestFit="1" customWidth="1"/>
    <col min="6" max="6" width="21.33203125" bestFit="1" customWidth="1"/>
    <col min="7" max="7" width="14.33203125" customWidth="1"/>
    <col min="8" max="8" width="10.21875" customWidth="1"/>
    <col min="9" max="9" width="11" customWidth="1"/>
    <col min="10" max="10" width="10.21875" customWidth="1"/>
    <col min="11" max="11" width="11.77734375" customWidth="1"/>
    <col min="12" max="12" width="8" bestFit="1" customWidth="1"/>
    <col min="13" max="13" width="15.88671875" customWidth="1"/>
    <col min="14" max="14" width="13.21875" customWidth="1"/>
    <col min="15" max="15" width="8.5546875" bestFit="1" customWidth="1"/>
    <col min="16" max="16" width="24.21875" bestFit="1" customWidth="1"/>
    <col min="17" max="17" width="8.88671875" customWidth="1"/>
  </cols>
  <sheetData>
    <row r="1" spans="1:20" x14ac:dyDescent="0.3">
      <c r="A1" s="13" t="s">
        <v>0</v>
      </c>
      <c r="B1" s="14" t="s">
        <v>1</v>
      </c>
      <c r="C1" s="14" t="s">
        <v>2</v>
      </c>
      <c r="D1" s="14" t="s">
        <v>3</v>
      </c>
      <c r="E1" s="14" t="s">
        <v>4</v>
      </c>
      <c r="F1" s="14" t="s">
        <v>171</v>
      </c>
      <c r="G1" s="14" t="s">
        <v>5</v>
      </c>
      <c r="H1" s="14" t="s">
        <v>6</v>
      </c>
      <c r="I1" s="14" t="s">
        <v>7</v>
      </c>
      <c r="J1" s="14" t="s">
        <v>8</v>
      </c>
      <c r="K1" s="14" t="s">
        <v>9</v>
      </c>
      <c r="L1" s="14" t="s">
        <v>10</v>
      </c>
      <c r="M1" s="14" t="s">
        <v>11</v>
      </c>
      <c r="N1" s="15" t="s">
        <v>146</v>
      </c>
      <c r="O1" s="14" t="s">
        <v>163</v>
      </c>
      <c r="P1" s="14" t="s">
        <v>164</v>
      </c>
      <c r="Q1" s="14" t="s">
        <v>165</v>
      </c>
      <c r="R1" s="14" t="s">
        <v>166</v>
      </c>
      <c r="S1" s="14" t="s">
        <v>161</v>
      </c>
      <c r="T1" s="14" t="s">
        <v>162</v>
      </c>
    </row>
    <row r="2" spans="1:20" x14ac:dyDescent="0.3">
      <c r="A2" s="11" t="s">
        <v>12</v>
      </c>
      <c r="B2" s="3">
        <v>45029</v>
      </c>
      <c r="C2" s="2" t="s">
        <v>13</v>
      </c>
      <c r="D2" s="2" t="s">
        <v>14</v>
      </c>
      <c r="E2" s="2" t="s">
        <v>15</v>
      </c>
      <c r="F2" s="2" t="s">
        <v>172</v>
      </c>
      <c r="G2" s="2" t="s">
        <v>16</v>
      </c>
      <c r="H2" s="2">
        <v>3</v>
      </c>
      <c r="I2" s="2">
        <v>1443.03</v>
      </c>
      <c r="J2" s="2">
        <v>0.1</v>
      </c>
      <c r="K2" s="2">
        <v>3896.18</v>
      </c>
      <c r="L2" s="2">
        <v>964.48</v>
      </c>
      <c r="M2" s="2" t="s">
        <v>17</v>
      </c>
      <c r="N2" s="12">
        <f>I2*H2</f>
        <v>4329.09</v>
      </c>
      <c r="O2" s="21">
        <v>4.2226556533290003</v>
      </c>
      <c r="P2" s="20" t="s">
        <v>167</v>
      </c>
      <c r="Q2" s="20"/>
      <c r="R2" s="20" t="s">
        <v>168</v>
      </c>
      <c r="S2" s="20" t="s">
        <v>169</v>
      </c>
      <c r="T2" s="20">
        <v>700054</v>
      </c>
    </row>
    <row r="3" spans="1:20" x14ac:dyDescent="0.3">
      <c r="A3" s="11" t="s">
        <v>18</v>
      </c>
      <c r="B3" s="3">
        <v>45275</v>
      </c>
      <c r="C3" s="2" t="s">
        <v>19</v>
      </c>
      <c r="D3" s="2" t="s">
        <v>20</v>
      </c>
      <c r="E3" s="2"/>
      <c r="F3" s="2" t="s">
        <v>173</v>
      </c>
      <c r="G3" s="2" t="s">
        <v>22</v>
      </c>
      <c r="H3" s="2">
        <v>7</v>
      </c>
      <c r="I3" s="2">
        <v>1715.07</v>
      </c>
      <c r="J3" s="2">
        <v>0.15</v>
      </c>
      <c r="K3" s="2">
        <v>10204.69</v>
      </c>
      <c r="L3" s="2">
        <v>1354.41</v>
      </c>
      <c r="M3" s="2" t="s">
        <v>23</v>
      </c>
      <c r="N3" s="12">
        <f t="shared" ref="N3:N66" si="0">I3*H3</f>
        <v>12005.49</v>
      </c>
      <c r="O3" s="2"/>
      <c r="P3" s="2"/>
      <c r="Q3" s="2"/>
      <c r="R3" s="2"/>
      <c r="S3" s="2"/>
      <c r="T3" s="2"/>
    </row>
    <row r="4" spans="1:20" x14ac:dyDescent="0.3">
      <c r="A4" s="11" t="s">
        <v>24</v>
      </c>
      <c r="B4" s="3">
        <v>45197</v>
      </c>
      <c r="C4" s="2" t="s">
        <v>13</v>
      </c>
      <c r="D4" s="2" t="s">
        <v>20</v>
      </c>
      <c r="E4" s="2" t="s">
        <v>25</v>
      </c>
      <c r="F4" s="2" t="s">
        <v>174</v>
      </c>
      <c r="G4" s="2" t="s">
        <v>26</v>
      </c>
      <c r="H4" s="2">
        <v>8</v>
      </c>
      <c r="I4" s="2">
        <v>621.97</v>
      </c>
      <c r="J4" s="2">
        <v>0.1</v>
      </c>
      <c r="K4" s="2">
        <v>4478.1899999999996</v>
      </c>
      <c r="L4" s="2">
        <v>752.58</v>
      </c>
      <c r="M4" s="2" t="s">
        <v>23</v>
      </c>
      <c r="N4" s="12">
        <f t="shared" si="0"/>
        <v>4975.76</v>
      </c>
      <c r="O4" s="2"/>
      <c r="P4" s="2"/>
      <c r="Q4" s="2"/>
      <c r="R4" s="2"/>
      <c r="S4" s="2"/>
      <c r="T4" s="2"/>
    </row>
    <row r="5" spans="1:20" x14ac:dyDescent="0.3">
      <c r="A5" s="11" t="s">
        <v>27</v>
      </c>
      <c r="B5" s="3">
        <v>45033</v>
      </c>
      <c r="C5" s="2" t="s">
        <v>28</v>
      </c>
      <c r="D5" s="2" t="s">
        <v>14</v>
      </c>
      <c r="E5" s="2" t="s">
        <v>15</v>
      </c>
      <c r="F5" s="2" t="s">
        <v>172</v>
      </c>
      <c r="G5" s="2" t="s">
        <v>29</v>
      </c>
      <c r="H5" s="2">
        <v>5</v>
      </c>
      <c r="I5" s="2">
        <v>1166.43</v>
      </c>
      <c r="J5" s="2">
        <v>0.1</v>
      </c>
      <c r="K5" s="2">
        <v>5248.92</v>
      </c>
      <c r="L5" s="2">
        <v>948.39</v>
      </c>
      <c r="M5" s="2" t="s">
        <v>30</v>
      </c>
      <c r="N5" s="12">
        <f t="shared" si="0"/>
        <v>5832.1500000000005</v>
      </c>
      <c r="O5" s="2"/>
      <c r="P5" s="2"/>
      <c r="Q5" s="2"/>
      <c r="R5" s="2"/>
      <c r="S5" s="2"/>
      <c r="T5" s="2"/>
    </row>
    <row r="6" spans="1:20" x14ac:dyDescent="0.3">
      <c r="A6" s="11" t="s">
        <v>31</v>
      </c>
      <c r="B6" s="3">
        <v>44998</v>
      </c>
      <c r="C6" s="2" t="s">
        <v>13</v>
      </c>
      <c r="D6" s="2" t="s">
        <v>20</v>
      </c>
      <c r="E6" s="2" t="s">
        <v>25</v>
      </c>
      <c r="F6" s="2" t="s">
        <v>174</v>
      </c>
      <c r="G6" s="2" t="s">
        <v>26</v>
      </c>
      <c r="H6" s="2">
        <v>7</v>
      </c>
      <c r="I6" s="2">
        <v>1003.2</v>
      </c>
      <c r="J6" s="2">
        <v>0.2</v>
      </c>
      <c r="K6" s="2">
        <v>5617.94</v>
      </c>
      <c r="L6" s="2">
        <v>995.18</v>
      </c>
      <c r="M6" s="2" t="s">
        <v>17</v>
      </c>
      <c r="N6" s="12">
        <f t="shared" si="0"/>
        <v>7022.4000000000005</v>
      </c>
      <c r="O6" s="2"/>
      <c r="P6" s="2"/>
      <c r="Q6" s="2"/>
      <c r="R6" s="2"/>
      <c r="S6" s="2"/>
      <c r="T6" s="2"/>
    </row>
    <row r="7" spans="1:20" x14ac:dyDescent="0.3">
      <c r="A7" s="11" t="s">
        <v>32</v>
      </c>
      <c r="B7" s="3">
        <v>45115</v>
      </c>
      <c r="C7" s="2" t="s">
        <v>33</v>
      </c>
      <c r="D7" s="2" t="s">
        <v>14</v>
      </c>
      <c r="E7" s="2" t="s">
        <v>25</v>
      </c>
      <c r="F7" s="2" t="s">
        <v>174</v>
      </c>
      <c r="G7" s="2" t="s">
        <v>26</v>
      </c>
      <c r="H7" s="2">
        <v>4</v>
      </c>
      <c r="I7" s="2">
        <v>1891.42</v>
      </c>
      <c r="J7" s="2">
        <v>0.1</v>
      </c>
      <c r="K7" s="2">
        <v>6809.12</v>
      </c>
      <c r="L7" s="2">
        <v>1523.17</v>
      </c>
      <c r="M7" s="2" t="s">
        <v>34</v>
      </c>
      <c r="N7" s="12">
        <f t="shared" si="0"/>
        <v>7565.68</v>
      </c>
      <c r="O7" s="2"/>
      <c r="P7" s="2"/>
      <c r="Q7" s="2"/>
      <c r="R7" s="2"/>
      <c r="S7" s="2"/>
      <c r="T7" s="2"/>
    </row>
    <row r="8" spans="1:20" x14ac:dyDescent="0.3">
      <c r="A8" s="11" t="s">
        <v>35</v>
      </c>
      <c r="B8" s="3">
        <v>44947</v>
      </c>
      <c r="C8" s="2" t="s">
        <v>36</v>
      </c>
      <c r="D8" s="2" t="s">
        <v>14</v>
      </c>
      <c r="E8" s="2" t="s">
        <v>21</v>
      </c>
      <c r="F8" s="2" t="s">
        <v>173</v>
      </c>
      <c r="G8" s="2" t="s">
        <v>22</v>
      </c>
      <c r="H8" s="2">
        <v>5</v>
      </c>
      <c r="I8" s="2">
        <v>1755.78</v>
      </c>
      <c r="J8" s="2">
        <v>0.15</v>
      </c>
      <c r="K8" s="2">
        <v>7462.04</v>
      </c>
      <c r="L8" s="2">
        <v>780.61</v>
      </c>
      <c r="M8" s="2" t="s">
        <v>23</v>
      </c>
      <c r="N8" s="12">
        <f t="shared" si="0"/>
        <v>8778.9</v>
      </c>
      <c r="O8" s="2"/>
      <c r="P8" s="2"/>
      <c r="Q8" s="2"/>
      <c r="R8" s="2"/>
      <c r="S8" s="2"/>
      <c r="T8" s="2"/>
    </row>
    <row r="9" spans="1:20" x14ac:dyDescent="0.3">
      <c r="A9" s="11" t="s">
        <v>37</v>
      </c>
      <c r="B9" s="3">
        <v>45029</v>
      </c>
      <c r="C9" s="2" t="s">
        <v>38</v>
      </c>
      <c r="D9" s="2" t="s">
        <v>39</v>
      </c>
      <c r="E9" s="2" t="s">
        <v>15</v>
      </c>
      <c r="F9" s="2" t="s">
        <v>172</v>
      </c>
      <c r="G9" s="2" t="s">
        <v>40</v>
      </c>
      <c r="H9" s="2">
        <v>7</v>
      </c>
      <c r="I9" s="2">
        <v>1802.57</v>
      </c>
      <c r="J9" s="2">
        <v>0</v>
      </c>
      <c r="K9" s="2">
        <v>12618.01</v>
      </c>
      <c r="L9" s="2">
        <v>1489.34</v>
      </c>
      <c r="M9" s="2" t="s">
        <v>34</v>
      </c>
      <c r="N9" s="12">
        <f t="shared" si="0"/>
        <v>12617.99</v>
      </c>
      <c r="O9" s="2"/>
      <c r="P9" s="2"/>
      <c r="Q9" s="2"/>
      <c r="R9" s="2"/>
      <c r="S9" s="2"/>
      <c r="T9" s="2"/>
    </row>
    <row r="10" spans="1:20" x14ac:dyDescent="0.3">
      <c r="A10" s="11" t="s">
        <v>41</v>
      </c>
      <c r="B10" s="3">
        <v>45048</v>
      </c>
      <c r="C10" s="2" t="s">
        <v>13</v>
      </c>
      <c r="D10" s="2" t="s">
        <v>42</v>
      </c>
      <c r="E10" s="2" t="s">
        <v>25</v>
      </c>
      <c r="F10" s="2" t="s">
        <v>174</v>
      </c>
      <c r="G10" s="2" t="s">
        <v>26</v>
      </c>
      <c r="H10" s="2">
        <v>7</v>
      </c>
      <c r="I10" s="2">
        <v>412.85</v>
      </c>
      <c r="J10" s="2">
        <v>0.1</v>
      </c>
      <c r="K10" s="2">
        <v>2600.9299999999998</v>
      </c>
      <c r="L10" s="2">
        <v>401.46</v>
      </c>
      <c r="M10" s="2" t="s">
        <v>170</v>
      </c>
      <c r="N10" s="12">
        <f t="shared" si="0"/>
        <v>2889.9500000000003</v>
      </c>
      <c r="O10" s="2"/>
      <c r="P10" s="2"/>
      <c r="Q10" s="2"/>
      <c r="R10" s="2"/>
      <c r="S10" s="2"/>
      <c r="T10" s="2"/>
    </row>
    <row r="11" spans="1:20" x14ac:dyDescent="0.3">
      <c r="A11" s="11" t="s">
        <v>43</v>
      </c>
      <c r="B11" s="3">
        <v>45141</v>
      </c>
      <c r="C11" s="2" t="s">
        <v>44</v>
      </c>
      <c r="D11" s="2" t="s">
        <v>14</v>
      </c>
      <c r="E11" s="2" t="s">
        <v>21</v>
      </c>
      <c r="F11" s="2" t="s">
        <v>173</v>
      </c>
      <c r="G11" s="2" t="s">
        <v>45</v>
      </c>
      <c r="H11" s="2">
        <v>6</v>
      </c>
      <c r="I11" s="2">
        <v>515.65</v>
      </c>
      <c r="J11" s="2">
        <v>0</v>
      </c>
      <c r="K11" s="2">
        <v>3093.91</v>
      </c>
      <c r="L11" s="2">
        <v>467.05</v>
      </c>
      <c r="M11" s="2" t="s">
        <v>30</v>
      </c>
      <c r="N11" s="12">
        <f t="shared" si="0"/>
        <v>3093.8999999999996</v>
      </c>
      <c r="O11" s="2"/>
      <c r="P11" s="2"/>
      <c r="Q11" s="2"/>
      <c r="R11" s="2"/>
      <c r="S11" s="2"/>
      <c r="T11" s="2"/>
    </row>
    <row r="12" spans="1:20" x14ac:dyDescent="0.3">
      <c r="A12" s="11" t="s">
        <v>46</v>
      </c>
      <c r="B12" s="3">
        <v>45257</v>
      </c>
      <c r="C12" s="2" t="s">
        <v>44</v>
      </c>
      <c r="D12" s="2" t="s">
        <v>20</v>
      </c>
      <c r="E12" s="2" t="s">
        <v>21</v>
      </c>
      <c r="F12" s="2" t="s">
        <v>173</v>
      </c>
      <c r="G12" s="2" t="s">
        <v>45</v>
      </c>
      <c r="H12" s="2">
        <v>2</v>
      </c>
      <c r="I12" s="2">
        <v>1453.31</v>
      </c>
      <c r="J12" s="2">
        <v>0.2</v>
      </c>
      <c r="K12" s="2">
        <v>2325.3000000000002</v>
      </c>
      <c r="L12" s="2">
        <v>281.85000000000002</v>
      </c>
      <c r="M12" s="2" t="s">
        <v>34</v>
      </c>
      <c r="N12" s="12">
        <f t="shared" si="0"/>
        <v>2906.62</v>
      </c>
      <c r="O12" s="2"/>
      <c r="P12" s="2"/>
      <c r="Q12" s="2"/>
      <c r="R12" s="2"/>
      <c r="S12" s="2"/>
      <c r="T12" s="2"/>
    </row>
    <row r="13" spans="1:20" x14ac:dyDescent="0.3">
      <c r="A13" s="11" t="s">
        <v>47</v>
      </c>
      <c r="B13" s="3">
        <v>45014</v>
      </c>
      <c r="C13" s="2" t="s">
        <v>33</v>
      </c>
      <c r="D13" s="2" t="s">
        <v>42</v>
      </c>
      <c r="E13" s="2" t="s">
        <v>21</v>
      </c>
      <c r="F13" s="2" t="s">
        <v>173</v>
      </c>
      <c r="G13" s="2" t="s">
        <v>48</v>
      </c>
      <c r="H13" s="2">
        <v>6</v>
      </c>
      <c r="I13" s="2">
        <v>162.80000000000001</v>
      </c>
      <c r="J13" s="2">
        <v>0</v>
      </c>
      <c r="K13" s="2">
        <v>976.78</v>
      </c>
      <c r="L13" s="2">
        <v>203.74</v>
      </c>
      <c r="M13" s="2" t="s">
        <v>30</v>
      </c>
      <c r="N13" s="12">
        <f t="shared" si="0"/>
        <v>976.80000000000007</v>
      </c>
      <c r="O13" s="2"/>
      <c r="P13" s="2"/>
      <c r="Q13" s="2"/>
      <c r="R13" s="2"/>
      <c r="S13" s="2"/>
      <c r="T13" s="2"/>
    </row>
    <row r="14" spans="1:20" x14ac:dyDescent="0.3">
      <c r="A14" s="11" t="s">
        <v>49</v>
      </c>
      <c r="B14" s="3">
        <v>45026</v>
      </c>
      <c r="C14" s="2" t="s">
        <v>44</v>
      </c>
      <c r="D14" s="2" t="s">
        <v>20</v>
      </c>
      <c r="E14" s="2" t="s">
        <v>21</v>
      </c>
      <c r="F14" s="2" t="s">
        <v>173</v>
      </c>
      <c r="G14" s="2" t="s">
        <v>48</v>
      </c>
      <c r="H14" s="2">
        <v>7</v>
      </c>
      <c r="I14" s="2">
        <v>1377.06</v>
      </c>
      <c r="J14" s="2">
        <v>0.1</v>
      </c>
      <c r="K14" s="2">
        <v>8675.4599999999991</v>
      </c>
      <c r="L14" s="2">
        <v>1235.5</v>
      </c>
      <c r="M14" s="2" t="s">
        <v>23</v>
      </c>
      <c r="N14" s="12">
        <f t="shared" si="0"/>
        <v>9639.42</v>
      </c>
      <c r="O14" s="2"/>
      <c r="P14" s="2"/>
      <c r="Q14" s="2"/>
      <c r="R14" s="2"/>
      <c r="S14" s="2"/>
      <c r="T14" s="2"/>
    </row>
    <row r="15" spans="1:20" x14ac:dyDescent="0.3">
      <c r="A15" s="11" t="s">
        <v>50</v>
      </c>
      <c r="B15" s="3">
        <v>45286</v>
      </c>
      <c r="C15" s="2" t="s">
        <v>51</v>
      </c>
      <c r="D15" s="2" t="s">
        <v>39</v>
      </c>
      <c r="E15" s="2" t="s">
        <v>25</v>
      </c>
      <c r="F15" s="2" t="s">
        <v>174</v>
      </c>
      <c r="G15" s="2" t="s">
        <v>52</v>
      </c>
      <c r="H15" s="2">
        <v>6</v>
      </c>
      <c r="I15" s="2">
        <v>857.77</v>
      </c>
      <c r="J15" s="2">
        <v>0</v>
      </c>
      <c r="K15" s="2">
        <v>5146.6000000000004</v>
      </c>
      <c r="L15" s="2">
        <v>451.25</v>
      </c>
      <c r="M15" s="2" t="s">
        <v>34</v>
      </c>
      <c r="N15" s="12">
        <f t="shared" si="0"/>
        <v>5146.62</v>
      </c>
      <c r="O15" s="2"/>
      <c r="P15" s="2"/>
      <c r="Q15" s="2"/>
      <c r="R15" s="2"/>
      <c r="S15" s="2"/>
      <c r="T15" s="2"/>
    </row>
    <row r="16" spans="1:20" x14ac:dyDescent="0.3">
      <c r="A16" s="11" t="s">
        <v>53</v>
      </c>
      <c r="B16" s="3">
        <v>45078</v>
      </c>
      <c r="C16" s="2" t="s">
        <v>36</v>
      </c>
      <c r="D16" s="2" t="s">
        <v>39</v>
      </c>
      <c r="E16" s="2" t="s">
        <v>15</v>
      </c>
      <c r="F16" s="2" t="s">
        <v>172</v>
      </c>
      <c r="G16" s="2" t="s">
        <v>16</v>
      </c>
      <c r="H16" s="2">
        <v>4</v>
      </c>
      <c r="I16" s="2">
        <v>131.52000000000001</v>
      </c>
      <c r="J16" s="2">
        <v>0.1</v>
      </c>
      <c r="K16" s="2">
        <v>473.46</v>
      </c>
      <c r="L16" s="2">
        <v>119.49</v>
      </c>
      <c r="M16" s="2" t="s">
        <v>17</v>
      </c>
      <c r="N16" s="12">
        <f t="shared" si="0"/>
        <v>526.08000000000004</v>
      </c>
      <c r="O16" s="2"/>
      <c r="P16" s="2"/>
      <c r="Q16" s="2"/>
      <c r="R16" s="2"/>
      <c r="S16" s="2"/>
      <c r="T16" s="2"/>
    </row>
    <row r="17" spans="1:20" x14ac:dyDescent="0.3">
      <c r="A17" s="11" t="s">
        <v>54</v>
      </c>
      <c r="B17" s="3">
        <v>45057</v>
      </c>
      <c r="C17" s="2" t="s">
        <v>38</v>
      </c>
      <c r="D17" s="2" t="s">
        <v>42</v>
      </c>
      <c r="E17" s="2" t="s">
        <v>25</v>
      </c>
      <c r="F17" s="2" t="s">
        <v>174</v>
      </c>
      <c r="G17" s="2" t="s">
        <v>55</v>
      </c>
      <c r="H17" s="2">
        <v>8</v>
      </c>
      <c r="I17" s="2">
        <v>834.8</v>
      </c>
      <c r="J17" s="2">
        <v>0.05</v>
      </c>
      <c r="K17" s="2">
        <v>6344.46</v>
      </c>
      <c r="L17" s="2">
        <v>1645.93</v>
      </c>
      <c r="M17" s="2" t="s">
        <v>23</v>
      </c>
      <c r="N17" s="12">
        <f t="shared" si="0"/>
        <v>6678.4</v>
      </c>
      <c r="O17" s="2"/>
      <c r="P17" s="2"/>
      <c r="Q17" s="2"/>
      <c r="R17" s="2"/>
      <c r="S17" s="2"/>
      <c r="T17" s="2"/>
    </row>
    <row r="18" spans="1:20" x14ac:dyDescent="0.3">
      <c r="A18" s="11" t="s">
        <v>56</v>
      </c>
      <c r="B18" s="3">
        <v>45076</v>
      </c>
      <c r="C18" s="2" t="s">
        <v>36</v>
      </c>
      <c r="D18" s="2" t="s">
        <v>39</v>
      </c>
      <c r="E18" s="2" t="s">
        <v>15</v>
      </c>
      <c r="F18" s="2" t="s">
        <v>172</v>
      </c>
      <c r="G18" s="2" t="s">
        <v>16</v>
      </c>
      <c r="H18" s="2">
        <v>3</v>
      </c>
      <c r="I18" s="2">
        <v>534.25</v>
      </c>
      <c r="J18" s="2">
        <v>0.05</v>
      </c>
      <c r="K18" s="2">
        <v>1522.6</v>
      </c>
      <c r="L18" s="2">
        <v>449.99</v>
      </c>
      <c r="M18" s="2" t="s">
        <v>34</v>
      </c>
      <c r="N18" s="12">
        <f t="shared" si="0"/>
        <v>1602.75</v>
      </c>
      <c r="O18" s="2"/>
      <c r="P18" s="2"/>
      <c r="Q18" s="2"/>
      <c r="R18" s="2"/>
      <c r="S18" s="2"/>
      <c r="T18" s="2"/>
    </row>
    <row r="19" spans="1:20" x14ac:dyDescent="0.3">
      <c r="A19" s="11" t="s">
        <v>57</v>
      </c>
      <c r="B19" s="3">
        <v>45235</v>
      </c>
      <c r="C19" s="2" t="s">
        <v>38</v>
      </c>
      <c r="D19" s="2" t="s">
        <v>20</v>
      </c>
      <c r="E19" s="2" t="s">
        <v>21</v>
      </c>
      <c r="F19" s="2" t="s">
        <v>173</v>
      </c>
      <c r="G19" s="2" t="s">
        <v>22</v>
      </c>
      <c r="H19" s="2">
        <v>5</v>
      </c>
      <c r="I19" s="2">
        <v>1810.79</v>
      </c>
      <c r="J19" s="2">
        <v>0.1</v>
      </c>
      <c r="K19" s="2">
        <v>8148.57</v>
      </c>
      <c r="L19" s="2">
        <v>791.85</v>
      </c>
      <c r="M19" s="2" t="s">
        <v>17</v>
      </c>
      <c r="N19" s="12">
        <f t="shared" si="0"/>
        <v>9053.9500000000007</v>
      </c>
      <c r="O19" s="2"/>
      <c r="P19" s="2"/>
      <c r="Q19" s="2"/>
      <c r="R19" s="2"/>
      <c r="S19" s="2"/>
      <c r="T19" s="2"/>
    </row>
    <row r="20" spans="1:20" x14ac:dyDescent="0.3">
      <c r="A20" s="11" t="s">
        <v>58</v>
      </c>
      <c r="B20" s="3">
        <v>45184</v>
      </c>
      <c r="C20" s="2" t="s">
        <v>59</v>
      </c>
      <c r="D20" s="2" t="s">
        <v>39</v>
      </c>
      <c r="E20" s="2" t="s">
        <v>15</v>
      </c>
      <c r="F20" s="2" t="s">
        <v>172</v>
      </c>
      <c r="G20" s="2" t="s">
        <v>40</v>
      </c>
      <c r="H20" s="2">
        <v>8</v>
      </c>
      <c r="I20" s="2">
        <v>1786.76</v>
      </c>
      <c r="J20" s="2">
        <v>0.15</v>
      </c>
      <c r="K20" s="2">
        <v>12149.99</v>
      </c>
      <c r="L20" s="2">
        <v>863.07</v>
      </c>
      <c r="M20" s="2" t="s">
        <v>170</v>
      </c>
      <c r="N20" s="12">
        <f t="shared" si="0"/>
        <v>14294.08</v>
      </c>
      <c r="O20" s="2"/>
      <c r="P20" s="2"/>
      <c r="Q20" s="2"/>
      <c r="R20" s="2"/>
      <c r="S20" s="2"/>
      <c r="T20" s="2"/>
    </row>
    <row r="21" spans="1:20" x14ac:dyDescent="0.3">
      <c r="A21" s="11" t="s">
        <v>60</v>
      </c>
      <c r="B21" s="3">
        <v>45270</v>
      </c>
      <c r="C21" s="2" t="s">
        <v>33</v>
      </c>
      <c r="D21" s="2" t="s">
        <v>14</v>
      </c>
      <c r="E21" s="2" t="s">
        <v>21</v>
      </c>
      <c r="F21" s="2" t="s">
        <v>173</v>
      </c>
      <c r="G21" s="2" t="s">
        <v>45</v>
      </c>
      <c r="H21" s="2">
        <v>9</v>
      </c>
      <c r="I21" s="2">
        <v>1360.65</v>
      </c>
      <c r="J21" s="2">
        <v>0.2</v>
      </c>
      <c r="K21" s="2">
        <v>9796.7000000000007</v>
      </c>
      <c r="L21" s="2">
        <v>1185.21</v>
      </c>
      <c r="M21" s="2" t="s">
        <v>23</v>
      </c>
      <c r="N21" s="12">
        <f t="shared" si="0"/>
        <v>12245.85</v>
      </c>
      <c r="O21" s="2"/>
      <c r="P21" s="2"/>
      <c r="Q21" s="2"/>
      <c r="R21" s="2"/>
      <c r="S21" s="2"/>
      <c r="T21" s="2"/>
    </row>
    <row r="22" spans="1:20" x14ac:dyDescent="0.3">
      <c r="A22" s="11" t="s">
        <v>61</v>
      </c>
      <c r="B22" s="3">
        <v>45220</v>
      </c>
      <c r="C22" s="2" t="s">
        <v>13</v>
      </c>
      <c r="D22" s="2" t="s">
        <v>39</v>
      </c>
      <c r="E22" s="2" t="s">
        <v>15</v>
      </c>
      <c r="F22" s="2" t="s">
        <v>172</v>
      </c>
      <c r="G22" s="2" t="s">
        <v>29</v>
      </c>
      <c r="H22" s="2">
        <v>9</v>
      </c>
      <c r="I22" s="2">
        <v>434.26</v>
      </c>
      <c r="J22" s="2">
        <v>0.15</v>
      </c>
      <c r="K22" s="2">
        <v>3322.07</v>
      </c>
      <c r="L22" s="2">
        <v>363.14</v>
      </c>
      <c r="M22" s="2" t="s">
        <v>30</v>
      </c>
      <c r="N22" s="12">
        <f t="shared" si="0"/>
        <v>3908.34</v>
      </c>
      <c r="O22" s="2"/>
      <c r="P22" s="2"/>
      <c r="Q22" s="2"/>
      <c r="R22" s="2"/>
      <c r="S22" s="2"/>
      <c r="T22" s="2"/>
    </row>
    <row r="23" spans="1:20" x14ac:dyDescent="0.3">
      <c r="A23" s="11" t="s">
        <v>62</v>
      </c>
      <c r="B23" s="3">
        <v>45118</v>
      </c>
      <c r="C23" s="2" t="s">
        <v>51</v>
      </c>
      <c r="D23" s="2" t="s">
        <v>20</v>
      </c>
      <c r="E23" s="2" t="s">
        <v>15</v>
      </c>
      <c r="F23" s="2" t="s">
        <v>172</v>
      </c>
      <c r="G23" s="2" t="s">
        <v>16</v>
      </c>
      <c r="H23" s="2">
        <v>1</v>
      </c>
      <c r="I23" s="2">
        <v>685.32</v>
      </c>
      <c r="J23" s="2">
        <v>0.15</v>
      </c>
      <c r="K23" s="2">
        <v>582.52</v>
      </c>
      <c r="L23" s="2">
        <v>103.22</v>
      </c>
      <c r="M23" s="2" t="s">
        <v>23</v>
      </c>
      <c r="N23" s="12">
        <f t="shared" si="0"/>
        <v>685.32</v>
      </c>
      <c r="O23" s="2"/>
      <c r="P23" s="2"/>
      <c r="Q23" s="2"/>
      <c r="R23" s="2"/>
      <c r="S23" s="2"/>
      <c r="T23" s="2"/>
    </row>
    <row r="24" spans="1:20" x14ac:dyDescent="0.3">
      <c r="A24" s="11" t="s">
        <v>63</v>
      </c>
      <c r="B24" s="3">
        <v>45203</v>
      </c>
      <c r="C24" s="2" t="s">
        <v>33</v>
      </c>
      <c r="D24" s="2" t="s">
        <v>42</v>
      </c>
      <c r="E24" s="2" t="s">
        <v>21</v>
      </c>
      <c r="F24" s="2" t="s">
        <v>173</v>
      </c>
      <c r="G24" s="2" t="s">
        <v>48</v>
      </c>
      <c r="H24" s="2">
        <v>6</v>
      </c>
      <c r="I24" s="2">
        <v>1959.9</v>
      </c>
      <c r="J24" s="2">
        <v>0.1</v>
      </c>
      <c r="K24" s="2">
        <v>10583.44</v>
      </c>
      <c r="L24" s="2">
        <v>2889.4</v>
      </c>
      <c r="M24" s="2" t="s">
        <v>23</v>
      </c>
      <c r="N24" s="12">
        <f t="shared" si="0"/>
        <v>11759.400000000001</v>
      </c>
      <c r="O24" s="2"/>
      <c r="P24" s="2"/>
      <c r="Q24" s="2"/>
      <c r="R24" s="2"/>
      <c r="S24" s="2"/>
      <c r="T24" s="2"/>
    </row>
    <row r="25" spans="1:20" x14ac:dyDescent="0.3">
      <c r="A25" s="11" t="s">
        <v>64</v>
      </c>
      <c r="B25" s="3">
        <v>45087</v>
      </c>
      <c r="C25" s="2" t="s">
        <v>36</v>
      </c>
      <c r="D25" s="2" t="s">
        <v>20</v>
      </c>
      <c r="E25" s="2" t="s">
        <v>25</v>
      </c>
      <c r="F25" s="2" t="s">
        <v>174</v>
      </c>
      <c r="G25" s="2" t="s">
        <v>26</v>
      </c>
      <c r="H25" s="2">
        <v>1</v>
      </c>
      <c r="I25" s="2">
        <v>470.96</v>
      </c>
      <c r="J25" s="2">
        <v>0.2</v>
      </c>
      <c r="K25" s="2">
        <v>376.77</v>
      </c>
      <c r="L25" s="2">
        <v>65.86</v>
      </c>
      <c r="M25" s="2" t="s">
        <v>30</v>
      </c>
      <c r="N25" s="12">
        <f t="shared" si="0"/>
        <v>470.96</v>
      </c>
      <c r="O25" s="2"/>
      <c r="P25" s="2"/>
      <c r="Q25" s="2"/>
      <c r="R25" s="2"/>
      <c r="S25" s="2"/>
      <c r="T25" s="2"/>
    </row>
    <row r="26" spans="1:20" x14ac:dyDescent="0.3">
      <c r="A26" s="11" t="s">
        <v>65</v>
      </c>
      <c r="B26" s="3">
        <v>45240</v>
      </c>
      <c r="C26" s="2" t="s">
        <v>59</v>
      </c>
      <c r="D26" s="2" t="s">
        <v>42</v>
      </c>
      <c r="E26" s="2" t="s">
        <v>25</v>
      </c>
      <c r="F26" s="2" t="s">
        <v>174</v>
      </c>
      <c r="G26" s="2" t="s">
        <v>55</v>
      </c>
      <c r="H26" s="2">
        <v>5</v>
      </c>
      <c r="I26" s="2">
        <v>1778.64</v>
      </c>
      <c r="J26" s="2">
        <v>0.15</v>
      </c>
      <c r="K26" s="2">
        <v>7559.21</v>
      </c>
      <c r="L26" s="2">
        <v>407.17</v>
      </c>
      <c r="M26" s="2" t="s">
        <v>34</v>
      </c>
      <c r="N26" s="12">
        <f t="shared" si="0"/>
        <v>8893.2000000000007</v>
      </c>
      <c r="O26" s="2"/>
      <c r="P26" s="2"/>
      <c r="Q26" s="2"/>
      <c r="R26" s="2"/>
      <c r="S26" s="2"/>
      <c r="T26" s="2"/>
    </row>
    <row r="27" spans="1:20" x14ac:dyDescent="0.3">
      <c r="A27" s="11" t="s">
        <v>66</v>
      </c>
      <c r="B27" s="3">
        <v>44948</v>
      </c>
      <c r="C27" s="2" t="s">
        <v>13</v>
      </c>
      <c r="D27" s="2" t="s">
        <v>39</v>
      </c>
      <c r="E27" s="2" t="s">
        <v>21</v>
      </c>
      <c r="F27" s="2" t="s">
        <v>173</v>
      </c>
      <c r="G27" s="2" t="s">
        <v>22</v>
      </c>
      <c r="H27" s="2">
        <v>3</v>
      </c>
      <c r="I27" s="2">
        <v>1962.63</v>
      </c>
      <c r="J27" s="2">
        <v>0.15</v>
      </c>
      <c r="K27" s="2">
        <v>5004.71</v>
      </c>
      <c r="L27" s="2">
        <v>618.64</v>
      </c>
      <c r="M27" s="2" t="s">
        <v>170</v>
      </c>
      <c r="N27" s="12">
        <f t="shared" si="0"/>
        <v>5887.89</v>
      </c>
      <c r="O27" s="2"/>
      <c r="P27" s="2"/>
      <c r="Q27" s="2"/>
      <c r="R27" s="2"/>
      <c r="S27" s="2"/>
      <c r="T27" s="2"/>
    </row>
    <row r="28" spans="1:20" x14ac:dyDescent="0.3">
      <c r="A28" s="11" t="s">
        <v>67</v>
      </c>
      <c r="B28" s="3">
        <v>45179</v>
      </c>
      <c r="C28" s="2" t="s">
        <v>59</v>
      </c>
      <c r="D28" s="2" t="s">
        <v>14</v>
      </c>
      <c r="E28" s="2" t="s">
        <v>25</v>
      </c>
      <c r="F28" s="2" t="s">
        <v>174</v>
      </c>
      <c r="G28" s="2" t="s">
        <v>26</v>
      </c>
      <c r="H28" s="2">
        <v>2</v>
      </c>
      <c r="I28" s="2">
        <v>1157.92</v>
      </c>
      <c r="J28" s="2">
        <v>0.05</v>
      </c>
      <c r="K28" s="2">
        <v>2200.0500000000002</v>
      </c>
      <c r="L28" s="2">
        <v>621.52</v>
      </c>
      <c r="M28" s="2" t="s">
        <v>30</v>
      </c>
      <c r="N28" s="12">
        <f t="shared" si="0"/>
        <v>2315.84</v>
      </c>
      <c r="O28" s="2"/>
      <c r="P28" s="2"/>
      <c r="Q28" s="2"/>
      <c r="R28" s="2"/>
      <c r="S28" s="2"/>
      <c r="T28" s="2"/>
    </row>
    <row r="29" spans="1:20" x14ac:dyDescent="0.3">
      <c r="A29" s="11" t="s">
        <v>68</v>
      </c>
      <c r="B29" s="3">
        <v>45162</v>
      </c>
      <c r="C29" s="2" t="s">
        <v>28</v>
      </c>
      <c r="D29" s="2" t="s">
        <v>42</v>
      </c>
      <c r="E29" s="2" t="s">
        <v>15</v>
      </c>
      <c r="F29" s="2" t="s">
        <v>172</v>
      </c>
      <c r="G29" s="2" t="s">
        <v>40</v>
      </c>
      <c r="H29" s="2">
        <v>7</v>
      </c>
      <c r="I29" s="2">
        <v>366.16</v>
      </c>
      <c r="J29" s="2">
        <v>0.1</v>
      </c>
      <c r="K29" s="2">
        <v>2306.81</v>
      </c>
      <c r="L29" s="2">
        <v>285.63</v>
      </c>
      <c r="M29" s="2" t="s">
        <v>30</v>
      </c>
      <c r="N29" s="12">
        <f t="shared" si="0"/>
        <v>2563.1200000000003</v>
      </c>
      <c r="O29" s="2"/>
      <c r="P29" s="2"/>
      <c r="Q29" s="2"/>
      <c r="R29" s="2"/>
      <c r="S29" s="2"/>
      <c r="T29" s="2"/>
    </row>
    <row r="30" spans="1:20" x14ac:dyDescent="0.3">
      <c r="A30" s="11" t="s">
        <v>69</v>
      </c>
      <c r="B30" s="3">
        <v>45271</v>
      </c>
      <c r="C30" s="2" t="s">
        <v>28</v>
      </c>
      <c r="D30" s="2" t="s">
        <v>20</v>
      </c>
      <c r="E30" s="2" t="s">
        <v>25</v>
      </c>
      <c r="F30" s="2" t="s">
        <v>174</v>
      </c>
      <c r="G30" s="2" t="s">
        <v>55</v>
      </c>
      <c r="H30" s="2">
        <v>6</v>
      </c>
      <c r="I30" s="2">
        <v>783.03</v>
      </c>
      <c r="J30" s="2">
        <v>0.2</v>
      </c>
      <c r="K30" s="2">
        <v>3758.56</v>
      </c>
      <c r="L30" s="2">
        <v>466.54</v>
      </c>
      <c r="M30" s="2" t="s">
        <v>23</v>
      </c>
      <c r="N30" s="12">
        <f t="shared" si="0"/>
        <v>4698.18</v>
      </c>
      <c r="O30" s="2"/>
      <c r="P30" s="2"/>
      <c r="Q30" s="2"/>
      <c r="R30" s="2"/>
      <c r="S30" s="2"/>
      <c r="T30" s="2"/>
    </row>
    <row r="31" spans="1:20" x14ac:dyDescent="0.3">
      <c r="A31" s="11" t="s">
        <v>70</v>
      </c>
      <c r="B31" s="3">
        <v>44975</v>
      </c>
      <c r="C31" s="2" t="s">
        <v>59</v>
      </c>
      <c r="D31" s="2" t="s">
        <v>39</v>
      </c>
      <c r="E31" s="2" t="s">
        <v>25</v>
      </c>
      <c r="F31" s="2" t="s">
        <v>174</v>
      </c>
      <c r="G31" s="2" t="s">
        <v>55</v>
      </c>
      <c r="H31" s="2">
        <v>7</v>
      </c>
      <c r="I31" s="2">
        <v>1052.8800000000001</v>
      </c>
      <c r="J31" s="2">
        <v>0.2</v>
      </c>
      <c r="K31" s="2">
        <v>5896.13</v>
      </c>
      <c r="L31" s="2">
        <v>581.16999999999996</v>
      </c>
      <c r="M31" s="2" t="s">
        <v>23</v>
      </c>
      <c r="N31" s="12">
        <f t="shared" si="0"/>
        <v>7370.1600000000008</v>
      </c>
      <c r="O31" s="2"/>
      <c r="P31" s="2"/>
      <c r="Q31" s="2"/>
      <c r="R31" s="2"/>
      <c r="S31" s="2"/>
      <c r="T31" s="2"/>
    </row>
    <row r="32" spans="1:20" x14ac:dyDescent="0.3">
      <c r="A32" s="11" t="s">
        <v>71</v>
      </c>
      <c r="B32" s="3">
        <v>44985</v>
      </c>
      <c r="C32" s="2" t="s">
        <v>19</v>
      </c>
      <c r="D32" s="2" t="s">
        <v>20</v>
      </c>
      <c r="E32" s="2" t="s">
        <v>21</v>
      </c>
      <c r="F32" s="2" t="s">
        <v>173</v>
      </c>
      <c r="G32" s="2" t="s">
        <v>45</v>
      </c>
      <c r="H32" s="2">
        <v>7</v>
      </c>
      <c r="I32" s="2">
        <v>152.47</v>
      </c>
      <c r="J32" s="2">
        <v>0.05</v>
      </c>
      <c r="K32" s="2">
        <v>1013.94</v>
      </c>
      <c r="L32" s="2">
        <v>74.52</v>
      </c>
      <c r="M32" s="2" t="s">
        <v>23</v>
      </c>
      <c r="N32" s="12">
        <f t="shared" si="0"/>
        <v>1067.29</v>
      </c>
      <c r="O32" s="2"/>
      <c r="P32" s="2"/>
      <c r="Q32" s="2"/>
      <c r="R32" s="2"/>
      <c r="S32" s="2"/>
      <c r="T32" s="2"/>
    </row>
    <row r="33" spans="1:20" x14ac:dyDescent="0.3">
      <c r="A33" s="11" t="s">
        <v>72</v>
      </c>
      <c r="B33" s="3">
        <v>45096</v>
      </c>
      <c r="C33" s="2" t="s">
        <v>51</v>
      </c>
      <c r="D33" s="2" t="s">
        <v>20</v>
      </c>
      <c r="E33" s="2" t="s">
        <v>15</v>
      </c>
      <c r="F33" s="2" t="s">
        <v>172</v>
      </c>
      <c r="G33" s="2" t="s">
        <v>29</v>
      </c>
      <c r="H33" s="2">
        <v>6</v>
      </c>
      <c r="I33" s="2">
        <v>1222.58</v>
      </c>
      <c r="J33" s="2">
        <v>0</v>
      </c>
      <c r="K33" s="2">
        <v>7335.5</v>
      </c>
      <c r="L33" s="2">
        <v>435.27</v>
      </c>
      <c r="M33" s="2" t="s">
        <v>23</v>
      </c>
      <c r="N33" s="12">
        <f t="shared" si="0"/>
        <v>7335.48</v>
      </c>
      <c r="O33" s="2"/>
      <c r="P33" s="2"/>
      <c r="Q33" s="2"/>
      <c r="R33" s="2"/>
      <c r="S33" s="2"/>
      <c r="T33" s="2"/>
    </row>
    <row r="34" spans="1:20" x14ac:dyDescent="0.3">
      <c r="A34" s="11" t="s">
        <v>73</v>
      </c>
      <c r="B34" s="3">
        <v>45114</v>
      </c>
      <c r="C34" s="2" t="s">
        <v>13</v>
      </c>
      <c r="D34" s="2" t="s">
        <v>20</v>
      </c>
      <c r="E34" s="2" t="s">
        <v>15</v>
      </c>
      <c r="F34" s="2" t="s">
        <v>172</v>
      </c>
      <c r="G34" s="2" t="s">
        <v>29</v>
      </c>
      <c r="H34" s="2">
        <v>1</v>
      </c>
      <c r="I34" s="2">
        <v>1672.95</v>
      </c>
      <c r="J34" s="2">
        <v>0.15</v>
      </c>
      <c r="K34" s="2">
        <v>1422.01</v>
      </c>
      <c r="L34" s="2">
        <v>147.83000000000001</v>
      </c>
      <c r="M34" s="2" t="s">
        <v>30</v>
      </c>
      <c r="N34" s="12">
        <f t="shared" si="0"/>
        <v>1672.95</v>
      </c>
      <c r="O34" s="2"/>
      <c r="P34" s="2"/>
      <c r="Q34" s="2"/>
      <c r="R34" s="2"/>
      <c r="S34" s="2"/>
      <c r="T34" s="2"/>
    </row>
    <row r="35" spans="1:20" x14ac:dyDescent="0.3">
      <c r="A35" s="11" t="s">
        <v>74</v>
      </c>
      <c r="B35" s="3">
        <v>45197</v>
      </c>
      <c r="C35" s="2" t="s">
        <v>36</v>
      </c>
      <c r="D35" s="2" t="s">
        <v>39</v>
      </c>
      <c r="E35" s="2" t="s">
        <v>21</v>
      </c>
      <c r="F35" s="2" t="s">
        <v>173</v>
      </c>
      <c r="G35" s="2" t="s">
        <v>22</v>
      </c>
      <c r="H35" s="2">
        <v>4</v>
      </c>
      <c r="I35" s="2">
        <v>881.57</v>
      </c>
      <c r="J35" s="2">
        <v>0.1</v>
      </c>
      <c r="K35" s="2">
        <v>3173.66</v>
      </c>
      <c r="L35" s="2">
        <v>664.43</v>
      </c>
      <c r="M35" s="2" t="s">
        <v>34</v>
      </c>
      <c r="N35" s="12">
        <f t="shared" si="0"/>
        <v>3526.28</v>
      </c>
      <c r="O35" s="2"/>
      <c r="P35" s="2"/>
      <c r="Q35" s="2"/>
      <c r="R35" s="2"/>
      <c r="S35" s="2"/>
      <c r="T35" s="2"/>
    </row>
    <row r="36" spans="1:20" x14ac:dyDescent="0.3">
      <c r="A36" s="11" t="s">
        <v>75</v>
      </c>
      <c r="B36" s="3">
        <v>45116</v>
      </c>
      <c r="C36" s="2" t="s">
        <v>19</v>
      </c>
      <c r="D36" s="2" t="s">
        <v>14</v>
      </c>
      <c r="E36" s="2" t="s">
        <v>21</v>
      </c>
      <c r="F36" s="2" t="s">
        <v>173</v>
      </c>
      <c r="G36" s="2" t="s">
        <v>48</v>
      </c>
      <c r="H36" s="2">
        <v>3</v>
      </c>
      <c r="I36" s="2">
        <v>1610.85</v>
      </c>
      <c r="J36" s="2">
        <v>0.1</v>
      </c>
      <c r="K36" s="2">
        <v>4349.3100000000004</v>
      </c>
      <c r="L36" s="2">
        <v>694.77</v>
      </c>
      <c r="M36" s="2" t="s">
        <v>34</v>
      </c>
      <c r="N36" s="12">
        <f t="shared" si="0"/>
        <v>4832.5499999999993</v>
      </c>
      <c r="O36" s="2"/>
      <c r="P36" s="2"/>
      <c r="Q36" s="2"/>
      <c r="R36" s="2"/>
      <c r="S36" s="2"/>
      <c r="T36" s="2"/>
    </row>
    <row r="37" spans="1:20" x14ac:dyDescent="0.3">
      <c r="A37" s="11" t="s">
        <v>76</v>
      </c>
      <c r="B37" s="3">
        <v>45101</v>
      </c>
      <c r="C37" s="2" t="s">
        <v>28</v>
      </c>
      <c r="D37" s="2" t="s">
        <v>14</v>
      </c>
      <c r="E37" s="2" t="s">
        <v>21</v>
      </c>
      <c r="F37" s="2" t="s">
        <v>173</v>
      </c>
      <c r="G37" s="2" t="s">
        <v>22</v>
      </c>
      <c r="H37" s="2">
        <v>7</v>
      </c>
      <c r="I37" s="2">
        <v>913.8</v>
      </c>
      <c r="J37" s="2">
        <v>0.15</v>
      </c>
      <c r="K37" s="2">
        <v>5437.1</v>
      </c>
      <c r="L37" s="2">
        <v>827.73</v>
      </c>
      <c r="M37" s="2" t="s">
        <v>34</v>
      </c>
      <c r="N37" s="12">
        <f t="shared" si="0"/>
        <v>6396.5999999999995</v>
      </c>
      <c r="O37" s="2"/>
      <c r="P37" s="2"/>
      <c r="Q37" s="2"/>
      <c r="R37" s="2"/>
      <c r="S37" s="2"/>
      <c r="T37" s="2"/>
    </row>
    <row r="38" spans="1:20" x14ac:dyDescent="0.3">
      <c r="A38" s="11" t="s">
        <v>77</v>
      </c>
      <c r="B38" s="3">
        <v>44977</v>
      </c>
      <c r="C38" s="2" t="s">
        <v>19</v>
      </c>
      <c r="D38" s="2" t="s">
        <v>39</v>
      </c>
      <c r="E38" s="2" t="s">
        <v>15</v>
      </c>
      <c r="F38" s="2" t="s">
        <v>172</v>
      </c>
      <c r="G38" s="2" t="s">
        <v>40</v>
      </c>
      <c r="H38" s="2">
        <v>6</v>
      </c>
      <c r="I38" s="2">
        <v>1457.73</v>
      </c>
      <c r="J38" s="2">
        <v>0.2</v>
      </c>
      <c r="K38" s="2">
        <v>6997.11</v>
      </c>
      <c r="L38" s="2">
        <v>839.54</v>
      </c>
      <c r="M38" s="2" t="s">
        <v>17</v>
      </c>
      <c r="N38" s="12">
        <f t="shared" si="0"/>
        <v>8746.380000000001</v>
      </c>
      <c r="O38" s="2"/>
      <c r="P38" s="2"/>
      <c r="Q38" s="2"/>
      <c r="R38" s="2"/>
      <c r="S38" s="2"/>
      <c r="T38" s="2"/>
    </row>
    <row r="39" spans="1:20" x14ac:dyDescent="0.3">
      <c r="A39" s="11" t="s">
        <v>78</v>
      </c>
      <c r="B39" s="3">
        <v>45290</v>
      </c>
      <c r="C39" s="2" t="s">
        <v>13</v>
      </c>
      <c r="D39" s="2" t="s">
        <v>14</v>
      </c>
      <c r="E39" s="2" t="s">
        <v>25</v>
      </c>
      <c r="F39" s="2" t="s">
        <v>174</v>
      </c>
      <c r="G39" s="2" t="s">
        <v>52</v>
      </c>
      <c r="H39" s="2">
        <v>7</v>
      </c>
      <c r="I39" s="2">
        <v>190.66</v>
      </c>
      <c r="J39" s="2">
        <v>0.05</v>
      </c>
      <c r="K39" s="2">
        <v>1267.8900000000001</v>
      </c>
      <c r="L39" s="2">
        <v>176.23</v>
      </c>
      <c r="M39" s="2" t="s">
        <v>34</v>
      </c>
      <c r="N39" s="12">
        <f t="shared" si="0"/>
        <v>1334.62</v>
      </c>
      <c r="O39" s="2"/>
      <c r="P39" s="2"/>
      <c r="Q39" s="2"/>
      <c r="R39" s="2"/>
      <c r="S39" s="2"/>
      <c r="T39" s="2"/>
    </row>
    <row r="40" spans="1:20" x14ac:dyDescent="0.3">
      <c r="A40" s="11" t="s">
        <v>79</v>
      </c>
      <c r="B40" s="3">
        <v>44981</v>
      </c>
      <c r="C40" s="2" t="s">
        <v>28</v>
      </c>
      <c r="D40" s="2" t="s">
        <v>14</v>
      </c>
      <c r="E40" s="2" t="s">
        <v>25</v>
      </c>
      <c r="F40" s="2" t="s">
        <v>174</v>
      </c>
      <c r="G40" s="2" t="s">
        <v>52</v>
      </c>
      <c r="H40" s="2">
        <v>5</v>
      </c>
      <c r="I40" s="2">
        <v>278.89999999999998</v>
      </c>
      <c r="J40" s="2">
        <v>0.15</v>
      </c>
      <c r="K40" s="2">
        <v>1185.32</v>
      </c>
      <c r="L40" s="2">
        <v>111.22</v>
      </c>
      <c r="M40" s="2" t="s">
        <v>30</v>
      </c>
      <c r="N40" s="12">
        <f t="shared" si="0"/>
        <v>1394.5</v>
      </c>
      <c r="O40" s="2"/>
      <c r="P40" s="2"/>
      <c r="Q40" s="2"/>
      <c r="R40" s="2"/>
      <c r="S40" s="2"/>
      <c r="T40" s="2"/>
    </row>
    <row r="41" spans="1:20" x14ac:dyDescent="0.3">
      <c r="A41" s="11" t="s">
        <v>80</v>
      </c>
      <c r="B41" s="3">
        <v>45170</v>
      </c>
      <c r="C41" s="2" t="s">
        <v>28</v>
      </c>
      <c r="D41" s="2" t="s">
        <v>14</v>
      </c>
      <c r="E41" s="2" t="s">
        <v>25</v>
      </c>
      <c r="F41" s="2" t="s">
        <v>174</v>
      </c>
      <c r="G41" s="2" t="s">
        <v>26</v>
      </c>
      <c r="H41" s="2">
        <v>4</v>
      </c>
      <c r="I41" s="2">
        <v>429.08</v>
      </c>
      <c r="J41" s="2">
        <v>0.2</v>
      </c>
      <c r="K41" s="2">
        <v>1373.07</v>
      </c>
      <c r="L41" s="2">
        <v>205.45</v>
      </c>
      <c r="M41" s="2" t="s">
        <v>34</v>
      </c>
      <c r="N41" s="12">
        <f t="shared" si="0"/>
        <v>1716.32</v>
      </c>
      <c r="O41" s="2"/>
      <c r="P41" s="2"/>
      <c r="Q41" s="2"/>
      <c r="R41" s="2"/>
      <c r="S41" s="2"/>
      <c r="T41" s="2"/>
    </row>
    <row r="42" spans="1:20" x14ac:dyDescent="0.3">
      <c r="A42" s="11" t="s">
        <v>81</v>
      </c>
      <c r="B42" s="3">
        <v>45246</v>
      </c>
      <c r="C42" s="2" t="s">
        <v>36</v>
      </c>
      <c r="D42" s="2" t="s">
        <v>39</v>
      </c>
      <c r="E42" s="2" t="s">
        <v>21</v>
      </c>
      <c r="F42" s="2" t="s">
        <v>173</v>
      </c>
      <c r="G42" s="2" t="s">
        <v>45</v>
      </c>
      <c r="H42" s="2">
        <v>3</v>
      </c>
      <c r="I42" s="2">
        <v>1055.96</v>
      </c>
      <c r="J42" s="2">
        <v>0</v>
      </c>
      <c r="K42" s="2">
        <v>3167.88</v>
      </c>
      <c r="L42" s="2">
        <v>585.55999999999995</v>
      </c>
      <c r="M42" s="2" t="s">
        <v>30</v>
      </c>
      <c r="N42" s="12">
        <f t="shared" si="0"/>
        <v>3167.88</v>
      </c>
      <c r="O42" s="2"/>
      <c r="P42" s="2"/>
      <c r="Q42" s="2"/>
      <c r="R42" s="2"/>
      <c r="S42" s="2"/>
      <c r="T42" s="2"/>
    </row>
    <row r="43" spans="1:20" x14ac:dyDescent="0.3">
      <c r="A43" s="11" t="s">
        <v>82</v>
      </c>
      <c r="B43" s="3">
        <v>45057</v>
      </c>
      <c r="C43" s="2" t="s">
        <v>33</v>
      </c>
      <c r="D43" s="2" t="s">
        <v>20</v>
      </c>
      <c r="E43" s="2" t="s">
        <v>15</v>
      </c>
      <c r="F43" s="2" t="s">
        <v>172</v>
      </c>
      <c r="G43" s="2" t="s">
        <v>40</v>
      </c>
      <c r="H43" s="2">
        <v>1</v>
      </c>
      <c r="I43" s="2">
        <v>1747.68</v>
      </c>
      <c r="J43" s="2">
        <v>0.1</v>
      </c>
      <c r="K43" s="2">
        <v>1572.91</v>
      </c>
      <c r="L43" s="2">
        <v>393.6</v>
      </c>
      <c r="M43" s="2" t="s">
        <v>30</v>
      </c>
      <c r="N43" s="12">
        <f t="shared" si="0"/>
        <v>1747.68</v>
      </c>
      <c r="O43" s="2"/>
      <c r="P43" s="2"/>
      <c r="Q43" s="2"/>
      <c r="R43" s="2"/>
      <c r="S43" s="2"/>
      <c r="T43" s="2"/>
    </row>
    <row r="44" spans="1:20" x14ac:dyDescent="0.3">
      <c r="A44" s="11" t="s">
        <v>83</v>
      </c>
      <c r="B44" s="3">
        <v>45233</v>
      </c>
      <c r="C44" s="2" t="s">
        <v>44</v>
      </c>
      <c r="D44" s="2" t="s">
        <v>39</v>
      </c>
      <c r="E44" s="2" t="s">
        <v>25</v>
      </c>
      <c r="F44" s="2" t="s">
        <v>174</v>
      </c>
      <c r="G44" s="2" t="s">
        <v>55</v>
      </c>
      <c r="H44" s="2">
        <v>3</v>
      </c>
      <c r="I44" s="2">
        <v>1659.22</v>
      </c>
      <c r="J44" s="2">
        <v>0.15</v>
      </c>
      <c r="K44" s="2">
        <v>4231</v>
      </c>
      <c r="L44" s="2">
        <v>619.95000000000005</v>
      </c>
      <c r="M44" s="2" t="s">
        <v>23</v>
      </c>
      <c r="N44" s="12">
        <f t="shared" si="0"/>
        <v>4977.66</v>
      </c>
      <c r="O44" s="2"/>
      <c r="P44" s="2"/>
      <c r="Q44" s="2"/>
      <c r="R44" s="2"/>
      <c r="S44" s="2"/>
      <c r="T44" s="2"/>
    </row>
    <row r="45" spans="1:20" x14ac:dyDescent="0.3">
      <c r="A45" s="11" t="s">
        <v>84</v>
      </c>
      <c r="B45" s="3">
        <v>45061</v>
      </c>
      <c r="C45" s="2" t="s">
        <v>44</v>
      </c>
      <c r="D45" s="2" t="s">
        <v>14</v>
      </c>
      <c r="E45" s="2" t="s">
        <v>15</v>
      </c>
      <c r="F45" s="2" t="s">
        <v>172</v>
      </c>
      <c r="G45" s="2" t="s">
        <v>29</v>
      </c>
      <c r="H45" s="2">
        <v>2</v>
      </c>
      <c r="I45" s="2">
        <v>174.03</v>
      </c>
      <c r="J45" s="2">
        <v>0.05</v>
      </c>
      <c r="K45" s="2">
        <v>330.66</v>
      </c>
      <c r="L45" s="2">
        <v>72.989999999999995</v>
      </c>
      <c r="M45" s="2" t="s">
        <v>30</v>
      </c>
      <c r="N45" s="12">
        <f t="shared" si="0"/>
        <v>348.06</v>
      </c>
      <c r="O45" s="2"/>
      <c r="P45" s="2"/>
      <c r="Q45" s="2"/>
      <c r="R45" s="2"/>
      <c r="S45" s="2"/>
      <c r="T45" s="2"/>
    </row>
    <row r="46" spans="1:20" x14ac:dyDescent="0.3">
      <c r="A46" s="11" t="s">
        <v>85</v>
      </c>
      <c r="B46" s="3">
        <v>44947</v>
      </c>
      <c r="C46" s="2" t="s">
        <v>33</v>
      </c>
      <c r="D46" s="2" t="s">
        <v>42</v>
      </c>
      <c r="E46" s="2" t="s">
        <v>25</v>
      </c>
      <c r="F46" s="2" t="s">
        <v>174</v>
      </c>
      <c r="G46" s="2" t="s">
        <v>52</v>
      </c>
      <c r="H46" s="2">
        <v>2</v>
      </c>
      <c r="I46" s="2">
        <v>595.32000000000005</v>
      </c>
      <c r="J46" s="2">
        <v>0.15</v>
      </c>
      <c r="K46" s="2">
        <v>1012.04</v>
      </c>
      <c r="L46" s="2">
        <v>225.91</v>
      </c>
      <c r="M46" s="2" t="s">
        <v>17</v>
      </c>
      <c r="N46" s="12">
        <f t="shared" si="0"/>
        <v>1190.6400000000001</v>
      </c>
      <c r="O46" s="2"/>
      <c r="P46" s="2"/>
      <c r="Q46" s="2"/>
      <c r="R46" s="2"/>
      <c r="S46" s="2"/>
      <c r="T46" s="2"/>
    </row>
    <row r="47" spans="1:20" x14ac:dyDescent="0.3">
      <c r="A47" s="11" t="s">
        <v>86</v>
      </c>
      <c r="B47" s="3">
        <v>45255</v>
      </c>
      <c r="C47" s="2" t="s">
        <v>38</v>
      </c>
      <c r="D47" s="2" t="s">
        <v>39</v>
      </c>
      <c r="E47" s="2" t="s">
        <v>25</v>
      </c>
      <c r="F47" s="2" t="s">
        <v>174</v>
      </c>
      <c r="G47" s="2" t="s">
        <v>55</v>
      </c>
      <c r="H47" s="2">
        <v>5</v>
      </c>
      <c r="I47" s="2">
        <v>1938.4</v>
      </c>
      <c r="J47" s="2">
        <v>0.15</v>
      </c>
      <c r="K47" s="2">
        <v>8238.2099999999991</v>
      </c>
      <c r="L47" s="2">
        <v>777.36</v>
      </c>
      <c r="M47" s="2" t="s">
        <v>30</v>
      </c>
      <c r="N47" s="12">
        <f t="shared" si="0"/>
        <v>9692</v>
      </c>
      <c r="O47" s="2"/>
      <c r="P47" s="2"/>
      <c r="Q47" s="2"/>
      <c r="R47" s="2"/>
      <c r="S47" s="2"/>
      <c r="T47" s="2"/>
    </row>
    <row r="48" spans="1:20" x14ac:dyDescent="0.3">
      <c r="A48" s="11" t="s">
        <v>87</v>
      </c>
      <c r="B48" s="3">
        <v>45093</v>
      </c>
      <c r="C48" s="2" t="s">
        <v>59</v>
      </c>
      <c r="D48" s="2" t="s">
        <v>20</v>
      </c>
      <c r="E48" s="2" t="s">
        <v>15</v>
      </c>
      <c r="F48" s="2" t="s">
        <v>172</v>
      </c>
      <c r="G48" s="2" t="s">
        <v>29</v>
      </c>
      <c r="H48" s="2">
        <v>3</v>
      </c>
      <c r="I48" s="2">
        <v>883.97</v>
      </c>
      <c r="J48" s="2">
        <v>0.05</v>
      </c>
      <c r="K48" s="2">
        <v>2519.3200000000002</v>
      </c>
      <c r="L48" s="2">
        <v>283.43</v>
      </c>
      <c r="M48" s="2" t="s">
        <v>23</v>
      </c>
      <c r="N48" s="12">
        <f t="shared" si="0"/>
        <v>2651.91</v>
      </c>
      <c r="O48" s="2"/>
      <c r="P48" s="2"/>
      <c r="Q48" s="2"/>
      <c r="R48" s="2"/>
      <c r="S48" s="2"/>
      <c r="T48" s="2"/>
    </row>
    <row r="49" spans="1:20" x14ac:dyDescent="0.3">
      <c r="A49" s="11" t="s">
        <v>88</v>
      </c>
      <c r="B49" s="3">
        <v>45200</v>
      </c>
      <c r="C49" s="2" t="s">
        <v>44</v>
      </c>
      <c r="D49" s="2" t="s">
        <v>42</v>
      </c>
      <c r="E49" s="2" t="s">
        <v>25</v>
      </c>
      <c r="F49" s="2" t="s">
        <v>174</v>
      </c>
      <c r="G49" s="2" t="s">
        <v>55</v>
      </c>
      <c r="H49" s="2">
        <v>7</v>
      </c>
      <c r="I49" s="2">
        <v>1526.66</v>
      </c>
      <c r="J49" s="2">
        <v>0</v>
      </c>
      <c r="K49" s="2">
        <v>10686.59</v>
      </c>
      <c r="L49" s="2">
        <v>1170.81</v>
      </c>
      <c r="M49" s="2" t="s">
        <v>23</v>
      </c>
      <c r="N49" s="12">
        <f t="shared" si="0"/>
        <v>10686.62</v>
      </c>
      <c r="O49" s="2"/>
      <c r="P49" s="2"/>
      <c r="Q49" s="2"/>
      <c r="R49" s="2"/>
      <c r="S49" s="2"/>
      <c r="T49" s="2"/>
    </row>
    <row r="50" spans="1:20" x14ac:dyDescent="0.3">
      <c r="A50" s="11" t="s">
        <v>89</v>
      </c>
      <c r="B50" s="3">
        <v>45015</v>
      </c>
      <c r="C50" s="2" t="s">
        <v>90</v>
      </c>
      <c r="D50" s="2" t="s">
        <v>39</v>
      </c>
      <c r="E50" s="2" t="s">
        <v>25</v>
      </c>
      <c r="F50" s="2" t="s">
        <v>174</v>
      </c>
      <c r="G50" s="2" t="s">
        <v>52</v>
      </c>
      <c r="H50" s="2">
        <v>3</v>
      </c>
      <c r="I50" s="2">
        <v>839.48</v>
      </c>
      <c r="J50" s="2">
        <v>0.15</v>
      </c>
      <c r="K50" s="2">
        <v>2140.6799999999998</v>
      </c>
      <c r="L50" s="2">
        <v>620.02</v>
      </c>
      <c r="M50" s="2" t="s">
        <v>34</v>
      </c>
      <c r="N50" s="12">
        <f t="shared" si="0"/>
        <v>2518.44</v>
      </c>
      <c r="O50" s="2"/>
      <c r="P50" s="2"/>
      <c r="Q50" s="2"/>
      <c r="R50" s="2"/>
      <c r="S50" s="2"/>
      <c r="T50" s="2"/>
    </row>
    <row r="51" spans="1:20" x14ac:dyDescent="0.3">
      <c r="A51" s="11" t="s">
        <v>91</v>
      </c>
      <c r="B51" s="3">
        <v>45242</v>
      </c>
      <c r="C51" s="2" t="s">
        <v>38</v>
      </c>
      <c r="D51" s="2" t="s">
        <v>39</v>
      </c>
      <c r="E51" s="2" t="s">
        <v>15</v>
      </c>
      <c r="F51" s="2" t="s">
        <v>172</v>
      </c>
      <c r="G51" s="2" t="s">
        <v>40</v>
      </c>
      <c r="H51" s="2">
        <v>4</v>
      </c>
      <c r="I51" s="2">
        <v>1189.53</v>
      </c>
      <c r="J51" s="2">
        <v>0.2</v>
      </c>
      <c r="K51" s="2">
        <v>3806.5</v>
      </c>
      <c r="L51" s="2">
        <v>277.58999999999997</v>
      </c>
      <c r="M51" s="2" t="s">
        <v>17</v>
      </c>
      <c r="N51" s="12">
        <f t="shared" si="0"/>
        <v>4758.12</v>
      </c>
      <c r="O51" s="2"/>
      <c r="P51" s="2"/>
      <c r="Q51" s="2"/>
      <c r="R51" s="2"/>
      <c r="S51" s="2"/>
      <c r="T51" s="2"/>
    </row>
    <row r="52" spans="1:20" x14ac:dyDescent="0.3">
      <c r="A52" s="11" t="s">
        <v>92</v>
      </c>
      <c r="B52" s="3">
        <v>44940</v>
      </c>
      <c r="C52" s="2" t="s">
        <v>28</v>
      </c>
      <c r="D52" s="2" t="s">
        <v>20</v>
      </c>
      <c r="E52" s="2" t="s">
        <v>25</v>
      </c>
      <c r="F52" s="2" t="s">
        <v>174</v>
      </c>
      <c r="G52" s="2" t="s">
        <v>55</v>
      </c>
      <c r="H52" s="2">
        <v>7</v>
      </c>
      <c r="I52" s="2">
        <v>1584.46</v>
      </c>
      <c r="J52" s="2">
        <v>0.2</v>
      </c>
      <c r="K52" s="2">
        <v>8872.99</v>
      </c>
      <c r="L52" s="2">
        <v>2508.6799999999998</v>
      </c>
      <c r="M52" s="2" t="s">
        <v>23</v>
      </c>
      <c r="N52" s="12">
        <f t="shared" si="0"/>
        <v>11091.220000000001</v>
      </c>
      <c r="O52" s="2"/>
      <c r="P52" s="2"/>
      <c r="Q52" s="2"/>
      <c r="R52" s="2"/>
      <c r="S52" s="2"/>
      <c r="T52" s="2"/>
    </row>
    <row r="53" spans="1:20" x14ac:dyDescent="0.3">
      <c r="A53" s="11" t="s">
        <v>93</v>
      </c>
      <c r="B53" s="3">
        <v>45168</v>
      </c>
      <c r="C53" s="2" t="s">
        <v>33</v>
      </c>
      <c r="D53" s="2" t="s">
        <v>20</v>
      </c>
      <c r="E53" s="2" t="s">
        <v>15</v>
      </c>
      <c r="F53" s="2" t="s">
        <v>172</v>
      </c>
      <c r="G53" s="2" t="s">
        <v>40</v>
      </c>
      <c r="H53" s="2">
        <v>5</v>
      </c>
      <c r="I53" s="2">
        <v>1500.37</v>
      </c>
      <c r="J53" s="2">
        <v>0.2</v>
      </c>
      <c r="K53" s="2">
        <v>6001.47</v>
      </c>
      <c r="L53" s="2">
        <v>826.58</v>
      </c>
      <c r="M53" s="2" t="s">
        <v>30</v>
      </c>
      <c r="N53" s="12">
        <f t="shared" si="0"/>
        <v>7501.8499999999995</v>
      </c>
      <c r="O53" s="2"/>
      <c r="P53" s="2"/>
      <c r="Q53" s="2"/>
      <c r="R53" s="2"/>
      <c r="S53" s="2"/>
      <c r="T53" s="2"/>
    </row>
    <row r="54" spans="1:20" x14ac:dyDescent="0.3">
      <c r="A54" s="11" t="s">
        <v>94</v>
      </c>
      <c r="B54" s="3">
        <v>45191</v>
      </c>
      <c r="C54" s="2" t="s">
        <v>38</v>
      </c>
      <c r="D54" s="2" t="s">
        <v>14</v>
      </c>
      <c r="E54" s="2" t="s">
        <v>25</v>
      </c>
      <c r="F54" s="2" t="s">
        <v>174</v>
      </c>
      <c r="G54" s="2" t="s">
        <v>52</v>
      </c>
      <c r="H54" s="2">
        <v>1</v>
      </c>
      <c r="I54" s="2">
        <v>292.13</v>
      </c>
      <c r="J54" s="2">
        <v>0.2</v>
      </c>
      <c r="K54" s="2">
        <v>233.71</v>
      </c>
      <c r="L54" s="2">
        <v>24.69</v>
      </c>
      <c r="M54" s="2" t="s">
        <v>17</v>
      </c>
      <c r="N54" s="12">
        <f t="shared" si="0"/>
        <v>292.13</v>
      </c>
      <c r="O54" s="2"/>
      <c r="P54" s="2"/>
      <c r="Q54" s="2"/>
      <c r="R54" s="2"/>
      <c r="S54" s="2"/>
      <c r="T54" s="2"/>
    </row>
    <row r="55" spans="1:20" x14ac:dyDescent="0.3">
      <c r="A55" s="11" t="s">
        <v>95</v>
      </c>
      <c r="B55" s="3">
        <v>45272</v>
      </c>
      <c r="C55" s="2" t="s">
        <v>44</v>
      </c>
      <c r="D55" s="2" t="s">
        <v>14</v>
      </c>
      <c r="E55" s="2" t="s">
        <v>21</v>
      </c>
      <c r="F55" s="2" t="s">
        <v>173</v>
      </c>
      <c r="G55" s="2" t="s">
        <v>48</v>
      </c>
      <c r="H55" s="2">
        <v>5</v>
      </c>
      <c r="I55" s="2">
        <v>1075.32</v>
      </c>
      <c r="J55" s="2">
        <v>0.1</v>
      </c>
      <c r="K55" s="2">
        <v>4838.9399999999996</v>
      </c>
      <c r="L55" s="2">
        <v>945.17</v>
      </c>
      <c r="M55" s="2" t="s">
        <v>30</v>
      </c>
      <c r="N55" s="12">
        <f t="shared" si="0"/>
        <v>5376.5999999999995</v>
      </c>
      <c r="O55" s="2"/>
      <c r="P55" s="2"/>
      <c r="Q55" s="2"/>
      <c r="R55" s="2"/>
      <c r="S55" s="2"/>
      <c r="T55" s="2"/>
    </row>
    <row r="56" spans="1:20" x14ac:dyDescent="0.3">
      <c r="A56" s="11" t="s">
        <v>96</v>
      </c>
      <c r="B56" s="3">
        <v>44979</v>
      </c>
      <c r="C56" s="2" t="s">
        <v>90</v>
      </c>
      <c r="D56" s="2" t="s">
        <v>42</v>
      </c>
      <c r="E56" s="2" t="s">
        <v>25</v>
      </c>
      <c r="F56" s="2" t="s">
        <v>174</v>
      </c>
      <c r="G56" s="2" t="s">
        <v>26</v>
      </c>
      <c r="H56" s="2">
        <v>7</v>
      </c>
      <c r="I56" s="2">
        <v>1973.4</v>
      </c>
      <c r="J56" s="2">
        <v>0.15</v>
      </c>
      <c r="K56" s="2">
        <v>11741.74</v>
      </c>
      <c r="L56" s="2">
        <v>1615.13</v>
      </c>
      <c r="M56" s="2" t="s">
        <v>30</v>
      </c>
      <c r="N56" s="12">
        <f t="shared" si="0"/>
        <v>13813.800000000001</v>
      </c>
      <c r="O56" s="2"/>
      <c r="P56" s="2"/>
      <c r="Q56" s="2"/>
      <c r="R56" s="2"/>
      <c r="S56" s="2"/>
      <c r="T56" s="2"/>
    </row>
    <row r="57" spans="1:20" x14ac:dyDescent="0.3">
      <c r="A57" s="11" t="s">
        <v>97</v>
      </c>
      <c r="B57" s="3">
        <v>45266</v>
      </c>
      <c r="C57" s="2" t="s">
        <v>33</v>
      </c>
      <c r="D57" s="2" t="s">
        <v>39</v>
      </c>
      <c r="E57" s="2" t="s">
        <v>21</v>
      </c>
      <c r="F57" s="2" t="s">
        <v>173</v>
      </c>
      <c r="G57" s="2" t="s">
        <v>45</v>
      </c>
      <c r="H57" s="2">
        <v>3</v>
      </c>
      <c r="I57" s="2">
        <v>311.27999999999997</v>
      </c>
      <c r="J57" s="2">
        <v>0.1</v>
      </c>
      <c r="K57" s="2">
        <v>840.44</v>
      </c>
      <c r="L57" s="2">
        <v>95.32</v>
      </c>
      <c r="M57" s="2" t="s">
        <v>23</v>
      </c>
      <c r="N57" s="12">
        <f t="shared" si="0"/>
        <v>933.83999999999992</v>
      </c>
      <c r="O57" s="2"/>
      <c r="P57" s="2"/>
      <c r="Q57" s="2"/>
      <c r="R57" s="2"/>
      <c r="S57" s="2"/>
      <c r="T57" s="2"/>
    </row>
    <row r="58" spans="1:20" x14ac:dyDescent="0.3">
      <c r="A58" s="11" t="s">
        <v>98</v>
      </c>
      <c r="B58" s="3">
        <v>45018</v>
      </c>
      <c r="C58" s="2" t="s">
        <v>38</v>
      </c>
      <c r="D58" s="2" t="s">
        <v>20</v>
      </c>
      <c r="E58" s="2" t="s">
        <v>21</v>
      </c>
      <c r="F58" s="2" t="s">
        <v>173</v>
      </c>
      <c r="G58" s="2" t="s">
        <v>22</v>
      </c>
      <c r="H58" s="2">
        <v>9</v>
      </c>
      <c r="I58" s="2">
        <v>1514</v>
      </c>
      <c r="J58" s="2">
        <v>0.1</v>
      </c>
      <c r="K58" s="2">
        <v>12263.42</v>
      </c>
      <c r="L58" s="2">
        <v>2401.69</v>
      </c>
      <c r="M58" s="2" t="s">
        <v>30</v>
      </c>
      <c r="N58" s="12">
        <f t="shared" si="0"/>
        <v>13626</v>
      </c>
      <c r="O58" s="2"/>
      <c r="P58" s="2"/>
      <c r="Q58" s="2"/>
      <c r="R58" s="2"/>
      <c r="S58" s="2"/>
      <c r="T58" s="2"/>
    </row>
    <row r="59" spans="1:20" x14ac:dyDescent="0.3">
      <c r="A59" s="11" t="s">
        <v>99</v>
      </c>
      <c r="B59" s="3">
        <v>45190</v>
      </c>
      <c r="C59" s="2" t="s">
        <v>13</v>
      </c>
      <c r="D59" s="2" t="s">
        <v>39</v>
      </c>
      <c r="E59" s="2" t="s">
        <v>25</v>
      </c>
      <c r="F59" s="2" t="s">
        <v>174</v>
      </c>
      <c r="G59" s="2" t="s">
        <v>55</v>
      </c>
      <c r="H59" s="2">
        <v>8</v>
      </c>
      <c r="I59" s="2">
        <v>1103.9000000000001</v>
      </c>
      <c r="J59" s="2">
        <v>0.2</v>
      </c>
      <c r="K59" s="2">
        <v>7064.98</v>
      </c>
      <c r="L59" s="2">
        <v>2054.54</v>
      </c>
      <c r="M59" s="2" t="s">
        <v>23</v>
      </c>
      <c r="N59" s="12">
        <f t="shared" si="0"/>
        <v>8831.2000000000007</v>
      </c>
      <c r="O59" s="2"/>
      <c r="P59" s="2"/>
      <c r="Q59" s="2"/>
      <c r="R59" s="2"/>
      <c r="S59" s="2"/>
      <c r="T59" s="2"/>
    </row>
    <row r="60" spans="1:20" x14ac:dyDescent="0.3">
      <c r="A60" s="11" t="s">
        <v>100</v>
      </c>
      <c r="B60" s="3">
        <v>44961</v>
      </c>
      <c r="C60" s="2" t="s">
        <v>33</v>
      </c>
      <c r="D60" s="2" t="s">
        <v>20</v>
      </c>
      <c r="E60" s="2" t="s">
        <v>25</v>
      </c>
      <c r="F60" s="2" t="s">
        <v>174</v>
      </c>
      <c r="G60" s="2" t="s">
        <v>26</v>
      </c>
      <c r="H60" s="2">
        <v>5</v>
      </c>
      <c r="I60" s="2">
        <v>580.67999999999995</v>
      </c>
      <c r="J60" s="2">
        <v>0.1</v>
      </c>
      <c r="K60" s="2">
        <v>2613.0700000000002</v>
      </c>
      <c r="L60" s="2">
        <v>763.87</v>
      </c>
      <c r="M60" s="2" t="s">
        <v>34</v>
      </c>
      <c r="N60" s="12">
        <f t="shared" si="0"/>
        <v>2903.3999999999996</v>
      </c>
      <c r="O60" s="2"/>
      <c r="P60" s="2"/>
      <c r="Q60" s="2"/>
      <c r="R60" s="2"/>
      <c r="S60" s="2"/>
      <c r="T60" s="2"/>
    </row>
    <row r="61" spans="1:20" x14ac:dyDescent="0.3">
      <c r="A61" s="11" t="s">
        <v>101</v>
      </c>
      <c r="B61" s="3">
        <v>45132</v>
      </c>
      <c r="C61" s="2" t="s">
        <v>38</v>
      </c>
      <c r="D61" s="2" t="s">
        <v>20</v>
      </c>
      <c r="E61" s="2" t="s">
        <v>25</v>
      </c>
      <c r="F61" s="2" t="s">
        <v>174</v>
      </c>
      <c r="G61" s="2" t="s">
        <v>52</v>
      </c>
      <c r="H61" s="2">
        <v>1</v>
      </c>
      <c r="I61" s="2">
        <v>1292.3599999999999</v>
      </c>
      <c r="J61" s="2">
        <v>0.1</v>
      </c>
      <c r="K61" s="2">
        <v>1163.1199999999999</v>
      </c>
      <c r="L61" s="2">
        <v>320.2</v>
      </c>
      <c r="M61" s="2" t="s">
        <v>30</v>
      </c>
      <c r="N61" s="12">
        <f t="shared" si="0"/>
        <v>1292.3599999999999</v>
      </c>
      <c r="O61" s="2"/>
      <c r="P61" s="2"/>
      <c r="Q61" s="2"/>
      <c r="R61" s="2"/>
      <c r="S61" s="2"/>
      <c r="T61" s="2"/>
    </row>
    <row r="62" spans="1:20" x14ac:dyDescent="0.3">
      <c r="A62" s="11" t="s">
        <v>102</v>
      </c>
      <c r="B62" s="3">
        <v>45007</v>
      </c>
      <c r="C62" s="2" t="s">
        <v>28</v>
      </c>
      <c r="D62" s="2" t="s">
        <v>39</v>
      </c>
      <c r="E62" s="2" t="s">
        <v>21</v>
      </c>
      <c r="F62" s="2" t="s">
        <v>173</v>
      </c>
      <c r="G62" s="2" t="s">
        <v>48</v>
      </c>
      <c r="H62" s="2">
        <v>8</v>
      </c>
      <c r="I62" s="2">
        <v>1278.25</v>
      </c>
      <c r="J62" s="2">
        <v>0.05</v>
      </c>
      <c r="K62" s="2">
        <v>9714.7099999999991</v>
      </c>
      <c r="L62" s="2">
        <v>942.62</v>
      </c>
      <c r="M62" s="2" t="s">
        <v>23</v>
      </c>
      <c r="N62" s="12">
        <f t="shared" si="0"/>
        <v>10226</v>
      </c>
      <c r="O62" s="2"/>
      <c r="P62" s="2"/>
      <c r="Q62" s="2"/>
      <c r="R62" s="2"/>
      <c r="S62" s="2"/>
      <c r="T62" s="2"/>
    </row>
    <row r="63" spans="1:20" x14ac:dyDescent="0.3">
      <c r="A63" s="11" t="s">
        <v>103</v>
      </c>
      <c r="B63" s="3">
        <v>44976</v>
      </c>
      <c r="C63" s="2" t="s">
        <v>44</v>
      </c>
      <c r="D63" s="2" t="s">
        <v>42</v>
      </c>
      <c r="E63" s="2" t="s">
        <v>21</v>
      </c>
      <c r="F63" s="2" t="s">
        <v>173</v>
      </c>
      <c r="G63" s="2" t="s">
        <v>22</v>
      </c>
      <c r="H63" s="2">
        <v>9</v>
      </c>
      <c r="I63" s="2">
        <v>593.9</v>
      </c>
      <c r="J63" s="2">
        <v>0.1</v>
      </c>
      <c r="K63" s="2">
        <v>4810.63</v>
      </c>
      <c r="L63" s="2">
        <v>1080.18</v>
      </c>
      <c r="M63" s="2" t="s">
        <v>34</v>
      </c>
      <c r="N63" s="12">
        <f t="shared" si="0"/>
        <v>5345.0999999999995</v>
      </c>
      <c r="O63" s="2"/>
      <c r="P63" s="2"/>
      <c r="Q63" s="2"/>
      <c r="R63" s="2"/>
      <c r="S63" s="2"/>
      <c r="T63" s="2"/>
    </row>
    <row r="64" spans="1:20" x14ac:dyDescent="0.3">
      <c r="A64" s="11" t="s">
        <v>104</v>
      </c>
      <c r="B64" s="3">
        <v>45286</v>
      </c>
      <c r="C64" s="2" t="s">
        <v>13</v>
      </c>
      <c r="D64" s="2" t="s">
        <v>20</v>
      </c>
      <c r="E64" s="2" t="s">
        <v>25</v>
      </c>
      <c r="F64" s="2" t="s">
        <v>174</v>
      </c>
      <c r="G64" s="2" t="s">
        <v>55</v>
      </c>
      <c r="H64" s="2">
        <v>3</v>
      </c>
      <c r="I64" s="2">
        <v>1662.82</v>
      </c>
      <c r="J64" s="2">
        <v>0.05</v>
      </c>
      <c r="K64" s="2">
        <v>4739.04</v>
      </c>
      <c r="L64" s="2">
        <v>730.57</v>
      </c>
      <c r="M64" s="2" t="s">
        <v>34</v>
      </c>
      <c r="N64" s="12">
        <f t="shared" si="0"/>
        <v>4988.46</v>
      </c>
      <c r="O64" s="2"/>
      <c r="P64" s="2"/>
      <c r="Q64" s="2"/>
      <c r="R64" s="2"/>
      <c r="S64" s="2"/>
      <c r="T64" s="2"/>
    </row>
    <row r="65" spans="1:20" x14ac:dyDescent="0.3">
      <c r="A65" s="11" t="s">
        <v>105</v>
      </c>
      <c r="B65" s="3">
        <v>44928</v>
      </c>
      <c r="C65" s="2" t="s">
        <v>19</v>
      </c>
      <c r="D65" s="2" t="s">
        <v>39</v>
      </c>
      <c r="E65" s="2" t="s">
        <v>21</v>
      </c>
      <c r="F65" s="2" t="s">
        <v>173</v>
      </c>
      <c r="G65" s="2" t="s">
        <v>48</v>
      </c>
      <c r="H65" s="2">
        <v>8</v>
      </c>
      <c r="I65" s="2">
        <v>1765.66</v>
      </c>
      <c r="J65" s="2">
        <v>0.1</v>
      </c>
      <c r="K65" s="2">
        <v>12712.73</v>
      </c>
      <c r="L65" s="2">
        <v>779.35</v>
      </c>
      <c r="M65" s="2" t="s">
        <v>34</v>
      </c>
      <c r="N65" s="12">
        <f t="shared" si="0"/>
        <v>14125.28</v>
      </c>
      <c r="O65" s="2"/>
      <c r="P65" s="2"/>
      <c r="Q65" s="2"/>
      <c r="R65" s="2"/>
      <c r="S65" s="2"/>
      <c r="T65" s="2"/>
    </row>
    <row r="66" spans="1:20" x14ac:dyDescent="0.3">
      <c r="A66" s="11" t="s">
        <v>106</v>
      </c>
      <c r="B66" s="3">
        <v>44980</v>
      </c>
      <c r="C66" s="2" t="s">
        <v>28</v>
      </c>
      <c r="D66" s="2" t="s">
        <v>20</v>
      </c>
      <c r="E66" s="2" t="s">
        <v>21</v>
      </c>
      <c r="F66" s="2" t="s">
        <v>173</v>
      </c>
      <c r="G66" s="2" t="s">
        <v>22</v>
      </c>
      <c r="H66" s="2">
        <v>2</v>
      </c>
      <c r="I66" s="2">
        <v>1975.82</v>
      </c>
      <c r="J66" s="2">
        <v>0</v>
      </c>
      <c r="K66" s="2">
        <v>3951.65</v>
      </c>
      <c r="L66" s="2">
        <v>569.77</v>
      </c>
      <c r="M66" s="2" t="s">
        <v>34</v>
      </c>
      <c r="N66" s="12">
        <f t="shared" si="0"/>
        <v>3951.64</v>
      </c>
      <c r="O66" s="2"/>
      <c r="P66" s="2"/>
      <c r="Q66" s="2"/>
      <c r="R66" s="2"/>
      <c r="S66" s="2"/>
      <c r="T66" s="2"/>
    </row>
    <row r="67" spans="1:20" x14ac:dyDescent="0.3">
      <c r="A67" s="11" t="s">
        <v>107</v>
      </c>
      <c r="B67" s="3">
        <v>45032</v>
      </c>
      <c r="C67" s="2" t="s">
        <v>44</v>
      </c>
      <c r="D67" s="2" t="s">
        <v>42</v>
      </c>
      <c r="E67" s="2" t="s">
        <v>21</v>
      </c>
      <c r="F67" s="2" t="s">
        <v>173</v>
      </c>
      <c r="G67" s="2" t="s">
        <v>45</v>
      </c>
      <c r="H67" s="2">
        <v>1</v>
      </c>
      <c r="I67" s="2">
        <v>1692.82</v>
      </c>
      <c r="J67" s="2">
        <v>0.05</v>
      </c>
      <c r="K67" s="2">
        <v>1608.18</v>
      </c>
      <c r="L67" s="2">
        <v>95.21</v>
      </c>
      <c r="M67" s="2" t="s">
        <v>30</v>
      </c>
      <c r="N67" s="12">
        <f t="shared" ref="N67:N101" si="1">I67*H67</f>
        <v>1692.82</v>
      </c>
      <c r="O67" s="2"/>
      <c r="P67" s="2"/>
      <c r="Q67" s="2"/>
      <c r="R67" s="2"/>
      <c r="S67" s="2"/>
      <c r="T67" s="2"/>
    </row>
    <row r="68" spans="1:20" x14ac:dyDescent="0.3">
      <c r="A68" s="11" t="s">
        <v>108</v>
      </c>
      <c r="B68" s="3">
        <v>45186</v>
      </c>
      <c r="C68" s="2" t="s">
        <v>13</v>
      </c>
      <c r="D68" s="2" t="s">
        <v>20</v>
      </c>
      <c r="E68" s="2" t="s">
        <v>15</v>
      </c>
      <c r="F68" s="2" t="s">
        <v>172</v>
      </c>
      <c r="G68" s="2" t="s">
        <v>40</v>
      </c>
      <c r="H68" s="2">
        <v>1</v>
      </c>
      <c r="I68" s="2">
        <v>1115.26</v>
      </c>
      <c r="J68" s="2">
        <v>0.2</v>
      </c>
      <c r="K68" s="2">
        <v>892.21</v>
      </c>
      <c r="L68" s="2">
        <v>266.91000000000003</v>
      </c>
      <c r="M68" s="2" t="s">
        <v>34</v>
      </c>
      <c r="N68" s="12">
        <f t="shared" si="1"/>
        <v>1115.26</v>
      </c>
      <c r="O68" s="2"/>
      <c r="P68" s="2"/>
      <c r="Q68" s="2"/>
      <c r="R68" s="2"/>
      <c r="S68" s="2"/>
      <c r="T68" s="2"/>
    </row>
    <row r="69" spans="1:20" x14ac:dyDescent="0.3">
      <c r="A69" s="11" t="s">
        <v>109</v>
      </c>
      <c r="B69" s="3">
        <v>45236</v>
      </c>
      <c r="C69" s="2" t="s">
        <v>90</v>
      </c>
      <c r="D69" s="2" t="s">
        <v>42</v>
      </c>
      <c r="E69" s="2" t="s">
        <v>25</v>
      </c>
      <c r="F69" s="2" t="s">
        <v>174</v>
      </c>
      <c r="G69" s="2" t="s">
        <v>55</v>
      </c>
      <c r="H69" s="2">
        <v>3</v>
      </c>
      <c r="I69" s="2">
        <v>569.96</v>
      </c>
      <c r="J69" s="2">
        <v>0</v>
      </c>
      <c r="K69" s="2">
        <v>1709.88</v>
      </c>
      <c r="L69" s="2">
        <v>140.71</v>
      </c>
      <c r="M69" s="2" t="s">
        <v>34</v>
      </c>
      <c r="N69" s="12">
        <f t="shared" si="1"/>
        <v>1709.88</v>
      </c>
      <c r="O69" s="2"/>
      <c r="P69" s="2"/>
      <c r="Q69" s="2"/>
      <c r="R69" s="2"/>
      <c r="S69" s="2"/>
      <c r="T69" s="2"/>
    </row>
    <row r="70" spans="1:20" x14ac:dyDescent="0.3">
      <c r="A70" s="11" t="s">
        <v>110</v>
      </c>
      <c r="B70" s="3">
        <v>45117</v>
      </c>
      <c r="C70" s="2" t="s">
        <v>59</v>
      </c>
      <c r="D70" s="2" t="s">
        <v>20</v>
      </c>
      <c r="E70" s="2" t="s">
        <v>21</v>
      </c>
      <c r="F70" s="2" t="s">
        <v>173</v>
      </c>
      <c r="G70" s="2" t="s">
        <v>22</v>
      </c>
      <c r="H70" s="2">
        <v>1</v>
      </c>
      <c r="I70" s="2">
        <v>1538.3</v>
      </c>
      <c r="J70" s="2">
        <v>0.05</v>
      </c>
      <c r="K70" s="2">
        <v>1461.38</v>
      </c>
      <c r="L70" s="2">
        <v>203.92</v>
      </c>
      <c r="M70" s="2" t="s">
        <v>23</v>
      </c>
      <c r="N70" s="12">
        <f t="shared" si="1"/>
        <v>1538.3</v>
      </c>
      <c r="O70" s="2"/>
      <c r="P70" s="2"/>
      <c r="Q70" s="2"/>
      <c r="R70" s="2"/>
      <c r="S70" s="2"/>
      <c r="T70" s="2"/>
    </row>
    <row r="71" spans="1:20" x14ac:dyDescent="0.3">
      <c r="A71" s="11" t="s">
        <v>111</v>
      </c>
      <c r="B71" s="3">
        <v>45144</v>
      </c>
      <c r="C71" s="2" t="s">
        <v>44</v>
      </c>
      <c r="D71" s="2" t="s">
        <v>14</v>
      </c>
      <c r="E71" s="2" t="s">
        <v>21</v>
      </c>
      <c r="F71" s="2" t="s">
        <v>173</v>
      </c>
      <c r="G71" s="2" t="s">
        <v>48</v>
      </c>
      <c r="H71" s="2">
        <v>6</v>
      </c>
      <c r="I71" s="2">
        <v>1567.4</v>
      </c>
      <c r="J71" s="2">
        <v>0.1</v>
      </c>
      <c r="K71" s="2">
        <v>8463.99</v>
      </c>
      <c r="L71" s="2">
        <v>1074.45</v>
      </c>
      <c r="M71" s="2" t="s">
        <v>30</v>
      </c>
      <c r="N71" s="12">
        <f t="shared" si="1"/>
        <v>9404.4000000000015</v>
      </c>
      <c r="O71" s="2"/>
      <c r="P71" s="2"/>
      <c r="Q71" s="2"/>
      <c r="R71" s="2"/>
      <c r="S71" s="2"/>
      <c r="T71" s="2"/>
    </row>
    <row r="72" spans="1:20" x14ac:dyDescent="0.3">
      <c r="A72" s="11" t="s">
        <v>112</v>
      </c>
      <c r="B72" s="3">
        <v>44970</v>
      </c>
      <c r="C72" s="2" t="s">
        <v>33</v>
      </c>
      <c r="D72" s="2" t="s">
        <v>20</v>
      </c>
      <c r="E72" s="2" t="s">
        <v>25</v>
      </c>
      <c r="F72" s="2" t="s">
        <v>174</v>
      </c>
      <c r="G72" s="2" t="s">
        <v>52</v>
      </c>
      <c r="H72" s="2">
        <v>9</v>
      </c>
      <c r="I72" s="2">
        <v>1220.92</v>
      </c>
      <c r="J72" s="2">
        <v>0.2</v>
      </c>
      <c r="K72" s="2">
        <v>8790.6</v>
      </c>
      <c r="L72" s="2">
        <v>1802.75</v>
      </c>
      <c r="M72" s="2" t="s">
        <v>17</v>
      </c>
      <c r="N72" s="12">
        <f t="shared" si="1"/>
        <v>10988.28</v>
      </c>
      <c r="O72" s="2"/>
      <c r="P72" s="2"/>
      <c r="Q72" s="2"/>
      <c r="R72" s="2"/>
      <c r="S72" s="2"/>
      <c r="T72" s="2"/>
    </row>
    <row r="73" spans="1:20" x14ac:dyDescent="0.3">
      <c r="A73" s="11" t="s">
        <v>113</v>
      </c>
      <c r="B73" s="3">
        <v>45088</v>
      </c>
      <c r="C73" s="2" t="s">
        <v>90</v>
      </c>
      <c r="D73" s="2" t="s">
        <v>20</v>
      </c>
      <c r="E73" s="2" t="s">
        <v>15</v>
      </c>
      <c r="F73" s="2" t="s">
        <v>172</v>
      </c>
      <c r="G73" s="2" t="s">
        <v>40</v>
      </c>
      <c r="H73" s="2">
        <v>2</v>
      </c>
      <c r="I73" s="2">
        <v>766.12</v>
      </c>
      <c r="J73" s="2">
        <v>0.05</v>
      </c>
      <c r="K73" s="2">
        <v>1455.62</v>
      </c>
      <c r="L73" s="2">
        <v>304.45999999999998</v>
      </c>
      <c r="M73" s="2" t="s">
        <v>23</v>
      </c>
      <c r="N73" s="12">
        <f t="shared" si="1"/>
        <v>1532.24</v>
      </c>
      <c r="O73" s="2"/>
      <c r="P73" s="2"/>
      <c r="Q73" s="2"/>
      <c r="R73" s="2"/>
      <c r="S73" s="2"/>
      <c r="T73" s="2"/>
    </row>
    <row r="74" spans="1:20" x14ac:dyDescent="0.3">
      <c r="A74" s="11" t="s">
        <v>114</v>
      </c>
      <c r="B74" s="3">
        <v>45128</v>
      </c>
      <c r="C74" s="2" t="s">
        <v>28</v>
      </c>
      <c r="D74" s="2" t="s">
        <v>20</v>
      </c>
      <c r="E74" s="2" t="s">
        <v>25</v>
      </c>
      <c r="F74" s="2" t="s">
        <v>174</v>
      </c>
      <c r="G74" s="2" t="s">
        <v>52</v>
      </c>
      <c r="H74" s="2">
        <v>1</v>
      </c>
      <c r="I74" s="2">
        <v>1588.94</v>
      </c>
      <c r="J74" s="2">
        <v>0.15</v>
      </c>
      <c r="K74" s="2">
        <v>1350.6</v>
      </c>
      <c r="L74" s="2">
        <v>168.14</v>
      </c>
      <c r="M74" s="2" t="s">
        <v>34</v>
      </c>
      <c r="N74" s="12">
        <f t="shared" si="1"/>
        <v>1588.94</v>
      </c>
      <c r="O74" s="2"/>
      <c r="P74" s="2"/>
      <c r="Q74" s="2"/>
      <c r="R74" s="2"/>
      <c r="S74" s="2"/>
      <c r="T74" s="2"/>
    </row>
    <row r="75" spans="1:20" x14ac:dyDescent="0.3">
      <c r="A75" s="11" t="s">
        <v>115</v>
      </c>
      <c r="B75" s="3">
        <v>45196</v>
      </c>
      <c r="C75" s="2" t="s">
        <v>36</v>
      </c>
      <c r="D75" s="2" t="s">
        <v>39</v>
      </c>
      <c r="E75" s="2" t="s">
        <v>25</v>
      </c>
      <c r="F75" s="2" t="s">
        <v>174</v>
      </c>
      <c r="G75" s="2" t="s">
        <v>55</v>
      </c>
      <c r="H75" s="2">
        <v>4</v>
      </c>
      <c r="I75" s="2">
        <v>972.76</v>
      </c>
      <c r="J75" s="2">
        <v>0</v>
      </c>
      <c r="K75" s="2">
        <v>3891.04</v>
      </c>
      <c r="L75" s="2">
        <v>673.26</v>
      </c>
      <c r="M75" s="2" t="s">
        <v>34</v>
      </c>
      <c r="N75" s="12">
        <f t="shared" si="1"/>
        <v>3891.04</v>
      </c>
      <c r="O75" s="2"/>
      <c r="P75" s="2"/>
      <c r="Q75" s="2"/>
      <c r="R75" s="2"/>
      <c r="S75" s="2"/>
      <c r="T75" s="2"/>
    </row>
    <row r="76" spans="1:20" x14ac:dyDescent="0.3">
      <c r="A76" s="11" t="s">
        <v>116</v>
      </c>
      <c r="B76" s="3">
        <v>45277</v>
      </c>
      <c r="C76" s="2" t="s">
        <v>90</v>
      </c>
      <c r="D76" s="2" t="s">
        <v>20</v>
      </c>
      <c r="E76" s="2" t="s">
        <v>21</v>
      </c>
      <c r="F76" s="2" t="s">
        <v>173</v>
      </c>
      <c r="G76" s="2" t="s">
        <v>48</v>
      </c>
      <c r="H76" s="2">
        <v>5</v>
      </c>
      <c r="I76" s="2">
        <v>760.09</v>
      </c>
      <c r="J76" s="2">
        <v>0.1</v>
      </c>
      <c r="K76" s="2">
        <v>3420.38</v>
      </c>
      <c r="L76" s="2">
        <v>666.68</v>
      </c>
      <c r="M76" s="2" t="s">
        <v>34</v>
      </c>
      <c r="N76" s="12">
        <f t="shared" si="1"/>
        <v>3800.4500000000003</v>
      </c>
      <c r="O76" s="2"/>
      <c r="P76" s="2"/>
      <c r="Q76" s="2"/>
      <c r="R76" s="2"/>
      <c r="S76" s="2"/>
      <c r="T76" s="2"/>
    </row>
    <row r="77" spans="1:20" x14ac:dyDescent="0.3">
      <c r="A77" s="11" t="s">
        <v>117</v>
      </c>
      <c r="B77" s="3">
        <v>45230</v>
      </c>
      <c r="C77" s="2" t="s">
        <v>59</v>
      </c>
      <c r="D77" s="2" t="s">
        <v>42</v>
      </c>
      <c r="E77" s="2" t="s">
        <v>15</v>
      </c>
      <c r="F77" s="2" t="s">
        <v>172</v>
      </c>
      <c r="G77" s="2" t="s">
        <v>16</v>
      </c>
      <c r="H77" s="2">
        <v>6</v>
      </c>
      <c r="I77" s="2">
        <v>1425.57</v>
      </c>
      <c r="J77" s="2">
        <v>0.15</v>
      </c>
      <c r="K77" s="2">
        <v>7270.4</v>
      </c>
      <c r="L77" s="2">
        <v>694.11</v>
      </c>
      <c r="M77" s="2" t="s">
        <v>17</v>
      </c>
      <c r="N77" s="12">
        <f t="shared" si="1"/>
        <v>8553.42</v>
      </c>
      <c r="O77" s="2"/>
      <c r="P77" s="2"/>
      <c r="Q77" s="2"/>
      <c r="R77" s="2"/>
      <c r="S77" s="2"/>
      <c r="T77" s="2"/>
    </row>
    <row r="78" spans="1:20" x14ac:dyDescent="0.3">
      <c r="A78" s="11" t="s">
        <v>118</v>
      </c>
      <c r="B78" s="3">
        <v>45197</v>
      </c>
      <c r="C78" s="2" t="s">
        <v>13</v>
      </c>
      <c r="D78" s="2" t="s">
        <v>14</v>
      </c>
      <c r="E78" s="2" t="s">
        <v>15</v>
      </c>
      <c r="F78" s="2" t="s">
        <v>172</v>
      </c>
      <c r="G78" s="2" t="s">
        <v>16</v>
      </c>
      <c r="H78" s="2">
        <v>2</v>
      </c>
      <c r="I78" s="2">
        <v>1243.68</v>
      </c>
      <c r="J78" s="2">
        <v>0.1</v>
      </c>
      <c r="K78" s="2">
        <v>2238.62</v>
      </c>
      <c r="L78" s="2">
        <v>134.80000000000001</v>
      </c>
      <c r="M78" s="2" t="s">
        <v>30</v>
      </c>
      <c r="N78" s="12">
        <f t="shared" si="1"/>
        <v>2487.36</v>
      </c>
      <c r="O78" s="2"/>
      <c r="P78" s="2"/>
      <c r="Q78" s="2"/>
      <c r="R78" s="2"/>
      <c r="S78" s="2"/>
      <c r="T78" s="2"/>
    </row>
    <row r="79" spans="1:20" x14ac:dyDescent="0.3">
      <c r="A79" s="11" t="s">
        <v>119</v>
      </c>
      <c r="B79" s="3">
        <v>45141</v>
      </c>
      <c r="C79" s="2" t="s">
        <v>28</v>
      </c>
      <c r="D79" s="2" t="s">
        <v>14</v>
      </c>
      <c r="E79" s="2" t="s">
        <v>21</v>
      </c>
      <c r="F79" s="2" t="s">
        <v>173</v>
      </c>
      <c r="G79" s="2" t="s">
        <v>22</v>
      </c>
      <c r="H79" s="2">
        <v>6</v>
      </c>
      <c r="I79" s="2">
        <v>268.52999999999997</v>
      </c>
      <c r="J79" s="2">
        <v>0</v>
      </c>
      <c r="K79" s="2">
        <v>1611.21</v>
      </c>
      <c r="L79" s="2">
        <v>295.83</v>
      </c>
      <c r="M79" s="2" t="s">
        <v>23</v>
      </c>
      <c r="N79" s="12">
        <f t="shared" si="1"/>
        <v>1611.1799999999998</v>
      </c>
      <c r="O79" s="2"/>
      <c r="P79" s="2"/>
      <c r="Q79" s="2"/>
      <c r="R79" s="2"/>
      <c r="S79" s="2"/>
      <c r="T79" s="2"/>
    </row>
    <row r="80" spans="1:20" x14ac:dyDescent="0.3">
      <c r="A80" s="11" t="s">
        <v>120</v>
      </c>
      <c r="B80" s="3">
        <v>45178</v>
      </c>
      <c r="C80" s="2" t="s">
        <v>59</v>
      </c>
      <c r="D80" s="2" t="s">
        <v>14</v>
      </c>
      <c r="E80" s="2" t="s">
        <v>25</v>
      </c>
      <c r="F80" s="2" t="s">
        <v>174</v>
      </c>
      <c r="G80" s="2" t="s">
        <v>52</v>
      </c>
      <c r="H80" s="2">
        <v>9</v>
      </c>
      <c r="I80" s="2">
        <v>275.35000000000002</v>
      </c>
      <c r="J80" s="2">
        <v>0</v>
      </c>
      <c r="K80" s="2">
        <v>2478.17</v>
      </c>
      <c r="L80" s="2">
        <v>550.02</v>
      </c>
      <c r="M80" s="2" t="s">
        <v>17</v>
      </c>
      <c r="N80" s="12">
        <f t="shared" si="1"/>
        <v>2478.15</v>
      </c>
      <c r="O80" s="2"/>
      <c r="P80" s="2"/>
      <c r="Q80" s="2"/>
      <c r="R80" s="2"/>
      <c r="S80" s="2"/>
      <c r="T80" s="2"/>
    </row>
    <row r="81" spans="1:20" x14ac:dyDescent="0.3">
      <c r="A81" s="11" t="s">
        <v>121</v>
      </c>
      <c r="B81" s="3">
        <v>45116</v>
      </c>
      <c r="C81" s="2" t="s">
        <v>90</v>
      </c>
      <c r="D81" s="2" t="s">
        <v>42</v>
      </c>
      <c r="E81" s="2" t="s">
        <v>15</v>
      </c>
      <c r="F81" s="2" t="s">
        <v>172</v>
      </c>
      <c r="G81" s="2" t="s">
        <v>29</v>
      </c>
      <c r="H81" s="2">
        <v>1</v>
      </c>
      <c r="I81" s="2">
        <v>626.07000000000005</v>
      </c>
      <c r="J81" s="2">
        <v>0</v>
      </c>
      <c r="K81" s="2">
        <v>626.07000000000005</v>
      </c>
      <c r="L81" s="2">
        <v>44.53</v>
      </c>
      <c r="M81" s="2" t="s">
        <v>30</v>
      </c>
      <c r="N81" s="12">
        <f t="shared" si="1"/>
        <v>626.07000000000005</v>
      </c>
      <c r="O81" s="2"/>
      <c r="P81" s="2"/>
      <c r="Q81" s="2"/>
      <c r="R81" s="2"/>
      <c r="S81" s="2"/>
      <c r="T81" s="2"/>
    </row>
    <row r="82" spans="1:20" x14ac:dyDescent="0.3">
      <c r="A82" s="11" t="s">
        <v>122</v>
      </c>
      <c r="B82" s="3">
        <v>45222</v>
      </c>
      <c r="C82" s="2" t="s">
        <v>59</v>
      </c>
      <c r="D82" s="2" t="s">
        <v>14</v>
      </c>
      <c r="E82" s="2" t="s">
        <v>15</v>
      </c>
      <c r="F82" s="2" t="s">
        <v>172</v>
      </c>
      <c r="G82" s="2" t="s">
        <v>16</v>
      </c>
      <c r="H82" s="2">
        <v>8</v>
      </c>
      <c r="I82" s="2">
        <v>1020.59</v>
      </c>
      <c r="J82" s="2">
        <v>0.05</v>
      </c>
      <c r="K82" s="2">
        <v>7756.51</v>
      </c>
      <c r="L82" s="2">
        <v>1861.48</v>
      </c>
      <c r="M82" s="2" t="s">
        <v>34</v>
      </c>
      <c r="N82" s="12">
        <f t="shared" si="1"/>
        <v>8164.72</v>
      </c>
      <c r="O82" s="2"/>
      <c r="P82" s="2"/>
      <c r="Q82" s="2"/>
      <c r="R82" s="2"/>
      <c r="S82" s="2"/>
      <c r="T82" s="2"/>
    </row>
    <row r="83" spans="1:20" x14ac:dyDescent="0.3">
      <c r="A83" s="11" t="s">
        <v>123</v>
      </c>
      <c r="B83" s="3">
        <v>45139</v>
      </c>
      <c r="C83" s="2" t="s">
        <v>33</v>
      </c>
      <c r="D83" s="2" t="s">
        <v>14</v>
      </c>
      <c r="E83" s="2" t="s">
        <v>21</v>
      </c>
      <c r="F83" s="2" t="s">
        <v>173</v>
      </c>
      <c r="G83" s="2" t="s">
        <v>48</v>
      </c>
      <c r="H83" s="2">
        <v>8</v>
      </c>
      <c r="I83" s="2">
        <v>352.92</v>
      </c>
      <c r="J83" s="2">
        <v>0.1</v>
      </c>
      <c r="K83" s="2">
        <v>2541.04</v>
      </c>
      <c r="L83" s="2">
        <v>695.74</v>
      </c>
      <c r="M83" s="2" t="s">
        <v>23</v>
      </c>
      <c r="N83" s="12">
        <f t="shared" si="1"/>
        <v>2823.36</v>
      </c>
      <c r="O83" s="2"/>
      <c r="P83" s="2"/>
      <c r="Q83" s="2"/>
      <c r="R83" s="2"/>
      <c r="S83" s="2"/>
      <c r="T83" s="2"/>
    </row>
    <row r="84" spans="1:20" x14ac:dyDescent="0.3">
      <c r="A84" s="11" t="s">
        <v>124</v>
      </c>
      <c r="B84" s="3">
        <v>45134</v>
      </c>
      <c r="C84" s="2" t="s">
        <v>38</v>
      </c>
      <c r="D84" s="2" t="s">
        <v>42</v>
      </c>
      <c r="E84" s="2" t="s">
        <v>15</v>
      </c>
      <c r="F84" s="2" t="s">
        <v>172</v>
      </c>
      <c r="G84" s="2" t="s">
        <v>16</v>
      </c>
      <c r="H84" s="2">
        <v>9</v>
      </c>
      <c r="I84" s="2">
        <v>1501.07</v>
      </c>
      <c r="J84" s="2">
        <v>0.15</v>
      </c>
      <c r="K84" s="2">
        <v>11483.18</v>
      </c>
      <c r="L84" s="2">
        <v>631.78</v>
      </c>
      <c r="M84" s="2" t="s">
        <v>17</v>
      </c>
      <c r="N84" s="12">
        <f t="shared" si="1"/>
        <v>13509.63</v>
      </c>
      <c r="O84" s="2"/>
      <c r="P84" s="2"/>
      <c r="Q84" s="2"/>
      <c r="R84" s="2"/>
      <c r="S84" s="2"/>
      <c r="T84" s="2"/>
    </row>
    <row r="85" spans="1:20" x14ac:dyDescent="0.3">
      <c r="A85" s="11" t="s">
        <v>125</v>
      </c>
      <c r="B85" s="3">
        <v>45163</v>
      </c>
      <c r="C85" s="2" t="s">
        <v>28</v>
      </c>
      <c r="D85" s="2" t="s">
        <v>20</v>
      </c>
      <c r="E85" s="2" t="s">
        <v>21</v>
      </c>
      <c r="F85" s="2" t="s">
        <v>173</v>
      </c>
      <c r="G85" s="2" t="s">
        <v>48</v>
      </c>
      <c r="H85" s="2">
        <v>9</v>
      </c>
      <c r="I85" s="2">
        <v>1792</v>
      </c>
      <c r="J85" s="2">
        <v>0.15</v>
      </c>
      <c r="K85" s="2">
        <v>13708.81</v>
      </c>
      <c r="L85" s="2">
        <v>2309.83</v>
      </c>
      <c r="M85" s="2" t="s">
        <v>34</v>
      </c>
      <c r="N85" s="12">
        <f t="shared" si="1"/>
        <v>16128</v>
      </c>
      <c r="O85" s="2"/>
      <c r="P85" s="2"/>
      <c r="Q85" s="2"/>
      <c r="R85" s="2"/>
      <c r="S85" s="2"/>
      <c r="T85" s="2"/>
    </row>
    <row r="86" spans="1:20" x14ac:dyDescent="0.3">
      <c r="A86" s="11" t="s">
        <v>126</v>
      </c>
      <c r="B86" s="3">
        <v>45264</v>
      </c>
      <c r="C86" s="2" t="s">
        <v>59</v>
      </c>
      <c r="D86" s="2" t="s">
        <v>42</v>
      </c>
      <c r="E86" s="2" t="s">
        <v>25</v>
      </c>
      <c r="F86" s="2" t="s">
        <v>174</v>
      </c>
      <c r="G86" s="2" t="s">
        <v>52</v>
      </c>
      <c r="H86" s="2">
        <v>4</v>
      </c>
      <c r="I86" s="2">
        <v>1120.5</v>
      </c>
      <c r="J86" s="2">
        <v>0.05</v>
      </c>
      <c r="K86" s="2">
        <v>4257.91</v>
      </c>
      <c r="L86" s="2">
        <v>806.6</v>
      </c>
      <c r="M86" s="2" t="s">
        <v>30</v>
      </c>
      <c r="N86" s="12">
        <f t="shared" si="1"/>
        <v>4482</v>
      </c>
      <c r="O86" s="2"/>
      <c r="P86" s="2"/>
      <c r="Q86" s="2"/>
      <c r="R86" s="2"/>
      <c r="S86" s="2"/>
      <c r="T86" s="2"/>
    </row>
    <row r="87" spans="1:20" x14ac:dyDescent="0.3">
      <c r="A87" s="11" t="s">
        <v>127</v>
      </c>
      <c r="B87" s="3">
        <v>44979</v>
      </c>
      <c r="C87" s="2" t="s">
        <v>33</v>
      </c>
      <c r="D87" s="2" t="s">
        <v>20</v>
      </c>
      <c r="E87" s="2" t="s">
        <v>15</v>
      </c>
      <c r="F87" s="2" t="s">
        <v>172</v>
      </c>
      <c r="G87" s="2" t="s">
        <v>40</v>
      </c>
      <c r="H87" s="2">
        <v>9</v>
      </c>
      <c r="I87" s="2">
        <v>741.15</v>
      </c>
      <c r="J87" s="2">
        <v>0.15</v>
      </c>
      <c r="K87" s="2">
        <v>5669.79</v>
      </c>
      <c r="L87" s="2">
        <v>1199.04</v>
      </c>
      <c r="M87" s="2" t="s">
        <v>30</v>
      </c>
      <c r="N87" s="12">
        <f t="shared" si="1"/>
        <v>6670.3499999999995</v>
      </c>
      <c r="O87" s="2"/>
      <c r="P87" s="2"/>
      <c r="Q87" s="2"/>
      <c r="R87" s="2"/>
      <c r="S87" s="2"/>
      <c r="T87" s="2"/>
    </row>
    <row r="88" spans="1:20" x14ac:dyDescent="0.3">
      <c r="A88" s="11" t="s">
        <v>128</v>
      </c>
      <c r="B88" s="3">
        <v>45206</v>
      </c>
      <c r="C88" s="2" t="s">
        <v>13</v>
      </c>
      <c r="D88" s="2" t="s">
        <v>14</v>
      </c>
      <c r="E88" s="2" t="s">
        <v>15</v>
      </c>
      <c r="F88" s="2" t="s">
        <v>172</v>
      </c>
      <c r="G88" s="2" t="s">
        <v>29</v>
      </c>
      <c r="H88" s="2">
        <v>6</v>
      </c>
      <c r="I88" s="2">
        <v>1250.97</v>
      </c>
      <c r="J88" s="2">
        <v>0</v>
      </c>
      <c r="K88" s="2">
        <v>7505.83</v>
      </c>
      <c r="L88" s="2">
        <v>389.43</v>
      </c>
      <c r="M88" s="2" t="s">
        <v>23</v>
      </c>
      <c r="N88" s="12">
        <f t="shared" si="1"/>
        <v>7505.82</v>
      </c>
      <c r="O88" s="2"/>
      <c r="P88" s="2"/>
      <c r="Q88" s="2"/>
      <c r="R88" s="2"/>
      <c r="S88" s="2"/>
      <c r="T88" s="2"/>
    </row>
    <row r="89" spans="1:20" x14ac:dyDescent="0.3">
      <c r="A89" s="11" t="s">
        <v>129</v>
      </c>
      <c r="B89" s="3">
        <v>45143</v>
      </c>
      <c r="C89" s="2" t="s">
        <v>59</v>
      </c>
      <c r="D89" s="2" t="s">
        <v>42</v>
      </c>
      <c r="E89" s="2" t="s">
        <v>15</v>
      </c>
      <c r="F89" s="2" t="s">
        <v>172</v>
      </c>
      <c r="G89" s="2" t="s">
        <v>40</v>
      </c>
      <c r="H89" s="2">
        <v>8</v>
      </c>
      <c r="I89" s="2">
        <v>1803.85</v>
      </c>
      <c r="J89" s="2">
        <v>0.1</v>
      </c>
      <c r="K89" s="2">
        <v>12987.75</v>
      </c>
      <c r="L89" s="2">
        <v>2352.44</v>
      </c>
      <c r="M89" s="2" t="s">
        <v>30</v>
      </c>
      <c r="N89" s="12">
        <f t="shared" si="1"/>
        <v>14430.8</v>
      </c>
      <c r="O89" s="2"/>
      <c r="P89" s="2"/>
      <c r="Q89" s="2"/>
      <c r="R89" s="2"/>
      <c r="S89" s="2"/>
      <c r="T89" s="2"/>
    </row>
    <row r="90" spans="1:20" x14ac:dyDescent="0.3">
      <c r="A90" s="11" t="s">
        <v>130</v>
      </c>
      <c r="B90" s="3">
        <v>45178</v>
      </c>
      <c r="C90" s="2" t="s">
        <v>51</v>
      </c>
      <c r="D90" s="2" t="s">
        <v>14</v>
      </c>
      <c r="E90" s="2" t="s">
        <v>15</v>
      </c>
      <c r="F90" s="2" t="s">
        <v>172</v>
      </c>
      <c r="G90" s="2" t="s">
        <v>40</v>
      </c>
      <c r="H90" s="2">
        <v>2</v>
      </c>
      <c r="I90" s="2">
        <v>1194.4000000000001</v>
      </c>
      <c r="J90" s="2">
        <v>0.1</v>
      </c>
      <c r="K90" s="2">
        <v>2149.91</v>
      </c>
      <c r="L90" s="2">
        <v>572.69000000000005</v>
      </c>
      <c r="M90" s="2" t="s">
        <v>34</v>
      </c>
      <c r="N90" s="12">
        <f t="shared" si="1"/>
        <v>2388.8000000000002</v>
      </c>
      <c r="O90" s="2"/>
      <c r="P90" s="2"/>
      <c r="Q90" s="2"/>
      <c r="R90" s="2"/>
      <c r="S90" s="2"/>
      <c r="T90" s="2"/>
    </row>
    <row r="91" spans="1:20" x14ac:dyDescent="0.3">
      <c r="A91" s="11" t="s">
        <v>131</v>
      </c>
      <c r="B91" s="3">
        <v>45114</v>
      </c>
      <c r="C91" s="2" t="s">
        <v>59</v>
      </c>
      <c r="D91" s="2" t="s">
        <v>14</v>
      </c>
      <c r="E91" s="2" t="s">
        <v>21</v>
      </c>
      <c r="F91" s="2" t="s">
        <v>173</v>
      </c>
      <c r="G91" s="2" t="s">
        <v>48</v>
      </c>
      <c r="H91" s="2">
        <v>3</v>
      </c>
      <c r="I91" s="2">
        <v>1659.64</v>
      </c>
      <c r="J91" s="2">
        <v>0.05</v>
      </c>
      <c r="K91" s="2">
        <v>4729.96</v>
      </c>
      <c r="L91" s="2">
        <v>894.87</v>
      </c>
      <c r="M91" s="2" t="s">
        <v>17</v>
      </c>
      <c r="N91" s="12">
        <f t="shared" si="1"/>
        <v>4978.92</v>
      </c>
      <c r="O91" s="2"/>
      <c r="P91" s="2"/>
      <c r="Q91" s="2"/>
      <c r="R91" s="2"/>
      <c r="S91" s="2"/>
      <c r="T91" s="2"/>
    </row>
    <row r="92" spans="1:20" x14ac:dyDescent="0.3">
      <c r="A92" s="11" t="s">
        <v>132</v>
      </c>
      <c r="B92" s="3">
        <v>44967</v>
      </c>
      <c r="C92" s="2" t="s">
        <v>44</v>
      </c>
      <c r="D92" s="2" t="s">
        <v>39</v>
      </c>
      <c r="E92" s="2" t="s">
        <v>25</v>
      </c>
      <c r="F92" s="2" t="s">
        <v>174</v>
      </c>
      <c r="G92" s="2" t="s">
        <v>55</v>
      </c>
      <c r="H92" s="2">
        <v>6</v>
      </c>
      <c r="I92" s="2">
        <v>1939.19</v>
      </c>
      <c r="J92" s="2">
        <v>0.15</v>
      </c>
      <c r="K92" s="2">
        <v>9889.86</v>
      </c>
      <c r="L92" s="2">
        <v>1546.37</v>
      </c>
      <c r="M92" s="2" t="s">
        <v>34</v>
      </c>
      <c r="N92" s="12">
        <f t="shared" si="1"/>
        <v>11635.14</v>
      </c>
      <c r="O92" s="2"/>
      <c r="P92" s="2"/>
      <c r="Q92" s="2"/>
      <c r="R92" s="2"/>
      <c r="S92" s="2"/>
      <c r="T92" s="2"/>
    </row>
    <row r="93" spans="1:20" x14ac:dyDescent="0.3">
      <c r="A93" s="11" t="s">
        <v>133</v>
      </c>
      <c r="B93" s="3">
        <v>45083</v>
      </c>
      <c r="C93" s="2" t="s">
        <v>90</v>
      </c>
      <c r="D93" s="2" t="s">
        <v>42</v>
      </c>
      <c r="E93" s="2" t="s">
        <v>15</v>
      </c>
      <c r="F93" s="2" t="s">
        <v>172</v>
      </c>
      <c r="G93" s="2" t="s">
        <v>29</v>
      </c>
      <c r="H93" s="2">
        <v>6</v>
      </c>
      <c r="I93" s="2">
        <v>1204.3499999999999</v>
      </c>
      <c r="J93" s="2">
        <v>0.1</v>
      </c>
      <c r="K93" s="2">
        <v>6503.5</v>
      </c>
      <c r="L93" s="2">
        <v>1840.51</v>
      </c>
      <c r="M93" s="2" t="s">
        <v>23</v>
      </c>
      <c r="N93" s="12">
        <f t="shared" si="1"/>
        <v>7226.0999999999995</v>
      </c>
      <c r="O93" s="2"/>
      <c r="P93" s="2"/>
      <c r="Q93" s="2"/>
      <c r="R93" s="2"/>
      <c r="S93" s="2"/>
      <c r="T93" s="2"/>
    </row>
    <row r="94" spans="1:20" x14ac:dyDescent="0.3">
      <c r="A94" s="11" t="s">
        <v>134</v>
      </c>
      <c r="B94" s="3">
        <v>44941</v>
      </c>
      <c r="C94" s="2" t="s">
        <v>59</v>
      </c>
      <c r="D94" s="2" t="s">
        <v>14</v>
      </c>
      <c r="E94" s="2" t="s">
        <v>21</v>
      </c>
      <c r="F94" s="2" t="s">
        <v>173</v>
      </c>
      <c r="G94" s="2" t="s">
        <v>48</v>
      </c>
      <c r="H94" s="2">
        <v>5</v>
      </c>
      <c r="I94" s="2">
        <v>220.41</v>
      </c>
      <c r="J94" s="2">
        <v>0.15</v>
      </c>
      <c r="K94" s="2">
        <v>934.75</v>
      </c>
      <c r="L94" s="2">
        <v>94.08</v>
      </c>
      <c r="M94" s="2" t="s">
        <v>30</v>
      </c>
      <c r="N94" s="12">
        <f t="shared" si="1"/>
        <v>1102.05</v>
      </c>
      <c r="O94" s="2"/>
      <c r="P94" s="2"/>
      <c r="Q94" s="2"/>
      <c r="R94" s="2"/>
      <c r="S94" s="2"/>
      <c r="T94" s="2"/>
    </row>
    <row r="95" spans="1:20" x14ac:dyDescent="0.3">
      <c r="A95" s="11" t="s">
        <v>135</v>
      </c>
      <c r="B95" s="3">
        <v>45227</v>
      </c>
      <c r="C95" s="2" t="s">
        <v>59</v>
      </c>
      <c r="D95" s="2" t="s">
        <v>14</v>
      </c>
      <c r="E95" s="2" t="s">
        <v>25</v>
      </c>
      <c r="F95" s="2" t="s">
        <v>174</v>
      </c>
      <c r="G95" s="2" t="s">
        <v>26</v>
      </c>
      <c r="H95" s="2">
        <v>5</v>
      </c>
      <c r="I95" s="2">
        <v>105.15</v>
      </c>
      <c r="J95" s="2">
        <v>0</v>
      </c>
      <c r="K95" s="2">
        <v>525.75</v>
      </c>
      <c r="L95" s="2">
        <v>104.58</v>
      </c>
      <c r="M95" s="2" t="s">
        <v>17</v>
      </c>
      <c r="N95" s="12">
        <f t="shared" si="1"/>
        <v>525.75</v>
      </c>
      <c r="O95" s="2"/>
      <c r="P95" s="2"/>
      <c r="Q95" s="2"/>
      <c r="R95" s="2"/>
      <c r="S95" s="2"/>
      <c r="T95" s="2"/>
    </row>
    <row r="96" spans="1:20" x14ac:dyDescent="0.3">
      <c r="A96" s="11" t="s">
        <v>136</v>
      </c>
      <c r="B96" s="3">
        <v>44991</v>
      </c>
      <c r="C96" s="2" t="s">
        <v>13</v>
      </c>
      <c r="D96" s="2" t="s">
        <v>39</v>
      </c>
      <c r="E96" s="2" t="s">
        <v>15</v>
      </c>
      <c r="F96" s="2" t="s">
        <v>172</v>
      </c>
      <c r="G96" s="2" t="s">
        <v>40</v>
      </c>
      <c r="H96" s="2">
        <v>1</v>
      </c>
      <c r="I96" s="2">
        <v>1716.38</v>
      </c>
      <c r="J96" s="2">
        <v>0.15</v>
      </c>
      <c r="K96" s="2">
        <v>1458.92</v>
      </c>
      <c r="L96" s="2">
        <v>424.92</v>
      </c>
      <c r="M96" s="2" t="s">
        <v>17</v>
      </c>
      <c r="N96" s="12">
        <f t="shared" si="1"/>
        <v>1716.38</v>
      </c>
      <c r="O96" s="2"/>
      <c r="P96" s="2"/>
      <c r="Q96" s="2"/>
      <c r="R96" s="2"/>
      <c r="S96" s="2"/>
      <c r="T96" s="2"/>
    </row>
    <row r="97" spans="1:20" x14ac:dyDescent="0.3">
      <c r="A97" s="11" t="s">
        <v>137</v>
      </c>
      <c r="B97" s="3">
        <v>45271</v>
      </c>
      <c r="C97" s="2" t="s">
        <v>59</v>
      </c>
      <c r="D97" s="2" t="s">
        <v>20</v>
      </c>
      <c r="E97" s="2" t="s">
        <v>25</v>
      </c>
      <c r="F97" s="2" t="s">
        <v>174</v>
      </c>
      <c r="G97" s="2" t="s">
        <v>52</v>
      </c>
      <c r="H97" s="2">
        <v>3</v>
      </c>
      <c r="I97" s="2">
        <v>226.34</v>
      </c>
      <c r="J97" s="2">
        <v>0.15</v>
      </c>
      <c r="K97" s="2">
        <v>577.16999999999996</v>
      </c>
      <c r="L97" s="2">
        <v>150.33000000000001</v>
      </c>
      <c r="M97" s="2" t="s">
        <v>34</v>
      </c>
      <c r="N97" s="12">
        <f t="shared" si="1"/>
        <v>679.02</v>
      </c>
      <c r="O97" s="2"/>
      <c r="P97" s="2"/>
      <c r="Q97" s="2"/>
      <c r="R97" s="2"/>
      <c r="S97" s="2"/>
      <c r="T97" s="2"/>
    </row>
    <row r="98" spans="1:20" x14ac:dyDescent="0.3">
      <c r="A98" s="11" t="s">
        <v>138</v>
      </c>
      <c r="B98" s="3">
        <v>45253</v>
      </c>
      <c r="C98" s="2" t="s">
        <v>28</v>
      </c>
      <c r="D98" s="2" t="s">
        <v>14</v>
      </c>
      <c r="E98" s="2" t="s">
        <v>25</v>
      </c>
      <c r="F98" s="2" t="s">
        <v>174</v>
      </c>
      <c r="G98" s="2" t="s">
        <v>52</v>
      </c>
      <c r="H98" s="2">
        <v>3</v>
      </c>
      <c r="I98" s="2">
        <v>412.11</v>
      </c>
      <c r="J98" s="2">
        <v>0.2</v>
      </c>
      <c r="K98" s="2">
        <v>989.05</v>
      </c>
      <c r="L98" s="2">
        <v>107.73</v>
      </c>
      <c r="M98" s="2" t="s">
        <v>30</v>
      </c>
      <c r="N98" s="12">
        <f t="shared" si="1"/>
        <v>1236.33</v>
      </c>
      <c r="O98" s="2"/>
      <c r="P98" s="2"/>
      <c r="Q98" s="2"/>
      <c r="R98" s="2"/>
      <c r="S98" s="2"/>
      <c r="T98" s="2"/>
    </row>
    <row r="99" spans="1:20" x14ac:dyDescent="0.3">
      <c r="A99" s="11" t="s">
        <v>139</v>
      </c>
      <c r="B99" s="3">
        <v>44935</v>
      </c>
      <c r="C99" s="2" t="s">
        <v>44</v>
      </c>
      <c r="D99" s="2" t="s">
        <v>20</v>
      </c>
      <c r="E99" s="2" t="s">
        <v>25</v>
      </c>
      <c r="F99" s="2" t="s">
        <v>174</v>
      </c>
      <c r="G99" s="2" t="s">
        <v>55</v>
      </c>
      <c r="H99" s="2">
        <v>9</v>
      </c>
      <c r="I99" s="2">
        <v>1397.67</v>
      </c>
      <c r="J99" s="2">
        <v>0.1</v>
      </c>
      <c r="K99" s="2">
        <v>11321.09</v>
      </c>
      <c r="L99" s="2">
        <v>2332.4299999999998</v>
      </c>
      <c r="M99" s="2" t="s">
        <v>17</v>
      </c>
      <c r="N99" s="12">
        <f t="shared" si="1"/>
        <v>12579.03</v>
      </c>
      <c r="O99" s="2"/>
      <c r="P99" s="2"/>
      <c r="Q99" s="2"/>
      <c r="R99" s="2"/>
      <c r="S99" s="2"/>
      <c r="T99" s="2"/>
    </row>
    <row r="100" spans="1:20" x14ac:dyDescent="0.3">
      <c r="A100" s="11" t="s">
        <v>140</v>
      </c>
      <c r="B100" s="3">
        <v>45270</v>
      </c>
      <c r="C100" s="2" t="s">
        <v>59</v>
      </c>
      <c r="D100" s="2" t="s">
        <v>39</v>
      </c>
      <c r="E100" s="2" t="s">
        <v>15</v>
      </c>
      <c r="F100" s="2" t="s">
        <v>172</v>
      </c>
      <c r="G100" s="2" t="s">
        <v>29</v>
      </c>
      <c r="H100" s="2">
        <v>9</v>
      </c>
      <c r="I100" s="2">
        <v>775.19</v>
      </c>
      <c r="J100" s="2">
        <v>0.05</v>
      </c>
      <c r="K100" s="2">
        <v>6627.86</v>
      </c>
      <c r="L100" s="2">
        <v>1232.04</v>
      </c>
      <c r="M100" s="2" t="s">
        <v>17</v>
      </c>
      <c r="N100" s="12">
        <f t="shared" si="1"/>
        <v>6976.7100000000009</v>
      </c>
      <c r="O100" s="2"/>
      <c r="P100" s="2"/>
      <c r="Q100" s="2"/>
      <c r="R100" s="2"/>
      <c r="S100" s="2"/>
      <c r="T100" s="2"/>
    </row>
    <row r="101" spans="1:20" x14ac:dyDescent="0.3">
      <c r="A101" s="16" t="s">
        <v>141</v>
      </c>
      <c r="B101" s="17">
        <v>45055</v>
      </c>
      <c r="C101" s="18" t="s">
        <v>36</v>
      </c>
      <c r="D101" s="18" t="s">
        <v>20</v>
      </c>
      <c r="E101" s="18" t="s">
        <v>15</v>
      </c>
      <c r="F101" s="18" t="s">
        <v>172</v>
      </c>
      <c r="G101" s="18" t="s">
        <v>16</v>
      </c>
      <c r="H101" s="18">
        <v>6</v>
      </c>
      <c r="I101" s="18">
        <v>1885.68</v>
      </c>
      <c r="J101" s="18">
        <v>0.1</v>
      </c>
      <c r="K101" s="18">
        <v>10182.68</v>
      </c>
      <c r="L101" s="18">
        <v>1361.69</v>
      </c>
      <c r="M101" s="18" t="s">
        <v>17</v>
      </c>
      <c r="N101" s="19">
        <f t="shared" si="1"/>
        <v>11314.08</v>
      </c>
      <c r="O101" s="18"/>
      <c r="P101" s="18"/>
      <c r="Q101" s="18"/>
      <c r="R101" s="18"/>
      <c r="S101" s="18"/>
      <c r="T101" s="18"/>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Sheet2</vt:lpstr>
      <vt:lpstr>Sheet1</vt:lpstr>
      <vt:lpstr>Sheet4</vt:lpstr>
      <vt:lpstr>Data Clean</vt:lpstr>
      <vt:lpstr>Data Clean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Sayar Paul</dc:creator>
  <cp:lastModifiedBy>Sayar Paul</cp:lastModifiedBy>
  <dcterms:created xsi:type="dcterms:W3CDTF">2026-03-16T05:02:03Z</dcterms:created>
  <dcterms:modified xsi:type="dcterms:W3CDTF">2026-03-17T06:21:05Z</dcterms:modified>
</cp:coreProperties>
</file>