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13_ncr:1_{BA41A35A-4CD8-45F5-8A82-887B8EB512A8}" xr6:coauthVersionLast="47" xr6:coauthVersionMax="47" xr10:uidLastSave="{00000000-0000-0000-0000-000000000000}"/>
  <bookViews>
    <workbookView xWindow="3036" yWindow="3036" windowWidth="17280" windowHeight="8880" firstSheet="6" activeTab="6"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Format2.3labwork" sheetId="7" r:id="rId7"/>
    <sheet name="Sort &amp; Filtering(Day3)" sheetId="8" r:id="rId8"/>
    <sheet name="Advanced Filterring(Day3.1)" sheetId="9" r:id="rId9"/>
    <sheet name="Sort &amp; Filtering(ClassLabWork)" sheetId="10" r:id="rId10"/>
  </sheets>
  <definedNames>
    <definedName name="_xlnm._FilterDatabase" localSheetId="9" hidden="1">'Sort &amp; Filtering(ClassLabWork)'!$C$44:$C$52</definedName>
    <definedName name="_xlnm._FilterDatabase" localSheetId="7" hidden="1">'Sort &amp; Filtering(Day3)'!$A$1:$N$373</definedName>
    <definedName name="_xlnm.Criteria" localSheetId="9">'Sort &amp; Filtering(ClassLabWork)'!$B$54:$B$56</definedName>
    <definedName name="_xlnm.Criteria" localSheetId="7">'Sort &amp; Filtering(Day3)'!$S$8:$S$9</definedName>
    <definedName name="_xlnm.Extract" localSheetId="8">'Advanced Filterring(Day3.1)'!$A$1:$N$1</definedName>
    <definedName name="_xlnm.Extract" localSheetId="7">'Sort &amp; Filtering(Day3)'!$AH$15:$AU$15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<sst xmlns="http://schemas.openxmlformats.org/spreadsheetml/2006/main" count="18622" uniqueCount="144">
  <si>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</si>
  <si>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</si>
  <si>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</si>
  <si>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</si>
  <si>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</si>
  <si>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</si>
  <si>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</si>
  <si>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</si>
  <si>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</si>
  <si>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</si>
  <si>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</si>
  <si>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</si>
  <si>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</si>
  <si>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</si>
  <si>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</si>
  <si>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</si>
  <si>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</si>
  <si>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</si>
  <si>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</si>
  <si>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</si>
  <si>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</si>
  <si>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</si>
  <si>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</si>
  <si>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</si>
  <si>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</si>
  <si>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</si>
  <si>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</si>
  <si>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</si>
  <si>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</si>
  <si>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</si>
  <si>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</si>
  <si>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</si>
  <si>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</si>
  <si>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</si>
  <si>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</si>
  <si>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</si>
  <si>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</si>
  <si>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</si>
  <si>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</si>
  <si>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</si>
  <si>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</si>
  <si>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</si>
  <si>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</si>
  <si>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</si>
  <si>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</si>
  <si>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</si>
  <si>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</si>
  <si>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</si>
  <si>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</si>
  <si>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</si>
  <si>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</si>
  <si>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</si>
  <si>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</si>
  <si>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</si>
  <si>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</si>
  <si>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</si>
  <si>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</si>
  <si>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</si>
  <si>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</si>
  <si>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</si>
  <si>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</si>
  <si>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</si>
  <si>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</si>
  <si>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</si>
  <si>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</si>
  <si>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</si>
  <si>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</si>
  <si>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</si>
  <si>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</si>
  <si>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</si>
  <si>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</si>
  <si>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</si>
  <si>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</si>
  <si>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</si>
  <si>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</si>
  <si>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</si>
  <si>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</si>
  <si>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</si>
  <si>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</si>
  <si>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</si>
  <si>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</si>
  <si>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</si>
  <si>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</si>
  <si>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</si>
  <si>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</si>
  <si>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</si>
  <si>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</si>
  <si>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</si>
  <si>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</si>
  <si>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</si>
  <si>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</si>
  <si>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</si>
  <si>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</si>
  <si>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</si>
  <si>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</si>
  <si>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</si>
  <si>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</si>
  <si>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</si>
  <si>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</si>
  <si>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</si>
  <si>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</si>
  <si>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</si>
  <si>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</si>
  <si>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</si>
  <si>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</si>
  <si>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</si>
  <si>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</si>
  <si>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</si>
  <si>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</si>
  <si>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</si>
  <si>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</si>
  <si>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</si>
  <si>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</si>
  <si>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</si>
  <si>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</si>
  <si>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</si>
  <si>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</si>
  <si>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</si>
  <si>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</si>
  <si>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</si>
  <si>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</si>
  <si>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</si>
  <si>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</si>
  <si>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</si>
  <si>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</si>
  <si>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</si>
  <si>
    <t>Q1</t>
  </si>
  <si>
    <t>Q2</t>
  </si>
  <si>
    <t>Q3</t>
  </si>
  <si>
    <t>Q4</t>
  </si>
  <si>
    <t>Q5</t>
  </si>
  <si>
    <t>&gt;1500</t>
  </si>
  <si>
    <t>ADVANCED FILTERING</t>
  </si>
  <si>
    <t>Cash On Delivery</t>
  </si>
  <si>
    <t>1. Sort the dataset alphabetically by the Product name in column A.</t>
  </si>
  <si>
    <t>2. Sort the dataset by Sales in descending order.</t>
  </si>
  <si>
    <t>&gt;150</t>
  </si>
  <si>
    <t>&gt;=01-01-2024</t>
  </si>
  <si>
    <t>&lt;=31-01-2024</t>
  </si>
  <si>
    <t>3. Sort the dataset first by Region in alphabetical order, and then by Sales in ascending order within each Region.</t>
  </si>
  <si>
    <t>4. Apply a filter to display only the rows where the Product is "Product B".</t>
  </si>
  <si>
    <t>5. Apply a filter to display only the rows where the Sales are greater than 150.</t>
  </si>
  <si>
    <t>6. Apply a filter to display only the rows where the Date is in January 2024.</t>
  </si>
  <si>
    <t>7. Sort the dataset first by Date in chronological order, and then by Sales in descending order within each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</si>
</sst>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Times New Roman"/>
      <family val="1"/>
    </font>
    <font>
      <sz val="16"/>
      <color theme="1"/>
      <name val="Calibri"/>
      <family val="2"/>
      <scheme val="minor"/>
    </font>
  </fonts>
  <fills count="2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FF33CC"/>
        <bgColor indexed="64"/>
      </patternFill>
    </fill>
    <fill>
      <patternFill patternType="solid">
        <fgColor rgb="FF3333FF"/>
        <bgColor indexed="64"/>
      </patternFill>
    </fill>
    <fill>
      <patternFill patternType="solid">
        <fgColor rgb="FF0080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2" fillId="0" borderId="1" xfId="0" applyFont="1" applyBorder="1"/>
    <xf numFmtId="0" fontId="2" fillId="0" borderId="0" xfId="0" applyFont="1"/>
    <xf numFmtId="14" fontId="2" fillId="0" borderId="1" xfId="0" applyNumberFormat="1" applyFont="1" applyBorder="1"/>
    <xf numFmtId="0" fontId="1" fillId="2" borderId="3" xfId="0" applyFont="1" applyFill="1" applyBorder="1"/>
    <xf numFmtId="0" fontId="0" fillId="6" borderId="1" xfId="0" applyFill="1" applyBorder="1"/>
    <xf numFmtId="14" fontId="0" fillId="6" borderId="1" xfId="0" applyNumberFormat="1" applyFill="1" applyBorder="1"/>
    <xf numFmtId="0" fontId="0" fillId="6" borderId="3" xfId="0" applyFill="1" applyBorder="1"/>
    <xf numFmtId="0" fontId="1" fillId="0" borderId="0" xfId="0" applyFont="1" applyFill="1" applyBorder="1"/>
    <xf numFmtId="0" fontId="0" fillId="7" borderId="1" xfId="0" applyFill="1" applyBorder="1"/>
    <xf numFmtId="14" fontId="0" fillId="7" borderId="1" xfId="0" applyNumberFormat="1" applyFill="1" applyBorder="1"/>
    <xf numFmtId="0" fontId="0" fillId="7" borderId="3" xfId="0" applyFill="1" applyBorder="1"/>
    <xf numFmtId="0" fontId="0" fillId="8" borderId="1" xfId="0" applyFill="1" applyBorder="1"/>
    <xf numFmtId="14" fontId="0" fillId="8" borderId="1" xfId="0" applyNumberFormat="1" applyFill="1" applyBorder="1"/>
    <xf numFmtId="0" fontId="0" fillId="8" borderId="3" xfId="0" applyFill="1" applyBorder="1"/>
    <xf numFmtId="0" fontId="0" fillId="9" borderId="1" xfId="0" applyFill="1" applyBorder="1"/>
    <xf numFmtId="14" fontId="0" fillId="9" borderId="1" xfId="0" applyNumberFormat="1" applyFill="1" applyBorder="1"/>
    <xf numFmtId="0" fontId="0" fillId="9" borderId="3" xfId="0" applyFill="1" applyBorder="1"/>
    <xf numFmtId="0" fontId="0" fillId="10" borderId="1" xfId="0" applyFill="1" applyBorder="1"/>
    <xf numFmtId="14" fontId="0" fillId="10" borderId="1" xfId="0" applyNumberFormat="1" applyFill="1" applyBorder="1"/>
    <xf numFmtId="0" fontId="0" fillId="10" borderId="3" xfId="0" applyFill="1" applyBorder="1"/>
    <xf numFmtId="0" fontId="0" fillId="11" borderId="1" xfId="0" applyFill="1" applyBorder="1"/>
    <xf numFmtId="14" fontId="0" fillId="11" borderId="1" xfId="0" applyNumberFormat="1" applyFill="1" applyBorder="1"/>
    <xf numFmtId="0" fontId="0" fillId="11" borderId="3" xfId="0" applyFill="1" applyBorder="1"/>
    <xf numFmtId="0" fontId="0" fillId="12" borderId="1" xfId="0" applyFill="1" applyBorder="1"/>
    <xf numFmtId="14" fontId="0" fillId="12" borderId="1" xfId="0" applyNumberFormat="1" applyFill="1" applyBorder="1"/>
    <xf numFmtId="0" fontId="0" fillId="12" borderId="3" xfId="0" applyFill="1" applyBorder="1"/>
    <xf numFmtId="0" fontId="0" fillId="13" borderId="1" xfId="0" applyFill="1" applyBorder="1"/>
    <xf numFmtId="14" fontId="0" fillId="13" borderId="1" xfId="0" applyNumberFormat="1" applyFill="1" applyBorder="1"/>
    <xf numFmtId="0" fontId="0" fillId="13" borderId="3" xfId="0" applyFill="1" applyBorder="1"/>
    <xf numFmtId="0" fontId="0" fillId="14" borderId="1" xfId="0" applyFill="1" applyBorder="1"/>
    <xf numFmtId="14" fontId="0" fillId="14" borderId="1" xfId="0" applyNumberFormat="1" applyFill="1" applyBorder="1"/>
    <xf numFmtId="0" fontId="0" fillId="14" borderId="3" xfId="0" applyFill="1" applyBorder="1"/>
    <xf numFmtId="0" fontId="0" fillId="15" borderId="1" xfId="0" applyFill="1" applyBorder="1"/>
    <xf numFmtId="14" fontId="0" fillId="15" borderId="1" xfId="0" applyNumberFormat="1" applyFill="1" applyBorder="1"/>
    <xf numFmtId="0" fontId="0" fillId="15" borderId="3" xfId="0" applyFill="1" applyBorder="1"/>
    <xf numFmtId="0" fontId="2" fillId="0" borderId="4" xfId="0" applyFont="1" applyBorder="1"/>
    <xf numFmtId="14" fontId="2" fillId="0" borderId="4" xfId="0" applyNumberFormat="1" applyFont="1" applyBorder="1"/>
    <xf numFmtId="0" fontId="2" fillId="0" borderId="0" xfId="0" applyFont="1" applyBorder="1"/>
    <xf numFmtId="14" fontId="2" fillId="0" borderId="0" xfId="0" applyNumberFormat="1" applyFont="1" applyBorder="1"/>
    <xf numFmtId="14" fontId="2" fillId="0" borderId="1" xfId="0" applyNumberFormat="1" applyFont="1" applyBorder="1" applyAlignment="1"/>
    <xf numFmtId="0" fontId="2" fillId="6" borderId="1" xfId="0" applyFont="1" applyFill="1" applyBorder="1"/>
    <xf numFmtId="14" fontId="2" fillId="6" borderId="1" xfId="0" applyNumberFormat="1" applyFont="1" applyFill="1" applyBorder="1"/>
    <xf numFmtId="0" fontId="2" fillId="13" borderId="1" xfId="0" applyFont="1" applyFill="1" applyBorder="1"/>
    <xf numFmtId="14" fontId="2" fillId="13" borderId="1" xfId="0" applyNumberFormat="1" applyFont="1" applyFill="1" applyBorder="1"/>
    <xf numFmtId="0" fontId="2" fillId="2" borderId="1" xfId="0" applyFont="1" applyFill="1" applyBorder="1"/>
    <xf numFmtId="14" fontId="2" fillId="2" borderId="1" xfId="0" applyNumberFormat="1" applyFont="1" applyFill="1" applyBorder="1"/>
    <xf numFmtId="0" fontId="2" fillId="0" borderId="2" xfId="0" applyFont="1" applyBorder="1"/>
    <xf numFmtId="14" fontId="2" fillId="0" borderId="2" xfId="0" applyNumberFormat="1" applyFont="1" applyBorder="1"/>
    <xf numFmtId="0" fontId="2" fillId="16" borderId="1" xfId="0" applyFont="1" applyFill="1" applyBorder="1"/>
    <xf numFmtId="14" fontId="2" fillId="16" borderId="1" xfId="0" applyNumberFormat="1" applyFont="1" applyFill="1" applyBorder="1"/>
    <xf numFmtId="0" fontId="2" fillId="17" borderId="1" xfId="0" applyFont="1" applyFill="1" applyBorder="1"/>
    <xf numFmtId="14" fontId="2" fillId="17" borderId="1" xfId="0" applyNumberFormat="1" applyFont="1" applyFill="1" applyBorder="1"/>
    <xf numFmtId="0" fontId="2" fillId="18" borderId="1" xfId="0" applyFont="1" applyFill="1" applyBorder="1"/>
    <xf numFmtId="14" fontId="2" fillId="18" borderId="1" xfId="0" applyNumberFormat="1" applyFont="1" applyFill="1" applyBorder="1"/>
    <xf numFmtId="0" fontId="0" fillId="0" borderId="2" xfId="0" applyBorder="1"/>
    <xf numFmtId="0" fontId="2" fillId="19" borderId="1" xfId="0" applyFont="1" applyFill="1" applyBorder="1"/>
    <xf numFmtId="14" fontId="2" fillId="19" borderId="1" xfId="0" applyNumberFormat="1" applyFont="1" applyFill="1" applyBorder="1"/>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xf>
    <xf numFmtId="0" fontId="0" fillId="18" borderId="1" xfId="0" applyFill="1" applyBorder="1" applyAlignment="1">
      <alignment horizontal="center" wrapText="1"/>
    </xf>
    <xf numFmtId="0" fontId="0" fillId="6" borderId="1" xfId="0" applyFill="1" applyBorder="1" applyAlignment="1">
      <alignment horizontal="center" wrapText="1"/>
    </xf>
    <xf numFmtId="0" fontId="0" fillId="13" borderId="6" xfId="0" applyFill="1" applyBorder="1" applyAlignment="1">
      <alignment horizontal="center" wrapText="1"/>
    </xf>
    <xf numFmtId="0" fontId="0" fillId="13" borderId="7" xfId="0" applyFill="1" applyBorder="1" applyAlignment="1">
      <alignment horizontal="center" wrapText="1"/>
    </xf>
    <xf numFmtId="0" fontId="0" fillId="13" borderId="8" xfId="0" applyFill="1" applyBorder="1" applyAlignment="1">
      <alignment horizontal="center" wrapText="1"/>
    </xf>
    <xf numFmtId="0" fontId="0" fillId="13" borderId="9" xfId="0" applyFill="1" applyBorder="1" applyAlignment="1">
      <alignment horizontal="center" wrapText="1"/>
    </xf>
    <xf numFmtId="0" fontId="0" fillId="13" borderId="5" xfId="0" applyFill="1" applyBorder="1" applyAlignment="1">
      <alignment horizontal="center" wrapText="1"/>
    </xf>
    <xf numFmtId="0" fontId="0" fillId="13" borderId="10" xfId="0" applyFill="1" applyBorder="1" applyAlignment="1">
      <alignment horizontal="center" wrapText="1"/>
    </xf>
    <xf numFmtId="0" fontId="0" fillId="2" borderId="1" xfId="0" applyFill="1" applyBorder="1" applyAlignment="1">
      <alignment horizontal="center" wrapText="1"/>
    </xf>
    <xf numFmtId="0" fontId="0" fillId="16" borderId="1" xfId="0" applyFill="1" applyBorder="1" applyAlignment="1">
      <alignment horizontal="center" wrapText="1"/>
    </xf>
    <xf numFmtId="0" fontId="0" fillId="19" borderId="1" xfId="0" applyFill="1" applyBorder="1" applyAlignment="1">
      <alignment horizontal="center" wrapText="1"/>
    </xf>
    <xf numFmtId="0" fontId="0" fillId="17" borderId="1" xfId="0" applyFill="1" applyBorder="1" applyAlignment="1">
      <alignment horizontal="center" wrapText="1"/>
    </xf>
  </cellXfs>
  <cellStyles count="1">
    <cellStyle name="Normal" xfId="0" builtinId="0"/>
  </cellStyles>
  <dxfs count="12">
    <dxf>
      <fill>
        <patternFill patternType="solid">
          <fgColor rgb="FFFFFF00"/>
          <bgColor rgb="FF000000"/>
        </patternFill>
      </fill>
    </dxf>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colors>
    <mruColors>
      <color rgb="FFFF33CC"/>
      <color rgb="FF008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zoomScale="59" zoomScaleNormal="59" workbookViewId="0">
      <selection activeCell="B5" sqref="A1:R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45</v>
      </c>
      <c r="C3" s="1">
        <f t="shared" ref="C3:D9" ca="1" si="1">RANDBETWEEN(40,100)</f>
        <v>63</v>
      </c>
      <c r="D3" s="1">
        <f t="shared" ca="1" si="1"/>
        <v>80</v>
      </c>
      <c r="E3" s="1">
        <f t="shared" ref="E3:E9" ca="1" si="2">SUM(B3:D3)</f>
        <v>188</v>
      </c>
      <c r="F3" s="1">
        <f t="shared" ref="F3:F9" ca="1" si="3">AVERAGE(B3:D3)</f>
        <v>62.666666666666664</v>
      </c>
      <c r="G3" s="1" t="str">
        <f t="shared" ref="G3:G8" ca="1" si="4">IF(F3&gt;=90,"A",IF(F3&gt;=70,"B",IF(F3&gt;=50,"C",IF(F3&gt;=40,"Pass",IF(F3&lt;40,"Fail")))))</f>
        <v>C</v>
      </c>
    </row>
    <row r="4" spans="1:7" x14ac:dyDescent="0.3">
      <c r="A4" s="1" t="s">
        <v>83</v>
      </c>
      <c r="B4" s="1">
        <f t="shared" ca="1" si="0"/>
        <v>40</v>
      </c>
      <c r="C4" s="1">
        <f t="shared" ca="1" si="1"/>
        <v>75</v>
      </c>
      <c r="D4" s="1">
        <f t="shared" ca="1" si="1"/>
        <v>87</v>
      </c>
      <c r="E4" s="1">
        <f t="shared" ca="1" si="2"/>
        <v>202</v>
      </c>
      <c r="F4" s="1">
        <f t="shared" ca="1" si="3"/>
        <v>67.333333333333329</v>
      </c>
      <c r="G4" s="1" t="str">
        <f t="shared" ca="1" si="4"/>
        <v>C</v>
      </c>
    </row>
    <row r="5" spans="1:7" x14ac:dyDescent="0.3">
      <c r="A5" s="1" t="s">
        <v>84</v>
      </c>
      <c r="B5" s="1">
        <f t="shared" ca="1" si="0"/>
        <v>68</v>
      </c>
      <c r="C5" s="1">
        <f t="shared" ca="1" si="1"/>
        <v>89</v>
      </c>
      <c r="D5" s="1">
        <f t="shared" ca="1" si="1"/>
        <v>53</v>
      </c>
      <c r="E5" s="1">
        <f t="shared" ca="1" si="2"/>
        <v>210</v>
      </c>
      <c r="F5" s="1">
        <f t="shared" ca="1" si="3"/>
        <v>70</v>
      </c>
      <c r="G5" s="1" t="str">
        <f t="shared" ca="1" si="4"/>
        <v>B</v>
      </c>
    </row>
    <row r="6" spans="1:7" x14ac:dyDescent="0.3">
      <c r="A6" s="1" t="s">
        <v>85</v>
      </c>
      <c r="B6" s="1">
        <f t="shared" ca="1" si="0"/>
        <v>63</v>
      </c>
      <c r="C6" s="1">
        <f t="shared" ca="1" si="1"/>
        <v>81</v>
      </c>
      <c r="D6" s="1">
        <f t="shared" ca="1" si="1"/>
        <v>83</v>
      </c>
      <c r="E6" s="1">
        <f t="shared" ca="1" si="2"/>
        <v>227</v>
      </c>
      <c r="F6" s="1">
        <f t="shared" ca="1" si="3"/>
        <v>75.666666666666671</v>
      </c>
      <c r="G6" s="1" t="str">
        <f t="shared" ca="1" si="4"/>
        <v>B</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98</v>
      </c>
      <c r="C8" s="1">
        <f t="shared" ca="1" si="1"/>
        <v>72</v>
      </c>
      <c r="D8" s="1">
        <f t="shared" ca="1" si="1"/>
        <v>59</v>
      </c>
      <c r="E8" s="1">
        <f t="shared" ca="1" si="2"/>
        <v>229</v>
      </c>
      <c r="F8" s="1">
        <f t="shared" ca="1" si="3"/>
        <v>76.333333333333329</v>
      </c>
      <c r="G8" s="1" t="str">
        <f t="shared" ca="1" si="4"/>
        <v>B</v>
      </c>
    </row>
    <row r="9" spans="1:7" x14ac:dyDescent="0.3">
      <c r="A9" s="1" t="s">
        <v>88</v>
      </c>
      <c r="B9" s="1">
        <f t="shared" ca="1" si="0"/>
        <v>92</v>
      </c>
      <c r="C9" s="1">
        <f t="shared" ca="1" si="1"/>
        <v>63</v>
      </c>
      <c r="D9" s="1">
        <f t="shared" ca="1" si="1"/>
        <v>68</v>
      </c>
      <c r="E9" s="1">
        <f t="shared" ca="1" si="2"/>
        <v>223</v>
      </c>
      <c r="F9" s="1">
        <f t="shared" ca="1" si="3"/>
        <v>74.333333333333329</v>
      </c>
      <c r="G9" s="1" t="str">
        <f ca="1">IF(IF9&gt;=90,"A",IF(F9&gt;=70,"B",IF(F9&gt;=50,"C",IF(F9&gt;=40,"Pass",IF(F9&lt;40,"Fail")))))</f>
        <v>B</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1"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8"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7"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6"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T28"/>
  <sheetViews>
    <sheetView tabSelected="1" zoomScale="86" zoomScaleNormal="100" workbookViewId="0">
      <selection sqref="A1:D9"/>
    </sheetView>
  </sheetViews>
  <sheetFormatPr defaultRowHeight="13.8" x14ac:dyDescent="0.25"/>
  <cols>
    <col min="1" max="1" width="9.77734375" style="16" bestFit="1" customWidth="1"/>
    <col min="2" max="2" width="6.5546875" style="16" bestFit="1" customWidth="1"/>
    <col min="3" max="3" width="10.6640625" style="16" bestFit="1" customWidth="1"/>
    <col min="4" max="4" width="5.109375" style="16" bestFit="1" customWidth="1"/>
    <col min="5" max="6" width="8.88671875" style="16"/>
    <col min="7" max="7" width="9.77734375" style="16" bestFit="1" customWidth="1"/>
    <col min="8" max="8" width="6.5546875" style="16" bestFit="1" customWidth="1"/>
    <col min="9" max="9" width="10.6640625" style="16" bestFit="1" customWidth="1"/>
    <col min="10" max="10" width="5.109375" style="16" bestFit="1" customWidth="1"/>
    <col min="11" max="12" width="8.88671875" style="16"/>
    <col min="13" max="13" width="9.21875" style="16" bestFit="1" customWidth="1"/>
    <col min="14" max="14" width="6.5546875" style="16" bestFit="1" customWidth="1"/>
    <col min="15" max="15" width="10.6640625" style="16" bestFit="1" customWidth="1"/>
    <col min="16" max="16" width="10.44140625" style="16" bestFit="1" customWidth="1"/>
    <col min="17" max="17" width="6.5546875" style="16" bestFit="1" customWidth="1"/>
    <col min="18" max="18" width="10.6640625" style="16" bestFit="1" customWidth="1"/>
    <col min="19" max="19" width="5.109375" style="16" bestFit="1" customWidth="1"/>
    <col min="20" max="16384" width="8.88671875" style="16"/>
  </cols>
  <sheetData>
    <row r="1" spans="1:20" x14ac:dyDescent="0.25">
      <c r="A1" s="15" t="s">
        <v>100</v>
      </c>
      <c r="B1" s="15" t="s">
        <v>111</v>
      </c>
      <c r="C1" s="15" t="s">
        <v>112</v>
      </c>
      <c r="D1" s="15" t="s">
        <v>113</v>
      </c>
      <c r="E1" s="16" t="s">
        <v>126</v>
      </c>
      <c r="P1" s="15" t="s">
        <v>100</v>
      </c>
      <c r="Q1" s="15" t="s">
        <v>111</v>
      </c>
      <c r="R1" s="15" t="s">
        <v>112</v>
      </c>
      <c r="S1" s="15" t="s">
        <v>113</v>
      </c>
      <c r="T1" s="16" t="s">
        <v>127</v>
      </c>
    </row>
    <row r="2" spans="1:20" x14ac:dyDescent="0.25">
      <c r="A2" s="15" t="s">
        <v>114</v>
      </c>
      <c r="B2" s="15" t="s">
        <v>117</v>
      </c>
      <c r="C2" s="17">
        <v>45292</v>
      </c>
      <c r="D2" s="15">
        <v>120</v>
      </c>
      <c r="P2" s="15" t="s">
        <v>114</v>
      </c>
      <c r="Q2" s="15" t="s">
        <v>117</v>
      </c>
      <c r="R2" s="17">
        <v>45292</v>
      </c>
      <c r="S2" s="15">
        <v>120</v>
      </c>
    </row>
    <row r="3" spans="1:20" x14ac:dyDescent="0.25">
      <c r="A3" s="15" t="s">
        <v>115</v>
      </c>
      <c r="B3" s="15" t="s">
        <v>118</v>
      </c>
      <c r="C3" s="17">
        <v>45293</v>
      </c>
      <c r="D3" s="15">
        <v>150</v>
      </c>
      <c r="P3" s="15" t="s">
        <v>115</v>
      </c>
      <c r="Q3" s="15" t="s">
        <v>118</v>
      </c>
      <c r="R3" s="17">
        <v>45293</v>
      </c>
      <c r="S3" s="15">
        <v>150</v>
      </c>
    </row>
    <row r="4" spans="1:20" x14ac:dyDescent="0.25">
      <c r="A4" s="15" t="s">
        <v>114</v>
      </c>
      <c r="B4" s="15" t="s">
        <v>119</v>
      </c>
      <c r="C4" s="17">
        <v>45294</v>
      </c>
      <c r="D4" s="15">
        <v>200</v>
      </c>
      <c r="P4" s="15" t="s">
        <v>114</v>
      </c>
      <c r="Q4" s="15" t="s">
        <v>119</v>
      </c>
      <c r="R4" s="17">
        <v>45294</v>
      </c>
      <c r="S4" s="15">
        <v>200</v>
      </c>
    </row>
    <row r="5" spans="1:20" x14ac:dyDescent="0.25">
      <c r="A5" s="15" t="s">
        <v>116</v>
      </c>
      <c r="B5" s="15" t="s">
        <v>120</v>
      </c>
      <c r="C5" s="17">
        <v>45295</v>
      </c>
      <c r="D5" s="15">
        <v>90</v>
      </c>
      <c r="P5" s="15" t="s">
        <v>116</v>
      </c>
      <c r="Q5" s="15" t="s">
        <v>120</v>
      </c>
      <c r="R5" s="17">
        <v>45295</v>
      </c>
      <c r="S5" s="15">
        <v>90</v>
      </c>
    </row>
    <row r="6" spans="1:20" x14ac:dyDescent="0.25">
      <c r="A6" s="15" t="s">
        <v>115</v>
      </c>
      <c r="B6" s="15" t="s">
        <v>117</v>
      </c>
      <c r="C6" s="17">
        <v>45296</v>
      </c>
      <c r="D6" s="15">
        <v>220</v>
      </c>
      <c r="P6" s="15" t="s">
        <v>115</v>
      </c>
      <c r="Q6" s="15" t="s">
        <v>117</v>
      </c>
      <c r="R6" s="17">
        <v>45296</v>
      </c>
      <c r="S6" s="15">
        <v>220</v>
      </c>
    </row>
    <row r="7" spans="1:20" x14ac:dyDescent="0.25">
      <c r="A7" s="15" t="s">
        <v>114</v>
      </c>
      <c r="B7" s="15" t="s">
        <v>118</v>
      </c>
      <c r="C7" s="17">
        <v>45297</v>
      </c>
      <c r="D7" s="15">
        <v>130</v>
      </c>
      <c r="P7" s="15" t="s">
        <v>114</v>
      </c>
      <c r="Q7" s="15" t="s">
        <v>118</v>
      </c>
      <c r="R7" s="17">
        <v>45297</v>
      </c>
      <c r="S7" s="15">
        <v>130</v>
      </c>
    </row>
    <row r="8" spans="1:20" x14ac:dyDescent="0.25">
      <c r="A8" s="15" t="s">
        <v>116</v>
      </c>
      <c r="B8" s="15" t="s">
        <v>117</v>
      </c>
      <c r="C8" s="17">
        <v>45298</v>
      </c>
      <c r="D8" s="15">
        <v>300</v>
      </c>
      <c r="I8" s="72" t="s">
        <v>122</v>
      </c>
      <c r="J8" s="73"/>
      <c r="K8" s="73"/>
      <c r="L8" s="73"/>
      <c r="M8" s="73"/>
      <c r="N8" s="73"/>
      <c r="P8" s="15" t="s">
        <v>116</v>
      </c>
      <c r="Q8" s="15" t="s">
        <v>117</v>
      </c>
      <c r="R8" s="17">
        <v>45298</v>
      </c>
      <c r="S8" s="15">
        <v>300</v>
      </c>
    </row>
    <row r="9" spans="1:20" x14ac:dyDescent="0.25">
      <c r="A9" s="15" t="s">
        <v>115</v>
      </c>
      <c r="B9" s="15" t="s">
        <v>121</v>
      </c>
      <c r="C9" s="17">
        <v>45299</v>
      </c>
      <c r="D9" s="15">
        <v>80</v>
      </c>
      <c r="I9" s="73"/>
      <c r="J9" s="73"/>
      <c r="K9" s="73"/>
      <c r="L9" s="73"/>
      <c r="M9" s="73"/>
      <c r="N9" s="73"/>
      <c r="P9" s="15" t="s">
        <v>115</v>
      </c>
      <c r="Q9" s="15" t="s">
        <v>121</v>
      </c>
      <c r="R9" s="17">
        <v>45299</v>
      </c>
      <c r="S9" s="15">
        <v>80</v>
      </c>
    </row>
    <row r="10" spans="1:20" x14ac:dyDescent="0.25">
      <c r="I10" s="73"/>
      <c r="J10" s="73"/>
      <c r="K10" s="73"/>
      <c r="L10" s="73"/>
      <c r="M10" s="73"/>
      <c r="N10" s="73"/>
    </row>
    <row r="11" spans="1:20" x14ac:dyDescent="0.25">
      <c r="I11" s="73"/>
      <c r="J11" s="73"/>
      <c r="K11" s="73"/>
      <c r="L11" s="73"/>
      <c r="M11" s="73"/>
      <c r="N11" s="73"/>
    </row>
    <row r="12" spans="1:20" x14ac:dyDescent="0.25">
      <c r="I12" s="73"/>
      <c r="J12" s="73"/>
      <c r="K12" s="73"/>
      <c r="L12" s="73"/>
      <c r="M12" s="73"/>
      <c r="N12" s="73"/>
    </row>
    <row r="13" spans="1:20" x14ac:dyDescent="0.25">
      <c r="I13" s="73"/>
      <c r="J13" s="73"/>
      <c r="K13" s="73"/>
      <c r="L13" s="73"/>
      <c r="M13" s="73"/>
      <c r="N13" s="73"/>
    </row>
    <row r="14" spans="1:20" x14ac:dyDescent="0.25">
      <c r="I14" s="73"/>
      <c r="J14" s="73"/>
      <c r="K14" s="73"/>
      <c r="L14" s="73"/>
      <c r="M14" s="73"/>
      <c r="N14" s="73"/>
    </row>
    <row r="15" spans="1:20" x14ac:dyDescent="0.25">
      <c r="I15" s="73"/>
      <c r="J15" s="73"/>
      <c r="K15" s="73"/>
      <c r="L15" s="73"/>
      <c r="M15" s="73"/>
      <c r="N15" s="73"/>
    </row>
    <row r="16" spans="1:20" x14ac:dyDescent="0.25">
      <c r="I16" s="73"/>
      <c r="J16" s="73"/>
      <c r="K16" s="73"/>
      <c r="L16" s="73"/>
      <c r="M16" s="73"/>
      <c r="N16" s="73"/>
    </row>
    <row r="17" spans="1:17" x14ac:dyDescent="0.25">
      <c r="I17" s="73"/>
      <c r="J17" s="73"/>
      <c r="K17" s="73"/>
      <c r="L17" s="73"/>
      <c r="M17" s="73"/>
      <c r="N17" s="73"/>
    </row>
    <row r="20" spans="1:17" x14ac:dyDescent="0.25">
      <c r="A20" s="15" t="s">
        <v>100</v>
      </c>
      <c r="B20" s="15" t="s">
        <v>111</v>
      </c>
      <c r="C20" s="15" t="s">
        <v>112</v>
      </c>
      <c r="D20" s="15" t="s">
        <v>113</v>
      </c>
      <c r="E20" s="16" t="s">
        <v>128</v>
      </c>
      <c r="G20" s="15" t="s">
        <v>100</v>
      </c>
      <c r="H20" s="15" t="s">
        <v>111</v>
      </c>
      <c r="I20" s="15" t="s">
        <v>112</v>
      </c>
      <c r="J20" s="15" t="s">
        <v>113</v>
      </c>
      <c r="K20" s="16" t="s">
        <v>129</v>
      </c>
      <c r="M20" s="15" t="s">
        <v>100</v>
      </c>
      <c r="N20" s="15" t="s">
        <v>111</v>
      </c>
      <c r="O20" s="15" t="s">
        <v>112</v>
      </c>
      <c r="P20" s="15" t="s">
        <v>113</v>
      </c>
      <c r="Q20" s="16" t="s">
        <v>130</v>
      </c>
    </row>
    <row r="21" spans="1:17" x14ac:dyDescent="0.25">
      <c r="A21" s="15" t="s">
        <v>114</v>
      </c>
      <c r="B21" s="15" t="s">
        <v>117</v>
      </c>
      <c r="C21" s="17">
        <v>45292</v>
      </c>
      <c r="D21" s="15">
        <v>120</v>
      </c>
      <c r="G21" s="15" t="s">
        <v>114</v>
      </c>
      <c r="H21" s="15" t="s">
        <v>117</v>
      </c>
      <c r="I21" s="17">
        <v>45292</v>
      </c>
      <c r="J21" s="15">
        <v>120</v>
      </c>
      <c r="M21" s="15" t="s">
        <v>123</v>
      </c>
      <c r="N21" s="15" t="s">
        <v>117</v>
      </c>
      <c r="O21" s="17">
        <v>45292</v>
      </c>
      <c r="P21" s="15">
        <v>120</v>
      </c>
    </row>
    <row r="22" spans="1:17" x14ac:dyDescent="0.25">
      <c r="A22" s="15" t="s">
        <v>115</v>
      </c>
      <c r="B22" s="15" t="s">
        <v>118</v>
      </c>
      <c r="C22" s="17">
        <v>45293</v>
      </c>
      <c r="D22" s="15">
        <v>150</v>
      </c>
      <c r="G22" s="15" t="s">
        <v>115</v>
      </c>
      <c r="H22" s="15" t="s">
        <v>118</v>
      </c>
      <c r="I22" s="17">
        <v>45293</v>
      </c>
      <c r="J22" s="15">
        <v>150</v>
      </c>
      <c r="M22" s="15" t="s">
        <v>124</v>
      </c>
      <c r="N22" s="15" t="s">
        <v>118</v>
      </c>
      <c r="O22" s="17">
        <v>45293</v>
      </c>
      <c r="P22" s="15">
        <v>150</v>
      </c>
    </row>
    <row r="23" spans="1:17" x14ac:dyDescent="0.25">
      <c r="A23" s="15" t="s">
        <v>114</v>
      </c>
      <c r="B23" s="15" t="s">
        <v>119</v>
      </c>
      <c r="C23" s="17">
        <v>45294</v>
      </c>
      <c r="D23" s="15">
        <v>200</v>
      </c>
      <c r="G23" s="15" t="s">
        <v>114</v>
      </c>
      <c r="H23" s="15" t="s">
        <v>119</v>
      </c>
      <c r="I23" s="17">
        <v>45294</v>
      </c>
      <c r="J23" s="15">
        <v>200</v>
      </c>
      <c r="M23" s="15" t="s">
        <v>123</v>
      </c>
      <c r="N23" s="15" t="s">
        <v>119</v>
      </c>
      <c r="O23" s="17">
        <v>45294</v>
      </c>
      <c r="P23" s="15">
        <v>200</v>
      </c>
    </row>
    <row r="24" spans="1:17" x14ac:dyDescent="0.25">
      <c r="A24" s="15" t="s">
        <v>116</v>
      </c>
      <c r="B24" s="15" t="s">
        <v>120</v>
      </c>
      <c r="C24" s="17">
        <v>45295</v>
      </c>
      <c r="D24" s="15">
        <v>90</v>
      </c>
      <c r="G24" s="15" t="s">
        <v>116</v>
      </c>
      <c r="H24" s="15" t="s">
        <v>120</v>
      </c>
      <c r="I24" s="17">
        <v>45295</v>
      </c>
      <c r="J24" s="15">
        <v>90</v>
      </c>
      <c r="M24" s="15" t="s">
        <v>125</v>
      </c>
      <c r="N24" s="15" t="s">
        <v>120</v>
      </c>
      <c r="O24" s="17">
        <v>45295</v>
      </c>
      <c r="P24" s="15">
        <v>90</v>
      </c>
    </row>
    <row r="25" spans="1:17" x14ac:dyDescent="0.25">
      <c r="A25" s="15" t="s">
        <v>115</v>
      </c>
      <c r="B25" s="15" t="s">
        <v>117</v>
      </c>
      <c r="C25" s="17">
        <v>45296</v>
      </c>
      <c r="D25" s="15">
        <v>220</v>
      </c>
      <c r="G25" s="15" t="s">
        <v>115</v>
      </c>
      <c r="H25" s="15" t="s">
        <v>117</v>
      </c>
      <c r="I25" s="17">
        <v>45296</v>
      </c>
      <c r="J25" s="15">
        <v>220</v>
      </c>
      <c r="M25" s="15" t="s">
        <v>124</v>
      </c>
      <c r="N25" s="15" t="s">
        <v>117</v>
      </c>
      <c r="O25" s="17">
        <v>45296</v>
      </c>
      <c r="P25" s="15">
        <v>220</v>
      </c>
    </row>
    <row r="26" spans="1:17" x14ac:dyDescent="0.25">
      <c r="A26" s="15" t="s">
        <v>114</v>
      </c>
      <c r="B26" s="15" t="s">
        <v>118</v>
      </c>
      <c r="C26" s="17">
        <v>45297</v>
      </c>
      <c r="D26" s="15">
        <v>130</v>
      </c>
      <c r="G26" s="15" t="s">
        <v>114</v>
      </c>
      <c r="H26" s="15" t="s">
        <v>118</v>
      </c>
      <c r="I26" s="17">
        <v>45297</v>
      </c>
      <c r="J26" s="15">
        <v>130</v>
      </c>
      <c r="M26" s="15" t="s">
        <v>123</v>
      </c>
      <c r="N26" s="15" t="s">
        <v>118</v>
      </c>
      <c r="O26" s="17">
        <v>45297</v>
      </c>
      <c r="P26" s="15">
        <v>130</v>
      </c>
    </row>
    <row r="27" spans="1:17" x14ac:dyDescent="0.25">
      <c r="A27" s="15" t="s">
        <v>116</v>
      </c>
      <c r="B27" s="15" t="s">
        <v>117</v>
      </c>
      <c r="C27" s="17">
        <v>45298</v>
      </c>
      <c r="D27" s="15">
        <v>300</v>
      </c>
      <c r="G27" s="15" t="s">
        <v>116</v>
      </c>
      <c r="H27" s="15" t="s">
        <v>117</v>
      </c>
      <c r="I27" s="17">
        <v>45298</v>
      </c>
      <c r="J27" s="15">
        <v>300</v>
      </c>
      <c r="M27" s="15" t="s">
        <v>125</v>
      </c>
      <c r="N27" s="15" t="s">
        <v>117</v>
      </c>
      <c r="O27" s="17">
        <v>45298</v>
      </c>
      <c r="P27" s="15">
        <v>300</v>
      </c>
    </row>
    <row r="28" spans="1:17" x14ac:dyDescent="0.25">
      <c r="A28" s="15" t="s">
        <v>115</v>
      </c>
      <c r="B28" s="15" t="s">
        <v>121</v>
      </c>
      <c r="C28" s="17">
        <v>45299</v>
      </c>
      <c r="D28" s="15">
        <v>80</v>
      </c>
      <c r="G28" s="15" t="s">
        <v>115</v>
      </c>
      <c r="H28" s="15" t="s">
        <v>121</v>
      </c>
      <c r="I28" s="17">
        <v>45299</v>
      </c>
      <c r="J28" s="15">
        <v>80</v>
      </c>
      <c r="M28" s="15" t="s">
        <v>124</v>
      </c>
      <c r="N28" s="15" t="s">
        <v>121</v>
      </c>
      <c r="O28" s="17">
        <v>45299</v>
      </c>
      <c r="P28" s="15">
        <v>80</v>
      </c>
    </row>
  </sheetData>
  <mergeCells count="1">
    <mergeCell ref="I8:N17"/>
  </mergeCells>
  <conditionalFormatting sqref="D2:D9">
    <cfRule type="cellIs" dxfId="5" priority="8" operator="greaterThanOrEqual">
      <formula>150</formula>
    </cfRule>
  </conditionalFormatting>
  <conditionalFormatting sqref="P2:P9">
    <cfRule type="containsText" dxfId="4" priority="7" operator="containsText" text="Product A ">
      <formula>NOT(ISERROR(SEARCH("Product A ",P2)))</formula>
    </cfRule>
  </conditionalFormatting>
  <conditionalFormatting sqref="J21:J28">
    <cfRule type="top10" dxfId="3" priority="5" rank="3"/>
  </conditionalFormatting>
  <conditionalFormatting sqref="C21:C28">
    <cfRule type="expression" dxfId="2" priority="3">
      <formula>MONTH(C21)=1</formula>
    </cfRule>
  </conditionalFormatting>
  <conditionalFormatting sqref="P21:P28">
    <cfRule type="expression" dxfId="1" priority="1">
      <formula>AND($M21="Product B",$N21="North")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8CD4-13F3-4371-8164-2932BB512694}">
  <dimension ref="A1:AU373"/>
  <sheetViews>
    <sheetView topLeftCell="H1" zoomScaleNormal="50" workbookViewId="0">
      <selection activeCell="O24" sqref="O24"/>
    </sheetView>
  </sheetViews>
  <sheetFormatPr defaultRowHeight="14.4" x14ac:dyDescent="0.3"/>
  <cols>
    <col min="1" max="1" width="8.109375" bestFit="1" customWidth="1"/>
    <col min="2" max="2" width="11.44140625" bestFit="1" customWidth="1"/>
    <col min="3" max="4" width="10.7773437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5546875" bestFit="1" customWidth="1"/>
    <col min="13" max="13" width="9.21875" bestFit="1" customWidth="1"/>
    <col min="14" max="14" width="10.33203125" bestFit="1" customWidth="1"/>
    <col min="17" max="18" width="9" bestFit="1" customWidth="1"/>
    <col min="19" max="20" width="10.77734375" bestFit="1" customWidth="1"/>
    <col min="21" max="21" width="15.88671875" bestFit="1" customWidth="1"/>
    <col min="28" max="30" width="9" bestFit="1" customWidth="1"/>
    <col min="34" max="35" width="9" bestFit="1" customWidth="1"/>
    <col min="36" max="37" width="10.44140625" bestFit="1" customWidth="1"/>
    <col min="45" max="47" width="9" bestFit="1" customWidth="1"/>
  </cols>
  <sheetData>
    <row r="1" spans="1:47" x14ac:dyDescent="0.3">
      <c r="A1" s="3" t="s">
        <v>0</v>
      </c>
      <c r="B1" s="3" t="s">
        <v>1</v>
      </c>
      <c r="C1" s="3" t="s">
        <v>2</v>
      </c>
      <c r="D1" s="3" t="s">
        <v>3</v>
      </c>
      <c r="E1" s="3" t="s">
        <v>4</v>
      </c>
      <c r="F1" s="3" t="s">
        <v>5</v>
      </c>
      <c r="G1" s="3" t="s">
        <v>6</v>
      </c>
      <c r="H1" s="3" t="s">
        <v>7</v>
      </c>
      <c r="I1" s="3" t="s">
        <v>8</v>
      </c>
      <c r="J1" s="3" t="s">
        <v>9</v>
      </c>
      <c r="K1" s="3" t="s">
        <v>10</v>
      </c>
      <c r="L1" s="3" t="s">
        <v>11</v>
      </c>
      <c r="M1" s="3" t="s">
        <v>12</v>
      </c>
      <c r="N1" s="18" t="s">
        <v>13</v>
      </c>
      <c r="O1" s="22"/>
      <c r="P1" s="22"/>
      <c r="Q1" s="22"/>
      <c r="R1" s="22"/>
      <c r="S1" s="74" t="s">
        <v>132</v>
      </c>
      <c r="T1" s="74"/>
      <c r="U1" s="74"/>
    </row>
    <row r="2" spans="1:47" x14ac:dyDescent="0.3">
      <c r="A2" s="23">
        <v>10016</v>
      </c>
      <c r="B2" s="23">
        <v>1372</v>
      </c>
      <c r="C2" s="24">
        <v>44958</v>
      </c>
      <c r="D2" s="24">
        <v>44961</v>
      </c>
      <c r="E2" s="23" t="s">
        <v>21</v>
      </c>
      <c r="F2" s="23" t="s">
        <v>28</v>
      </c>
      <c r="G2" s="23" t="s">
        <v>16</v>
      </c>
      <c r="H2" s="23" t="s">
        <v>41</v>
      </c>
      <c r="I2" s="23" t="s">
        <v>30</v>
      </c>
      <c r="J2" s="23" t="s">
        <v>38</v>
      </c>
      <c r="K2" s="23" t="s">
        <v>20</v>
      </c>
      <c r="L2" s="23">
        <v>8</v>
      </c>
      <c r="M2" s="23">
        <v>595.45000000000005</v>
      </c>
      <c r="N2" s="25">
        <v>5</v>
      </c>
      <c r="O2" s="4"/>
      <c r="P2" s="4"/>
      <c r="Q2" s="4"/>
      <c r="R2" s="4"/>
      <c r="S2" s="74"/>
      <c r="T2" s="74"/>
      <c r="U2" s="74"/>
    </row>
    <row r="3" spans="1:47" x14ac:dyDescent="0.3">
      <c r="A3" s="23">
        <v>10017</v>
      </c>
      <c r="B3" s="23">
        <v>1099</v>
      </c>
      <c r="C3" s="24">
        <v>45148</v>
      </c>
      <c r="D3" s="24">
        <v>45151</v>
      </c>
      <c r="E3" s="23" t="s">
        <v>15</v>
      </c>
      <c r="F3" s="23" t="s">
        <v>53</v>
      </c>
      <c r="G3" s="23" t="s">
        <v>16</v>
      </c>
      <c r="H3" s="23" t="s">
        <v>43</v>
      </c>
      <c r="I3" s="23" t="s">
        <v>30</v>
      </c>
      <c r="J3" s="23" t="s">
        <v>38</v>
      </c>
      <c r="K3" s="23" t="s">
        <v>27</v>
      </c>
      <c r="L3" s="23">
        <v>2</v>
      </c>
      <c r="M3" s="23">
        <v>254.91</v>
      </c>
      <c r="N3" s="25">
        <v>15</v>
      </c>
      <c r="O3" s="4"/>
      <c r="P3" s="4"/>
      <c r="Q3" s="4"/>
      <c r="R3" s="4"/>
    </row>
    <row r="4" spans="1:47" x14ac:dyDescent="0.3">
      <c r="A4" s="23">
        <v>10018</v>
      </c>
      <c r="B4" s="23">
        <v>1871</v>
      </c>
      <c r="C4" s="24">
        <v>45045</v>
      </c>
      <c r="D4" s="24">
        <v>45048</v>
      </c>
      <c r="E4" s="23" t="s">
        <v>14</v>
      </c>
      <c r="F4" s="23" t="s">
        <v>28</v>
      </c>
      <c r="G4" s="23" t="s">
        <v>23</v>
      </c>
      <c r="H4" s="23" t="s">
        <v>17</v>
      </c>
      <c r="I4" s="23" t="s">
        <v>18</v>
      </c>
      <c r="J4" s="23" t="s">
        <v>54</v>
      </c>
      <c r="K4" s="23" t="s">
        <v>27</v>
      </c>
      <c r="L4" s="23">
        <v>1</v>
      </c>
      <c r="M4" s="23">
        <v>2165.81</v>
      </c>
      <c r="N4" s="25">
        <v>15</v>
      </c>
      <c r="O4" s="4"/>
      <c r="P4" s="4"/>
      <c r="Q4" s="4"/>
      <c r="R4" s="4"/>
    </row>
    <row r="5" spans="1:47" x14ac:dyDescent="0.3">
      <c r="A5" s="23">
        <v>10019</v>
      </c>
      <c r="B5" s="23">
        <v>1663</v>
      </c>
      <c r="C5" s="24">
        <v>44965</v>
      </c>
      <c r="D5" s="24">
        <v>44968</v>
      </c>
      <c r="E5" s="23" t="s">
        <v>33</v>
      </c>
      <c r="F5" s="23" t="s">
        <v>37</v>
      </c>
      <c r="G5" s="23" t="s">
        <v>29</v>
      </c>
      <c r="H5" s="23" t="s">
        <v>41</v>
      </c>
      <c r="I5" s="23" t="s">
        <v>30</v>
      </c>
      <c r="J5" s="23" t="s">
        <v>38</v>
      </c>
      <c r="K5" s="23" t="s">
        <v>32</v>
      </c>
      <c r="L5" s="23">
        <v>2</v>
      </c>
      <c r="M5" s="23">
        <v>990.3</v>
      </c>
      <c r="N5" s="25">
        <v>15</v>
      </c>
      <c r="O5" s="4"/>
      <c r="P5" s="4"/>
      <c r="Q5" s="4"/>
      <c r="R5" s="4"/>
    </row>
    <row r="6" spans="1:47" x14ac:dyDescent="0.3">
      <c r="A6" s="23">
        <v>10020</v>
      </c>
      <c r="B6" s="23">
        <v>1130</v>
      </c>
      <c r="C6" s="24">
        <v>45194</v>
      </c>
      <c r="D6" s="24">
        <v>45203</v>
      </c>
      <c r="E6" s="23" t="s">
        <v>45</v>
      </c>
      <c r="F6" s="23" t="s">
        <v>37</v>
      </c>
      <c r="G6" s="23" t="s">
        <v>16</v>
      </c>
      <c r="H6" s="23" t="s">
        <v>17</v>
      </c>
      <c r="I6" s="23" t="s">
        <v>48</v>
      </c>
      <c r="J6" s="23" t="s">
        <v>50</v>
      </c>
      <c r="K6" s="23" t="s">
        <v>20</v>
      </c>
      <c r="L6" s="23">
        <v>2</v>
      </c>
      <c r="M6" s="23">
        <v>3959.31</v>
      </c>
      <c r="N6" s="25">
        <v>5</v>
      </c>
      <c r="O6" s="4"/>
      <c r="P6" s="4"/>
      <c r="Q6" s="4"/>
      <c r="R6" s="4"/>
    </row>
    <row r="7" spans="1:47" x14ac:dyDescent="0.3">
      <c r="A7" s="23">
        <v>10021</v>
      </c>
      <c r="B7" s="23">
        <v>1661</v>
      </c>
      <c r="C7" s="24">
        <v>45159</v>
      </c>
      <c r="D7" s="24">
        <v>45163</v>
      </c>
      <c r="E7" s="23" t="s">
        <v>45</v>
      </c>
      <c r="F7" s="23" t="s">
        <v>28</v>
      </c>
      <c r="G7" s="23" t="s">
        <v>23</v>
      </c>
      <c r="H7" s="23" t="s">
        <v>17</v>
      </c>
      <c r="I7" s="23" t="s">
        <v>51</v>
      </c>
      <c r="J7" s="23" t="s">
        <v>55</v>
      </c>
      <c r="K7" s="23" t="s">
        <v>20</v>
      </c>
      <c r="L7" s="23">
        <v>3</v>
      </c>
      <c r="M7" s="23">
        <v>2361.58</v>
      </c>
      <c r="N7" s="25">
        <v>5</v>
      </c>
      <c r="O7" s="4"/>
      <c r="P7" s="4"/>
      <c r="Q7" s="4"/>
      <c r="R7" s="4"/>
    </row>
    <row r="8" spans="1:47" x14ac:dyDescent="0.3">
      <c r="A8" s="23">
        <v>10022</v>
      </c>
      <c r="B8" s="23">
        <v>1308</v>
      </c>
      <c r="C8" s="24">
        <v>44944</v>
      </c>
      <c r="D8" s="24">
        <v>44951</v>
      </c>
      <c r="E8" s="23" t="s">
        <v>36</v>
      </c>
      <c r="F8" s="23" t="s">
        <v>22</v>
      </c>
      <c r="G8" s="23" t="s">
        <v>29</v>
      </c>
      <c r="H8" s="23" t="s">
        <v>34</v>
      </c>
      <c r="I8" s="23" t="s">
        <v>56</v>
      </c>
      <c r="J8" s="23" t="s">
        <v>57</v>
      </c>
      <c r="K8" s="23" t="s">
        <v>32</v>
      </c>
      <c r="L8" s="23">
        <v>7</v>
      </c>
      <c r="M8" s="23">
        <v>680.86</v>
      </c>
      <c r="N8" s="25">
        <v>20</v>
      </c>
      <c r="O8" s="4"/>
      <c r="P8" s="4"/>
      <c r="Q8" s="3" t="s">
        <v>4</v>
      </c>
      <c r="S8" s="3" t="s">
        <v>12</v>
      </c>
      <c r="U8" s="3" t="s">
        <v>7</v>
      </c>
    </row>
    <row r="9" spans="1:47" x14ac:dyDescent="0.3">
      <c r="A9" s="23">
        <v>10023</v>
      </c>
      <c r="B9" s="23">
        <v>1769</v>
      </c>
      <c r="C9" s="24">
        <v>45075</v>
      </c>
      <c r="D9" s="24">
        <v>45084</v>
      </c>
      <c r="E9" s="23" t="s">
        <v>15</v>
      </c>
      <c r="F9" s="23" t="s">
        <v>22</v>
      </c>
      <c r="G9" s="23" t="s">
        <v>16</v>
      </c>
      <c r="H9" s="23" t="s">
        <v>41</v>
      </c>
      <c r="I9" s="23" t="s">
        <v>30</v>
      </c>
      <c r="J9" s="23" t="s">
        <v>31</v>
      </c>
      <c r="K9" s="23" t="s">
        <v>44</v>
      </c>
      <c r="L9" s="23">
        <v>2</v>
      </c>
      <c r="M9" s="23">
        <v>2801.74</v>
      </c>
      <c r="N9" s="25">
        <v>20</v>
      </c>
      <c r="O9" s="4"/>
      <c r="P9" s="4"/>
      <c r="Q9" s="1" t="s">
        <v>36</v>
      </c>
      <c r="R9" s="4"/>
      <c r="S9" s="1" t="s">
        <v>131</v>
      </c>
      <c r="U9" s="1" t="s">
        <v>133</v>
      </c>
    </row>
    <row r="10" spans="1:47" x14ac:dyDescent="0.3">
      <c r="A10" s="23">
        <v>10024</v>
      </c>
      <c r="B10" s="23">
        <v>1343</v>
      </c>
      <c r="C10" s="24">
        <v>45075</v>
      </c>
      <c r="D10" s="24">
        <v>45082</v>
      </c>
      <c r="E10" s="23" t="s">
        <v>21</v>
      </c>
      <c r="F10" s="23" t="s">
        <v>40</v>
      </c>
      <c r="G10" s="23" t="s">
        <v>16</v>
      </c>
      <c r="H10" s="23" t="s">
        <v>43</v>
      </c>
      <c r="I10" s="23" t="s">
        <v>48</v>
      </c>
      <c r="J10" s="23" t="s">
        <v>50</v>
      </c>
      <c r="K10" s="23" t="s">
        <v>44</v>
      </c>
      <c r="L10" s="23">
        <v>1</v>
      </c>
      <c r="M10" s="23">
        <v>3606.31</v>
      </c>
      <c r="N10" s="25">
        <v>0</v>
      </c>
      <c r="O10" s="4"/>
      <c r="P10" s="4"/>
      <c r="Q10" s="4"/>
      <c r="R10" s="4"/>
    </row>
    <row r="11" spans="1:47" x14ac:dyDescent="0.3">
      <c r="A11" s="23">
        <v>10025</v>
      </c>
      <c r="B11" s="23">
        <v>1491</v>
      </c>
      <c r="C11" s="24">
        <v>45052</v>
      </c>
      <c r="D11" s="24">
        <v>45061</v>
      </c>
      <c r="E11" s="23" t="s">
        <v>36</v>
      </c>
      <c r="F11" s="23" t="s">
        <v>37</v>
      </c>
      <c r="G11" s="23" t="s">
        <v>29</v>
      </c>
      <c r="H11" s="23" t="s">
        <v>43</v>
      </c>
      <c r="I11" s="23" t="s">
        <v>56</v>
      </c>
      <c r="J11" s="23" t="s">
        <v>58</v>
      </c>
      <c r="K11" s="23" t="s">
        <v>44</v>
      </c>
      <c r="L11" s="23">
        <v>6</v>
      </c>
      <c r="M11" s="23">
        <v>3018.94</v>
      </c>
      <c r="N11" s="25">
        <v>5</v>
      </c>
      <c r="O11" s="4"/>
      <c r="P11" s="4"/>
      <c r="Q11" s="4"/>
      <c r="R11" s="4"/>
    </row>
    <row r="12" spans="1:47" x14ac:dyDescent="0.3">
      <c r="A12" s="23">
        <v>10026</v>
      </c>
      <c r="B12" s="23">
        <v>1413</v>
      </c>
      <c r="C12" s="24">
        <v>45228</v>
      </c>
      <c r="D12" s="24">
        <v>45231</v>
      </c>
      <c r="E12" s="23" t="s">
        <v>33</v>
      </c>
      <c r="F12" s="23" t="s">
        <v>15</v>
      </c>
      <c r="G12" s="23" t="s">
        <v>29</v>
      </c>
      <c r="H12" s="23" t="s">
        <v>41</v>
      </c>
      <c r="I12" s="23" t="s">
        <v>51</v>
      </c>
      <c r="J12" s="23" t="s">
        <v>59</v>
      </c>
      <c r="K12" s="23" t="s">
        <v>32</v>
      </c>
      <c r="L12" s="23">
        <v>9</v>
      </c>
      <c r="M12" s="23">
        <v>444.29</v>
      </c>
      <c r="N12" s="25">
        <v>5</v>
      </c>
      <c r="O12" s="4"/>
      <c r="P12" s="4"/>
      <c r="Q12" s="4"/>
      <c r="R12" s="4"/>
    </row>
    <row r="13" spans="1:47" x14ac:dyDescent="0.3">
      <c r="A13" s="23">
        <v>10027</v>
      </c>
      <c r="B13" s="23">
        <v>1805</v>
      </c>
      <c r="C13" s="24">
        <v>45286</v>
      </c>
      <c r="D13" s="24">
        <v>45290</v>
      </c>
      <c r="E13" s="23" t="s">
        <v>36</v>
      </c>
      <c r="F13" s="23" t="s">
        <v>40</v>
      </c>
      <c r="G13" s="23" t="s">
        <v>23</v>
      </c>
      <c r="H13" s="23" t="s">
        <v>34</v>
      </c>
      <c r="I13" s="23" t="s">
        <v>56</v>
      </c>
      <c r="J13" s="23" t="s">
        <v>57</v>
      </c>
      <c r="K13" s="23" t="s">
        <v>20</v>
      </c>
      <c r="L13" s="23">
        <v>3</v>
      </c>
      <c r="M13" s="23">
        <v>3599.15</v>
      </c>
      <c r="N13" s="25">
        <v>5</v>
      </c>
      <c r="O13" s="4"/>
      <c r="P13" s="4"/>
      <c r="Q13" s="4"/>
      <c r="R13" s="4"/>
    </row>
    <row r="14" spans="1:47" x14ac:dyDescent="0.3">
      <c r="A14" s="23">
        <v>10028</v>
      </c>
      <c r="B14" s="23">
        <v>1385</v>
      </c>
      <c r="C14" s="24">
        <v>45164</v>
      </c>
      <c r="D14" s="24">
        <v>45172</v>
      </c>
      <c r="E14" s="23" t="s">
        <v>39</v>
      </c>
      <c r="F14" s="23" t="s">
        <v>22</v>
      </c>
      <c r="G14" s="23" t="s">
        <v>23</v>
      </c>
      <c r="H14" s="23" t="s">
        <v>24</v>
      </c>
      <c r="I14" s="23" t="s">
        <v>48</v>
      </c>
      <c r="J14" s="23" t="s">
        <v>50</v>
      </c>
      <c r="K14" s="23" t="s">
        <v>32</v>
      </c>
      <c r="L14" s="23">
        <v>6</v>
      </c>
      <c r="M14" s="23">
        <v>3206.63</v>
      </c>
      <c r="N14" s="25">
        <v>20</v>
      </c>
      <c r="O14" s="4"/>
      <c r="P14" s="4"/>
      <c r="Q14" s="4"/>
      <c r="R14" s="4"/>
    </row>
    <row r="15" spans="1:47" x14ac:dyDescent="0.3">
      <c r="A15" s="23">
        <v>10029</v>
      </c>
      <c r="B15" s="23">
        <v>1191</v>
      </c>
      <c r="C15" s="24">
        <v>45061</v>
      </c>
      <c r="D15" s="24">
        <v>45067</v>
      </c>
      <c r="E15" s="23" t="s">
        <v>45</v>
      </c>
      <c r="F15" s="23" t="s">
        <v>28</v>
      </c>
      <c r="G15" s="23" t="s">
        <v>16</v>
      </c>
      <c r="H15" s="23" t="s">
        <v>17</v>
      </c>
      <c r="I15" s="23" t="s">
        <v>25</v>
      </c>
      <c r="J15" s="23" t="s">
        <v>26</v>
      </c>
      <c r="K15" s="23" t="s">
        <v>32</v>
      </c>
      <c r="L15" s="23">
        <v>3</v>
      </c>
      <c r="M15" s="23">
        <v>759.47</v>
      </c>
      <c r="N15" s="25">
        <v>15</v>
      </c>
      <c r="O15" s="4"/>
      <c r="P15" s="4"/>
      <c r="Q15" s="3" t="s">
        <v>0</v>
      </c>
      <c r="R15" s="3" t="s">
        <v>1</v>
      </c>
      <c r="S15" s="3" t="s">
        <v>2</v>
      </c>
      <c r="T15" s="3" t="s">
        <v>3</v>
      </c>
      <c r="U15" s="3" t="s">
        <v>4</v>
      </c>
      <c r="V15" s="3" t="s">
        <v>5</v>
      </c>
      <c r="W15" s="3" t="s">
        <v>6</v>
      </c>
      <c r="X15" s="3" t="s">
        <v>7</v>
      </c>
      <c r="Y15" s="3" t="s">
        <v>8</v>
      </c>
      <c r="Z15" s="3" t="s">
        <v>9</v>
      </c>
      <c r="AA15" s="3" t="s">
        <v>10</v>
      </c>
      <c r="AB15" s="3" t="s">
        <v>11</v>
      </c>
      <c r="AC15" s="3" t="s">
        <v>12</v>
      </c>
      <c r="AD15" s="18" t="s">
        <v>13</v>
      </c>
      <c r="AH15" s="3" t="s">
        <v>0</v>
      </c>
      <c r="AI15" s="3" t="s">
        <v>1</v>
      </c>
      <c r="AJ15" s="3" t="s">
        <v>2</v>
      </c>
      <c r="AK15" s="3" t="s">
        <v>3</v>
      </c>
      <c r="AL15" s="3" t="s">
        <v>4</v>
      </c>
      <c r="AM15" s="3" t="s">
        <v>5</v>
      </c>
      <c r="AN15" s="3" t="s">
        <v>6</v>
      </c>
      <c r="AO15" s="3" t="s">
        <v>7</v>
      </c>
      <c r="AP15" s="3" t="s">
        <v>8</v>
      </c>
      <c r="AQ15" s="3" t="s">
        <v>9</v>
      </c>
      <c r="AR15" s="3" t="s">
        <v>10</v>
      </c>
      <c r="AS15" s="3" t="s">
        <v>11</v>
      </c>
      <c r="AT15" s="3" t="s">
        <v>12</v>
      </c>
      <c r="AU15" s="18" t="s">
        <v>13</v>
      </c>
    </row>
    <row r="16" spans="1:47" x14ac:dyDescent="0.3">
      <c r="A16" s="23">
        <v>10030</v>
      </c>
      <c r="B16" s="23">
        <v>1955</v>
      </c>
      <c r="C16" s="24">
        <v>45077</v>
      </c>
      <c r="D16" s="24">
        <v>45082</v>
      </c>
      <c r="E16" s="23" t="s">
        <v>45</v>
      </c>
      <c r="F16" s="23" t="s">
        <v>22</v>
      </c>
      <c r="G16" s="23" t="s">
        <v>29</v>
      </c>
      <c r="H16" s="23" t="s">
        <v>34</v>
      </c>
      <c r="I16" s="23" t="s">
        <v>25</v>
      </c>
      <c r="J16" s="23" t="s">
        <v>60</v>
      </c>
      <c r="K16" s="23" t="s">
        <v>44</v>
      </c>
      <c r="L16" s="23">
        <v>1</v>
      </c>
      <c r="M16" s="23">
        <v>349.38</v>
      </c>
      <c r="N16" s="25">
        <v>10</v>
      </c>
      <c r="O16" s="4"/>
      <c r="P16" s="4"/>
      <c r="Q16" s="23">
        <v>10022</v>
      </c>
      <c r="R16" s="23">
        <v>1308</v>
      </c>
      <c r="S16" s="24">
        <v>44944</v>
      </c>
      <c r="T16" s="24">
        <v>44951</v>
      </c>
      <c r="U16" s="23" t="s">
        <v>36</v>
      </c>
      <c r="V16" s="23" t="s">
        <v>22</v>
      </c>
      <c r="W16" s="23" t="s">
        <v>29</v>
      </c>
      <c r="X16" s="23" t="s">
        <v>34</v>
      </c>
      <c r="Y16" s="23" t="s">
        <v>56</v>
      </c>
      <c r="Z16" s="23" t="s">
        <v>57</v>
      </c>
      <c r="AA16" s="23" t="s">
        <v>32</v>
      </c>
      <c r="AB16" s="23">
        <v>7</v>
      </c>
      <c r="AC16" s="23">
        <v>680.86</v>
      </c>
      <c r="AD16" s="25">
        <v>20</v>
      </c>
      <c r="AH16" s="23">
        <v>10018</v>
      </c>
      <c r="AI16" s="23">
        <v>1871</v>
      </c>
      <c r="AJ16" s="24">
        <v>45045</v>
      </c>
      <c r="AK16" s="24">
        <v>45048</v>
      </c>
      <c r="AL16" s="23" t="s">
        <v>14</v>
      </c>
      <c r="AM16" s="23" t="s">
        <v>28</v>
      </c>
      <c r="AN16" s="23" t="s">
        <v>23</v>
      </c>
      <c r="AO16" s="23" t="s">
        <v>17</v>
      </c>
      <c r="AP16" s="23" t="s">
        <v>18</v>
      </c>
      <c r="AQ16" s="23" t="s">
        <v>54</v>
      </c>
      <c r="AR16" s="23" t="s">
        <v>27</v>
      </c>
      <c r="AS16" s="23">
        <v>1</v>
      </c>
      <c r="AT16" s="23">
        <v>2165.81</v>
      </c>
      <c r="AU16" s="25">
        <v>15</v>
      </c>
    </row>
    <row r="17" spans="1:47" x14ac:dyDescent="0.3">
      <c r="A17" s="23">
        <v>10031</v>
      </c>
      <c r="B17" s="23">
        <v>1276</v>
      </c>
      <c r="C17" s="24">
        <v>45162</v>
      </c>
      <c r="D17" s="24">
        <v>45166</v>
      </c>
      <c r="E17" s="23" t="s">
        <v>14</v>
      </c>
      <c r="F17" s="23" t="s">
        <v>28</v>
      </c>
      <c r="G17" s="23" t="s">
        <v>29</v>
      </c>
      <c r="H17" s="23" t="s">
        <v>41</v>
      </c>
      <c r="I17" s="23" t="s">
        <v>56</v>
      </c>
      <c r="J17" s="23" t="s">
        <v>61</v>
      </c>
      <c r="K17" s="23" t="s">
        <v>46</v>
      </c>
      <c r="L17" s="23">
        <v>5</v>
      </c>
      <c r="M17" s="23">
        <v>2295.65</v>
      </c>
      <c r="N17" s="25">
        <v>20</v>
      </c>
      <c r="O17" s="4"/>
      <c r="P17" s="4"/>
      <c r="Q17" s="23">
        <v>10025</v>
      </c>
      <c r="R17" s="23">
        <v>1491</v>
      </c>
      <c r="S17" s="24">
        <v>45052</v>
      </c>
      <c r="T17" s="24">
        <v>45061</v>
      </c>
      <c r="U17" s="23" t="s">
        <v>36</v>
      </c>
      <c r="V17" s="23" t="s">
        <v>37</v>
      </c>
      <c r="W17" s="23" t="s">
        <v>29</v>
      </c>
      <c r="X17" s="23" t="s">
        <v>43</v>
      </c>
      <c r="Y17" s="23" t="s">
        <v>56</v>
      </c>
      <c r="Z17" s="23" t="s">
        <v>58</v>
      </c>
      <c r="AA17" s="23" t="s">
        <v>44</v>
      </c>
      <c r="AB17" s="23">
        <v>6</v>
      </c>
      <c r="AC17" s="23">
        <v>3018.94</v>
      </c>
      <c r="AD17" s="25">
        <v>5</v>
      </c>
      <c r="AH17" s="23">
        <v>10020</v>
      </c>
      <c r="AI17" s="23">
        <v>1130</v>
      </c>
      <c r="AJ17" s="24">
        <v>45194</v>
      </c>
      <c r="AK17" s="24">
        <v>45203</v>
      </c>
      <c r="AL17" s="23" t="s">
        <v>45</v>
      </c>
      <c r="AM17" s="23" t="s">
        <v>37</v>
      </c>
      <c r="AN17" s="23" t="s">
        <v>16</v>
      </c>
      <c r="AO17" s="23" t="s">
        <v>17</v>
      </c>
      <c r="AP17" s="23" t="s">
        <v>48</v>
      </c>
      <c r="AQ17" s="23" t="s">
        <v>50</v>
      </c>
      <c r="AR17" s="23" t="s">
        <v>20</v>
      </c>
      <c r="AS17" s="23">
        <v>2</v>
      </c>
      <c r="AT17" s="23">
        <v>3959.31</v>
      </c>
      <c r="AU17" s="25">
        <v>5</v>
      </c>
    </row>
    <row r="18" spans="1:47" x14ac:dyDescent="0.3">
      <c r="A18" s="26">
        <v>10032</v>
      </c>
      <c r="B18" s="26">
        <v>1160</v>
      </c>
      <c r="C18" s="27">
        <v>45150</v>
      </c>
      <c r="D18" s="27">
        <v>45158</v>
      </c>
      <c r="E18" s="26" t="s">
        <v>14</v>
      </c>
      <c r="F18" s="26" t="s">
        <v>40</v>
      </c>
      <c r="G18" s="26" t="s">
        <v>29</v>
      </c>
      <c r="H18" s="26" t="s">
        <v>17</v>
      </c>
      <c r="I18" s="26" t="s">
        <v>18</v>
      </c>
      <c r="J18" s="26" t="s">
        <v>42</v>
      </c>
      <c r="K18" s="26" t="s">
        <v>20</v>
      </c>
      <c r="L18" s="26">
        <v>4</v>
      </c>
      <c r="M18" s="26">
        <v>750.74</v>
      </c>
      <c r="N18" s="28">
        <v>5</v>
      </c>
      <c r="O18" s="4"/>
      <c r="P18" s="4"/>
      <c r="Q18" s="23">
        <v>10027</v>
      </c>
      <c r="R18" s="23">
        <v>1805</v>
      </c>
      <c r="S18" s="24">
        <v>45286</v>
      </c>
      <c r="T18" s="24">
        <v>45290</v>
      </c>
      <c r="U18" s="23" t="s">
        <v>36</v>
      </c>
      <c r="V18" s="23" t="s">
        <v>40</v>
      </c>
      <c r="W18" s="23" t="s">
        <v>23</v>
      </c>
      <c r="X18" s="23" t="s">
        <v>34</v>
      </c>
      <c r="Y18" s="23" t="s">
        <v>56</v>
      </c>
      <c r="Z18" s="23" t="s">
        <v>57</v>
      </c>
      <c r="AA18" s="23" t="s">
        <v>20</v>
      </c>
      <c r="AB18" s="23">
        <v>3</v>
      </c>
      <c r="AC18" s="23">
        <v>3599.15</v>
      </c>
      <c r="AD18" s="25">
        <v>5</v>
      </c>
      <c r="AH18" s="23">
        <v>10021</v>
      </c>
      <c r="AI18" s="23">
        <v>1661</v>
      </c>
      <c r="AJ18" s="24">
        <v>45159</v>
      </c>
      <c r="AK18" s="24">
        <v>45163</v>
      </c>
      <c r="AL18" s="23" t="s">
        <v>45</v>
      </c>
      <c r="AM18" s="23" t="s">
        <v>28</v>
      </c>
      <c r="AN18" s="23" t="s">
        <v>23</v>
      </c>
      <c r="AO18" s="23" t="s">
        <v>17</v>
      </c>
      <c r="AP18" s="23" t="s">
        <v>51</v>
      </c>
      <c r="AQ18" s="23" t="s">
        <v>55</v>
      </c>
      <c r="AR18" s="23" t="s">
        <v>20</v>
      </c>
      <c r="AS18" s="23">
        <v>3</v>
      </c>
      <c r="AT18" s="23">
        <v>2361.58</v>
      </c>
      <c r="AU18" s="25">
        <v>5</v>
      </c>
    </row>
    <row r="19" spans="1:47" x14ac:dyDescent="0.3">
      <c r="A19" s="26">
        <v>10033</v>
      </c>
      <c r="B19" s="26">
        <v>1459</v>
      </c>
      <c r="C19" s="27">
        <v>45129</v>
      </c>
      <c r="D19" s="27">
        <v>45130</v>
      </c>
      <c r="E19" s="26" t="s">
        <v>21</v>
      </c>
      <c r="F19" s="26" t="s">
        <v>37</v>
      </c>
      <c r="G19" s="26" t="s">
        <v>16</v>
      </c>
      <c r="H19" s="26" t="s">
        <v>43</v>
      </c>
      <c r="I19" s="26" t="s">
        <v>56</v>
      </c>
      <c r="J19" s="26" t="s">
        <v>58</v>
      </c>
      <c r="K19" s="26" t="s">
        <v>44</v>
      </c>
      <c r="L19" s="26">
        <v>7</v>
      </c>
      <c r="M19" s="26">
        <v>3363.18</v>
      </c>
      <c r="N19" s="28">
        <v>20</v>
      </c>
      <c r="O19" s="4"/>
      <c r="P19" s="4"/>
      <c r="Q19" s="26">
        <v>10037</v>
      </c>
      <c r="R19" s="26">
        <v>1747</v>
      </c>
      <c r="S19" s="27">
        <v>45161</v>
      </c>
      <c r="T19" s="27">
        <v>45165</v>
      </c>
      <c r="U19" s="26" t="s">
        <v>36</v>
      </c>
      <c r="V19" s="26" t="s">
        <v>15</v>
      </c>
      <c r="W19" s="26" t="s">
        <v>23</v>
      </c>
      <c r="X19" s="26" t="s">
        <v>17</v>
      </c>
      <c r="Y19" s="26" t="s">
        <v>18</v>
      </c>
      <c r="Z19" s="26" t="s">
        <v>54</v>
      </c>
      <c r="AA19" s="26" t="s">
        <v>20</v>
      </c>
      <c r="AB19" s="26">
        <v>4</v>
      </c>
      <c r="AC19" s="26">
        <v>853.29</v>
      </c>
      <c r="AD19" s="28">
        <v>5</v>
      </c>
      <c r="AH19" s="23">
        <v>10023</v>
      </c>
      <c r="AI19" s="23">
        <v>1769</v>
      </c>
      <c r="AJ19" s="24">
        <v>45075</v>
      </c>
      <c r="AK19" s="24">
        <v>45084</v>
      </c>
      <c r="AL19" s="23" t="s">
        <v>15</v>
      </c>
      <c r="AM19" s="23" t="s">
        <v>22</v>
      </c>
      <c r="AN19" s="23" t="s">
        <v>16</v>
      </c>
      <c r="AO19" s="23" t="s">
        <v>41</v>
      </c>
      <c r="AP19" s="23" t="s">
        <v>30</v>
      </c>
      <c r="AQ19" s="23" t="s">
        <v>31</v>
      </c>
      <c r="AR19" s="23" t="s">
        <v>44</v>
      </c>
      <c r="AS19" s="23">
        <v>2</v>
      </c>
      <c r="AT19" s="23">
        <v>2801.74</v>
      </c>
      <c r="AU19" s="25">
        <v>20</v>
      </c>
    </row>
    <row r="20" spans="1:47" x14ac:dyDescent="0.3">
      <c r="A20" s="26">
        <v>10034</v>
      </c>
      <c r="B20" s="26">
        <v>1313</v>
      </c>
      <c r="C20" s="27">
        <v>45182</v>
      </c>
      <c r="D20" s="27">
        <v>45191</v>
      </c>
      <c r="E20" s="26" t="s">
        <v>33</v>
      </c>
      <c r="F20" s="26" t="s">
        <v>22</v>
      </c>
      <c r="G20" s="26" t="s">
        <v>29</v>
      </c>
      <c r="H20" s="26" t="s">
        <v>24</v>
      </c>
      <c r="I20" s="26" t="s">
        <v>30</v>
      </c>
      <c r="J20" s="26" t="s">
        <v>47</v>
      </c>
      <c r="K20" s="26" t="s">
        <v>46</v>
      </c>
      <c r="L20" s="26">
        <v>6</v>
      </c>
      <c r="M20" s="26">
        <v>1529.59</v>
      </c>
      <c r="N20" s="28">
        <v>0</v>
      </c>
      <c r="O20" s="4"/>
      <c r="P20" s="4"/>
      <c r="Q20" s="26">
        <v>10041</v>
      </c>
      <c r="R20" s="26">
        <v>1058</v>
      </c>
      <c r="S20" s="27">
        <v>45211</v>
      </c>
      <c r="T20" s="27">
        <v>45220</v>
      </c>
      <c r="U20" s="26" t="s">
        <v>36</v>
      </c>
      <c r="V20" s="26" t="s">
        <v>15</v>
      </c>
      <c r="W20" s="26" t="s">
        <v>16</v>
      </c>
      <c r="X20" s="26" t="s">
        <v>24</v>
      </c>
      <c r="Y20" s="26" t="s">
        <v>51</v>
      </c>
      <c r="Z20" s="26" t="s">
        <v>63</v>
      </c>
      <c r="AA20" s="26" t="s">
        <v>20</v>
      </c>
      <c r="AB20" s="26">
        <v>8</v>
      </c>
      <c r="AC20" s="26">
        <v>3158.8</v>
      </c>
      <c r="AD20" s="28">
        <v>0</v>
      </c>
      <c r="AH20" s="23">
        <v>10024</v>
      </c>
      <c r="AI20" s="23">
        <v>1343</v>
      </c>
      <c r="AJ20" s="24">
        <v>45075</v>
      </c>
      <c r="AK20" s="24">
        <v>45082</v>
      </c>
      <c r="AL20" s="23" t="s">
        <v>21</v>
      </c>
      <c r="AM20" s="23" t="s">
        <v>40</v>
      </c>
      <c r="AN20" s="23" t="s">
        <v>16</v>
      </c>
      <c r="AO20" s="23" t="s">
        <v>43</v>
      </c>
      <c r="AP20" s="23" t="s">
        <v>48</v>
      </c>
      <c r="AQ20" s="23" t="s">
        <v>50</v>
      </c>
      <c r="AR20" s="23" t="s">
        <v>44</v>
      </c>
      <c r="AS20" s="23">
        <v>1</v>
      </c>
      <c r="AT20" s="23">
        <v>3606.31</v>
      </c>
      <c r="AU20" s="25">
        <v>0</v>
      </c>
    </row>
    <row r="21" spans="1:47" x14ac:dyDescent="0.3">
      <c r="A21" s="26">
        <v>10035</v>
      </c>
      <c r="B21" s="26">
        <v>1021</v>
      </c>
      <c r="C21" s="27">
        <v>45012</v>
      </c>
      <c r="D21" s="27">
        <v>45013</v>
      </c>
      <c r="E21" s="26" t="s">
        <v>39</v>
      </c>
      <c r="F21" s="26" t="s">
        <v>28</v>
      </c>
      <c r="G21" s="26" t="s">
        <v>29</v>
      </c>
      <c r="H21" s="26" t="s">
        <v>43</v>
      </c>
      <c r="I21" s="26" t="s">
        <v>30</v>
      </c>
      <c r="J21" s="26" t="s">
        <v>47</v>
      </c>
      <c r="K21" s="26" t="s">
        <v>46</v>
      </c>
      <c r="L21" s="26">
        <v>7</v>
      </c>
      <c r="M21" s="26">
        <v>3664.64</v>
      </c>
      <c r="N21" s="28">
        <v>5</v>
      </c>
      <c r="O21" s="4"/>
      <c r="P21" s="4"/>
      <c r="Q21" s="26">
        <v>10043</v>
      </c>
      <c r="R21" s="26">
        <v>1681</v>
      </c>
      <c r="S21" s="27">
        <v>45184</v>
      </c>
      <c r="T21" s="27">
        <v>45188</v>
      </c>
      <c r="U21" s="26" t="s">
        <v>36</v>
      </c>
      <c r="V21" s="26" t="s">
        <v>22</v>
      </c>
      <c r="W21" s="26" t="s">
        <v>23</v>
      </c>
      <c r="X21" s="26" t="s">
        <v>34</v>
      </c>
      <c r="Y21" s="26" t="s">
        <v>30</v>
      </c>
      <c r="Z21" s="26" t="s">
        <v>47</v>
      </c>
      <c r="AA21" s="26" t="s">
        <v>44</v>
      </c>
      <c r="AB21" s="26">
        <v>5</v>
      </c>
      <c r="AC21" s="26">
        <v>936.35</v>
      </c>
      <c r="AD21" s="28">
        <v>15</v>
      </c>
      <c r="AH21" s="23">
        <v>10025</v>
      </c>
      <c r="AI21" s="23">
        <v>1491</v>
      </c>
      <c r="AJ21" s="24">
        <v>45052</v>
      </c>
      <c r="AK21" s="24">
        <v>45061</v>
      </c>
      <c r="AL21" s="23" t="s">
        <v>36</v>
      </c>
      <c r="AM21" s="23" t="s">
        <v>37</v>
      </c>
      <c r="AN21" s="23" t="s">
        <v>29</v>
      </c>
      <c r="AO21" s="23" t="s">
        <v>43</v>
      </c>
      <c r="AP21" s="23" t="s">
        <v>56</v>
      </c>
      <c r="AQ21" s="23" t="s">
        <v>58</v>
      </c>
      <c r="AR21" s="23" t="s">
        <v>44</v>
      </c>
      <c r="AS21" s="23">
        <v>6</v>
      </c>
      <c r="AT21" s="23">
        <v>3018.94</v>
      </c>
      <c r="AU21" s="25">
        <v>5</v>
      </c>
    </row>
    <row r="22" spans="1:47" x14ac:dyDescent="0.3">
      <c r="A22" s="26">
        <v>10036</v>
      </c>
      <c r="B22" s="26">
        <v>1252</v>
      </c>
      <c r="C22" s="27">
        <v>45076</v>
      </c>
      <c r="D22" s="27">
        <v>45084</v>
      </c>
      <c r="E22" s="26" t="s">
        <v>15</v>
      </c>
      <c r="F22" s="26" t="s">
        <v>37</v>
      </c>
      <c r="G22" s="26" t="s">
        <v>16</v>
      </c>
      <c r="H22" s="26" t="s">
        <v>41</v>
      </c>
      <c r="I22" s="26" t="s">
        <v>25</v>
      </c>
      <c r="J22" s="26" t="s">
        <v>26</v>
      </c>
      <c r="K22" s="26" t="s">
        <v>27</v>
      </c>
      <c r="L22" s="26">
        <v>5</v>
      </c>
      <c r="M22" s="26">
        <v>2327.9</v>
      </c>
      <c r="N22" s="28">
        <v>0</v>
      </c>
      <c r="O22" s="4"/>
      <c r="P22" s="4"/>
      <c r="Q22" s="26">
        <v>10046</v>
      </c>
      <c r="R22" s="26">
        <v>1975</v>
      </c>
      <c r="S22" s="27">
        <v>45209</v>
      </c>
      <c r="T22" s="27">
        <v>45211</v>
      </c>
      <c r="U22" s="26" t="s">
        <v>36</v>
      </c>
      <c r="V22" s="26" t="s">
        <v>53</v>
      </c>
      <c r="W22" s="26" t="s">
        <v>23</v>
      </c>
      <c r="X22" s="26" t="s">
        <v>17</v>
      </c>
      <c r="Y22" s="26" t="s">
        <v>48</v>
      </c>
      <c r="Z22" s="26" t="s">
        <v>50</v>
      </c>
      <c r="AA22" s="26" t="s">
        <v>44</v>
      </c>
      <c r="AB22" s="26">
        <v>8</v>
      </c>
      <c r="AC22" s="26">
        <v>444.79</v>
      </c>
      <c r="AD22" s="28">
        <v>10</v>
      </c>
      <c r="AH22" s="23">
        <v>10027</v>
      </c>
      <c r="AI22" s="23">
        <v>1805</v>
      </c>
      <c r="AJ22" s="24">
        <v>45286</v>
      </c>
      <c r="AK22" s="24">
        <v>45290</v>
      </c>
      <c r="AL22" s="23" t="s">
        <v>36</v>
      </c>
      <c r="AM22" s="23" t="s">
        <v>40</v>
      </c>
      <c r="AN22" s="23" t="s">
        <v>23</v>
      </c>
      <c r="AO22" s="23" t="s">
        <v>34</v>
      </c>
      <c r="AP22" s="23" t="s">
        <v>56</v>
      </c>
      <c r="AQ22" s="23" t="s">
        <v>57</v>
      </c>
      <c r="AR22" s="23" t="s">
        <v>20</v>
      </c>
      <c r="AS22" s="23">
        <v>3</v>
      </c>
      <c r="AT22" s="23">
        <v>3599.15</v>
      </c>
      <c r="AU22" s="25">
        <v>5</v>
      </c>
    </row>
    <row r="23" spans="1:47" x14ac:dyDescent="0.3">
      <c r="A23" s="26">
        <v>10037</v>
      </c>
      <c r="B23" s="26">
        <v>1747</v>
      </c>
      <c r="C23" s="27">
        <v>45161</v>
      </c>
      <c r="D23" s="27">
        <v>45165</v>
      </c>
      <c r="E23" s="26" t="s">
        <v>36</v>
      </c>
      <c r="F23" s="26" t="s">
        <v>15</v>
      </c>
      <c r="G23" s="26" t="s">
        <v>23</v>
      </c>
      <c r="H23" s="26" t="s">
        <v>17</v>
      </c>
      <c r="I23" s="26" t="s">
        <v>18</v>
      </c>
      <c r="J23" s="26" t="s">
        <v>54</v>
      </c>
      <c r="K23" s="26" t="s">
        <v>20</v>
      </c>
      <c r="L23" s="26">
        <v>4</v>
      </c>
      <c r="M23" s="26">
        <v>853.29</v>
      </c>
      <c r="N23" s="28">
        <v>5</v>
      </c>
      <c r="O23" s="4"/>
      <c r="P23" s="4"/>
      <c r="Q23" s="29">
        <v>10055</v>
      </c>
      <c r="R23" s="29">
        <v>1243</v>
      </c>
      <c r="S23" s="30">
        <v>45110</v>
      </c>
      <c r="T23" s="30">
        <v>45115</v>
      </c>
      <c r="U23" s="29" t="s">
        <v>36</v>
      </c>
      <c r="V23" s="29" t="s">
        <v>15</v>
      </c>
      <c r="W23" s="29" t="s">
        <v>23</v>
      </c>
      <c r="X23" s="29" t="s">
        <v>17</v>
      </c>
      <c r="Y23" s="29" t="s">
        <v>51</v>
      </c>
      <c r="Z23" s="29" t="s">
        <v>63</v>
      </c>
      <c r="AA23" s="29" t="s">
        <v>44</v>
      </c>
      <c r="AB23" s="29">
        <v>2</v>
      </c>
      <c r="AC23" s="29">
        <v>3723.19</v>
      </c>
      <c r="AD23" s="31">
        <v>5</v>
      </c>
      <c r="AH23" s="23">
        <v>10028</v>
      </c>
      <c r="AI23" s="23">
        <v>1385</v>
      </c>
      <c r="AJ23" s="24">
        <v>45164</v>
      </c>
      <c r="AK23" s="24">
        <v>45172</v>
      </c>
      <c r="AL23" s="23" t="s">
        <v>39</v>
      </c>
      <c r="AM23" s="23" t="s">
        <v>22</v>
      </c>
      <c r="AN23" s="23" t="s">
        <v>23</v>
      </c>
      <c r="AO23" s="23" t="s">
        <v>24</v>
      </c>
      <c r="AP23" s="23" t="s">
        <v>48</v>
      </c>
      <c r="AQ23" s="23" t="s">
        <v>50</v>
      </c>
      <c r="AR23" s="23" t="s">
        <v>32</v>
      </c>
      <c r="AS23" s="23">
        <v>6</v>
      </c>
      <c r="AT23" s="23">
        <v>3206.63</v>
      </c>
      <c r="AU23" s="25">
        <v>20</v>
      </c>
    </row>
    <row r="24" spans="1:47" x14ac:dyDescent="0.3">
      <c r="A24" s="26">
        <v>10038</v>
      </c>
      <c r="B24" s="26">
        <v>1856</v>
      </c>
      <c r="C24" s="27">
        <v>45271</v>
      </c>
      <c r="D24" s="27">
        <v>45280</v>
      </c>
      <c r="E24" s="26" t="s">
        <v>21</v>
      </c>
      <c r="F24" s="26" t="s">
        <v>28</v>
      </c>
      <c r="G24" s="26" t="s">
        <v>23</v>
      </c>
      <c r="H24" s="26" t="s">
        <v>41</v>
      </c>
      <c r="I24" s="26" t="s">
        <v>48</v>
      </c>
      <c r="J24" s="26" t="s">
        <v>62</v>
      </c>
      <c r="K24" s="26" t="s">
        <v>46</v>
      </c>
      <c r="L24" s="26">
        <v>7</v>
      </c>
      <c r="M24" s="26">
        <v>687.46</v>
      </c>
      <c r="N24" s="28">
        <v>20</v>
      </c>
      <c r="O24" s="4"/>
      <c r="P24" s="4"/>
      <c r="Q24" s="29">
        <v>10056</v>
      </c>
      <c r="R24" s="29">
        <v>1831</v>
      </c>
      <c r="S24" s="30">
        <v>44929</v>
      </c>
      <c r="T24" s="30">
        <v>44934</v>
      </c>
      <c r="U24" s="29" t="s">
        <v>36</v>
      </c>
      <c r="V24" s="29" t="s">
        <v>28</v>
      </c>
      <c r="W24" s="29" t="s">
        <v>16</v>
      </c>
      <c r="X24" s="29" t="s">
        <v>41</v>
      </c>
      <c r="Y24" s="29" t="s">
        <v>56</v>
      </c>
      <c r="Z24" s="29" t="s">
        <v>61</v>
      </c>
      <c r="AA24" s="29" t="s">
        <v>44</v>
      </c>
      <c r="AB24" s="29">
        <v>6</v>
      </c>
      <c r="AC24" s="29">
        <v>3402.72</v>
      </c>
      <c r="AD24" s="31">
        <v>15</v>
      </c>
      <c r="AH24" s="23">
        <v>10031</v>
      </c>
      <c r="AI24" s="23">
        <v>1276</v>
      </c>
      <c r="AJ24" s="24">
        <v>45162</v>
      </c>
      <c r="AK24" s="24">
        <v>45166</v>
      </c>
      <c r="AL24" s="23" t="s">
        <v>14</v>
      </c>
      <c r="AM24" s="23" t="s">
        <v>28</v>
      </c>
      <c r="AN24" s="23" t="s">
        <v>29</v>
      </c>
      <c r="AO24" s="23" t="s">
        <v>41</v>
      </c>
      <c r="AP24" s="23" t="s">
        <v>56</v>
      </c>
      <c r="AQ24" s="23" t="s">
        <v>61</v>
      </c>
      <c r="AR24" s="23" t="s">
        <v>46</v>
      </c>
      <c r="AS24" s="23">
        <v>5</v>
      </c>
      <c r="AT24" s="23">
        <v>2295.65</v>
      </c>
      <c r="AU24" s="25">
        <v>20</v>
      </c>
    </row>
    <row r="25" spans="1:47" x14ac:dyDescent="0.3">
      <c r="A25" s="26">
        <v>10039</v>
      </c>
      <c r="B25" s="26">
        <v>1560</v>
      </c>
      <c r="C25" s="27">
        <v>44948</v>
      </c>
      <c r="D25" s="27">
        <v>44953</v>
      </c>
      <c r="E25" s="26" t="s">
        <v>33</v>
      </c>
      <c r="F25" s="26" t="s">
        <v>40</v>
      </c>
      <c r="G25" s="26" t="s">
        <v>16</v>
      </c>
      <c r="H25" s="26" t="s">
        <v>17</v>
      </c>
      <c r="I25" s="26" t="s">
        <v>30</v>
      </c>
      <c r="J25" s="26" t="s">
        <v>47</v>
      </c>
      <c r="K25" s="26" t="s">
        <v>44</v>
      </c>
      <c r="L25" s="26">
        <v>7</v>
      </c>
      <c r="M25" s="26">
        <v>2369.42</v>
      </c>
      <c r="N25" s="28">
        <v>15</v>
      </c>
      <c r="O25" s="4"/>
      <c r="P25" s="4"/>
      <c r="Q25" s="29">
        <v>10057</v>
      </c>
      <c r="R25" s="29">
        <v>1504</v>
      </c>
      <c r="S25" s="30">
        <v>45117</v>
      </c>
      <c r="T25" s="30">
        <v>45122</v>
      </c>
      <c r="U25" s="29" t="s">
        <v>36</v>
      </c>
      <c r="V25" s="29" t="s">
        <v>28</v>
      </c>
      <c r="W25" s="29" t="s">
        <v>16</v>
      </c>
      <c r="X25" s="29" t="s">
        <v>24</v>
      </c>
      <c r="Y25" s="29" t="s">
        <v>56</v>
      </c>
      <c r="Z25" s="29" t="s">
        <v>57</v>
      </c>
      <c r="AA25" s="29" t="s">
        <v>32</v>
      </c>
      <c r="AB25" s="29">
        <v>9</v>
      </c>
      <c r="AC25" s="29">
        <v>1012.33</v>
      </c>
      <c r="AD25" s="31">
        <v>20</v>
      </c>
      <c r="AH25" s="26">
        <v>10033</v>
      </c>
      <c r="AI25" s="26">
        <v>1459</v>
      </c>
      <c r="AJ25" s="27">
        <v>45129</v>
      </c>
      <c r="AK25" s="27">
        <v>45130</v>
      </c>
      <c r="AL25" s="26" t="s">
        <v>21</v>
      </c>
      <c r="AM25" s="26" t="s">
        <v>37</v>
      </c>
      <c r="AN25" s="26" t="s">
        <v>16</v>
      </c>
      <c r="AO25" s="26" t="s">
        <v>43</v>
      </c>
      <c r="AP25" s="26" t="s">
        <v>56</v>
      </c>
      <c r="AQ25" s="26" t="s">
        <v>58</v>
      </c>
      <c r="AR25" s="26" t="s">
        <v>44</v>
      </c>
      <c r="AS25" s="26">
        <v>7</v>
      </c>
      <c r="AT25" s="26">
        <v>3363.18</v>
      </c>
      <c r="AU25" s="28">
        <v>20</v>
      </c>
    </row>
    <row r="26" spans="1:47" x14ac:dyDescent="0.3">
      <c r="A26" s="26">
        <v>10040</v>
      </c>
      <c r="B26" s="26">
        <v>1474</v>
      </c>
      <c r="C26" s="27">
        <v>45274</v>
      </c>
      <c r="D26" s="27">
        <v>45277</v>
      </c>
      <c r="E26" s="26" t="s">
        <v>14</v>
      </c>
      <c r="F26" s="26" t="s">
        <v>15</v>
      </c>
      <c r="G26" s="26" t="s">
        <v>29</v>
      </c>
      <c r="H26" s="26" t="s">
        <v>34</v>
      </c>
      <c r="I26" s="26" t="s">
        <v>25</v>
      </c>
      <c r="J26" s="26" t="s">
        <v>26</v>
      </c>
      <c r="K26" s="26" t="s">
        <v>27</v>
      </c>
      <c r="L26" s="26">
        <v>6</v>
      </c>
      <c r="M26" s="26">
        <v>3083.25</v>
      </c>
      <c r="N26" s="28">
        <v>10</v>
      </c>
      <c r="O26" s="4"/>
      <c r="P26" s="4"/>
      <c r="Q26" s="29">
        <v>10061</v>
      </c>
      <c r="R26" s="29">
        <v>1646</v>
      </c>
      <c r="S26" s="30">
        <v>44956</v>
      </c>
      <c r="T26" s="30">
        <v>44957</v>
      </c>
      <c r="U26" s="29" t="s">
        <v>36</v>
      </c>
      <c r="V26" s="29" t="s">
        <v>53</v>
      </c>
      <c r="W26" s="29" t="s">
        <v>23</v>
      </c>
      <c r="X26" s="29" t="s">
        <v>41</v>
      </c>
      <c r="Y26" s="29" t="s">
        <v>25</v>
      </c>
      <c r="Z26" s="29" t="s">
        <v>35</v>
      </c>
      <c r="AA26" s="29" t="s">
        <v>44</v>
      </c>
      <c r="AB26" s="29">
        <v>7</v>
      </c>
      <c r="AC26" s="29">
        <v>319.56</v>
      </c>
      <c r="AD26" s="31">
        <v>10</v>
      </c>
      <c r="AH26" s="26">
        <v>10034</v>
      </c>
      <c r="AI26" s="26">
        <v>1313</v>
      </c>
      <c r="AJ26" s="27">
        <v>45182</v>
      </c>
      <c r="AK26" s="27">
        <v>45191</v>
      </c>
      <c r="AL26" s="26" t="s">
        <v>33</v>
      </c>
      <c r="AM26" s="26" t="s">
        <v>22</v>
      </c>
      <c r="AN26" s="26" t="s">
        <v>29</v>
      </c>
      <c r="AO26" s="26" t="s">
        <v>24</v>
      </c>
      <c r="AP26" s="26" t="s">
        <v>30</v>
      </c>
      <c r="AQ26" s="26" t="s">
        <v>47</v>
      </c>
      <c r="AR26" s="26" t="s">
        <v>46</v>
      </c>
      <c r="AS26" s="26">
        <v>6</v>
      </c>
      <c r="AT26" s="26">
        <v>1529.59</v>
      </c>
      <c r="AU26" s="28">
        <v>0</v>
      </c>
    </row>
    <row r="27" spans="1:47" x14ac:dyDescent="0.3">
      <c r="A27" s="26">
        <v>10041</v>
      </c>
      <c r="B27" s="26">
        <v>1058</v>
      </c>
      <c r="C27" s="27">
        <v>45211</v>
      </c>
      <c r="D27" s="27">
        <v>45220</v>
      </c>
      <c r="E27" s="26" t="s">
        <v>36</v>
      </c>
      <c r="F27" s="26" t="s">
        <v>15</v>
      </c>
      <c r="G27" s="26" t="s">
        <v>16</v>
      </c>
      <c r="H27" s="26" t="s">
        <v>24</v>
      </c>
      <c r="I27" s="26" t="s">
        <v>51</v>
      </c>
      <c r="J27" s="26" t="s">
        <v>63</v>
      </c>
      <c r="K27" s="26" t="s">
        <v>20</v>
      </c>
      <c r="L27" s="26">
        <v>8</v>
      </c>
      <c r="M27" s="26">
        <v>3158.8</v>
      </c>
      <c r="N27" s="28">
        <v>0</v>
      </c>
      <c r="O27" s="4"/>
      <c r="P27" s="4"/>
      <c r="Q27" s="35">
        <v>10083</v>
      </c>
      <c r="R27" s="35">
        <v>1942</v>
      </c>
      <c r="S27" s="36">
        <v>45228</v>
      </c>
      <c r="T27" s="36">
        <v>45232</v>
      </c>
      <c r="U27" s="35" t="s">
        <v>36</v>
      </c>
      <c r="V27" s="35" t="s">
        <v>22</v>
      </c>
      <c r="W27" s="35" t="s">
        <v>16</v>
      </c>
      <c r="X27" s="35" t="s">
        <v>24</v>
      </c>
      <c r="Y27" s="35" t="s">
        <v>56</v>
      </c>
      <c r="Z27" s="35" t="s">
        <v>61</v>
      </c>
      <c r="AA27" s="35" t="s">
        <v>20</v>
      </c>
      <c r="AB27" s="35">
        <v>8</v>
      </c>
      <c r="AC27" s="35">
        <v>997.34</v>
      </c>
      <c r="AD27" s="37">
        <v>5</v>
      </c>
      <c r="AH27" s="26">
        <v>10035</v>
      </c>
      <c r="AI27" s="26">
        <v>1021</v>
      </c>
      <c r="AJ27" s="27">
        <v>45012</v>
      </c>
      <c r="AK27" s="27">
        <v>45013</v>
      </c>
      <c r="AL27" s="26" t="s">
        <v>39</v>
      </c>
      <c r="AM27" s="26" t="s">
        <v>28</v>
      </c>
      <c r="AN27" s="26" t="s">
        <v>29</v>
      </c>
      <c r="AO27" s="26" t="s">
        <v>43</v>
      </c>
      <c r="AP27" s="26" t="s">
        <v>30</v>
      </c>
      <c r="AQ27" s="26" t="s">
        <v>47</v>
      </c>
      <c r="AR27" s="26" t="s">
        <v>46</v>
      </c>
      <c r="AS27" s="26">
        <v>7</v>
      </c>
      <c r="AT27" s="26">
        <v>3664.64</v>
      </c>
      <c r="AU27" s="28">
        <v>5</v>
      </c>
    </row>
    <row r="28" spans="1:47" x14ac:dyDescent="0.3">
      <c r="A28" s="26">
        <v>10042</v>
      </c>
      <c r="B28" s="26">
        <v>1510</v>
      </c>
      <c r="C28" s="27">
        <v>45195</v>
      </c>
      <c r="D28" s="27">
        <v>45204</v>
      </c>
      <c r="E28" s="26" t="s">
        <v>14</v>
      </c>
      <c r="F28" s="26" t="s">
        <v>53</v>
      </c>
      <c r="G28" s="26" t="s">
        <v>23</v>
      </c>
      <c r="H28" s="26" t="s">
        <v>34</v>
      </c>
      <c r="I28" s="26" t="s">
        <v>25</v>
      </c>
      <c r="J28" s="26" t="s">
        <v>26</v>
      </c>
      <c r="K28" s="26" t="s">
        <v>32</v>
      </c>
      <c r="L28" s="26">
        <v>4</v>
      </c>
      <c r="M28" s="26">
        <v>1211.67</v>
      </c>
      <c r="N28" s="28">
        <v>20</v>
      </c>
      <c r="O28" s="4"/>
      <c r="P28" s="4"/>
      <c r="Q28" s="35">
        <v>10091</v>
      </c>
      <c r="R28" s="35">
        <v>1001</v>
      </c>
      <c r="S28" s="36">
        <v>45016</v>
      </c>
      <c r="T28" s="36">
        <v>45019</v>
      </c>
      <c r="U28" s="35" t="s">
        <v>36</v>
      </c>
      <c r="V28" s="35" t="s">
        <v>15</v>
      </c>
      <c r="W28" s="35" t="s">
        <v>16</v>
      </c>
      <c r="X28" s="35" t="s">
        <v>43</v>
      </c>
      <c r="Y28" s="35" t="s">
        <v>25</v>
      </c>
      <c r="Z28" s="35" t="s">
        <v>26</v>
      </c>
      <c r="AA28" s="35" t="s">
        <v>27</v>
      </c>
      <c r="AB28" s="35">
        <v>5</v>
      </c>
      <c r="AC28" s="35">
        <v>3370.52</v>
      </c>
      <c r="AD28" s="37">
        <v>10</v>
      </c>
      <c r="AH28" s="26">
        <v>10036</v>
      </c>
      <c r="AI28" s="26">
        <v>1252</v>
      </c>
      <c r="AJ28" s="27">
        <v>45076</v>
      </c>
      <c r="AK28" s="27">
        <v>45084</v>
      </c>
      <c r="AL28" s="26" t="s">
        <v>15</v>
      </c>
      <c r="AM28" s="26" t="s">
        <v>37</v>
      </c>
      <c r="AN28" s="26" t="s">
        <v>16</v>
      </c>
      <c r="AO28" s="26" t="s">
        <v>41</v>
      </c>
      <c r="AP28" s="26" t="s">
        <v>25</v>
      </c>
      <c r="AQ28" s="26" t="s">
        <v>26</v>
      </c>
      <c r="AR28" s="26" t="s">
        <v>27</v>
      </c>
      <c r="AS28" s="26">
        <v>5</v>
      </c>
      <c r="AT28" s="26">
        <v>2327.9</v>
      </c>
      <c r="AU28" s="28">
        <v>0</v>
      </c>
    </row>
    <row r="29" spans="1:47" x14ac:dyDescent="0.3">
      <c r="A29" s="26">
        <v>10043</v>
      </c>
      <c r="B29" s="26">
        <v>1681</v>
      </c>
      <c r="C29" s="27">
        <v>45184</v>
      </c>
      <c r="D29" s="27">
        <v>45188</v>
      </c>
      <c r="E29" s="26" t="s">
        <v>36</v>
      </c>
      <c r="F29" s="26" t="s">
        <v>22</v>
      </c>
      <c r="G29" s="26" t="s">
        <v>23</v>
      </c>
      <c r="H29" s="26" t="s">
        <v>34</v>
      </c>
      <c r="I29" s="26" t="s">
        <v>30</v>
      </c>
      <c r="J29" s="26" t="s">
        <v>47</v>
      </c>
      <c r="K29" s="26" t="s">
        <v>44</v>
      </c>
      <c r="L29" s="26">
        <v>5</v>
      </c>
      <c r="M29" s="26">
        <v>936.35</v>
      </c>
      <c r="N29" s="28">
        <v>15</v>
      </c>
      <c r="O29" s="4"/>
      <c r="P29" s="4"/>
      <c r="Q29" s="35">
        <v>10097</v>
      </c>
      <c r="R29" s="35">
        <v>1476</v>
      </c>
      <c r="S29" s="36">
        <v>45047</v>
      </c>
      <c r="T29" s="36">
        <v>45056</v>
      </c>
      <c r="U29" s="35" t="s">
        <v>36</v>
      </c>
      <c r="V29" s="35" t="s">
        <v>22</v>
      </c>
      <c r="W29" s="35" t="s">
        <v>23</v>
      </c>
      <c r="X29" s="35" t="s">
        <v>17</v>
      </c>
      <c r="Y29" s="35" t="s">
        <v>51</v>
      </c>
      <c r="Z29" s="35" t="s">
        <v>59</v>
      </c>
      <c r="AA29" s="35" t="s">
        <v>27</v>
      </c>
      <c r="AB29" s="35">
        <v>9</v>
      </c>
      <c r="AC29" s="35">
        <v>501.79</v>
      </c>
      <c r="AD29" s="37">
        <v>5</v>
      </c>
      <c r="AH29" s="26">
        <v>10039</v>
      </c>
      <c r="AI29" s="26">
        <v>1560</v>
      </c>
      <c r="AJ29" s="27">
        <v>44948</v>
      </c>
      <c r="AK29" s="27">
        <v>44953</v>
      </c>
      <c r="AL29" s="26" t="s">
        <v>33</v>
      </c>
      <c r="AM29" s="26" t="s">
        <v>40</v>
      </c>
      <c r="AN29" s="26" t="s">
        <v>16</v>
      </c>
      <c r="AO29" s="26" t="s">
        <v>17</v>
      </c>
      <c r="AP29" s="26" t="s">
        <v>30</v>
      </c>
      <c r="AQ29" s="26" t="s">
        <v>47</v>
      </c>
      <c r="AR29" s="26" t="s">
        <v>44</v>
      </c>
      <c r="AS29" s="26">
        <v>7</v>
      </c>
      <c r="AT29" s="26">
        <v>2369.42</v>
      </c>
      <c r="AU29" s="28">
        <v>15</v>
      </c>
    </row>
    <row r="30" spans="1:47" x14ac:dyDescent="0.3">
      <c r="A30" s="26">
        <v>10044</v>
      </c>
      <c r="B30" s="26">
        <v>1475</v>
      </c>
      <c r="C30" s="27">
        <v>44955</v>
      </c>
      <c r="D30" s="27">
        <v>44959</v>
      </c>
      <c r="E30" s="26" t="s">
        <v>15</v>
      </c>
      <c r="F30" s="26" t="s">
        <v>28</v>
      </c>
      <c r="G30" s="26" t="s">
        <v>16</v>
      </c>
      <c r="H30" s="26" t="s">
        <v>41</v>
      </c>
      <c r="I30" s="26" t="s">
        <v>30</v>
      </c>
      <c r="J30" s="26" t="s">
        <v>47</v>
      </c>
      <c r="K30" s="26" t="s">
        <v>46</v>
      </c>
      <c r="L30" s="26">
        <v>4</v>
      </c>
      <c r="M30" s="26">
        <v>214.51</v>
      </c>
      <c r="N30" s="28">
        <v>20</v>
      </c>
      <c r="O30" s="4"/>
      <c r="P30" s="4"/>
      <c r="Q30" s="35">
        <v>10098</v>
      </c>
      <c r="R30" s="35">
        <v>1702</v>
      </c>
      <c r="S30" s="36">
        <v>44946</v>
      </c>
      <c r="T30" s="36">
        <v>44947</v>
      </c>
      <c r="U30" s="35" t="s">
        <v>36</v>
      </c>
      <c r="V30" s="35" t="s">
        <v>53</v>
      </c>
      <c r="W30" s="35" t="s">
        <v>23</v>
      </c>
      <c r="X30" s="35" t="s">
        <v>41</v>
      </c>
      <c r="Y30" s="35" t="s">
        <v>25</v>
      </c>
      <c r="Z30" s="35" t="s">
        <v>35</v>
      </c>
      <c r="AA30" s="35" t="s">
        <v>44</v>
      </c>
      <c r="AB30" s="35">
        <v>4</v>
      </c>
      <c r="AC30" s="35">
        <v>1362.08</v>
      </c>
      <c r="AD30" s="37">
        <v>15</v>
      </c>
      <c r="AH30" s="26">
        <v>10040</v>
      </c>
      <c r="AI30" s="26">
        <v>1474</v>
      </c>
      <c r="AJ30" s="27">
        <v>45274</v>
      </c>
      <c r="AK30" s="27">
        <v>45277</v>
      </c>
      <c r="AL30" s="26" t="s">
        <v>14</v>
      </c>
      <c r="AM30" s="26" t="s">
        <v>15</v>
      </c>
      <c r="AN30" s="26" t="s">
        <v>29</v>
      </c>
      <c r="AO30" s="26" t="s">
        <v>34</v>
      </c>
      <c r="AP30" s="26" t="s">
        <v>25</v>
      </c>
      <c r="AQ30" s="26" t="s">
        <v>26</v>
      </c>
      <c r="AR30" s="26" t="s">
        <v>27</v>
      </c>
      <c r="AS30" s="26">
        <v>6</v>
      </c>
      <c r="AT30" s="26">
        <v>3083.25</v>
      </c>
      <c r="AU30" s="28">
        <v>10</v>
      </c>
    </row>
    <row r="31" spans="1:47" x14ac:dyDescent="0.3">
      <c r="A31" s="26">
        <v>10045</v>
      </c>
      <c r="B31" s="26">
        <v>1699</v>
      </c>
      <c r="C31" s="27">
        <v>45139</v>
      </c>
      <c r="D31" s="27">
        <v>45147</v>
      </c>
      <c r="E31" s="26" t="s">
        <v>33</v>
      </c>
      <c r="F31" s="26" t="s">
        <v>15</v>
      </c>
      <c r="G31" s="26" t="s">
        <v>16</v>
      </c>
      <c r="H31" s="26" t="s">
        <v>24</v>
      </c>
      <c r="I31" s="26" t="s">
        <v>25</v>
      </c>
      <c r="J31" s="26" t="s">
        <v>60</v>
      </c>
      <c r="K31" s="26" t="s">
        <v>46</v>
      </c>
      <c r="L31" s="26">
        <v>1</v>
      </c>
      <c r="M31" s="26">
        <v>2764.92</v>
      </c>
      <c r="N31" s="28">
        <v>0</v>
      </c>
      <c r="O31" s="4"/>
      <c r="P31" s="4"/>
      <c r="Q31" s="35">
        <v>10102</v>
      </c>
      <c r="R31" s="35">
        <v>1161</v>
      </c>
      <c r="S31" s="36">
        <v>44996</v>
      </c>
      <c r="T31" s="36">
        <v>45002</v>
      </c>
      <c r="U31" s="35" t="s">
        <v>36</v>
      </c>
      <c r="V31" s="35" t="s">
        <v>53</v>
      </c>
      <c r="W31" s="35" t="s">
        <v>29</v>
      </c>
      <c r="X31" s="35" t="s">
        <v>24</v>
      </c>
      <c r="Y31" s="35" t="s">
        <v>30</v>
      </c>
      <c r="Z31" s="35" t="s">
        <v>38</v>
      </c>
      <c r="AA31" s="35" t="s">
        <v>20</v>
      </c>
      <c r="AB31" s="35">
        <v>2</v>
      </c>
      <c r="AC31" s="35">
        <v>1859.03</v>
      </c>
      <c r="AD31" s="37">
        <v>20</v>
      </c>
      <c r="AH31" s="26">
        <v>10041</v>
      </c>
      <c r="AI31" s="26">
        <v>1058</v>
      </c>
      <c r="AJ31" s="27">
        <v>45211</v>
      </c>
      <c r="AK31" s="27">
        <v>45220</v>
      </c>
      <c r="AL31" s="26" t="s">
        <v>36</v>
      </c>
      <c r="AM31" s="26" t="s">
        <v>15</v>
      </c>
      <c r="AN31" s="26" t="s">
        <v>16</v>
      </c>
      <c r="AO31" s="26" t="s">
        <v>24</v>
      </c>
      <c r="AP31" s="26" t="s">
        <v>51</v>
      </c>
      <c r="AQ31" s="26" t="s">
        <v>63</v>
      </c>
      <c r="AR31" s="26" t="s">
        <v>20</v>
      </c>
      <c r="AS31" s="26">
        <v>8</v>
      </c>
      <c r="AT31" s="26">
        <v>3158.8</v>
      </c>
      <c r="AU31" s="28">
        <v>0</v>
      </c>
    </row>
    <row r="32" spans="1:47" x14ac:dyDescent="0.3">
      <c r="A32" s="26">
        <v>10046</v>
      </c>
      <c r="B32" s="26">
        <v>1975</v>
      </c>
      <c r="C32" s="27">
        <v>45209</v>
      </c>
      <c r="D32" s="27">
        <v>45211</v>
      </c>
      <c r="E32" s="26" t="s">
        <v>36</v>
      </c>
      <c r="F32" s="26" t="s">
        <v>53</v>
      </c>
      <c r="G32" s="26" t="s">
        <v>23</v>
      </c>
      <c r="H32" s="26" t="s">
        <v>17</v>
      </c>
      <c r="I32" s="26" t="s">
        <v>48</v>
      </c>
      <c r="J32" s="26" t="s">
        <v>50</v>
      </c>
      <c r="K32" s="26" t="s">
        <v>44</v>
      </c>
      <c r="L32" s="26">
        <v>8</v>
      </c>
      <c r="M32" s="26">
        <v>444.79</v>
      </c>
      <c r="N32" s="28">
        <v>10</v>
      </c>
      <c r="O32" s="4"/>
      <c r="P32" s="4"/>
      <c r="Q32" s="38">
        <v>10112</v>
      </c>
      <c r="R32" s="38">
        <v>1726</v>
      </c>
      <c r="S32" s="39">
        <v>45153</v>
      </c>
      <c r="T32" s="39">
        <v>45154</v>
      </c>
      <c r="U32" s="38" t="s">
        <v>36</v>
      </c>
      <c r="V32" s="38" t="s">
        <v>40</v>
      </c>
      <c r="W32" s="38" t="s">
        <v>29</v>
      </c>
      <c r="X32" s="38" t="s">
        <v>17</v>
      </c>
      <c r="Y32" s="38" t="s">
        <v>25</v>
      </c>
      <c r="Z32" s="38" t="s">
        <v>35</v>
      </c>
      <c r="AA32" s="38" t="s">
        <v>20</v>
      </c>
      <c r="AB32" s="38">
        <v>4</v>
      </c>
      <c r="AC32" s="38">
        <v>1110.5899999999999</v>
      </c>
      <c r="AD32" s="40">
        <v>20</v>
      </c>
      <c r="AH32" s="26">
        <v>10045</v>
      </c>
      <c r="AI32" s="26">
        <v>1699</v>
      </c>
      <c r="AJ32" s="27">
        <v>45139</v>
      </c>
      <c r="AK32" s="27">
        <v>45147</v>
      </c>
      <c r="AL32" s="26" t="s">
        <v>33</v>
      </c>
      <c r="AM32" s="26" t="s">
        <v>15</v>
      </c>
      <c r="AN32" s="26" t="s">
        <v>16</v>
      </c>
      <c r="AO32" s="26" t="s">
        <v>24</v>
      </c>
      <c r="AP32" s="26" t="s">
        <v>25</v>
      </c>
      <c r="AQ32" s="26" t="s">
        <v>60</v>
      </c>
      <c r="AR32" s="26" t="s">
        <v>46</v>
      </c>
      <c r="AS32" s="26">
        <v>1</v>
      </c>
      <c r="AT32" s="26">
        <v>2764.92</v>
      </c>
      <c r="AU32" s="28">
        <v>0</v>
      </c>
    </row>
    <row r="33" spans="1:47" x14ac:dyDescent="0.3">
      <c r="A33" s="29">
        <v>10047</v>
      </c>
      <c r="B33" s="29">
        <v>1782</v>
      </c>
      <c r="C33" s="30">
        <v>44976</v>
      </c>
      <c r="D33" s="30">
        <v>44985</v>
      </c>
      <c r="E33" s="29" t="s">
        <v>39</v>
      </c>
      <c r="F33" s="29" t="s">
        <v>40</v>
      </c>
      <c r="G33" s="29" t="s">
        <v>16</v>
      </c>
      <c r="H33" s="29" t="s">
        <v>17</v>
      </c>
      <c r="I33" s="29" t="s">
        <v>56</v>
      </c>
      <c r="J33" s="29" t="s">
        <v>61</v>
      </c>
      <c r="K33" s="29" t="s">
        <v>46</v>
      </c>
      <c r="L33" s="29">
        <v>1</v>
      </c>
      <c r="M33" s="29">
        <v>1769.93</v>
      </c>
      <c r="N33" s="31">
        <v>20</v>
      </c>
      <c r="O33" s="4"/>
      <c r="P33" s="4"/>
      <c r="Q33" s="38">
        <v>10127</v>
      </c>
      <c r="R33" s="38">
        <v>1379</v>
      </c>
      <c r="S33" s="39">
        <v>44930</v>
      </c>
      <c r="T33" s="39">
        <v>44935</v>
      </c>
      <c r="U33" s="38" t="s">
        <v>36</v>
      </c>
      <c r="V33" s="38" t="s">
        <v>53</v>
      </c>
      <c r="W33" s="38" t="s">
        <v>23</v>
      </c>
      <c r="X33" s="38" t="s">
        <v>17</v>
      </c>
      <c r="Y33" s="38" t="s">
        <v>30</v>
      </c>
      <c r="Z33" s="38" t="s">
        <v>38</v>
      </c>
      <c r="AA33" s="38" t="s">
        <v>20</v>
      </c>
      <c r="AB33" s="38">
        <v>6</v>
      </c>
      <c r="AC33" s="38">
        <v>1846.21</v>
      </c>
      <c r="AD33" s="40">
        <v>10</v>
      </c>
      <c r="AH33" s="29">
        <v>10047</v>
      </c>
      <c r="AI33" s="29">
        <v>1782</v>
      </c>
      <c r="AJ33" s="30">
        <v>44976</v>
      </c>
      <c r="AK33" s="30">
        <v>44985</v>
      </c>
      <c r="AL33" s="29" t="s">
        <v>39</v>
      </c>
      <c r="AM33" s="29" t="s">
        <v>40</v>
      </c>
      <c r="AN33" s="29" t="s">
        <v>16</v>
      </c>
      <c r="AO33" s="29" t="s">
        <v>17</v>
      </c>
      <c r="AP33" s="29" t="s">
        <v>56</v>
      </c>
      <c r="AQ33" s="29" t="s">
        <v>61</v>
      </c>
      <c r="AR33" s="29" t="s">
        <v>46</v>
      </c>
      <c r="AS33" s="29">
        <v>1</v>
      </c>
      <c r="AT33" s="29">
        <v>1769.93</v>
      </c>
      <c r="AU33" s="31">
        <v>20</v>
      </c>
    </row>
    <row r="34" spans="1:47" x14ac:dyDescent="0.3">
      <c r="A34" s="29">
        <v>10048</v>
      </c>
      <c r="B34" s="29">
        <v>1189</v>
      </c>
      <c r="C34" s="30">
        <v>45021</v>
      </c>
      <c r="D34" s="30">
        <v>45027</v>
      </c>
      <c r="E34" s="29" t="s">
        <v>21</v>
      </c>
      <c r="F34" s="29" t="s">
        <v>37</v>
      </c>
      <c r="G34" s="29" t="s">
        <v>23</v>
      </c>
      <c r="H34" s="29" t="s">
        <v>43</v>
      </c>
      <c r="I34" s="29" t="s">
        <v>30</v>
      </c>
      <c r="J34" s="29" t="s">
        <v>64</v>
      </c>
      <c r="K34" s="29" t="s">
        <v>27</v>
      </c>
      <c r="L34" s="29">
        <v>5</v>
      </c>
      <c r="M34" s="29">
        <v>2466.48</v>
      </c>
      <c r="N34" s="31">
        <v>5</v>
      </c>
      <c r="O34" s="4"/>
      <c r="P34" s="4"/>
      <c r="Q34" s="41">
        <v>10141</v>
      </c>
      <c r="R34" s="41">
        <v>1062</v>
      </c>
      <c r="S34" s="42">
        <v>45085</v>
      </c>
      <c r="T34" s="42">
        <v>45092</v>
      </c>
      <c r="U34" s="41" t="s">
        <v>36</v>
      </c>
      <c r="V34" s="41" t="s">
        <v>28</v>
      </c>
      <c r="W34" s="41" t="s">
        <v>16</v>
      </c>
      <c r="X34" s="41" t="s">
        <v>24</v>
      </c>
      <c r="Y34" s="41" t="s">
        <v>30</v>
      </c>
      <c r="Z34" s="41" t="s">
        <v>38</v>
      </c>
      <c r="AA34" s="41" t="s">
        <v>27</v>
      </c>
      <c r="AB34" s="41">
        <v>2</v>
      </c>
      <c r="AC34" s="41">
        <v>1766.42</v>
      </c>
      <c r="AD34" s="43">
        <v>10</v>
      </c>
      <c r="AH34" s="29">
        <v>10048</v>
      </c>
      <c r="AI34" s="29">
        <v>1189</v>
      </c>
      <c r="AJ34" s="30">
        <v>45021</v>
      </c>
      <c r="AK34" s="30">
        <v>45027</v>
      </c>
      <c r="AL34" s="29" t="s">
        <v>21</v>
      </c>
      <c r="AM34" s="29" t="s">
        <v>37</v>
      </c>
      <c r="AN34" s="29" t="s">
        <v>23</v>
      </c>
      <c r="AO34" s="29" t="s">
        <v>43</v>
      </c>
      <c r="AP34" s="29" t="s">
        <v>30</v>
      </c>
      <c r="AQ34" s="29" t="s">
        <v>64</v>
      </c>
      <c r="AR34" s="29" t="s">
        <v>27</v>
      </c>
      <c r="AS34" s="29">
        <v>5</v>
      </c>
      <c r="AT34" s="29">
        <v>2466.48</v>
      </c>
      <c r="AU34" s="31">
        <v>5</v>
      </c>
    </row>
    <row r="35" spans="1:47" x14ac:dyDescent="0.3">
      <c r="A35" s="29">
        <v>10049</v>
      </c>
      <c r="B35" s="29">
        <v>1957</v>
      </c>
      <c r="C35" s="30">
        <v>45014</v>
      </c>
      <c r="D35" s="30">
        <v>45023</v>
      </c>
      <c r="E35" s="29" t="s">
        <v>45</v>
      </c>
      <c r="F35" s="29" t="s">
        <v>28</v>
      </c>
      <c r="G35" s="29" t="s">
        <v>16</v>
      </c>
      <c r="H35" s="29" t="s">
        <v>17</v>
      </c>
      <c r="I35" s="29" t="s">
        <v>25</v>
      </c>
      <c r="J35" s="29" t="s">
        <v>26</v>
      </c>
      <c r="K35" s="29" t="s">
        <v>20</v>
      </c>
      <c r="L35" s="29">
        <v>6</v>
      </c>
      <c r="M35" s="29">
        <v>3757.87</v>
      </c>
      <c r="N35" s="31">
        <v>15</v>
      </c>
      <c r="O35" s="4"/>
      <c r="P35" s="4"/>
      <c r="Q35" s="41">
        <v>10143</v>
      </c>
      <c r="R35" s="41">
        <v>1498</v>
      </c>
      <c r="S35" s="42">
        <v>44986</v>
      </c>
      <c r="T35" s="42">
        <v>44993</v>
      </c>
      <c r="U35" s="41" t="s">
        <v>36</v>
      </c>
      <c r="V35" s="41" t="s">
        <v>53</v>
      </c>
      <c r="W35" s="41" t="s">
        <v>29</v>
      </c>
      <c r="X35" s="41" t="s">
        <v>24</v>
      </c>
      <c r="Y35" s="41" t="s">
        <v>56</v>
      </c>
      <c r="Z35" s="41" t="s">
        <v>57</v>
      </c>
      <c r="AA35" s="41" t="s">
        <v>20</v>
      </c>
      <c r="AB35" s="41">
        <v>7</v>
      </c>
      <c r="AC35" s="41">
        <v>3680.23</v>
      </c>
      <c r="AD35" s="43">
        <v>5</v>
      </c>
      <c r="AH35" s="29">
        <v>10049</v>
      </c>
      <c r="AI35" s="29">
        <v>1957</v>
      </c>
      <c r="AJ35" s="30">
        <v>45014</v>
      </c>
      <c r="AK35" s="30">
        <v>45023</v>
      </c>
      <c r="AL35" s="29" t="s">
        <v>45</v>
      </c>
      <c r="AM35" s="29" t="s">
        <v>28</v>
      </c>
      <c r="AN35" s="29" t="s">
        <v>16</v>
      </c>
      <c r="AO35" s="29" t="s">
        <v>17</v>
      </c>
      <c r="AP35" s="29" t="s">
        <v>25</v>
      </c>
      <c r="AQ35" s="29" t="s">
        <v>26</v>
      </c>
      <c r="AR35" s="29" t="s">
        <v>20</v>
      </c>
      <c r="AS35" s="29">
        <v>6</v>
      </c>
      <c r="AT35" s="29">
        <v>3757.87</v>
      </c>
      <c r="AU35" s="31">
        <v>15</v>
      </c>
    </row>
    <row r="36" spans="1:47" x14ac:dyDescent="0.3">
      <c r="A36" s="29">
        <v>10050</v>
      </c>
      <c r="B36" s="29">
        <v>1686</v>
      </c>
      <c r="C36" s="30">
        <v>44970</v>
      </c>
      <c r="D36" s="30">
        <v>44978</v>
      </c>
      <c r="E36" s="29" t="s">
        <v>39</v>
      </c>
      <c r="F36" s="29" t="s">
        <v>15</v>
      </c>
      <c r="G36" s="29" t="s">
        <v>16</v>
      </c>
      <c r="H36" s="29" t="s">
        <v>41</v>
      </c>
      <c r="I36" s="29" t="s">
        <v>25</v>
      </c>
      <c r="J36" s="29" t="s">
        <v>60</v>
      </c>
      <c r="K36" s="29" t="s">
        <v>27</v>
      </c>
      <c r="L36" s="29">
        <v>6</v>
      </c>
      <c r="M36" s="29">
        <v>1350.44</v>
      </c>
      <c r="N36" s="31">
        <v>20</v>
      </c>
      <c r="O36" s="4"/>
      <c r="P36" s="4"/>
      <c r="Q36" s="41">
        <v>10145</v>
      </c>
      <c r="R36" s="41">
        <v>1391</v>
      </c>
      <c r="S36" s="42">
        <v>45245</v>
      </c>
      <c r="T36" s="42">
        <v>45246</v>
      </c>
      <c r="U36" s="41" t="s">
        <v>36</v>
      </c>
      <c r="V36" s="41" t="s">
        <v>37</v>
      </c>
      <c r="W36" s="41" t="s">
        <v>23</v>
      </c>
      <c r="X36" s="41" t="s">
        <v>34</v>
      </c>
      <c r="Y36" s="41" t="s">
        <v>56</v>
      </c>
      <c r="Z36" s="41" t="s">
        <v>58</v>
      </c>
      <c r="AA36" s="41" t="s">
        <v>46</v>
      </c>
      <c r="AB36" s="41">
        <v>6</v>
      </c>
      <c r="AC36" s="41">
        <v>652.42999999999995</v>
      </c>
      <c r="AD36" s="43">
        <v>10</v>
      </c>
      <c r="AH36" s="29">
        <v>10052</v>
      </c>
      <c r="AI36" s="29">
        <v>1562</v>
      </c>
      <c r="AJ36" s="30">
        <v>45097</v>
      </c>
      <c r="AK36" s="30">
        <v>45098</v>
      </c>
      <c r="AL36" s="29" t="s">
        <v>21</v>
      </c>
      <c r="AM36" s="29" t="s">
        <v>53</v>
      </c>
      <c r="AN36" s="29" t="s">
        <v>23</v>
      </c>
      <c r="AO36" s="29" t="s">
        <v>34</v>
      </c>
      <c r="AP36" s="29" t="s">
        <v>56</v>
      </c>
      <c r="AQ36" s="29" t="s">
        <v>61</v>
      </c>
      <c r="AR36" s="29" t="s">
        <v>32</v>
      </c>
      <c r="AS36" s="29">
        <v>3</v>
      </c>
      <c r="AT36" s="29">
        <v>2668.52</v>
      </c>
      <c r="AU36" s="31">
        <v>5</v>
      </c>
    </row>
    <row r="37" spans="1:47" x14ac:dyDescent="0.3">
      <c r="A37" s="29">
        <v>10052</v>
      </c>
      <c r="B37" s="29">
        <v>1562</v>
      </c>
      <c r="C37" s="30">
        <v>45097</v>
      </c>
      <c r="D37" s="30">
        <v>45098</v>
      </c>
      <c r="E37" s="29" t="s">
        <v>21</v>
      </c>
      <c r="F37" s="29" t="s">
        <v>53</v>
      </c>
      <c r="G37" s="29" t="s">
        <v>23</v>
      </c>
      <c r="H37" s="29" t="s">
        <v>34</v>
      </c>
      <c r="I37" s="29" t="s">
        <v>56</v>
      </c>
      <c r="J37" s="29" t="s">
        <v>61</v>
      </c>
      <c r="K37" s="29" t="s">
        <v>32</v>
      </c>
      <c r="L37" s="29">
        <v>3</v>
      </c>
      <c r="M37" s="29">
        <v>2668.52</v>
      </c>
      <c r="N37" s="31">
        <v>5</v>
      </c>
      <c r="O37" s="4"/>
      <c r="P37" s="4"/>
      <c r="Q37" s="1">
        <v>10152</v>
      </c>
      <c r="R37" s="44">
        <v>1230</v>
      </c>
      <c r="S37" s="45">
        <v>45043</v>
      </c>
      <c r="T37" s="45">
        <v>45050</v>
      </c>
      <c r="U37" s="44" t="s">
        <v>36</v>
      </c>
      <c r="V37" s="44" t="s">
        <v>15</v>
      </c>
      <c r="W37" s="44" t="s">
        <v>23</v>
      </c>
      <c r="X37" s="44" t="s">
        <v>43</v>
      </c>
      <c r="Y37" s="44" t="s">
        <v>51</v>
      </c>
      <c r="Z37" s="44" t="s">
        <v>55</v>
      </c>
      <c r="AA37" s="44" t="s">
        <v>46</v>
      </c>
      <c r="AB37" s="44">
        <v>1</v>
      </c>
      <c r="AC37" s="44">
        <v>3249.11</v>
      </c>
      <c r="AD37" s="46">
        <v>10</v>
      </c>
      <c r="AH37" s="29">
        <v>10053</v>
      </c>
      <c r="AI37" s="29">
        <v>1875</v>
      </c>
      <c r="AJ37" s="30">
        <v>45115</v>
      </c>
      <c r="AK37" s="30">
        <v>45118</v>
      </c>
      <c r="AL37" s="29" t="s">
        <v>45</v>
      </c>
      <c r="AM37" s="29" t="s">
        <v>15</v>
      </c>
      <c r="AN37" s="29" t="s">
        <v>16</v>
      </c>
      <c r="AO37" s="29" t="s">
        <v>34</v>
      </c>
      <c r="AP37" s="29" t="s">
        <v>51</v>
      </c>
      <c r="AQ37" s="29" t="s">
        <v>63</v>
      </c>
      <c r="AR37" s="29" t="s">
        <v>20</v>
      </c>
      <c r="AS37" s="29">
        <v>5</v>
      </c>
      <c r="AT37" s="29">
        <v>2534.0700000000002</v>
      </c>
      <c r="AU37" s="31">
        <v>10</v>
      </c>
    </row>
    <row r="38" spans="1:47" x14ac:dyDescent="0.3">
      <c r="A38" s="29">
        <v>10053</v>
      </c>
      <c r="B38" s="29">
        <v>1875</v>
      </c>
      <c r="C38" s="30">
        <v>45115</v>
      </c>
      <c r="D38" s="30">
        <v>45118</v>
      </c>
      <c r="E38" s="29" t="s">
        <v>45</v>
      </c>
      <c r="F38" s="29" t="s">
        <v>15</v>
      </c>
      <c r="G38" s="29" t="s">
        <v>16</v>
      </c>
      <c r="H38" s="29" t="s">
        <v>34</v>
      </c>
      <c r="I38" s="29" t="s">
        <v>51</v>
      </c>
      <c r="J38" s="29" t="s">
        <v>63</v>
      </c>
      <c r="K38" s="29" t="s">
        <v>20</v>
      </c>
      <c r="L38" s="29">
        <v>5</v>
      </c>
      <c r="M38" s="29">
        <v>2534.0700000000002</v>
      </c>
      <c r="N38" s="31">
        <v>10</v>
      </c>
      <c r="O38" s="4"/>
      <c r="P38" s="4"/>
      <c r="Q38" s="1">
        <v>10162</v>
      </c>
      <c r="R38" s="44">
        <v>1502</v>
      </c>
      <c r="S38" s="45">
        <v>45072</v>
      </c>
      <c r="T38" s="45">
        <v>45074</v>
      </c>
      <c r="U38" s="44" t="s">
        <v>36</v>
      </c>
      <c r="V38" s="44" t="s">
        <v>28</v>
      </c>
      <c r="W38" s="44" t="s">
        <v>23</v>
      </c>
      <c r="X38" s="44" t="s">
        <v>43</v>
      </c>
      <c r="Y38" s="44" t="s">
        <v>56</v>
      </c>
      <c r="Z38" s="44" t="s">
        <v>57</v>
      </c>
      <c r="AA38" s="44" t="s">
        <v>32</v>
      </c>
      <c r="AB38" s="44">
        <v>8</v>
      </c>
      <c r="AC38" s="44">
        <v>1227.5899999999999</v>
      </c>
      <c r="AD38" s="46">
        <v>5</v>
      </c>
      <c r="AH38" s="29">
        <v>10055</v>
      </c>
      <c r="AI38" s="29">
        <v>1243</v>
      </c>
      <c r="AJ38" s="30">
        <v>45110</v>
      </c>
      <c r="AK38" s="30">
        <v>45115</v>
      </c>
      <c r="AL38" s="29" t="s">
        <v>36</v>
      </c>
      <c r="AM38" s="29" t="s">
        <v>15</v>
      </c>
      <c r="AN38" s="29" t="s">
        <v>23</v>
      </c>
      <c r="AO38" s="29" t="s">
        <v>17</v>
      </c>
      <c r="AP38" s="29" t="s">
        <v>51</v>
      </c>
      <c r="AQ38" s="29" t="s">
        <v>63</v>
      </c>
      <c r="AR38" s="29" t="s">
        <v>44</v>
      </c>
      <c r="AS38" s="29">
        <v>2</v>
      </c>
      <c r="AT38" s="29">
        <v>3723.19</v>
      </c>
      <c r="AU38" s="31">
        <v>5</v>
      </c>
    </row>
    <row r="39" spans="1:47" x14ac:dyDescent="0.3">
      <c r="A39" s="29">
        <v>10054</v>
      </c>
      <c r="B39" s="29">
        <v>1566</v>
      </c>
      <c r="C39" s="30">
        <v>45279</v>
      </c>
      <c r="D39" s="30">
        <v>45281</v>
      </c>
      <c r="E39" s="29" t="s">
        <v>39</v>
      </c>
      <c r="F39" s="29" t="s">
        <v>22</v>
      </c>
      <c r="G39" s="29" t="s">
        <v>23</v>
      </c>
      <c r="H39" s="29" t="s">
        <v>24</v>
      </c>
      <c r="I39" s="29" t="s">
        <v>48</v>
      </c>
      <c r="J39" s="29" t="s">
        <v>49</v>
      </c>
      <c r="K39" s="29" t="s">
        <v>20</v>
      </c>
      <c r="L39" s="29">
        <v>8</v>
      </c>
      <c r="M39" s="29">
        <v>1428.62</v>
      </c>
      <c r="N39" s="31">
        <v>10</v>
      </c>
      <c r="O39" s="4"/>
      <c r="P39" s="4"/>
      <c r="Q39" s="1">
        <v>10168</v>
      </c>
      <c r="R39" s="44">
        <v>1683</v>
      </c>
      <c r="S39" s="45">
        <v>45229</v>
      </c>
      <c r="T39" s="45">
        <v>45232</v>
      </c>
      <c r="U39" s="44" t="s">
        <v>36</v>
      </c>
      <c r="V39" s="44" t="s">
        <v>15</v>
      </c>
      <c r="W39" s="44" t="s">
        <v>29</v>
      </c>
      <c r="X39" s="44" t="s">
        <v>43</v>
      </c>
      <c r="Y39" s="44" t="s">
        <v>51</v>
      </c>
      <c r="Z39" s="44" t="s">
        <v>55</v>
      </c>
      <c r="AA39" s="44" t="s">
        <v>44</v>
      </c>
      <c r="AB39" s="44">
        <v>8</v>
      </c>
      <c r="AC39" s="44">
        <v>187.29</v>
      </c>
      <c r="AD39" s="46">
        <v>5</v>
      </c>
      <c r="AH39" s="29">
        <v>10056</v>
      </c>
      <c r="AI39" s="29">
        <v>1831</v>
      </c>
      <c r="AJ39" s="30">
        <v>44929</v>
      </c>
      <c r="AK39" s="30">
        <v>44934</v>
      </c>
      <c r="AL39" s="29" t="s">
        <v>36</v>
      </c>
      <c r="AM39" s="29" t="s">
        <v>28</v>
      </c>
      <c r="AN39" s="29" t="s">
        <v>16</v>
      </c>
      <c r="AO39" s="29" t="s">
        <v>41</v>
      </c>
      <c r="AP39" s="29" t="s">
        <v>56</v>
      </c>
      <c r="AQ39" s="29" t="s">
        <v>61</v>
      </c>
      <c r="AR39" s="29" t="s">
        <v>44</v>
      </c>
      <c r="AS39" s="29">
        <v>6</v>
      </c>
      <c r="AT39" s="29">
        <v>3402.72</v>
      </c>
      <c r="AU39" s="31">
        <v>15</v>
      </c>
    </row>
    <row r="40" spans="1:47" x14ac:dyDescent="0.3">
      <c r="A40" s="29">
        <v>10055</v>
      </c>
      <c r="B40" s="29">
        <v>1243</v>
      </c>
      <c r="C40" s="30">
        <v>45110</v>
      </c>
      <c r="D40" s="30">
        <v>45115</v>
      </c>
      <c r="E40" s="29" t="s">
        <v>36</v>
      </c>
      <c r="F40" s="29" t="s">
        <v>15</v>
      </c>
      <c r="G40" s="29" t="s">
        <v>23</v>
      </c>
      <c r="H40" s="29" t="s">
        <v>17</v>
      </c>
      <c r="I40" s="29" t="s">
        <v>51</v>
      </c>
      <c r="J40" s="29" t="s">
        <v>63</v>
      </c>
      <c r="K40" s="29" t="s">
        <v>44</v>
      </c>
      <c r="L40" s="29">
        <v>2</v>
      </c>
      <c r="M40" s="29">
        <v>3723.19</v>
      </c>
      <c r="N40" s="31">
        <v>5</v>
      </c>
      <c r="O40" s="4"/>
      <c r="P40" s="4"/>
      <c r="Q40" s="1">
        <v>10170</v>
      </c>
      <c r="R40" s="44">
        <v>1725</v>
      </c>
      <c r="S40" s="45">
        <v>45044</v>
      </c>
      <c r="T40" s="45">
        <v>45048</v>
      </c>
      <c r="U40" s="44" t="s">
        <v>36</v>
      </c>
      <c r="V40" s="44" t="s">
        <v>15</v>
      </c>
      <c r="W40" s="44" t="s">
        <v>23</v>
      </c>
      <c r="X40" s="44" t="s">
        <v>17</v>
      </c>
      <c r="Y40" s="44" t="s">
        <v>30</v>
      </c>
      <c r="Z40" s="44" t="s">
        <v>64</v>
      </c>
      <c r="AA40" s="44" t="s">
        <v>32</v>
      </c>
      <c r="AB40" s="44">
        <v>7</v>
      </c>
      <c r="AC40" s="44">
        <v>2964.96</v>
      </c>
      <c r="AD40" s="46">
        <v>5</v>
      </c>
      <c r="AH40" s="29">
        <v>10059</v>
      </c>
      <c r="AI40" s="29">
        <v>1484</v>
      </c>
      <c r="AJ40" s="30">
        <v>44945</v>
      </c>
      <c r="AK40" s="30">
        <v>44950</v>
      </c>
      <c r="AL40" s="29" t="s">
        <v>39</v>
      </c>
      <c r="AM40" s="29" t="s">
        <v>40</v>
      </c>
      <c r="AN40" s="29" t="s">
        <v>23</v>
      </c>
      <c r="AO40" s="29" t="s">
        <v>41</v>
      </c>
      <c r="AP40" s="29" t="s">
        <v>51</v>
      </c>
      <c r="AQ40" s="29" t="s">
        <v>63</v>
      </c>
      <c r="AR40" s="29" t="s">
        <v>32</v>
      </c>
      <c r="AS40" s="29">
        <v>8</v>
      </c>
      <c r="AT40" s="29">
        <v>2122.36</v>
      </c>
      <c r="AU40" s="31">
        <v>0</v>
      </c>
    </row>
    <row r="41" spans="1:47" x14ac:dyDescent="0.3">
      <c r="A41" s="29">
        <v>10056</v>
      </c>
      <c r="B41" s="29">
        <v>1831</v>
      </c>
      <c r="C41" s="30">
        <v>44929</v>
      </c>
      <c r="D41" s="30">
        <v>44934</v>
      </c>
      <c r="E41" s="29" t="s">
        <v>36</v>
      </c>
      <c r="F41" s="29" t="s">
        <v>28</v>
      </c>
      <c r="G41" s="29" t="s">
        <v>16</v>
      </c>
      <c r="H41" s="29" t="s">
        <v>41</v>
      </c>
      <c r="I41" s="29" t="s">
        <v>56</v>
      </c>
      <c r="J41" s="29" t="s">
        <v>61</v>
      </c>
      <c r="K41" s="29" t="s">
        <v>44</v>
      </c>
      <c r="L41" s="29">
        <v>6</v>
      </c>
      <c r="M41" s="29">
        <v>3402.72</v>
      </c>
      <c r="N41" s="31">
        <v>15</v>
      </c>
      <c r="O41" s="4"/>
      <c r="P41" s="4"/>
      <c r="Q41" s="1">
        <v>10179</v>
      </c>
      <c r="R41" s="47">
        <v>1768</v>
      </c>
      <c r="S41" s="48">
        <v>44973</v>
      </c>
      <c r="T41" s="48">
        <v>44976</v>
      </c>
      <c r="U41" s="47" t="s">
        <v>36</v>
      </c>
      <c r="V41" s="47" t="s">
        <v>15</v>
      </c>
      <c r="W41" s="47" t="s">
        <v>29</v>
      </c>
      <c r="X41" s="47" t="s">
        <v>24</v>
      </c>
      <c r="Y41" s="47" t="s">
        <v>30</v>
      </c>
      <c r="Z41" s="47" t="s">
        <v>31</v>
      </c>
      <c r="AA41" s="47" t="s">
        <v>20</v>
      </c>
      <c r="AB41" s="47">
        <v>9</v>
      </c>
      <c r="AC41" s="47">
        <v>388.26</v>
      </c>
      <c r="AD41" s="49">
        <v>10</v>
      </c>
      <c r="AH41" s="29">
        <v>10060</v>
      </c>
      <c r="AI41" s="29">
        <v>1818</v>
      </c>
      <c r="AJ41" s="30">
        <v>44949</v>
      </c>
      <c r="AK41" s="30">
        <v>44952</v>
      </c>
      <c r="AL41" s="29" t="s">
        <v>45</v>
      </c>
      <c r="AM41" s="29" t="s">
        <v>40</v>
      </c>
      <c r="AN41" s="29" t="s">
        <v>29</v>
      </c>
      <c r="AO41" s="29" t="s">
        <v>41</v>
      </c>
      <c r="AP41" s="29" t="s">
        <v>56</v>
      </c>
      <c r="AQ41" s="29" t="s">
        <v>61</v>
      </c>
      <c r="AR41" s="29" t="s">
        <v>44</v>
      </c>
      <c r="AS41" s="29">
        <v>8</v>
      </c>
      <c r="AT41" s="29">
        <v>3128.25</v>
      </c>
      <c r="AU41" s="31">
        <v>15</v>
      </c>
    </row>
    <row r="42" spans="1:47" x14ac:dyDescent="0.3">
      <c r="A42" s="29">
        <v>10057</v>
      </c>
      <c r="B42" s="29">
        <v>1504</v>
      </c>
      <c r="C42" s="30">
        <v>45117</v>
      </c>
      <c r="D42" s="30">
        <v>45122</v>
      </c>
      <c r="E42" s="29" t="s">
        <v>36</v>
      </c>
      <c r="F42" s="29" t="s">
        <v>28</v>
      </c>
      <c r="G42" s="29" t="s">
        <v>16</v>
      </c>
      <c r="H42" s="29" t="s">
        <v>24</v>
      </c>
      <c r="I42" s="29" t="s">
        <v>56</v>
      </c>
      <c r="J42" s="29" t="s">
        <v>57</v>
      </c>
      <c r="K42" s="29" t="s">
        <v>32</v>
      </c>
      <c r="L42" s="29">
        <v>9</v>
      </c>
      <c r="M42" s="29">
        <v>1012.33</v>
      </c>
      <c r="N42" s="31">
        <v>20</v>
      </c>
      <c r="O42" s="4"/>
      <c r="P42" s="4"/>
      <c r="Q42" s="1">
        <v>10186</v>
      </c>
      <c r="R42" s="47">
        <v>1794</v>
      </c>
      <c r="S42" s="48">
        <v>45251</v>
      </c>
      <c r="T42" s="48">
        <v>45254</v>
      </c>
      <c r="U42" s="47" t="s">
        <v>36</v>
      </c>
      <c r="V42" s="47" t="s">
        <v>40</v>
      </c>
      <c r="W42" s="47" t="s">
        <v>29</v>
      </c>
      <c r="X42" s="47" t="s">
        <v>24</v>
      </c>
      <c r="Y42" s="47" t="s">
        <v>51</v>
      </c>
      <c r="Z42" s="47" t="s">
        <v>55</v>
      </c>
      <c r="AA42" s="47" t="s">
        <v>46</v>
      </c>
      <c r="AB42" s="47">
        <v>1</v>
      </c>
      <c r="AC42" s="47">
        <v>508.81</v>
      </c>
      <c r="AD42" s="49">
        <v>0</v>
      </c>
      <c r="AH42" s="29">
        <v>10063</v>
      </c>
      <c r="AI42" s="29">
        <v>1840</v>
      </c>
      <c r="AJ42" s="30">
        <v>45034</v>
      </c>
      <c r="AK42" s="30">
        <v>45043</v>
      </c>
      <c r="AL42" s="29" t="s">
        <v>39</v>
      </c>
      <c r="AM42" s="29" t="s">
        <v>22</v>
      </c>
      <c r="AN42" s="29" t="s">
        <v>29</v>
      </c>
      <c r="AO42" s="29" t="s">
        <v>41</v>
      </c>
      <c r="AP42" s="29" t="s">
        <v>56</v>
      </c>
      <c r="AQ42" s="29" t="s">
        <v>61</v>
      </c>
      <c r="AR42" s="29" t="s">
        <v>27</v>
      </c>
      <c r="AS42" s="29">
        <v>6</v>
      </c>
      <c r="AT42" s="29">
        <v>2645.71</v>
      </c>
      <c r="AU42" s="31">
        <v>10</v>
      </c>
    </row>
    <row r="43" spans="1:47" x14ac:dyDescent="0.3">
      <c r="A43" s="29">
        <v>10059</v>
      </c>
      <c r="B43" s="29">
        <v>1484</v>
      </c>
      <c r="C43" s="30">
        <v>44945</v>
      </c>
      <c r="D43" s="30">
        <v>44950</v>
      </c>
      <c r="E43" s="29" t="s">
        <v>39</v>
      </c>
      <c r="F43" s="29" t="s">
        <v>40</v>
      </c>
      <c r="G43" s="29" t="s">
        <v>23</v>
      </c>
      <c r="H43" s="29" t="s">
        <v>41</v>
      </c>
      <c r="I43" s="29" t="s">
        <v>51</v>
      </c>
      <c r="J43" s="29" t="s">
        <v>63</v>
      </c>
      <c r="K43" s="29" t="s">
        <v>32</v>
      </c>
      <c r="L43" s="29">
        <v>8</v>
      </c>
      <c r="M43" s="29">
        <v>2122.36</v>
      </c>
      <c r="N43" s="31">
        <v>0</v>
      </c>
      <c r="O43" s="4"/>
      <c r="P43" s="4"/>
      <c r="Q43" s="1">
        <v>10196</v>
      </c>
      <c r="R43" s="47">
        <v>1863</v>
      </c>
      <c r="S43" s="48">
        <v>45124</v>
      </c>
      <c r="T43" s="48">
        <v>45133</v>
      </c>
      <c r="U43" s="47" t="s">
        <v>36</v>
      </c>
      <c r="V43" s="47" t="s">
        <v>28</v>
      </c>
      <c r="W43" s="47" t="s">
        <v>29</v>
      </c>
      <c r="X43" s="47" t="s">
        <v>43</v>
      </c>
      <c r="Y43" s="47" t="s">
        <v>51</v>
      </c>
      <c r="Z43" s="47" t="s">
        <v>52</v>
      </c>
      <c r="AA43" s="47" t="s">
        <v>20</v>
      </c>
      <c r="AB43" s="47">
        <v>8</v>
      </c>
      <c r="AC43" s="47">
        <v>2561.86</v>
      </c>
      <c r="AD43" s="49">
        <v>0</v>
      </c>
      <c r="AH43" s="32">
        <v>10065</v>
      </c>
      <c r="AI43" s="32">
        <v>1273</v>
      </c>
      <c r="AJ43" s="33">
        <v>45054</v>
      </c>
      <c r="AK43" s="33">
        <v>45058</v>
      </c>
      <c r="AL43" s="32" t="s">
        <v>14</v>
      </c>
      <c r="AM43" s="32" t="s">
        <v>37</v>
      </c>
      <c r="AN43" s="32" t="s">
        <v>16</v>
      </c>
      <c r="AO43" s="32" t="s">
        <v>41</v>
      </c>
      <c r="AP43" s="32" t="s">
        <v>18</v>
      </c>
      <c r="AQ43" s="32" t="s">
        <v>42</v>
      </c>
      <c r="AR43" s="32" t="s">
        <v>44</v>
      </c>
      <c r="AS43" s="32">
        <v>2</v>
      </c>
      <c r="AT43" s="32">
        <v>2773.21</v>
      </c>
      <c r="AU43" s="34">
        <v>10</v>
      </c>
    </row>
    <row r="44" spans="1:47" x14ac:dyDescent="0.3">
      <c r="A44" s="29">
        <v>10060</v>
      </c>
      <c r="B44" s="29">
        <v>1818</v>
      </c>
      <c r="C44" s="30">
        <v>44949</v>
      </c>
      <c r="D44" s="30">
        <v>44952</v>
      </c>
      <c r="E44" s="29" t="s">
        <v>45</v>
      </c>
      <c r="F44" s="29" t="s">
        <v>40</v>
      </c>
      <c r="G44" s="29" t="s">
        <v>29</v>
      </c>
      <c r="H44" s="29" t="s">
        <v>41</v>
      </c>
      <c r="I44" s="29" t="s">
        <v>56</v>
      </c>
      <c r="J44" s="29" t="s">
        <v>61</v>
      </c>
      <c r="K44" s="29" t="s">
        <v>44</v>
      </c>
      <c r="L44" s="29">
        <v>8</v>
      </c>
      <c r="M44" s="29">
        <v>3128.25</v>
      </c>
      <c r="N44" s="31">
        <v>15</v>
      </c>
      <c r="O44" s="4"/>
      <c r="P44" s="4"/>
      <c r="Q44" s="1">
        <v>10207</v>
      </c>
      <c r="R44" s="47">
        <v>1654</v>
      </c>
      <c r="S44" s="48">
        <v>45000</v>
      </c>
      <c r="T44" s="48">
        <v>45006</v>
      </c>
      <c r="U44" s="47" t="s">
        <v>36</v>
      </c>
      <c r="V44" s="47" t="s">
        <v>40</v>
      </c>
      <c r="W44" s="47" t="s">
        <v>23</v>
      </c>
      <c r="X44" s="47" t="s">
        <v>43</v>
      </c>
      <c r="Y44" s="47" t="s">
        <v>48</v>
      </c>
      <c r="Z44" s="47" t="s">
        <v>50</v>
      </c>
      <c r="AA44" s="47" t="s">
        <v>32</v>
      </c>
      <c r="AB44" s="47">
        <v>7</v>
      </c>
      <c r="AC44" s="47">
        <v>982.56</v>
      </c>
      <c r="AD44" s="49">
        <v>10</v>
      </c>
      <c r="AH44" s="32">
        <v>10066</v>
      </c>
      <c r="AI44" s="32">
        <v>1387</v>
      </c>
      <c r="AJ44" s="33">
        <v>45155</v>
      </c>
      <c r="AK44" s="33">
        <v>45158</v>
      </c>
      <c r="AL44" s="32" t="s">
        <v>14</v>
      </c>
      <c r="AM44" s="32" t="s">
        <v>22</v>
      </c>
      <c r="AN44" s="32" t="s">
        <v>16</v>
      </c>
      <c r="AO44" s="32" t="s">
        <v>34</v>
      </c>
      <c r="AP44" s="32" t="s">
        <v>56</v>
      </c>
      <c r="AQ44" s="32" t="s">
        <v>65</v>
      </c>
      <c r="AR44" s="32" t="s">
        <v>44</v>
      </c>
      <c r="AS44" s="32">
        <v>8</v>
      </c>
      <c r="AT44" s="32">
        <v>3769.71</v>
      </c>
      <c r="AU44" s="34">
        <v>5</v>
      </c>
    </row>
    <row r="45" spans="1:47" x14ac:dyDescent="0.3">
      <c r="A45" s="29">
        <v>10061</v>
      </c>
      <c r="B45" s="29">
        <v>1646</v>
      </c>
      <c r="C45" s="30">
        <v>44956</v>
      </c>
      <c r="D45" s="30">
        <v>44957</v>
      </c>
      <c r="E45" s="29" t="s">
        <v>36</v>
      </c>
      <c r="F45" s="29" t="s">
        <v>53</v>
      </c>
      <c r="G45" s="29" t="s">
        <v>23</v>
      </c>
      <c r="H45" s="29" t="s">
        <v>41</v>
      </c>
      <c r="I45" s="29" t="s">
        <v>25</v>
      </c>
      <c r="J45" s="29" t="s">
        <v>35</v>
      </c>
      <c r="K45" s="29" t="s">
        <v>44</v>
      </c>
      <c r="L45" s="29">
        <v>7</v>
      </c>
      <c r="M45" s="29">
        <v>319.56</v>
      </c>
      <c r="N45" s="31">
        <v>10</v>
      </c>
      <c r="O45" s="4"/>
      <c r="P45" s="4"/>
      <c r="Q45" s="1">
        <v>10214</v>
      </c>
      <c r="R45" s="47">
        <v>1698</v>
      </c>
      <c r="S45" s="48">
        <v>45052</v>
      </c>
      <c r="T45" s="48">
        <v>45061</v>
      </c>
      <c r="U45" s="47" t="s">
        <v>36</v>
      </c>
      <c r="V45" s="47" t="s">
        <v>28</v>
      </c>
      <c r="W45" s="47" t="s">
        <v>23</v>
      </c>
      <c r="X45" s="47" t="s">
        <v>43</v>
      </c>
      <c r="Y45" s="47" t="s">
        <v>48</v>
      </c>
      <c r="Z45" s="47" t="s">
        <v>62</v>
      </c>
      <c r="AA45" s="47" t="s">
        <v>46</v>
      </c>
      <c r="AB45" s="47">
        <v>4</v>
      </c>
      <c r="AC45" s="47">
        <v>1719.71</v>
      </c>
      <c r="AD45" s="49">
        <v>15</v>
      </c>
      <c r="AH45" s="32">
        <v>10069</v>
      </c>
      <c r="AI45" s="32">
        <v>1013</v>
      </c>
      <c r="AJ45" s="33">
        <v>45288</v>
      </c>
      <c r="AK45" s="33">
        <v>45296</v>
      </c>
      <c r="AL45" s="32" t="s">
        <v>14</v>
      </c>
      <c r="AM45" s="32" t="s">
        <v>22</v>
      </c>
      <c r="AN45" s="32" t="s">
        <v>16</v>
      </c>
      <c r="AO45" s="32" t="s">
        <v>43</v>
      </c>
      <c r="AP45" s="32" t="s">
        <v>56</v>
      </c>
      <c r="AQ45" s="32" t="s">
        <v>61</v>
      </c>
      <c r="AR45" s="32" t="s">
        <v>32</v>
      </c>
      <c r="AS45" s="32">
        <v>6</v>
      </c>
      <c r="AT45" s="32">
        <v>1836.98</v>
      </c>
      <c r="AU45" s="34">
        <v>5</v>
      </c>
    </row>
    <row r="46" spans="1:47" x14ac:dyDescent="0.3">
      <c r="A46" s="29">
        <v>10063</v>
      </c>
      <c r="B46" s="29">
        <v>1840</v>
      </c>
      <c r="C46" s="30">
        <v>45034</v>
      </c>
      <c r="D46" s="30">
        <v>45043</v>
      </c>
      <c r="E46" s="29" t="s">
        <v>39</v>
      </c>
      <c r="F46" s="29" t="s">
        <v>22</v>
      </c>
      <c r="G46" s="29" t="s">
        <v>29</v>
      </c>
      <c r="H46" s="29" t="s">
        <v>41</v>
      </c>
      <c r="I46" s="29" t="s">
        <v>56</v>
      </c>
      <c r="J46" s="29" t="s">
        <v>61</v>
      </c>
      <c r="K46" s="29" t="s">
        <v>27</v>
      </c>
      <c r="L46" s="29">
        <v>6</v>
      </c>
      <c r="M46" s="29">
        <v>2645.71</v>
      </c>
      <c r="N46" s="31">
        <v>10</v>
      </c>
      <c r="O46" s="4"/>
      <c r="P46" s="4"/>
      <c r="Q46" s="1">
        <v>10216</v>
      </c>
      <c r="R46" s="47">
        <v>1085</v>
      </c>
      <c r="S46" s="48">
        <v>45221</v>
      </c>
      <c r="T46" s="48">
        <v>45227</v>
      </c>
      <c r="U46" s="47" t="s">
        <v>36</v>
      </c>
      <c r="V46" s="47" t="s">
        <v>22</v>
      </c>
      <c r="W46" s="47" t="s">
        <v>23</v>
      </c>
      <c r="X46" s="47" t="s">
        <v>17</v>
      </c>
      <c r="Y46" s="47" t="s">
        <v>56</v>
      </c>
      <c r="Z46" s="47" t="s">
        <v>65</v>
      </c>
      <c r="AA46" s="47" t="s">
        <v>20</v>
      </c>
      <c r="AB46" s="47">
        <v>6</v>
      </c>
      <c r="AC46" s="47">
        <v>809.49</v>
      </c>
      <c r="AD46" s="49">
        <v>5</v>
      </c>
      <c r="AH46" s="32">
        <v>10070</v>
      </c>
      <c r="AI46" s="32">
        <v>1241</v>
      </c>
      <c r="AJ46" s="33">
        <v>45112</v>
      </c>
      <c r="AK46" s="33">
        <v>45113</v>
      </c>
      <c r="AL46" s="32" t="s">
        <v>45</v>
      </c>
      <c r="AM46" s="32" t="s">
        <v>40</v>
      </c>
      <c r="AN46" s="32" t="s">
        <v>16</v>
      </c>
      <c r="AO46" s="32" t="s">
        <v>34</v>
      </c>
      <c r="AP46" s="32" t="s">
        <v>30</v>
      </c>
      <c r="AQ46" s="32" t="s">
        <v>38</v>
      </c>
      <c r="AR46" s="32" t="s">
        <v>32</v>
      </c>
      <c r="AS46" s="32">
        <v>4</v>
      </c>
      <c r="AT46" s="32">
        <v>3612.15</v>
      </c>
      <c r="AU46" s="34">
        <v>20</v>
      </c>
    </row>
    <row r="47" spans="1:47" x14ac:dyDescent="0.3">
      <c r="A47" s="32">
        <v>10064</v>
      </c>
      <c r="B47" s="32">
        <v>1166</v>
      </c>
      <c r="C47" s="33">
        <v>45207</v>
      </c>
      <c r="D47" s="33">
        <v>45216</v>
      </c>
      <c r="E47" s="32" t="s">
        <v>39</v>
      </c>
      <c r="F47" s="32" t="s">
        <v>15</v>
      </c>
      <c r="G47" s="32" t="s">
        <v>29</v>
      </c>
      <c r="H47" s="32" t="s">
        <v>17</v>
      </c>
      <c r="I47" s="32" t="s">
        <v>25</v>
      </c>
      <c r="J47" s="32" t="s">
        <v>35</v>
      </c>
      <c r="K47" s="32" t="s">
        <v>46</v>
      </c>
      <c r="L47" s="32">
        <v>2</v>
      </c>
      <c r="M47" s="32">
        <v>1041.2</v>
      </c>
      <c r="N47" s="34">
        <v>15</v>
      </c>
      <c r="O47" s="4"/>
      <c r="P47" s="4"/>
      <c r="Q47" s="1">
        <v>10217</v>
      </c>
      <c r="R47" s="47">
        <v>1795</v>
      </c>
      <c r="S47" s="48">
        <v>45055</v>
      </c>
      <c r="T47" s="48">
        <v>45057</v>
      </c>
      <c r="U47" s="47" t="s">
        <v>36</v>
      </c>
      <c r="V47" s="47" t="s">
        <v>40</v>
      </c>
      <c r="W47" s="47" t="s">
        <v>23</v>
      </c>
      <c r="X47" s="47" t="s">
        <v>41</v>
      </c>
      <c r="Y47" s="47" t="s">
        <v>48</v>
      </c>
      <c r="Z47" s="47" t="s">
        <v>49</v>
      </c>
      <c r="AA47" s="47" t="s">
        <v>27</v>
      </c>
      <c r="AB47" s="47">
        <v>4</v>
      </c>
      <c r="AC47" s="47">
        <v>3335.32</v>
      </c>
      <c r="AD47" s="49">
        <v>20</v>
      </c>
      <c r="AH47" s="32">
        <v>10071</v>
      </c>
      <c r="AI47" s="32">
        <v>1776</v>
      </c>
      <c r="AJ47" s="33">
        <v>45070</v>
      </c>
      <c r="AK47" s="33">
        <v>45078</v>
      </c>
      <c r="AL47" s="32" t="s">
        <v>14</v>
      </c>
      <c r="AM47" s="32" t="s">
        <v>28</v>
      </c>
      <c r="AN47" s="32" t="s">
        <v>16</v>
      </c>
      <c r="AO47" s="32" t="s">
        <v>17</v>
      </c>
      <c r="AP47" s="32" t="s">
        <v>25</v>
      </c>
      <c r="AQ47" s="32" t="s">
        <v>60</v>
      </c>
      <c r="AR47" s="32" t="s">
        <v>46</v>
      </c>
      <c r="AS47" s="32">
        <v>3</v>
      </c>
      <c r="AT47" s="32">
        <v>3854.71</v>
      </c>
      <c r="AU47" s="34">
        <v>5</v>
      </c>
    </row>
    <row r="48" spans="1:47" x14ac:dyDescent="0.3">
      <c r="A48" s="32">
        <v>10065</v>
      </c>
      <c r="B48" s="32">
        <v>1273</v>
      </c>
      <c r="C48" s="33">
        <v>45054</v>
      </c>
      <c r="D48" s="33">
        <v>45058</v>
      </c>
      <c r="E48" s="32" t="s">
        <v>14</v>
      </c>
      <c r="F48" s="32" t="s">
        <v>37</v>
      </c>
      <c r="G48" s="32" t="s">
        <v>16</v>
      </c>
      <c r="H48" s="32" t="s">
        <v>41</v>
      </c>
      <c r="I48" s="32" t="s">
        <v>18</v>
      </c>
      <c r="J48" s="32" t="s">
        <v>42</v>
      </c>
      <c r="K48" s="32" t="s">
        <v>44</v>
      </c>
      <c r="L48" s="32">
        <v>2</v>
      </c>
      <c r="M48" s="32">
        <v>2773.21</v>
      </c>
      <c r="N48" s="34">
        <v>10</v>
      </c>
      <c r="O48" s="4"/>
      <c r="P48" s="4"/>
      <c r="Q48" s="1">
        <v>10218</v>
      </c>
      <c r="R48" s="47">
        <v>1577</v>
      </c>
      <c r="S48" s="48">
        <v>45206</v>
      </c>
      <c r="T48" s="48">
        <v>45209</v>
      </c>
      <c r="U48" s="47" t="s">
        <v>36</v>
      </c>
      <c r="V48" s="47" t="s">
        <v>28</v>
      </c>
      <c r="W48" s="47" t="s">
        <v>16</v>
      </c>
      <c r="X48" s="47" t="s">
        <v>43</v>
      </c>
      <c r="Y48" s="47" t="s">
        <v>25</v>
      </c>
      <c r="Z48" s="47" t="s">
        <v>67</v>
      </c>
      <c r="AA48" s="47" t="s">
        <v>44</v>
      </c>
      <c r="AB48" s="47">
        <v>2</v>
      </c>
      <c r="AC48" s="47">
        <v>2401.63</v>
      </c>
      <c r="AD48" s="49">
        <v>0</v>
      </c>
      <c r="AH48" s="32">
        <v>10072</v>
      </c>
      <c r="AI48" s="32">
        <v>1345</v>
      </c>
      <c r="AJ48" s="33">
        <v>44998</v>
      </c>
      <c r="AK48" s="33">
        <v>45005</v>
      </c>
      <c r="AL48" s="32" t="s">
        <v>15</v>
      </c>
      <c r="AM48" s="32" t="s">
        <v>53</v>
      </c>
      <c r="AN48" s="32" t="s">
        <v>16</v>
      </c>
      <c r="AO48" s="32" t="s">
        <v>17</v>
      </c>
      <c r="AP48" s="32" t="s">
        <v>18</v>
      </c>
      <c r="AQ48" s="32" t="s">
        <v>54</v>
      </c>
      <c r="AR48" s="32" t="s">
        <v>46</v>
      </c>
      <c r="AS48" s="32">
        <v>3</v>
      </c>
      <c r="AT48" s="32">
        <v>1859.84</v>
      </c>
      <c r="AU48" s="34">
        <v>15</v>
      </c>
    </row>
    <row r="49" spans="1:47" x14ac:dyDescent="0.3">
      <c r="A49" s="32">
        <v>10066</v>
      </c>
      <c r="B49" s="32">
        <v>1387</v>
      </c>
      <c r="C49" s="33">
        <v>45155</v>
      </c>
      <c r="D49" s="33">
        <v>45158</v>
      </c>
      <c r="E49" s="32" t="s">
        <v>14</v>
      </c>
      <c r="F49" s="32" t="s">
        <v>22</v>
      </c>
      <c r="G49" s="32" t="s">
        <v>16</v>
      </c>
      <c r="H49" s="32" t="s">
        <v>34</v>
      </c>
      <c r="I49" s="32" t="s">
        <v>56</v>
      </c>
      <c r="J49" s="32" t="s">
        <v>65</v>
      </c>
      <c r="K49" s="32" t="s">
        <v>44</v>
      </c>
      <c r="L49" s="32">
        <v>8</v>
      </c>
      <c r="M49" s="32">
        <v>3769.71</v>
      </c>
      <c r="N49" s="34">
        <v>5</v>
      </c>
      <c r="O49" s="4"/>
      <c r="P49" s="4"/>
      <c r="Q49" s="1">
        <v>10220</v>
      </c>
      <c r="R49" s="47">
        <v>1556</v>
      </c>
      <c r="S49" s="48">
        <v>45026</v>
      </c>
      <c r="T49" s="48">
        <v>45035</v>
      </c>
      <c r="U49" s="47" t="s">
        <v>36</v>
      </c>
      <c r="V49" s="47" t="s">
        <v>15</v>
      </c>
      <c r="W49" s="47" t="s">
        <v>23</v>
      </c>
      <c r="X49" s="47" t="s">
        <v>17</v>
      </c>
      <c r="Y49" s="47" t="s">
        <v>18</v>
      </c>
      <c r="Z49" s="47" t="s">
        <v>54</v>
      </c>
      <c r="AA49" s="47" t="s">
        <v>20</v>
      </c>
      <c r="AB49" s="47">
        <v>8</v>
      </c>
      <c r="AC49" s="47">
        <v>3240.98</v>
      </c>
      <c r="AD49" s="49">
        <v>0</v>
      </c>
      <c r="AH49" s="32">
        <v>10073</v>
      </c>
      <c r="AI49" s="32">
        <v>1564</v>
      </c>
      <c r="AJ49" s="33">
        <v>45055</v>
      </c>
      <c r="AK49" s="33">
        <v>45063</v>
      </c>
      <c r="AL49" s="32" t="s">
        <v>39</v>
      </c>
      <c r="AM49" s="32" t="s">
        <v>15</v>
      </c>
      <c r="AN49" s="32" t="s">
        <v>16</v>
      </c>
      <c r="AO49" s="32" t="s">
        <v>24</v>
      </c>
      <c r="AP49" s="32" t="s">
        <v>48</v>
      </c>
      <c r="AQ49" s="32" t="s">
        <v>66</v>
      </c>
      <c r="AR49" s="32" t="s">
        <v>20</v>
      </c>
      <c r="AS49" s="32">
        <v>1</v>
      </c>
      <c r="AT49" s="32">
        <v>3037.61</v>
      </c>
      <c r="AU49" s="34">
        <v>5</v>
      </c>
    </row>
    <row r="50" spans="1:47" x14ac:dyDescent="0.3">
      <c r="A50" s="32">
        <v>10067</v>
      </c>
      <c r="B50" s="32">
        <v>1600</v>
      </c>
      <c r="C50" s="33">
        <v>45037</v>
      </c>
      <c r="D50" s="33">
        <v>45038</v>
      </c>
      <c r="E50" s="32" t="s">
        <v>15</v>
      </c>
      <c r="F50" s="32" t="s">
        <v>40</v>
      </c>
      <c r="G50" s="32" t="s">
        <v>23</v>
      </c>
      <c r="H50" s="32" t="s">
        <v>41</v>
      </c>
      <c r="I50" s="32" t="s">
        <v>51</v>
      </c>
      <c r="J50" s="32" t="s">
        <v>63</v>
      </c>
      <c r="K50" s="32" t="s">
        <v>27</v>
      </c>
      <c r="L50" s="32">
        <v>1</v>
      </c>
      <c r="M50" s="32">
        <v>330.13</v>
      </c>
      <c r="N50" s="34">
        <v>15</v>
      </c>
      <c r="O50" s="4"/>
      <c r="P50" s="4"/>
      <c r="Q50" s="1">
        <v>10226</v>
      </c>
      <c r="R50" s="47">
        <v>1619</v>
      </c>
      <c r="S50" s="48">
        <v>45290</v>
      </c>
      <c r="T50" s="48">
        <v>45291</v>
      </c>
      <c r="U50" s="47" t="s">
        <v>36</v>
      </c>
      <c r="V50" s="47" t="s">
        <v>37</v>
      </c>
      <c r="W50" s="47" t="s">
        <v>16</v>
      </c>
      <c r="X50" s="47" t="s">
        <v>41</v>
      </c>
      <c r="Y50" s="47" t="s">
        <v>48</v>
      </c>
      <c r="Z50" s="47" t="s">
        <v>62</v>
      </c>
      <c r="AA50" s="47" t="s">
        <v>44</v>
      </c>
      <c r="AB50" s="47">
        <v>5</v>
      </c>
      <c r="AC50" s="47">
        <v>620.13</v>
      </c>
      <c r="AD50" s="49">
        <v>5</v>
      </c>
      <c r="AH50" s="32">
        <v>10074</v>
      </c>
      <c r="AI50" s="32">
        <v>1897</v>
      </c>
      <c r="AJ50" s="33">
        <v>45290</v>
      </c>
      <c r="AK50" s="33">
        <v>45296</v>
      </c>
      <c r="AL50" s="32" t="s">
        <v>15</v>
      </c>
      <c r="AM50" s="32" t="s">
        <v>53</v>
      </c>
      <c r="AN50" s="32" t="s">
        <v>29</v>
      </c>
      <c r="AO50" s="32" t="s">
        <v>34</v>
      </c>
      <c r="AP50" s="32" t="s">
        <v>18</v>
      </c>
      <c r="AQ50" s="32" t="s">
        <v>42</v>
      </c>
      <c r="AR50" s="32" t="s">
        <v>32</v>
      </c>
      <c r="AS50" s="32">
        <v>3</v>
      </c>
      <c r="AT50" s="32">
        <v>2196.89</v>
      </c>
      <c r="AU50" s="34">
        <v>0</v>
      </c>
    </row>
    <row r="51" spans="1:47" x14ac:dyDescent="0.3">
      <c r="A51" s="32">
        <v>10068</v>
      </c>
      <c r="B51" s="32">
        <v>1315</v>
      </c>
      <c r="C51" s="33">
        <v>45062</v>
      </c>
      <c r="D51" s="33">
        <v>45064</v>
      </c>
      <c r="E51" s="32" t="s">
        <v>33</v>
      </c>
      <c r="F51" s="32" t="s">
        <v>40</v>
      </c>
      <c r="G51" s="32" t="s">
        <v>29</v>
      </c>
      <c r="H51" s="32" t="s">
        <v>43</v>
      </c>
      <c r="I51" s="32" t="s">
        <v>30</v>
      </c>
      <c r="J51" s="32" t="s">
        <v>47</v>
      </c>
      <c r="K51" s="32" t="s">
        <v>27</v>
      </c>
      <c r="L51" s="32">
        <v>6</v>
      </c>
      <c r="M51" s="32">
        <v>1380.66</v>
      </c>
      <c r="N51" s="34">
        <v>0</v>
      </c>
      <c r="O51" s="4"/>
      <c r="P51" s="4"/>
      <c r="Q51" s="1">
        <v>10234</v>
      </c>
      <c r="R51" s="47">
        <v>1347</v>
      </c>
      <c r="S51" s="48">
        <v>45290</v>
      </c>
      <c r="T51" s="48">
        <v>45295</v>
      </c>
      <c r="U51" s="47" t="s">
        <v>36</v>
      </c>
      <c r="V51" s="47" t="s">
        <v>15</v>
      </c>
      <c r="W51" s="47" t="s">
        <v>29</v>
      </c>
      <c r="X51" s="47" t="s">
        <v>43</v>
      </c>
      <c r="Y51" s="47" t="s">
        <v>30</v>
      </c>
      <c r="Z51" s="47" t="s">
        <v>47</v>
      </c>
      <c r="AA51" s="47" t="s">
        <v>32</v>
      </c>
      <c r="AB51" s="47">
        <v>7</v>
      </c>
      <c r="AC51" s="47">
        <v>324.38</v>
      </c>
      <c r="AD51" s="49">
        <v>10</v>
      </c>
      <c r="AH51" s="32">
        <v>10075</v>
      </c>
      <c r="AI51" s="32">
        <v>1339</v>
      </c>
      <c r="AJ51" s="33">
        <v>45187</v>
      </c>
      <c r="AK51" s="33">
        <v>45196</v>
      </c>
      <c r="AL51" s="32" t="s">
        <v>39</v>
      </c>
      <c r="AM51" s="32" t="s">
        <v>15</v>
      </c>
      <c r="AN51" s="32" t="s">
        <v>29</v>
      </c>
      <c r="AO51" s="32" t="s">
        <v>41</v>
      </c>
      <c r="AP51" s="32" t="s">
        <v>56</v>
      </c>
      <c r="AQ51" s="32" t="s">
        <v>57</v>
      </c>
      <c r="AR51" s="32" t="s">
        <v>44</v>
      </c>
      <c r="AS51" s="32">
        <v>4</v>
      </c>
      <c r="AT51" s="32">
        <v>2220.46</v>
      </c>
      <c r="AU51" s="34">
        <v>0</v>
      </c>
    </row>
    <row r="52" spans="1:47" x14ac:dyDescent="0.3">
      <c r="A52" s="32">
        <v>10069</v>
      </c>
      <c r="B52" s="32">
        <v>1013</v>
      </c>
      <c r="C52" s="33">
        <v>45288</v>
      </c>
      <c r="D52" s="33">
        <v>45296</v>
      </c>
      <c r="E52" s="32" t="s">
        <v>14</v>
      </c>
      <c r="F52" s="32" t="s">
        <v>22</v>
      </c>
      <c r="G52" s="32" t="s">
        <v>16</v>
      </c>
      <c r="H52" s="32" t="s">
        <v>43</v>
      </c>
      <c r="I52" s="32" t="s">
        <v>56</v>
      </c>
      <c r="J52" s="32" t="s">
        <v>61</v>
      </c>
      <c r="K52" s="32" t="s">
        <v>32</v>
      </c>
      <c r="L52" s="32">
        <v>6</v>
      </c>
      <c r="M52" s="32">
        <v>1836.98</v>
      </c>
      <c r="N52" s="34">
        <v>5</v>
      </c>
      <c r="O52" s="4"/>
      <c r="P52" s="4"/>
      <c r="Q52" s="1">
        <v>10243</v>
      </c>
      <c r="R52" s="47">
        <v>1632</v>
      </c>
      <c r="S52" s="48">
        <v>45108</v>
      </c>
      <c r="T52" s="48">
        <v>45109</v>
      </c>
      <c r="U52" s="47" t="s">
        <v>36</v>
      </c>
      <c r="V52" s="47" t="s">
        <v>22</v>
      </c>
      <c r="W52" s="47" t="s">
        <v>29</v>
      </c>
      <c r="X52" s="47" t="s">
        <v>17</v>
      </c>
      <c r="Y52" s="47" t="s">
        <v>56</v>
      </c>
      <c r="Z52" s="47" t="s">
        <v>58</v>
      </c>
      <c r="AA52" s="47" t="s">
        <v>27</v>
      </c>
      <c r="AB52" s="47">
        <v>2</v>
      </c>
      <c r="AC52" s="47">
        <v>601.53</v>
      </c>
      <c r="AD52" s="49">
        <v>20</v>
      </c>
      <c r="AH52" s="32">
        <v>10079</v>
      </c>
      <c r="AI52" s="32">
        <v>1454</v>
      </c>
      <c r="AJ52" s="33">
        <v>45246</v>
      </c>
      <c r="AK52" s="33">
        <v>45254</v>
      </c>
      <c r="AL52" s="32" t="s">
        <v>33</v>
      </c>
      <c r="AM52" s="32" t="s">
        <v>15</v>
      </c>
      <c r="AN52" s="32" t="s">
        <v>29</v>
      </c>
      <c r="AO52" s="32" t="s">
        <v>34</v>
      </c>
      <c r="AP52" s="32" t="s">
        <v>30</v>
      </c>
      <c r="AQ52" s="32" t="s">
        <v>31</v>
      </c>
      <c r="AR52" s="32" t="s">
        <v>32</v>
      </c>
      <c r="AS52" s="32">
        <v>5</v>
      </c>
      <c r="AT52" s="32">
        <v>2291.86</v>
      </c>
      <c r="AU52" s="34">
        <v>15</v>
      </c>
    </row>
    <row r="53" spans="1:47" x14ac:dyDescent="0.3">
      <c r="A53" s="32">
        <v>10070</v>
      </c>
      <c r="B53" s="32">
        <v>1241</v>
      </c>
      <c r="C53" s="33">
        <v>45112</v>
      </c>
      <c r="D53" s="33">
        <v>45113</v>
      </c>
      <c r="E53" s="32" t="s">
        <v>45</v>
      </c>
      <c r="F53" s="32" t="s">
        <v>40</v>
      </c>
      <c r="G53" s="32" t="s">
        <v>16</v>
      </c>
      <c r="H53" s="32" t="s">
        <v>34</v>
      </c>
      <c r="I53" s="32" t="s">
        <v>30</v>
      </c>
      <c r="J53" s="32" t="s">
        <v>38</v>
      </c>
      <c r="K53" s="32" t="s">
        <v>32</v>
      </c>
      <c r="L53" s="32">
        <v>4</v>
      </c>
      <c r="M53" s="32">
        <v>3612.15</v>
      </c>
      <c r="N53" s="34">
        <v>20</v>
      </c>
      <c r="O53" s="4"/>
      <c r="P53" s="4"/>
      <c r="Q53" s="1">
        <v>10252</v>
      </c>
      <c r="R53" s="47">
        <v>1648</v>
      </c>
      <c r="S53" s="48">
        <v>45110</v>
      </c>
      <c r="T53" s="48">
        <v>45114</v>
      </c>
      <c r="U53" s="47" t="s">
        <v>36</v>
      </c>
      <c r="V53" s="47" t="s">
        <v>37</v>
      </c>
      <c r="W53" s="47" t="s">
        <v>23</v>
      </c>
      <c r="X53" s="47" t="s">
        <v>41</v>
      </c>
      <c r="Y53" s="47" t="s">
        <v>51</v>
      </c>
      <c r="Z53" s="47" t="s">
        <v>59</v>
      </c>
      <c r="AA53" s="47" t="s">
        <v>32</v>
      </c>
      <c r="AB53" s="47">
        <v>4</v>
      </c>
      <c r="AC53" s="47">
        <v>1868.8</v>
      </c>
      <c r="AD53" s="49">
        <v>20</v>
      </c>
      <c r="AH53" s="32">
        <v>10081</v>
      </c>
      <c r="AI53" s="32">
        <v>1508</v>
      </c>
      <c r="AJ53" s="33">
        <v>45280</v>
      </c>
      <c r="AK53" s="33">
        <v>45283</v>
      </c>
      <c r="AL53" s="32" t="s">
        <v>45</v>
      </c>
      <c r="AM53" s="32" t="s">
        <v>15</v>
      </c>
      <c r="AN53" s="32" t="s">
        <v>29</v>
      </c>
      <c r="AO53" s="32" t="s">
        <v>17</v>
      </c>
      <c r="AP53" s="32" t="s">
        <v>25</v>
      </c>
      <c r="AQ53" s="32" t="s">
        <v>26</v>
      </c>
      <c r="AR53" s="32" t="s">
        <v>46</v>
      </c>
      <c r="AS53" s="32">
        <v>6</v>
      </c>
      <c r="AT53" s="32">
        <v>3642.91</v>
      </c>
      <c r="AU53" s="34">
        <v>0</v>
      </c>
    </row>
    <row r="54" spans="1:47" x14ac:dyDescent="0.3">
      <c r="A54" s="32">
        <v>10071</v>
      </c>
      <c r="B54" s="32">
        <v>1776</v>
      </c>
      <c r="C54" s="33">
        <v>45070</v>
      </c>
      <c r="D54" s="33">
        <v>45078</v>
      </c>
      <c r="E54" s="32" t="s">
        <v>14</v>
      </c>
      <c r="F54" s="32" t="s">
        <v>28</v>
      </c>
      <c r="G54" s="32" t="s">
        <v>16</v>
      </c>
      <c r="H54" s="32" t="s">
        <v>17</v>
      </c>
      <c r="I54" s="32" t="s">
        <v>25</v>
      </c>
      <c r="J54" s="32" t="s">
        <v>60</v>
      </c>
      <c r="K54" s="32" t="s">
        <v>46</v>
      </c>
      <c r="L54" s="32">
        <v>3</v>
      </c>
      <c r="M54" s="32">
        <v>3854.71</v>
      </c>
      <c r="N54" s="34">
        <v>5</v>
      </c>
      <c r="O54" s="4"/>
      <c r="P54" s="4"/>
      <c r="Q54" s="1">
        <v>10268</v>
      </c>
      <c r="R54" s="47">
        <v>1112</v>
      </c>
      <c r="S54" s="48">
        <v>45069</v>
      </c>
      <c r="T54" s="48">
        <v>45072</v>
      </c>
      <c r="U54" s="47" t="s">
        <v>36</v>
      </c>
      <c r="V54" s="47" t="s">
        <v>15</v>
      </c>
      <c r="W54" s="47" t="s">
        <v>29</v>
      </c>
      <c r="X54" s="47" t="s">
        <v>41</v>
      </c>
      <c r="Y54" s="47" t="s">
        <v>30</v>
      </c>
      <c r="Z54" s="47" t="s">
        <v>38</v>
      </c>
      <c r="AA54" s="47" t="s">
        <v>27</v>
      </c>
      <c r="AB54" s="47">
        <v>1</v>
      </c>
      <c r="AC54" s="47">
        <v>2660.56</v>
      </c>
      <c r="AD54" s="49">
        <v>10</v>
      </c>
      <c r="AH54" s="35">
        <v>10084</v>
      </c>
      <c r="AI54" s="35">
        <v>1034</v>
      </c>
      <c r="AJ54" s="36">
        <v>45157</v>
      </c>
      <c r="AK54" s="36">
        <v>45166</v>
      </c>
      <c r="AL54" s="35" t="s">
        <v>39</v>
      </c>
      <c r="AM54" s="35" t="s">
        <v>28</v>
      </c>
      <c r="AN54" s="35" t="s">
        <v>29</v>
      </c>
      <c r="AO54" s="35" t="s">
        <v>43</v>
      </c>
      <c r="AP54" s="35" t="s">
        <v>51</v>
      </c>
      <c r="AQ54" s="35" t="s">
        <v>55</v>
      </c>
      <c r="AR54" s="35" t="s">
        <v>32</v>
      </c>
      <c r="AS54" s="35">
        <v>2</v>
      </c>
      <c r="AT54" s="35">
        <v>2145.36</v>
      </c>
      <c r="AU54" s="37">
        <v>20</v>
      </c>
    </row>
    <row r="55" spans="1:47" x14ac:dyDescent="0.3">
      <c r="A55" s="32">
        <v>10072</v>
      </c>
      <c r="B55" s="32">
        <v>1345</v>
      </c>
      <c r="C55" s="33">
        <v>44998</v>
      </c>
      <c r="D55" s="33">
        <v>45005</v>
      </c>
      <c r="E55" s="32" t="s">
        <v>15</v>
      </c>
      <c r="F55" s="32" t="s">
        <v>53</v>
      </c>
      <c r="G55" s="32" t="s">
        <v>16</v>
      </c>
      <c r="H55" s="32" t="s">
        <v>17</v>
      </c>
      <c r="I55" s="32" t="s">
        <v>18</v>
      </c>
      <c r="J55" s="32" t="s">
        <v>54</v>
      </c>
      <c r="K55" s="32" t="s">
        <v>46</v>
      </c>
      <c r="L55" s="32">
        <v>3</v>
      </c>
      <c r="M55" s="32">
        <v>1859.84</v>
      </c>
      <c r="N55" s="34">
        <v>15</v>
      </c>
      <c r="O55" s="4"/>
      <c r="P55" s="4"/>
      <c r="Q55" s="1">
        <v>10274</v>
      </c>
      <c r="R55" s="47">
        <v>1509</v>
      </c>
      <c r="S55" s="48">
        <v>45240</v>
      </c>
      <c r="T55" s="48">
        <v>45241</v>
      </c>
      <c r="U55" s="47" t="s">
        <v>36</v>
      </c>
      <c r="V55" s="47" t="s">
        <v>15</v>
      </c>
      <c r="W55" s="47" t="s">
        <v>23</v>
      </c>
      <c r="X55" s="47" t="s">
        <v>43</v>
      </c>
      <c r="Y55" s="47" t="s">
        <v>51</v>
      </c>
      <c r="Z55" s="47" t="s">
        <v>59</v>
      </c>
      <c r="AA55" s="47" t="s">
        <v>32</v>
      </c>
      <c r="AB55" s="47">
        <v>4</v>
      </c>
      <c r="AC55" s="47">
        <v>1258.1500000000001</v>
      </c>
      <c r="AD55" s="49">
        <v>0</v>
      </c>
      <c r="AH55" s="35">
        <v>10085</v>
      </c>
      <c r="AI55" s="35">
        <v>1205</v>
      </c>
      <c r="AJ55" s="36">
        <v>45145</v>
      </c>
      <c r="AK55" s="36">
        <v>45148</v>
      </c>
      <c r="AL55" s="35" t="s">
        <v>45</v>
      </c>
      <c r="AM55" s="35" t="s">
        <v>15</v>
      </c>
      <c r="AN55" s="35" t="s">
        <v>29</v>
      </c>
      <c r="AO55" s="35" t="s">
        <v>17</v>
      </c>
      <c r="AP55" s="35" t="s">
        <v>48</v>
      </c>
      <c r="AQ55" s="35" t="s">
        <v>49</v>
      </c>
      <c r="AR55" s="35" t="s">
        <v>27</v>
      </c>
      <c r="AS55" s="35">
        <v>1</v>
      </c>
      <c r="AT55" s="35">
        <v>2883.94</v>
      </c>
      <c r="AU55" s="37">
        <v>20</v>
      </c>
    </row>
    <row r="56" spans="1:47" x14ac:dyDescent="0.3">
      <c r="A56" s="32">
        <v>10073</v>
      </c>
      <c r="B56" s="32">
        <v>1564</v>
      </c>
      <c r="C56" s="33">
        <v>45055</v>
      </c>
      <c r="D56" s="33">
        <v>45063</v>
      </c>
      <c r="E56" s="32" t="s">
        <v>39</v>
      </c>
      <c r="F56" s="32" t="s">
        <v>15</v>
      </c>
      <c r="G56" s="32" t="s">
        <v>16</v>
      </c>
      <c r="H56" s="32" t="s">
        <v>24</v>
      </c>
      <c r="I56" s="32" t="s">
        <v>48</v>
      </c>
      <c r="J56" s="32" t="s">
        <v>66</v>
      </c>
      <c r="K56" s="32" t="s">
        <v>20</v>
      </c>
      <c r="L56" s="32">
        <v>1</v>
      </c>
      <c r="M56" s="32">
        <v>3037.61</v>
      </c>
      <c r="N56" s="34">
        <v>5</v>
      </c>
      <c r="O56" s="4"/>
      <c r="P56" s="4"/>
      <c r="Q56" s="1">
        <v>10289</v>
      </c>
      <c r="R56" s="47">
        <v>1854</v>
      </c>
      <c r="S56" s="48">
        <v>45012</v>
      </c>
      <c r="T56" s="48">
        <v>45014</v>
      </c>
      <c r="U56" s="47" t="s">
        <v>36</v>
      </c>
      <c r="V56" s="47" t="s">
        <v>53</v>
      </c>
      <c r="W56" s="47" t="s">
        <v>16</v>
      </c>
      <c r="X56" s="47" t="s">
        <v>24</v>
      </c>
      <c r="Y56" s="47" t="s">
        <v>56</v>
      </c>
      <c r="Z56" s="47" t="s">
        <v>57</v>
      </c>
      <c r="AA56" s="47" t="s">
        <v>20</v>
      </c>
      <c r="AB56" s="47">
        <v>7</v>
      </c>
      <c r="AC56" s="47">
        <v>1396.71</v>
      </c>
      <c r="AD56" s="49">
        <v>20</v>
      </c>
      <c r="AH56" s="35">
        <v>10088</v>
      </c>
      <c r="AI56" s="35">
        <v>1561</v>
      </c>
      <c r="AJ56" s="36">
        <v>44939</v>
      </c>
      <c r="AK56" s="36">
        <v>44946</v>
      </c>
      <c r="AL56" s="35" t="s">
        <v>33</v>
      </c>
      <c r="AM56" s="35" t="s">
        <v>28</v>
      </c>
      <c r="AN56" s="35" t="s">
        <v>16</v>
      </c>
      <c r="AO56" s="35" t="s">
        <v>41</v>
      </c>
      <c r="AP56" s="35" t="s">
        <v>48</v>
      </c>
      <c r="AQ56" s="35" t="s">
        <v>62</v>
      </c>
      <c r="AR56" s="35" t="s">
        <v>46</v>
      </c>
      <c r="AS56" s="35">
        <v>3</v>
      </c>
      <c r="AT56" s="35">
        <v>3879.4</v>
      </c>
      <c r="AU56" s="37">
        <v>20</v>
      </c>
    </row>
    <row r="57" spans="1:47" x14ac:dyDescent="0.3">
      <c r="A57" s="32">
        <v>10074</v>
      </c>
      <c r="B57" s="32">
        <v>1897</v>
      </c>
      <c r="C57" s="33">
        <v>45290</v>
      </c>
      <c r="D57" s="33">
        <v>45296</v>
      </c>
      <c r="E57" s="32" t="s">
        <v>15</v>
      </c>
      <c r="F57" s="32" t="s">
        <v>53</v>
      </c>
      <c r="G57" s="32" t="s">
        <v>29</v>
      </c>
      <c r="H57" s="32" t="s">
        <v>34</v>
      </c>
      <c r="I57" s="32" t="s">
        <v>18</v>
      </c>
      <c r="J57" s="32" t="s">
        <v>42</v>
      </c>
      <c r="K57" s="32" t="s">
        <v>32</v>
      </c>
      <c r="L57" s="32">
        <v>3</v>
      </c>
      <c r="M57" s="32">
        <v>2196.89</v>
      </c>
      <c r="N57" s="34">
        <v>0</v>
      </c>
      <c r="O57" s="4"/>
      <c r="P57" s="4"/>
      <c r="Q57" s="1">
        <v>10290</v>
      </c>
      <c r="R57" s="47">
        <v>1996</v>
      </c>
      <c r="S57" s="48">
        <v>45215</v>
      </c>
      <c r="T57" s="48">
        <v>45218</v>
      </c>
      <c r="U57" s="47" t="s">
        <v>36</v>
      </c>
      <c r="V57" s="47" t="s">
        <v>40</v>
      </c>
      <c r="W57" s="47" t="s">
        <v>29</v>
      </c>
      <c r="X57" s="47" t="s">
        <v>17</v>
      </c>
      <c r="Y57" s="47" t="s">
        <v>18</v>
      </c>
      <c r="Z57" s="47" t="s">
        <v>19</v>
      </c>
      <c r="AA57" s="47" t="s">
        <v>27</v>
      </c>
      <c r="AB57" s="47">
        <v>8</v>
      </c>
      <c r="AC57" s="47">
        <v>2695.39</v>
      </c>
      <c r="AD57" s="49">
        <v>10</v>
      </c>
      <c r="AH57" s="35">
        <v>10091</v>
      </c>
      <c r="AI57" s="35">
        <v>1001</v>
      </c>
      <c r="AJ57" s="36">
        <v>45016</v>
      </c>
      <c r="AK57" s="36">
        <v>45019</v>
      </c>
      <c r="AL57" s="35" t="s">
        <v>36</v>
      </c>
      <c r="AM57" s="35" t="s">
        <v>15</v>
      </c>
      <c r="AN57" s="35" t="s">
        <v>16</v>
      </c>
      <c r="AO57" s="35" t="s">
        <v>43</v>
      </c>
      <c r="AP57" s="35" t="s">
        <v>25</v>
      </c>
      <c r="AQ57" s="35" t="s">
        <v>26</v>
      </c>
      <c r="AR57" s="35" t="s">
        <v>27</v>
      </c>
      <c r="AS57" s="35">
        <v>5</v>
      </c>
      <c r="AT57" s="35">
        <v>3370.52</v>
      </c>
      <c r="AU57" s="37">
        <v>10</v>
      </c>
    </row>
    <row r="58" spans="1:47" x14ac:dyDescent="0.3">
      <c r="A58" s="32">
        <v>10075</v>
      </c>
      <c r="B58" s="32">
        <v>1339</v>
      </c>
      <c r="C58" s="33">
        <v>45187</v>
      </c>
      <c r="D58" s="33">
        <v>45196</v>
      </c>
      <c r="E58" s="32" t="s">
        <v>39</v>
      </c>
      <c r="F58" s="32" t="s">
        <v>15</v>
      </c>
      <c r="G58" s="32" t="s">
        <v>29</v>
      </c>
      <c r="H58" s="32" t="s">
        <v>41</v>
      </c>
      <c r="I58" s="32" t="s">
        <v>56</v>
      </c>
      <c r="J58" s="32" t="s">
        <v>57</v>
      </c>
      <c r="K58" s="32" t="s">
        <v>44</v>
      </c>
      <c r="L58" s="32">
        <v>4</v>
      </c>
      <c r="M58" s="32">
        <v>2220.46</v>
      </c>
      <c r="N58" s="34">
        <v>0</v>
      </c>
      <c r="O58" s="4"/>
      <c r="P58" s="4"/>
      <c r="Q58" s="1">
        <v>10303</v>
      </c>
      <c r="R58" s="47">
        <v>1246</v>
      </c>
      <c r="S58" s="48">
        <v>45124</v>
      </c>
      <c r="T58" s="48">
        <v>45125</v>
      </c>
      <c r="U58" s="47" t="s">
        <v>36</v>
      </c>
      <c r="V58" s="47" t="s">
        <v>28</v>
      </c>
      <c r="W58" s="47" t="s">
        <v>16</v>
      </c>
      <c r="X58" s="47" t="s">
        <v>24</v>
      </c>
      <c r="Y58" s="47" t="s">
        <v>56</v>
      </c>
      <c r="Z58" s="47" t="s">
        <v>65</v>
      </c>
      <c r="AA58" s="47" t="s">
        <v>20</v>
      </c>
      <c r="AB58" s="47">
        <v>6</v>
      </c>
      <c r="AC58" s="47">
        <v>257.2</v>
      </c>
      <c r="AD58" s="49">
        <v>0</v>
      </c>
      <c r="AH58" s="35">
        <v>10093</v>
      </c>
      <c r="AI58" s="35">
        <v>1565</v>
      </c>
      <c r="AJ58" s="36">
        <v>44980</v>
      </c>
      <c r="AK58" s="36">
        <v>44982</v>
      </c>
      <c r="AL58" s="35" t="s">
        <v>39</v>
      </c>
      <c r="AM58" s="35" t="s">
        <v>28</v>
      </c>
      <c r="AN58" s="35" t="s">
        <v>16</v>
      </c>
      <c r="AO58" s="35" t="s">
        <v>41</v>
      </c>
      <c r="AP58" s="35" t="s">
        <v>51</v>
      </c>
      <c r="AQ58" s="35" t="s">
        <v>55</v>
      </c>
      <c r="AR58" s="35" t="s">
        <v>32</v>
      </c>
      <c r="AS58" s="35">
        <v>9</v>
      </c>
      <c r="AT58" s="35">
        <v>1938.76</v>
      </c>
      <c r="AU58" s="37">
        <v>20</v>
      </c>
    </row>
    <row r="59" spans="1:47" x14ac:dyDescent="0.3">
      <c r="A59" s="32">
        <v>10076</v>
      </c>
      <c r="B59" s="32">
        <v>1091</v>
      </c>
      <c r="C59" s="33">
        <v>44929</v>
      </c>
      <c r="D59" s="33">
        <v>44932</v>
      </c>
      <c r="E59" s="32" t="s">
        <v>21</v>
      </c>
      <c r="F59" s="32" t="s">
        <v>15</v>
      </c>
      <c r="G59" s="32" t="s">
        <v>29</v>
      </c>
      <c r="H59" s="32" t="s">
        <v>34</v>
      </c>
      <c r="I59" s="32" t="s">
        <v>30</v>
      </c>
      <c r="J59" s="32" t="s">
        <v>38</v>
      </c>
      <c r="K59" s="32" t="s">
        <v>32</v>
      </c>
      <c r="L59" s="32">
        <v>5</v>
      </c>
      <c r="M59" s="32">
        <v>1220.68</v>
      </c>
      <c r="N59" s="34">
        <v>20</v>
      </c>
      <c r="O59" s="4"/>
      <c r="P59" s="4"/>
      <c r="Q59" s="1">
        <v>10308</v>
      </c>
      <c r="R59" s="47">
        <v>1122</v>
      </c>
      <c r="S59" s="48">
        <v>44931</v>
      </c>
      <c r="T59" s="48">
        <v>44940</v>
      </c>
      <c r="U59" s="47" t="s">
        <v>36</v>
      </c>
      <c r="V59" s="47" t="s">
        <v>22</v>
      </c>
      <c r="W59" s="47" t="s">
        <v>29</v>
      </c>
      <c r="X59" s="47" t="s">
        <v>24</v>
      </c>
      <c r="Y59" s="47" t="s">
        <v>51</v>
      </c>
      <c r="Z59" s="47" t="s">
        <v>52</v>
      </c>
      <c r="AA59" s="47" t="s">
        <v>44</v>
      </c>
      <c r="AB59" s="47">
        <v>4</v>
      </c>
      <c r="AC59" s="47">
        <v>3143.2</v>
      </c>
      <c r="AD59" s="49">
        <v>0</v>
      </c>
      <c r="AH59" s="35">
        <v>10094</v>
      </c>
      <c r="AI59" s="35">
        <v>1105</v>
      </c>
      <c r="AJ59" s="36">
        <v>44938</v>
      </c>
      <c r="AK59" s="36">
        <v>44946</v>
      </c>
      <c r="AL59" s="35" t="s">
        <v>21</v>
      </c>
      <c r="AM59" s="35" t="s">
        <v>15</v>
      </c>
      <c r="AN59" s="35" t="s">
        <v>29</v>
      </c>
      <c r="AO59" s="35" t="s">
        <v>24</v>
      </c>
      <c r="AP59" s="35" t="s">
        <v>51</v>
      </c>
      <c r="AQ59" s="35" t="s">
        <v>59</v>
      </c>
      <c r="AR59" s="35" t="s">
        <v>20</v>
      </c>
      <c r="AS59" s="35">
        <v>4</v>
      </c>
      <c r="AT59" s="35">
        <v>1611.52</v>
      </c>
      <c r="AU59" s="37">
        <v>10</v>
      </c>
    </row>
    <row r="60" spans="1:47" x14ac:dyDescent="0.3">
      <c r="A60" s="32">
        <v>10077</v>
      </c>
      <c r="B60" s="32">
        <v>1366</v>
      </c>
      <c r="C60" s="33">
        <v>45030</v>
      </c>
      <c r="D60" s="33">
        <v>45034</v>
      </c>
      <c r="E60" s="32" t="s">
        <v>21</v>
      </c>
      <c r="F60" s="32" t="s">
        <v>53</v>
      </c>
      <c r="G60" s="32" t="s">
        <v>29</v>
      </c>
      <c r="H60" s="32" t="s">
        <v>24</v>
      </c>
      <c r="I60" s="32" t="s">
        <v>30</v>
      </c>
      <c r="J60" s="32" t="s">
        <v>31</v>
      </c>
      <c r="K60" s="32" t="s">
        <v>44</v>
      </c>
      <c r="L60" s="32">
        <v>3</v>
      </c>
      <c r="M60" s="32">
        <v>985.28</v>
      </c>
      <c r="N60" s="34">
        <v>10</v>
      </c>
      <c r="O60" s="4"/>
      <c r="P60" s="4"/>
      <c r="Q60" s="1">
        <v>10314</v>
      </c>
      <c r="R60" s="47">
        <v>1883</v>
      </c>
      <c r="S60" s="48">
        <v>45256</v>
      </c>
      <c r="T60" s="48">
        <v>45264</v>
      </c>
      <c r="U60" s="47" t="s">
        <v>36</v>
      </c>
      <c r="V60" s="47" t="s">
        <v>15</v>
      </c>
      <c r="W60" s="47" t="s">
        <v>23</v>
      </c>
      <c r="X60" s="47" t="s">
        <v>24</v>
      </c>
      <c r="Y60" s="47" t="s">
        <v>25</v>
      </c>
      <c r="Z60" s="47" t="s">
        <v>67</v>
      </c>
      <c r="AA60" s="47" t="s">
        <v>27</v>
      </c>
      <c r="AB60" s="47">
        <v>1</v>
      </c>
      <c r="AC60" s="47">
        <v>1681.85</v>
      </c>
      <c r="AD60" s="49">
        <v>5</v>
      </c>
      <c r="AH60" s="35">
        <v>10100</v>
      </c>
      <c r="AI60" s="35">
        <v>1729</v>
      </c>
      <c r="AJ60" s="36">
        <v>45169</v>
      </c>
      <c r="AK60" s="36">
        <v>45176</v>
      </c>
      <c r="AL60" s="35" t="s">
        <v>15</v>
      </c>
      <c r="AM60" s="35" t="s">
        <v>28</v>
      </c>
      <c r="AN60" s="35" t="s">
        <v>23</v>
      </c>
      <c r="AO60" s="35" t="s">
        <v>17</v>
      </c>
      <c r="AP60" s="35" t="s">
        <v>18</v>
      </c>
      <c r="AQ60" s="35" t="s">
        <v>42</v>
      </c>
      <c r="AR60" s="35" t="s">
        <v>46</v>
      </c>
      <c r="AS60" s="35">
        <v>7</v>
      </c>
      <c r="AT60" s="35">
        <v>3156.71</v>
      </c>
      <c r="AU60" s="37">
        <v>10</v>
      </c>
    </row>
    <row r="61" spans="1:47" x14ac:dyDescent="0.3">
      <c r="A61" s="32">
        <v>10079</v>
      </c>
      <c r="B61" s="32">
        <v>1454</v>
      </c>
      <c r="C61" s="33">
        <v>45246</v>
      </c>
      <c r="D61" s="33">
        <v>45254</v>
      </c>
      <c r="E61" s="32" t="s">
        <v>33</v>
      </c>
      <c r="F61" s="32" t="s">
        <v>15</v>
      </c>
      <c r="G61" s="32" t="s">
        <v>29</v>
      </c>
      <c r="H61" s="32" t="s">
        <v>34</v>
      </c>
      <c r="I61" s="32" t="s">
        <v>30</v>
      </c>
      <c r="J61" s="32" t="s">
        <v>31</v>
      </c>
      <c r="K61" s="32" t="s">
        <v>32</v>
      </c>
      <c r="L61" s="32">
        <v>5</v>
      </c>
      <c r="M61" s="32">
        <v>2291.86</v>
      </c>
      <c r="N61" s="34">
        <v>15</v>
      </c>
      <c r="O61" s="4"/>
      <c r="P61" s="4"/>
      <c r="Q61" s="1">
        <v>10315</v>
      </c>
      <c r="R61" s="47">
        <v>1609</v>
      </c>
      <c r="S61" s="48">
        <v>45024</v>
      </c>
      <c r="T61" s="48">
        <v>45029</v>
      </c>
      <c r="U61" s="47" t="s">
        <v>36</v>
      </c>
      <c r="V61" s="47" t="s">
        <v>28</v>
      </c>
      <c r="W61" s="47" t="s">
        <v>23</v>
      </c>
      <c r="X61" s="47" t="s">
        <v>17</v>
      </c>
      <c r="Y61" s="47" t="s">
        <v>48</v>
      </c>
      <c r="Z61" s="47" t="s">
        <v>49</v>
      </c>
      <c r="AA61" s="47" t="s">
        <v>44</v>
      </c>
      <c r="AB61" s="47">
        <v>8</v>
      </c>
      <c r="AC61" s="47">
        <v>3253.02</v>
      </c>
      <c r="AD61" s="49">
        <v>15</v>
      </c>
      <c r="AH61" s="35">
        <v>10101</v>
      </c>
      <c r="AI61" s="35">
        <v>1555</v>
      </c>
      <c r="AJ61" s="36">
        <v>45149</v>
      </c>
      <c r="AK61" s="36">
        <v>45155</v>
      </c>
      <c r="AL61" s="35" t="s">
        <v>15</v>
      </c>
      <c r="AM61" s="35" t="s">
        <v>15</v>
      </c>
      <c r="AN61" s="35" t="s">
        <v>29</v>
      </c>
      <c r="AO61" s="35" t="s">
        <v>41</v>
      </c>
      <c r="AP61" s="35" t="s">
        <v>56</v>
      </c>
      <c r="AQ61" s="35" t="s">
        <v>58</v>
      </c>
      <c r="AR61" s="35" t="s">
        <v>27</v>
      </c>
      <c r="AS61" s="35">
        <v>8</v>
      </c>
      <c r="AT61" s="35">
        <v>1683.18</v>
      </c>
      <c r="AU61" s="37">
        <v>15</v>
      </c>
    </row>
    <row r="62" spans="1:47" x14ac:dyDescent="0.3">
      <c r="A62" s="32">
        <v>10080</v>
      </c>
      <c r="B62" s="32">
        <v>1427</v>
      </c>
      <c r="C62" s="33">
        <v>45288</v>
      </c>
      <c r="D62" s="33">
        <v>45293</v>
      </c>
      <c r="E62" s="32" t="s">
        <v>14</v>
      </c>
      <c r="F62" s="32" t="s">
        <v>53</v>
      </c>
      <c r="G62" s="32" t="s">
        <v>16</v>
      </c>
      <c r="H62" s="32" t="s">
        <v>24</v>
      </c>
      <c r="I62" s="32" t="s">
        <v>51</v>
      </c>
      <c r="J62" s="32" t="s">
        <v>55</v>
      </c>
      <c r="K62" s="32" t="s">
        <v>27</v>
      </c>
      <c r="L62" s="32">
        <v>3</v>
      </c>
      <c r="M62" s="32">
        <v>262.25</v>
      </c>
      <c r="N62" s="34">
        <v>10</v>
      </c>
      <c r="O62" s="4"/>
      <c r="P62" s="4"/>
      <c r="Q62" s="1">
        <v>10321</v>
      </c>
      <c r="R62" s="47">
        <v>1143</v>
      </c>
      <c r="S62" s="48">
        <v>45270</v>
      </c>
      <c r="T62" s="48">
        <v>45275</v>
      </c>
      <c r="U62" s="47" t="s">
        <v>36</v>
      </c>
      <c r="V62" s="47" t="s">
        <v>15</v>
      </c>
      <c r="W62" s="47" t="s">
        <v>29</v>
      </c>
      <c r="X62" s="47" t="s">
        <v>41</v>
      </c>
      <c r="Y62" s="47" t="s">
        <v>51</v>
      </c>
      <c r="Z62" s="47" t="s">
        <v>59</v>
      </c>
      <c r="AA62" s="47" t="s">
        <v>44</v>
      </c>
      <c r="AB62" s="47">
        <v>7</v>
      </c>
      <c r="AC62" s="47">
        <v>3383.31</v>
      </c>
      <c r="AD62" s="49">
        <v>20</v>
      </c>
      <c r="AH62" s="35">
        <v>10102</v>
      </c>
      <c r="AI62" s="35">
        <v>1161</v>
      </c>
      <c r="AJ62" s="36">
        <v>44996</v>
      </c>
      <c r="AK62" s="36">
        <v>45002</v>
      </c>
      <c r="AL62" s="35" t="s">
        <v>36</v>
      </c>
      <c r="AM62" s="35" t="s">
        <v>53</v>
      </c>
      <c r="AN62" s="35" t="s">
        <v>29</v>
      </c>
      <c r="AO62" s="35" t="s">
        <v>24</v>
      </c>
      <c r="AP62" s="35" t="s">
        <v>30</v>
      </c>
      <c r="AQ62" s="35" t="s">
        <v>38</v>
      </c>
      <c r="AR62" s="35" t="s">
        <v>20</v>
      </c>
      <c r="AS62" s="35">
        <v>2</v>
      </c>
      <c r="AT62" s="35">
        <v>1859.03</v>
      </c>
      <c r="AU62" s="37">
        <v>20</v>
      </c>
    </row>
    <row r="63" spans="1:47" x14ac:dyDescent="0.3">
      <c r="A63" s="32">
        <v>10081</v>
      </c>
      <c r="B63" s="32">
        <v>1508</v>
      </c>
      <c r="C63" s="33">
        <v>45280</v>
      </c>
      <c r="D63" s="33">
        <v>45283</v>
      </c>
      <c r="E63" s="32" t="s">
        <v>45</v>
      </c>
      <c r="F63" s="32" t="s">
        <v>15</v>
      </c>
      <c r="G63" s="32" t="s">
        <v>29</v>
      </c>
      <c r="H63" s="32" t="s">
        <v>17</v>
      </c>
      <c r="I63" s="32" t="s">
        <v>25</v>
      </c>
      <c r="J63" s="32" t="s">
        <v>26</v>
      </c>
      <c r="K63" s="32" t="s">
        <v>46</v>
      </c>
      <c r="L63" s="32">
        <v>6</v>
      </c>
      <c r="M63" s="32">
        <v>3642.91</v>
      </c>
      <c r="N63" s="34">
        <v>0</v>
      </c>
      <c r="O63" s="4"/>
      <c r="P63" s="4"/>
      <c r="Q63" s="1">
        <v>10325</v>
      </c>
      <c r="R63" s="47">
        <v>1186</v>
      </c>
      <c r="S63" s="48">
        <v>45025</v>
      </c>
      <c r="T63" s="48">
        <v>45030</v>
      </c>
      <c r="U63" s="47" t="s">
        <v>36</v>
      </c>
      <c r="V63" s="47" t="s">
        <v>37</v>
      </c>
      <c r="W63" s="47" t="s">
        <v>29</v>
      </c>
      <c r="X63" s="47" t="s">
        <v>34</v>
      </c>
      <c r="Y63" s="47" t="s">
        <v>51</v>
      </c>
      <c r="Z63" s="47" t="s">
        <v>63</v>
      </c>
      <c r="AA63" s="47" t="s">
        <v>44</v>
      </c>
      <c r="AB63" s="47">
        <v>7</v>
      </c>
      <c r="AC63" s="47">
        <v>730.15</v>
      </c>
      <c r="AD63" s="49">
        <v>0</v>
      </c>
      <c r="AH63" s="35">
        <v>10103</v>
      </c>
      <c r="AI63" s="35">
        <v>1201</v>
      </c>
      <c r="AJ63" s="36">
        <v>45238</v>
      </c>
      <c r="AK63" s="36">
        <v>45244</v>
      </c>
      <c r="AL63" s="35" t="s">
        <v>45</v>
      </c>
      <c r="AM63" s="35" t="s">
        <v>22</v>
      </c>
      <c r="AN63" s="35" t="s">
        <v>16</v>
      </c>
      <c r="AO63" s="35" t="s">
        <v>41</v>
      </c>
      <c r="AP63" s="35" t="s">
        <v>18</v>
      </c>
      <c r="AQ63" s="35" t="s">
        <v>19</v>
      </c>
      <c r="AR63" s="35" t="s">
        <v>46</v>
      </c>
      <c r="AS63" s="35">
        <v>7</v>
      </c>
      <c r="AT63" s="35">
        <v>3590.34</v>
      </c>
      <c r="AU63" s="37">
        <v>20</v>
      </c>
    </row>
    <row r="64" spans="1:47" x14ac:dyDescent="0.3">
      <c r="A64" s="35">
        <v>10082</v>
      </c>
      <c r="B64" s="35">
        <v>1775</v>
      </c>
      <c r="C64" s="36">
        <v>44936</v>
      </c>
      <c r="D64" s="36">
        <v>44942</v>
      </c>
      <c r="E64" s="35" t="s">
        <v>45</v>
      </c>
      <c r="F64" s="35" t="s">
        <v>37</v>
      </c>
      <c r="G64" s="35" t="s">
        <v>23</v>
      </c>
      <c r="H64" s="35" t="s">
        <v>41</v>
      </c>
      <c r="I64" s="35" t="s">
        <v>48</v>
      </c>
      <c r="J64" s="35" t="s">
        <v>62</v>
      </c>
      <c r="K64" s="35" t="s">
        <v>46</v>
      </c>
      <c r="L64" s="35">
        <v>6</v>
      </c>
      <c r="M64" s="35">
        <v>751.69</v>
      </c>
      <c r="N64" s="37">
        <v>0</v>
      </c>
      <c r="O64" s="4"/>
      <c r="P64" s="4"/>
      <c r="Q64" s="1">
        <v>10326</v>
      </c>
      <c r="R64" s="47">
        <v>1325</v>
      </c>
      <c r="S64" s="48">
        <v>45118</v>
      </c>
      <c r="T64" s="48">
        <v>45124</v>
      </c>
      <c r="U64" s="47" t="s">
        <v>36</v>
      </c>
      <c r="V64" s="47" t="s">
        <v>15</v>
      </c>
      <c r="W64" s="47" t="s">
        <v>23</v>
      </c>
      <c r="X64" s="47" t="s">
        <v>43</v>
      </c>
      <c r="Y64" s="47" t="s">
        <v>51</v>
      </c>
      <c r="Z64" s="47" t="s">
        <v>59</v>
      </c>
      <c r="AA64" s="47" t="s">
        <v>32</v>
      </c>
      <c r="AB64" s="47">
        <v>2</v>
      </c>
      <c r="AC64" s="47">
        <v>3428.64</v>
      </c>
      <c r="AD64" s="49">
        <v>10</v>
      </c>
      <c r="AH64" s="38">
        <v>10106</v>
      </c>
      <c r="AI64" s="38">
        <v>1269</v>
      </c>
      <c r="AJ64" s="39">
        <v>45112</v>
      </c>
      <c r="AK64" s="39">
        <v>45113</v>
      </c>
      <c r="AL64" s="38" t="s">
        <v>45</v>
      </c>
      <c r="AM64" s="38" t="s">
        <v>22</v>
      </c>
      <c r="AN64" s="38" t="s">
        <v>29</v>
      </c>
      <c r="AO64" s="38" t="s">
        <v>24</v>
      </c>
      <c r="AP64" s="38" t="s">
        <v>48</v>
      </c>
      <c r="AQ64" s="38" t="s">
        <v>62</v>
      </c>
      <c r="AR64" s="38" t="s">
        <v>46</v>
      </c>
      <c r="AS64" s="38">
        <v>3</v>
      </c>
      <c r="AT64" s="38">
        <v>3781.22</v>
      </c>
      <c r="AU64" s="40">
        <v>5</v>
      </c>
    </row>
    <row r="65" spans="1:47" x14ac:dyDescent="0.3">
      <c r="A65" s="35">
        <v>10083</v>
      </c>
      <c r="B65" s="35">
        <v>1942</v>
      </c>
      <c r="C65" s="36">
        <v>45228</v>
      </c>
      <c r="D65" s="36">
        <v>45232</v>
      </c>
      <c r="E65" s="35" t="s">
        <v>36</v>
      </c>
      <c r="F65" s="35" t="s">
        <v>22</v>
      </c>
      <c r="G65" s="35" t="s">
        <v>16</v>
      </c>
      <c r="H65" s="35" t="s">
        <v>24</v>
      </c>
      <c r="I65" s="35" t="s">
        <v>56</v>
      </c>
      <c r="J65" s="35" t="s">
        <v>61</v>
      </c>
      <c r="K65" s="35" t="s">
        <v>20</v>
      </c>
      <c r="L65" s="35">
        <v>8</v>
      </c>
      <c r="M65" s="35">
        <v>997.34</v>
      </c>
      <c r="N65" s="37">
        <v>5</v>
      </c>
      <c r="O65" s="4"/>
      <c r="P65" s="4"/>
      <c r="Q65" s="1">
        <v>10330</v>
      </c>
      <c r="R65" s="47">
        <v>1659</v>
      </c>
      <c r="S65" s="48">
        <v>44958</v>
      </c>
      <c r="T65" s="48">
        <v>44966</v>
      </c>
      <c r="U65" s="47" t="s">
        <v>36</v>
      </c>
      <c r="V65" s="47" t="s">
        <v>53</v>
      </c>
      <c r="W65" s="47" t="s">
        <v>16</v>
      </c>
      <c r="X65" s="47" t="s">
        <v>43</v>
      </c>
      <c r="Y65" s="47" t="s">
        <v>51</v>
      </c>
      <c r="Z65" s="47" t="s">
        <v>63</v>
      </c>
      <c r="AA65" s="47" t="s">
        <v>20</v>
      </c>
      <c r="AB65" s="47">
        <v>7</v>
      </c>
      <c r="AC65" s="47">
        <v>3978.5</v>
      </c>
      <c r="AD65" s="49">
        <v>20</v>
      </c>
      <c r="AH65" s="38">
        <v>10110</v>
      </c>
      <c r="AI65" s="38">
        <v>1455</v>
      </c>
      <c r="AJ65" s="39">
        <v>44946</v>
      </c>
      <c r="AK65" s="39">
        <v>44947</v>
      </c>
      <c r="AL65" s="38" t="s">
        <v>45</v>
      </c>
      <c r="AM65" s="38" t="s">
        <v>15</v>
      </c>
      <c r="AN65" s="38" t="s">
        <v>23</v>
      </c>
      <c r="AO65" s="38" t="s">
        <v>34</v>
      </c>
      <c r="AP65" s="38" t="s">
        <v>51</v>
      </c>
      <c r="AQ65" s="38" t="s">
        <v>55</v>
      </c>
      <c r="AR65" s="38" t="s">
        <v>46</v>
      </c>
      <c r="AS65" s="38">
        <v>6</v>
      </c>
      <c r="AT65" s="38">
        <v>2076.84</v>
      </c>
      <c r="AU65" s="40">
        <v>20</v>
      </c>
    </row>
    <row r="66" spans="1:47" x14ac:dyDescent="0.3">
      <c r="A66" s="35">
        <v>10084</v>
      </c>
      <c r="B66" s="35">
        <v>1034</v>
      </c>
      <c r="C66" s="36">
        <v>45157</v>
      </c>
      <c r="D66" s="36">
        <v>45166</v>
      </c>
      <c r="E66" s="35" t="s">
        <v>39</v>
      </c>
      <c r="F66" s="35" t="s">
        <v>28</v>
      </c>
      <c r="G66" s="35" t="s">
        <v>29</v>
      </c>
      <c r="H66" s="35" t="s">
        <v>43</v>
      </c>
      <c r="I66" s="35" t="s">
        <v>51</v>
      </c>
      <c r="J66" s="35" t="s">
        <v>55</v>
      </c>
      <c r="K66" s="35" t="s">
        <v>32</v>
      </c>
      <c r="L66" s="35">
        <v>2</v>
      </c>
      <c r="M66" s="35">
        <v>2145.36</v>
      </c>
      <c r="N66" s="37">
        <v>20</v>
      </c>
      <c r="O66" s="4"/>
      <c r="P66" s="4"/>
      <c r="Q66" s="1">
        <v>10355</v>
      </c>
      <c r="R66" s="47">
        <v>1945</v>
      </c>
      <c r="S66" s="48">
        <v>45188</v>
      </c>
      <c r="T66" s="48">
        <v>45191</v>
      </c>
      <c r="U66" s="47" t="s">
        <v>36</v>
      </c>
      <c r="V66" s="47" t="s">
        <v>22</v>
      </c>
      <c r="W66" s="47" t="s">
        <v>29</v>
      </c>
      <c r="X66" s="47" t="s">
        <v>34</v>
      </c>
      <c r="Y66" s="47" t="s">
        <v>51</v>
      </c>
      <c r="Z66" s="47" t="s">
        <v>52</v>
      </c>
      <c r="AA66" s="47" t="s">
        <v>20</v>
      </c>
      <c r="AB66" s="47">
        <v>9</v>
      </c>
      <c r="AC66" s="47">
        <v>2632.88</v>
      </c>
      <c r="AD66" s="49">
        <v>5</v>
      </c>
      <c r="AH66" s="38">
        <v>10111</v>
      </c>
      <c r="AI66" s="38">
        <v>1461</v>
      </c>
      <c r="AJ66" s="39">
        <v>44950</v>
      </c>
      <c r="AK66" s="39">
        <v>44959</v>
      </c>
      <c r="AL66" s="38" t="s">
        <v>14</v>
      </c>
      <c r="AM66" s="38" t="s">
        <v>53</v>
      </c>
      <c r="AN66" s="38" t="s">
        <v>29</v>
      </c>
      <c r="AO66" s="38" t="s">
        <v>34</v>
      </c>
      <c r="AP66" s="38" t="s">
        <v>48</v>
      </c>
      <c r="AQ66" s="38" t="s">
        <v>66</v>
      </c>
      <c r="AR66" s="38" t="s">
        <v>32</v>
      </c>
      <c r="AS66" s="38">
        <v>1</v>
      </c>
      <c r="AT66" s="38">
        <v>1820.02</v>
      </c>
      <c r="AU66" s="40">
        <v>10</v>
      </c>
    </row>
    <row r="67" spans="1:47" x14ac:dyDescent="0.3">
      <c r="A67" s="35">
        <v>10085</v>
      </c>
      <c r="B67" s="35">
        <v>1205</v>
      </c>
      <c r="C67" s="36">
        <v>45145</v>
      </c>
      <c r="D67" s="36">
        <v>45148</v>
      </c>
      <c r="E67" s="35" t="s">
        <v>45</v>
      </c>
      <c r="F67" s="35" t="s">
        <v>15</v>
      </c>
      <c r="G67" s="35" t="s">
        <v>29</v>
      </c>
      <c r="H67" s="35" t="s">
        <v>17</v>
      </c>
      <c r="I67" s="35" t="s">
        <v>48</v>
      </c>
      <c r="J67" s="35" t="s">
        <v>49</v>
      </c>
      <c r="K67" s="35" t="s">
        <v>27</v>
      </c>
      <c r="L67" s="35">
        <v>1</v>
      </c>
      <c r="M67" s="35">
        <v>2883.94</v>
      </c>
      <c r="N67" s="37">
        <v>20</v>
      </c>
      <c r="O67" s="4"/>
      <c r="P67" s="4"/>
      <c r="Q67" s="1">
        <v>10357</v>
      </c>
      <c r="R67" s="47">
        <v>1414</v>
      </c>
      <c r="S67" s="48">
        <v>45205</v>
      </c>
      <c r="T67" s="48">
        <v>45213</v>
      </c>
      <c r="U67" s="47" t="s">
        <v>36</v>
      </c>
      <c r="V67" s="47" t="s">
        <v>37</v>
      </c>
      <c r="W67" s="47" t="s">
        <v>16</v>
      </c>
      <c r="X67" s="47" t="s">
        <v>24</v>
      </c>
      <c r="Y67" s="47" t="s">
        <v>56</v>
      </c>
      <c r="Z67" s="47" t="s">
        <v>57</v>
      </c>
      <c r="AA67" s="47" t="s">
        <v>27</v>
      </c>
      <c r="AB67" s="47">
        <v>8</v>
      </c>
      <c r="AC67" s="47">
        <v>1300.31</v>
      </c>
      <c r="AD67" s="49">
        <v>0</v>
      </c>
      <c r="AH67" s="38">
        <v>10113</v>
      </c>
      <c r="AI67" s="38">
        <v>1251</v>
      </c>
      <c r="AJ67" s="39">
        <v>45080</v>
      </c>
      <c r="AK67" s="39">
        <v>45083</v>
      </c>
      <c r="AL67" s="38" t="s">
        <v>15</v>
      </c>
      <c r="AM67" s="38" t="s">
        <v>22</v>
      </c>
      <c r="AN67" s="38" t="s">
        <v>16</v>
      </c>
      <c r="AO67" s="38" t="s">
        <v>17</v>
      </c>
      <c r="AP67" s="38" t="s">
        <v>25</v>
      </c>
      <c r="AQ67" s="38" t="s">
        <v>60</v>
      </c>
      <c r="AR67" s="38" t="s">
        <v>20</v>
      </c>
      <c r="AS67" s="38">
        <v>6</v>
      </c>
      <c r="AT67" s="38">
        <v>2257.77</v>
      </c>
      <c r="AU67" s="40">
        <v>20</v>
      </c>
    </row>
    <row r="68" spans="1:47" x14ac:dyDescent="0.3">
      <c r="A68" s="35">
        <v>10086</v>
      </c>
      <c r="B68" s="35">
        <v>1080</v>
      </c>
      <c r="C68" s="36">
        <v>44992</v>
      </c>
      <c r="D68" s="36">
        <v>44996</v>
      </c>
      <c r="E68" s="35" t="s">
        <v>33</v>
      </c>
      <c r="F68" s="35" t="s">
        <v>37</v>
      </c>
      <c r="G68" s="35" t="s">
        <v>29</v>
      </c>
      <c r="H68" s="35" t="s">
        <v>43</v>
      </c>
      <c r="I68" s="35" t="s">
        <v>30</v>
      </c>
      <c r="J68" s="35" t="s">
        <v>64</v>
      </c>
      <c r="K68" s="35" t="s">
        <v>44</v>
      </c>
      <c r="L68" s="35">
        <v>4</v>
      </c>
      <c r="M68" s="35">
        <v>518.55999999999995</v>
      </c>
      <c r="N68" s="37">
        <v>20</v>
      </c>
      <c r="O68" s="4"/>
      <c r="P68" s="4"/>
      <c r="Q68" s="1">
        <v>10374</v>
      </c>
      <c r="R68" s="47">
        <v>1036</v>
      </c>
      <c r="S68" s="48">
        <v>45136</v>
      </c>
      <c r="T68" s="48">
        <v>45141</v>
      </c>
      <c r="U68" s="47" t="s">
        <v>36</v>
      </c>
      <c r="V68" s="47" t="s">
        <v>15</v>
      </c>
      <c r="W68" s="47" t="s">
        <v>16</v>
      </c>
      <c r="X68" s="47" t="s">
        <v>41</v>
      </c>
      <c r="Y68" s="47" t="s">
        <v>56</v>
      </c>
      <c r="Z68" s="47" t="s">
        <v>57</v>
      </c>
      <c r="AA68" s="47" t="s">
        <v>32</v>
      </c>
      <c r="AB68" s="47">
        <v>5</v>
      </c>
      <c r="AC68" s="47">
        <v>1651.11</v>
      </c>
      <c r="AD68" s="49">
        <v>20</v>
      </c>
      <c r="AH68" s="38">
        <v>10115</v>
      </c>
      <c r="AI68" s="38">
        <v>1295</v>
      </c>
      <c r="AJ68" s="39">
        <v>45156</v>
      </c>
      <c r="AK68" s="39">
        <v>45159</v>
      </c>
      <c r="AL68" s="38" t="s">
        <v>21</v>
      </c>
      <c r="AM68" s="38" t="s">
        <v>53</v>
      </c>
      <c r="AN68" s="38" t="s">
        <v>23</v>
      </c>
      <c r="AO68" s="38" t="s">
        <v>41</v>
      </c>
      <c r="AP68" s="38" t="s">
        <v>56</v>
      </c>
      <c r="AQ68" s="38" t="s">
        <v>61</v>
      </c>
      <c r="AR68" s="38" t="s">
        <v>27</v>
      </c>
      <c r="AS68" s="38">
        <v>2</v>
      </c>
      <c r="AT68" s="38">
        <v>3621.09</v>
      </c>
      <c r="AU68" s="40">
        <v>0</v>
      </c>
    </row>
    <row r="69" spans="1:47" x14ac:dyDescent="0.3">
      <c r="A69" s="35">
        <v>10087</v>
      </c>
      <c r="B69" s="35">
        <v>1931</v>
      </c>
      <c r="C69" s="36">
        <v>45038</v>
      </c>
      <c r="D69" s="36">
        <v>45045</v>
      </c>
      <c r="E69" s="35" t="s">
        <v>39</v>
      </c>
      <c r="F69" s="35" t="s">
        <v>28</v>
      </c>
      <c r="G69" s="35" t="s">
        <v>16</v>
      </c>
      <c r="H69" s="35" t="s">
        <v>17</v>
      </c>
      <c r="I69" s="35" t="s">
        <v>30</v>
      </c>
      <c r="J69" s="35" t="s">
        <v>38</v>
      </c>
      <c r="K69" s="35" t="s">
        <v>46</v>
      </c>
      <c r="L69" s="35">
        <v>7</v>
      </c>
      <c r="M69" s="35">
        <v>1373.12</v>
      </c>
      <c r="N69" s="37">
        <v>5</v>
      </c>
      <c r="O69" s="4"/>
      <c r="P69" s="4"/>
      <c r="Q69" s="1">
        <v>10376</v>
      </c>
      <c r="R69" s="47">
        <v>1008</v>
      </c>
      <c r="S69" s="48">
        <v>45242</v>
      </c>
      <c r="T69" s="48">
        <v>45251</v>
      </c>
      <c r="U69" s="47" t="s">
        <v>36</v>
      </c>
      <c r="V69" s="47" t="s">
        <v>53</v>
      </c>
      <c r="W69" s="47" t="s">
        <v>29</v>
      </c>
      <c r="X69" s="47" t="s">
        <v>17</v>
      </c>
      <c r="Y69" s="47" t="s">
        <v>56</v>
      </c>
      <c r="Z69" s="47" t="s">
        <v>58</v>
      </c>
      <c r="AA69" s="47" t="s">
        <v>44</v>
      </c>
      <c r="AB69" s="47">
        <v>6</v>
      </c>
      <c r="AC69" s="47">
        <v>681.36</v>
      </c>
      <c r="AD69" s="49">
        <v>15</v>
      </c>
      <c r="AH69" s="38">
        <v>10117</v>
      </c>
      <c r="AI69" s="38">
        <v>1719</v>
      </c>
      <c r="AJ69" s="39">
        <v>45285</v>
      </c>
      <c r="AK69" s="39">
        <v>45293</v>
      </c>
      <c r="AL69" s="38" t="s">
        <v>39</v>
      </c>
      <c r="AM69" s="38" t="s">
        <v>53</v>
      </c>
      <c r="AN69" s="38" t="s">
        <v>16</v>
      </c>
      <c r="AO69" s="38" t="s">
        <v>41</v>
      </c>
      <c r="AP69" s="38" t="s">
        <v>56</v>
      </c>
      <c r="AQ69" s="38" t="s">
        <v>57</v>
      </c>
      <c r="AR69" s="38" t="s">
        <v>46</v>
      </c>
      <c r="AS69" s="38">
        <v>6</v>
      </c>
      <c r="AT69" s="38">
        <v>3554.77</v>
      </c>
      <c r="AU69" s="40">
        <v>20</v>
      </c>
    </row>
    <row r="70" spans="1:47" x14ac:dyDescent="0.3">
      <c r="A70" s="35">
        <v>10088</v>
      </c>
      <c r="B70" s="35">
        <v>1561</v>
      </c>
      <c r="C70" s="36">
        <v>44939</v>
      </c>
      <c r="D70" s="36">
        <v>44946</v>
      </c>
      <c r="E70" s="35" t="s">
        <v>33</v>
      </c>
      <c r="F70" s="35" t="s">
        <v>28</v>
      </c>
      <c r="G70" s="35" t="s">
        <v>16</v>
      </c>
      <c r="H70" s="35" t="s">
        <v>41</v>
      </c>
      <c r="I70" s="35" t="s">
        <v>48</v>
      </c>
      <c r="J70" s="35" t="s">
        <v>62</v>
      </c>
      <c r="K70" s="35" t="s">
        <v>46</v>
      </c>
      <c r="L70" s="35">
        <v>3</v>
      </c>
      <c r="M70" s="35">
        <v>3879.4</v>
      </c>
      <c r="N70" s="37">
        <v>20</v>
      </c>
      <c r="O70" s="4"/>
      <c r="P70" s="4"/>
      <c r="Q70" s="1">
        <v>10383</v>
      </c>
      <c r="R70" s="47">
        <v>1403</v>
      </c>
      <c r="S70" s="48">
        <v>45040</v>
      </c>
      <c r="T70" s="48">
        <v>45042</v>
      </c>
      <c r="U70" s="47" t="s">
        <v>36</v>
      </c>
      <c r="V70" s="47" t="s">
        <v>22</v>
      </c>
      <c r="W70" s="47" t="s">
        <v>23</v>
      </c>
      <c r="X70" s="47" t="s">
        <v>41</v>
      </c>
      <c r="Y70" s="47" t="s">
        <v>30</v>
      </c>
      <c r="Z70" s="47" t="s">
        <v>47</v>
      </c>
      <c r="AA70" s="47" t="s">
        <v>32</v>
      </c>
      <c r="AB70" s="47">
        <v>1</v>
      </c>
      <c r="AC70" s="47">
        <v>3581.58</v>
      </c>
      <c r="AD70" s="49">
        <v>15</v>
      </c>
      <c r="AH70" s="38">
        <v>10118</v>
      </c>
      <c r="AI70" s="38">
        <v>1748</v>
      </c>
      <c r="AJ70" s="39">
        <v>45128</v>
      </c>
      <c r="AK70" s="39">
        <v>45129</v>
      </c>
      <c r="AL70" s="38" t="s">
        <v>21</v>
      </c>
      <c r="AM70" s="38" t="s">
        <v>15</v>
      </c>
      <c r="AN70" s="38" t="s">
        <v>16</v>
      </c>
      <c r="AO70" s="38" t="s">
        <v>43</v>
      </c>
      <c r="AP70" s="38" t="s">
        <v>30</v>
      </c>
      <c r="AQ70" s="38" t="s">
        <v>47</v>
      </c>
      <c r="AR70" s="38" t="s">
        <v>32</v>
      </c>
      <c r="AS70" s="38">
        <v>2</v>
      </c>
      <c r="AT70" s="38">
        <v>2303.71</v>
      </c>
      <c r="AU70" s="40">
        <v>20</v>
      </c>
    </row>
    <row r="71" spans="1:47" x14ac:dyDescent="0.3">
      <c r="A71" s="35">
        <v>10091</v>
      </c>
      <c r="B71" s="35">
        <v>1001</v>
      </c>
      <c r="C71" s="36">
        <v>45016</v>
      </c>
      <c r="D71" s="36">
        <v>45019</v>
      </c>
      <c r="E71" s="35" t="s">
        <v>36</v>
      </c>
      <c r="F71" s="35" t="s">
        <v>15</v>
      </c>
      <c r="G71" s="35" t="s">
        <v>16</v>
      </c>
      <c r="H71" s="35" t="s">
        <v>43</v>
      </c>
      <c r="I71" s="35" t="s">
        <v>25</v>
      </c>
      <c r="J71" s="35" t="s">
        <v>26</v>
      </c>
      <c r="K71" s="35" t="s">
        <v>27</v>
      </c>
      <c r="L71" s="35">
        <v>5</v>
      </c>
      <c r="M71" s="35">
        <v>3370.52</v>
      </c>
      <c r="N71" s="37">
        <v>10</v>
      </c>
      <c r="O71" s="4"/>
      <c r="P71" s="4"/>
      <c r="Q71" s="1">
        <v>10409</v>
      </c>
      <c r="R71" s="47">
        <v>1705</v>
      </c>
      <c r="S71" s="48">
        <v>45028</v>
      </c>
      <c r="T71" s="48">
        <v>45034</v>
      </c>
      <c r="U71" s="47" t="s">
        <v>36</v>
      </c>
      <c r="V71" s="47" t="s">
        <v>15</v>
      </c>
      <c r="W71" s="47" t="s">
        <v>23</v>
      </c>
      <c r="X71" s="47" t="s">
        <v>17</v>
      </c>
      <c r="Y71" s="47" t="s">
        <v>30</v>
      </c>
      <c r="Z71" s="47" t="s">
        <v>38</v>
      </c>
      <c r="AA71" s="47" t="s">
        <v>32</v>
      </c>
      <c r="AB71" s="47">
        <v>7</v>
      </c>
      <c r="AC71" s="47">
        <v>1020.23</v>
      </c>
      <c r="AD71" s="49">
        <v>10</v>
      </c>
      <c r="AH71" s="38">
        <v>10119</v>
      </c>
      <c r="AI71" s="38">
        <v>1337</v>
      </c>
      <c r="AJ71" s="39">
        <v>44964</v>
      </c>
      <c r="AK71" s="39">
        <v>44970</v>
      </c>
      <c r="AL71" s="38" t="s">
        <v>15</v>
      </c>
      <c r="AM71" s="38" t="s">
        <v>37</v>
      </c>
      <c r="AN71" s="38" t="s">
        <v>16</v>
      </c>
      <c r="AO71" s="38" t="s">
        <v>34</v>
      </c>
      <c r="AP71" s="38" t="s">
        <v>30</v>
      </c>
      <c r="AQ71" s="38" t="s">
        <v>31</v>
      </c>
      <c r="AR71" s="38" t="s">
        <v>32</v>
      </c>
      <c r="AS71" s="38">
        <v>8</v>
      </c>
      <c r="AT71" s="38">
        <v>3339.68</v>
      </c>
      <c r="AU71" s="40">
        <v>0</v>
      </c>
    </row>
    <row r="72" spans="1:47" x14ac:dyDescent="0.3">
      <c r="A72" s="35">
        <v>10092</v>
      </c>
      <c r="B72" s="35">
        <v>1389</v>
      </c>
      <c r="C72" s="36">
        <v>45240</v>
      </c>
      <c r="D72" s="36">
        <v>45246</v>
      </c>
      <c r="E72" s="35" t="s">
        <v>45</v>
      </c>
      <c r="F72" s="35" t="s">
        <v>37</v>
      </c>
      <c r="G72" s="35" t="s">
        <v>29</v>
      </c>
      <c r="H72" s="35" t="s">
        <v>17</v>
      </c>
      <c r="I72" s="35" t="s">
        <v>48</v>
      </c>
      <c r="J72" s="35" t="s">
        <v>49</v>
      </c>
      <c r="K72" s="35" t="s">
        <v>32</v>
      </c>
      <c r="L72" s="35">
        <v>3</v>
      </c>
      <c r="M72" s="35">
        <v>343.33</v>
      </c>
      <c r="N72" s="37">
        <v>5</v>
      </c>
      <c r="O72" s="4"/>
      <c r="P72" s="4"/>
      <c r="Q72" s="1">
        <v>10413</v>
      </c>
      <c r="R72" s="47">
        <v>1956</v>
      </c>
      <c r="S72" s="48">
        <v>45054</v>
      </c>
      <c r="T72" s="48">
        <v>45056</v>
      </c>
      <c r="U72" s="47" t="s">
        <v>36</v>
      </c>
      <c r="V72" s="47" t="s">
        <v>53</v>
      </c>
      <c r="W72" s="47" t="s">
        <v>23</v>
      </c>
      <c r="X72" s="47" t="s">
        <v>17</v>
      </c>
      <c r="Y72" s="47" t="s">
        <v>51</v>
      </c>
      <c r="Z72" s="47" t="s">
        <v>52</v>
      </c>
      <c r="AA72" s="47" t="s">
        <v>27</v>
      </c>
      <c r="AB72" s="47">
        <v>8</v>
      </c>
      <c r="AC72" s="47">
        <v>1297.5899999999999</v>
      </c>
      <c r="AD72" s="49">
        <v>0</v>
      </c>
      <c r="AH72" s="38">
        <v>10120</v>
      </c>
      <c r="AI72" s="38">
        <v>1878</v>
      </c>
      <c r="AJ72" s="39">
        <v>45186</v>
      </c>
      <c r="AK72" s="39">
        <v>45187</v>
      </c>
      <c r="AL72" s="38" t="s">
        <v>39</v>
      </c>
      <c r="AM72" s="38" t="s">
        <v>22</v>
      </c>
      <c r="AN72" s="38" t="s">
        <v>23</v>
      </c>
      <c r="AO72" s="38" t="s">
        <v>41</v>
      </c>
      <c r="AP72" s="38" t="s">
        <v>51</v>
      </c>
      <c r="AQ72" s="38" t="s">
        <v>52</v>
      </c>
      <c r="AR72" s="38" t="s">
        <v>46</v>
      </c>
      <c r="AS72" s="38">
        <v>7</v>
      </c>
      <c r="AT72" s="38">
        <v>2894.46</v>
      </c>
      <c r="AU72" s="40">
        <v>5</v>
      </c>
    </row>
    <row r="73" spans="1:47" x14ac:dyDescent="0.3">
      <c r="A73" s="35">
        <v>10093</v>
      </c>
      <c r="B73" s="35">
        <v>1565</v>
      </c>
      <c r="C73" s="36">
        <v>44980</v>
      </c>
      <c r="D73" s="36">
        <v>44982</v>
      </c>
      <c r="E73" s="35" t="s">
        <v>39</v>
      </c>
      <c r="F73" s="35" t="s">
        <v>28</v>
      </c>
      <c r="G73" s="35" t="s">
        <v>16</v>
      </c>
      <c r="H73" s="35" t="s">
        <v>41</v>
      </c>
      <c r="I73" s="35" t="s">
        <v>51</v>
      </c>
      <c r="J73" s="35" t="s">
        <v>55</v>
      </c>
      <c r="K73" s="35" t="s">
        <v>32</v>
      </c>
      <c r="L73" s="35">
        <v>9</v>
      </c>
      <c r="M73" s="35">
        <v>1938.76</v>
      </c>
      <c r="N73" s="37">
        <v>20</v>
      </c>
      <c r="O73" s="4"/>
      <c r="P73" s="4"/>
      <c r="Q73" s="1">
        <v>10440</v>
      </c>
      <c r="R73" s="47">
        <v>1037</v>
      </c>
      <c r="S73" s="48">
        <v>45144</v>
      </c>
      <c r="T73" s="48">
        <v>45149</v>
      </c>
      <c r="U73" s="47" t="s">
        <v>36</v>
      </c>
      <c r="V73" s="47" t="s">
        <v>53</v>
      </c>
      <c r="W73" s="47" t="s">
        <v>16</v>
      </c>
      <c r="X73" s="47" t="s">
        <v>41</v>
      </c>
      <c r="Y73" s="47" t="s">
        <v>48</v>
      </c>
      <c r="Z73" s="47" t="s">
        <v>49</v>
      </c>
      <c r="AA73" s="47" t="s">
        <v>32</v>
      </c>
      <c r="AB73" s="47">
        <v>1</v>
      </c>
      <c r="AC73" s="47">
        <v>3775.07</v>
      </c>
      <c r="AD73" s="49">
        <v>10</v>
      </c>
      <c r="AH73" s="38">
        <v>10121</v>
      </c>
      <c r="AI73" s="38">
        <v>1052</v>
      </c>
      <c r="AJ73" s="39">
        <v>45114</v>
      </c>
      <c r="AK73" s="39">
        <v>45115</v>
      </c>
      <c r="AL73" s="38" t="s">
        <v>15</v>
      </c>
      <c r="AM73" s="38" t="s">
        <v>15</v>
      </c>
      <c r="AN73" s="38" t="s">
        <v>23</v>
      </c>
      <c r="AO73" s="38" t="s">
        <v>34</v>
      </c>
      <c r="AP73" s="38" t="s">
        <v>56</v>
      </c>
      <c r="AQ73" s="38" t="s">
        <v>61</v>
      </c>
      <c r="AR73" s="38" t="s">
        <v>32</v>
      </c>
      <c r="AS73" s="38">
        <v>5</v>
      </c>
      <c r="AT73" s="38">
        <v>2832.28</v>
      </c>
      <c r="AU73" s="40">
        <v>0</v>
      </c>
    </row>
    <row r="74" spans="1:47" x14ac:dyDescent="0.3">
      <c r="A74" s="35">
        <v>10094</v>
      </c>
      <c r="B74" s="35">
        <v>1105</v>
      </c>
      <c r="C74" s="36">
        <v>44938</v>
      </c>
      <c r="D74" s="36">
        <v>44946</v>
      </c>
      <c r="E74" s="35" t="s">
        <v>21</v>
      </c>
      <c r="F74" s="35" t="s">
        <v>15</v>
      </c>
      <c r="G74" s="35" t="s">
        <v>29</v>
      </c>
      <c r="H74" s="35" t="s">
        <v>24</v>
      </c>
      <c r="I74" s="35" t="s">
        <v>51</v>
      </c>
      <c r="J74" s="35" t="s">
        <v>59</v>
      </c>
      <c r="K74" s="35" t="s">
        <v>20</v>
      </c>
      <c r="L74" s="35">
        <v>4</v>
      </c>
      <c r="M74" s="35">
        <v>1611.52</v>
      </c>
      <c r="N74" s="37">
        <v>10</v>
      </c>
      <c r="O74" s="4"/>
      <c r="P74" s="4"/>
      <c r="Q74" s="1">
        <v>10465</v>
      </c>
      <c r="R74" s="47">
        <v>1016</v>
      </c>
      <c r="S74" s="48">
        <v>45082</v>
      </c>
      <c r="T74" s="48">
        <v>45089</v>
      </c>
      <c r="U74" s="47" t="s">
        <v>36</v>
      </c>
      <c r="V74" s="47" t="s">
        <v>22</v>
      </c>
      <c r="W74" s="47" t="s">
        <v>29</v>
      </c>
      <c r="X74" s="47" t="s">
        <v>43</v>
      </c>
      <c r="Y74" s="47" t="s">
        <v>18</v>
      </c>
      <c r="Z74" s="47" t="s">
        <v>42</v>
      </c>
      <c r="AA74" s="47" t="s">
        <v>32</v>
      </c>
      <c r="AB74" s="47">
        <v>4</v>
      </c>
      <c r="AC74" s="47">
        <v>589.44000000000005</v>
      </c>
      <c r="AD74" s="49">
        <v>20</v>
      </c>
      <c r="AH74" s="38">
        <v>10125</v>
      </c>
      <c r="AI74" s="38">
        <v>1763</v>
      </c>
      <c r="AJ74" s="39">
        <v>45045</v>
      </c>
      <c r="AK74" s="39">
        <v>45052</v>
      </c>
      <c r="AL74" s="38" t="s">
        <v>15</v>
      </c>
      <c r="AM74" s="38" t="s">
        <v>22</v>
      </c>
      <c r="AN74" s="38" t="s">
        <v>29</v>
      </c>
      <c r="AO74" s="38" t="s">
        <v>43</v>
      </c>
      <c r="AP74" s="38" t="s">
        <v>51</v>
      </c>
      <c r="AQ74" s="38" t="s">
        <v>63</v>
      </c>
      <c r="AR74" s="38" t="s">
        <v>46</v>
      </c>
      <c r="AS74" s="38">
        <v>9</v>
      </c>
      <c r="AT74" s="38">
        <v>3450.19</v>
      </c>
      <c r="AU74" s="40">
        <v>0</v>
      </c>
    </row>
    <row r="75" spans="1:47" x14ac:dyDescent="0.3">
      <c r="A75" s="35">
        <v>10095</v>
      </c>
      <c r="B75" s="35">
        <v>1771</v>
      </c>
      <c r="C75" s="36">
        <v>45135</v>
      </c>
      <c r="D75" s="36">
        <v>45137</v>
      </c>
      <c r="E75" s="35" t="s">
        <v>39</v>
      </c>
      <c r="F75" s="35" t="s">
        <v>53</v>
      </c>
      <c r="G75" s="35" t="s">
        <v>29</v>
      </c>
      <c r="H75" s="35" t="s">
        <v>41</v>
      </c>
      <c r="I75" s="35" t="s">
        <v>48</v>
      </c>
      <c r="J75" s="35" t="s">
        <v>49</v>
      </c>
      <c r="K75" s="35" t="s">
        <v>46</v>
      </c>
      <c r="L75" s="35">
        <v>3</v>
      </c>
      <c r="M75" s="35">
        <v>1368.86</v>
      </c>
      <c r="N75" s="37">
        <v>10</v>
      </c>
      <c r="O75" s="4"/>
      <c r="P75" s="4"/>
      <c r="Q75" s="1">
        <v>10494</v>
      </c>
      <c r="R75" s="47">
        <v>1322</v>
      </c>
      <c r="S75" s="48">
        <v>45151</v>
      </c>
      <c r="T75" s="48">
        <v>45154</v>
      </c>
      <c r="U75" s="47" t="s">
        <v>36</v>
      </c>
      <c r="V75" s="47" t="s">
        <v>40</v>
      </c>
      <c r="W75" s="47" t="s">
        <v>16</v>
      </c>
      <c r="X75" s="47" t="s">
        <v>43</v>
      </c>
      <c r="Y75" s="47" t="s">
        <v>56</v>
      </c>
      <c r="Z75" s="47" t="s">
        <v>65</v>
      </c>
      <c r="AA75" s="47" t="s">
        <v>44</v>
      </c>
      <c r="AB75" s="47">
        <v>5</v>
      </c>
      <c r="AC75" s="47">
        <v>529.59</v>
      </c>
      <c r="AD75" s="49">
        <v>5</v>
      </c>
      <c r="AH75" s="38">
        <v>10126</v>
      </c>
      <c r="AI75" s="38">
        <v>1187</v>
      </c>
      <c r="AJ75" s="39">
        <v>44997</v>
      </c>
      <c r="AK75" s="39">
        <v>45002</v>
      </c>
      <c r="AL75" s="38" t="s">
        <v>21</v>
      </c>
      <c r="AM75" s="38" t="s">
        <v>53</v>
      </c>
      <c r="AN75" s="38" t="s">
        <v>23</v>
      </c>
      <c r="AO75" s="38" t="s">
        <v>17</v>
      </c>
      <c r="AP75" s="38" t="s">
        <v>30</v>
      </c>
      <c r="AQ75" s="38" t="s">
        <v>47</v>
      </c>
      <c r="AR75" s="38" t="s">
        <v>27</v>
      </c>
      <c r="AS75" s="38">
        <v>9</v>
      </c>
      <c r="AT75" s="38">
        <v>3308.64</v>
      </c>
      <c r="AU75" s="40">
        <v>5</v>
      </c>
    </row>
    <row r="76" spans="1:47" x14ac:dyDescent="0.3">
      <c r="A76" s="35">
        <v>10096</v>
      </c>
      <c r="B76" s="35">
        <v>1821</v>
      </c>
      <c r="C76" s="36">
        <v>44940</v>
      </c>
      <c r="D76" s="36">
        <v>44947</v>
      </c>
      <c r="E76" s="35" t="s">
        <v>39</v>
      </c>
      <c r="F76" s="35" t="s">
        <v>15</v>
      </c>
      <c r="G76" s="35" t="s">
        <v>16</v>
      </c>
      <c r="H76" s="35" t="s">
        <v>24</v>
      </c>
      <c r="I76" s="35" t="s">
        <v>51</v>
      </c>
      <c r="J76" s="35" t="s">
        <v>59</v>
      </c>
      <c r="K76" s="35" t="s">
        <v>32</v>
      </c>
      <c r="L76" s="35">
        <v>2</v>
      </c>
      <c r="M76" s="35">
        <v>1249.94</v>
      </c>
      <c r="N76" s="37">
        <v>10</v>
      </c>
      <c r="O76" s="4"/>
      <c r="P76" s="4"/>
      <c r="Q76" s="19">
        <v>10005</v>
      </c>
      <c r="R76" s="19">
        <v>1106</v>
      </c>
      <c r="S76" s="20">
        <v>45241</v>
      </c>
      <c r="T76" s="20">
        <v>45244</v>
      </c>
      <c r="U76" s="19" t="s">
        <v>36</v>
      </c>
      <c r="V76" s="19" t="s">
        <v>37</v>
      </c>
      <c r="W76" s="19" t="s">
        <v>29</v>
      </c>
      <c r="X76" s="19" t="s">
        <v>17</v>
      </c>
      <c r="Y76" s="19" t="s">
        <v>30</v>
      </c>
      <c r="Z76" s="19" t="s">
        <v>38</v>
      </c>
      <c r="AA76" s="19" t="s">
        <v>20</v>
      </c>
      <c r="AB76" s="19">
        <v>7</v>
      </c>
      <c r="AC76" s="19">
        <v>3511.47</v>
      </c>
      <c r="AD76" s="21">
        <v>20</v>
      </c>
      <c r="AH76" s="38">
        <v>10127</v>
      </c>
      <c r="AI76" s="38">
        <v>1379</v>
      </c>
      <c r="AJ76" s="39">
        <v>44930</v>
      </c>
      <c r="AK76" s="39">
        <v>44935</v>
      </c>
      <c r="AL76" s="38" t="s">
        <v>36</v>
      </c>
      <c r="AM76" s="38" t="s">
        <v>53</v>
      </c>
      <c r="AN76" s="38" t="s">
        <v>23</v>
      </c>
      <c r="AO76" s="38" t="s">
        <v>17</v>
      </c>
      <c r="AP76" s="38" t="s">
        <v>30</v>
      </c>
      <c r="AQ76" s="38" t="s">
        <v>38</v>
      </c>
      <c r="AR76" s="38" t="s">
        <v>20</v>
      </c>
      <c r="AS76" s="38">
        <v>6</v>
      </c>
      <c r="AT76" s="38">
        <v>1846.21</v>
      </c>
      <c r="AU76" s="40">
        <v>10</v>
      </c>
    </row>
    <row r="77" spans="1:47" x14ac:dyDescent="0.3">
      <c r="A77" s="35">
        <v>10097</v>
      </c>
      <c r="B77" s="35">
        <v>1476</v>
      </c>
      <c r="C77" s="36">
        <v>45047</v>
      </c>
      <c r="D77" s="36">
        <v>45056</v>
      </c>
      <c r="E77" s="35" t="s">
        <v>36</v>
      </c>
      <c r="F77" s="35" t="s">
        <v>22</v>
      </c>
      <c r="G77" s="35" t="s">
        <v>23</v>
      </c>
      <c r="H77" s="35" t="s">
        <v>17</v>
      </c>
      <c r="I77" s="35" t="s">
        <v>51</v>
      </c>
      <c r="J77" s="35" t="s">
        <v>59</v>
      </c>
      <c r="K77" s="35" t="s">
        <v>27</v>
      </c>
      <c r="L77" s="35">
        <v>9</v>
      </c>
      <c r="M77" s="35">
        <v>501.79</v>
      </c>
      <c r="N77" s="37">
        <v>5</v>
      </c>
      <c r="O77" s="4"/>
      <c r="P77" s="4"/>
      <c r="Q77" s="19">
        <v>10014</v>
      </c>
      <c r="R77" s="19">
        <v>1458</v>
      </c>
      <c r="S77" s="20">
        <v>45039</v>
      </c>
      <c r="T77" s="20">
        <v>45045</v>
      </c>
      <c r="U77" s="19" t="s">
        <v>36</v>
      </c>
      <c r="V77" s="19" t="s">
        <v>37</v>
      </c>
      <c r="W77" s="19" t="s">
        <v>29</v>
      </c>
      <c r="X77" s="19" t="s">
        <v>34</v>
      </c>
      <c r="Y77" s="19" t="s">
        <v>25</v>
      </c>
      <c r="Z77" s="19" t="s">
        <v>35</v>
      </c>
      <c r="AA77" s="19" t="s">
        <v>27</v>
      </c>
      <c r="AB77" s="19">
        <v>8</v>
      </c>
      <c r="AC77" s="19">
        <v>1074.27</v>
      </c>
      <c r="AD77" s="21">
        <v>15</v>
      </c>
      <c r="AH77" s="41">
        <v>10129</v>
      </c>
      <c r="AI77" s="41">
        <v>1040</v>
      </c>
      <c r="AJ77" s="42">
        <v>44940</v>
      </c>
      <c r="AK77" s="42">
        <v>44946</v>
      </c>
      <c r="AL77" s="41" t="s">
        <v>33</v>
      </c>
      <c r="AM77" s="41" t="s">
        <v>28</v>
      </c>
      <c r="AN77" s="41" t="s">
        <v>23</v>
      </c>
      <c r="AO77" s="41" t="s">
        <v>43</v>
      </c>
      <c r="AP77" s="41" t="s">
        <v>51</v>
      </c>
      <c r="AQ77" s="41" t="s">
        <v>55</v>
      </c>
      <c r="AR77" s="41" t="s">
        <v>20</v>
      </c>
      <c r="AS77" s="41">
        <v>3</v>
      </c>
      <c r="AT77" s="41">
        <v>1621.67</v>
      </c>
      <c r="AU77" s="43">
        <v>0</v>
      </c>
    </row>
    <row r="78" spans="1:47" x14ac:dyDescent="0.3">
      <c r="A78" s="35">
        <v>10098</v>
      </c>
      <c r="B78" s="35">
        <v>1702</v>
      </c>
      <c r="C78" s="36">
        <v>44946</v>
      </c>
      <c r="D78" s="36">
        <v>44947</v>
      </c>
      <c r="E78" s="35" t="s">
        <v>36</v>
      </c>
      <c r="F78" s="35" t="s">
        <v>53</v>
      </c>
      <c r="G78" s="35" t="s">
        <v>23</v>
      </c>
      <c r="H78" s="35" t="s">
        <v>41</v>
      </c>
      <c r="I78" s="35" t="s">
        <v>25</v>
      </c>
      <c r="J78" s="35" t="s">
        <v>35</v>
      </c>
      <c r="K78" s="35" t="s">
        <v>44</v>
      </c>
      <c r="L78" s="35">
        <v>4</v>
      </c>
      <c r="M78" s="35">
        <v>1362.08</v>
      </c>
      <c r="N78" s="37">
        <v>15</v>
      </c>
      <c r="O78" s="4"/>
      <c r="P78" s="4"/>
      <c r="Q78" s="4"/>
      <c r="R78" s="4"/>
      <c r="AH78" s="41">
        <v>10130</v>
      </c>
      <c r="AI78" s="41">
        <v>1156</v>
      </c>
      <c r="AJ78" s="42">
        <v>44929</v>
      </c>
      <c r="AK78" s="42">
        <v>44938</v>
      </c>
      <c r="AL78" s="41" t="s">
        <v>14</v>
      </c>
      <c r="AM78" s="41" t="s">
        <v>40</v>
      </c>
      <c r="AN78" s="41" t="s">
        <v>16</v>
      </c>
      <c r="AO78" s="41" t="s">
        <v>41</v>
      </c>
      <c r="AP78" s="41" t="s">
        <v>56</v>
      </c>
      <c r="AQ78" s="41" t="s">
        <v>61</v>
      </c>
      <c r="AR78" s="41" t="s">
        <v>32</v>
      </c>
      <c r="AS78" s="41">
        <v>1</v>
      </c>
      <c r="AT78" s="41">
        <v>2534.4699999999998</v>
      </c>
      <c r="AU78" s="43">
        <v>5</v>
      </c>
    </row>
    <row r="79" spans="1:47" x14ac:dyDescent="0.3">
      <c r="A79" s="35">
        <v>10099</v>
      </c>
      <c r="B79" s="35">
        <v>1401</v>
      </c>
      <c r="C79" s="36">
        <v>45001</v>
      </c>
      <c r="D79" s="36">
        <v>45009</v>
      </c>
      <c r="E79" s="35" t="s">
        <v>45</v>
      </c>
      <c r="F79" s="35" t="s">
        <v>37</v>
      </c>
      <c r="G79" s="35" t="s">
        <v>16</v>
      </c>
      <c r="H79" s="35" t="s">
        <v>41</v>
      </c>
      <c r="I79" s="35" t="s">
        <v>51</v>
      </c>
      <c r="J79" s="35" t="s">
        <v>52</v>
      </c>
      <c r="K79" s="35" t="s">
        <v>27</v>
      </c>
      <c r="L79" s="35">
        <v>3</v>
      </c>
      <c r="M79" s="35">
        <v>315.75</v>
      </c>
      <c r="N79" s="37">
        <v>20</v>
      </c>
      <c r="O79" s="4"/>
      <c r="P79" s="4"/>
      <c r="Q79" s="4"/>
      <c r="R79" s="4"/>
      <c r="AH79" s="41">
        <v>10131</v>
      </c>
      <c r="AI79" s="41">
        <v>1014</v>
      </c>
      <c r="AJ79" s="42">
        <v>45142</v>
      </c>
      <c r="AK79" s="42">
        <v>45151</v>
      </c>
      <c r="AL79" s="41" t="s">
        <v>33</v>
      </c>
      <c r="AM79" s="41" t="s">
        <v>37</v>
      </c>
      <c r="AN79" s="41" t="s">
        <v>23</v>
      </c>
      <c r="AO79" s="41" t="s">
        <v>43</v>
      </c>
      <c r="AP79" s="41" t="s">
        <v>30</v>
      </c>
      <c r="AQ79" s="41" t="s">
        <v>31</v>
      </c>
      <c r="AR79" s="41" t="s">
        <v>20</v>
      </c>
      <c r="AS79" s="41">
        <v>7</v>
      </c>
      <c r="AT79" s="41">
        <v>1899.45</v>
      </c>
      <c r="AU79" s="43">
        <v>15</v>
      </c>
    </row>
    <row r="80" spans="1:47" x14ac:dyDescent="0.3">
      <c r="A80" s="35">
        <v>10100</v>
      </c>
      <c r="B80" s="35">
        <v>1729</v>
      </c>
      <c r="C80" s="36">
        <v>45169</v>
      </c>
      <c r="D80" s="36">
        <v>45176</v>
      </c>
      <c r="E80" s="35" t="s">
        <v>15</v>
      </c>
      <c r="F80" s="35" t="s">
        <v>28</v>
      </c>
      <c r="G80" s="35" t="s">
        <v>23</v>
      </c>
      <c r="H80" s="35" t="s">
        <v>17</v>
      </c>
      <c r="I80" s="35" t="s">
        <v>18</v>
      </c>
      <c r="J80" s="35" t="s">
        <v>42</v>
      </c>
      <c r="K80" s="35" t="s">
        <v>46</v>
      </c>
      <c r="L80" s="35">
        <v>7</v>
      </c>
      <c r="M80" s="35">
        <v>3156.71</v>
      </c>
      <c r="N80" s="37">
        <v>10</v>
      </c>
      <c r="O80" s="4"/>
      <c r="P80" s="4"/>
      <c r="Q80" s="4"/>
      <c r="R80" s="4"/>
      <c r="AH80" s="41">
        <v>10132</v>
      </c>
      <c r="AI80" s="41">
        <v>1812</v>
      </c>
      <c r="AJ80" s="42">
        <v>45155</v>
      </c>
      <c r="AK80" s="42">
        <v>45163</v>
      </c>
      <c r="AL80" s="41" t="s">
        <v>33</v>
      </c>
      <c r="AM80" s="41" t="s">
        <v>28</v>
      </c>
      <c r="AN80" s="41" t="s">
        <v>23</v>
      </c>
      <c r="AO80" s="41" t="s">
        <v>34</v>
      </c>
      <c r="AP80" s="41" t="s">
        <v>56</v>
      </c>
      <c r="AQ80" s="41" t="s">
        <v>57</v>
      </c>
      <c r="AR80" s="41" t="s">
        <v>46</v>
      </c>
      <c r="AS80" s="41">
        <v>4</v>
      </c>
      <c r="AT80" s="41">
        <v>3153.73</v>
      </c>
      <c r="AU80" s="43">
        <v>0</v>
      </c>
    </row>
    <row r="81" spans="1:47" x14ac:dyDescent="0.3">
      <c r="A81" s="35">
        <v>10101</v>
      </c>
      <c r="B81" s="35">
        <v>1555</v>
      </c>
      <c r="C81" s="36">
        <v>45149</v>
      </c>
      <c r="D81" s="36">
        <v>45155</v>
      </c>
      <c r="E81" s="35" t="s">
        <v>15</v>
      </c>
      <c r="F81" s="35" t="s">
        <v>15</v>
      </c>
      <c r="G81" s="35" t="s">
        <v>29</v>
      </c>
      <c r="H81" s="35" t="s">
        <v>41</v>
      </c>
      <c r="I81" s="35" t="s">
        <v>56</v>
      </c>
      <c r="J81" s="35" t="s">
        <v>58</v>
      </c>
      <c r="K81" s="35" t="s">
        <v>27</v>
      </c>
      <c r="L81" s="35">
        <v>8</v>
      </c>
      <c r="M81" s="35">
        <v>1683.18</v>
      </c>
      <c r="N81" s="37">
        <v>15</v>
      </c>
      <c r="O81" s="4"/>
      <c r="P81" s="4"/>
      <c r="Q81" s="4"/>
      <c r="R81" s="4"/>
      <c r="AH81" s="41">
        <v>10133</v>
      </c>
      <c r="AI81" s="41">
        <v>1064</v>
      </c>
      <c r="AJ81" s="42">
        <v>45262</v>
      </c>
      <c r="AK81" s="42">
        <v>45267</v>
      </c>
      <c r="AL81" s="41" t="s">
        <v>39</v>
      </c>
      <c r="AM81" s="41" t="s">
        <v>15</v>
      </c>
      <c r="AN81" s="41" t="s">
        <v>16</v>
      </c>
      <c r="AO81" s="41" t="s">
        <v>17</v>
      </c>
      <c r="AP81" s="41" t="s">
        <v>30</v>
      </c>
      <c r="AQ81" s="41" t="s">
        <v>47</v>
      </c>
      <c r="AR81" s="41" t="s">
        <v>27</v>
      </c>
      <c r="AS81" s="41">
        <v>1</v>
      </c>
      <c r="AT81" s="41">
        <v>3990.85</v>
      </c>
      <c r="AU81" s="43">
        <v>0</v>
      </c>
    </row>
    <row r="82" spans="1:47" x14ac:dyDescent="0.3">
      <c r="A82" s="35">
        <v>10102</v>
      </c>
      <c r="B82" s="35">
        <v>1161</v>
      </c>
      <c r="C82" s="36">
        <v>44996</v>
      </c>
      <c r="D82" s="36">
        <v>45002</v>
      </c>
      <c r="E82" s="35" t="s">
        <v>36</v>
      </c>
      <c r="F82" s="35" t="s">
        <v>53</v>
      </c>
      <c r="G82" s="35" t="s">
        <v>29</v>
      </c>
      <c r="H82" s="35" t="s">
        <v>24</v>
      </c>
      <c r="I82" s="35" t="s">
        <v>30</v>
      </c>
      <c r="J82" s="35" t="s">
        <v>38</v>
      </c>
      <c r="K82" s="35" t="s">
        <v>20</v>
      </c>
      <c r="L82" s="35">
        <v>2</v>
      </c>
      <c r="M82" s="35">
        <v>1859.03</v>
      </c>
      <c r="N82" s="37">
        <v>20</v>
      </c>
      <c r="O82" s="4"/>
      <c r="P82" s="4"/>
      <c r="Q82" s="4"/>
      <c r="R82" s="4"/>
      <c r="AH82" s="41">
        <v>10135</v>
      </c>
      <c r="AI82" s="41">
        <v>1838</v>
      </c>
      <c r="AJ82" s="42">
        <v>44981</v>
      </c>
      <c r="AK82" s="42">
        <v>44990</v>
      </c>
      <c r="AL82" s="41" t="s">
        <v>39</v>
      </c>
      <c r="AM82" s="41" t="s">
        <v>15</v>
      </c>
      <c r="AN82" s="41" t="s">
        <v>16</v>
      </c>
      <c r="AO82" s="41" t="s">
        <v>24</v>
      </c>
      <c r="AP82" s="41" t="s">
        <v>18</v>
      </c>
      <c r="AQ82" s="41" t="s">
        <v>42</v>
      </c>
      <c r="AR82" s="41" t="s">
        <v>46</v>
      </c>
      <c r="AS82" s="41">
        <v>6</v>
      </c>
      <c r="AT82" s="41">
        <v>1919.66</v>
      </c>
      <c r="AU82" s="43">
        <v>5</v>
      </c>
    </row>
    <row r="83" spans="1:47" x14ac:dyDescent="0.3">
      <c r="A83" s="35">
        <v>10103</v>
      </c>
      <c r="B83" s="35">
        <v>1201</v>
      </c>
      <c r="C83" s="36">
        <v>45238</v>
      </c>
      <c r="D83" s="36">
        <v>45244</v>
      </c>
      <c r="E83" s="35" t="s">
        <v>45</v>
      </c>
      <c r="F83" s="35" t="s">
        <v>22</v>
      </c>
      <c r="G83" s="35" t="s">
        <v>16</v>
      </c>
      <c r="H83" s="35" t="s">
        <v>41</v>
      </c>
      <c r="I83" s="35" t="s">
        <v>18</v>
      </c>
      <c r="J83" s="35" t="s">
        <v>19</v>
      </c>
      <c r="K83" s="35" t="s">
        <v>46</v>
      </c>
      <c r="L83" s="35">
        <v>7</v>
      </c>
      <c r="M83" s="35">
        <v>3590.34</v>
      </c>
      <c r="N83" s="37">
        <v>20</v>
      </c>
      <c r="O83" s="4"/>
      <c r="P83" s="4"/>
      <c r="Q83" s="4"/>
      <c r="R83" s="4"/>
      <c r="AH83" s="41">
        <v>10136</v>
      </c>
      <c r="AI83" s="41">
        <v>1520</v>
      </c>
      <c r="AJ83" s="42">
        <v>45180</v>
      </c>
      <c r="AK83" s="42">
        <v>45181</v>
      </c>
      <c r="AL83" s="41" t="s">
        <v>45</v>
      </c>
      <c r="AM83" s="41" t="s">
        <v>22</v>
      </c>
      <c r="AN83" s="41" t="s">
        <v>16</v>
      </c>
      <c r="AO83" s="41" t="s">
        <v>24</v>
      </c>
      <c r="AP83" s="41" t="s">
        <v>30</v>
      </c>
      <c r="AQ83" s="41" t="s">
        <v>38</v>
      </c>
      <c r="AR83" s="41" t="s">
        <v>32</v>
      </c>
      <c r="AS83" s="41">
        <v>6</v>
      </c>
      <c r="AT83" s="41">
        <v>1809.29</v>
      </c>
      <c r="AU83" s="43">
        <v>0</v>
      </c>
    </row>
    <row r="84" spans="1:47" x14ac:dyDescent="0.3">
      <c r="A84" s="35">
        <v>10105</v>
      </c>
      <c r="B84" s="35">
        <v>1995</v>
      </c>
      <c r="C84" s="36">
        <v>45027</v>
      </c>
      <c r="D84" s="36">
        <v>45029</v>
      </c>
      <c r="E84" s="35" t="s">
        <v>45</v>
      </c>
      <c r="F84" s="35" t="s">
        <v>40</v>
      </c>
      <c r="G84" s="35" t="s">
        <v>23</v>
      </c>
      <c r="H84" s="35" t="s">
        <v>34</v>
      </c>
      <c r="I84" s="35" t="s">
        <v>25</v>
      </c>
      <c r="J84" s="35" t="s">
        <v>26</v>
      </c>
      <c r="K84" s="35" t="s">
        <v>20</v>
      </c>
      <c r="L84" s="35">
        <v>5</v>
      </c>
      <c r="M84" s="35">
        <v>181.03</v>
      </c>
      <c r="N84" s="37">
        <v>10</v>
      </c>
      <c r="O84" s="4"/>
      <c r="P84" s="4"/>
      <c r="Q84" s="4"/>
      <c r="R84" s="4"/>
      <c r="AH84" s="41">
        <v>10140</v>
      </c>
      <c r="AI84" s="41">
        <v>1471</v>
      </c>
      <c r="AJ84" s="42">
        <v>45008</v>
      </c>
      <c r="AK84" s="42">
        <v>45015</v>
      </c>
      <c r="AL84" s="41" t="s">
        <v>15</v>
      </c>
      <c r="AM84" s="41" t="s">
        <v>53</v>
      </c>
      <c r="AN84" s="41" t="s">
        <v>29</v>
      </c>
      <c r="AO84" s="41" t="s">
        <v>41</v>
      </c>
      <c r="AP84" s="41" t="s">
        <v>56</v>
      </c>
      <c r="AQ84" s="41" t="s">
        <v>58</v>
      </c>
      <c r="AR84" s="41" t="s">
        <v>46</v>
      </c>
      <c r="AS84" s="41">
        <v>4</v>
      </c>
      <c r="AT84" s="41">
        <v>3565.41</v>
      </c>
      <c r="AU84" s="43">
        <v>20</v>
      </c>
    </row>
    <row r="85" spans="1:47" x14ac:dyDescent="0.3">
      <c r="A85" s="38">
        <v>10106</v>
      </c>
      <c r="B85" s="38">
        <v>1269</v>
      </c>
      <c r="C85" s="39">
        <v>45112</v>
      </c>
      <c r="D85" s="39">
        <v>45113</v>
      </c>
      <c r="E85" s="38" t="s">
        <v>45</v>
      </c>
      <c r="F85" s="38" t="s">
        <v>22</v>
      </c>
      <c r="G85" s="38" t="s">
        <v>29</v>
      </c>
      <c r="H85" s="38" t="s">
        <v>24</v>
      </c>
      <c r="I85" s="38" t="s">
        <v>48</v>
      </c>
      <c r="J85" s="38" t="s">
        <v>62</v>
      </c>
      <c r="K85" s="38" t="s">
        <v>46</v>
      </c>
      <c r="L85" s="38">
        <v>3</v>
      </c>
      <c r="M85" s="38">
        <v>3781.22</v>
      </c>
      <c r="N85" s="40">
        <v>5</v>
      </c>
      <c r="O85" s="4"/>
      <c r="P85" s="4"/>
      <c r="Q85" s="4"/>
      <c r="R85" s="4"/>
      <c r="AH85" s="41">
        <v>10141</v>
      </c>
      <c r="AI85" s="41">
        <v>1062</v>
      </c>
      <c r="AJ85" s="42">
        <v>45085</v>
      </c>
      <c r="AK85" s="42">
        <v>45092</v>
      </c>
      <c r="AL85" s="41" t="s">
        <v>36</v>
      </c>
      <c r="AM85" s="41" t="s">
        <v>28</v>
      </c>
      <c r="AN85" s="41" t="s">
        <v>16</v>
      </c>
      <c r="AO85" s="41" t="s">
        <v>24</v>
      </c>
      <c r="AP85" s="41" t="s">
        <v>30</v>
      </c>
      <c r="AQ85" s="41" t="s">
        <v>38</v>
      </c>
      <c r="AR85" s="41" t="s">
        <v>27</v>
      </c>
      <c r="AS85" s="41">
        <v>2</v>
      </c>
      <c r="AT85" s="41">
        <v>1766.42</v>
      </c>
      <c r="AU85" s="43">
        <v>10</v>
      </c>
    </row>
    <row r="86" spans="1:47" x14ac:dyDescent="0.3">
      <c r="A86" s="38">
        <v>10107</v>
      </c>
      <c r="B86" s="38">
        <v>1862</v>
      </c>
      <c r="C86" s="39">
        <v>45058</v>
      </c>
      <c r="D86" s="39">
        <v>45064</v>
      </c>
      <c r="E86" s="38" t="s">
        <v>45</v>
      </c>
      <c r="F86" s="38" t="s">
        <v>37</v>
      </c>
      <c r="G86" s="38" t="s">
        <v>16</v>
      </c>
      <c r="H86" s="38" t="s">
        <v>43</v>
      </c>
      <c r="I86" s="38" t="s">
        <v>51</v>
      </c>
      <c r="J86" s="38" t="s">
        <v>59</v>
      </c>
      <c r="K86" s="38" t="s">
        <v>44</v>
      </c>
      <c r="L86" s="38">
        <v>5</v>
      </c>
      <c r="M86" s="38">
        <v>1063.01</v>
      </c>
      <c r="N86" s="40">
        <v>15</v>
      </c>
      <c r="O86" s="4"/>
      <c r="P86" s="4"/>
      <c r="Q86" s="4"/>
      <c r="R86" s="4"/>
      <c r="AH86" s="41">
        <v>10142</v>
      </c>
      <c r="AI86" s="41">
        <v>1138</v>
      </c>
      <c r="AJ86" s="42">
        <v>45114</v>
      </c>
      <c r="AK86" s="42">
        <v>45123</v>
      </c>
      <c r="AL86" s="41" t="s">
        <v>15</v>
      </c>
      <c r="AM86" s="41" t="s">
        <v>37</v>
      </c>
      <c r="AN86" s="41" t="s">
        <v>16</v>
      </c>
      <c r="AO86" s="41" t="s">
        <v>41</v>
      </c>
      <c r="AP86" s="41" t="s">
        <v>48</v>
      </c>
      <c r="AQ86" s="41" t="s">
        <v>50</v>
      </c>
      <c r="AR86" s="41" t="s">
        <v>32</v>
      </c>
      <c r="AS86" s="41">
        <v>1</v>
      </c>
      <c r="AT86" s="41">
        <v>2063.0500000000002</v>
      </c>
      <c r="AU86" s="43">
        <v>0</v>
      </c>
    </row>
    <row r="87" spans="1:47" x14ac:dyDescent="0.3">
      <c r="A87" s="38">
        <v>10108</v>
      </c>
      <c r="B87" s="38">
        <v>1815</v>
      </c>
      <c r="C87" s="39">
        <v>45037</v>
      </c>
      <c r="D87" s="39">
        <v>45045</v>
      </c>
      <c r="E87" s="38" t="s">
        <v>14</v>
      </c>
      <c r="F87" s="38" t="s">
        <v>28</v>
      </c>
      <c r="G87" s="38" t="s">
        <v>23</v>
      </c>
      <c r="H87" s="38" t="s">
        <v>17</v>
      </c>
      <c r="I87" s="38" t="s">
        <v>25</v>
      </c>
      <c r="J87" s="38" t="s">
        <v>35</v>
      </c>
      <c r="K87" s="38" t="s">
        <v>20</v>
      </c>
      <c r="L87" s="38">
        <v>2</v>
      </c>
      <c r="M87" s="38">
        <v>564.30999999999995</v>
      </c>
      <c r="N87" s="40">
        <v>15</v>
      </c>
      <c r="O87" s="4"/>
      <c r="P87" s="4"/>
      <c r="Q87" s="4"/>
      <c r="R87" s="4"/>
      <c r="AH87" s="41">
        <v>10143</v>
      </c>
      <c r="AI87" s="41">
        <v>1498</v>
      </c>
      <c r="AJ87" s="42">
        <v>44986</v>
      </c>
      <c r="AK87" s="42">
        <v>44993</v>
      </c>
      <c r="AL87" s="41" t="s">
        <v>36</v>
      </c>
      <c r="AM87" s="41" t="s">
        <v>53</v>
      </c>
      <c r="AN87" s="41" t="s">
        <v>29</v>
      </c>
      <c r="AO87" s="41" t="s">
        <v>24</v>
      </c>
      <c r="AP87" s="41" t="s">
        <v>56</v>
      </c>
      <c r="AQ87" s="41" t="s">
        <v>57</v>
      </c>
      <c r="AR87" s="41" t="s">
        <v>20</v>
      </c>
      <c r="AS87" s="41">
        <v>7</v>
      </c>
      <c r="AT87" s="41">
        <v>3680.23</v>
      </c>
      <c r="AU87" s="43">
        <v>5</v>
      </c>
    </row>
    <row r="88" spans="1:47" x14ac:dyDescent="0.3">
      <c r="A88" s="38">
        <v>10110</v>
      </c>
      <c r="B88" s="38">
        <v>1455</v>
      </c>
      <c r="C88" s="39">
        <v>44946</v>
      </c>
      <c r="D88" s="39">
        <v>44947</v>
      </c>
      <c r="E88" s="38" t="s">
        <v>45</v>
      </c>
      <c r="F88" s="38" t="s">
        <v>15</v>
      </c>
      <c r="G88" s="38" t="s">
        <v>23</v>
      </c>
      <c r="H88" s="38" t="s">
        <v>34</v>
      </c>
      <c r="I88" s="38" t="s">
        <v>51</v>
      </c>
      <c r="J88" s="38" t="s">
        <v>55</v>
      </c>
      <c r="K88" s="38" t="s">
        <v>46</v>
      </c>
      <c r="L88" s="38">
        <v>6</v>
      </c>
      <c r="M88" s="38">
        <v>2076.84</v>
      </c>
      <c r="N88" s="40">
        <v>20</v>
      </c>
      <c r="O88" s="4"/>
      <c r="P88" s="4"/>
      <c r="Q88" s="4"/>
      <c r="R88" s="4"/>
      <c r="AH88" s="41">
        <v>10144</v>
      </c>
      <c r="AI88" s="41">
        <v>1592</v>
      </c>
      <c r="AJ88" s="42">
        <v>45231</v>
      </c>
      <c r="AK88" s="42">
        <v>45234</v>
      </c>
      <c r="AL88" s="41" t="s">
        <v>39</v>
      </c>
      <c r="AM88" s="41" t="s">
        <v>53</v>
      </c>
      <c r="AN88" s="41" t="s">
        <v>29</v>
      </c>
      <c r="AO88" s="41" t="s">
        <v>17</v>
      </c>
      <c r="AP88" s="41" t="s">
        <v>18</v>
      </c>
      <c r="AQ88" s="41" t="s">
        <v>54</v>
      </c>
      <c r="AR88" s="41" t="s">
        <v>32</v>
      </c>
      <c r="AS88" s="41">
        <v>8</v>
      </c>
      <c r="AT88" s="41">
        <v>3138.72</v>
      </c>
      <c r="AU88" s="43">
        <v>20</v>
      </c>
    </row>
    <row r="89" spans="1:47" x14ac:dyDescent="0.3">
      <c r="A89" s="38">
        <v>10111</v>
      </c>
      <c r="B89" s="38">
        <v>1461</v>
      </c>
      <c r="C89" s="39">
        <v>44950</v>
      </c>
      <c r="D89" s="39">
        <v>44959</v>
      </c>
      <c r="E89" s="38" t="s">
        <v>14</v>
      </c>
      <c r="F89" s="38" t="s">
        <v>53</v>
      </c>
      <c r="G89" s="38" t="s">
        <v>29</v>
      </c>
      <c r="H89" s="38" t="s">
        <v>34</v>
      </c>
      <c r="I89" s="38" t="s">
        <v>48</v>
      </c>
      <c r="J89" s="38" t="s">
        <v>66</v>
      </c>
      <c r="K89" s="38" t="s">
        <v>32</v>
      </c>
      <c r="L89" s="38">
        <v>1</v>
      </c>
      <c r="M89" s="38">
        <v>1820.02</v>
      </c>
      <c r="N89" s="40">
        <v>10</v>
      </c>
      <c r="O89" s="4"/>
      <c r="P89" s="4"/>
      <c r="Q89" s="4"/>
      <c r="R89" s="4"/>
      <c r="AH89" s="41">
        <v>10146</v>
      </c>
      <c r="AI89" s="41">
        <v>1674</v>
      </c>
      <c r="AJ89" s="42">
        <v>45137</v>
      </c>
      <c r="AK89" s="42">
        <v>45145</v>
      </c>
      <c r="AL89" s="41" t="s">
        <v>39</v>
      </c>
      <c r="AM89" s="41" t="s">
        <v>40</v>
      </c>
      <c r="AN89" s="41" t="s">
        <v>29</v>
      </c>
      <c r="AO89" s="41" t="s">
        <v>41</v>
      </c>
      <c r="AP89" s="41" t="s">
        <v>56</v>
      </c>
      <c r="AQ89" s="41" t="s">
        <v>61</v>
      </c>
      <c r="AR89" s="41" t="s">
        <v>32</v>
      </c>
      <c r="AS89" s="41">
        <v>4</v>
      </c>
      <c r="AT89" s="41">
        <v>2326.87</v>
      </c>
      <c r="AU89" s="43">
        <v>15</v>
      </c>
    </row>
    <row r="90" spans="1:47" x14ac:dyDescent="0.3">
      <c r="A90" s="38">
        <v>10112</v>
      </c>
      <c r="B90" s="38">
        <v>1726</v>
      </c>
      <c r="C90" s="39">
        <v>45153</v>
      </c>
      <c r="D90" s="39">
        <v>45154</v>
      </c>
      <c r="E90" s="38" t="s">
        <v>36</v>
      </c>
      <c r="F90" s="38" t="s">
        <v>40</v>
      </c>
      <c r="G90" s="38" t="s">
        <v>29</v>
      </c>
      <c r="H90" s="38" t="s">
        <v>17</v>
      </c>
      <c r="I90" s="38" t="s">
        <v>25</v>
      </c>
      <c r="J90" s="38" t="s">
        <v>35</v>
      </c>
      <c r="K90" s="38" t="s">
        <v>20</v>
      </c>
      <c r="L90" s="38">
        <v>4</v>
      </c>
      <c r="M90" s="38">
        <v>1110.5899999999999</v>
      </c>
      <c r="N90" s="40">
        <v>20</v>
      </c>
      <c r="O90" s="4"/>
      <c r="P90" s="4"/>
      <c r="Q90" s="4"/>
      <c r="R90" s="4"/>
      <c r="AH90" s="41">
        <v>10147</v>
      </c>
      <c r="AI90" s="41">
        <v>1418</v>
      </c>
      <c r="AJ90" s="42">
        <v>45078</v>
      </c>
      <c r="AK90" s="42">
        <v>45081</v>
      </c>
      <c r="AL90" s="41" t="s">
        <v>21</v>
      </c>
      <c r="AM90" s="41" t="s">
        <v>53</v>
      </c>
      <c r="AN90" s="41" t="s">
        <v>23</v>
      </c>
      <c r="AO90" s="41" t="s">
        <v>24</v>
      </c>
      <c r="AP90" s="41" t="s">
        <v>30</v>
      </c>
      <c r="AQ90" s="41" t="s">
        <v>47</v>
      </c>
      <c r="AR90" s="41" t="s">
        <v>20</v>
      </c>
      <c r="AS90" s="41">
        <v>6</v>
      </c>
      <c r="AT90" s="41">
        <v>1852.67</v>
      </c>
      <c r="AU90" s="43">
        <v>5</v>
      </c>
    </row>
    <row r="91" spans="1:47" x14ac:dyDescent="0.3">
      <c r="A91" s="38">
        <v>10113</v>
      </c>
      <c r="B91" s="38">
        <v>1251</v>
      </c>
      <c r="C91" s="39">
        <v>45080</v>
      </c>
      <c r="D91" s="39">
        <v>45083</v>
      </c>
      <c r="E91" s="38" t="s">
        <v>15</v>
      </c>
      <c r="F91" s="38" t="s">
        <v>22</v>
      </c>
      <c r="G91" s="38" t="s">
        <v>16</v>
      </c>
      <c r="H91" s="38" t="s">
        <v>17</v>
      </c>
      <c r="I91" s="38" t="s">
        <v>25</v>
      </c>
      <c r="J91" s="38" t="s">
        <v>60</v>
      </c>
      <c r="K91" s="38" t="s">
        <v>20</v>
      </c>
      <c r="L91" s="38">
        <v>6</v>
      </c>
      <c r="M91" s="38">
        <v>2257.77</v>
      </c>
      <c r="N91" s="40">
        <v>20</v>
      </c>
      <c r="O91" s="4"/>
      <c r="P91" s="4"/>
      <c r="Q91" s="4"/>
      <c r="R91" s="4"/>
      <c r="AH91" s="1">
        <v>10148</v>
      </c>
      <c r="AI91" s="44">
        <v>1288</v>
      </c>
      <c r="AJ91" s="45">
        <v>45035</v>
      </c>
      <c r="AK91" s="45">
        <v>45043</v>
      </c>
      <c r="AL91" s="44" t="s">
        <v>33</v>
      </c>
      <c r="AM91" s="44" t="s">
        <v>28</v>
      </c>
      <c r="AN91" s="44" t="s">
        <v>29</v>
      </c>
      <c r="AO91" s="44" t="s">
        <v>43</v>
      </c>
      <c r="AP91" s="44" t="s">
        <v>18</v>
      </c>
      <c r="AQ91" s="44" t="s">
        <v>19</v>
      </c>
      <c r="AR91" s="44" t="s">
        <v>46</v>
      </c>
      <c r="AS91" s="44">
        <v>3</v>
      </c>
      <c r="AT91" s="44">
        <v>3219.26</v>
      </c>
      <c r="AU91" s="46">
        <v>10</v>
      </c>
    </row>
    <row r="92" spans="1:47" x14ac:dyDescent="0.3">
      <c r="A92" s="38">
        <v>10114</v>
      </c>
      <c r="B92" s="38">
        <v>1701</v>
      </c>
      <c r="C92" s="39">
        <v>45219</v>
      </c>
      <c r="D92" s="39">
        <v>45227</v>
      </c>
      <c r="E92" s="38" t="s">
        <v>39</v>
      </c>
      <c r="F92" s="38" t="s">
        <v>22</v>
      </c>
      <c r="G92" s="38" t="s">
        <v>29</v>
      </c>
      <c r="H92" s="38" t="s">
        <v>24</v>
      </c>
      <c r="I92" s="38" t="s">
        <v>25</v>
      </c>
      <c r="J92" s="38" t="s">
        <v>67</v>
      </c>
      <c r="K92" s="38" t="s">
        <v>44</v>
      </c>
      <c r="L92" s="38">
        <v>9</v>
      </c>
      <c r="M92" s="38">
        <v>1206.3800000000001</v>
      </c>
      <c r="N92" s="40">
        <v>10</v>
      </c>
      <c r="O92" s="4"/>
      <c r="P92" s="4"/>
      <c r="Q92" s="4"/>
      <c r="R92" s="4"/>
      <c r="AH92" s="1">
        <v>10149</v>
      </c>
      <c r="AI92" s="44">
        <v>1378</v>
      </c>
      <c r="AJ92" s="45">
        <v>45002</v>
      </c>
      <c r="AK92" s="45">
        <v>45010</v>
      </c>
      <c r="AL92" s="44" t="s">
        <v>21</v>
      </c>
      <c r="AM92" s="44" t="s">
        <v>22</v>
      </c>
      <c r="AN92" s="44" t="s">
        <v>29</v>
      </c>
      <c r="AO92" s="44" t="s">
        <v>41</v>
      </c>
      <c r="AP92" s="44" t="s">
        <v>56</v>
      </c>
      <c r="AQ92" s="44" t="s">
        <v>61</v>
      </c>
      <c r="AR92" s="44" t="s">
        <v>32</v>
      </c>
      <c r="AS92" s="44">
        <v>8</v>
      </c>
      <c r="AT92" s="44">
        <v>2938.3</v>
      </c>
      <c r="AU92" s="46">
        <v>15</v>
      </c>
    </row>
    <row r="93" spans="1:47" x14ac:dyDescent="0.3">
      <c r="A93" s="38">
        <v>10115</v>
      </c>
      <c r="B93" s="38">
        <v>1295</v>
      </c>
      <c r="C93" s="39">
        <v>45156</v>
      </c>
      <c r="D93" s="39">
        <v>45159</v>
      </c>
      <c r="E93" s="38" t="s">
        <v>21</v>
      </c>
      <c r="F93" s="38" t="s">
        <v>53</v>
      </c>
      <c r="G93" s="38" t="s">
        <v>23</v>
      </c>
      <c r="H93" s="38" t="s">
        <v>41</v>
      </c>
      <c r="I93" s="38" t="s">
        <v>56</v>
      </c>
      <c r="J93" s="38" t="s">
        <v>61</v>
      </c>
      <c r="K93" s="38" t="s">
        <v>27</v>
      </c>
      <c r="L93" s="38">
        <v>2</v>
      </c>
      <c r="M93" s="38">
        <v>3621.09</v>
      </c>
      <c r="N93" s="40">
        <v>0</v>
      </c>
      <c r="O93" s="4"/>
      <c r="P93" s="4"/>
      <c r="Q93" s="4"/>
      <c r="R93" s="4"/>
      <c r="AH93" s="1">
        <v>10150</v>
      </c>
      <c r="AI93" s="44">
        <v>1772</v>
      </c>
      <c r="AJ93" s="45">
        <v>44956</v>
      </c>
      <c r="AK93" s="45">
        <v>44961</v>
      </c>
      <c r="AL93" s="44" t="s">
        <v>21</v>
      </c>
      <c r="AM93" s="44" t="s">
        <v>53</v>
      </c>
      <c r="AN93" s="44" t="s">
        <v>23</v>
      </c>
      <c r="AO93" s="44" t="s">
        <v>17</v>
      </c>
      <c r="AP93" s="44" t="s">
        <v>48</v>
      </c>
      <c r="AQ93" s="44" t="s">
        <v>50</v>
      </c>
      <c r="AR93" s="44" t="s">
        <v>27</v>
      </c>
      <c r="AS93" s="44">
        <v>2</v>
      </c>
      <c r="AT93" s="44">
        <v>2808.06</v>
      </c>
      <c r="AU93" s="46">
        <v>0</v>
      </c>
    </row>
    <row r="94" spans="1:47" x14ac:dyDescent="0.3">
      <c r="A94" s="38">
        <v>10116</v>
      </c>
      <c r="B94" s="38">
        <v>1724</v>
      </c>
      <c r="C94" s="39">
        <v>45236</v>
      </c>
      <c r="D94" s="39">
        <v>45240</v>
      </c>
      <c r="E94" s="38" t="s">
        <v>15</v>
      </c>
      <c r="F94" s="38" t="s">
        <v>40</v>
      </c>
      <c r="G94" s="38" t="s">
        <v>29</v>
      </c>
      <c r="H94" s="38" t="s">
        <v>17</v>
      </c>
      <c r="I94" s="38" t="s">
        <v>51</v>
      </c>
      <c r="J94" s="38" t="s">
        <v>59</v>
      </c>
      <c r="K94" s="38" t="s">
        <v>46</v>
      </c>
      <c r="L94" s="38">
        <v>7</v>
      </c>
      <c r="M94" s="38">
        <v>978.54</v>
      </c>
      <c r="N94" s="40">
        <v>15</v>
      </c>
      <c r="O94" s="4"/>
      <c r="P94" s="4"/>
      <c r="Q94" s="4"/>
      <c r="R94" s="4"/>
      <c r="AH94" s="1">
        <v>10152</v>
      </c>
      <c r="AI94" s="44">
        <v>1230</v>
      </c>
      <c r="AJ94" s="45">
        <v>45043</v>
      </c>
      <c r="AK94" s="45">
        <v>45050</v>
      </c>
      <c r="AL94" s="44" t="s">
        <v>36</v>
      </c>
      <c r="AM94" s="44" t="s">
        <v>15</v>
      </c>
      <c r="AN94" s="44" t="s">
        <v>23</v>
      </c>
      <c r="AO94" s="44" t="s">
        <v>43</v>
      </c>
      <c r="AP94" s="44" t="s">
        <v>51</v>
      </c>
      <c r="AQ94" s="44" t="s">
        <v>55</v>
      </c>
      <c r="AR94" s="44" t="s">
        <v>46</v>
      </c>
      <c r="AS94" s="44">
        <v>1</v>
      </c>
      <c r="AT94" s="44">
        <v>3249.11</v>
      </c>
      <c r="AU94" s="46">
        <v>10</v>
      </c>
    </row>
    <row r="95" spans="1:47" x14ac:dyDescent="0.3">
      <c r="A95" s="38">
        <v>10117</v>
      </c>
      <c r="B95" s="38">
        <v>1719</v>
      </c>
      <c r="C95" s="39">
        <v>45285</v>
      </c>
      <c r="D95" s="39">
        <v>45293</v>
      </c>
      <c r="E95" s="38" t="s">
        <v>39</v>
      </c>
      <c r="F95" s="38" t="s">
        <v>53</v>
      </c>
      <c r="G95" s="38" t="s">
        <v>16</v>
      </c>
      <c r="H95" s="38" t="s">
        <v>41</v>
      </c>
      <c r="I95" s="38" t="s">
        <v>56</v>
      </c>
      <c r="J95" s="38" t="s">
        <v>57</v>
      </c>
      <c r="K95" s="38" t="s">
        <v>46</v>
      </c>
      <c r="L95" s="38">
        <v>6</v>
      </c>
      <c r="M95" s="38">
        <v>3554.77</v>
      </c>
      <c r="N95" s="40">
        <v>20</v>
      </c>
      <c r="O95" s="4"/>
      <c r="P95" s="4"/>
      <c r="Q95" s="4"/>
      <c r="R95" s="4"/>
      <c r="AH95" s="1">
        <v>10158</v>
      </c>
      <c r="AI95" s="44">
        <v>1779</v>
      </c>
      <c r="AJ95" s="45">
        <v>45276</v>
      </c>
      <c r="AK95" s="45">
        <v>45277</v>
      </c>
      <c r="AL95" s="44" t="s">
        <v>21</v>
      </c>
      <c r="AM95" s="44" t="s">
        <v>40</v>
      </c>
      <c r="AN95" s="44" t="s">
        <v>23</v>
      </c>
      <c r="AO95" s="44" t="s">
        <v>17</v>
      </c>
      <c r="AP95" s="44" t="s">
        <v>48</v>
      </c>
      <c r="AQ95" s="44" t="s">
        <v>62</v>
      </c>
      <c r="AR95" s="44" t="s">
        <v>27</v>
      </c>
      <c r="AS95" s="44">
        <v>8</v>
      </c>
      <c r="AT95" s="44">
        <v>3346.08</v>
      </c>
      <c r="AU95" s="46">
        <v>15</v>
      </c>
    </row>
    <row r="96" spans="1:47" x14ac:dyDescent="0.3">
      <c r="A96" s="38">
        <v>10118</v>
      </c>
      <c r="B96" s="38">
        <v>1748</v>
      </c>
      <c r="C96" s="39">
        <v>45128</v>
      </c>
      <c r="D96" s="39">
        <v>45129</v>
      </c>
      <c r="E96" s="38" t="s">
        <v>21</v>
      </c>
      <c r="F96" s="38" t="s">
        <v>15</v>
      </c>
      <c r="G96" s="38" t="s">
        <v>16</v>
      </c>
      <c r="H96" s="38" t="s">
        <v>43</v>
      </c>
      <c r="I96" s="38" t="s">
        <v>30</v>
      </c>
      <c r="J96" s="38" t="s">
        <v>47</v>
      </c>
      <c r="K96" s="38" t="s">
        <v>32</v>
      </c>
      <c r="L96" s="38">
        <v>2</v>
      </c>
      <c r="M96" s="38">
        <v>2303.71</v>
      </c>
      <c r="N96" s="40">
        <v>20</v>
      </c>
      <c r="O96" s="4"/>
      <c r="P96" s="4"/>
      <c r="Q96" s="4"/>
      <c r="R96" s="4"/>
      <c r="AH96" s="1">
        <v>10159</v>
      </c>
      <c r="AI96" s="44">
        <v>1929</v>
      </c>
      <c r="AJ96" s="45">
        <v>45109</v>
      </c>
      <c r="AK96" s="45">
        <v>45113</v>
      </c>
      <c r="AL96" s="44" t="s">
        <v>33</v>
      </c>
      <c r="AM96" s="44" t="s">
        <v>15</v>
      </c>
      <c r="AN96" s="44" t="s">
        <v>23</v>
      </c>
      <c r="AO96" s="44" t="s">
        <v>24</v>
      </c>
      <c r="AP96" s="44" t="s">
        <v>48</v>
      </c>
      <c r="AQ96" s="44" t="s">
        <v>66</v>
      </c>
      <c r="AR96" s="44" t="s">
        <v>44</v>
      </c>
      <c r="AS96" s="44">
        <v>6</v>
      </c>
      <c r="AT96" s="44">
        <v>3800.77</v>
      </c>
      <c r="AU96" s="46">
        <v>0</v>
      </c>
    </row>
    <row r="97" spans="1:47" x14ac:dyDescent="0.3">
      <c r="A97" s="38">
        <v>10119</v>
      </c>
      <c r="B97" s="38">
        <v>1337</v>
      </c>
      <c r="C97" s="39">
        <v>44964</v>
      </c>
      <c r="D97" s="39">
        <v>44970</v>
      </c>
      <c r="E97" s="38" t="s">
        <v>15</v>
      </c>
      <c r="F97" s="38" t="s">
        <v>37</v>
      </c>
      <c r="G97" s="38" t="s">
        <v>16</v>
      </c>
      <c r="H97" s="38" t="s">
        <v>34</v>
      </c>
      <c r="I97" s="38" t="s">
        <v>30</v>
      </c>
      <c r="J97" s="38" t="s">
        <v>31</v>
      </c>
      <c r="K97" s="38" t="s">
        <v>32</v>
      </c>
      <c r="L97" s="38">
        <v>8</v>
      </c>
      <c r="M97" s="38">
        <v>3339.68</v>
      </c>
      <c r="N97" s="40">
        <v>0</v>
      </c>
      <c r="O97" s="4"/>
      <c r="P97" s="4"/>
      <c r="Q97" s="4"/>
      <c r="R97" s="4"/>
      <c r="AH97" s="1">
        <v>10165</v>
      </c>
      <c r="AI97" s="44">
        <v>1727</v>
      </c>
      <c r="AJ97" s="45">
        <v>45039</v>
      </c>
      <c r="AK97" s="45">
        <v>45043</v>
      </c>
      <c r="AL97" s="44" t="s">
        <v>33</v>
      </c>
      <c r="AM97" s="44" t="s">
        <v>37</v>
      </c>
      <c r="AN97" s="44" t="s">
        <v>23</v>
      </c>
      <c r="AO97" s="44" t="s">
        <v>34</v>
      </c>
      <c r="AP97" s="44" t="s">
        <v>56</v>
      </c>
      <c r="AQ97" s="44" t="s">
        <v>61</v>
      </c>
      <c r="AR97" s="44" t="s">
        <v>27</v>
      </c>
      <c r="AS97" s="44">
        <v>4</v>
      </c>
      <c r="AT97" s="44">
        <v>3718.63</v>
      </c>
      <c r="AU97" s="46">
        <v>20</v>
      </c>
    </row>
    <row r="98" spans="1:47" x14ac:dyDescent="0.3">
      <c r="A98" s="38">
        <v>10120</v>
      </c>
      <c r="B98" s="38">
        <v>1878</v>
      </c>
      <c r="C98" s="39">
        <v>45186</v>
      </c>
      <c r="D98" s="39">
        <v>45187</v>
      </c>
      <c r="E98" s="38" t="s">
        <v>39</v>
      </c>
      <c r="F98" s="38" t="s">
        <v>22</v>
      </c>
      <c r="G98" s="38" t="s">
        <v>23</v>
      </c>
      <c r="H98" s="38" t="s">
        <v>41</v>
      </c>
      <c r="I98" s="38" t="s">
        <v>51</v>
      </c>
      <c r="J98" s="38" t="s">
        <v>52</v>
      </c>
      <c r="K98" s="38" t="s">
        <v>46</v>
      </c>
      <c r="L98" s="38">
        <v>7</v>
      </c>
      <c r="M98" s="38">
        <v>2894.46</v>
      </c>
      <c r="N98" s="40">
        <v>5</v>
      </c>
      <c r="O98" s="4"/>
      <c r="P98" s="4"/>
      <c r="Q98" s="4"/>
      <c r="R98" s="4"/>
      <c r="AH98" s="1">
        <v>10167</v>
      </c>
      <c r="AI98" s="44">
        <v>1098</v>
      </c>
      <c r="AJ98" s="45">
        <v>45177</v>
      </c>
      <c r="AK98" s="45">
        <v>45182</v>
      </c>
      <c r="AL98" s="44" t="s">
        <v>39</v>
      </c>
      <c r="AM98" s="44" t="s">
        <v>40</v>
      </c>
      <c r="AN98" s="44" t="s">
        <v>29</v>
      </c>
      <c r="AO98" s="44" t="s">
        <v>41</v>
      </c>
      <c r="AP98" s="44" t="s">
        <v>30</v>
      </c>
      <c r="AQ98" s="44" t="s">
        <v>31</v>
      </c>
      <c r="AR98" s="44" t="s">
        <v>44</v>
      </c>
      <c r="AS98" s="44">
        <v>7</v>
      </c>
      <c r="AT98" s="44">
        <v>1767.02</v>
      </c>
      <c r="AU98" s="46">
        <v>15</v>
      </c>
    </row>
    <row r="99" spans="1:47" x14ac:dyDescent="0.3">
      <c r="A99" s="38">
        <v>10121</v>
      </c>
      <c r="B99" s="38">
        <v>1052</v>
      </c>
      <c r="C99" s="39">
        <v>45114</v>
      </c>
      <c r="D99" s="39">
        <v>45115</v>
      </c>
      <c r="E99" s="38" t="s">
        <v>15</v>
      </c>
      <c r="F99" s="38" t="s">
        <v>15</v>
      </c>
      <c r="G99" s="38" t="s">
        <v>23</v>
      </c>
      <c r="H99" s="38" t="s">
        <v>34</v>
      </c>
      <c r="I99" s="38" t="s">
        <v>56</v>
      </c>
      <c r="J99" s="38" t="s">
        <v>61</v>
      </c>
      <c r="K99" s="38" t="s">
        <v>32</v>
      </c>
      <c r="L99" s="38">
        <v>5</v>
      </c>
      <c r="M99" s="38">
        <v>2832.28</v>
      </c>
      <c r="N99" s="40">
        <v>0</v>
      </c>
      <c r="O99" s="4"/>
      <c r="P99" s="4"/>
      <c r="Q99" s="4"/>
      <c r="R99" s="4"/>
      <c r="AH99" s="1">
        <v>10170</v>
      </c>
      <c r="AI99" s="44">
        <v>1725</v>
      </c>
      <c r="AJ99" s="45">
        <v>45044</v>
      </c>
      <c r="AK99" s="45">
        <v>45048</v>
      </c>
      <c r="AL99" s="44" t="s">
        <v>36</v>
      </c>
      <c r="AM99" s="44" t="s">
        <v>15</v>
      </c>
      <c r="AN99" s="44" t="s">
        <v>23</v>
      </c>
      <c r="AO99" s="44" t="s">
        <v>17</v>
      </c>
      <c r="AP99" s="44" t="s">
        <v>30</v>
      </c>
      <c r="AQ99" s="44" t="s">
        <v>64</v>
      </c>
      <c r="AR99" s="44" t="s">
        <v>32</v>
      </c>
      <c r="AS99" s="44">
        <v>7</v>
      </c>
      <c r="AT99" s="44">
        <v>2964.96</v>
      </c>
      <c r="AU99" s="46">
        <v>5</v>
      </c>
    </row>
    <row r="100" spans="1:47" x14ac:dyDescent="0.3">
      <c r="A100" s="38">
        <v>10122</v>
      </c>
      <c r="B100" s="38">
        <v>1791</v>
      </c>
      <c r="C100" s="39">
        <v>44983</v>
      </c>
      <c r="D100" s="39">
        <v>44991</v>
      </c>
      <c r="E100" s="38" t="s">
        <v>15</v>
      </c>
      <c r="F100" s="38" t="s">
        <v>37</v>
      </c>
      <c r="G100" s="38" t="s">
        <v>23</v>
      </c>
      <c r="H100" s="38" t="s">
        <v>41</v>
      </c>
      <c r="I100" s="38" t="s">
        <v>48</v>
      </c>
      <c r="J100" s="38" t="s">
        <v>62</v>
      </c>
      <c r="K100" s="38" t="s">
        <v>44</v>
      </c>
      <c r="L100" s="38">
        <v>5</v>
      </c>
      <c r="M100" s="38">
        <v>1398.73</v>
      </c>
      <c r="N100" s="40">
        <v>0</v>
      </c>
      <c r="O100" s="4"/>
      <c r="P100" s="4"/>
      <c r="Q100" s="4"/>
      <c r="R100" s="4"/>
      <c r="AH100" s="1">
        <v>10171</v>
      </c>
      <c r="AI100" s="44">
        <v>1986</v>
      </c>
      <c r="AJ100" s="45">
        <v>45227</v>
      </c>
      <c r="AK100" s="45">
        <v>45228</v>
      </c>
      <c r="AL100" s="44" t="s">
        <v>14</v>
      </c>
      <c r="AM100" s="44" t="s">
        <v>40</v>
      </c>
      <c r="AN100" s="44" t="s">
        <v>23</v>
      </c>
      <c r="AO100" s="44" t="s">
        <v>17</v>
      </c>
      <c r="AP100" s="44" t="s">
        <v>18</v>
      </c>
      <c r="AQ100" s="44" t="s">
        <v>42</v>
      </c>
      <c r="AR100" s="44" t="s">
        <v>20</v>
      </c>
      <c r="AS100" s="44">
        <v>8</v>
      </c>
      <c r="AT100" s="44">
        <v>3795.01</v>
      </c>
      <c r="AU100" s="46">
        <v>5</v>
      </c>
    </row>
    <row r="101" spans="1:47" x14ac:dyDescent="0.3">
      <c r="A101" s="38">
        <v>10123</v>
      </c>
      <c r="B101" s="38">
        <v>1921</v>
      </c>
      <c r="C101" s="39">
        <v>44946</v>
      </c>
      <c r="D101" s="39">
        <v>44950</v>
      </c>
      <c r="E101" s="38" t="s">
        <v>21</v>
      </c>
      <c r="F101" s="38" t="s">
        <v>15</v>
      </c>
      <c r="G101" s="38" t="s">
        <v>23</v>
      </c>
      <c r="H101" s="38" t="s">
        <v>43</v>
      </c>
      <c r="I101" s="38" t="s">
        <v>25</v>
      </c>
      <c r="J101" s="38" t="s">
        <v>67</v>
      </c>
      <c r="K101" s="38" t="s">
        <v>46</v>
      </c>
      <c r="L101" s="38">
        <v>7</v>
      </c>
      <c r="M101" s="38">
        <v>1050.5</v>
      </c>
      <c r="N101" s="40">
        <v>20</v>
      </c>
      <c r="O101" s="4"/>
      <c r="P101" s="4"/>
      <c r="Q101" s="4"/>
      <c r="R101" s="4"/>
      <c r="AH101" s="1">
        <v>10172</v>
      </c>
      <c r="AI101" s="44">
        <v>1546</v>
      </c>
      <c r="AJ101" s="45">
        <v>45087</v>
      </c>
      <c r="AK101" s="45">
        <v>45088</v>
      </c>
      <c r="AL101" s="44" t="s">
        <v>45</v>
      </c>
      <c r="AM101" s="44" t="s">
        <v>53</v>
      </c>
      <c r="AN101" s="44" t="s">
        <v>16</v>
      </c>
      <c r="AO101" s="44" t="s">
        <v>41</v>
      </c>
      <c r="AP101" s="44" t="s">
        <v>48</v>
      </c>
      <c r="AQ101" s="44" t="s">
        <v>62</v>
      </c>
      <c r="AR101" s="44" t="s">
        <v>46</v>
      </c>
      <c r="AS101" s="44">
        <v>9</v>
      </c>
      <c r="AT101" s="44">
        <v>3159.22</v>
      </c>
      <c r="AU101" s="46">
        <v>20</v>
      </c>
    </row>
    <row r="102" spans="1:47" x14ac:dyDescent="0.3">
      <c r="A102" s="38">
        <v>10124</v>
      </c>
      <c r="B102" s="38">
        <v>1216</v>
      </c>
      <c r="C102" s="39">
        <v>45199</v>
      </c>
      <c r="D102" s="39">
        <v>45200</v>
      </c>
      <c r="E102" s="38" t="s">
        <v>15</v>
      </c>
      <c r="F102" s="38" t="s">
        <v>40</v>
      </c>
      <c r="G102" s="38" t="s">
        <v>23</v>
      </c>
      <c r="H102" s="38" t="s">
        <v>17</v>
      </c>
      <c r="I102" s="38" t="s">
        <v>25</v>
      </c>
      <c r="J102" s="38" t="s">
        <v>60</v>
      </c>
      <c r="K102" s="38" t="s">
        <v>32</v>
      </c>
      <c r="L102" s="38">
        <v>9</v>
      </c>
      <c r="M102" s="38">
        <v>961.91</v>
      </c>
      <c r="N102" s="40">
        <v>15</v>
      </c>
      <c r="O102" s="4"/>
      <c r="P102" s="4"/>
      <c r="Q102" s="4"/>
      <c r="R102" s="4"/>
      <c r="AH102" s="1">
        <v>10175</v>
      </c>
      <c r="AI102" s="44">
        <v>1612</v>
      </c>
      <c r="AJ102" s="45">
        <v>45074</v>
      </c>
      <c r="AK102" s="45">
        <v>45081</v>
      </c>
      <c r="AL102" s="44" t="s">
        <v>15</v>
      </c>
      <c r="AM102" s="44" t="s">
        <v>40</v>
      </c>
      <c r="AN102" s="44" t="s">
        <v>16</v>
      </c>
      <c r="AO102" s="44" t="s">
        <v>17</v>
      </c>
      <c r="AP102" s="44" t="s">
        <v>30</v>
      </c>
      <c r="AQ102" s="44" t="s">
        <v>31</v>
      </c>
      <c r="AR102" s="44" t="s">
        <v>44</v>
      </c>
      <c r="AS102" s="44">
        <v>4</v>
      </c>
      <c r="AT102" s="44">
        <v>2836.21</v>
      </c>
      <c r="AU102" s="46">
        <v>20</v>
      </c>
    </row>
    <row r="103" spans="1:47" x14ac:dyDescent="0.3">
      <c r="A103" s="38">
        <v>10125</v>
      </c>
      <c r="B103" s="38">
        <v>1763</v>
      </c>
      <c r="C103" s="39">
        <v>45045</v>
      </c>
      <c r="D103" s="39">
        <v>45052</v>
      </c>
      <c r="E103" s="38" t="s">
        <v>15</v>
      </c>
      <c r="F103" s="38" t="s">
        <v>22</v>
      </c>
      <c r="G103" s="38" t="s">
        <v>29</v>
      </c>
      <c r="H103" s="38" t="s">
        <v>43</v>
      </c>
      <c r="I103" s="38" t="s">
        <v>51</v>
      </c>
      <c r="J103" s="38" t="s">
        <v>63</v>
      </c>
      <c r="K103" s="38" t="s">
        <v>46</v>
      </c>
      <c r="L103" s="38">
        <v>9</v>
      </c>
      <c r="M103" s="38">
        <v>3450.19</v>
      </c>
      <c r="N103" s="40">
        <v>0</v>
      </c>
      <c r="O103" s="4"/>
      <c r="P103" s="4"/>
      <c r="Q103" s="4"/>
      <c r="R103" s="4"/>
      <c r="AH103" s="1">
        <v>10180</v>
      </c>
      <c r="AI103" s="47">
        <v>1004</v>
      </c>
      <c r="AJ103" s="48">
        <v>45004</v>
      </c>
      <c r="AK103" s="48">
        <v>45006</v>
      </c>
      <c r="AL103" s="47" t="s">
        <v>14</v>
      </c>
      <c r="AM103" s="47" t="s">
        <v>28</v>
      </c>
      <c r="AN103" s="47" t="s">
        <v>16</v>
      </c>
      <c r="AO103" s="47" t="s">
        <v>34</v>
      </c>
      <c r="AP103" s="47" t="s">
        <v>18</v>
      </c>
      <c r="AQ103" s="47" t="s">
        <v>42</v>
      </c>
      <c r="AR103" s="47" t="s">
        <v>44</v>
      </c>
      <c r="AS103" s="47">
        <v>8</v>
      </c>
      <c r="AT103" s="47">
        <v>2211.17</v>
      </c>
      <c r="AU103" s="49">
        <v>10</v>
      </c>
    </row>
    <row r="104" spans="1:47" x14ac:dyDescent="0.3">
      <c r="A104" s="38">
        <v>10126</v>
      </c>
      <c r="B104" s="38">
        <v>1187</v>
      </c>
      <c r="C104" s="39">
        <v>44997</v>
      </c>
      <c r="D104" s="39">
        <v>45002</v>
      </c>
      <c r="E104" s="38" t="s">
        <v>21</v>
      </c>
      <c r="F104" s="38" t="s">
        <v>53</v>
      </c>
      <c r="G104" s="38" t="s">
        <v>23</v>
      </c>
      <c r="H104" s="38" t="s">
        <v>17</v>
      </c>
      <c r="I104" s="38" t="s">
        <v>30</v>
      </c>
      <c r="J104" s="38" t="s">
        <v>47</v>
      </c>
      <c r="K104" s="38" t="s">
        <v>27</v>
      </c>
      <c r="L104" s="38">
        <v>9</v>
      </c>
      <c r="M104" s="38">
        <v>3308.64</v>
      </c>
      <c r="N104" s="40">
        <v>5</v>
      </c>
      <c r="O104" s="4"/>
      <c r="P104" s="4"/>
      <c r="Q104" s="4"/>
      <c r="R104" s="4"/>
      <c r="AH104" s="1">
        <v>10181</v>
      </c>
      <c r="AI104" s="47">
        <v>1217</v>
      </c>
      <c r="AJ104" s="48">
        <v>45050</v>
      </c>
      <c r="AK104" s="48">
        <v>45053</v>
      </c>
      <c r="AL104" s="47" t="s">
        <v>14</v>
      </c>
      <c r="AM104" s="47" t="s">
        <v>22</v>
      </c>
      <c r="AN104" s="47" t="s">
        <v>16</v>
      </c>
      <c r="AO104" s="47" t="s">
        <v>41</v>
      </c>
      <c r="AP104" s="47" t="s">
        <v>48</v>
      </c>
      <c r="AQ104" s="47" t="s">
        <v>49</v>
      </c>
      <c r="AR104" s="47" t="s">
        <v>32</v>
      </c>
      <c r="AS104" s="47">
        <v>5</v>
      </c>
      <c r="AT104" s="47">
        <v>2329.38</v>
      </c>
      <c r="AU104" s="49">
        <v>20</v>
      </c>
    </row>
    <row r="105" spans="1:47" x14ac:dyDescent="0.3">
      <c r="A105" s="38">
        <v>10127</v>
      </c>
      <c r="B105" s="38">
        <v>1379</v>
      </c>
      <c r="C105" s="39">
        <v>44930</v>
      </c>
      <c r="D105" s="39">
        <v>44935</v>
      </c>
      <c r="E105" s="38" t="s">
        <v>36</v>
      </c>
      <c r="F105" s="38" t="s">
        <v>53</v>
      </c>
      <c r="G105" s="38" t="s">
        <v>23</v>
      </c>
      <c r="H105" s="38" t="s">
        <v>17</v>
      </c>
      <c r="I105" s="38" t="s">
        <v>30</v>
      </c>
      <c r="J105" s="38" t="s">
        <v>38</v>
      </c>
      <c r="K105" s="38" t="s">
        <v>20</v>
      </c>
      <c r="L105" s="38">
        <v>6</v>
      </c>
      <c r="M105" s="38">
        <v>1846.21</v>
      </c>
      <c r="N105" s="40">
        <v>10</v>
      </c>
      <c r="O105" s="4"/>
      <c r="P105" s="4"/>
      <c r="Q105" s="4"/>
      <c r="R105" s="4"/>
      <c r="AH105" s="1">
        <v>10184</v>
      </c>
      <c r="AI105" s="47">
        <v>1397</v>
      </c>
      <c r="AJ105" s="48">
        <v>45063</v>
      </c>
      <c r="AK105" s="48">
        <v>45072</v>
      </c>
      <c r="AL105" s="47" t="s">
        <v>21</v>
      </c>
      <c r="AM105" s="47" t="s">
        <v>53</v>
      </c>
      <c r="AN105" s="47" t="s">
        <v>16</v>
      </c>
      <c r="AO105" s="47" t="s">
        <v>43</v>
      </c>
      <c r="AP105" s="47" t="s">
        <v>51</v>
      </c>
      <c r="AQ105" s="47" t="s">
        <v>63</v>
      </c>
      <c r="AR105" s="47" t="s">
        <v>20</v>
      </c>
      <c r="AS105" s="47">
        <v>5</v>
      </c>
      <c r="AT105" s="47">
        <v>2125.75</v>
      </c>
      <c r="AU105" s="49">
        <v>15</v>
      </c>
    </row>
    <row r="106" spans="1:47" x14ac:dyDescent="0.3">
      <c r="A106" s="38">
        <v>10128</v>
      </c>
      <c r="B106" s="38">
        <v>1492</v>
      </c>
      <c r="C106" s="39">
        <v>45147</v>
      </c>
      <c r="D106" s="39">
        <v>45148</v>
      </c>
      <c r="E106" s="38" t="s">
        <v>45</v>
      </c>
      <c r="F106" s="38" t="s">
        <v>37</v>
      </c>
      <c r="G106" s="38" t="s">
        <v>29</v>
      </c>
      <c r="H106" s="38" t="s">
        <v>34</v>
      </c>
      <c r="I106" s="38" t="s">
        <v>25</v>
      </c>
      <c r="J106" s="38" t="s">
        <v>60</v>
      </c>
      <c r="K106" s="38" t="s">
        <v>46</v>
      </c>
      <c r="L106" s="38">
        <v>6</v>
      </c>
      <c r="M106" s="38">
        <v>659.76</v>
      </c>
      <c r="N106" s="40">
        <v>0</v>
      </c>
      <c r="O106" s="4"/>
      <c r="P106" s="4"/>
      <c r="Q106" s="4"/>
      <c r="R106" s="4"/>
      <c r="AH106" s="1">
        <v>10187</v>
      </c>
      <c r="AI106" s="47">
        <v>1392</v>
      </c>
      <c r="AJ106" s="48">
        <v>44987</v>
      </c>
      <c r="AK106" s="48">
        <v>44991</v>
      </c>
      <c r="AL106" s="47" t="s">
        <v>15</v>
      </c>
      <c r="AM106" s="47" t="s">
        <v>40</v>
      </c>
      <c r="AN106" s="47" t="s">
        <v>16</v>
      </c>
      <c r="AO106" s="47" t="s">
        <v>43</v>
      </c>
      <c r="AP106" s="47" t="s">
        <v>18</v>
      </c>
      <c r="AQ106" s="47" t="s">
        <v>42</v>
      </c>
      <c r="AR106" s="47" t="s">
        <v>32</v>
      </c>
      <c r="AS106" s="47">
        <v>1</v>
      </c>
      <c r="AT106" s="47">
        <v>1730.41</v>
      </c>
      <c r="AU106" s="49">
        <v>10</v>
      </c>
    </row>
    <row r="107" spans="1:47" x14ac:dyDescent="0.3">
      <c r="A107" s="41">
        <v>10129</v>
      </c>
      <c r="B107" s="41">
        <v>1040</v>
      </c>
      <c r="C107" s="42">
        <v>44940</v>
      </c>
      <c r="D107" s="42">
        <v>44946</v>
      </c>
      <c r="E107" s="41" t="s">
        <v>33</v>
      </c>
      <c r="F107" s="41" t="s">
        <v>28</v>
      </c>
      <c r="G107" s="41" t="s">
        <v>23</v>
      </c>
      <c r="H107" s="41" t="s">
        <v>43</v>
      </c>
      <c r="I107" s="41" t="s">
        <v>51</v>
      </c>
      <c r="J107" s="41" t="s">
        <v>55</v>
      </c>
      <c r="K107" s="41" t="s">
        <v>20</v>
      </c>
      <c r="L107" s="41">
        <v>3</v>
      </c>
      <c r="M107" s="41">
        <v>1621.67</v>
      </c>
      <c r="N107" s="43">
        <v>0</v>
      </c>
      <c r="O107" s="4"/>
      <c r="P107" s="4"/>
      <c r="Q107" s="4"/>
      <c r="R107" s="4"/>
      <c r="AH107" s="1">
        <v>10196</v>
      </c>
      <c r="AI107" s="47">
        <v>1863</v>
      </c>
      <c r="AJ107" s="48">
        <v>45124</v>
      </c>
      <c r="AK107" s="48">
        <v>45133</v>
      </c>
      <c r="AL107" s="47" t="s">
        <v>36</v>
      </c>
      <c r="AM107" s="47" t="s">
        <v>28</v>
      </c>
      <c r="AN107" s="47" t="s">
        <v>29</v>
      </c>
      <c r="AO107" s="47" t="s">
        <v>43</v>
      </c>
      <c r="AP107" s="47" t="s">
        <v>51</v>
      </c>
      <c r="AQ107" s="47" t="s">
        <v>52</v>
      </c>
      <c r="AR107" s="47" t="s">
        <v>20</v>
      </c>
      <c r="AS107" s="47">
        <v>8</v>
      </c>
      <c r="AT107" s="47">
        <v>2561.86</v>
      </c>
      <c r="AU107" s="49">
        <v>0</v>
      </c>
    </row>
    <row r="108" spans="1:47" x14ac:dyDescent="0.3">
      <c r="A108" s="41">
        <v>10130</v>
      </c>
      <c r="B108" s="41">
        <v>1156</v>
      </c>
      <c r="C108" s="42">
        <v>44929</v>
      </c>
      <c r="D108" s="42">
        <v>44938</v>
      </c>
      <c r="E108" s="41" t="s">
        <v>14</v>
      </c>
      <c r="F108" s="41" t="s">
        <v>40</v>
      </c>
      <c r="G108" s="41" t="s">
        <v>16</v>
      </c>
      <c r="H108" s="41" t="s">
        <v>41</v>
      </c>
      <c r="I108" s="41" t="s">
        <v>56</v>
      </c>
      <c r="J108" s="41" t="s">
        <v>61</v>
      </c>
      <c r="K108" s="41" t="s">
        <v>32</v>
      </c>
      <c r="L108" s="41">
        <v>1</v>
      </c>
      <c r="M108" s="41">
        <v>2534.4699999999998</v>
      </c>
      <c r="N108" s="43">
        <v>5</v>
      </c>
      <c r="O108" s="4"/>
      <c r="P108" s="4"/>
      <c r="Q108" s="4"/>
      <c r="R108" s="4"/>
      <c r="AH108" s="1">
        <v>10200</v>
      </c>
      <c r="AI108" s="47">
        <v>1095</v>
      </c>
      <c r="AJ108" s="48">
        <v>45171</v>
      </c>
      <c r="AK108" s="48">
        <v>45176</v>
      </c>
      <c r="AL108" s="47" t="s">
        <v>14</v>
      </c>
      <c r="AM108" s="47" t="s">
        <v>28</v>
      </c>
      <c r="AN108" s="47" t="s">
        <v>29</v>
      </c>
      <c r="AO108" s="47" t="s">
        <v>43</v>
      </c>
      <c r="AP108" s="47" t="s">
        <v>18</v>
      </c>
      <c r="AQ108" s="47" t="s">
        <v>68</v>
      </c>
      <c r="AR108" s="47" t="s">
        <v>32</v>
      </c>
      <c r="AS108" s="47">
        <v>3</v>
      </c>
      <c r="AT108" s="47">
        <v>2701.77</v>
      </c>
      <c r="AU108" s="49">
        <v>15</v>
      </c>
    </row>
    <row r="109" spans="1:47" x14ac:dyDescent="0.3">
      <c r="A109" s="41">
        <v>10131</v>
      </c>
      <c r="B109" s="41">
        <v>1014</v>
      </c>
      <c r="C109" s="42">
        <v>45142</v>
      </c>
      <c r="D109" s="42">
        <v>45151</v>
      </c>
      <c r="E109" s="41" t="s">
        <v>33</v>
      </c>
      <c r="F109" s="41" t="s">
        <v>37</v>
      </c>
      <c r="G109" s="41" t="s">
        <v>23</v>
      </c>
      <c r="H109" s="41" t="s">
        <v>43</v>
      </c>
      <c r="I109" s="41" t="s">
        <v>30</v>
      </c>
      <c r="J109" s="41" t="s">
        <v>31</v>
      </c>
      <c r="K109" s="41" t="s">
        <v>20</v>
      </c>
      <c r="L109" s="41">
        <v>7</v>
      </c>
      <c r="M109" s="41">
        <v>1899.45</v>
      </c>
      <c r="N109" s="43">
        <v>15</v>
      </c>
      <c r="O109" s="4"/>
      <c r="P109" s="4"/>
      <c r="Q109" s="4"/>
      <c r="R109" s="4"/>
      <c r="AH109" s="1">
        <v>10201</v>
      </c>
      <c r="AI109" s="47">
        <v>1899</v>
      </c>
      <c r="AJ109" s="48">
        <v>44961</v>
      </c>
      <c r="AK109" s="48">
        <v>44966</v>
      </c>
      <c r="AL109" s="47" t="s">
        <v>14</v>
      </c>
      <c r="AM109" s="47" t="s">
        <v>28</v>
      </c>
      <c r="AN109" s="47" t="s">
        <v>29</v>
      </c>
      <c r="AO109" s="47" t="s">
        <v>41</v>
      </c>
      <c r="AP109" s="47" t="s">
        <v>56</v>
      </c>
      <c r="AQ109" s="47" t="s">
        <v>58</v>
      </c>
      <c r="AR109" s="47" t="s">
        <v>27</v>
      </c>
      <c r="AS109" s="47">
        <v>5</v>
      </c>
      <c r="AT109" s="47">
        <v>3501.94</v>
      </c>
      <c r="AU109" s="49">
        <v>20</v>
      </c>
    </row>
    <row r="110" spans="1:47" x14ac:dyDescent="0.3">
      <c r="A110" s="41">
        <v>10132</v>
      </c>
      <c r="B110" s="41">
        <v>1812</v>
      </c>
      <c r="C110" s="42">
        <v>45155</v>
      </c>
      <c r="D110" s="42">
        <v>45163</v>
      </c>
      <c r="E110" s="41" t="s">
        <v>33</v>
      </c>
      <c r="F110" s="41" t="s">
        <v>28</v>
      </c>
      <c r="G110" s="41" t="s">
        <v>23</v>
      </c>
      <c r="H110" s="41" t="s">
        <v>34</v>
      </c>
      <c r="I110" s="41" t="s">
        <v>56</v>
      </c>
      <c r="J110" s="41" t="s">
        <v>57</v>
      </c>
      <c r="K110" s="41" t="s">
        <v>46</v>
      </c>
      <c r="L110" s="41">
        <v>4</v>
      </c>
      <c r="M110" s="41">
        <v>3153.73</v>
      </c>
      <c r="N110" s="43">
        <v>0</v>
      </c>
      <c r="O110" s="4"/>
      <c r="P110" s="4"/>
      <c r="Q110" s="4"/>
      <c r="R110" s="4"/>
      <c r="AH110" s="1">
        <v>10202</v>
      </c>
      <c r="AI110" s="47">
        <v>1733</v>
      </c>
      <c r="AJ110" s="48">
        <v>45228</v>
      </c>
      <c r="AK110" s="48">
        <v>45229</v>
      </c>
      <c r="AL110" s="47" t="s">
        <v>39</v>
      </c>
      <c r="AM110" s="47" t="s">
        <v>53</v>
      </c>
      <c r="AN110" s="47" t="s">
        <v>16</v>
      </c>
      <c r="AO110" s="47" t="s">
        <v>17</v>
      </c>
      <c r="AP110" s="47" t="s">
        <v>30</v>
      </c>
      <c r="AQ110" s="47" t="s">
        <v>64</v>
      </c>
      <c r="AR110" s="47" t="s">
        <v>27</v>
      </c>
      <c r="AS110" s="47">
        <v>9</v>
      </c>
      <c r="AT110" s="47">
        <v>3072.48</v>
      </c>
      <c r="AU110" s="49">
        <v>0</v>
      </c>
    </row>
    <row r="111" spans="1:47" x14ac:dyDescent="0.3">
      <c r="A111" s="41">
        <v>10133</v>
      </c>
      <c r="B111" s="41">
        <v>1064</v>
      </c>
      <c r="C111" s="42">
        <v>45262</v>
      </c>
      <c r="D111" s="42">
        <v>45267</v>
      </c>
      <c r="E111" s="41" t="s">
        <v>39</v>
      </c>
      <c r="F111" s="41" t="s">
        <v>15</v>
      </c>
      <c r="G111" s="41" t="s">
        <v>16</v>
      </c>
      <c r="H111" s="41" t="s">
        <v>17</v>
      </c>
      <c r="I111" s="41" t="s">
        <v>30</v>
      </c>
      <c r="J111" s="41" t="s">
        <v>47</v>
      </c>
      <c r="K111" s="41" t="s">
        <v>27</v>
      </c>
      <c r="L111" s="41">
        <v>1</v>
      </c>
      <c r="M111" s="41">
        <v>3990.85</v>
      </c>
      <c r="N111" s="43">
        <v>0</v>
      </c>
      <c r="O111" s="4"/>
      <c r="P111" s="4"/>
      <c r="Q111" s="4"/>
      <c r="R111" s="4"/>
      <c r="AH111" s="1">
        <v>10210</v>
      </c>
      <c r="AI111" s="47">
        <v>1035</v>
      </c>
      <c r="AJ111" s="48">
        <v>45282</v>
      </c>
      <c r="AK111" s="48">
        <v>45284</v>
      </c>
      <c r="AL111" s="47" t="s">
        <v>14</v>
      </c>
      <c r="AM111" s="47" t="s">
        <v>53</v>
      </c>
      <c r="AN111" s="47" t="s">
        <v>29</v>
      </c>
      <c r="AO111" s="47" t="s">
        <v>17</v>
      </c>
      <c r="AP111" s="47" t="s">
        <v>18</v>
      </c>
      <c r="AQ111" s="47" t="s">
        <v>19</v>
      </c>
      <c r="AR111" s="47" t="s">
        <v>44</v>
      </c>
      <c r="AS111" s="47">
        <v>8</v>
      </c>
      <c r="AT111" s="47">
        <v>3656.59</v>
      </c>
      <c r="AU111" s="49">
        <v>15</v>
      </c>
    </row>
    <row r="112" spans="1:47" x14ac:dyDescent="0.3">
      <c r="A112" s="41">
        <v>10135</v>
      </c>
      <c r="B112" s="41">
        <v>1838</v>
      </c>
      <c r="C112" s="42">
        <v>44981</v>
      </c>
      <c r="D112" s="42">
        <v>44990</v>
      </c>
      <c r="E112" s="41" t="s">
        <v>39</v>
      </c>
      <c r="F112" s="41" t="s">
        <v>15</v>
      </c>
      <c r="G112" s="41" t="s">
        <v>16</v>
      </c>
      <c r="H112" s="41" t="s">
        <v>24</v>
      </c>
      <c r="I112" s="41" t="s">
        <v>18</v>
      </c>
      <c r="J112" s="41" t="s">
        <v>42</v>
      </c>
      <c r="K112" s="41" t="s">
        <v>46</v>
      </c>
      <c r="L112" s="41">
        <v>6</v>
      </c>
      <c r="M112" s="41">
        <v>1919.66</v>
      </c>
      <c r="N112" s="43">
        <v>5</v>
      </c>
      <c r="O112" s="4"/>
      <c r="P112" s="4"/>
      <c r="Q112" s="4"/>
      <c r="R112" s="4"/>
      <c r="AH112" s="1">
        <v>10211</v>
      </c>
      <c r="AI112" s="47">
        <v>1524</v>
      </c>
      <c r="AJ112" s="48">
        <v>44996</v>
      </c>
      <c r="AK112" s="48">
        <v>45000</v>
      </c>
      <c r="AL112" s="47" t="s">
        <v>21</v>
      </c>
      <c r="AM112" s="47" t="s">
        <v>22</v>
      </c>
      <c r="AN112" s="47" t="s">
        <v>23</v>
      </c>
      <c r="AO112" s="47" t="s">
        <v>41</v>
      </c>
      <c r="AP112" s="47" t="s">
        <v>48</v>
      </c>
      <c r="AQ112" s="47" t="s">
        <v>50</v>
      </c>
      <c r="AR112" s="47" t="s">
        <v>20</v>
      </c>
      <c r="AS112" s="47">
        <v>7</v>
      </c>
      <c r="AT112" s="47">
        <v>2257.5500000000002</v>
      </c>
      <c r="AU112" s="49">
        <v>10</v>
      </c>
    </row>
    <row r="113" spans="1:47" x14ac:dyDescent="0.3">
      <c r="A113" s="41">
        <v>10136</v>
      </c>
      <c r="B113" s="41">
        <v>1520</v>
      </c>
      <c r="C113" s="42">
        <v>45180</v>
      </c>
      <c r="D113" s="42">
        <v>45181</v>
      </c>
      <c r="E113" s="41" t="s">
        <v>45</v>
      </c>
      <c r="F113" s="41" t="s">
        <v>22</v>
      </c>
      <c r="G113" s="41" t="s">
        <v>16</v>
      </c>
      <c r="H113" s="41" t="s">
        <v>24</v>
      </c>
      <c r="I113" s="41" t="s">
        <v>30</v>
      </c>
      <c r="J113" s="41" t="s">
        <v>38</v>
      </c>
      <c r="K113" s="41" t="s">
        <v>32</v>
      </c>
      <c r="L113" s="41">
        <v>6</v>
      </c>
      <c r="M113" s="41">
        <v>1809.29</v>
      </c>
      <c r="N113" s="43">
        <v>0</v>
      </c>
      <c r="O113" s="4"/>
      <c r="P113" s="4"/>
      <c r="Q113" s="4"/>
      <c r="R113" s="4"/>
      <c r="AH113" s="1">
        <v>10212</v>
      </c>
      <c r="AI113" s="47">
        <v>1159</v>
      </c>
      <c r="AJ113" s="48">
        <v>45016</v>
      </c>
      <c r="AK113" s="48">
        <v>45019</v>
      </c>
      <c r="AL113" s="47" t="s">
        <v>15</v>
      </c>
      <c r="AM113" s="47" t="s">
        <v>28</v>
      </c>
      <c r="AN113" s="47" t="s">
        <v>29</v>
      </c>
      <c r="AO113" s="47" t="s">
        <v>43</v>
      </c>
      <c r="AP113" s="47" t="s">
        <v>25</v>
      </c>
      <c r="AQ113" s="47" t="s">
        <v>60</v>
      </c>
      <c r="AR113" s="47" t="s">
        <v>32</v>
      </c>
      <c r="AS113" s="47">
        <v>1</v>
      </c>
      <c r="AT113" s="47">
        <v>2975.54</v>
      </c>
      <c r="AU113" s="49">
        <v>15</v>
      </c>
    </row>
    <row r="114" spans="1:47" x14ac:dyDescent="0.3">
      <c r="A114" s="41">
        <v>10138</v>
      </c>
      <c r="B114" s="41">
        <v>1128</v>
      </c>
      <c r="C114" s="42">
        <v>45088</v>
      </c>
      <c r="D114" s="42">
        <v>45093</v>
      </c>
      <c r="E114" s="41" t="s">
        <v>21</v>
      </c>
      <c r="F114" s="41" t="s">
        <v>28</v>
      </c>
      <c r="G114" s="41" t="s">
        <v>16</v>
      </c>
      <c r="H114" s="41" t="s">
        <v>34</v>
      </c>
      <c r="I114" s="41" t="s">
        <v>51</v>
      </c>
      <c r="J114" s="41" t="s">
        <v>52</v>
      </c>
      <c r="K114" s="41" t="s">
        <v>20</v>
      </c>
      <c r="L114" s="41">
        <v>1</v>
      </c>
      <c r="M114" s="41">
        <v>912.67</v>
      </c>
      <c r="N114" s="43">
        <v>0</v>
      </c>
      <c r="O114" s="4"/>
      <c r="P114" s="4"/>
      <c r="Q114" s="4"/>
      <c r="R114" s="4"/>
      <c r="AH114" s="1">
        <v>10214</v>
      </c>
      <c r="AI114" s="47">
        <v>1698</v>
      </c>
      <c r="AJ114" s="48">
        <v>45052</v>
      </c>
      <c r="AK114" s="48">
        <v>45061</v>
      </c>
      <c r="AL114" s="47" t="s">
        <v>36</v>
      </c>
      <c r="AM114" s="47" t="s">
        <v>28</v>
      </c>
      <c r="AN114" s="47" t="s">
        <v>23</v>
      </c>
      <c r="AO114" s="47" t="s">
        <v>43</v>
      </c>
      <c r="AP114" s="47" t="s">
        <v>48</v>
      </c>
      <c r="AQ114" s="47" t="s">
        <v>62</v>
      </c>
      <c r="AR114" s="47" t="s">
        <v>46</v>
      </c>
      <c r="AS114" s="47">
        <v>4</v>
      </c>
      <c r="AT114" s="47">
        <v>1719.71</v>
      </c>
      <c r="AU114" s="49">
        <v>15</v>
      </c>
    </row>
    <row r="115" spans="1:47" x14ac:dyDescent="0.3">
      <c r="A115" s="41">
        <v>10139</v>
      </c>
      <c r="B115" s="41">
        <v>1647</v>
      </c>
      <c r="C115" s="42">
        <v>45084</v>
      </c>
      <c r="D115" s="42">
        <v>45087</v>
      </c>
      <c r="E115" s="41" t="s">
        <v>45</v>
      </c>
      <c r="F115" s="41" t="s">
        <v>22</v>
      </c>
      <c r="G115" s="41" t="s">
        <v>16</v>
      </c>
      <c r="H115" s="41" t="s">
        <v>41</v>
      </c>
      <c r="I115" s="41" t="s">
        <v>51</v>
      </c>
      <c r="J115" s="41" t="s">
        <v>52</v>
      </c>
      <c r="K115" s="41" t="s">
        <v>44</v>
      </c>
      <c r="L115" s="41">
        <v>2</v>
      </c>
      <c r="M115" s="41">
        <v>402.91</v>
      </c>
      <c r="N115" s="43">
        <v>10</v>
      </c>
      <c r="O115" s="4"/>
      <c r="P115" s="4"/>
      <c r="Q115" s="4"/>
      <c r="R115" s="4"/>
      <c r="AH115" s="1">
        <v>10217</v>
      </c>
      <c r="AI115" s="47">
        <v>1795</v>
      </c>
      <c r="AJ115" s="48">
        <v>45055</v>
      </c>
      <c r="AK115" s="48">
        <v>45057</v>
      </c>
      <c r="AL115" s="47" t="s">
        <v>36</v>
      </c>
      <c r="AM115" s="47" t="s">
        <v>40</v>
      </c>
      <c r="AN115" s="47" t="s">
        <v>23</v>
      </c>
      <c r="AO115" s="47" t="s">
        <v>41</v>
      </c>
      <c r="AP115" s="47" t="s">
        <v>48</v>
      </c>
      <c r="AQ115" s="47" t="s">
        <v>49</v>
      </c>
      <c r="AR115" s="47" t="s">
        <v>27</v>
      </c>
      <c r="AS115" s="47">
        <v>4</v>
      </c>
      <c r="AT115" s="47">
        <v>3335.32</v>
      </c>
      <c r="AU115" s="49">
        <v>20</v>
      </c>
    </row>
    <row r="116" spans="1:47" x14ac:dyDescent="0.3">
      <c r="A116" s="41">
        <v>10140</v>
      </c>
      <c r="B116" s="41">
        <v>1471</v>
      </c>
      <c r="C116" s="42">
        <v>45008</v>
      </c>
      <c r="D116" s="42">
        <v>45015</v>
      </c>
      <c r="E116" s="41" t="s">
        <v>15</v>
      </c>
      <c r="F116" s="41" t="s">
        <v>53</v>
      </c>
      <c r="G116" s="41" t="s">
        <v>29</v>
      </c>
      <c r="H116" s="41" t="s">
        <v>41</v>
      </c>
      <c r="I116" s="41" t="s">
        <v>56</v>
      </c>
      <c r="J116" s="41" t="s">
        <v>58</v>
      </c>
      <c r="K116" s="41" t="s">
        <v>46</v>
      </c>
      <c r="L116" s="41">
        <v>4</v>
      </c>
      <c r="M116" s="41">
        <v>3565.41</v>
      </c>
      <c r="N116" s="43">
        <v>20</v>
      </c>
      <c r="O116" s="4"/>
      <c r="P116" s="4"/>
      <c r="Q116" s="4"/>
      <c r="R116" s="4"/>
      <c r="AH116" s="1">
        <v>10218</v>
      </c>
      <c r="AI116" s="47">
        <v>1577</v>
      </c>
      <c r="AJ116" s="48">
        <v>45206</v>
      </c>
      <c r="AK116" s="48">
        <v>45209</v>
      </c>
      <c r="AL116" s="47" t="s">
        <v>36</v>
      </c>
      <c r="AM116" s="47" t="s">
        <v>28</v>
      </c>
      <c r="AN116" s="47" t="s">
        <v>16</v>
      </c>
      <c r="AO116" s="47" t="s">
        <v>43</v>
      </c>
      <c r="AP116" s="47" t="s">
        <v>25</v>
      </c>
      <c r="AQ116" s="47" t="s">
        <v>67</v>
      </c>
      <c r="AR116" s="47" t="s">
        <v>44</v>
      </c>
      <c r="AS116" s="47">
        <v>2</v>
      </c>
      <c r="AT116" s="47">
        <v>2401.63</v>
      </c>
      <c r="AU116" s="49">
        <v>0</v>
      </c>
    </row>
    <row r="117" spans="1:47" x14ac:dyDescent="0.3">
      <c r="A117" s="41">
        <v>10141</v>
      </c>
      <c r="B117" s="41">
        <v>1062</v>
      </c>
      <c r="C117" s="42">
        <v>45085</v>
      </c>
      <c r="D117" s="42">
        <v>45092</v>
      </c>
      <c r="E117" s="41" t="s">
        <v>36</v>
      </c>
      <c r="F117" s="41" t="s">
        <v>28</v>
      </c>
      <c r="G117" s="41" t="s">
        <v>16</v>
      </c>
      <c r="H117" s="41" t="s">
        <v>24</v>
      </c>
      <c r="I117" s="41" t="s">
        <v>30</v>
      </c>
      <c r="J117" s="41" t="s">
        <v>38</v>
      </c>
      <c r="K117" s="41" t="s">
        <v>27</v>
      </c>
      <c r="L117" s="41">
        <v>2</v>
      </c>
      <c r="M117" s="41">
        <v>1766.42</v>
      </c>
      <c r="N117" s="43">
        <v>10</v>
      </c>
      <c r="O117" s="4"/>
      <c r="P117" s="4"/>
      <c r="Q117" s="4"/>
      <c r="R117" s="4"/>
      <c r="AH117" s="1">
        <v>10220</v>
      </c>
      <c r="AI117" s="47">
        <v>1556</v>
      </c>
      <c r="AJ117" s="48">
        <v>45026</v>
      </c>
      <c r="AK117" s="48">
        <v>45035</v>
      </c>
      <c r="AL117" s="47" t="s">
        <v>36</v>
      </c>
      <c r="AM117" s="47" t="s">
        <v>15</v>
      </c>
      <c r="AN117" s="47" t="s">
        <v>23</v>
      </c>
      <c r="AO117" s="47" t="s">
        <v>17</v>
      </c>
      <c r="AP117" s="47" t="s">
        <v>18</v>
      </c>
      <c r="AQ117" s="47" t="s">
        <v>54</v>
      </c>
      <c r="AR117" s="47" t="s">
        <v>20</v>
      </c>
      <c r="AS117" s="47">
        <v>8</v>
      </c>
      <c r="AT117" s="47">
        <v>3240.98</v>
      </c>
      <c r="AU117" s="49">
        <v>0</v>
      </c>
    </row>
    <row r="118" spans="1:47" x14ac:dyDescent="0.3">
      <c r="A118" s="41">
        <v>10142</v>
      </c>
      <c r="B118" s="41">
        <v>1138</v>
      </c>
      <c r="C118" s="42">
        <v>45114</v>
      </c>
      <c r="D118" s="42">
        <v>45123</v>
      </c>
      <c r="E118" s="41" t="s">
        <v>15</v>
      </c>
      <c r="F118" s="41" t="s">
        <v>37</v>
      </c>
      <c r="G118" s="41" t="s">
        <v>16</v>
      </c>
      <c r="H118" s="41" t="s">
        <v>41</v>
      </c>
      <c r="I118" s="41" t="s">
        <v>48</v>
      </c>
      <c r="J118" s="41" t="s">
        <v>50</v>
      </c>
      <c r="K118" s="41" t="s">
        <v>32</v>
      </c>
      <c r="L118" s="41">
        <v>1</v>
      </c>
      <c r="M118" s="41">
        <v>2063.0500000000002</v>
      </c>
      <c r="N118" s="43">
        <v>0</v>
      </c>
      <c r="O118" s="4"/>
      <c r="P118" s="4"/>
      <c r="Q118" s="4"/>
      <c r="R118" s="4"/>
      <c r="AH118" s="1">
        <v>10222</v>
      </c>
      <c r="AI118" s="47">
        <v>1952</v>
      </c>
      <c r="AJ118" s="48">
        <v>45223</v>
      </c>
      <c r="AK118" s="48">
        <v>45231</v>
      </c>
      <c r="AL118" s="47" t="s">
        <v>15</v>
      </c>
      <c r="AM118" s="47" t="s">
        <v>15</v>
      </c>
      <c r="AN118" s="47" t="s">
        <v>23</v>
      </c>
      <c r="AO118" s="47" t="s">
        <v>43</v>
      </c>
      <c r="AP118" s="47" t="s">
        <v>48</v>
      </c>
      <c r="AQ118" s="47" t="s">
        <v>50</v>
      </c>
      <c r="AR118" s="47" t="s">
        <v>20</v>
      </c>
      <c r="AS118" s="47">
        <v>7</v>
      </c>
      <c r="AT118" s="47">
        <v>3907.73</v>
      </c>
      <c r="AU118" s="49">
        <v>10</v>
      </c>
    </row>
    <row r="119" spans="1:47" x14ac:dyDescent="0.3">
      <c r="A119" s="41">
        <v>10143</v>
      </c>
      <c r="B119" s="41">
        <v>1498</v>
      </c>
      <c r="C119" s="42">
        <v>44986</v>
      </c>
      <c r="D119" s="42">
        <v>44993</v>
      </c>
      <c r="E119" s="41" t="s">
        <v>36</v>
      </c>
      <c r="F119" s="41" t="s">
        <v>53</v>
      </c>
      <c r="G119" s="41" t="s">
        <v>29</v>
      </c>
      <c r="H119" s="41" t="s">
        <v>24</v>
      </c>
      <c r="I119" s="41" t="s">
        <v>56</v>
      </c>
      <c r="J119" s="41" t="s">
        <v>57</v>
      </c>
      <c r="K119" s="41" t="s">
        <v>20</v>
      </c>
      <c r="L119" s="41">
        <v>7</v>
      </c>
      <c r="M119" s="41">
        <v>3680.23</v>
      </c>
      <c r="N119" s="43">
        <v>5</v>
      </c>
      <c r="O119" s="4"/>
      <c r="P119" s="4"/>
      <c r="Q119" s="4"/>
      <c r="R119" s="4"/>
      <c r="AH119" s="1">
        <v>10229</v>
      </c>
      <c r="AI119" s="47">
        <v>1797</v>
      </c>
      <c r="AJ119" s="48">
        <v>44957</v>
      </c>
      <c r="AK119" s="48">
        <v>44959</v>
      </c>
      <c r="AL119" s="47" t="s">
        <v>15</v>
      </c>
      <c r="AM119" s="47" t="s">
        <v>53</v>
      </c>
      <c r="AN119" s="47" t="s">
        <v>29</v>
      </c>
      <c r="AO119" s="47" t="s">
        <v>43</v>
      </c>
      <c r="AP119" s="47" t="s">
        <v>48</v>
      </c>
      <c r="AQ119" s="47" t="s">
        <v>66</v>
      </c>
      <c r="AR119" s="47" t="s">
        <v>32</v>
      </c>
      <c r="AS119" s="47">
        <v>8</v>
      </c>
      <c r="AT119" s="47">
        <v>3519.2</v>
      </c>
      <c r="AU119" s="49">
        <v>0</v>
      </c>
    </row>
    <row r="120" spans="1:47" x14ac:dyDescent="0.3">
      <c r="A120" s="41">
        <v>10144</v>
      </c>
      <c r="B120" s="41">
        <v>1592</v>
      </c>
      <c r="C120" s="42">
        <v>45231</v>
      </c>
      <c r="D120" s="42">
        <v>45234</v>
      </c>
      <c r="E120" s="41" t="s">
        <v>39</v>
      </c>
      <c r="F120" s="41" t="s">
        <v>53</v>
      </c>
      <c r="G120" s="41" t="s">
        <v>29</v>
      </c>
      <c r="H120" s="41" t="s">
        <v>17</v>
      </c>
      <c r="I120" s="41" t="s">
        <v>18</v>
      </c>
      <c r="J120" s="41" t="s">
        <v>54</v>
      </c>
      <c r="K120" s="41" t="s">
        <v>32</v>
      </c>
      <c r="L120" s="41">
        <v>8</v>
      </c>
      <c r="M120" s="41">
        <v>3138.72</v>
      </c>
      <c r="N120" s="43">
        <v>20</v>
      </c>
      <c r="O120" s="4"/>
      <c r="P120" s="4"/>
      <c r="Q120" s="4"/>
      <c r="R120" s="4"/>
      <c r="AH120" s="1">
        <v>10232</v>
      </c>
      <c r="AI120" s="47">
        <v>1639</v>
      </c>
      <c r="AJ120" s="48">
        <v>44962</v>
      </c>
      <c r="AK120" s="48">
        <v>44969</v>
      </c>
      <c r="AL120" s="47" t="s">
        <v>21</v>
      </c>
      <c r="AM120" s="47" t="s">
        <v>28</v>
      </c>
      <c r="AN120" s="47" t="s">
        <v>16</v>
      </c>
      <c r="AO120" s="47" t="s">
        <v>17</v>
      </c>
      <c r="AP120" s="47" t="s">
        <v>56</v>
      </c>
      <c r="AQ120" s="47" t="s">
        <v>58</v>
      </c>
      <c r="AR120" s="47" t="s">
        <v>20</v>
      </c>
      <c r="AS120" s="47">
        <v>1</v>
      </c>
      <c r="AT120" s="47">
        <v>2250.4899999999998</v>
      </c>
      <c r="AU120" s="49">
        <v>15</v>
      </c>
    </row>
    <row r="121" spans="1:47" x14ac:dyDescent="0.3">
      <c r="A121" s="41">
        <v>10145</v>
      </c>
      <c r="B121" s="41">
        <v>1391</v>
      </c>
      <c r="C121" s="42">
        <v>45245</v>
      </c>
      <c r="D121" s="42">
        <v>45246</v>
      </c>
      <c r="E121" s="41" t="s">
        <v>36</v>
      </c>
      <c r="F121" s="41" t="s">
        <v>37</v>
      </c>
      <c r="G121" s="41" t="s">
        <v>23</v>
      </c>
      <c r="H121" s="41" t="s">
        <v>34</v>
      </c>
      <c r="I121" s="41" t="s">
        <v>56</v>
      </c>
      <c r="J121" s="41" t="s">
        <v>58</v>
      </c>
      <c r="K121" s="41" t="s">
        <v>46</v>
      </c>
      <c r="L121" s="41">
        <v>6</v>
      </c>
      <c r="M121" s="41">
        <v>652.42999999999995</v>
      </c>
      <c r="N121" s="43">
        <v>10</v>
      </c>
      <c r="O121" s="4"/>
      <c r="P121" s="4"/>
      <c r="Q121" s="4"/>
      <c r="R121" s="4"/>
      <c r="AH121" s="1">
        <v>10235</v>
      </c>
      <c r="AI121" s="47">
        <v>1472</v>
      </c>
      <c r="AJ121" s="48">
        <v>45032</v>
      </c>
      <c r="AK121" s="48">
        <v>45040</v>
      </c>
      <c r="AL121" s="47" t="s">
        <v>39</v>
      </c>
      <c r="AM121" s="47" t="s">
        <v>28</v>
      </c>
      <c r="AN121" s="47" t="s">
        <v>16</v>
      </c>
      <c r="AO121" s="47" t="s">
        <v>34</v>
      </c>
      <c r="AP121" s="47" t="s">
        <v>51</v>
      </c>
      <c r="AQ121" s="47" t="s">
        <v>59</v>
      </c>
      <c r="AR121" s="47" t="s">
        <v>46</v>
      </c>
      <c r="AS121" s="47">
        <v>9</v>
      </c>
      <c r="AT121" s="47">
        <v>2677.09</v>
      </c>
      <c r="AU121" s="49">
        <v>10</v>
      </c>
    </row>
    <row r="122" spans="1:47" x14ac:dyDescent="0.3">
      <c r="A122" s="41">
        <v>10146</v>
      </c>
      <c r="B122" s="41">
        <v>1674</v>
      </c>
      <c r="C122" s="42">
        <v>45137</v>
      </c>
      <c r="D122" s="42">
        <v>45145</v>
      </c>
      <c r="E122" s="41" t="s">
        <v>39</v>
      </c>
      <c r="F122" s="41" t="s">
        <v>40</v>
      </c>
      <c r="G122" s="41" t="s">
        <v>29</v>
      </c>
      <c r="H122" s="41" t="s">
        <v>41</v>
      </c>
      <c r="I122" s="41" t="s">
        <v>56</v>
      </c>
      <c r="J122" s="41" t="s">
        <v>61</v>
      </c>
      <c r="K122" s="41" t="s">
        <v>32</v>
      </c>
      <c r="L122" s="41">
        <v>4</v>
      </c>
      <c r="M122" s="41">
        <v>2326.87</v>
      </c>
      <c r="N122" s="43">
        <v>15</v>
      </c>
      <c r="O122" s="4"/>
      <c r="P122" s="4"/>
      <c r="Q122" s="4"/>
      <c r="R122" s="4"/>
      <c r="AH122" s="1">
        <v>10239</v>
      </c>
      <c r="AI122" s="47">
        <v>1384</v>
      </c>
      <c r="AJ122" s="48">
        <v>45146</v>
      </c>
      <c r="AK122" s="48">
        <v>45149</v>
      </c>
      <c r="AL122" s="47" t="s">
        <v>33</v>
      </c>
      <c r="AM122" s="47" t="s">
        <v>40</v>
      </c>
      <c r="AN122" s="47" t="s">
        <v>23</v>
      </c>
      <c r="AO122" s="47" t="s">
        <v>24</v>
      </c>
      <c r="AP122" s="47" t="s">
        <v>48</v>
      </c>
      <c r="AQ122" s="47" t="s">
        <v>62</v>
      </c>
      <c r="AR122" s="47" t="s">
        <v>46</v>
      </c>
      <c r="AS122" s="47">
        <v>2</v>
      </c>
      <c r="AT122" s="47">
        <v>3960.56</v>
      </c>
      <c r="AU122" s="49">
        <v>10</v>
      </c>
    </row>
    <row r="123" spans="1:47" x14ac:dyDescent="0.3">
      <c r="A123" s="41">
        <v>10147</v>
      </c>
      <c r="B123" s="41">
        <v>1418</v>
      </c>
      <c r="C123" s="42">
        <v>45078</v>
      </c>
      <c r="D123" s="42">
        <v>45081</v>
      </c>
      <c r="E123" s="41" t="s">
        <v>21</v>
      </c>
      <c r="F123" s="41" t="s">
        <v>53</v>
      </c>
      <c r="G123" s="41" t="s">
        <v>23</v>
      </c>
      <c r="H123" s="41" t="s">
        <v>24</v>
      </c>
      <c r="I123" s="41" t="s">
        <v>30</v>
      </c>
      <c r="J123" s="41" t="s">
        <v>47</v>
      </c>
      <c r="K123" s="41" t="s">
        <v>20</v>
      </c>
      <c r="L123" s="41">
        <v>6</v>
      </c>
      <c r="M123" s="41">
        <v>1852.67</v>
      </c>
      <c r="N123" s="43">
        <v>5</v>
      </c>
      <c r="O123" s="4"/>
      <c r="P123" s="4"/>
      <c r="Q123" s="4"/>
      <c r="R123" s="4"/>
      <c r="AH123" s="1">
        <v>10241</v>
      </c>
      <c r="AI123" s="47">
        <v>1282</v>
      </c>
      <c r="AJ123" s="48">
        <v>45046</v>
      </c>
      <c r="AK123" s="48">
        <v>45049</v>
      </c>
      <c r="AL123" s="47" t="s">
        <v>39</v>
      </c>
      <c r="AM123" s="47" t="s">
        <v>40</v>
      </c>
      <c r="AN123" s="47" t="s">
        <v>29</v>
      </c>
      <c r="AO123" s="47" t="s">
        <v>17</v>
      </c>
      <c r="AP123" s="47" t="s">
        <v>18</v>
      </c>
      <c r="AQ123" s="47" t="s">
        <v>68</v>
      </c>
      <c r="AR123" s="47" t="s">
        <v>32</v>
      </c>
      <c r="AS123" s="47">
        <v>6</v>
      </c>
      <c r="AT123" s="47">
        <v>1861.43</v>
      </c>
      <c r="AU123" s="49">
        <v>0</v>
      </c>
    </row>
    <row r="124" spans="1:47" x14ac:dyDescent="0.3">
      <c r="A124" s="1">
        <v>10148</v>
      </c>
      <c r="B124" s="44">
        <v>1288</v>
      </c>
      <c r="C124" s="45">
        <v>45035</v>
      </c>
      <c r="D124" s="45">
        <v>45043</v>
      </c>
      <c r="E124" s="44" t="s">
        <v>33</v>
      </c>
      <c r="F124" s="44" t="s">
        <v>28</v>
      </c>
      <c r="G124" s="44" t="s">
        <v>29</v>
      </c>
      <c r="H124" s="44" t="s">
        <v>43</v>
      </c>
      <c r="I124" s="44" t="s">
        <v>18</v>
      </c>
      <c r="J124" s="44" t="s">
        <v>19</v>
      </c>
      <c r="K124" s="44" t="s">
        <v>46</v>
      </c>
      <c r="L124" s="44">
        <v>3</v>
      </c>
      <c r="M124" s="44">
        <v>3219.26</v>
      </c>
      <c r="N124" s="46">
        <v>10</v>
      </c>
      <c r="O124" s="4"/>
      <c r="P124" s="4"/>
      <c r="Q124" s="4"/>
      <c r="R124" s="4"/>
      <c r="AH124" s="1">
        <v>10245</v>
      </c>
      <c r="AI124" s="47">
        <v>1972</v>
      </c>
      <c r="AJ124" s="48">
        <v>45143</v>
      </c>
      <c r="AK124" s="48">
        <v>45148</v>
      </c>
      <c r="AL124" s="47" t="s">
        <v>14</v>
      </c>
      <c r="AM124" s="47" t="s">
        <v>15</v>
      </c>
      <c r="AN124" s="47" t="s">
        <v>29</v>
      </c>
      <c r="AO124" s="47" t="s">
        <v>41</v>
      </c>
      <c r="AP124" s="47" t="s">
        <v>48</v>
      </c>
      <c r="AQ124" s="47" t="s">
        <v>50</v>
      </c>
      <c r="AR124" s="47" t="s">
        <v>46</v>
      </c>
      <c r="AS124" s="47">
        <v>8</v>
      </c>
      <c r="AT124" s="47">
        <v>1504.45</v>
      </c>
      <c r="AU124" s="49">
        <v>20</v>
      </c>
    </row>
    <row r="125" spans="1:47" x14ac:dyDescent="0.3">
      <c r="A125" s="1">
        <v>10149</v>
      </c>
      <c r="B125" s="44">
        <v>1378</v>
      </c>
      <c r="C125" s="45">
        <v>45002</v>
      </c>
      <c r="D125" s="45">
        <v>45010</v>
      </c>
      <c r="E125" s="44" t="s">
        <v>21</v>
      </c>
      <c r="F125" s="44" t="s">
        <v>22</v>
      </c>
      <c r="G125" s="44" t="s">
        <v>29</v>
      </c>
      <c r="H125" s="44" t="s">
        <v>41</v>
      </c>
      <c r="I125" s="44" t="s">
        <v>56</v>
      </c>
      <c r="J125" s="44" t="s">
        <v>61</v>
      </c>
      <c r="K125" s="44" t="s">
        <v>32</v>
      </c>
      <c r="L125" s="44">
        <v>8</v>
      </c>
      <c r="M125" s="44">
        <v>2938.3</v>
      </c>
      <c r="N125" s="46">
        <v>15</v>
      </c>
      <c r="O125" s="4"/>
      <c r="P125" s="4"/>
      <c r="Q125" s="4"/>
      <c r="R125" s="4"/>
      <c r="AH125" s="1">
        <v>10246</v>
      </c>
      <c r="AI125" s="47">
        <v>1744</v>
      </c>
      <c r="AJ125" s="48">
        <v>45131</v>
      </c>
      <c r="AK125" s="48">
        <v>45139</v>
      </c>
      <c r="AL125" s="47" t="s">
        <v>15</v>
      </c>
      <c r="AM125" s="47" t="s">
        <v>28</v>
      </c>
      <c r="AN125" s="47" t="s">
        <v>23</v>
      </c>
      <c r="AO125" s="47" t="s">
        <v>24</v>
      </c>
      <c r="AP125" s="47" t="s">
        <v>51</v>
      </c>
      <c r="AQ125" s="47" t="s">
        <v>52</v>
      </c>
      <c r="AR125" s="47" t="s">
        <v>44</v>
      </c>
      <c r="AS125" s="47">
        <v>1</v>
      </c>
      <c r="AT125" s="47">
        <v>3082.45</v>
      </c>
      <c r="AU125" s="49">
        <v>5</v>
      </c>
    </row>
    <row r="126" spans="1:47" x14ac:dyDescent="0.3">
      <c r="A126" s="1">
        <v>10150</v>
      </c>
      <c r="B126" s="44">
        <v>1772</v>
      </c>
      <c r="C126" s="45">
        <v>44956</v>
      </c>
      <c r="D126" s="45">
        <v>44961</v>
      </c>
      <c r="E126" s="44" t="s">
        <v>21</v>
      </c>
      <c r="F126" s="44" t="s">
        <v>53</v>
      </c>
      <c r="G126" s="44" t="s">
        <v>23</v>
      </c>
      <c r="H126" s="44" t="s">
        <v>17</v>
      </c>
      <c r="I126" s="44" t="s">
        <v>48</v>
      </c>
      <c r="J126" s="44" t="s">
        <v>50</v>
      </c>
      <c r="K126" s="44" t="s">
        <v>27</v>
      </c>
      <c r="L126" s="44">
        <v>2</v>
      </c>
      <c r="M126" s="44">
        <v>2808.06</v>
      </c>
      <c r="N126" s="46">
        <v>0</v>
      </c>
      <c r="O126" s="4"/>
      <c r="P126" s="4"/>
      <c r="Q126" s="4"/>
      <c r="R126" s="4"/>
      <c r="AH126" s="1">
        <v>10247</v>
      </c>
      <c r="AI126" s="47">
        <v>1258</v>
      </c>
      <c r="AJ126" s="48">
        <v>44996</v>
      </c>
      <c r="AK126" s="48">
        <v>44998</v>
      </c>
      <c r="AL126" s="47" t="s">
        <v>14</v>
      </c>
      <c r="AM126" s="47" t="s">
        <v>53</v>
      </c>
      <c r="AN126" s="47" t="s">
        <v>29</v>
      </c>
      <c r="AO126" s="47" t="s">
        <v>34</v>
      </c>
      <c r="AP126" s="47" t="s">
        <v>51</v>
      </c>
      <c r="AQ126" s="47" t="s">
        <v>63</v>
      </c>
      <c r="AR126" s="47" t="s">
        <v>46</v>
      </c>
      <c r="AS126" s="47">
        <v>7</v>
      </c>
      <c r="AT126" s="47">
        <v>2102.27</v>
      </c>
      <c r="AU126" s="49">
        <v>20</v>
      </c>
    </row>
    <row r="127" spans="1:47" x14ac:dyDescent="0.3">
      <c r="A127" s="1">
        <v>10151</v>
      </c>
      <c r="B127" s="44">
        <v>1489</v>
      </c>
      <c r="C127" s="45">
        <v>45240</v>
      </c>
      <c r="D127" s="45">
        <v>45241</v>
      </c>
      <c r="E127" s="44" t="s">
        <v>33</v>
      </c>
      <c r="F127" s="44" t="s">
        <v>28</v>
      </c>
      <c r="G127" s="44" t="s">
        <v>29</v>
      </c>
      <c r="H127" s="44" t="s">
        <v>17</v>
      </c>
      <c r="I127" s="44" t="s">
        <v>48</v>
      </c>
      <c r="J127" s="44" t="s">
        <v>62</v>
      </c>
      <c r="K127" s="44" t="s">
        <v>46</v>
      </c>
      <c r="L127" s="44">
        <v>5</v>
      </c>
      <c r="M127" s="44">
        <v>1461.1</v>
      </c>
      <c r="N127" s="46">
        <v>15</v>
      </c>
      <c r="O127" s="4"/>
      <c r="P127" s="4"/>
      <c r="Q127" s="4"/>
      <c r="R127" s="4"/>
      <c r="AH127" s="1">
        <v>10248</v>
      </c>
      <c r="AI127" s="47">
        <v>1358</v>
      </c>
      <c r="AJ127" s="48">
        <v>44970</v>
      </c>
      <c r="AK127" s="48">
        <v>44974</v>
      </c>
      <c r="AL127" s="47" t="s">
        <v>21</v>
      </c>
      <c r="AM127" s="47" t="s">
        <v>15</v>
      </c>
      <c r="AN127" s="47" t="s">
        <v>29</v>
      </c>
      <c r="AO127" s="47" t="s">
        <v>41</v>
      </c>
      <c r="AP127" s="47" t="s">
        <v>30</v>
      </c>
      <c r="AQ127" s="47" t="s">
        <v>38</v>
      </c>
      <c r="AR127" s="47" t="s">
        <v>20</v>
      </c>
      <c r="AS127" s="47">
        <v>7</v>
      </c>
      <c r="AT127" s="47">
        <v>2605.92</v>
      </c>
      <c r="AU127" s="49">
        <v>20</v>
      </c>
    </row>
    <row r="128" spans="1:47" x14ac:dyDescent="0.3">
      <c r="A128" s="1">
        <v>10152</v>
      </c>
      <c r="B128" s="44">
        <v>1230</v>
      </c>
      <c r="C128" s="45">
        <v>45043</v>
      </c>
      <c r="D128" s="45">
        <v>45050</v>
      </c>
      <c r="E128" s="44" t="s">
        <v>36</v>
      </c>
      <c r="F128" s="44" t="s">
        <v>15</v>
      </c>
      <c r="G128" s="44" t="s">
        <v>23</v>
      </c>
      <c r="H128" s="44" t="s">
        <v>43</v>
      </c>
      <c r="I128" s="44" t="s">
        <v>51</v>
      </c>
      <c r="J128" s="44" t="s">
        <v>55</v>
      </c>
      <c r="K128" s="44" t="s">
        <v>46</v>
      </c>
      <c r="L128" s="44">
        <v>1</v>
      </c>
      <c r="M128" s="44">
        <v>3249.11</v>
      </c>
      <c r="N128" s="46">
        <v>10</v>
      </c>
      <c r="O128" s="4"/>
      <c r="P128" s="4"/>
      <c r="Q128" s="4"/>
      <c r="R128" s="4"/>
      <c r="AH128" s="1">
        <v>10249</v>
      </c>
      <c r="AI128" s="47">
        <v>1709</v>
      </c>
      <c r="AJ128" s="48">
        <v>45255</v>
      </c>
      <c r="AK128" s="48">
        <v>45263</v>
      </c>
      <c r="AL128" s="47" t="s">
        <v>45</v>
      </c>
      <c r="AM128" s="47" t="s">
        <v>40</v>
      </c>
      <c r="AN128" s="47" t="s">
        <v>16</v>
      </c>
      <c r="AO128" s="47" t="s">
        <v>17</v>
      </c>
      <c r="AP128" s="47" t="s">
        <v>30</v>
      </c>
      <c r="AQ128" s="47" t="s">
        <v>64</v>
      </c>
      <c r="AR128" s="47" t="s">
        <v>44</v>
      </c>
      <c r="AS128" s="47">
        <v>1</v>
      </c>
      <c r="AT128" s="47">
        <v>3942.92</v>
      </c>
      <c r="AU128" s="49">
        <v>0</v>
      </c>
    </row>
    <row r="129" spans="1:47" x14ac:dyDescent="0.3">
      <c r="A129" s="1">
        <v>10154</v>
      </c>
      <c r="B129" s="44">
        <v>1027</v>
      </c>
      <c r="C129" s="45">
        <v>45118</v>
      </c>
      <c r="D129" s="45">
        <v>45126</v>
      </c>
      <c r="E129" s="44" t="s">
        <v>39</v>
      </c>
      <c r="F129" s="44" t="s">
        <v>22</v>
      </c>
      <c r="G129" s="44" t="s">
        <v>16</v>
      </c>
      <c r="H129" s="44" t="s">
        <v>41</v>
      </c>
      <c r="I129" s="44" t="s">
        <v>18</v>
      </c>
      <c r="J129" s="44" t="s">
        <v>42</v>
      </c>
      <c r="K129" s="44" t="s">
        <v>44</v>
      </c>
      <c r="L129" s="44">
        <v>2</v>
      </c>
      <c r="M129" s="44">
        <v>764.56</v>
      </c>
      <c r="N129" s="46">
        <v>0</v>
      </c>
      <c r="O129" s="4"/>
      <c r="P129" s="4"/>
      <c r="Q129" s="4"/>
      <c r="R129" s="4"/>
      <c r="AH129" s="1">
        <v>10251</v>
      </c>
      <c r="AI129" s="47">
        <v>1410</v>
      </c>
      <c r="AJ129" s="48">
        <v>45154</v>
      </c>
      <c r="AK129" s="48">
        <v>45155</v>
      </c>
      <c r="AL129" s="47" t="s">
        <v>15</v>
      </c>
      <c r="AM129" s="47" t="s">
        <v>22</v>
      </c>
      <c r="AN129" s="47" t="s">
        <v>16</v>
      </c>
      <c r="AO129" s="47" t="s">
        <v>24</v>
      </c>
      <c r="AP129" s="47" t="s">
        <v>30</v>
      </c>
      <c r="AQ129" s="47" t="s">
        <v>47</v>
      </c>
      <c r="AR129" s="47" t="s">
        <v>27</v>
      </c>
      <c r="AS129" s="47">
        <v>8</v>
      </c>
      <c r="AT129" s="47">
        <v>1822.29</v>
      </c>
      <c r="AU129" s="49">
        <v>20</v>
      </c>
    </row>
    <row r="130" spans="1:47" x14ac:dyDescent="0.3">
      <c r="A130" s="1">
        <v>10155</v>
      </c>
      <c r="B130" s="44">
        <v>1134</v>
      </c>
      <c r="C130" s="45">
        <v>44945</v>
      </c>
      <c r="D130" s="45">
        <v>44954</v>
      </c>
      <c r="E130" s="44" t="s">
        <v>15</v>
      </c>
      <c r="F130" s="44" t="s">
        <v>28</v>
      </c>
      <c r="G130" s="44" t="s">
        <v>29</v>
      </c>
      <c r="H130" s="44" t="s">
        <v>24</v>
      </c>
      <c r="I130" s="44" t="s">
        <v>51</v>
      </c>
      <c r="J130" s="44" t="s">
        <v>55</v>
      </c>
      <c r="K130" s="44" t="s">
        <v>20</v>
      </c>
      <c r="L130" s="44">
        <v>4</v>
      </c>
      <c r="M130" s="44">
        <v>1442.15</v>
      </c>
      <c r="N130" s="46">
        <v>15</v>
      </c>
      <c r="O130" s="4"/>
      <c r="P130" s="4"/>
      <c r="Q130" s="4"/>
      <c r="R130" s="4"/>
      <c r="AH130" s="1">
        <v>10252</v>
      </c>
      <c r="AI130" s="47">
        <v>1648</v>
      </c>
      <c r="AJ130" s="48">
        <v>45110</v>
      </c>
      <c r="AK130" s="48">
        <v>45114</v>
      </c>
      <c r="AL130" s="47" t="s">
        <v>36</v>
      </c>
      <c r="AM130" s="47" t="s">
        <v>37</v>
      </c>
      <c r="AN130" s="47" t="s">
        <v>23</v>
      </c>
      <c r="AO130" s="47" t="s">
        <v>41</v>
      </c>
      <c r="AP130" s="47" t="s">
        <v>51</v>
      </c>
      <c r="AQ130" s="47" t="s">
        <v>59</v>
      </c>
      <c r="AR130" s="47" t="s">
        <v>32</v>
      </c>
      <c r="AS130" s="47">
        <v>4</v>
      </c>
      <c r="AT130" s="47">
        <v>1868.8</v>
      </c>
      <c r="AU130" s="49">
        <v>20</v>
      </c>
    </row>
    <row r="131" spans="1:47" x14ac:dyDescent="0.3">
      <c r="A131" s="1">
        <v>10156</v>
      </c>
      <c r="B131" s="44">
        <v>1200</v>
      </c>
      <c r="C131" s="45">
        <v>45099</v>
      </c>
      <c r="D131" s="45">
        <v>45106</v>
      </c>
      <c r="E131" s="44" t="s">
        <v>39</v>
      </c>
      <c r="F131" s="44" t="s">
        <v>37</v>
      </c>
      <c r="G131" s="44" t="s">
        <v>23</v>
      </c>
      <c r="H131" s="44" t="s">
        <v>17</v>
      </c>
      <c r="I131" s="44" t="s">
        <v>56</v>
      </c>
      <c r="J131" s="44" t="s">
        <v>58</v>
      </c>
      <c r="K131" s="44" t="s">
        <v>44</v>
      </c>
      <c r="L131" s="44">
        <v>6</v>
      </c>
      <c r="M131" s="44">
        <v>445.71</v>
      </c>
      <c r="N131" s="46">
        <v>15</v>
      </c>
      <c r="O131" s="4"/>
      <c r="P131" s="4"/>
      <c r="Q131" s="4"/>
      <c r="R131" s="4"/>
      <c r="AH131" s="1">
        <v>10253</v>
      </c>
      <c r="AI131" s="47">
        <v>1317</v>
      </c>
      <c r="AJ131" s="48">
        <v>45033</v>
      </c>
      <c r="AK131" s="48">
        <v>45034</v>
      </c>
      <c r="AL131" s="47" t="s">
        <v>39</v>
      </c>
      <c r="AM131" s="47" t="s">
        <v>40</v>
      </c>
      <c r="AN131" s="47" t="s">
        <v>23</v>
      </c>
      <c r="AO131" s="47" t="s">
        <v>34</v>
      </c>
      <c r="AP131" s="47" t="s">
        <v>18</v>
      </c>
      <c r="AQ131" s="47" t="s">
        <v>19</v>
      </c>
      <c r="AR131" s="47" t="s">
        <v>46</v>
      </c>
      <c r="AS131" s="47">
        <v>5</v>
      </c>
      <c r="AT131" s="47">
        <v>2532.27</v>
      </c>
      <c r="AU131" s="49">
        <v>15</v>
      </c>
    </row>
    <row r="132" spans="1:47" x14ac:dyDescent="0.3">
      <c r="A132" s="1">
        <v>10157</v>
      </c>
      <c r="B132" s="44">
        <v>1839</v>
      </c>
      <c r="C132" s="45">
        <v>45154</v>
      </c>
      <c r="D132" s="45">
        <v>45161</v>
      </c>
      <c r="E132" s="44" t="s">
        <v>15</v>
      </c>
      <c r="F132" s="44" t="s">
        <v>22</v>
      </c>
      <c r="G132" s="44" t="s">
        <v>29</v>
      </c>
      <c r="H132" s="44" t="s">
        <v>24</v>
      </c>
      <c r="I132" s="44" t="s">
        <v>18</v>
      </c>
      <c r="J132" s="44" t="s">
        <v>19</v>
      </c>
      <c r="K132" s="44" t="s">
        <v>32</v>
      </c>
      <c r="L132" s="44">
        <v>8</v>
      </c>
      <c r="M132" s="44">
        <v>1054.73</v>
      </c>
      <c r="N132" s="46">
        <v>0</v>
      </c>
      <c r="O132" s="4"/>
      <c r="P132" s="4"/>
      <c r="Q132" s="4"/>
      <c r="R132" s="4"/>
      <c r="AH132" s="1">
        <v>10254</v>
      </c>
      <c r="AI132" s="47">
        <v>1676</v>
      </c>
      <c r="AJ132" s="48">
        <v>45010</v>
      </c>
      <c r="AK132" s="48">
        <v>45012</v>
      </c>
      <c r="AL132" s="47" t="s">
        <v>21</v>
      </c>
      <c r="AM132" s="47" t="s">
        <v>15</v>
      </c>
      <c r="AN132" s="47" t="s">
        <v>16</v>
      </c>
      <c r="AO132" s="47" t="s">
        <v>41</v>
      </c>
      <c r="AP132" s="47" t="s">
        <v>51</v>
      </c>
      <c r="AQ132" s="47" t="s">
        <v>63</v>
      </c>
      <c r="AR132" s="47" t="s">
        <v>44</v>
      </c>
      <c r="AS132" s="47">
        <v>2</v>
      </c>
      <c r="AT132" s="47">
        <v>2711.66</v>
      </c>
      <c r="AU132" s="49">
        <v>0</v>
      </c>
    </row>
    <row r="133" spans="1:47" x14ac:dyDescent="0.3">
      <c r="A133" s="1">
        <v>10158</v>
      </c>
      <c r="B133" s="44">
        <v>1779</v>
      </c>
      <c r="C133" s="45">
        <v>45276</v>
      </c>
      <c r="D133" s="45">
        <v>45277</v>
      </c>
      <c r="E133" s="44" t="s">
        <v>21</v>
      </c>
      <c r="F133" s="44" t="s">
        <v>40</v>
      </c>
      <c r="G133" s="44" t="s">
        <v>23</v>
      </c>
      <c r="H133" s="44" t="s">
        <v>17</v>
      </c>
      <c r="I133" s="44" t="s">
        <v>48</v>
      </c>
      <c r="J133" s="44" t="s">
        <v>62</v>
      </c>
      <c r="K133" s="44" t="s">
        <v>27</v>
      </c>
      <c r="L133" s="44">
        <v>8</v>
      </c>
      <c r="M133" s="44">
        <v>3346.08</v>
      </c>
      <c r="N133" s="46">
        <v>15</v>
      </c>
      <c r="O133" s="4"/>
      <c r="P133" s="4"/>
      <c r="Q133" s="4"/>
      <c r="R133" s="4"/>
      <c r="AH133" s="1">
        <v>10262</v>
      </c>
      <c r="AI133" s="47">
        <v>1373</v>
      </c>
      <c r="AJ133" s="48">
        <v>44996</v>
      </c>
      <c r="AK133" s="48">
        <v>44998</v>
      </c>
      <c r="AL133" s="47" t="s">
        <v>14</v>
      </c>
      <c r="AM133" s="47" t="s">
        <v>22</v>
      </c>
      <c r="AN133" s="47" t="s">
        <v>16</v>
      </c>
      <c r="AO133" s="47" t="s">
        <v>43</v>
      </c>
      <c r="AP133" s="47" t="s">
        <v>56</v>
      </c>
      <c r="AQ133" s="47" t="s">
        <v>58</v>
      </c>
      <c r="AR133" s="47" t="s">
        <v>20</v>
      </c>
      <c r="AS133" s="47">
        <v>7</v>
      </c>
      <c r="AT133" s="47">
        <v>2472.29</v>
      </c>
      <c r="AU133" s="49">
        <v>10</v>
      </c>
    </row>
    <row r="134" spans="1:47" x14ac:dyDescent="0.3">
      <c r="A134" s="1">
        <v>10159</v>
      </c>
      <c r="B134" s="44">
        <v>1929</v>
      </c>
      <c r="C134" s="45">
        <v>45109</v>
      </c>
      <c r="D134" s="45">
        <v>45113</v>
      </c>
      <c r="E134" s="44" t="s">
        <v>33</v>
      </c>
      <c r="F134" s="44" t="s">
        <v>15</v>
      </c>
      <c r="G134" s="44" t="s">
        <v>23</v>
      </c>
      <c r="H134" s="44" t="s">
        <v>24</v>
      </c>
      <c r="I134" s="44" t="s">
        <v>48</v>
      </c>
      <c r="J134" s="44" t="s">
        <v>66</v>
      </c>
      <c r="K134" s="44" t="s">
        <v>44</v>
      </c>
      <c r="L134" s="44">
        <v>6</v>
      </c>
      <c r="M134" s="44">
        <v>3800.77</v>
      </c>
      <c r="N134" s="46">
        <v>0</v>
      </c>
      <c r="O134" s="4"/>
      <c r="P134" s="4"/>
      <c r="Q134" s="4"/>
      <c r="R134" s="4"/>
      <c r="AH134" s="1">
        <v>10263</v>
      </c>
      <c r="AI134" s="47">
        <v>1671</v>
      </c>
      <c r="AJ134" s="48">
        <v>45053</v>
      </c>
      <c r="AK134" s="48">
        <v>45059</v>
      </c>
      <c r="AL134" s="47" t="s">
        <v>39</v>
      </c>
      <c r="AM134" s="47" t="s">
        <v>37</v>
      </c>
      <c r="AN134" s="47" t="s">
        <v>29</v>
      </c>
      <c r="AO134" s="47" t="s">
        <v>34</v>
      </c>
      <c r="AP134" s="47" t="s">
        <v>48</v>
      </c>
      <c r="AQ134" s="47" t="s">
        <v>62</v>
      </c>
      <c r="AR134" s="47" t="s">
        <v>32</v>
      </c>
      <c r="AS134" s="47">
        <v>7</v>
      </c>
      <c r="AT134" s="47">
        <v>2165.86</v>
      </c>
      <c r="AU134" s="49">
        <v>0</v>
      </c>
    </row>
    <row r="135" spans="1:47" x14ac:dyDescent="0.3">
      <c r="A135" s="1">
        <v>10160</v>
      </c>
      <c r="B135" s="44">
        <v>1032</v>
      </c>
      <c r="C135" s="45">
        <v>45039</v>
      </c>
      <c r="D135" s="45">
        <v>45041</v>
      </c>
      <c r="E135" s="44" t="s">
        <v>21</v>
      </c>
      <c r="F135" s="44" t="s">
        <v>37</v>
      </c>
      <c r="G135" s="44" t="s">
        <v>16</v>
      </c>
      <c r="H135" s="44" t="s">
        <v>43</v>
      </c>
      <c r="I135" s="44" t="s">
        <v>30</v>
      </c>
      <c r="J135" s="44" t="s">
        <v>47</v>
      </c>
      <c r="K135" s="44" t="s">
        <v>46</v>
      </c>
      <c r="L135" s="44">
        <v>4</v>
      </c>
      <c r="M135" s="44">
        <v>1322.72</v>
      </c>
      <c r="N135" s="46">
        <v>5</v>
      </c>
      <c r="O135" s="4"/>
      <c r="P135" s="4"/>
      <c r="Q135" s="4"/>
      <c r="R135" s="4"/>
      <c r="AH135" s="1">
        <v>10266</v>
      </c>
      <c r="AI135" s="47">
        <v>1232</v>
      </c>
      <c r="AJ135" s="48">
        <v>45129</v>
      </c>
      <c r="AK135" s="48">
        <v>45134</v>
      </c>
      <c r="AL135" s="47" t="s">
        <v>39</v>
      </c>
      <c r="AM135" s="47" t="s">
        <v>15</v>
      </c>
      <c r="AN135" s="47" t="s">
        <v>29</v>
      </c>
      <c r="AO135" s="47" t="s">
        <v>34</v>
      </c>
      <c r="AP135" s="47" t="s">
        <v>25</v>
      </c>
      <c r="AQ135" s="47" t="s">
        <v>60</v>
      </c>
      <c r="AR135" s="47" t="s">
        <v>32</v>
      </c>
      <c r="AS135" s="47">
        <v>8</v>
      </c>
      <c r="AT135" s="47">
        <v>2045.09</v>
      </c>
      <c r="AU135" s="49">
        <v>10</v>
      </c>
    </row>
    <row r="136" spans="1:47" x14ac:dyDescent="0.3">
      <c r="A136" s="1">
        <v>10161</v>
      </c>
      <c r="B136" s="44">
        <v>1047</v>
      </c>
      <c r="C136" s="45">
        <v>45109</v>
      </c>
      <c r="D136" s="45">
        <v>45111</v>
      </c>
      <c r="E136" s="44" t="s">
        <v>45</v>
      </c>
      <c r="F136" s="44" t="s">
        <v>40</v>
      </c>
      <c r="G136" s="44" t="s">
        <v>16</v>
      </c>
      <c r="H136" s="44" t="s">
        <v>34</v>
      </c>
      <c r="I136" s="44" t="s">
        <v>18</v>
      </c>
      <c r="J136" s="44" t="s">
        <v>19</v>
      </c>
      <c r="K136" s="44" t="s">
        <v>32</v>
      </c>
      <c r="L136" s="44">
        <v>8</v>
      </c>
      <c r="M136" s="44">
        <v>1168.3900000000001</v>
      </c>
      <c r="N136" s="46">
        <v>10</v>
      </c>
      <c r="O136" s="4"/>
      <c r="P136" s="4"/>
      <c r="Q136" s="4"/>
      <c r="R136" s="4"/>
      <c r="AH136" s="1">
        <v>10268</v>
      </c>
      <c r="AI136" s="47">
        <v>1112</v>
      </c>
      <c r="AJ136" s="48">
        <v>45069</v>
      </c>
      <c r="AK136" s="48">
        <v>45072</v>
      </c>
      <c r="AL136" s="47" t="s">
        <v>36</v>
      </c>
      <c r="AM136" s="47" t="s">
        <v>15</v>
      </c>
      <c r="AN136" s="47" t="s">
        <v>29</v>
      </c>
      <c r="AO136" s="47" t="s">
        <v>41</v>
      </c>
      <c r="AP136" s="47" t="s">
        <v>30</v>
      </c>
      <c r="AQ136" s="47" t="s">
        <v>38</v>
      </c>
      <c r="AR136" s="47" t="s">
        <v>27</v>
      </c>
      <c r="AS136" s="47">
        <v>1</v>
      </c>
      <c r="AT136" s="47">
        <v>2660.56</v>
      </c>
      <c r="AU136" s="49">
        <v>10</v>
      </c>
    </row>
    <row r="137" spans="1:47" x14ac:dyDescent="0.3">
      <c r="A137" s="1">
        <v>10162</v>
      </c>
      <c r="B137" s="44">
        <v>1502</v>
      </c>
      <c r="C137" s="45">
        <v>45072</v>
      </c>
      <c r="D137" s="45">
        <v>45074</v>
      </c>
      <c r="E137" s="44" t="s">
        <v>36</v>
      </c>
      <c r="F137" s="44" t="s">
        <v>28</v>
      </c>
      <c r="G137" s="44" t="s">
        <v>23</v>
      </c>
      <c r="H137" s="44" t="s">
        <v>43</v>
      </c>
      <c r="I137" s="44" t="s">
        <v>56</v>
      </c>
      <c r="J137" s="44" t="s">
        <v>57</v>
      </c>
      <c r="K137" s="44" t="s">
        <v>32</v>
      </c>
      <c r="L137" s="44">
        <v>8</v>
      </c>
      <c r="M137" s="44">
        <v>1227.5899999999999</v>
      </c>
      <c r="N137" s="46">
        <v>5</v>
      </c>
      <c r="O137" s="4"/>
      <c r="P137" s="4"/>
      <c r="Q137" s="4"/>
      <c r="R137" s="4"/>
      <c r="AH137" s="1">
        <v>10269</v>
      </c>
      <c r="AI137" s="47">
        <v>1829</v>
      </c>
      <c r="AJ137" s="48">
        <v>45125</v>
      </c>
      <c r="AK137" s="48">
        <v>45132</v>
      </c>
      <c r="AL137" s="47" t="s">
        <v>14</v>
      </c>
      <c r="AM137" s="47" t="s">
        <v>40</v>
      </c>
      <c r="AN137" s="47" t="s">
        <v>23</v>
      </c>
      <c r="AO137" s="47" t="s">
        <v>34</v>
      </c>
      <c r="AP137" s="47" t="s">
        <v>48</v>
      </c>
      <c r="AQ137" s="47" t="s">
        <v>50</v>
      </c>
      <c r="AR137" s="47" t="s">
        <v>46</v>
      </c>
      <c r="AS137" s="47">
        <v>5</v>
      </c>
      <c r="AT137" s="47">
        <v>3156.54</v>
      </c>
      <c r="AU137" s="49">
        <v>20</v>
      </c>
    </row>
    <row r="138" spans="1:47" x14ac:dyDescent="0.3">
      <c r="A138" s="1">
        <v>10163</v>
      </c>
      <c r="B138" s="44">
        <v>1406</v>
      </c>
      <c r="C138" s="45">
        <v>45245</v>
      </c>
      <c r="D138" s="45">
        <v>45249</v>
      </c>
      <c r="E138" s="44" t="s">
        <v>15</v>
      </c>
      <c r="F138" s="44" t="s">
        <v>22</v>
      </c>
      <c r="G138" s="44" t="s">
        <v>29</v>
      </c>
      <c r="H138" s="44" t="s">
        <v>43</v>
      </c>
      <c r="I138" s="44" t="s">
        <v>51</v>
      </c>
      <c r="J138" s="44" t="s">
        <v>52</v>
      </c>
      <c r="K138" s="44" t="s">
        <v>44</v>
      </c>
      <c r="L138" s="44">
        <v>1</v>
      </c>
      <c r="M138" s="44">
        <v>1219.22</v>
      </c>
      <c r="N138" s="46">
        <v>20</v>
      </c>
      <c r="O138" s="4"/>
      <c r="P138" s="4"/>
      <c r="Q138" s="4"/>
      <c r="R138" s="4"/>
      <c r="AH138" s="1">
        <v>10270</v>
      </c>
      <c r="AI138" s="47">
        <v>1496</v>
      </c>
      <c r="AJ138" s="48">
        <v>45080</v>
      </c>
      <c r="AK138" s="48">
        <v>45086</v>
      </c>
      <c r="AL138" s="47" t="s">
        <v>21</v>
      </c>
      <c r="AM138" s="47" t="s">
        <v>28</v>
      </c>
      <c r="AN138" s="47" t="s">
        <v>23</v>
      </c>
      <c r="AO138" s="47" t="s">
        <v>34</v>
      </c>
      <c r="AP138" s="47" t="s">
        <v>30</v>
      </c>
      <c r="AQ138" s="47" t="s">
        <v>64</v>
      </c>
      <c r="AR138" s="47" t="s">
        <v>44</v>
      </c>
      <c r="AS138" s="47">
        <v>6</v>
      </c>
      <c r="AT138" s="47">
        <v>3197.13</v>
      </c>
      <c r="AU138" s="49">
        <v>10</v>
      </c>
    </row>
    <row r="139" spans="1:47" x14ac:dyDescent="0.3">
      <c r="A139" s="1">
        <v>10164</v>
      </c>
      <c r="B139" s="44">
        <v>1573</v>
      </c>
      <c r="C139" s="45">
        <v>45042</v>
      </c>
      <c r="D139" s="45">
        <v>45043</v>
      </c>
      <c r="E139" s="44" t="s">
        <v>39</v>
      </c>
      <c r="F139" s="44" t="s">
        <v>15</v>
      </c>
      <c r="G139" s="44" t="s">
        <v>23</v>
      </c>
      <c r="H139" s="44" t="s">
        <v>34</v>
      </c>
      <c r="I139" s="44" t="s">
        <v>51</v>
      </c>
      <c r="J139" s="44" t="s">
        <v>63</v>
      </c>
      <c r="K139" s="44" t="s">
        <v>44</v>
      </c>
      <c r="L139" s="44">
        <v>4</v>
      </c>
      <c r="M139" s="44">
        <v>288.33</v>
      </c>
      <c r="N139" s="46">
        <v>20</v>
      </c>
      <c r="O139" s="4"/>
      <c r="P139" s="4"/>
      <c r="Q139" s="4"/>
      <c r="R139" s="4"/>
      <c r="AH139" s="1">
        <v>10271</v>
      </c>
      <c r="AI139" s="47">
        <v>1441</v>
      </c>
      <c r="AJ139" s="48">
        <v>45068</v>
      </c>
      <c r="AK139" s="48">
        <v>45072</v>
      </c>
      <c r="AL139" s="47" t="s">
        <v>39</v>
      </c>
      <c r="AM139" s="47" t="s">
        <v>15</v>
      </c>
      <c r="AN139" s="47" t="s">
        <v>29</v>
      </c>
      <c r="AO139" s="47" t="s">
        <v>24</v>
      </c>
      <c r="AP139" s="47" t="s">
        <v>18</v>
      </c>
      <c r="AQ139" s="47" t="s">
        <v>68</v>
      </c>
      <c r="AR139" s="47" t="s">
        <v>46</v>
      </c>
      <c r="AS139" s="47">
        <v>3</v>
      </c>
      <c r="AT139" s="47">
        <v>2469.5100000000002</v>
      </c>
      <c r="AU139" s="49">
        <v>0</v>
      </c>
    </row>
    <row r="140" spans="1:47" x14ac:dyDescent="0.3">
      <c r="A140" s="1">
        <v>10165</v>
      </c>
      <c r="B140" s="44">
        <v>1727</v>
      </c>
      <c r="C140" s="45">
        <v>45039</v>
      </c>
      <c r="D140" s="45">
        <v>45043</v>
      </c>
      <c r="E140" s="44" t="s">
        <v>33</v>
      </c>
      <c r="F140" s="44" t="s">
        <v>37</v>
      </c>
      <c r="G140" s="44" t="s">
        <v>23</v>
      </c>
      <c r="H140" s="44" t="s">
        <v>34</v>
      </c>
      <c r="I140" s="44" t="s">
        <v>56</v>
      </c>
      <c r="J140" s="44" t="s">
        <v>61</v>
      </c>
      <c r="K140" s="44" t="s">
        <v>27</v>
      </c>
      <c r="L140" s="44">
        <v>4</v>
      </c>
      <c r="M140" s="44">
        <v>3718.63</v>
      </c>
      <c r="N140" s="46">
        <v>20</v>
      </c>
      <c r="O140" s="4"/>
      <c r="P140" s="4"/>
      <c r="Q140" s="4"/>
      <c r="R140" s="4"/>
      <c r="AH140" s="1">
        <v>10280</v>
      </c>
      <c r="AI140" s="47">
        <v>1624</v>
      </c>
      <c r="AJ140" s="48">
        <v>45144</v>
      </c>
      <c r="AK140" s="48">
        <v>45149</v>
      </c>
      <c r="AL140" s="47" t="s">
        <v>45</v>
      </c>
      <c r="AM140" s="47" t="s">
        <v>40</v>
      </c>
      <c r="AN140" s="47" t="s">
        <v>23</v>
      </c>
      <c r="AO140" s="47" t="s">
        <v>17</v>
      </c>
      <c r="AP140" s="47" t="s">
        <v>48</v>
      </c>
      <c r="AQ140" s="47" t="s">
        <v>66</v>
      </c>
      <c r="AR140" s="47" t="s">
        <v>32</v>
      </c>
      <c r="AS140" s="47">
        <v>8</v>
      </c>
      <c r="AT140" s="47">
        <v>3784.12</v>
      </c>
      <c r="AU140" s="49">
        <v>15</v>
      </c>
    </row>
    <row r="141" spans="1:47" x14ac:dyDescent="0.3">
      <c r="A141" s="1">
        <v>10166</v>
      </c>
      <c r="B141" s="44">
        <v>1804</v>
      </c>
      <c r="C141" s="45">
        <v>45177</v>
      </c>
      <c r="D141" s="45">
        <v>45179</v>
      </c>
      <c r="E141" s="44" t="s">
        <v>15</v>
      </c>
      <c r="F141" s="44" t="s">
        <v>40</v>
      </c>
      <c r="G141" s="44" t="s">
        <v>29</v>
      </c>
      <c r="H141" s="44" t="s">
        <v>41</v>
      </c>
      <c r="I141" s="44" t="s">
        <v>25</v>
      </c>
      <c r="J141" s="44" t="s">
        <v>26</v>
      </c>
      <c r="K141" s="44" t="s">
        <v>20</v>
      </c>
      <c r="L141" s="44">
        <v>7</v>
      </c>
      <c r="M141" s="44">
        <v>972.74</v>
      </c>
      <c r="N141" s="46">
        <v>0</v>
      </c>
      <c r="O141" s="4"/>
      <c r="P141" s="4"/>
      <c r="Q141" s="4"/>
      <c r="R141" s="4"/>
      <c r="AH141" s="1">
        <v>10281</v>
      </c>
      <c r="AI141" s="47">
        <v>1951</v>
      </c>
      <c r="AJ141" s="48">
        <v>45231</v>
      </c>
      <c r="AK141" s="48">
        <v>45240</v>
      </c>
      <c r="AL141" s="47" t="s">
        <v>45</v>
      </c>
      <c r="AM141" s="47" t="s">
        <v>53</v>
      </c>
      <c r="AN141" s="47" t="s">
        <v>29</v>
      </c>
      <c r="AO141" s="47" t="s">
        <v>43</v>
      </c>
      <c r="AP141" s="47" t="s">
        <v>25</v>
      </c>
      <c r="AQ141" s="47" t="s">
        <v>67</v>
      </c>
      <c r="AR141" s="47" t="s">
        <v>20</v>
      </c>
      <c r="AS141" s="47">
        <v>5</v>
      </c>
      <c r="AT141" s="47">
        <v>3098.44</v>
      </c>
      <c r="AU141" s="49">
        <v>0</v>
      </c>
    </row>
    <row r="142" spans="1:47" x14ac:dyDescent="0.3">
      <c r="A142" s="1">
        <v>10167</v>
      </c>
      <c r="B142" s="44">
        <v>1098</v>
      </c>
      <c r="C142" s="45">
        <v>45177</v>
      </c>
      <c r="D142" s="45">
        <v>45182</v>
      </c>
      <c r="E142" s="44" t="s">
        <v>39</v>
      </c>
      <c r="F142" s="44" t="s">
        <v>40</v>
      </c>
      <c r="G142" s="44" t="s">
        <v>29</v>
      </c>
      <c r="H142" s="44" t="s">
        <v>41</v>
      </c>
      <c r="I142" s="44" t="s">
        <v>30</v>
      </c>
      <c r="J142" s="44" t="s">
        <v>31</v>
      </c>
      <c r="K142" s="44" t="s">
        <v>44</v>
      </c>
      <c r="L142" s="44">
        <v>7</v>
      </c>
      <c r="M142" s="44">
        <v>1767.02</v>
      </c>
      <c r="N142" s="46">
        <v>15</v>
      </c>
      <c r="O142" s="4"/>
      <c r="P142" s="4"/>
      <c r="Q142" s="4"/>
      <c r="R142" s="4"/>
      <c r="AH142" s="1">
        <v>10287</v>
      </c>
      <c r="AI142" s="47">
        <v>1219</v>
      </c>
      <c r="AJ142" s="48">
        <v>45122</v>
      </c>
      <c r="AK142" s="48">
        <v>45125</v>
      </c>
      <c r="AL142" s="47" t="s">
        <v>21</v>
      </c>
      <c r="AM142" s="47" t="s">
        <v>37</v>
      </c>
      <c r="AN142" s="47" t="s">
        <v>23</v>
      </c>
      <c r="AO142" s="47" t="s">
        <v>17</v>
      </c>
      <c r="AP142" s="47" t="s">
        <v>56</v>
      </c>
      <c r="AQ142" s="47" t="s">
        <v>65</v>
      </c>
      <c r="AR142" s="47" t="s">
        <v>20</v>
      </c>
      <c r="AS142" s="47">
        <v>6</v>
      </c>
      <c r="AT142" s="47">
        <v>1936.66</v>
      </c>
      <c r="AU142" s="49">
        <v>0</v>
      </c>
    </row>
    <row r="143" spans="1:47" x14ac:dyDescent="0.3">
      <c r="A143" s="1">
        <v>10168</v>
      </c>
      <c r="B143" s="44">
        <v>1683</v>
      </c>
      <c r="C143" s="45">
        <v>45229</v>
      </c>
      <c r="D143" s="45">
        <v>45232</v>
      </c>
      <c r="E143" s="44" t="s">
        <v>36</v>
      </c>
      <c r="F143" s="44" t="s">
        <v>15</v>
      </c>
      <c r="G143" s="44" t="s">
        <v>29</v>
      </c>
      <c r="H143" s="44" t="s">
        <v>43</v>
      </c>
      <c r="I143" s="44" t="s">
        <v>51</v>
      </c>
      <c r="J143" s="44" t="s">
        <v>55</v>
      </c>
      <c r="K143" s="44" t="s">
        <v>44</v>
      </c>
      <c r="L143" s="44">
        <v>8</v>
      </c>
      <c r="M143" s="44">
        <v>187.29</v>
      </c>
      <c r="N143" s="46">
        <v>5</v>
      </c>
      <c r="O143" s="4"/>
      <c r="P143" s="4"/>
      <c r="Q143" s="4"/>
      <c r="R143" s="4"/>
      <c r="AH143" s="1">
        <v>10290</v>
      </c>
      <c r="AI143" s="47">
        <v>1996</v>
      </c>
      <c r="AJ143" s="48">
        <v>45215</v>
      </c>
      <c r="AK143" s="48">
        <v>45218</v>
      </c>
      <c r="AL143" s="47" t="s">
        <v>36</v>
      </c>
      <c r="AM143" s="47" t="s">
        <v>40</v>
      </c>
      <c r="AN143" s="47" t="s">
        <v>29</v>
      </c>
      <c r="AO143" s="47" t="s">
        <v>17</v>
      </c>
      <c r="AP143" s="47" t="s">
        <v>18</v>
      </c>
      <c r="AQ143" s="47" t="s">
        <v>19</v>
      </c>
      <c r="AR143" s="47" t="s">
        <v>27</v>
      </c>
      <c r="AS143" s="47">
        <v>8</v>
      </c>
      <c r="AT143" s="47">
        <v>2695.39</v>
      </c>
      <c r="AU143" s="49">
        <v>10</v>
      </c>
    </row>
    <row r="144" spans="1:47" x14ac:dyDescent="0.3">
      <c r="A144" s="1">
        <v>10170</v>
      </c>
      <c r="B144" s="44">
        <v>1725</v>
      </c>
      <c r="C144" s="45">
        <v>45044</v>
      </c>
      <c r="D144" s="45">
        <v>45048</v>
      </c>
      <c r="E144" s="44" t="s">
        <v>36</v>
      </c>
      <c r="F144" s="44" t="s">
        <v>15</v>
      </c>
      <c r="G144" s="44" t="s">
        <v>23</v>
      </c>
      <c r="H144" s="44" t="s">
        <v>17</v>
      </c>
      <c r="I144" s="44" t="s">
        <v>30</v>
      </c>
      <c r="J144" s="44" t="s">
        <v>64</v>
      </c>
      <c r="K144" s="44" t="s">
        <v>32</v>
      </c>
      <c r="L144" s="44">
        <v>7</v>
      </c>
      <c r="M144" s="44">
        <v>2964.96</v>
      </c>
      <c r="N144" s="46">
        <v>5</v>
      </c>
      <c r="O144" s="4"/>
      <c r="P144" s="4"/>
      <c r="Q144" s="4"/>
      <c r="R144" s="4"/>
      <c r="AH144" s="1">
        <v>10291</v>
      </c>
      <c r="AI144" s="47">
        <v>1735</v>
      </c>
      <c r="AJ144" s="48">
        <v>45007</v>
      </c>
      <c r="AK144" s="48">
        <v>45008</v>
      </c>
      <c r="AL144" s="47" t="s">
        <v>14</v>
      </c>
      <c r="AM144" s="47" t="s">
        <v>53</v>
      </c>
      <c r="AN144" s="47" t="s">
        <v>23</v>
      </c>
      <c r="AO144" s="47" t="s">
        <v>24</v>
      </c>
      <c r="AP144" s="47" t="s">
        <v>51</v>
      </c>
      <c r="AQ144" s="47" t="s">
        <v>52</v>
      </c>
      <c r="AR144" s="47" t="s">
        <v>32</v>
      </c>
      <c r="AS144" s="47">
        <v>9</v>
      </c>
      <c r="AT144" s="47">
        <v>2661.11</v>
      </c>
      <c r="AU144" s="49">
        <v>10</v>
      </c>
    </row>
    <row r="145" spans="1:47" x14ac:dyDescent="0.3">
      <c r="A145" s="1">
        <v>10171</v>
      </c>
      <c r="B145" s="44">
        <v>1986</v>
      </c>
      <c r="C145" s="45">
        <v>45227</v>
      </c>
      <c r="D145" s="45">
        <v>45228</v>
      </c>
      <c r="E145" s="44" t="s">
        <v>14</v>
      </c>
      <c r="F145" s="44" t="s">
        <v>40</v>
      </c>
      <c r="G145" s="44" t="s">
        <v>23</v>
      </c>
      <c r="H145" s="44" t="s">
        <v>17</v>
      </c>
      <c r="I145" s="44" t="s">
        <v>18</v>
      </c>
      <c r="J145" s="44" t="s">
        <v>42</v>
      </c>
      <c r="K145" s="44" t="s">
        <v>20</v>
      </c>
      <c r="L145" s="44">
        <v>8</v>
      </c>
      <c r="M145" s="44">
        <v>3795.01</v>
      </c>
      <c r="N145" s="46">
        <v>5</v>
      </c>
      <c r="O145" s="4"/>
      <c r="P145" s="4"/>
      <c r="Q145" s="4"/>
      <c r="R145" s="4"/>
      <c r="AH145" s="1">
        <v>10296</v>
      </c>
      <c r="AI145" s="47">
        <v>1129</v>
      </c>
      <c r="AJ145" s="48">
        <v>44954</v>
      </c>
      <c r="AK145" s="48">
        <v>44957</v>
      </c>
      <c r="AL145" s="47" t="s">
        <v>15</v>
      </c>
      <c r="AM145" s="47" t="s">
        <v>15</v>
      </c>
      <c r="AN145" s="47" t="s">
        <v>16</v>
      </c>
      <c r="AO145" s="47" t="s">
        <v>34</v>
      </c>
      <c r="AP145" s="47" t="s">
        <v>30</v>
      </c>
      <c r="AQ145" s="47" t="s">
        <v>47</v>
      </c>
      <c r="AR145" s="47" t="s">
        <v>46</v>
      </c>
      <c r="AS145" s="47">
        <v>5</v>
      </c>
      <c r="AT145" s="47">
        <v>2850.33</v>
      </c>
      <c r="AU145" s="49">
        <v>5</v>
      </c>
    </row>
    <row r="146" spans="1:47" x14ac:dyDescent="0.3">
      <c r="A146" s="1">
        <v>10172</v>
      </c>
      <c r="B146" s="44">
        <v>1546</v>
      </c>
      <c r="C146" s="45">
        <v>45087</v>
      </c>
      <c r="D146" s="45">
        <v>45088</v>
      </c>
      <c r="E146" s="44" t="s">
        <v>45</v>
      </c>
      <c r="F146" s="44" t="s">
        <v>53</v>
      </c>
      <c r="G146" s="44" t="s">
        <v>16</v>
      </c>
      <c r="H146" s="44" t="s">
        <v>41</v>
      </c>
      <c r="I146" s="44" t="s">
        <v>48</v>
      </c>
      <c r="J146" s="44" t="s">
        <v>62</v>
      </c>
      <c r="K146" s="44" t="s">
        <v>46</v>
      </c>
      <c r="L146" s="44">
        <v>9</v>
      </c>
      <c r="M146" s="44">
        <v>3159.22</v>
      </c>
      <c r="N146" s="46">
        <v>20</v>
      </c>
      <c r="O146" s="4"/>
      <c r="P146" s="4"/>
      <c r="Q146" s="4"/>
      <c r="R146" s="4"/>
      <c r="AH146" s="1">
        <v>10304</v>
      </c>
      <c r="AI146" s="47">
        <v>1835</v>
      </c>
      <c r="AJ146" s="48">
        <v>45024</v>
      </c>
      <c r="AK146" s="48">
        <v>45027</v>
      </c>
      <c r="AL146" s="47" t="s">
        <v>39</v>
      </c>
      <c r="AM146" s="47" t="s">
        <v>22</v>
      </c>
      <c r="AN146" s="47" t="s">
        <v>23</v>
      </c>
      <c r="AO146" s="47" t="s">
        <v>24</v>
      </c>
      <c r="AP146" s="47" t="s">
        <v>25</v>
      </c>
      <c r="AQ146" s="47" t="s">
        <v>60</v>
      </c>
      <c r="AR146" s="47" t="s">
        <v>20</v>
      </c>
      <c r="AS146" s="47">
        <v>4</v>
      </c>
      <c r="AT146" s="47">
        <v>2547.52</v>
      </c>
      <c r="AU146" s="49">
        <v>20</v>
      </c>
    </row>
    <row r="147" spans="1:47" x14ac:dyDescent="0.3">
      <c r="A147" s="1">
        <v>10173</v>
      </c>
      <c r="B147" s="44">
        <v>1960</v>
      </c>
      <c r="C147" s="45">
        <v>45124</v>
      </c>
      <c r="D147" s="45">
        <v>45127</v>
      </c>
      <c r="E147" s="44" t="s">
        <v>14</v>
      </c>
      <c r="F147" s="44" t="s">
        <v>37</v>
      </c>
      <c r="G147" s="44" t="s">
        <v>23</v>
      </c>
      <c r="H147" s="44" t="s">
        <v>41</v>
      </c>
      <c r="I147" s="44" t="s">
        <v>30</v>
      </c>
      <c r="J147" s="44" t="s">
        <v>64</v>
      </c>
      <c r="K147" s="44" t="s">
        <v>27</v>
      </c>
      <c r="L147" s="44">
        <v>3</v>
      </c>
      <c r="M147" s="44">
        <v>1357.77</v>
      </c>
      <c r="N147" s="46">
        <v>5</v>
      </c>
      <c r="O147" s="4"/>
      <c r="P147" s="4"/>
      <c r="Q147" s="4"/>
      <c r="R147" s="4"/>
      <c r="AH147" s="1">
        <v>10305</v>
      </c>
      <c r="AI147" s="47">
        <v>1438</v>
      </c>
      <c r="AJ147" s="48">
        <v>44991</v>
      </c>
      <c r="AK147" s="48">
        <v>44993</v>
      </c>
      <c r="AL147" s="47" t="s">
        <v>45</v>
      </c>
      <c r="AM147" s="47" t="s">
        <v>40</v>
      </c>
      <c r="AN147" s="47" t="s">
        <v>16</v>
      </c>
      <c r="AO147" s="47" t="s">
        <v>34</v>
      </c>
      <c r="AP147" s="47" t="s">
        <v>30</v>
      </c>
      <c r="AQ147" s="47" t="s">
        <v>47</v>
      </c>
      <c r="AR147" s="47" t="s">
        <v>20</v>
      </c>
      <c r="AS147" s="47">
        <v>2</v>
      </c>
      <c r="AT147" s="47">
        <v>3256.02</v>
      </c>
      <c r="AU147" s="49">
        <v>20</v>
      </c>
    </row>
    <row r="148" spans="1:47" x14ac:dyDescent="0.3">
      <c r="A148" s="1">
        <v>10174</v>
      </c>
      <c r="B148" s="44">
        <v>1738</v>
      </c>
      <c r="C148" s="45">
        <v>45186</v>
      </c>
      <c r="D148" s="45">
        <v>45195</v>
      </c>
      <c r="E148" s="44" t="s">
        <v>33</v>
      </c>
      <c r="F148" s="44" t="s">
        <v>15</v>
      </c>
      <c r="G148" s="44" t="s">
        <v>29</v>
      </c>
      <c r="H148" s="44" t="s">
        <v>17</v>
      </c>
      <c r="I148" s="44" t="s">
        <v>51</v>
      </c>
      <c r="J148" s="44" t="s">
        <v>52</v>
      </c>
      <c r="K148" s="44" t="s">
        <v>27</v>
      </c>
      <c r="L148" s="44">
        <v>3</v>
      </c>
      <c r="M148" s="44">
        <v>1104.31</v>
      </c>
      <c r="N148" s="46">
        <v>15</v>
      </c>
      <c r="O148" s="4"/>
      <c r="P148" s="4"/>
      <c r="Q148" s="4"/>
      <c r="R148" s="4"/>
      <c r="AH148" s="1">
        <v>10306</v>
      </c>
      <c r="AI148" s="47">
        <v>1202</v>
      </c>
      <c r="AJ148" s="48">
        <v>45256</v>
      </c>
      <c r="AK148" s="48">
        <v>45264</v>
      </c>
      <c r="AL148" s="47" t="s">
        <v>45</v>
      </c>
      <c r="AM148" s="47" t="s">
        <v>28</v>
      </c>
      <c r="AN148" s="47" t="s">
        <v>29</v>
      </c>
      <c r="AO148" s="47" t="s">
        <v>41</v>
      </c>
      <c r="AP148" s="47" t="s">
        <v>56</v>
      </c>
      <c r="AQ148" s="47" t="s">
        <v>61</v>
      </c>
      <c r="AR148" s="47" t="s">
        <v>27</v>
      </c>
      <c r="AS148" s="47">
        <v>1</v>
      </c>
      <c r="AT148" s="47">
        <v>3391.76</v>
      </c>
      <c r="AU148" s="49">
        <v>20</v>
      </c>
    </row>
    <row r="149" spans="1:47" x14ac:dyDescent="0.3">
      <c r="A149" s="1">
        <v>10175</v>
      </c>
      <c r="B149" s="44">
        <v>1612</v>
      </c>
      <c r="C149" s="45">
        <v>45074</v>
      </c>
      <c r="D149" s="45">
        <v>45081</v>
      </c>
      <c r="E149" s="44" t="s">
        <v>15</v>
      </c>
      <c r="F149" s="44" t="s">
        <v>40</v>
      </c>
      <c r="G149" s="44" t="s">
        <v>16</v>
      </c>
      <c r="H149" s="44" t="s">
        <v>17</v>
      </c>
      <c r="I149" s="44" t="s">
        <v>30</v>
      </c>
      <c r="J149" s="44" t="s">
        <v>31</v>
      </c>
      <c r="K149" s="44" t="s">
        <v>44</v>
      </c>
      <c r="L149" s="44">
        <v>4</v>
      </c>
      <c r="M149" s="44">
        <v>2836.21</v>
      </c>
      <c r="N149" s="46">
        <v>20</v>
      </c>
      <c r="O149" s="4"/>
      <c r="P149" s="4"/>
      <c r="Q149" s="4"/>
      <c r="R149" s="4"/>
      <c r="AH149" s="1">
        <v>10307</v>
      </c>
      <c r="AI149" s="47">
        <v>1183</v>
      </c>
      <c r="AJ149" s="48">
        <v>45267</v>
      </c>
      <c r="AK149" s="48">
        <v>45273</v>
      </c>
      <c r="AL149" s="47" t="s">
        <v>14</v>
      </c>
      <c r="AM149" s="47" t="s">
        <v>15</v>
      </c>
      <c r="AN149" s="47" t="s">
        <v>23</v>
      </c>
      <c r="AO149" s="47" t="s">
        <v>41</v>
      </c>
      <c r="AP149" s="47" t="s">
        <v>56</v>
      </c>
      <c r="AQ149" s="47" t="s">
        <v>57</v>
      </c>
      <c r="AR149" s="47" t="s">
        <v>27</v>
      </c>
      <c r="AS149" s="47">
        <v>4</v>
      </c>
      <c r="AT149" s="47">
        <v>2008.45</v>
      </c>
      <c r="AU149" s="49">
        <v>5</v>
      </c>
    </row>
    <row r="150" spans="1:47" x14ac:dyDescent="0.3">
      <c r="A150" s="1">
        <v>10178</v>
      </c>
      <c r="B150" s="44">
        <v>1642</v>
      </c>
      <c r="C150" s="45">
        <v>45124</v>
      </c>
      <c r="D150" s="45">
        <v>45126</v>
      </c>
      <c r="E150" s="44" t="s">
        <v>39</v>
      </c>
      <c r="F150" s="44" t="s">
        <v>28</v>
      </c>
      <c r="G150" s="44" t="s">
        <v>16</v>
      </c>
      <c r="H150" s="44" t="s">
        <v>17</v>
      </c>
      <c r="I150" s="44" t="s">
        <v>25</v>
      </c>
      <c r="J150" s="44" t="s">
        <v>60</v>
      </c>
      <c r="K150" s="44" t="s">
        <v>44</v>
      </c>
      <c r="L150" s="44">
        <v>7</v>
      </c>
      <c r="M150" s="44">
        <v>174.09</v>
      </c>
      <c r="N150" s="46">
        <v>10</v>
      </c>
      <c r="O150" s="4"/>
      <c r="P150" s="4"/>
      <c r="Q150" s="4"/>
      <c r="R150" s="4"/>
      <c r="AH150" s="1">
        <v>10308</v>
      </c>
      <c r="AI150" s="47">
        <v>1122</v>
      </c>
      <c r="AJ150" s="48">
        <v>44931</v>
      </c>
      <c r="AK150" s="48">
        <v>44940</v>
      </c>
      <c r="AL150" s="47" t="s">
        <v>36</v>
      </c>
      <c r="AM150" s="47" t="s">
        <v>22</v>
      </c>
      <c r="AN150" s="47" t="s">
        <v>29</v>
      </c>
      <c r="AO150" s="47" t="s">
        <v>24</v>
      </c>
      <c r="AP150" s="47" t="s">
        <v>51</v>
      </c>
      <c r="AQ150" s="47" t="s">
        <v>52</v>
      </c>
      <c r="AR150" s="47" t="s">
        <v>44</v>
      </c>
      <c r="AS150" s="47">
        <v>4</v>
      </c>
      <c r="AT150" s="47">
        <v>3143.2</v>
      </c>
      <c r="AU150" s="49">
        <v>0</v>
      </c>
    </row>
    <row r="151" spans="1:47" x14ac:dyDescent="0.3">
      <c r="A151" s="1">
        <v>10179</v>
      </c>
      <c r="B151" s="47">
        <v>1768</v>
      </c>
      <c r="C151" s="48">
        <v>44973</v>
      </c>
      <c r="D151" s="48">
        <v>44976</v>
      </c>
      <c r="E151" s="47" t="s">
        <v>36</v>
      </c>
      <c r="F151" s="47" t="s">
        <v>15</v>
      </c>
      <c r="G151" s="47" t="s">
        <v>29</v>
      </c>
      <c r="H151" s="47" t="s">
        <v>24</v>
      </c>
      <c r="I151" s="47" t="s">
        <v>30</v>
      </c>
      <c r="J151" s="47" t="s">
        <v>31</v>
      </c>
      <c r="K151" s="47" t="s">
        <v>20</v>
      </c>
      <c r="L151" s="47">
        <v>9</v>
      </c>
      <c r="M151" s="47">
        <v>388.26</v>
      </c>
      <c r="N151" s="49">
        <v>10</v>
      </c>
      <c r="O151" s="4"/>
      <c r="P151" s="4"/>
      <c r="Q151" s="4"/>
      <c r="R151" s="4"/>
      <c r="AH151" s="1">
        <v>10309</v>
      </c>
      <c r="AI151" s="47">
        <v>1400</v>
      </c>
      <c r="AJ151" s="48">
        <v>44928</v>
      </c>
      <c r="AK151" s="48">
        <v>44936</v>
      </c>
      <c r="AL151" s="47" t="s">
        <v>33</v>
      </c>
      <c r="AM151" s="47" t="s">
        <v>28</v>
      </c>
      <c r="AN151" s="47" t="s">
        <v>29</v>
      </c>
      <c r="AO151" s="47" t="s">
        <v>43</v>
      </c>
      <c r="AP151" s="47" t="s">
        <v>48</v>
      </c>
      <c r="AQ151" s="47" t="s">
        <v>50</v>
      </c>
      <c r="AR151" s="47" t="s">
        <v>46</v>
      </c>
      <c r="AS151" s="47">
        <v>1</v>
      </c>
      <c r="AT151" s="47">
        <v>2740.46</v>
      </c>
      <c r="AU151" s="49">
        <v>10</v>
      </c>
    </row>
    <row r="152" spans="1:47" x14ac:dyDescent="0.3">
      <c r="A152" s="1">
        <v>10180</v>
      </c>
      <c r="B152" s="47">
        <v>1004</v>
      </c>
      <c r="C152" s="48">
        <v>45004</v>
      </c>
      <c r="D152" s="48">
        <v>45006</v>
      </c>
      <c r="E152" s="47" t="s">
        <v>14</v>
      </c>
      <c r="F152" s="47" t="s">
        <v>28</v>
      </c>
      <c r="G152" s="47" t="s">
        <v>16</v>
      </c>
      <c r="H152" s="47" t="s">
        <v>34</v>
      </c>
      <c r="I152" s="47" t="s">
        <v>18</v>
      </c>
      <c r="J152" s="47" t="s">
        <v>42</v>
      </c>
      <c r="K152" s="47" t="s">
        <v>44</v>
      </c>
      <c r="L152" s="47">
        <v>8</v>
      </c>
      <c r="M152" s="47">
        <v>2211.17</v>
      </c>
      <c r="N152" s="49">
        <v>10</v>
      </c>
      <c r="O152" s="4"/>
      <c r="P152" s="4"/>
      <c r="Q152" s="4"/>
      <c r="R152" s="4"/>
      <c r="AH152" s="1">
        <v>10311</v>
      </c>
      <c r="AI152" s="47">
        <v>1293</v>
      </c>
      <c r="AJ152" s="48">
        <v>45038</v>
      </c>
      <c r="AK152" s="48">
        <v>45043</v>
      </c>
      <c r="AL152" s="47" t="s">
        <v>45</v>
      </c>
      <c r="AM152" s="47" t="s">
        <v>22</v>
      </c>
      <c r="AN152" s="47" t="s">
        <v>23</v>
      </c>
      <c r="AO152" s="47" t="s">
        <v>17</v>
      </c>
      <c r="AP152" s="47" t="s">
        <v>18</v>
      </c>
      <c r="AQ152" s="47" t="s">
        <v>42</v>
      </c>
      <c r="AR152" s="47" t="s">
        <v>32</v>
      </c>
      <c r="AS152" s="47">
        <v>4</v>
      </c>
      <c r="AT152" s="47">
        <v>2046.51</v>
      </c>
      <c r="AU152" s="49">
        <v>5</v>
      </c>
    </row>
    <row r="153" spans="1:47" x14ac:dyDescent="0.3">
      <c r="A153" s="1">
        <v>10181</v>
      </c>
      <c r="B153" s="47">
        <v>1217</v>
      </c>
      <c r="C153" s="48">
        <v>45050</v>
      </c>
      <c r="D153" s="48">
        <v>45053</v>
      </c>
      <c r="E153" s="47" t="s">
        <v>14</v>
      </c>
      <c r="F153" s="47" t="s">
        <v>22</v>
      </c>
      <c r="G153" s="47" t="s">
        <v>16</v>
      </c>
      <c r="H153" s="47" t="s">
        <v>41</v>
      </c>
      <c r="I153" s="47" t="s">
        <v>48</v>
      </c>
      <c r="J153" s="47" t="s">
        <v>49</v>
      </c>
      <c r="K153" s="47" t="s">
        <v>32</v>
      </c>
      <c r="L153" s="47">
        <v>5</v>
      </c>
      <c r="M153" s="47">
        <v>2329.38</v>
      </c>
      <c r="N153" s="49">
        <v>20</v>
      </c>
      <c r="O153" s="4"/>
      <c r="P153" s="4"/>
      <c r="Q153" s="4"/>
      <c r="R153" s="4"/>
      <c r="AH153" s="1">
        <v>10312</v>
      </c>
      <c r="AI153" s="47">
        <v>1279</v>
      </c>
      <c r="AJ153" s="48">
        <v>44983</v>
      </c>
      <c r="AK153" s="48">
        <v>44990</v>
      </c>
      <c r="AL153" s="47" t="s">
        <v>45</v>
      </c>
      <c r="AM153" s="47" t="s">
        <v>37</v>
      </c>
      <c r="AN153" s="47" t="s">
        <v>29</v>
      </c>
      <c r="AO153" s="47" t="s">
        <v>17</v>
      </c>
      <c r="AP153" s="47" t="s">
        <v>51</v>
      </c>
      <c r="AQ153" s="47" t="s">
        <v>55</v>
      </c>
      <c r="AR153" s="47" t="s">
        <v>32</v>
      </c>
      <c r="AS153" s="47">
        <v>1</v>
      </c>
      <c r="AT153" s="47">
        <v>2588.64</v>
      </c>
      <c r="AU153" s="49">
        <v>0</v>
      </c>
    </row>
    <row r="154" spans="1:47" x14ac:dyDescent="0.3">
      <c r="A154" s="1">
        <v>10183</v>
      </c>
      <c r="B154" s="47">
        <v>1766</v>
      </c>
      <c r="C154" s="48">
        <v>45285</v>
      </c>
      <c r="D154" s="48">
        <v>45294</v>
      </c>
      <c r="E154" s="47" t="s">
        <v>14</v>
      </c>
      <c r="F154" s="47" t="s">
        <v>22</v>
      </c>
      <c r="G154" s="47" t="s">
        <v>29</v>
      </c>
      <c r="H154" s="47" t="s">
        <v>17</v>
      </c>
      <c r="I154" s="47" t="s">
        <v>30</v>
      </c>
      <c r="J154" s="47" t="s">
        <v>38</v>
      </c>
      <c r="K154" s="47" t="s">
        <v>46</v>
      </c>
      <c r="L154" s="47">
        <v>7</v>
      </c>
      <c r="M154" s="47">
        <v>658.07</v>
      </c>
      <c r="N154" s="49">
        <v>20</v>
      </c>
      <c r="O154" s="4"/>
      <c r="P154" s="4"/>
      <c r="Q154" s="4"/>
      <c r="R154" s="4"/>
      <c r="AH154" s="1">
        <v>10313</v>
      </c>
      <c r="AI154" s="47">
        <v>1836</v>
      </c>
      <c r="AJ154" s="48">
        <v>44992</v>
      </c>
      <c r="AK154" s="48">
        <v>44997</v>
      </c>
      <c r="AL154" s="47" t="s">
        <v>39</v>
      </c>
      <c r="AM154" s="47" t="s">
        <v>40</v>
      </c>
      <c r="AN154" s="47" t="s">
        <v>16</v>
      </c>
      <c r="AO154" s="47" t="s">
        <v>34</v>
      </c>
      <c r="AP154" s="47" t="s">
        <v>56</v>
      </c>
      <c r="AQ154" s="47" t="s">
        <v>61</v>
      </c>
      <c r="AR154" s="47" t="s">
        <v>44</v>
      </c>
      <c r="AS154" s="47">
        <v>1</v>
      </c>
      <c r="AT154" s="47">
        <v>3251.27</v>
      </c>
      <c r="AU154" s="49">
        <v>15</v>
      </c>
    </row>
    <row r="155" spans="1:47" x14ac:dyDescent="0.3">
      <c r="A155" s="1">
        <v>10184</v>
      </c>
      <c r="B155" s="47">
        <v>1397</v>
      </c>
      <c r="C155" s="48">
        <v>45063</v>
      </c>
      <c r="D155" s="48">
        <v>45072</v>
      </c>
      <c r="E155" s="47" t="s">
        <v>21</v>
      </c>
      <c r="F155" s="47" t="s">
        <v>53</v>
      </c>
      <c r="G155" s="47" t="s">
        <v>16</v>
      </c>
      <c r="H155" s="47" t="s">
        <v>43</v>
      </c>
      <c r="I155" s="47" t="s">
        <v>51</v>
      </c>
      <c r="J155" s="47" t="s">
        <v>63</v>
      </c>
      <c r="K155" s="47" t="s">
        <v>20</v>
      </c>
      <c r="L155" s="47">
        <v>5</v>
      </c>
      <c r="M155" s="47">
        <v>2125.75</v>
      </c>
      <c r="N155" s="49">
        <v>15</v>
      </c>
      <c r="O155" s="4"/>
      <c r="P155" s="4"/>
      <c r="Q155" s="4"/>
      <c r="R155" s="4"/>
      <c r="AH155" s="1">
        <v>10314</v>
      </c>
      <c r="AI155" s="47">
        <v>1883</v>
      </c>
      <c r="AJ155" s="48">
        <v>45256</v>
      </c>
      <c r="AK155" s="48">
        <v>45264</v>
      </c>
      <c r="AL155" s="47" t="s">
        <v>36</v>
      </c>
      <c r="AM155" s="47" t="s">
        <v>15</v>
      </c>
      <c r="AN155" s="47" t="s">
        <v>23</v>
      </c>
      <c r="AO155" s="47" t="s">
        <v>24</v>
      </c>
      <c r="AP155" s="47" t="s">
        <v>25</v>
      </c>
      <c r="AQ155" s="47" t="s">
        <v>67</v>
      </c>
      <c r="AR155" s="47" t="s">
        <v>27</v>
      </c>
      <c r="AS155" s="47">
        <v>1</v>
      </c>
      <c r="AT155" s="47">
        <v>1681.85</v>
      </c>
      <c r="AU155" s="49">
        <v>5</v>
      </c>
    </row>
    <row r="156" spans="1:47" x14ac:dyDescent="0.3">
      <c r="A156" s="1">
        <v>10185</v>
      </c>
      <c r="B156" s="47">
        <v>1870</v>
      </c>
      <c r="C156" s="48">
        <v>45016</v>
      </c>
      <c r="D156" s="48">
        <v>45023</v>
      </c>
      <c r="E156" s="47" t="s">
        <v>33</v>
      </c>
      <c r="F156" s="47" t="s">
        <v>15</v>
      </c>
      <c r="G156" s="47" t="s">
        <v>16</v>
      </c>
      <c r="H156" s="47" t="s">
        <v>17</v>
      </c>
      <c r="I156" s="47" t="s">
        <v>30</v>
      </c>
      <c r="J156" s="47" t="s">
        <v>38</v>
      </c>
      <c r="K156" s="47" t="s">
        <v>46</v>
      </c>
      <c r="L156" s="47">
        <v>7</v>
      </c>
      <c r="M156" s="47">
        <v>898.62</v>
      </c>
      <c r="N156" s="49">
        <v>0</v>
      </c>
      <c r="O156" s="4"/>
      <c r="P156" s="4"/>
      <c r="Q156" s="4"/>
      <c r="R156" s="4"/>
      <c r="AH156" s="1">
        <v>10315</v>
      </c>
      <c r="AI156" s="47">
        <v>1609</v>
      </c>
      <c r="AJ156" s="48">
        <v>45024</v>
      </c>
      <c r="AK156" s="48">
        <v>45029</v>
      </c>
      <c r="AL156" s="47" t="s">
        <v>36</v>
      </c>
      <c r="AM156" s="47" t="s">
        <v>28</v>
      </c>
      <c r="AN156" s="47" t="s">
        <v>23</v>
      </c>
      <c r="AO156" s="47" t="s">
        <v>17</v>
      </c>
      <c r="AP156" s="47" t="s">
        <v>48</v>
      </c>
      <c r="AQ156" s="47" t="s">
        <v>49</v>
      </c>
      <c r="AR156" s="47" t="s">
        <v>44</v>
      </c>
      <c r="AS156" s="47">
        <v>8</v>
      </c>
      <c r="AT156" s="47">
        <v>3253.02</v>
      </c>
      <c r="AU156" s="49">
        <v>15</v>
      </c>
    </row>
    <row r="157" spans="1:47" x14ac:dyDescent="0.3">
      <c r="A157" s="1">
        <v>10186</v>
      </c>
      <c r="B157" s="47">
        <v>1794</v>
      </c>
      <c r="C157" s="48">
        <v>45251</v>
      </c>
      <c r="D157" s="48">
        <v>45254</v>
      </c>
      <c r="E157" s="47" t="s">
        <v>36</v>
      </c>
      <c r="F157" s="47" t="s">
        <v>40</v>
      </c>
      <c r="G157" s="47" t="s">
        <v>29</v>
      </c>
      <c r="H157" s="47" t="s">
        <v>24</v>
      </c>
      <c r="I157" s="47" t="s">
        <v>51</v>
      </c>
      <c r="J157" s="47" t="s">
        <v>55</v>
      </c>
      <c r="K157" s="47" t="s">
        <v>46</v>
      </c>
      <c r="L157" s="47">
        <v>1</v>
      </c>
      <c r="M157" s="47">
        <v>508.81</v>
      </c>
      <c r="N157" s="49">
        <v>0</v>
      </c>
      <c r="O157" s="4"/>
      <c r="P157" s="4"/>
      <c r="Q157" s="4"/>
      <c r="R157" s="4"/>
      <c r="AH157" s="1">
        <v>10316</v>
      </c>
      <c r="AI157" s="47">
        <v>1197</v>
      </c>
      <c r="AJ157" s="48">
        <v>45070</v>
      </c>
      <c r="AK157" s="48">
        <v>45071</v>
      </c>
      <c r="AL157" s="47" t="s">
        <v>45</v>
      </c>
      <c r="AM157" s="47" t="s">
        <v>37</v>
      </c>
      <c r="AN157" s="47" t="s">
        <v>29</v>
      </c>
      <c r="AO157" s="47" t="s">
        <v>17</v>
      </c>
      <c r="AP157" s="47" t="s">
        <v>56</v>
      </c>
      <c r="AQ157" s="47" t="s">
        <v>57</v>
      </c>
      <c r="AR157" s="47" t="s">
        <v>32</v>
      </c>
      <c r="AS157" s="47">
        <v>8</v>
      </c>
      <c r="AT157" s="47">
        <v>2429.2600000000002</v>
      </c>
      <c r="AU157" s="49">
        <v>15</v>
      </c>
    </row>
    <row r="158" spans="1:47" x14ac:dyDescent="0.3">
      <c r="A158" s="1">
        <v>10187</v>
      </c>
      <c r="B158" s="47">
        <v>1392</v>
      </c>
      <c r="C158" s="48">
        <v>44987</v>
      </c>
      <c r="D158" s="48">
        <v>44991</v>
      </c>
      <c r="E158" s="47" t="s">
        <v>15</v>
      </c>
      <c r="F158" s="47" t="s">
        <v>40</v>
      </c>
      <c r="G158" s="47" t="s">
        <v>16</v>
      </c>
      <c r="H158" s="47" t="s">
        <v>43</v>
      </c>
      <c r="I158" s="47" t="s">
        <v>18</v>
      </c>
      <c r="J158" s="47" t="s">
        <v>42</v>
      </c>
      <c r="K158" s="47" t="s">
        <v>32</v>
      </c>
      <c r="L158" s="47">
        <v>1</v>
      </c>
      <c r="M158" s="47">
        <v>1730.41</v>
      </c>
      <c r="N158" s="49">
        <v>10</v>
      </c>
      <c r="O158" s="4"/>
      <c r="P158" s="4"/>
      <c r="Q158" s="4"/>
      <c r="R158" s="4"/>
      <c r="AH158" s="1">
        <v>10320</v>
      </c>
      <c r="AI158" s="47">
        <v>1751</v>
      </c>
      <c r="AJ158" s="48">
        <v>45002</v>
      </c>
      <c r="AK158" s="48">
        <v>45005</v>
      </c>
      <c r="AL158" s="47" t="s">
        <v>14</v>
      </c>
      <c r="AM158" s="47" t="s">
        <v>15</v>
      </c>
      <c r="AN158" s="47" t="s">
        <v>16</v>
      </c>
      <c r="AO158" s="47" t="s">
        <v>34</v>
      </c>
      <c r="AP158" s="47" t="s">
        <v>25</v>
      </c>
      <c r="AQ158" s="47" t="s">
        <v>35</v>
      </c>
      <c r="AR158" s="47" t="s">
        <v>27</v>
      </c>
      <c r="AS158" s="47">
        <v>8</v>
      </c>
      <c r="AT158" s="47">
        <v>2254.7800000000002</v>
      </c>
      <c r="AU158" s="49">
        <v>0</v>
      </c>
    </row>
    <row r="159" spans="1:47" x14ac:dyDescent="0.3">
      <c r="A159" s="1">
        <v>10188</v>
      </c>
      <c r="B159" s="47">
        <v>1206</v>
      </c>
      <c r="C159" s="48">
        <v>45064</v>
      </c>
      <c r="D159" s="48">
        <v>45070</v>
      </c>
      <c r="E159" s="47" t="s">
        <v>39</v>
      </c>
      <c r="F159" s="47" t="s">
        <v>53</v>
      </c>
      <c r="G159" s="47" t="s">
        <v>16</v>
      </c>
      <c r="H159" s="47" t="s">
        <v>24</v>
      </c>
      <c r="I159" s="47" t="s">
        <v>51</v>
      </c>
      <c r="J159" s="47" t="s">
        <v>52</v>
      </c>
      <c r="K159" s="47" t="s">
        <v>20</v>
      </c>
      <c r="L159" s="47">
        <v>3</v>
      </c>
      <c r="M159" s="47">
        <v>778.85</v>
      </c>
      <c r="N159" s="49">
        <v>10</v>
      </c>
      <c r="O159" s="4"/>
      <c r="P159" s="4"/>
      <c r="Q159" s="4"/>
      <c r="R159" s="4"/>
      <c r="AH159" s="1">
        <v>10321</v>
      </c>
      <c r="AI159" s="47">
        <v>1143</v>
      </c>
      <c r="AJ159" s="48">
        <v>45270</v>
      </c>
      <c r="AK159" s="48">
        <v>45275</v>
      </c>
      <c r="AL159" s="47" t="s">
        <v>36</v>
      </c>
      <c r="AM159" s="47" t="s">
        <v>15</v>
      </c>
      <c r="AN159" s="47" t="s">
        <v>29</v>
      </c>
      <c r="AO159" s="47" t="s">
        <v>41</v>
      </c>
      <c r="AP159" s="47" t="s">
        <v>51</v>
      </c>
      <c r="AQ159" s="47" t="s">
        <v>59</v>
      </c>
      <c r="AR159" s="47" t="s">
        <v>44</v>
      </c>
      <c r="AS159" s="47">
        <v>7</v>
      </c>
      <c r="AT159" s="47">
        <v>3383.31</v>
      </c>
      <c r="AU159" s="49">
        <v>20</v>
      </c>
    </row>
    <row r="160" spans="1:47" x14ac:dyDescent="0.3">
      <c r="A160" s="1">
        <v>10190</v>
      </c>
      <c r="B160" s="47">
        <v>1857</v>
      </c>
      <c r="C160" s="48">
        <v>45185</v>
      </c>
      <c r="D160" s="48">
        <v>45187</v>
      </c>
      <c r="E160" s="47" t="s">
        <v>33</v>
      </c>
      <c r="F160" s="47" t="s">
        <v>53</v>
      </c>
      <c r="G160" s="47" t="s">
        <v>29</v>
      </c>
      <c r="H160" s="47" t="s">
        <v>24</v>
      </c>
      <c r="I160" s="47" t="s">
        <v>48</v>
      </c>
      <c r="J160" s="47" t="s">
        <v>50</v>
      </c>
      <c r="K160" s="47" t="s">
        <v>20</v>
      </c>
      <c r="L160" s="47">
        <v>2</v>
      </c>
      <c r="M160" s="47">
        <v>1372.59</v>
      </c>
      <c r="N160" s="49">
        <v>5</v>
      </c>
      <c r="O160" s="4"/>
      <c r="P160" s="4"/>
      <c r="Q160" s="4"/>
      <c r="R160" s="4"/>
      <c r="AH160" s="1">
        <v>10324</v>
      </c>
      <c r="AI160" s="47">
        <v>1123</v>
      </c>
      <c r="AJ160" s="48">
        <v>45064</v>
      </c>
      <c r="AK160" s="48">
        <v>45070</v>
      </c>
      <c r="AL160" s="47" t="s">
        <v>45</v>
      </c>
      <c r="AM160" s="47" t="s">
        <v>40</v>
      </c>
      <c r="AN160" s="47" t="s">
        <v>23</v>
      </c>
      <c r="AO160" s="47" t="s">
        <v>43</v>
      </c>
      <c r="AP160" s="47" t="s">
        <v>56</v>
      </c>
      <c r="AQ160" s="47" t="s">
        <v>57</v>
      </c>
      <c r="AR160" s="47" t="s">
        <v>32</v>
      </c>
      <c r="AS160" s="47">
        <v>9</v>
      </c>
      <c r="AT160" s="47">
        <v>3472.58</v>
      </c>
      <c r="AU160" s="49">
        <v>15</v>
      </c>
    </row>
    <row r="161" spans="1:47" x14ac:dyDescent="0.3">
      <c r="A161" s="1">
        <v>10191</v>
      </c>
      <c r="B161" s="47">
        <v>1553</v>
      </c>
      <c r="C161" s="48">
        <v>45033</v>
      </c>
      <c r="D161" s="48">
        <v>45039</v>
      </c>
      <c r="E161" s="47" t="s">
        <v>39</v>
      </c>
      <c r="F161" s="47" t="s">
        <v>28</v>
      </c>
      <c r="G161" s="47" t="s">
        <v>29</v>
      </c>
      <c r="H161" s="47" t="s">
        <v>34</v>
      </c>
      <c r="I161" s="47" t="s">
        <v>51</v>
      </c>
      <c r="J161" s="47" t="s">
        <v>55</v>
      </c>
      <c r="K161" s="47" t="s">
        <v>20</v>
      </c>
      <c r="L161" s="47">
        <v>7</v>
      </c>
      <c r="M161" s="47">
        <v>1148.6500000000001</v>
      </c>
      <c r="N161" s="49">
        <v>15</v>
      </c>
      <c r="O161" s="4"/>
      <c r="P161" s="4"/>
      <c r="Q161" s="4"/>
      <c r="R161" s="4"/>
      <c r="AH161" s="1">
        <v>10326</v>
      </c>
      <c r="AI161" s="47">
        <v>1325</v>
      </c>
      <c r="AJ161" s="48">
        <v>45118</v>
      </c>
      <c r="AK161" s="48">
        <v>45124</v>
      </c>
      <c r="AL161" s="47" t="s">
        <v>36</v>
      </c>
      <c r="AM161" s="47" t="s">
        <v>15</v>
      </c>
      <c r="AN161" s="47" t="s">
        <v>23</v>
      </c>
      <c r="AO161" s="47" t="s">
        <v>43</v>
      </c>
      <c r="AP161" s="47" t="s">
        <v>51</v>
      </c>
      <c r="AQ161" s="47" t="s">
        <v>59</v>
      </c>
      <c r="AR161" s="47" t="s">
        <v>32</v>
      </c>
      <c r="AS161" s="47">
        <v>2</v>
      </c>
      <c r="AT161" s="47">
        <v>3428.64</v>
      </c>
      <c r="AU161" s="49">
        <v>10</v>
      </c>
    </row>
    <row r="162" spans="1:47" x14ac:dyDescent="0.3">
      <c r="A162" s="1">
        <v>10192</v>
      </c>
      <c r="B162" s="47">
        <v>1891</v>
      </c>
      <c r="C162" s="48">
        <v>45039</v>
      </c>
      <c r="D162" s="48">
        <v>45042</v>
      </c>
      <c r="E162" s="47" t="s">
        <v>14</v>
      </c>
      <c r="F162" s="47" t="s">
        <v>28</v>
      </c>
      <c r="G162" s="47" t="s">
        <v>29</v>
      </c>
      <c r="H162" s="47" t="s">
        <v>34</v>
      </c>
      <c r="I162" s="47" t="s">
        <v>51</v>
      </c>
      <c r="J162" s="47" t="s">
        <v>59</v>
      </c>
      <c r="K162" s="47" t="s">
        <v>20</v>
      </c>
      <c r="L162" s="47">
        <v>2</v>
      </c>
      <c r="M162" s="47">
        <v>487.23</v>
      </c>
      <c r="N162" s="49">
        <v>15</v>
      </c>
      <c r="O162" s="4"/>
      <c r="P162" s="4"/>
      <c r="Q162" s="4"/>
      <c r="R162" s="4"/>
      <c r="AH162" s="1">
        <v>10327</v>
      </c>
      <c r="AI162" s="47">
        <v>1463</v>
      </c>
      <c r="AJ162" s="48">
        <v>45169</v>
      </c>
      <c r="AK162" s="48">
        <v>45176</v>
      </c>
      <c r="AL162" s="47" t="s">
        <v>21</v>
      </c>
      <c r="AM162" s="47" t="s">
        <v>22</v>
      </c>
      <c r="AN162" s="47" t="s">
        <v>16</v>
      </c>
      <c r="AO162" s="47" t="s">
        <v>41</v>
      </c>
      <c r="AP162" s="47" t="s">
        <v>51</v>
      </c>
      <c r="AQ162" s="47" t="s">
        <v>59</v>
      </c>
      <c r="AR162" s="47" t="s">
        <v>46</v>
      </c>
      <c r="AS162" s="47">
        <v>6</v>
      </c>
      <c r="AT162" s="47">
        <v>3967.1</v>
      </c>
      <c r="AU162" s="49">
        <v>0</v>
      </c>
    </row>
    <row r="163" spans="1:47" x14ac:dyDescent="0.3">
      <c r="A163" s="1">
        <v>10193</v>
      </c>
      <c r="B163" s="47">
        <v>1460</v>
      </c>
      <c r="C163" s="48">
        <v>45276</v>
      </c>
      <c r="D163" s="48">
        <v>45284</v>
      </c>
      <c r="E163" s="47" t="s">
        <v>45</v>
      </c>
      <c r="F163" s="47" t="s">
        <v>37</v>
      </c>
      <c r="G163" s="47" t="s">
        <v>29</v>
      </c>
      <c r="H163" s="47" t="s">
        <v>24</v>
      </c>
      <c r="I163" s="47" t="s">
        <v>48</v>
      </c>
      <c r="J163" s="47" t="s">
        <v>50</v>
      </c>
      <c r="K163" s="47" t="s">
        <v>32</v>
      </c>
      <c r="L163" s="47">
        <v>4</v>
      </c>
      <c r="M163" s="47">
        <v>496.18</v>
      </c>
      <c r="N163" s="49">
        <v>15</v>
      </c>
      <c r="O163" s="4"/>
      <c r="P163" s="4"/>
      <c r="Q163" s="4"/>
      <c r="R163" s="4"/>
      <c r="AH163" s="1">
        <v>10328</v>
      </c>
      <c r="AI163" s="47">
        <v>1348</v>
      </c>
      <c r="AJ163" s="48">
        <v>45245</v>
      </c>
      <c r="AK163" s="48">
        <v>45250</v>
      </c>
      <c r="AL163" s="47" t="s">
        <v>21</v>
      </c>
      <c r="AM163" s="47" t="s">
        <v>53</v>
      </c>
      <c r="AN163" s="47" t="s">
        <v>23</v>
      </c>
      <c r="AO163" s="47" t="s">
        <v>24</v>
      </c>
      <c r="AP163" s="47" t="s">
        <v>51</v>
      </c>
      <c r="AQ163" s="47" t="s">
        <v>52</v>
      </c>
      <c r="AR163" s="47" t="s">
        <v>44</v>
      </c>
      <c r="AS163" s="47">
        <v>2</v>
      </c>
      <c r="AT163" s="47">
        <v>2948.33</v>
      </c>
      <c r="AU163" s="49">
        <v>15</v>
      </c>
    </row>
    <row r="164" spans="1:47" x14ac:dyDescent="0.3">
      <c r="A164" s="1">
        <v>10194</v>
      </c>
      <c r="B164" s="47">
        <v>1690</v>
      </c>
      <c r="C164" s="48">
        <v>45180</v>
      </c>
      <c r="D164" s="48">
        <v>45182</v>
      </c>
      <c r="E164" s="47" t="s">
        <v>33</v>
      </c>
      <c r="F164" s="47" t="s">
        <v>40</v>
      </c>
      <c r="G164" s="47" t="s">
        <v>23</v>
      </c>
      <c r="H164" s="47" t="s">
        <v>24</v>
      </c>
      <c r="I164" s="47" t="s">
        <v>56</v>
      </c>
      <c r="J164" s="47" t="s">
        <v>58</v>
      </c>
      <c r="K164" s="47" t="s">
        <v>44</v>
      </c>
      <c r="L164" s="47">
        <v>2</v>
      </c>
      <c r="M164" s="47">
        <v>894.01</v>
      </c>
      <c r="N164" s="49">
        <v>15</v>
      </c>
      <c r="O164" s="4"/>
      <c r="P164" s="4"/>
      <c r="Q164" s="4"/>
      <c r="R164" s="4"/>
      <c r="AH164" s="1">
        <v>10329</v>
      </c>
      <c r="AI164" s="47">
        <v>1770</v>
      </c>
      <c r="AJ164" s="48">
        <v>44975</v>
      </c>
      <c r="AK164" s="48">
        <v>44976</v>
      </c>
      <c r="AL164" s="47" t="s">
        <v>39</v>
      </c>
      <c r="AM164" s="47" t="s">
        <v>37</v>
      </c>
      <c r="AN164" s="47" t="s">
        <v>16</v>
      </c>
      <c r="AO164" s="47" t="s">
        <v>43</v>
      </c>
      <c r="AP164" s="47" t="s">
        <v>25</v>
      </c>
      <c r="AQ164" s="47" t="s">
        <v>26</v>
      </c>
      <c r="AR164" s="47" t="s">
        <v>46</v>
      </c>
      <c r="AS164" s="47">
        <v>1</v>
      </c>
      <c r="AT164" s="47">
        <v>3171.36</v>
      </c>
      <c r="AU164" s="49">
        <v>20</v>
      </c>
    </row>
    <row r="165" spans="1:47" x14ac:dyDescent="0.3">
      <c r="A165" s="1">
        <v>10195</v>
      </c>
      <c r="B165" s="47">
        <v>1574</v>
      </c>
      <c r="C165" s="48">
        <v>45044</v>
      </c>
      <c r="D165" s="48">
        <v>45045</v>
      </c>
      <c r="E165" s="47" t="s">
        <v>33</v>
      </c>
      <c r="F165" s="47" t="s">
        <v>22</v>
      </c>
      <c r="G165" s="47" t="s">
        <v>16</v>
      </c>
      <c r="H165" s="47" t="s">
        <v>34</v>
      </c>
      <c r="I165" s="47" t="s">
        <v>30</v>
      </c>
      <c r="J165" s="47" t="s">
        <v>64</v>
      </c>
      <c r="K165" s="47" t="s">
        <v>46</v>
      </c>
      <c r="L165" s="47">
        <v>6</v>
      </c>
      <c r="M165" s="47">
        <v>344.65</v>
      </c>
      <c r="N165" s="49">
        <v>10</v>
      </c>
      <c r="O165" s="4"/>
      <c r="P165" s="4"/>
      <c r="Q165" s="4"/>
      <c r="R165" s="4"/>
      <c r="AH165" s="1">
        <v>10330</v>
      </c>
      <c r="AI165" s="47">
        <v>1659</v>
      </c>
      <c r="AJ165" s="48">
        <v>44958</v>
      </c>
      <c r="AK165" s="48">
        <v>44966</v>
      </c>
      <c r="AL165" s="47" t="s">
        <v>36</v>
      </c>
      <c r="AM165" s="47" t="s">
        <v>53</v>
      </c>
      <c r="AN165" s="47" t="s">
        <v>16</v>
      </c>
      <c r="AO165" s="47" t="s">
        <v>43</v>
      </c>
      <c r="AP165" s="47" t="s">
        <v>51</v>
      </c>
      <c r="AQ165" s="47" t="s">
        <v>63</v>
      </c>
      <c r="AR165" s="47" t="s">
        <v>20</v>
      </c>
      <c r="AS165" s="47">
        <v>7</v>
      </c>
      <c r="AT165" s="47">
        <v>3978.5</v>
      </c>
      <c r="AU165" s="49">
        <v>20</v>
      </c>
    </row>
    <row r="166" spans="1:47" x14ac:dyDescent="0.3">
      <c r="A166" s="1">
        <v>10196</v>
      </c>
      <c r="B166" s="47">
        <v>1863</v>
      </c>
      <c r="C166" s="48">
        <v>45124</v>
      </c>
      <c r="D166" s="48">
        <v>45133</v>
      </c>
      <c r="E166" s="47" t="s">
        <v>36</v>
      </c>
      <c r="F166" s="47" t="s">
        <v>28</v>
      </c>
      <c r="G166" s="47" t="s">
        <v>29</v>
      </c>
      <c r="H166" s="47" t="s">
        <v>43</v>
      </c>
      <c r="I166" s="47" t="s">
        <v>51</v>
      </c>
      <c r="J166" s="47" t="s">
        <v>52</v>
      </c>
      <c r="K166" s="47" t="s">
        <v>20</v>
      </c>
      <c r="L166" s="47">
        <v>8</v>
      </c>
      <c r="M166" s="47">
        <v>2561.86</v>
      </c>
      <c r="N166" s="49">
        <v>0</v>
      </c>
      <c r="O166" s="4"/>
      <c r="P166" s="4"/>
      <c r="Q166" s="4"/>
      <c r="R166" s="4"/>
      <c r="AH166" s="1">
        <v>10339</v>
      </c>
      <c r="AI166" s="47">
        <v>1147</v>
      </c>
      <c r="AJ166" s="48">
        <v>45005</v>
      </c>
      <c r="AK166" s="48">
        <v>45012</v>
      </c>
      <c r="AL166" s="47" t="s">
        <v>14</v>
      </c>
      <c r="AM166" s="47" t="s">
        <v>53</v>
      </c>
      <c r="AN166" s="47" t="s">
        <v>16</v>
      </c>
      <c r="AO166" s="47" t="s">
        <v>24</v>
      </c>
      <c r="AP166" s="47" t="s">
        <v>30</v>
      </c>
      <c r="AQ166" s="47" t="s">
        <v>31</v>
      </c>
      <c r="AR166" s="47" t="s">
        <v>20</v>
      </c>
      <c r="AS166" s="47">
        <v>4</v>
      </c>
      <c r="AT166" s="47">
        <v>3708.51</v>
      </c>
      <c r="AU166" s="49">
        <v>5</v>
      </c>
    </row>
    <row r="167" spans="1:47" x14ac:dyDescent="0.3">
      <c r="A167" s="1">
        <v>10197</v>
      </c>
      <c r="B167" s="47">
        <v>1742</v>
      </c>
      <c r="C167" s="48">
        <v>45263</v>
      </c>
      <c r="D167" s="48">
        <v>45266</v>
      </c>
      <c r="E167" s="47" t="s">
        <v>15</v>
      </c>
      <c r="F167" s="47" t="s">
        <v>37</v>
      </c>
      <c r="G167" s="47" t="s">
        <v>16</v>
      </c>
      <c r="H167" s="47" t="s">
        <v>34</v>
      </c>
      <c r="I167" s="47" t="s">
        <v>48</v>
      </c>
      <c r="J167" s="47" t="s">
        <v>66</v>
      </c>
      <c r="K167" s="47" t="s">
        <v>44</v>
      </c>
      <c r="L167" s="47">
        <v>4</v>
      </c>
      <c r="M167" s="47">
        <v>1256.21</v>
      </c>
      <c r="N167" s="49">
        <v>10</v>
      </c>
      <c r="O167" s="4"/>
      <c r="P167" s="4"/>
      <c r="Q167" s="4"/>
      <c r="R167" s="4"/>
      <c r="AH167" s="1">
        <v>10342</v>
      </c>
      <c r="AI167" s="47">
        <v>1819</v>
      </c>
      <c r="AJ167" s="48">
        <v>45018</v>
      </c>
      <c r="AK167" s="48">
        <v>45019</v>
      </c>
      <c r="AL167" s="47" t="s">
        <v>14</v>
      </c>
      <c r="AM167" s="47" t="s">
        <v>53</v>
      </c>
      <c r="AN167" s="47" t="s">
        <v>16</v>
      </c>
      <c r="AO167" s="47" t="s">
        <v>34</v>
      </c>
      <c r="AP167" s="47" t="s">
        <v>25</v>
      </c>
      <c r="AQ167" s="47" t="s">
        <v>26</v>
      </c>
      <c r="AR167" s="47" t="s">
        <v>46</v>
      </c>
      <c r="AS167" s="47">
        <v>5</v>
      </c>
      <c r="AT167" s="47">
        <v>1853.11</v>
      </c>
      <c r="AU167" s="49">
        <v>10</v>
      </c>
    </row>
    <row r="168" spans="1:47" x14ac:dyDescent="0.3">
      <c r="A168" s="1">
        <v>10198</v>
      </c>
      <c r="B168" s="47">
        <v>1240</v>
      </c>
      <c r="C168" s="48">
        <v>45291</v>
      </c>
      <c r="D168" s="48">
        <v>45292</v>
      </c>
      <c r="E168" s="47" t="s">
        <v>33</v>
      </c>
      <c r="F168" s="47" t="s">
        <v>40</v>
      </c>
      <c r="G168" s="47" t="s">
        <v>16</v>
      </c>
      <c r="H168" s="47" t="s">
        <v>41</v>
      </c>
      <c r="I168" s="47" t="s">
        <v>18</v>
      </c>
      <c r="J168" s="47" t="s">
        <v>68</v>
      </c>
      <c r="K168" s="47" t="s">
        <v>44</v>
      </c>
      <c r="L168" s="47">
        <v>5</v>
      </c>
      <c r="M168" s="47">
        <v>1227.02</v>
      </c>
      <c r="N168" s="49">
        <v>15</v>
      </c>
      <c r="O168" s="4"/>
      <c r="P168" s="4"/>
      <c r="Q168" s="4"/>
      <c r="R168" s="4"/>
      <c r="AH168" s="1">
        <v>10344</v>
      </c>
      <c r="AI168" s="47">
        <v>1928</v>
      </c>
      <c r="AJ168" s="48">
        <v>45094</v>
      </c>
      <c r="AK168" s="48">
        <v>45101</v>
      </c>
      <c r="AL168" s="47" t="s">
        <v>21</v>
      </c>
      <c r="AM168" s="47" t="s">
        <v>28</v>
      </c>
      <c r="AN168" s="47" t="s">
        <v>29</v>
      </c>
      <c r="AO168" s="47" t="s">
        <v>43</v>
      </c>
      <c r="AP168" s="47" t="s">
        <v>51</v>
      </c>
      <c r="AQ168" s="47" t="s">
        <v>55</v>
      </c>
      <c r="AR168" s="47" t="s">
        <v>32</v>
      </c>
      <c r="AS168" s="47">
        <v>4</v>
      </c>
      <c r="AT168" s="47">
        <v>2785.81</v>
      </c>
      <c r="AU168" s="49">
        <v>20</v>
      </c>
    </row>
    <row r="169" spans="1:47" x14ac:dyDescent="0.3">
      <c r="A169" s="1">
        <v>10199</v>
      </c>
      <c r="B169" s="47">
        <v>1563</v>
      </c>
      <c r="C169" s="48">
        <v>44977</v>
      </c>
      <c r="D169" s="48">
        <v>44984</v>
      </c>
      <c r="E169" s="47" t="s">
        <v>33</v>
      </c>
      <c r="F169" s="47" t="s">
        <v>22</v>
      </c>
      <c r="G169" s="47" t="s">
        <v>23</v>
      </c>
      <c r="H169" s="47" t="s">
        <v>34</v>
      </c>
      <c r="I169" s="47" t="s">
        <v>48</v>
      </c>
      <c r="J169" s="47" t="s">
        <v>50</v>
      </c>
      <c r="K169" s="47" t="s">
        <v>46</v>
      </c>
      <c r="L169" s="47">
        <v>4</v>
      </c>
      <c r="M169" s="47">
        <v>1428.19</v>
      </c>
      <c r="N169" s="49">
        <v>10</v>
      </c>
      <c r="O169" s="4"/>
      <c r="P169" s="4"/>
      <c r="Q169" s="4"/>
      <c r="R169" s="4"/>
      <c r="AH169" s="1">
        <v>10345</v>
      </c>
      <c r="AI169" s="47">
        <v>1935</v>
      </c>
      <c r="AJ169" s="48">
        <v>44984</v>
      </c>
      <c r="AK169" s="48">
        <v>44993</v>
      </c>
      <c r="AL169" s="47" t="s">
        <v>33</v>
      </c>
      <c r="AM169" s="47" t="s">
        <v>28</v>
      </c>
      <c r="AN169" s="47" t="s">
        <v>29</v>
      </c>
      <c r="AO169" s="47" t="s">
        <v>41</v>
      </c>
      <c r="AP169" s="47" t="s">
        <v>25</v>
      </c>
      <c r="AQ169" s="47" t="s">
        <v>35</v>
      </c>
      <c r="AR169" s="47" t="s">
        <v>44</v>
      </c>
      <c r="AS169" s="47">
        <v>1</v>
      </c>
      <c r="AT169" s="47">
        <v>3625.42</v>
      </c>
      <c r="AU169" s="49">
        <v>10</v>
      </c>
    </row>
    <row r="170" spans="1:47" x14ac:dyDescent="0.3">
      <c r="A170" s="1">
        <v>10200</v>
      </c>
      <c r="B170" s="47">
        <v>1095</v>
      </c>
      <c r="C170" s="48">
        <v>45171</v>
      </c>
      <c r="D170" s="48">
        <v>45176</v>
      </c>
      <c r="E170" s="47" t="s">
        <v>14</v>
      </c>
      <c r="F170" s="47" t="s">
        <v>28</v>
      </c>
      <c r="G170" s="47" t="s">
        <v>29</v>
      </c>
      <c r="H170" s="47" t="s">
        <v>43</v>
      </c>
      <c r="I170" s="47" t="s">
        <v>18</v>
      </c>
      <c r="J170" s="47" t="s">
        <v>68</v>
      </c>
      <c r="K170" s="47" t="s">
        <v>32</v>
      </c>
      <c r="L170" s="47">
        <v>3</v>
      </c>
      <c r="M170" s="47">
        <v>2701.77</v>
      </c>
      <c r="N170" s="49">
        <v>15</v>
      </c>
      <c r="O170" s="4"/>
      <c r="P170" s="4"/>
      <c r="Q170" s="4"/>
      <c r="R170" s="4"/>
      <c r="AH170" s="1">
        <v>10350</v>
      </c>
      <c r="AI170" s="47">
        <v>1640</v>
      </c>
      <c r="AJ170" s="48">
        <v>45180</v>
      </c>
      <c r="AK170" s="48">
        <v>45185</v>
      </c>
      <c r="AL170" s="47" t="s">
        <v>14</v>
      </c>
      <c r="AM170" s="47" t="s">
        <v>40</v>
      </c>
      <c r="AN170" s="47" t="s">
        <v>16</v>
      </c>
      <c r="AO170" s="47" t="s">
        <v>43</v>
      </c>
      <c r="AP170" s="47" t="s">
        <v>56</v>
      </c>
      <c r="AQ170" s="47" t="s">
        <v>61</v>
      </c>
      <c r="AR170" s="47" t="s">
        <v>20</v>
      </c>
      <c r="AS170" s="47">
        <v>1</v>
      </c>
      <c r="AT170" s="47">
        <v>3708.38</v>
      </c>
      <c r="AU170" s="49">
        <v>20</v>
      </c>
    </row>
    <row r="171" spans="1:47" x14ac:dyDescent="0.3">
      <c r="A171" s="1">
        <v>10201</v>
      </c>
      <c r="B171" s="47">
        <v>1899</v>
      </c>
      <c r="C171" s="48">
        <v>44961</v>
      </c>
      <c r="D171" s="48">
        <v>44966</v>
      </c>
      <c r="E171" s="47" t="s">
        <v>14</v>
      </c>
      <c r="F171" s="47" t="s">
        <v>28</v>
      </c>
      <c r="G171" s="47" t="s">
        <v>29</v>
      </c>
      <c r="H171" s="47" t="s">
        <v>41</v>
      </c>
      <c r="I171" s="47" t="s">
        <v>56</v>
      </c>
      <c r="J171" s="47" t="s">
        <v>58</v>
      </c>
      <c r="K171" s="47" t="s">
        <v>27</v>
      </c>
      <c r="L171" s="47">
        <v>5</v>
      </c>
      <c r="M171" s="47">
        <v>3501.94</v>
      </c>
      <c r="N171" s="49">
        <v>20</v>
      </c>
      <c r="O171" s="4"/>
      <c r="P171" s="4"/>
      <c r="Q171" s="4"/>
      <c r="R171" s="4"/>
      <c r="AH171" s="1">
        <v>10351</v>
      </c>
      <c r="AI171" s="47">
        <v>1778</v>
      </c>
      <c r="AJ171" s="48">
        <v>44970</v>
      </c>
      <c r="AK171" s="48">
        <v>44972</v>
      </c>
      <c r="AL171" s="47" t="s">
        <v>45</v>
      </c>
      <c r="AM171" s="47" t="s">
        <v>15</v>
      </c>
      <c r="AN171" s="47" t="s">
        <v>29</v>
      </c>
      <c r="AO171" s="47" t="s">
        <v>34</v>
      </c>
      <c r="AP171" s="47" t="s">
        <v>30</v>
      </c>
      <c r="AQ171" s="47" t="s">
        <v>31</v>
      </c>
      <c r="AR171" s="47" t="s">
        <v>44</v>
      </c>
      <c r="AS171" s="47">
        <v>3</v>
      </c>
      <c r="AT171" s="47">
        <v>1923.58</v>
      </c>
      <c r="AU171" s="49">
        <v>15</v>
      </c>
    </row>
    <row r="172" spans="1:47" x14ac:dyDescent="0.3">
      <c r="A172" s="1">
        <v>10202</v>
      </c>
      <c r="B172" s="47">
        <v>1733</v>
      </c>
      <c r="C172" s="48">
        <v>45228</v>
      </c>
      <c r="D172" s="48">
        <v>45229</v>
      </c>
      <c r="E172" s="47" t="s">
        <v>39</v>
      </c>
      <c r="F172" s="47" t="s">
        <v>53</v>
      </c>
      <c r="G172" s="47" t="s">
        <v>16</v>
      </c>
      <c r="H172" s="47" t="s">
        <v>17</v>
      </c>
      <c r="I172" s="47" t="s">
        <v>30</v>
      </c>
      <c r="J172" s="47" t="s">
        <v>64</v>
      </c>
      <c r="K172" s="47" t="s">
        <v>27</v>
      </c>
      <c r="L172" s="47">
        <v>9</v>
      </c>
      <c r="M172" s="47">
        <v>3072.48</v>
      </c>
      <c r="N172" s="49">
        <v>0</v>
      </c>
      <c r="O172" s="4"/>
      <c r="P172" s="4"/>
      <c r="Q172" s="4"/>
      <c r="R172" s="4"/>
      <c r="AH172" s="1">
        <v>10352</v>
      </c>
      <c r="AI172" s="47">
        <v>1987</v>
      </c>
      <c r="AJ172" s="48">
        <v>45023</v>
      </c>
      <c r="AK172" s="48">
        <v>45026</v>
      </c>
      <c r="AL172" s="47" t="s">
        <v>45</v>
      </c>
      <c r="AM172" s="47" t="s">
        <v>22</v>
      </c>
      <c r="AN172" s="47" t="s">
        <v>29</v>
      </c>
      <c r="AO172" s="47" t="s">
        <v>17</v>
      </c>
      <c r="AP172" s="47" t="s">
        <v>25</v>
      </c>
      <c r="AQ172" s="47" t="s">
        <v>35</v>
      </c>
      <c r="AR172" s="47" t="s">
        <v>44</v>
      </c>
      <c r="AS172" s="47">
        <v>2</v>
      </c>
      <c r="AT172" s="47">
        <v>2071.04</v>
      </c>
      <c r="AU172" s="49">
        <v>20</v>
      </c>
    </row>
    <row r="173" spans="1:47" x14ac:dyDescent="0.3">
      <c r="A173" s="1">
        <v>10207</v>
      </c>
      <c r="B173" s="47">
        <v>1654</v>
      </c>
      <c r="C173" s="48">
        <v>45000</v>
      </c>
      <c r="D173" s="48">
        <v>45006</v>
      </c>
      <c r="E173" s="47" t="s">
        <v>36</v>
      </c>
      <c r="F173" s="47" t="s">
        <v>40</v>
      </c>
      <c r="G173" s="47" t="s">
        <v>23</v>
      </c>
      <c r="H173" s="47" t="s">
        <v>43</v>
      </c>
      <c r="I173" s="47" t="s">
        <v>48</v>
      </c>
      <c r="J173" s="47" t="s">
        <v>50</v>
      </c>
      <c r="K173" s="47" t="s">
        <v>32</v>
      </c>
      <c r="L173" s="47">
        <v>7</v>
      </c>
      <c r="M173" s="47">
        <v>982.56</v>
      </c>
      <c r="N173" s="49">
        <v>10</v>
      </c>
      <c r="O173" s="4"/>
      <c r="P173" s="4"/>
      <c r="Q173" s="4"/>
      <c r="R173" s="4"/>
      <c r="AH173" s="1">
        <v>10355</v>
      </c>
      <c r="AI173" s="47">
        <v>1945</v>
      </c>
      <c r="AJ173" s="48">
        <v>45188</v>
      </c>
      <c r="AK173" s="48">
        <v>45191</v>
      </c>
      <c r="AL173" s="47" t="s">
        <v>36</v>
      </c>
      <c r="AM173" s="47" t="s">
        <v>22</v>
      </c>
      <c r="AN173" s="47" t="s">
        <v>29</v>
      </c>
      <c r="AO173" s="47" t="s">
        <v>34</v>
      </c>
      <c r="AP173" s="47" t="s">
        <v>51</v>
      </c>
      <c r="AQ173" s="47" t="s">
        <v>52</v>
      </c>
      <c r="AR173" s="47" t="s">
        <v>20</v>
      </c>
      <c r="AS173" s="47">
        <v>9</v>
      </c>
      <c r="AT173" s="47">
        <v>2632.88</v>
      </c>
      <c r="AU173" s="49">
        <v>5</v>
      </c>
    </row>
    <row r="174" spans="1:47" x14ac:dyDescent="0.3">
      <c r="A174" s="1">
        <v>10208</v>
      </c>
      <c r="B174" s="47">
        <v>1170</v>
      </c>
      <c r="C174" s="48">
        <v>45118</v>
      </c>
      <c r="D174" s="48">
        <v>45123</v>
      </c>
      <c r="E174" s="47" t="s">
        <v>45</v>
      </c>
      <c r="F174" s="47" t="s">
        <v>40</v>
      </c>
      <c r="G174" s="47" t="s">
        <v>23</v>
      </c>
      <c r="H174" s="47" t="s">
        <v>41</v>
      </c>
      <c r="I174" s="47" t="s">
        <v>51</v>
      </c>
      <c r="J174" s="47" t="s">
        <v>52</v>
      </c>
      <c r="K174" s="47" t="s">
        <v>27</v>
      </c>
      <c r="L174" s="47">
        <v>8</v>
      </c>
      <c r="M174" s="47">
        <v>953.07</v>
      </c>
      <c r="N174" s="49">
        <v>20</v>
      </c>
      <c r="O174" s="4"/>
      <c r="P174" s="4"/>
      <c r="Q174" s="4"/>
      <c r="R174" s="4"/>
      <c r="AH174" s="1">
        <v>10358</v>
      </c>
      <c r="AI174" s="47">
        <v>1989</v>
      </c>
      <c r="AJ174" s="48">
        <v>45015</v>
      </c>
      <c r="AK174" s="48">
        <v>45019</v>
      </c>
      <c r="AL174" s="47" t="s">
        <v>14</v>
      </c>
      <c r="AM174" s="47" t="s">
        <v>28</v>
      </c>
      <c r="AN174" s="47" t="s">
        <v>29</v>
      </c>
      <c r="AO174" s="47" t="s">
        <v>34</v>
      </c>
      <c r="AP174" s="47" t="s">
        <v>56</v>
      </c>
      <c r="AQ174" s="47" t="s">
        <v>57</v>
      </c>
      <c r="AR174" s="47" t="s">
        <v>32</v>
      </c>
      <c r="AS174" s="47">
        <v>8</v>
      </c>
      <c r="AT174" s="47">
        <v>3581.12</v>
      </c>
      <c r="AU174" s="49">
        <v>15</v>
      </c>
    </row>
    <row r="175" spans="1:47" x14ac:dyDescent="0.3">
      <c r="A175" s="1">
        <v>10209</v>
      </c>
      <c r="B175" s="47">
        <v>1540</v>
      </c>
      <c r="C175" s="48">
        <v>45187</v>
      </c>
      <c r="D175" s="48">
        <v>45193</v>
      </c>
      <c r="E175" s="47" t="s">
        <v>39</v>
      </c>
      <c r="F175" s="47" t="s">
        <v>15</v>
      </c>
      <c r="G175" s="47" t="s">
        <v>16</v>
      </c>
      <c r="H175" s="47" t="s">
        <v>41</v>
      </c>
      <c r="I175" s="47" t="s">
        <v>48</v>
      </c>
      <c r="J175" s="47" t="s">
        <v>49</v>
      </c>
      <c r="K175" s="47" t="s">
        <v>44</v>
      </c>
      <c r="L175" s="47">
        <v>8</v>
      </c>
      <c r="M175" s="47">
        <v>1291.1099999999999</v>
      </c>
      <c r="N175" s="49">
        <v>15</v>
      </c>
      <c r="O175" s="4"/>
      <c r="P175" s="4"/>
      <c r="Q175" s="4"/>
      <c r="R175" s="4"/>
      <c r="AH175" s="1">
        <v>10361</v>
      </c>
      <c r="AI175" s="47">
        <v>1262</v>
      </c>
      <c r="AJ175" s="48">
        <v>45233</v>
      </c>
      <c r="AK175" s="48">
        <v>45234</v>
      </c>
      <c r="AL175" s="47" t="s">
        <v>33</v>
      </c>
      <c r="AM175" s="47" t="s">
        <v>22</v>
      </c>
      <c r="AN175" s="47" t="s">
        <v>23</v>
      </c>
      <c r="AO175" s="47" t="s">
        <v>43</v>
      </c>
      <c r="AP175" s="47" t="s">
        <v>56</v>
      </c>
      <c r="AQ175" s="47" t="s">
        <v>58</v>
      </c>
      <c r="AR175" s="47" t="s">
        <v>20</v>
      </c>
      <c r="AS175" s="47">
        <v>3</v>
      </c>
      <c r="AT175" s="47">
        <v>2284.27</v>
      </c>
      <c r="AU175" s="49">
        <v>20</v>
      </c>
    </row>
    <row r="176" spans="1:47" x14ac:dyDescent="0.3">
      <c r="A176" s="1">
        <v>10210</v>
      </c>
      <c r="B176" s="47">
        <v>1035</v>
      </c>
      <c r="C176" s="48">
        <v>45282</v>
      </c>
      <c r="D176" s="48">
        <v>45284</v>
      </c>
      <c r="E176" s="47" t="s">
        <v>14</v>
      </c>
      <c r="F176" s="47" t="s">
        <v>53</v>
      </c>
      <c r="G176" s="47" t="s">
        <v>29</v>
      </c>
      <c r="H176" s="47" t="s">
        <v>17</v>
      </c>
      <c r="I176" s="47" t="s">
        <v>18</v>
      </c>
      <c r="J176" s="47" t="s">
        <v>19</v>
      </c>
      <c r="K176" s="47" t="s">
        <v>44</v>
      </c>
      <c r="L176" s="47">
        <v>8</v>
      </c>
      <c r="M176" s="47">
        <v>3656.59</v>
      </c>
      <c r="N176" s="49">
        <v>15</v>
      </c>
      <c r="O176" s="4"/>
      <c r="P176" s="4"/>
      <c r="Q176" s="4"/>
      <c r="R176" s="4"/>
      <c r="AH176" s="1">
        <v>10365</v>
      </c>
      <c r="AI176" s="47">
        <v>1623</v>
      </c>
      <c r="AJ176" s="48">
        <v>44934</v>
      </c>
      <c r="AK176" s="48">
        <v>44940</v>
      </c>
      <c r="AL176" s="47" t="s">
        <v>15</v>
      </c>
      <c r="AM176" s="47" t="s">
        <v>40</v>
      </c>
      <c r="AN176" s="47" t="s">
        <v>16</v>
      </c>
      <c r="AO176" s="47" t="s">
        <v>34</v>
      </c>
      <c r="AP176" s="47" t="s">
        <v>51</v>
      </c>
      <c r="AQ176" s="47" t="s">
        <v>52</v>
      </c>
      <c r="AR176" s="47" t="s">
        <v>32</v>
      </c>
      <c r="AS176" s="47">
        <v>5</v>
      </c>
      <c r="AT176" s="47">
        <v>3593.46</v>
      </c>
      <c r="AU176" s="49">
        <v>20</v>
      </c>
    </row>
    <row r="177" spans="1:47" x14ac:dyDescent="0.3">
      <c r="A177" s="1">
        <v>10211</v>
      </c>
      <c r="B177" s="47">
        <v>1524</v>
      </c>
      <c r="C177" s="48">
        <v>44996</v>
      </c>
      <c r="D177" s="48">
        <v>45000</v>
      </c>
      <c r="E177" s="47" t="s">
        <v>21</v>
      </c>
      <c r="F177" s="47" t="s">
        <v>22</v>
      </c>
      <c r="G177" s="47" t="s">
        <v>23</v>
      </c>
      <c r="H177" s="47" t="s">
        <v>41</v>
      </c>
      <c r="I177" s="47" t="s">
        <v>48</v>
      </c>
      <c r="J177" s="47" t="s">
        <v>50</v>
      </c>
      <c r="K177" s="47" t="s">
        <v>20</v>
      </c>
      <c r="L177" s="47">
        <v>7</v>
      </c>
      <c r="M177" s="47">
        <v>2257.5500000000002</v>
      </c>
      <c r="N177" s="49">
        <v>10</v>
      </c>
      <c r="O177" s="4"/>
      <c r="P177" s="4"/>
      <c r="Q177" s="4"/>
      <c r="R177" s="4"/>
      <c r="AH177" s="1">
        <v>10366</v>
      </c>
      <c r="AI177" s="47">
        <v>1571</v>
      </c>
      <c r="AJ177" s="48">
        <v>45223</v>
      </c>
      <c r="AK177" s="48">
        <v>45226</v>
      </c>
      <c r="AL177" s="47" t="s">
        <v>14</v>
      </c>
      <c r="AM177" s="47" t="s">
        <v>15</v>
      </c>
      <c r="AN177" s="47" t="s">
        <v>23</v>
      </c>
      <c r="AO177" s="47" t="s">
        <v>41</v>
      </c>
      <c r="AP177" s="47" t="s">
        <v>48</v>
      </c>
      <c r="AQ177" s="47" t="s">
        <v>62</v>
      </c>
      <c r="AR177" s="47" t="s">
        <v>20</v>
      </c>
      <c r="AS177" s="47">
        <v>5</v>
      </c>
      <c r="AT177" s="47">
        <v>3320.88</v>
      </c>
      <c r="AU177" s="49">
        <v>0</v>
      </c>
    </row>
    <row r="178" spans="1:47" x14ac:dyDescent="0.3">
      <c r="A178" s="1">
        <v>10212</v>
      </c>
      <c r="B178" s="47">
        <v>1159</v>
      </c>
      <c r="C178" s="48">
        <v>45016</v>
      </c>
      <c r="D178" s="48">
        <v>45019</v>
      </c>
      <c r="E178" s="47" t="s">
        <v>15</v>
      </c>
      <c r="F178" s="47" t="s">
        <v>28</v>
      </c>
      <c r="G178" s="47" t="s">
        <v>29</v>
      </c>
      <c r="H178" s="47" t="s">
        <v>43</v>
      </c>
      <c r="I178" s="47" t="s">
        <v>25</v>
      </c>
      <c r="J178" s="47" t="s">
        <v>60</v>
      </c>
      <c r="K178" s="47" t="s">
        <v>32</v>
      </c>
      <c r="L178" s="47">
        <v>1</v>
      </c>
      <c r="M178" s="47">
        <v>2975.54</v>
      </c>
      <c r="N178" s="49">
        <v>15</v>
      </c>
      <c r="O178" s="4"/>
      <c r="P178" s="4"/>
      <c r="Q178" s="4"/>
      <c r="R178" s="4"/>
      <c r="AH178" s="1">
        <v>10367</v>
      </c>
      <c r="AI178" s="47">
        <v>1880</v>
      </c>
      <c r="AJ178" s="48">
        <v>45090</v>
      </c>
      <c r="AK178" s="48">
        <v>45095</v>
      </c>
      <c r="AL178" s="47" t="s">
        <v>45</v>
      </c>
      <c r="AM178" s="47" t="s">
        <v>40</v>
      </c>
      <c r="AN178" s="47" t="s">
        <v>29</v>
      </c>
      <c r="AO178" s="47" t="s">
        <v>34</v>
      </c>
      <c r="AP178" s="47" t="s">
        <v>56</v>
      </c>
      <c r="AQ178" s="47" t="s">
        <v>61</v>
      </c>
      <c r="AR178" s="47" t="s">
        <v>44</v>
      </c>
      <c r="AS178" s="47">
        <v>8</v>
      </c>
      <c r="AT178" s="47">
        <v>3610.33</v>
      </c>
      <c r="AU178" s="49">
        <v>5</v>
      </c>
    </row>
    <row r="179" spans="1:47" x14ac:dyDescent="0.3">
      <c r="A179" s="1">
        <v>10214</v>
      </c>
      <c r="B179" s="47">
        <v>1698</v>
      </c>
      <c r="C179" s="48">
        <v>45052</v>
      </c>
      <c r="D179" s="48">
        <v>45061</v>
      </c>
      <c r="E179" s="47" t="s">
        <v>36</v>
      </c>
      <c r="F179" s="47" t="s">
        <v>28</v>
      </c>
      <c r="G179" s="47" t="s">
        <v>23</v>
      </c>
      <c r="H179" s="47" t="s">
        <v>43</v>
      </c>
      <c r="I179" s="47" t="s">
        <v>48</v>
      </c>
      <c r="J179" s="47" t="s">
        <v>62</v>
      </c>
      <c r="K179" s="47" t="s">
        <v>46</v>
      </c>
      <c r="L179" s="47">
        <v>4</v>
      </c>
      <c r="M179" s="47">
        <v>1719.71</v>
      </c>
      <c r="N179" s="49">
        <v>15</v>
      </c>
      <c r="O179" s="4"/>
      <c r="P179" s="4"/>
      <c r="Q179" s="4"/>
      <c r="R179" s="4"/>
      <c r="AH179" s="1">
        <v>10369</v>
      </c>
      <c r="AI179" s="47">
        <v>1896</v>
      </c>
      <c r="AJ179" s="48">
        <v>44998</v>
      </c>
      <c r="AK179" s="48">
        <v>45000</v>
      </c>
      <c r="AL179" s="47" t="s">
        <v>21</v>
      </c>
      <c r="AM179" s="47" t="s">
        <v>22</v>
      </c>
      <c r="AN179" s="47" t="s">
        <v>16</v>
      </c>
      <c r="AO179" s="47" t="s">
        <v>34</v>
      </c>
      <c r="AP179" s="47" t="s">
        <v>25</v>
      </c>
      <c r="AQ179" s="47" t="s">
        <v>35</v>
      </c>
      <c r="AR179" s="47" t="s">
        <v>46</v>
      </c>
      <c r="AS179" s="47">
        <v>8</v>
      </c>
      <c r="AT179" s="47">
        <v>3277.19</v>
      </c>
      <c r="AU179" s="49">
        <v>15</v>
      </c>
    </row>
    <row r="180" spans="1:47" x14ac:dyDescent="0.3">
      <c r="A180" s="1">
        <v>10215</v>
      </c>
      <c r="B180" s="47">
        <v>1242</v>
      </c>
      <c r="C180" s="48">
        <v>45157</v>
      </c>
      <c r="D180" s="48">
        <v>45162</v>
      </c>
      <c r="E180" s="47" t="s">
        <v>14</v>
      </c>
      <c r="F180" s="47" t="s">
        <v>15</v>
      </c>
      <c r="G180" s="47" t="s">
        <v>16</v>
      </c>
      <c r="H180" s="47" t="s">
        <v>24</v>
      </c>
      <c r="I180" s="47" t="s">
        <v>25</v>
      </c>
      <c r="J180" s="47" t="s">
        <v>26</v>
      </c>
      <c r="K180" s="47" t="s">
        <v>20</v>
      </c>
      <c r="L180" s="47">
        <v>5</v>
      </c>
      <c r="M180" s="47">
        <v>633.42999999999995</v>
      </c>
      <c r="N180" s="49">
        <v>20</v>
      </c>
      <c r="O180" s="4"/>
      <c r="P180" s="4"/>
      <c r="Q180" s="4"/>
      <c r="R180" s="4"/>
      <c r="AH180" s="1">
        <v>10370</v>
      </c>
      <c r="AI180" s="47">
        <v>1303</v>
      </c>
      <c r="AJ180" s="48">
        <v>44981</v>
      </c>
      <c r="AK180" s="48">
        <v>44987</v>
      </c>
      <c r="AL180" s="47" t="s">
        <v>21</v>
      </c>
      <c r="AM180" s="47" t="s">
        <v>40</v>
      </c>
      <c r="AN180" s="47" t="s">
        <v>29</v>
      </c>
      <c r="AO180" s="47" t="s">
        <v>17</v>
      </c>
      <c r="AP180" s="47" t="s">
        <v>48</v>
      </c>
      <c r="AQ180" s="47" t="s">
        <v>62</v>
      </c>
      <c r="AR180" s="47" t="s">
        <v>27</v>
      </c>
      <c r="AS180" s="47">
        <v>6</v>
      </c>
      <c r="AT180" s="47">
        <v>1628.56</v>
      </c>
      <c r="AU180" s="49">
        <v>0</v>
      </c>
    </row>
    <row r="181" spans="1:47" x14ac:dyDescent="0.3">
      <c r="A181" s="1">
        <v>10216</v>
      </c>
      <c r="B181" s="47">
        <v>1085</v>
      </c>
      <c r="C181" s="48">
        <v>45221</v>
      </c>
      <c r="D181" s="48">
        <v>45227</v>
      </c>
      <c r="E181" s="47" t="s">
        <v>36</v>
      </c>
      <c r="F181" s="47" t="s">
        <v>22</v>
      </c>
      <c r="G181" s="47" t="s">
        <v>23</v>
      </c>
      <c r="H181" s="47" t="s">
        <v>17</v>
      </c>
      <c r="I181" s="47" t="s">
        <v>56</v>
      </c>
      <c r="J181" s="47" t="s">
        <v>65</v>
      </c>
      <c r="K181" s="47" t="s">
        <v>20</v>
      </c>
      <c r="L181" s="47">
        <v>6</v>
      </c>
      <c r="M181" s="47">
        <v>809.49</v>
      </c>
      <c r="N181" s="49">
        <v>5</v>
      </c>
      <c r="O181" s="4"/>
      <c r="P181" s="4"/>
      <c r="Q181" s="4"/>
      <c r="R181" s="4"/>
      <c r="AH181" s="1">
        <v>10371</v>
      </c>
      <c r="AI181" s="47">
        <v>1253</v>
      </c>
      <c r="AJ181" s="48">
        <v>44973</v>
      </c>
      <c r="AK181" s="48">
        <v>44979</v>
      </c>
      <c r="AL181" s="47" t="s">
        <v>33</v>
      </c>
      <c r="AM181" s="47" t="s">
        <v>40</v>
      </c>
      <c r="AN181" s="47" t="s">
        <v>16</v>
      </c>
      <c r="AO181" s="47" t="s">
        <v>17</v>
      </c>
      <c r="AP181" s="47" t="s">
        <v>48</v>
      </c>
      <c r="AQ181" s="47" t="s">
        <v>66</v>
      </c>
      <c r="AR181" s="47" t="s">
        <v>46</v>
      </c>
      <c r="AS181" s="47">
        <v>6</v>
      </c>
      <c r="AT181" s="47">
        <v>2715.13</v>
      </c>
      <c r="AU181" s="49">
        <v>20</v>
      </c>
    </row>
    <row r="182" spans="1:47" x14ac:dyDescent="0.3">
      <c r="A182" s="1">
        <v>10217</v>
      </c>
      <c r="B182" s="47">
        <v>1795</v>
      </c>
      <c r="C182" s="48">
        <v>45055</v>
      </c>
      <c r="D182" s="48">
        <v>45057</v>
      </c>
      <c r="E182" s="47" t="s">
        <v>36</v>
      </c>
      <c r="F182" s="47" t="s">
        <v>40</v>
      </c>
      <c r="G182" s="47" t="s">
        <v>23</v>
      </c>
      <c r="H182" s="47" t="s">
        <v>41</v>
      </c>
      <c r="I182" s="47" t="s">
        <v>48</v>
      </c>
      <c r="J182" s="47" t="s">
        <v>49</v>
      </c>
      <c r="K182" s="47" t="s">
        <v>27</v>
      </c>
      <c r="L182" s="47">
        <v>4</v>
      </c>
      <c r="M182" s="47">
        <v>3335.32</v>
      </c>
      <c r="N182" s="49">
        <v>20</v>
      </c>
      <c r="O182" s="4"/>
      <c r="P182" s="4"/>
      <c r="Q182" s="4"/>
      <c r="R182" s="4"/>
      <c r="AH182" s="1">
        <v>10372</v>
      </c>
      <c r="AI182" s="47">
        <v>1651</v>
      </c>
      <c r="AJ182" s="48">
        <v>45164</v>
      </c>
      <c r="AK182" s="48">
        <v>45167</v>
      </c>
      <c r="AL182" s="47" t="s">
        <v>15</v>
      </c>
      <c r="AM182" s="47" t="s">
        <v>22</v>
      </c>
      <c r="AN182" s="47" t="s">
        <v>23</v>
      </c>
      <c r="AO182" s="47" t="s">
        <v>34</v>
      </c>
      <c r="AP182" s="47" t="s">
        <v>48</v>
      </c>
      <c r="AQ182" s="47" t="s">
        <v>62</v>
      </c>
      <c r="AR182" s="47" t="s">
        <v>20</v>
      </c>
      <c r="AS182" s="47">
        <v>2</v>
      </c>
      <c r="AT182" s="47">
        <v>3957.02</v>
      </c>
      <c r="AU182" s="49">
        <v>5</v>
      </c>
    </row>
    <row r="183" spans="1:47" x14ac:dyDescent="0.3">
      <c r="A183" s="1">
        <v>10218</v>
      </c>
      <c r="B183" s="47">
        <v>1577</v>
      </c>
      <c r="C183" s="48">
        <v>45206</v>
      </c>
      <c r="D183" s="48">
        <v>45209</v>
      </c>
      <c r="E183" s="47" t="s">
        <v>36</v>
      </c>
      <c r="F183" s="47" t="s">
        <v>28</v>
      </c>
      <c r="G183" s="47" t="s">
        <v>16</v>
      </c>
      <c r="H183" s="47" t="s">
        <v>43</v>
      </c>
      <c r="I183" s="47" t="s">
        <v>25</v>
      </c>
      <c r="J183" s="47" t="s">
        <v>67</v>
      </c>
      <c r="K183" s="47" t="s">
        <v>44</v>
      </c>
      <c r="L183" s="47">
        <v>2</v>
      </c>
      <c r="M183" s="47">
        <v>2401.63</v>
      </c>
      <c r="N183" s="49">
        <v>0</v>
      </c>
      <c r="O183" s="4"/>
      <c r="P183" s="4"/>
      <c r="Q183" s="4"/>
      <c r="R183" s="4"/>
      <c r="AH183" s="1">
        <v>10374</v>
      </c>
      <c r="AI183" s="47">
        <v>1036</v>
      </c>
      <c r="AJ183" s="48">
        <v>45136</v>
      </c>
      <c r="AK183" s="48">
        <v>45141</v>
      </c>
      <c r="AL183" s="47" t="s">
        <v>36</v>
      </c>
      <c r="AM183" s="47" t="s">
        <v>15</v>
      </c>
      <c r="AN183" s="47" t="s">
        <v>16</v>
      </c>
      <c r="AO183" s="47" t="s">
        <v>41</v>
      </c>
      <c r="AP183" s="47" t="s">
        <v>56</v>
      </c>
      <c r="AQ183" s="47" t="s">
        <v>57</v>
      </c>
      <c r="AR183" s="47" t="s">
        <v>32</v>
      </c>
      <c r="AS183" s="47">
        <v>5</v>
      </c>
      <c r="AT183" s="47">
        <v>1651.11</v>
      </c>
      <c r="AU183" s="49">
        <v>20</v>
      </c>
    </row>
    <row r="184" spans="1:47" x14ac:dyDescent="0.3">
      <c r="A184" s="1">
        <v>10220</v>
      </c>
      <c r="B184" s="47">
        <v>1556</v>
      </c>
      <c r="C184" s="48">
        <v>45026</v>
      </c>
      <c r="D184" s="48">
        <v>45035</v>
      </c>
      <c r="E184" s="47" t="s">
        <v>36</v>
      </c>
      <c r="F184" s="47" t="s">
        <v>15</v>
      </c>
      <c r="G184" s="47" t="s">
        <v>23</v>
      </c>
      <c r="H184" s="47" t="s">
        <v>17</v>
      </c>
      <c r="I184" s="47" t="s">
        <v>18</v>
      </c>
      <c r="J184" s="47" t="s">
        <v>54</v>
      </c>
      <c r="K184" s="47" t="s">
        <v>20</v>
      </c>
      <c r="L184" s="47">
        <v>8</v>
      </c>
      <c r="M184" s="47">
        <v>3240.98</v>
      </c>
      <c r="N184" s="49">
        <v>0</v>
      </c>
      <c r="O184" s="4"/>
      <c r="P184" s="4"/>
      <c r="Q184" s="4"/>
      <c r="R184" s="4"/>
      <c r="AH184" s="1">
        <v>10379</v>
      </c>
      <c r="AI184" s="47">
        <v>1658</v>
      </c>
      <c r="AJ184" s="48">
        <v>45262</v>
      </c>
      <c r="AK184" s="48">
        <v>45270</v>
      </c>
      <c r="AL184" s="47" t="s">
        <v>14</v>
      </c>
      <c r="AM184" s="47" t="s">
        <v>15</v>
      </c>
      <c r="AN184" s="47" t="s">
        <v>23</v>
      </c>
      <c r="AO184" s="47" t="s">
        <v>34</v>
      </c>
      <c r="AP184" s="47" t="s">
        <v>25</v>
      </c>
      <c r="AQ184" s="47" t="s">
        <v>67</v>
      </c>
      <c r="AR184" s="47" t="s">
        <v>44</v>
      </c>
      <c r="AS184" s="47">
        <v>1</v>
      </c>
      <c r="AT184" s="47">
        <v>3910.66</v>
      </c>
      <c r="AU184" s="49">
        <v>5</v>
      </c>
    </row>
    <row r="185" spans="1:47" x14ac:dyDescent="0.3">
      <c r="A185" s="1">
        <v>10222</v>
      </c>
      <c r="B185" s="47">
        <v>1952</v>
      </c>
      <c r="C185" s="48">
        <v>45223</v>
      </c>
      <c r="D185" s="48">
        <v>45231</v>
      </c>
      <c r="E185" s="47" t="s">
        <v>15</v>
      </c>
      <c r="F185" s="47" t="s">
        <v>15</v>
      </c>
      <c r="G185" s="47" t="s">
        <v>23</v>
      </c>
      <c r="H185" s="47" t="s">
        <v>43</v>
      </c>
      <c r="I185" s="47" t="s">
        <v>48</v>
      </c>
      <c r="J185" s="47" t="s">
        <v>50</v>
      </c>
      <c r="K185" s="47" t="s">
        <v>20</v>
      </c>
      <c r="L185" s="47">
        <v>7</v>
      </c>
      <c r="M185" s="47">
        <v>3907.73</v>
      </c>
      <c r="N185" s="49">
        <v>10</v>
      </c>
      <c r="O185" s="4"/>
      <c r="P185" s="4"/>
      <c r="Q185" s="4"/>
      <c r="R185" s="4"/>
      <c r="AH185" s="1">
        <v>10383</v>
      </c>
      <c r="AI185" s="47">
        <v>1403</v>
      </c>
      <c r="AJ185" s="48">
        <v>45040</v>
      </c>
      <c r="AK185" s="48">
        <v>45042</v>
      </c>
      <c r="AL185" s="47" t="s">
        <v>36</v>
      </c>
      <c r="AM185" s="47" t="s">
        <v>22</v>
      </c>
      <c r="AN185" s="47" t="s">
        <v>23</v>
      </c>
      <c r="AO185" s="47" t="s">
        <v>41</v>
      </c>
      <c r="AP185" s="47" t="s">
        <v>30</v>
      </c>
      <c r="AQ185" s="47" t="s">
        <v>47</v>
      </c>
      <c r="AR185" s="47" t="s">
        <v>32</v>
      </c>
      <c r="AS185" s="47">
        <v>1</v>
      </c>
      <c r="AT185" s="47">
        <v>3581.58</v>
      </c>
      <c r="AU185" s="49">
        <v>15</v>
      </c>
    </row>
    <row r="186" spans="1:47" x14ac:dyDescent="0.3">
      <c r="A186" s="1">
        <v>10223</v>
      </c>
      <c r="B186" s="47">
        <v>1645</v>
      </c>
      <c r="C186" s="48">
        <v>45108</v>
      </c>
      <c r="D186" s="48">
        <v>45117</v>
      </c>
      <c r="E186" s="47" t="s">
        <v>45</v>
      </c>
      <c r="F186" s="47" t="s">
        <v>53</v>
      </c>
      <c r="G186" s="47" t="s">
        <v>16</v>
      </c>
      <c r="H186" s="47" t="s">
        <v>24</v>
      </c>
      <c r="I186" s="47" t="s">
        <v>56</v>
      </c>
      <c r="J186" s="47" t="s">
        <v>58</v>
      </c>
      <c r="K186" s="47" t="s">
        <v>46</v>
      </c>
      <c r="L186" s="47">
        <v>6</v>
      </c>
      <c r="M186" s="47">
        <v>1477.55</v>
      </c>
      <c r="N186" s="49">
        <v>10</v>
      </c>
      <c r="O186" s="4"/>
      <c r="P186" s="4"/>
      <c r="Q186" s="4"/>
      <c r="R186" s="4"/>
      <c r="AH186" s="1">
        <v>10384</v>
      </c>
      <c r="AI186" s="47">
        <v>1151</v>
      </c>
      <c r="AJ186" s="48">
        <v>45289</v>
      </c>
      <c r="AK186" s="48">
        <v>45297</v>
      </c>
      <c r="AL186" s="47" t="s">
        <v>21</v>
      </c>
      <c r="AM186" s="47" t="s">
        <v>15</v>
      </c>
      <c r="AN186" s="47" t="s">
        <v>23</v>
      </c>
      <c r="AO186" s="47" t="s">
        <v>41</v>
      </c>
      <c r="AP186" s="47" t="s">
        <v>18</v>
      </c>
      <c r="AQ186" s="47" t="s">
        <v>54</v>
      </c>
      <c r="AR186" s="47" t="s">
        <v>27</v>
      </c>
      <c r="AS186" s="47">
        <v>5</v>
      </c>
      <c r="AT186" s="47">
        <v>1935.68</v>
      </c>
      <c r="AU186" s="49">
        <v>20</v>
      </c>
    </row>
    <row r="187" spans="1:47" x14ac:dyDescent="0.3">
      <c r="A187" s="1">
        <v>10226</v>
      </c>
      <c r="B187" s="47">
        <v>1619</v>
      </c>
      <c r="C187" s="48">
        <v>45290</v>
      </c>
      <c r="D187" s="48">
        <v>45291</v>
      </c>
      <c r="E187" s="47" t="s">
        <v>36</v>
      </c>
      <c r="F187" s="47" t="s">
        <v>37</v>
      </c>
      <c r="G187" s="47" t="s">
        <v>16</v>
      </c>
      <c r="H187" s="47" t="s">
        <v>41</v>
      </c>
      <c r="I187" s="47" t="s">
        <v>48</v>
      </c>
      <c r="J187" s="47" t="s">
        <v>62</v>
      </c>
      <c r="K187" s="47" t="s">
        <v>44</v>
      </c>
      <c r="L187" s="47">
        <v>5</v>
      </c>
      <c r="M187" s="47">
        <v>620.13</v>
      </c>
      <c r="N187" s="49">
        <v>5</v>
      </c>
      <c r="O187" s="4"/>
      <c r="P187" s="4"/>
      <c r="Q187" s="4"/>
      <c r="R187" s="4"/>
      <c r="AH187" s="1">
        <v>10386</v>
      </c>
      <c r="AI187" s="47">
        <v>1119</v>
      </c>
      <c r="AJ187" s="48">
        <v>45146</v>
      </c>
      <c r="AK187" s="48">
        <v>45154</v>
      </c>
      <c r="AL187" s="47" t="s">
        <v>14</v>
      </c>
      <c r="AM187" s="47" t="s">
        <v>22</v>
      </c>
      <c r="AN187" s="47" t="s">
        <v>23</v>
      </c>
      <c r="AO187" s="47" t="s">
        <v>43</v>
      </c>
      <c r="AP187" s="47" t="s">
        <v>48</v>
      </c>
      <c r="AQ187" s="47" t="s">
        <v>66</v>
      </c>
      <c r="AR187" s="47" t="s">
        <v>27</v>
      </c>
      <c r="AS187" s="47">
        <v>2</v>
      </c>
      <c r="AT187" s="47">
        <v>1984.38</v>
      </c>
      <c r="AU187" s="49">
        <v>10</v>
      </c>
    </row>
    <row r="188" spans="1:47" x14ac:dyDescent="0.3">
      <c r="A188" s="1">
        <v>10229</v>
      </c>
      <c r="B188" s="47">
        <v>1797</v>
      </c>
      <c r="C188" s="48">
        <v>44957</v>
      </c>
      <c r="D188" s="48">
        <v>44959</v>
      </c>
      <c r="E188" s="47" t="s">
        <v>15</v>
      </c>
      <c r="F188" s="47" t="s">
        <v>53</v>
      </c>
      <c r="G188" s="47" t="s">
        <v>29</v>
      </c>
      <c r="H188" s="47" t="s">
        <v>43</v>
      </c>
      <c r="I188" s="47" t="s">
        <v>48</v>
      </c>
      <c r="J188" s="47" t="s">
        <v>66</v>
      </c>
      <c r="K188" s="47" t="s">
        <v>32</v>
      </c>
      <c r="L188" s="47">
        <v>8</v>
      </c>
      <c r="M188" s="47">
        <v>3519.2</v>
      </c>
      <c r="N188" s="49">
        <v>0</v>
      </c>
      <c r="O188" s="4"/>
      <c r="P188" s="4"/>
      <c r="Q188" s="4"/>
      <c r="R188" s="4"/>
      <c r="AH188" s="1">
        <v>10388</v>
      </c>
      <c r="AI188" s="47">
        <v>1919</v>
      </c>
      <c r="AJ188" s="48">
        <v>44934</v>
      </c>
      <c r="AK188" s="48">
        <v>44941</v>
      </c>
      <c r="AL188" s="47" t="s">
        <v>21</v>
      </c>
      <c r="AM188" s="47" t="s">
        <v>53</v>
      </c>
      <c r="AN188" s="47" t="s">
        <v>29</v>
      </c>
      <c r="AO188" s="47" t="s">
        <v>17</v>
      </c>
      <c r="AP188" s="47" t="s">
        <v>30</v>
      </c>
      <c r="AQ188" s="47" t="s">
        <v>38</v>
      </c>
      <c r="AR188" s="47" t="s">
        <v>32</v>
      </c>
      <c r="AS188" s="47">
        <v>3</v>
      </c>
      <c r="AT188" s="47">
        <v>2032.79</v>
      </c>
      <c r="AU188" s="49">
        <v>10</v>
      </c>
    </row>
    <row r="189" spans="1:47" x14ac:dyDescent="0.3">
      <c r="A189" s="1">
        <v>10232</v>
      </c>
      <c r="B189" s="47">
        <v>1639</v>
      </c>
      <c r="C189" s="48">
        <v>44962</v>
      </c>
      <c r="D189" s="48">
        <v>44969</v>
      </c>
      <c r="E189" s="47" t="s">
        <v>21</v>
      </c>
      <c r="F189" s="47" t="s">
        <v>28</v>
      </c>
      <c r="G189" s="47" t="s">
        <v>16</v>
      </c>
      <c r="H189" s="47" t="s">
        <v>17</v>
      </c>
      <c r="I189" s="47" t="s">
        <v>56</v>
      </c>
      <c r="J189" s="47" t="s">
        <v>58</v>
      </c>
      <c r="K189" s="47" t="s">
        <v>20</v>
      </c>
      <c r="L189" s="47">
        <v>1</v>
      </c>
      <c r="M189" s="47">
        <v>2250.4899999999998</v>
      </c>
      <c r="N189" s="49">
        <v>15</v>
      </c>
      <c r="O189" s="4"/>
      <c r="P189" s="4"/>
      <c r="Q189" s="4"/>
      <c r="R189" s="4"/>
      <c r="AH189" s="1">
        <v>10390</v>
      </c>
      <c r="AI189" s="47">
        <v>1586</v>
      </c>
      <c r="AJ189" s="48">
        <v>45102</v>
      </c>
      <c r="AK189" s="48">
        <v>45103</v>
      </c>
      <c r="AL189" s="47" t="s">
        <v>39</v>
      </c>
      <c r="AM189" s="47" t="s">
        <v>53</v>
      </c>
      <c r="AN189" s="47" t="s">
        <v>23</v>
      </c>
      <c r="AO189" s="47" t="s">
        <v>34</v>
      </c>
      <c r="AP189" s="47" t="s">
        <v>30</v>
      </c>
      <c r="AQ189" s="47" t="s">
        <v>47</v>
      </c>
      <c r="AR189" s="47" t="s">
        <v>46</v>
      </c>
      <c r="AS189" s="47">
        <v>1</v>
      </c>
      <c r="AT189" s="47">
        <v>2430.36</v>
      </c>
      <c r="AU189" s="49">
        <v>15</v>
      </c>
    </row>
    <row r="190" spans="1:47" x14ac:dyDescent="0.3">
      <c r="A190" s="1">
        <v>10233</v>
      </c>
      <c r="B190" s="47">
        <v>1505</v>
      </c>
      <c r="C190" s="48">
        <v>45139</v>
      </c>
      <c r="D190" s="48">
        <v>45143</v>
      </c>
      <c r="E190" s="47" t="s">
        <v>15</v>
      </c>
      <c r="F190" s="47" t="s">
        <v>40</v>
      </c>
      <c r="G190" s="47" t="s">
        <v>16</v>
      </c>
      <c r="H190" s="47" t="s">
        <v>43</v>
      </c>
      <c r="I190" s="47" t="s">
        <v>18</v>
      </c>
      <c r="J190" s="47" t="s">
        <v>54</v>
      </c>
      <c r="K190" s="47" t="s">
        <v>46</v>
      </c>
      <c r="L190" s="47">
        <v>1</v>
      </c>
      <c r="M190" s="47">
        <v>556.53</v>
      </c>
      <c r="N190" s="49">
        <v>5</v>
      </c>
      <c r="O190" s="4"/>
      <c r="P190" s="4"/>
      <c r="Q190" s="4"/>
      <c r="R190" s="4"/>
      <c r="AH190" s="1">
        <v>10392</v>
      </c>
      <c r="AI190" s="47">
        <v>1967</v>
      </c>
      <c r="AJ190" s="48">
        <v>45027</v>
      </c>
      <c r="AK190" s="48">
        <v>45036</v>
      </c>
      <c r="AL190" s="47" t="s">
        <v>21</v>
      </c>
      <c r="AM190" s="47" t="s">
        <v>37</v>
      </c>
      <c r="AN190" s="47" t="s">
        <v>23</v>
      </c>
      <c r="AO190" s="47" t="s">
        <v>24</v>
      </c>
      <c r="AP190" s="47" t="s">
        <v>51</v>
      </c>
      <c r="AQ190" s="47" t="s">
        <v>59</v>
      </c>
      <c r="AR190" s="47" t="s">
        <v>32</v>
      </c>
      <c r="AS190" s="47">
        <v>3</v>
      </c>
      <c r="AT190" s="47">
        <v>1553.98</v>
      </c>
      <c r="AU190" s="49">
        <v>15</v>
      </c>
    </row>
    <row r="191" spans="1:47" x14ac:dyDescent="0.3">
      <c r="A191" s="1">
        <v>10234</v>
      </c>
      <c r="B191" s="47">
        <v>1347</v>
      </c>
      <c r="C191" s="48">
        <v>45290</v>
      </c>
      <c r="D191" s="48">
        <v>45295</v>
      </c>
      <c r="E191" s="47" t="s">
        <v>36</v>
      </c>
      <c r="F191" s="47" t="s">
        <v>15</v>
      </c>
      <c r="G191" s="47" t="s">
        <v>29</v>
      </c>
      <c r="H191" s="47" t="s">
        <v>43</v>
      </c>
      <c r="I191" s="47" t="s">
        <v>30</v>
      </c>
      <c r="J191" s="47" t="s">
        <v>47</v>
      </c>
      <c r="K191" s="47" t="s">
        <v>32</v>
      </c>
      <c r="L191" s="47">
        <v>7</v>
      </c>
      <c r="M191" s="47">
        <v>324.38</v>
      </c>
      <c r="N191" s="49">
        <v>10</v>
      </c>
      <c r="O191" s="4"/>
      <c r="P191" s="4"/>
      <c r="Q191" s="4"/>
      <c r="R191" s="4"/>
      <c r="AH191" s="1">
        <v>10393</v>
      </c>
      <c r="AI191" s="47">
        <v>1419</v>
      </c>
      <c r="AJ191" s="48">
        <v>45186</v>
      </c>
      <c r="AK191" s="48">
        <v>45191</v>
      </c>
      <c r="AL191" s="47" t="s">
        <v>39</v>
      </c>
      <c r="AM191" s="47" t="s">
        <v>22</v>
      </c>
      <c r="AN191" s="47" t="s">
        <v>23</v>
      </c>
      <c r="AO191" s="47" t="s">
        <v>34</v>
      </c>
      <c r="AP191" s="47" t="s">
        <v>51</v>
      </c>
      <c r="AQ191" s="47" t="s">
        <v>59</v>
      </c>
      <c r="AR191" s="47" t="s">
        <v>44</v>
      </c>
      <c r="AS191" s="47">
        <v>8</v>
      </c>
      <c r="AT191" s="47">
        <v>2993.25</v>
      </c>
      <c r="AU191" s="49">
        <v>10</v>
      </c>
    </row>
    <row r="192" spans="1:47" x14ac:dyDescent="0.3">
      <c r="A192" s="1">
        <v>10235</v>
      </c>
      <c r="B192" s="47">
        <v>1472</v>
      </c>
      <c r="C192" s="48">
        <v>45032</v>
      </c>
      <c r="D192" s="48">
        <v>45040</v>
      </c>
      <c r="E192" s="47" t="s">
        <v>39</v>
      </c>
      <c r="F192" s="47" t="s">
        <v>28</v>
      </c>
      <c r="G192" s="47" t="s">
        <v>16</v>
      </c>
      <c r="H192" s="47" t="s">
        <v>34</v>
      </c>
      <c r="I192" s="47" t="s">
        <v>51</v>
      </c>
      <c r="J192" s="47" t="s">
        <v>59</v>
      </c>
      <c r="K192" s="47" t="s">
        <v>46</v>
      </c>
      <c r="L192" s="47">
        <v>9</v>
      </c>
      <c r="M192" s="47">
        <v>2677.09</v>
      </c>
      <c r="N192" s="49">
        <v>10</v>
      </c>
      <c r="O192" s="4"/>
      <c r="P192" s="4"/>
      <c r="Q192" s="4"/>
      <c r="R192" s="4"/>
      <c r="AH192" s="1">
        <v>10394</v>
      </c>
      <c r="AI192" s="47">
        <v>1421</v>
      </c>
      <c r="AJ192" s="48">
        <v>45172</v>
      </c>
      <c r="AK192" s="48">
        <v>45173</v>
      </c>
      <c r="AL192" s="47" t="s">
        <v>21</v>
      </c>
      <c r="AM192" s="47" t="s">
        <v>28</v>
      </c>
      <c r="AN192" s="47" t="s">
        <v>16</v>
      </c>
      <c r="AO192" s="47" t="s">
        <v>17</v>
      </c>
      <c r="AP192" s="47" t="s">
        <v>48</v>
      </c>
      <c r="AQ192" s="47" t="s">
        <v>49</v>
      </c>
      <c r="AR192" s="47" t="s">
        <v>46</v>
      </c>
      <c r="AS192" s="47">
        <v>6</v>
      </c>
      <c r="AT192" s="47">
        <v>2716.48</v>
      </c>
      <c r="AU192" s="49">
        <v>0</v>
      </c>
    </row>
    <row r="193" spans="1:47" x14ac:dyDescent="0.3">
      <c r="A193" s="1">
        <v>10238</v>
      </c>
      <c r="B193" s="47">
        <v>1224</v>
      </c>
      <c r="C193" s="48">
        <v>45089</v>
      </c>
      <c r="D193" s="48">
        <v>45093</v>
      </c>
      <c r="E193" s="47" t="s">
        <v>33</v>
      </c>
      <c r="F193" s="47" t="s">
        <v>37</v>
      </c>
      <c r="G193" s="47" t="s">
        <v>23</v>
      </c>
      <c r="H193" s="47" t="s">
        <v>34</v>
      </c>
      <c r="I193" s="47" t="s">
        <v>56</v>
      </c>
      <c r="J193" s="47" t="s">
        <v>61</v>
      </c>
      <c r="K193" s="47" t="s">
        <v>44</v>
      </c>
      <c r="L193" s="47">
        <v>8</v>
      </c>
      <c r="M193" s="47">
        <v>284.52</v>
      </c>
      <c r="N193" s="49">
        <v>15</v>
      </c>
      <c r="O193" s="4"/>
      <c r="P193" s="4"/>
      <c r="Q193" s="4"/>
      <c r="R193" s="4"/>
      <c r="AH193" s="1">
        <v>10396</v>
      </c>
      <c r="AI193" s="47">
        <v>1851</v>
      </c>
      <c r="AJ193" s="48">
        <v>44958</v>
      </c>
      <c r="AK193" s="48">
        <v>44966</v>
      </c>
      <c r="AL193" s="47" t="s">
        <v>45</v>
      </c>
      <c r="AM193" s="47" t="s">
        <v>15</v>
      </c>
      <c r="AN193" s="47" t="s">
        <v>29</v>
      </c>
      <c r="AO193" s="47" t="s">
        <v>43</v>
      </c>
      <c r="AP193" s="47" t="s">
        <v>48</v>
      </c>
      <c r="AQ193" s="47" t="s">
        <v>50</v>
      </c>
      <c r="AR193" s="47" t="s">
        <v>46</v>
      </c>
      <c r="AS193" s="47">
        <v>6</v>
      </c>
      <c r="AT193" s="47">
        <v>2354.67</v>
      </c>
      <c r="AU193" s="49">
        <v>15</v>
      </c>
    </row>
    <row r="194" spans="1:47" x14ac:dyDescent="0.3">
      <c r="A194" s="1">
        <v>10239</v>
      </c>
      <c r="B194" s="47">
        <v>1384</v>
      </c>
      <c r="C194" s="48">
        <v>45146</v>
      </c>
      <c r="D194" s="48">
        <v>45149</v>
      </c>
      <c r="E194" s="47" t="s">
        <v>33</v>
      </c>
      <c r="F194" s="47" t="s">
        <v>40</v>
      </c>
      <c r="G194" s="47" t="s">
        <v>23</v>
      </c>
      <c r="H194" s="47" t="s">
        <v>24</v>
      </c>
      <c r="I194" s="47" t="s">
        <v>48</v>
      </c>
      <c r="J194" s="47" t="s">
        <v>62</v>
      </c>
      <c r="K194" s="47" t="s">
        <v>46</v>
      </c>
      <c r="L194" s="47">
        <v>2</v>
      </c>
      <c r="M194" s="47">
        <v>3960.56</v>
      </c>
      <c r="N194" s="49">
        <v>10</v>
      </c>
      <c r="O194" s="4"/>
      <c r="P194" s="4"/>
      <c r="Q194" s="4"/>
      <c r="R194" s="4"/>
      <c r="AH194" s="1">
        <v>10398</v>
      </c>
      <c r="AI194" s="47">
        <v>1226</v>
      </c>
      <c r="AJ194" s="48">
        <v>44938</v>
      </c>
      <c r="AK194" s="48">
        <v>44943</v>
      </c>
      <c r="AL194" s="47" t="s">
        <v>21</v>
      </c>
      <c r="AM194" s="47" t="s">
        <v>28</v>
      </c>
      <c r="AN194" s="47" t="s">
        <v>16</v>
      </c>
      <c r="AO194" s="47" t="s">
        <v>43</v>
      </c>
      <c r="AP194" s="47" t="s">
        <v>48</v>
      </c>
      <c r="AQ194" s="47" t="s">
        <v>62</v>
      </c>
      <c r="AR194" s="47" t="s">
        <v>32</v>
      </c>
      <c r="AS194" s="47">
        <v>5</v>
      </c>
      <c r="AT194" s="47">
        <v>3245.77</v>
      </c>
      <c r="AU194" s="49">
        <v>0</v>
      </c>
    </row>
    <row r="195" spans="1:47" x14ac:dyDescent="0.3">
      <c r="A195" s="1">
        <v>10240</v>
      </c>
      <c r="B195" s="47">
        <v>1376</v>
      </c>
      <c r="C195" s="48">
        <v>45196</v>
      </c>
      <c r="D195" s="48">
        <v>45198</v>
      </c>
      <c r="E195" s="47" t="s">
        <v>15</v>
      </c>
      <c r="F195" s="47" t="s">
        <v>37</v>
      </c>
      <c r="G195" s="47" t="s">
        <v>16</v>
      </c>
      <c r="H195" s="47" t="s">
        <v>41</v>
      </c>
      <c r="I195" s="47" t="s">
        <v>56</v>
      </c>
      <c r="J195" s="47" t="s">
        <v>65</v>
      </c>
      <c r="K195" s="47" t="s">
        <v>44</v>
      </c>
      <c r="L195" s="47">
        <v>9</v>
      </c>
      <c r="M195" s="47">
        <v>265.58</v>
      </c>
      <c r="N195" s="49">
        <v>10</v>
      </c>
      <c r="O195" s="4"/>
      <c r="P195" s="4"/>
      <c r="Q195" s="4"/>
      <c r="R195" s="4"/>
      <c r="AH195" s="1">
        <v>10399</v>
      </c>
      <c r="AI195" s="47">
        <v>1111</v>
      </c>
      <c r="AJ195" s="48">
        <v>45228</v>
      </c>
      <c r="AK195" s="48">
        <v>45237</v>
      </c>
      <c r="AL195" s="47" t="s">
        <v>15</v>
      </c>
      <c r="AM195" s="47" t="s">
        <v>15</v>
      </c>
      <c r="AN195" s="47" t="s">
        <v>23</v>
      </c>
      <c r="AO195" s="47" t="s">
        <v>41</v>
      </c>
      <c r="AP195" s="47" t="s">
        <v>18</v>
      </c>
      <c r="AQ195" s="47" t="s">
        <v>42</v>
      </c>
      <c r="AR195" s="47" t="s">
        <v>32</v>
      </c>
      <c r="AS195" s="47">
        <v>3</v>
      </c>
      <c r="AT195" s="47">
        <v>1789.86</v>
      </c>
      <c r="AU195" s="49">
        <v>0</v>
      </c>
    </row>
    <row r="196" spans="1:47" x14ac:dyDescent="0.3">
      <c r="A196" s="1">
        <v>10241</v>
      </c>
      <c r="B196" s="47">
        <v>1282</v>
      </c>
      <c r="C196" s="48">
        <v>45046</v>
      </c>
      <c r="D196" s="48">
        <v>45049</v>
      </c>
      <c r="E196" s="47" t="s">
        <v>39</v>
      </c>
      <c r="F196" s="47" t="s">
        <v>40</v>
      </c>
      <c r="G196" s="47" t="s">
        <v>29</v>
      </c>
      <c r="H196" s="47" t="s">
        <v>17</v>
      </c>
      <c r="I196" s="47" t="s">
        <v>18</v>
      </c>
      <c r="J196" s="47" t="s">
        <v>68</v>
      </c>
      <c r="K196" s="47" t="s">
        <v>32</v>
      </c>
      <c r="L196" s="47">
        <v>6</v>
      </c>
      <c r="M196" s="47">
        <v>1861.43</v>
      </c>
      <c r="N196" s="49">
        <v>0</v>
      </c>
      <c r="O196" s="4"/>
      <c r="P196" s="4"/>
      <c r="Q196" s="4"/>
      <c r="R196" s="4"/>
      <c r="AH196" s="1">
        <v>10403</v>
      </c>
      <c r="AI196" s="47">
        <v>1152</v>
      </c>
      <c r="AJ196" s="48">
        <v>45035</v>
      </c>
      <c r="AK196" s="48">
        <v>45037</v>
      </c>
      <c r="AL196" s="47" t="s">
        <v>15</v>
      </c>
      <c r="AM196" s="47" t="s">
        <v>37</v>
      </c>
      <c r="AN196" s="47" t="s">
        <v>23</v>
      </c>
      <c r="AO196" s="47" t="s">
        <v>43</v>
      </c>
      <c r="AP196" s="47" t="s">
        <v>25</v>
      </c>
      <c r="AQ196" s="47" t="s">
        <v>35</v>
      </c>
      <c r="AR196" s="47" t="s">
        <v>20</v>
      </c>
      <c r="AS196" s="47">
        <v>1</v>
      </c>
      <c r="AT196" s="47">
        <v>2743.75</v>
      </c>
      <c r="AU196" s="49">
        <v>15</v>
      </c>
    </row>
    <row r="197" spans="1:47" x14ac:dyDescent="0.3">
      <c r="A197" s="1">
        <v>10243</v>
      </c>
      <c r="B197" s="47">
        <v>1632</v>
      </c>
      <c r="C197" s="48">
        <v>45108</v>
      </c>
      <c r="D197" s="48">
        <v>45109</v>
      </c>
      <c r="E197" s="47" t="s">
        <v>36</v>
      </c>
      <c r="F197" s="47" t="s">
        <v>22</v>
      </c>
      <c r="G197" s="47" t="s">
        <v>29</v>
      </c>
      <c r="H197" s="47" t="s">
        <v>17</v>
      </c>
      <c r="I197" s="47" t="s">
        <v>56</v>
      </c>
      <c r="J197" s="47" t="s">
        <v>58</v>
      </c>
      <c r="K197" s="47" t="s">
        <v>27</v>
      </c>
      <c r="L197" s="47">
        <v>2</v>
      </c>
      <c r="M197" s="47">
        <v>601.53</v>
      </c>
      <c r="N197" s="49">
        <v>20</v>
      </c>
      <c r="O197" s="4"/>
      <c r="P197" s="4"/>
      <c r="Q197" s="4"/>
      <c r="R197" s="4"/>
      <c r="AH197" s="1">
        <v>10406</v>
      </c>
      <c r="AI197" s="47">
        <v>1895</v>
      </c>
      <c r="AJ197" s="48">
        <v>45195</v>
      </c>
      <c r="AK197" s="48">
        <v>45204</v>
      </c>
      <c r="AL197" s="47" t="s">
        <v>15</v>
      </c>
      <c r="AM197" s="47" t="s">
        <v>28</v>
      </c>
      <c r="AN197" s="47" t="s">
        <v>29</v>
      </c>
      <c r="AO197" s="47" t="s">
        <v>43</v>
      </c>
      <c r="AP197" s="47" t="s">
        <v>48</v>
      </c>
      <c r="AQ197" s="47" t="s">
        <v>50</v>
      </c>
      <c r="AR197" s="47" t="s">
        <v>20</v>
      </c>
      <c r="AS197" s="47">
        <v>1</v>
      </c>
      <c r="AT197" s="47">
        <v>2044.41</v>
      </c>
      <c r="AU197" s="49">
        <v>0</v>
      </c>
    </row>
    <row r="198" spans="1:47" x14ac:dyDescent="0.3">
      <c r="A198" s="1">
        <v>10244</v>
      </c>
      <c r="B198" s="47">
        <v>1627</v>
      </c>
      <c r="C198" s="48">
        <v>45032</v>
      </c>
      <c r="D198" s="48">
        <v>45038</v>
      </c>
      <c r="E198" s="47" t="s">
        <v>33</v>
      </c>
      <c r="F198" s="47" t="s">
        <v>28</v>
      </c>
      <c r="G198" s="47" t="s">
        <v>16</v>
      </c>
      <c r="H198" s="47" t="s">
        <v>43</v>
      </c>
      <c r="I198" s="47" t="s">
        <v>51</v>
      </c>
      <c r="J198" s="47" t="s">
        <v>52</v>
      </c>
      <c r="K198" s="47" t="s">
        <v>44</v>
      </c>
      <c r="L198" s="47">
        <v>3</v>
      </c>
      <c r="M198" s="47">
        <v>800.89</v>
      </c>
      <c r="N198" s="49">
        <v>0</v>
      </c>
      <c r="O198" s="4"/>
      <c r="P198" s="4"/>
      <c r="Q198" s="4"/>
      <c r="R198" s="4"/>
      <c r="AH198" s="1">
        <v>10407</v>
      </c>
      <c r="AI198" s="47">
        <v>1877</v>
      </c>
      <c r="AJ198" s="48">
        <v>45088</v>
      </c>
      <c r="AK198" s="48">
        <v>45090</v>
      </c>
      <c r="AL198" s="47" t="s">
        <v>21</v>
      </c>
      <c r="AM198" s="47" t="s">
        <v>22</v>
      </c>
      <c r="AN198" s="47" t="s">
        <v>23</v>
      </c>
      <c r="AO198" s="47" t="s">
        <v>24</v>
      </c>
      <c r="AP198" s="47" t="s">
        <v>51</v>
      </c>
      <c r="AQ198" s="47" t="s">
        <v>52</v>
      </c>
      <c r="AR198" s="47" t="s">
        <v>32</v>
      </c>
      <c r="AS198" s="47">
        <v>9</v>
      </c>
      <c r="AT198" s="47">
        <v>3216.56</v>
      </c>
      <c r="AU198" s="49">
        <v>20</v>
      </c>
    </row>
    <row r="199" spans="1:47" x14ac:dyDescent="0.3">
      <c r="A199" s="1">
        <v>10245</v>
      </c>
      <c r="B199" s="47">
        <v>1972</v>
      </c>
      <c r="C199" s="48">
        <v>45143</v>
      </c>
      <c r="D199" s="48">
        <v>45148</v>
      </c>
      <c r="E199" s="47" t="s">
        <v>14</v>
      </c>
      <c r="F199" s="47" t="s">
        <v>15</v>
      </c>
      <c r="G199" s="47" t="s">
        <v>29</v>
      </c>
      <c r="H199" s="47" t="s">
        <v>41</v>
      </c>
      <c r="I199" s="47" t="s">
        <v>48</v>
      </c>
      <c r="J199" s="47" t="s">
        <v>50</v>
      </c>
      <c r="K199" s="47" t="s">
        <v>46</v>
      </c>
      <c r="L199" s="47">
        <v>8</v>
      </c>
      <c r="M199" s="47">
        <v>1504.45</v>
      </c>
      <c r="N199" s="49">
        <v>20</v>
      </c>
      <c r="O199" s="4"/>
      <c r="P199" s="4"/>
      <c r="Q199" s="4"/>
      <c r="R199" s="4"/>
      <c r="AH199" s="1">
        <v>10411</v>
      </c>
      <c r="AI199" s="47">
        <v>1162</v>
      </c>
      <c r="AJ199" s="48">
        <v>44985</v>
      </c>
      <c r="AK199" s="48">
        <v>44993</v>
      </c>
      <c r="AL199" s="47" t="s">
        <v>45</v>
      </c>
      <c r="AM199" s="47" t="s">
        <v>15</v>
      </c>
      <c r="AN199" s="47" t="s">
        <v>29</v>
      </c>
      <c r="AO199" s="47" t="s">
        <v>24</v>
      </c>
      <c r="AP199" s="47" t="s">
        <v>18</v>
      </c>
      <c r="AQ199" s="47" t="s">
        <v>42</v>
      </c>
      <c r="AR199" s="47" t="s">
        <v>32</v>
      </c>
      <c r="AS199" s="47">
        <v>3</v>
      </c>
      <c r="AT199" s="47">
        <v>2165.7199999999998</v>
      </c>
      <c r="AU199" s="49">
        <v>5</v>
      </c>
    </row>
    <row r="200" spans="1:47" x14ac:dyDescent="0.3">
      <c r="A200" s="1">
        <v>10246</v>
      </c>
      <c r="B200" s="47">
        <v>1744</v>
      </c>
      <c r="C200" s="48">
        <v>45131</v>
      </c>
      <c r="D200" s="48">
        <v>45139</v>
      </c>
      <c r="E200" s="47" t="s">
        <v>15</v>
      </c>
      <c r="F200" s="47" t="s">
        <v>28</v>
      </c>
      <c r="G200" s="47" t="s">
        <v>23</v>
      </c>
      <c r="H200" s="47" t="s">
        <v>24</v>
      </c>
      <c r="I200" s="47" t="s">
        <v>51</v>
      </c>
      <c r="J200" s="47" t="s">
        <v>52</v>
      </c>
      <c r="K200" s="47" t="s">
        <v>44</v>
      </c>
      <c r="L200" s="47">
        <v>1</v>
      </c>
      <c r="M200" s="47">
        <v>3082.45</v>
      </c>
      <c r="N200" s="49">
        <v>5</v>
      </c>
      <c r="O200" s="4"/>
      <c r="P200" s="4"/>
      <c r="Q200" s="4"/>
      <c r="R200" s="4"/>
      <c r="AH200" s="1">
        <v>10417</v>
      </c>
      <c r="AI200" s="47">
        <v>1579</v>
      </c>
      <c r="AJ200" s="48">
        <v>45057</v>
      </c>
      <c r="AK200" s="48">
        <v>45065</v>
      </c>
      <c r="AL200" s="47" t="s">
        <v>21</v>
      </c>
      <c r="AM200" s="47" t="s">
        <v>53</v>
      </c>
      <c r="AN200" s="47" t="s">
        <v>16</v>
      </c>
      <c r="AO200" s="47" t="s">
        <v>43</v>
      </c>
      <c r="AP200" s="47" t="s">
        <v>51</v>
      </c>
      <c r="AQ200" s="47" t="s">
        <v>63</v>
      </c>
      <c r="AR200" s="47" t="s">
        <v>44</v>
      </c>
      <c r="AS200" s="47">
        <v>1</v>
      </c>
      <c r="AT200" s="47">
        <v>3354.81</v>
      </c>
      <c r="AU200" s="49">
        <v>0</v>
      </c>
    </row>
    <row r="201" spans="1:47" x14ac:dyDescent="0.3">
      <c r="A201" s="1">
        <v>10247</v>
      </c>
      <c r="B201" s="47">
        <v>1258</v>
      </c>
      <c r="C201" s="48">
        <v>44996</v>
      </c>
      <c r="D201" s="48">
        <v>44998</v>
      </c>
      <c r="E201" s="47" t="s">
        <v>14</v>
      </c>
      <c r="F201" s="47" t="s">
        <v>53</v>
      </c>
      <c r="G201" s="47" t="s">
        <v>29</v>
      </c>
      <c r="H201" s="47" t="s">
        <v>34</v>
      </c>
      <c r="I201" s="47" t="s">
        <v>51</v>
      </c>
      <c r="J201" s="47" t="s">
        <v>63</v>
      </c>
      <c r="K201" s="47" t="s">
        <v>46</v>
      </c>
      <c r="L201" s="47">
        <v>7</v>
      </c>
      <c r="M201" s="47">
        <v>2102.27</v>
      </c>
      <c r="N201" s="49">
        <v>20</v>
      </c>
      <c r="O201" s="4"/>
      <c r="P201" s="4"/>
      <c r="Q201" s="4"/>
      <c r="R201" s="4"/>
      <c r="AH201" s="1">
        <v>10418</v>
      </c>
      <c r="AI201" s="47">
        <v>1800</v>
      </c>
      <c r="AJ201" s="48">
        <v>45279</v>
      </c>
      <c r="AK201" s="48">
        <v>45280</v>
      </c>
      <c r="AL201" s="47" t="s">
        <v>39</v>
      </c>
      <c r="AM201" s="47" t="s">
        <v>53</v>
      </c>
      <c r="AN201" s="47" t="s">
        <v>23</v>
      </c>
      <c r="AO201" s="47" t="s">
        <v>34</v>
      </c>
      <c r="AP201" s="47" t="s">
        <v>51</v>
      </c>
      <c r="AQ201" s="47" t="s">
        <v>55</v>
      </c>
      <c r="AR201" s="47" t="s">
        <v>32</v>
      </c>
      <c r="AS201" s="47">
        <v>8</v>
      </c>
      <c r="AT201" s="47">
        <v>3905.57</v>
      </c>
      <c r="AU201" s="49">
        <v>10</v>
      </c>
    </row>
    <row r="202" spans="1:47" x14ac:dyDescent="0.3">
      <c r="A202" s="1">
        <v>10248</v>
      </c>
      <c r="B202" s="47">
        <v>1358</v>
      </c>
      <c r="C202" s="48">
        <v>44970</v>
      </c>
      <c r="D202" s="48">
        <v>44974</v>
      </c>
      <c r="E202" s="47" t="s">
        <v>21</v>
      </c>
      <c r="F202" s="47" t="s">
        <v>15</v>
      </c>
      <c r="G202" s="47" t="s">
        <v>29</v>
      </c>
      <c r="H202" s="47" t="s">
        <v>41</v>
      </c>
      <c r="I202" s="47" t="s">
        <v>30</v>
      </c>
      <c r="J202" s="47" t="s">
        <v>38</v>
      </c>
      <c r="K202" s="47" t="s">
        <v>20</v>
      </c>
      <c r="L202" s="47">
        <v>7</v>
      </c>
      <c r="M202" s="47">
        <v>2605.92</v>
      </c>
      <c r="N202" s="49">
        <v>20</v>
      </c>
      <c r="O202" s="4"/>
      <c r="P202" s="4"/>
      <c r="Q202" s="4"/>
      <c r="R202" s="4"/>
      <c r="AH202" s="1">
        <v>10423</v>
      </c>
      <c r="AI202" s="47">
        <v>1503</v>
      </c>
      <c r="AJ202" s="48">
        <v>45153</v>
      </c>
      <c r="AK202" s="48">
        <v>45155</v>
      </c>
      <c r="AL202" s="47" t="s">
        <v>39</v>
      </c>
      <c r="AM202" s="47" t="s">
        <v>15</v>
      </c>
      <c r="AN202" s="47" t="s">
        <v>23</v>
      </c>
      <c r="AO202" s="47" t="s">
        <v>43</v>
      </c>
      <c r="AP202" s="47" t="s">
        <v>51</v>
      </c>
      <c r="AQ202" s="47" t="s">
        <v>59</v>
      </c>
      <c r="AR202" s="47" t="s">
        <v>46</v>
      </c>
      <c r="AS202" s="47">
        <v>9</v>
      </c>
      <c r="AT202" s="47">
        <v>3740.3</v>
      </c>
      <c r="AU202" s="49">
        <v>10</v>
      </c>
    </row>
    <row r="203" spans="1:47" x14ac:dyDescent="0.3">
      <c r="A203" s="1">
        <v>10249</v>
      </c>
      <c r="B203" s="47">
        <v>1709</v>
      </c>
      <c r="C203" s="48">
        <v>45255</v>
      </c>
      <c r="D203" s="48">
        <v>45263</v>
      </c>
      <c r="E203" s="47" t="s">
        <v>45</v>
      </c>
      <c r="F203" s="47" t="s">
        <v>40</v>
      </c>
      <c r="G203" s="47" t="s">
        <v>16</v>
      </c>
      <c r="H203" s="47" t="s">
        <v>17</v>
      </c>
      <c r="I203" s="47" t="s">
        <v>30</v>
      </c>
      <c r="J203" s="47" t="s">
        <v>64</v>
      </c>
      <c r="K203" s="47" t="s">
        <v>44</v>
      </c>
      <c r="L203" s="47">
        <v>1</v>
      </c>
      <c r="M203" s="47">
        <v>3942.92</v>
      </c>
      <c r="N203" s="49">
        <v>0</v>
      </c>
      <c r="O203" s="4"/>
      <c r="P203" s="4"/>
      <c r="Q203" s="4"/>
      <c r="R203" s="4"/>
      <c r="AH203" s="1">
        <v>10427</v>
      </c>
      <c r="AI203" s="47">
        <v>1194</v>
      </c>
      <c r="AJ203" s="48">
        <v>45137</v>
      </c>
      <c r="AK203" s="48">
        <v>45140</v>
      </c>
      <c r="AL203" s="47" t="s">
        <v>39</v>
      </c>
      <c r="AM203" s="47" t="s">
        <v>22</v>
      </c>
      <c r="AN203" s="47" t="s">
        <v>23</v>
      </c>
      <c r="AO203" s="47" t="s">
        <v>24</v>
      </c>
      <c r="AP203" s="47" t="s">
        <v>18</v>
      </c>
      <c r="AQ203" s="47" t="s">
        <v>54</v>
      </c>
      <c r="AR203" s="47" t="s">
        <v>27</v>
      </c>
      <c r="AS203" s="47">
        <v>9</v>
      </c>
      <c r="AT203" s="47">
        <v>2454.59</v>
      </c>
      <c r="AU203" s="49">
        <v>5</v>
      </c>
    </row>
    <row r="204" spans="1:47" x14ac:dyDescent="0.3">
      <c r="A204" s="1">
        <v>10251</v>
      </c>
      <c r="B204" s="47">
        <v>1410</v>
      </c>
      <c r="C204" s="48">
        <v>45154</v>
      </c>
      <c r="D204" s="48">
        <v>45155</v>
      </c>
      <c r="E204" s="47" t="s">
        <v>15</v>
      </c>
      <c r="F204" s="47" t="s">
        <v>22</v>
      </c>
      <c r="G204" s="47" t="s">
        <v>16</v>
      </c>
      <c r="H204" s="47" t="s">
        <v>24</v>
      </c>
      <c r="I204" s="47" t="s">
        <v>30</v>
      </c>
      <c r="J204" s="47" t="s">
        <v>47</v>
      </c>
      <c r="K204" s="47" t="s">
        <v>27</v>
      </c>
      <c r="L204" s="47">
        <v>8</v>
      </c>
      <c r="M204" s="47">
        <v>1822.29</v>
      </c>
      <c r="N204" s="49">
        <v>20</v>
      </c>
      <c r="O204" s="4"/>
      <c r="P204" s="4"/>
      <c r="Q204" s="4"/>
      <c r="R204" s="4"/>
      <c r="AH204" s="1">
        <v>10431</v>
      </c>
      <c r="AI204" s="47">
        <v>1687</v>
      </c>
      <c r="AJ204" s="48">
        <v>45139</v>
      </c>
      <c r="AK204" s="48">
        <v>45146</v>
      </c>
      <c r="AL204" s="47" t="s">
        <v>45</v>
      </c>
      <c r="AM204" s="47" t="s">
        <v>37</v>
      </c>
      <c r="AN204" s="47" t="s">
        <v>29</v>
      </c>
      <c r="AO204" s="47" t="s">
        <v>34</v>
      </c>
      <c r="AP204" s="47" t="s">
        <v>48</v>
      </c>
      <c r="AQ204" s="47" t="s">
        <v>50</v>
      </c>
      <c r="AR204" s="47" t="s">
        <v>27</v>
      </c>
      <c r="AS204" s="47">
        <v>6</v>
      </c>
      <c r="AT204" s="47">
        <v>2247.37</v>
      </c>
      <c r="AU204" s="49">
        <v>15</v>
      </c>
    </row>
    <row r="205" spans="1:47" x14ac:dyDescent="0.3">
      <c r="A205" s="1">
        <v>10252</v>
      </c>
      <c r="B205" s="47">
        <v>1648</v>
      </c>
      <c r="C205" s="48">
        <v>45110</v>
      </c>
      <c r="D205" s="48">
        <v>45114</v>
      </c>
      <c r="E205" s="47" t="s">
        <v>36</v>
      </c>
      <c r="F205" s="47" t="s">
        <v>37</v>
      </c>
      <c r="G205" s="47" t="s">
        <v>23</v>
      </c>
      <c r="H205" s="47" t="s">
        <v>41</v>
      </c>
      <c r="I205" s="47" t="s">
        <v>51</v>
      </c>
      <c r="J205" s="47" t="s">
        <v>59</v>
      </c>
      <c r="K205" s="47" t="s">
        <v>32</v>
      </c>
      <c r="L205" s="47">
        <v>4</v>
      </c>
      <c r="M205" s="47">
        <v>1868.8</v>
      </c>
      <c r="N205" s="49">
        <v>20</v>
      </c>
      <c r="O205" s="4"/>
      <c r="P205" s="4"/>
      <c r="Q205" s="4"/>
      <c r="R205" s="4"/>
      <c r="AH205" s="1">
        <v>10435</v>
      </c>
      <c r="AI205" s="47">
        <v>1469</v>
      </c>
      <c r="AJ205" s="48">
        <v>45002</v>
      </c>
      <c r="AK205" s="48">
        <v>45009</v>
      </c>
      <c r="AL205" s="47" t="s">
        <v>14</v>
      </c>
      <c r="AM205" s="47" t="s">
        <v>28</v>
      </c>
      <c r="AN205" s="47" t="s">
        <v>23</v>
      </c>
      <c r="AO205" s="47" t="s">
        <v>43</v>
      </c>
      <c r="AP205" s="47" t="s">
        <v>51</v>
      </c>
      <c r="AQ205" s="47" t="s">
        <v>55</v>
      </c>
      <c r="AR205" s="47" t="s">
        <v>20</v>
      </c>
      <c r="AS205" s="47">
        <v>3</v>
      </c>
      <c r="AT205" s="47">
        <v>3644.78</v>
      </c>
      <c r="AU205" s="49">
        <v>0</v>
      </c>
    </row>
    <row r="206" spans="1:47" x14ac:dyDescent="0.3">
      <c r="A206" s="1">
        <v>10253</v>
      </c>
      <c r="B206" s="47">
        <v>1317</v>
      </c>
      <c r="C206" s="48">
        <v>45033</v>
      </c>
      <c r="D206" s="48">
        <v>45034</v>
      </c>
      <c r="E206" s="47" t="s">
        <v>39</v>
      </c>
      <c r="F206" s="47" t="s">
        <v>40</v>
      </c>
      <c r="G206" s="47" t="s">
        <v>23</v>
      </c>
      <c r="H206" s="47" t="s">
        <v>34</v>
      </c>
      <c r="I206" s="47" t="s">
        <v>18</v>
      </c>
      <c r="J206" s="47" t="s">
        <v>19</v>
      </c>
      <c r="K206" s="47" t="s">
        <v>46</v>
      </c>
      <c r="L206" s="47">
        <v>5</v>
      </c>
      <c r="M206" s="47">
        <v>2532.27</v>
      </c>
      <c r="N206" s="49">
        <v>15</v>
      </c>
      <c r="O206" s="4"/>
      <c r="P206" s="4"/>
      <c r="Q206" s="4"/>
      <c r="R206" s="4"/>
      <c r="AH206" s="1">
        <v>10436</v>
      </c>
      <c r="AI206" s="47">
        <v>1374</v>
      </c>
      <c r="AJ206" s="48">
        <v>45212</v>
      </c>
      <c r="AK206" s="48">
        <v>45213</v>
      </c>
      <c r="AL206" s="47" t="s">
        <v>14</v>
      </c>
      <c r="AM206" s="47" t="s">
        <v>22</v>
      </c>
      <c r="AN206" s="47" t="s">
        <v>29</v>
      </c>
      <c r="AO206" s="47" t="s">
        <v>17</v>
      </c>
      <c r="AP206" s="47" t="s">
        <v>51</v>
      </c>
      <c r="AQ206" s="47" t="s">
        <v>59</v>
      </c>
      <c r="AR206" s="47" t="s">
        <v>20</v>
      </c>
      <c r="AS206" s="47">
        <v>3</v>
      </c>
      <c r="AT206" s="47">
        <v>3986.78</v>
      </c>
      <c r="AU206" s="49">
        <v>20</v>
      </c>
    </row>
    <row r="207" spans="1:47" x14ac:dyDescent="0.3">
      <c r="A207" s="1">
        <v>10254</v>
      </c>
      <c r="B207" s="47">
        <v>1676</v>
      </c>
      <c r="C207" s="48">
        <v>45010</v>
      </c>
      <c r="D207" s="48">
        <v>45012</v>
      </c>
      <c r="E207" s="47" t="s">
        <v>21</v>
      </c>
      <c r="F207" s="47" t="s">
        <v>15</v>
      </c>
      <c r="G207" s="47" t="s">
        <v>16</v>
      </c>
      <c r="H207" s="47" t="s">
        <v>41</v>
      </c>
      <c r="I207" s="47" t="s">
        <v>51</v>
      </c>
      <c r="J207" s="47" t="s">
        <v>63</v>
      </c>
      <c r="K207" s="47" t="s">
        <v>44</v>
      </c>
      <c r="L207" s="47">
        <v>2</v>
      </c>
      <c r="M207" s="47">
        <v>2711.66</v>
      </c>
      <c r="N207" s="49">
        <v>0</v>
      </c>
      <c r="O207" s="4"/>
      <c r="P207" s="4"/>
      <c r="Q207" s="4"/>
      <c r="R207" s="4"/>
      <c r="AH207" s="1">
        <v>10438</v>
      </c>
      <c r="AI207" s="47">
        <v>1749</v>
      </c>
      <c r="AJ207" s="48">
        <v>45082</v>
      </c>
      <c r="AK207" s="48">
        <v>45091</v>
      </c>
      <c r="AL207" s="47" t="s">
        <v>45</v>
      </c>
      <c r="AM207" s="47" t="s">
        <v>22</v>
      </c>
      <c r="AN207" s="47" t="s">
        <v>29</v>
      </c>
      <c r="AO207" s="47" t="s">
        <v>17</v>
      </c>
      <c r="AP207" s="47" t="s">
        <v>25</v>
      </c>
      <c r="AQ207" s="47" t="s">
        <v>60</v>
      </c>
      <c r="AR207" s="47" t="s">
        <v>46</v>
      </c>
      <c r="AS207" s="47">
        <v>5</v>
      </c>
      <c r="AT207" s="47">
        <v>3116.22</v>
      </c>
      <c r="AU207" s="49">
        <v>10</v>
      </c>
    </row>
    <row r="208" spans="1:47" x14ac:dyDescent="0.3">
      <c r="A208" s="1">
        <v>10257</v>
      </c>
      <c r="B208" s="47">
        <v>1233</v>
      </c>
      <c r="C208" s="48">
        <v>45289</v>
      </c>
      <c r="D208" s="48">
        <v>45297</v>
      </c>
      <c r="E208" s="47" t="s">
        <v>39</v>
      </c>
      <c r="F208" s="47" t="s">
        <v>40</v>
      </c>
      <c r="G208" s="47" t="s">
        <v>23</v>
      </c>
      <c r="H208" s="47" t="s">
        <v>43</v>
      </c>
      <c r="I208" s="47" t="s">
        <v>30</v>
      </c>
      <c r="J208" s="47" t="s">
        <v>31</v>
      </c>
      <c r="K208" s="47" t="s">
        <v>46</v>
      </c>
      <c r="L208" s="47">
        <v>3</v>
      </c>
      <c r="M208" s="47">
        <v>240.6</v>
      </c>
      <c r="N208" s="49">
        <v>5</v>
      </c>
      <c r="O208" s="4"/>
      <c r="P208" s="4"/>
      <c r="Q208" s="4"/>
      <c r="R208" s="4"/>
      <c r="AH208" s="1">
        <v>10440</v>
      </c>
      <c r="AI208" s="47">
        <v>1037</v>
      </c>
      <c r="AJ208" s="48">
        <v>45144</v>
      </c>
      <c r="AK208" s="48">
        <v>45149</v>
      </c>
      <c r="AL208" s="47" t="s">
        <v>36</v>
      </c>
      <c r="AM208" s="47" t="s">
        <v>53</v>
      </c>
      <c r="AN208" s="47" t="s">
        <v>16</v>
      </c>
      <c r="AO208" s="47" t="s">
        <v>41</v>
      </c>
      <c r="AP208" s="47" t="s">
        <v>48</v>
      </c>
      <c r="AQ208" s="47" t="s">
        <v>49</v>
      </c>
      <c r="AR208" s="47" t="s">
        <v>32</v>
      </c>
      <c r="AS208" s="47">
        <v>1</v>
      </c>
      <c r="AT208" s="47">
        <v>3775.07</v>
      </c>
      <c r="AU208" s="49">
        <v>10</v>
      </c>
    </row>
    <row r="209" spans="1:47" x14ac:dyDescent="0.3">
      <c r="A209" s="1">
        <v>10260</v>
      </c>
      <c r="B209" s="47">
        <v>1974</v>
      </c>
      <c r="C209" s="48">
        <v>45104</v>
      </c>
      <c r="D209" s="48">
        <v>45110</v>
      </c>
      <c r="E209" s="47" t="s">
        <v>21</v>
      </c>
      <c r="F209" s="47" t="s">
        <v>40</v>
      </c>
      <c r="G209" s="47" t="s">
        <v>16</v>
      </c>
      <c r="H209" s="47" t="s">
        <v>41</v>
      </c>
      <c r="I209" s="47" t="s">
        <v>30</v>
      </c>
      <c r="J209" s="47" t="s">
        <v>64</v>
      </c>
      <c r="K209" s="47" t="s">
        <v>27</v>
      </c>
      <c r="L209" s="47">
        <v>3</v>
      </c>
      <c r="M209" s="47">
        <v>647.32000000000005</v>
      </c>
      <c r="N209" s="49">
        <v>5</v>
      </c>
      <c r="O209" s="4"/>
      <c r="P209" s="4"/>
      <c r="Q209" s="4"/>
      <c r="R209" s="4"/>
      <c r="AH209" s="1">
        <v>10441</v>
      </c>
      <c r="AI209" s="47">
        <v>1229</v>
      </c>
      <c r="AJ209" s="48">
        <v>45116</v>
      </c>
      <c r="AK209" s="48">
        <v>45119</v>
      </c>
      <c r="AL209" s="47" t="s">
        <v>15</v>
      </c>
      <c r="AM209" s="47" t="s">
        <v>22</v>
      </c>
      <c r="AN209" s="47" t="s">
        <v>16</v>
      </c>
      <c r="AO209" s="47" t="s">
        <v>41</v>
      </c>
      <c r="AP209" s="47" t="s">
        <v>30</v>
      </c>
      <c r="AQ209" s="47" t="s">
        <v>64</v>
      </c>
      <c r="AR209" s="47" t="s">
        <v>44</v>
      </c>
      <c r="AS209" s="47">
        <v>3</v>
      </c>
      <c r="AT209" s="47">
        <v>2189.4</v>
      </c>
      <c r="AU209" s="49">
        <v>20</v>
      </c>
    </row>
    <row r="210" spans="1:47" x14ac:dyDescent="0.3">
      <c r="A210" s="1">
        <v>10261</v>
      </c>
      <c r="B210" s="47">
        <v>1826</v>
      </c>
      <c r="C210" s="48">
        <v>44933</v>
      </c>
      <c r="D210" s="48">
        <v>44936</v>
      </c>
      <c r="E210" s="47" t="s">
        <v>14</v>
      </c>
      <c r="F210" s="47" t="s">
        <v>53</v>
      </c>
      <c r="G210" s="47" t="s">
        <v>23</v>
      </c>
      <c r="H210" s="47" t="s">
        <v>24</v>
      </c>
      <c r="I210" s="47" t="s">
        <v>30</v>
      </c>
      <c r="J210" s="47" t="s">
        <v>31</v>
      </c>
      <c r="K210" s="47" t="s">
        <v>32</v>
      </c>
      <c r="L210" s="47">
        <v>2</v>
      </c>
      <c r="M210" s="47">
        <v>533.25</v>
      </c>
      <c r="N210" s="49">
        <v>0</v>
      </c>
      <c r="O210" s="4"/>
      <c r="P210" s="4"/>
      <c r="Q210" s="4"/>
      <c r="R210" s="4"/>
      <c r="AH210" s="1">
        <v>10442</v>
      </c>
      <c r="AI210" s="47">
        <v>1364</v>
      </c>
      <c r="AJ210" s="48">
        <v>45089</v>
      </c>
      <c r="AK210" s="48">
        <v>45094</v>
      </c>
      <c r="AL210" s="47" t="s">
        <v>14</v>
      </c>
      <c r="AM210" s="47" t="s">
        <v>22</v>
      </c>
      <c r="AN210" s="47" t="s">
        <v>23</v>
      </c>
      <c r="AO210" s="47" t="s">
        <v>34</v>
      </c>
      <c r="AP210" s="47" t="s">
        <v>56</v>
      </c>
      <c r="AQ210" s="47" t="s">
        <v>57</v>
      </c>
      <c r="AR210" s="47" t="s">
        <v>44</v>
      </c>
      <c r="AS210" s="47">
        <v>9</v>
      </c>
      <c r="AT210" s="47">
        <v>2969.7</v>
      </c>
      <c r="AU210" s="49">
        <v>10</v>
      </c>
    </row>
    <row r="211" spans="1:47" x14ac:dyDescent="0.3">
      <c r="A211" s="1">
        <v>10262</v>
      </c>
      <c r="B211" s="47">
        <v>1373</v>
      </c>
      <c r="C211" s="48">
        <v>44996</v>
      </c>
      <c r="D211" s="48">
        <v>44998</v>
      </c>
      <c r="E211" s="47" t="s">
        <v>14</v>
      </c>
      <c r="F211" s="47" t="s">
        <v>22</v>
      </c>
      <c r="G211" s="47" t="s">
        <v>16</v>
      </c>
      <c r="H211" s="47" t="s">
        <v>43</v>
      </c>
      <c r="I211" s="47" t="s">
        <v>56</v>
      </c>
      <c r="J211" s="47" t="s">
        <v>58</v>
      </c>
      <c r="K211" s="47" t="s">
        <v>20</v>
      </c>
      <c r="L211" s="47">
        <v>7</v>
      </c>
      <c r="M211" s="47">
        <v>2472.29</v>
      </c>
      <c r="N211" s="49">
        <v>10</v>
      </c>
      <c r="O211" s="4"/>
      <c r="P211" s="4"/>
      <c r="Q211" s="4"/>
      <c r="R211" s="4"/>
      <c r="AH211" s="1">
        <v>10444</v>
      </c>
      <c r="AI211" s="47">
        <v>1437</v>
      </c>
      <c r="AJ211" s="48">
        <v>44960</v>
      </c>
      <c r="AK211" s="48">
        <v>44969</v>
      </c>
      <c r="AL211" s="47" t="s">
        <v>39</v>
      </c>
      <c r="AM211" s="47" t="s">
        <v>37</v>
      </c>
      <c r="AN211" s="47" t="s">
        <v>29</v>
      </c>
      <c r="AO211" s="47" t="s">
        <v>17</v>
      </c>
      <c r="AP211" s="47" t="s">
        <v>30</v>
      </c>
      <c r="AQ211" s="47" t="s">
        <v>31</v>
      </c>
      <c r="AR211" s="47" t="s">
        <v>20</v>
      </c>
      <c r="AS211" s="47">
        <v>2</v>
      </c>
      <c r="AT211" s="47">
        <v>3904.44</v>
      </c>
      <c r="AU211" s="49">
        <v>10</v>
      </c>
    </row>
    <row r="212" spans="1:47" x14ac:dyDescent="0.3">
      <c r="A212" s="1">
        <v>10263</v>
      </c>
      <c r="B212" s="47">
        <v>1671</v>
      </c>
      <c r="C212" s="48">
        <v>45053</v>
      </c>
      <c r="D212" s="48">
        <v>45059</v>
      </c>
      <c r="E212" s="47" t="s">
        <v>39</v>
      </c>
      <c r="F212" s="47" t="s">
        <v>37</v>
      </c>
      <c r="G212" s="47" t="s">
        <v>29</v>
      </c>
      <c r="H212" s="47" t="s">
        <v>34</v>
      </c>
      <c r="I212" s="47" t="s">
        <v>48</v>
      </c>
      <c r="J212" s="47" t="s">
        <v>62</v>
      </c>
      <c r="K212" s="47" t="s">
        <v>32</v>
      </c>
      <c r="L212" s="47">
        <v>7</v>
      </c>
      <c r="M212" s="47">
        <v>2165.86</v>
      </c>
      <c r="N212" s="49">
        <v>0</v>
      </c>
      <c r="O212" s="4"/>
      <c r="P212" s="4"/>
      <c r="Q212" s="4"/>
      <c r="R212" s="4"/>
      <c r="AH212" s="1">
        <v>10447</v>
      </c>
      <c r="AI212" s="47">
        <v>1026</v>
      </c>
      <c r="AJ212" s="48">
        <v>45264</v>
      </c>
      <c r="AK212" s="48">
        <v>45265</v>
      </c>
      <c r="AL212" s="47" t="s">
        <v>33</v>
      </c>
      <c r="AM212" s="47" t="s">
        <v>37</v>
      </c>
      <c r="AN212" s="47" t="s">
        <v>16</v>
      </c>
      <c r="AO212" s="47" t="s">
        <v>34</v>
      </c>
      <c r="AP212" s="47" t="s">
        <v>25</v>
      </c>
      <c r="AQ212" s="47" t="s">
        <v>67</v>
      </c>
      <c r="AR212" s="47" t="s">
        <v>27</v>
      </c>
      <c r="AS212" s="47">
        <v>4</v>
      </c>
      <c r="AT212" s="47">
        <v>3871.21</v>
      </c>
      <c r="AU212" s="49">
        <v>10</v>
      </c>
    </row>
    <row r="213" spans="1:47" x14ac:dyDescent="0.3">
      <c r="A213" s="1">
        <v>10264</v>
      </c>
      <c r="B213" s="47">
        <v>1607</v>
      </c>
      <c r="C213" s="48">
        <v>45086</v>
      </c>
      <c r="D213" s="48">
        <v>45091</v>
      </c>
      <c r="E213" s="47" t="s">
        <v>14</v>
      </c>
      <c r="F213" s="47" t="s">
        <v>15</v>
      </c>
      <c r="G213" s="47" t="s">
        <v>29</v>
      </c>
      <c r="H213" s="47" t="s">
        <v>43</v>
      </c>
      <c r="I213" s="47" t="s">
        <v>51</v>
      </c>
      <c r="J213" s="47" t="s">
        <v>59</v>
      </c>
      <c r="K213" s="47" t="s">
        <v>46</v>
      </c>
      <c r="L213" s="47">
        <v>4</v>
      </c>
      <c r="M213" s="47">
        <v>1126.3</v>
      </c>
      <c r="N213" s="49">
        <v>20</v>
      </c>
      <c r="O213" s="4"/>
      <c r="P213" s="4"/>
      <c r="Q213" s="4"/>
      <c r="R213" s="4"/>
      <c r="AH213" s="1">
        <v>10448</v>
      </c>
      <c r="AI213" s="47">
        <v>1225</v>
      </c>
      <c r="AJ213" s="48">
        <v>45240</v>
      </c>
      <c r="AK213" s="48">
        <v>45247</v>
      </c>
      <c r="AL213" s="47" t="s">
        <v>39</v>
      </c>
      <c r="AM213" s="47" t="s">
        <v>37</v>
      </c>
      <c r="AN213" s="47" t="s">
        <v>29</v>
      </c>
      <c r="AO213" s="47" t="s">
        <v>17</v>
      </c>
      <c r="AP213" s="47" t="s">
        <v>18</v>
      </c>
      <c r="AQ213" s="47" t="s">
        <v>19</v>
      </c>
      <c r="AR213" s="47" t="s">
        <v>32</v>
      </c>
      <c r="AS213" s="47">
        <v>7</v>
      </c>
      <c r="AT213" s="47">
        <v>2568.2600000000002</v>
      </c>
      <c r="AU213" s="49">
        <v>10</v>
      </c>
    </row>
    <row r="214" spans="1:47" x14ac:dyDescent="0.3">
      <c r="A214" s="1">
        <v>10266</v>
      </c>
      <c r="B214" s="47">
        <v>1232</v>
      </c>
      <c r="C214" s="48">
        <v>45129</v>
      </c>
      <c r="D214" s="48">
        <v>45134</v>
      </c>
      <c r="E214" s="47" t="s">
        <v>39</v>
      </c>
      <c r="F214" s="47" t="s">
        <v>15</v>
      </c>
      <c r="G214" s="47" t="s">
        <v>29</v>
      </c>
      <c r="H214" s="47" t="s">
        <v>34</v>
      </c>
      <c r="I214" s="47" t="s">
        <v>25</v>
      </c>
      <c r="J214" s="47" t="s">
        <v>60</v>
      </c>
      <c r="K214" s="47" t="s">
        <v>32</v>
      </c>
      <c r="L214" s="47">
        <v>8</v>
      </c>
      <c r="M214" s="47">
        <v>2045.09</v>
      </c>
      <c r="N214" s="49">
        <v>10</v>
      </c>
      <c r="O214" s="4"/>
      <c r="P214" s="4"/>
      <c r="Q214" s="4"/>
      <c r="R214" s="4"/>
      <c r="AH214" s="1">
        <v>10452</v>
      </c>
      <c r="AI214" s="47">
        <v>1283</v>
      </c>
      <c r="AJ214" s="48">
        <v>45076</v>
      </c>
      <c r="AK214" s="48">
        <v>45082</v>
      </c>
      <c r="AL214" s="47" t="s">
        <v>45</v>
      </c>
      <c r="AM214" s="47" t="s">
        <v>22</v>
      </c>
      <c r="AN214" s="47" t="s">
        <v>23</v>
      </c>
      <c r="AO214" s="47" t="s">
        <v>41</v>
      </c>
      <c r="AP214" s="47" t="s">
        <v>48</v>
      </c>
      <c r="AQ214" s="47" t="s">
        <v>66</v>
      </c>
      <c r="AR214" s="47" t="s">
        <v>27</v>
      </c>
      <c r="AS214" s="47">
        <v>1</v>
      </c>
      <c r="AT214" s="47">
        <v>1574.59</v>
      </c>
      <c r="AU214" s="49">
        <v>5</v>
      </c>
    </row>
    <row r="215" spans="1:47" x14ac:dyDescent="0.3">
      <c r="A215" s="1">
        <v>10267</v>
      </c>
      <c r="B215" s="47">
        <v>1691</v>
      </c>
      <c r="C215" s="48">
        <v>45074</v>
      </c>
      <c r="D215" s="48">
        <v>45079</v>
      </c>
      <c r="E215" s="47" t="s">
        <v>39</v>
      </c>
      <c r="F215" s="47" t="s">
        <v>37</v>
      </c>
      <c r="G215" s="47" t="s">
        <v>29</v>
      </c>
      <c r="H215" s="47" t="s">
        <v>43</v>
      </c>
      <c r="I215" s="47" t="s">
        <v>51</v>
      </c>
      <c r="J215" s="47" t="s">
        <v>52</v>
      </c>
      <c r="K215" s="47" t="s">
        <v>46</v>
      </c>
      <c r="L215" s="47">
        <v>1</v>
      </c>
      <c r="M215" s="47">
        <v>900.78</v>
      </c>
      <c r="N215" s="49">
        <v>5</v>
      </c>
      <c r="O215" s="4"/>
      <c r="P215" s="4"/>
      <c r="Q215" s="4"/>
      <c r="R215" s="4"/>
      <c r="AH215" s="1">
        <v>10454</v>
      </c>
      <c r="AI215" s="47">
        <v>1959</v>
      </c>
      <c r="AJ215" s="48">
        <v>45251</v>
      </c>
      <c r="AK215" s="48">
        <v>45255</v>
      </c>
      <c r="AL215" s="47" t="s">
        <v>33</v>
      </c>
      <c r="AM215" s="47" t="s">
        <v>40</v>
      </c>
      <c r="AN215" s="47" t="s">
        <v>16</v>
      </c>
      <c r="AO215" s="47" t="s">
        <v>24</v>
      </c>
      <c r="AP215" s="47" t="s">
        <v>56</v>
      </c>
      <c r="AQ215" s="47" t="s">
        <v>57</v>
      </c>
      <c r="AR215" s="47" t="s">
        <v>27</v>
      </c>
      <c r="AS215" s="47">
        <v>9</v>
      </c>
      <c r="AT215" s="47">
        <v>3191.56</v>
      </c>
      <c r="AU215" s="49">
        <v>20</v>
      </c>
    </row>
    <row r="216" spans="1:47" x14ac:dyDescent="0.3">
      <c r="A216" s="1">
        <v>10268</v>
      </c>
      <c r="B216" s="47">
        <v>1112</v>
      </c>
      <c r="C216" s="48">
        <v>45069</v>
      </c>
      <c r="D216" s="48">
        <v>45072</v>
      </c>
      <c r="E216" s="47" t="s">
        <v>36</v>
      </c>
      <c r="F216" s="47" t="s">
        <v>15</v>
      </c>
      <c r="G216" s="47" t="s">
        <v>29</v>
      </c>
      <c r="H216" s="47" t="s">
        <v>41</v>
      </c>
      <c r="I216" s="47" t="s">
        <v>30</v>
      </c>
      <c r="J216" s="47" t="s">
        <v>38</v>
      </c>
      <c r="K216" s="47" t="s">
        <v>27</v>
      </c>
      <c r="L216" s="47">
        <v>1</v>
      </c>
      <c r="M216" s="47">
        <v>2660.56</v>
      </c>
      <c r="N216" s="49">
        <v>10</v>
      </c>
      <c r="O216" s="4"/>
      <c r="P216" s="4"/>
      <c r="Q216" s="4"/>
      <c r="R216" s="4"/>
      <c r="AH216" s="1">
        <v>10463</v>
      </c>
      <c r="AI216" s="47">
        <v>1048</v>
      </c>
      <c r="AJ216" s="48">
        <v>44992</v>
      </c>
      <c r="AK216" s="48">
        <v>45000</v>
      </c>
      <c r="AL216" s="47" t="s">
        <v>21</v>
      </c>
      <c r="AM216" s="47" t="s">
        <v>15</v>
      </c>
      <c r="AN216" s="47" t="s">
        <v>23</v>
      </c>
      <c r="AO216" s="47" t="s">
        <v>34</v>
      </c>
      <c r="AP216" s="47" t="s">
        <v>25</v>
      </c>
      <c r="AQ216" s="47" t="s">
        <v>35</v>
      </c>
      <c r="AR216" s="47" t="s">
        <v>46</v>
      </c>
      <c r="AS216" s="47">
        <v>5</v>
      </c>
      <c r="AT216" s="47">
        <v>2072.3200000000002</v>
      </c>
      <c r="AU216" s="49">
        <v>15</v>
      </c>
    </row>
    <row r="217" spans="1:47" x14ac:dyDescent="0.3">
      <c r="A217" s="1">
        <v>10269</v>
      </c>
      <c r="B217" s="47">
        <v>1829</v>
      </c>
      <c r="C217" s="48">
        <v>45125</v>
      </c>
      <c r="D217" s="48">
        <v>45132</v>
      </c>
      <c r="E217" s="47" t="s">
        <v>14</v>
      </c>
      <c r="F217" s="47" t="s">
        <v>40</v>
      </c>
      <c r="G217" s="47" t="s">
        <v>23</v>
      </c>
      <c r="H217" s="47" t="s">
        <v>34</v>
      </c>
      <c r="I217" s="47" t="s">
        <v>48</v>
      </c>
      <c r="J217" s="47" t="s">
        <v>50</v>
      </c>
      <c r="K217" s="47" t="s">
        <v>46</v>
      </c>
      <c r="L217" s="47">
        <v>5</v>
      </c>
      <c r="M217" s="47">
        <v>3156.54</v>
      </c>
      <c r="N217" s="49">
        <v>20</v>
      </c>
      <c r="O217" s="4"/>
      <c r="P217" s="4"/>
      <c r="Q217" s="4"/>
      <c r="R217" s="4"/>
      <c r="AH217" s="1">
        <v>10466</v>
      </c>
      <c r="AI217" s="47">
        <v>1171</v>
      </c>
      <c r="AJ217" s="48">
        <v>44973</v>
      </c>
      <c r="AK217" s="48">
        <v>44975</v>
      </c>
      <c r="AL217" s="47" t="s">
        <v>15</v>
      </c>
      <c r="AM217" s="47" t="s">
        <v>40</v>
      </c>
      <c r="AN217" s="47" t="s">
        <v>29</v>
      </c>
      <c r="AO217" s="47" t="s">
        <v>34</v>
      </c>
      <c r="AP217" s="47" t="s">
        <v>18</v>
      </c>
      <c r="AQ217" s="47" t="s">
        <v>42</v>
      </c>
      <c r="AR217" s="47" t="s">
        <v>27</v>
      </c>
      <c r="AS217" s="47">
        <v>6</v>
      </c>
      <c r="AT217" s="47">
        <v>3773.04</v>
      </c>
      <c r="AU217" s="49">
        <v>0</v>
      </c>
    </row>
    <row r="218" spans="1:47" x14ac:dyDescent="0.3">
      <c r="A218" s="1">
        <v>10270</v>
      </c>
      <c r="B218" s="47">
        <v>1496</v>
      </c>
      <c r="C218" s="48">
        <v>45080</v>
      </c>
      <c r="D218" s="48">
        <v>45086</v>
      </c>
      <c r="E218" s="47" t="s">
        <v>21</v>
      </c>
      <c r="F218" s="47" t="s">
        <v>28</v>
      </c>
      <c r="G218" s="47" t="s">
        <v>23</v>
      </c>
      <c r="H218" s="47" t="s">
        <v>34</v>
      </c>
      <c r="I218" s="47" t="s">
        <v>30</v>
      </c>
      <c r="J218" s="47" t="s">
        <v>64</v>
      </c>
      <c r="K218" s="47" t="s">
        <v>44</v>
      </c>
      <c r="L218" s="47">
        <v>6</v>
      </c>
      <c r="M218" s="47">
        <v>3197.13</v>
      </c>
      <c r="N218" s="49">
        <v>10</v>
      </c>
      <c r="O218" s="4"/>
      <c r="P218" s="4"/>
      <c r="Q218" s="4"/>
      <c r="R218" s="4"/>
      <c r="AH218" s="1">
        <v>10468</v>
      </c>
      <c r="AI218" s="47">
        <v>1157</v>
      </c>
      <c r="AJ218" s="48">
        <v>45074</v>
      </c>
      <c r="AK218" s="48">
        <v>45082</v>
      </c>
      <c r="AL218" s="47" t="s">
        <v>21</v>
      </c>
      <c r="AM218" s="47" t="s">
        <v>15</v>
      </c>
      <c r="AN218" s="47" t="s">
        <v>16</v>
      </c>
      <c r="AO218" s="47" t="s">
        <v>17</v>
      </c>
      <c r="AP218" s="47" t="s">
        <v>56</v>
      </c>
      <c r="AQ218" s="47" t="s">
        <v>58</v>
      </c>
      <c r="AR218" s="47" t="s">
        <v>44</v>
      </c>
      <c r="AS218" s="47">
        <v>9</v>
      </c>
      <c r="AT218" s="47">
        <v>1890.53</v>
      </c>
      <c r="AU218" s="49">
        <v>15</v>
      </c>
    </row>
    <row r="219" spans="1:47" x14ac:dyDescent="0.3">
      <c r="A219" s="1">
        <v>10271</v>
      </c>
      <c r="B219" s="47">
        <v>1441</v>
      </c>
      <c r="C219" s="48">
        <v>45068</v>
      </c>
      <c r="D219" s="48">
        <v>45072</v>
      </c>
      <c r="E219" s="47" t="s">
        <v>39</v>
      </c>
      <c r="F219" s="47" t="s">
        <v>15</v>
      </c>
      <c r="G219" s="47" t="s">
        <v>29</v>
      </c>
      <c r="H219" s="47" t="s">
        <v>24</v>
      </c>
      <c r="I219" s="47" t="s">
        <v>18</v>
      </c>
      <c r="J219" s="47" t="s">
        <v>68</v>
      </c>
      <c r="K219" s="47" t="s">
        <v>46</v>
      </c>
      <c r="L219" s="47">
        <v>3</v>
      </c>
      <c r="M219" s="47">
        <v>2469.5100000000002</v>
      </c>
      <c r="N219" s="49">
        <v>0</v>
      </c>
      <c r="O219" s="4"/>
      <c r="P219" s="4"/>
      <c r="Q219" s="4"/>
      <c r="R219" s="4"/>
      <c r="AH219" s="1">
        <v>10472</v>
      </c>
      <c r="AI219" s="47">
        <v>1517</v>
      </c>
      <c r="AJ219" s="48">
        <v>45269</v>
      </c>
      <c r="AK219" s="48">
        <v>45278</v>
      </c>
      <c r="AL219" s="47" t="s">
        <v>14</v>
      </c>
      <c r="AM219" s="47" t="s">
        <v>53</v>
      </c>
      <c r="AN219" s="47" t="s">
        <v>29</v>
      </c>
      <c r="AO219" s="47" t="s">
        <v>34</v>
      </c>
      <c r="AP219" s="47" t="s">
        <v>30</v>
      </c>
      <c r="AQ219" s="47" t="s">
        <v>47</v>
      </c>
      <c r="AR219" s="47" t="s">
        <v>27</v>
      </c>
      <c r="AS219" s="47">
        <v>5</v>
      </c>
      <c r="AT219" s="47">
        <v>2523.25</v>
      </c>
      <c r="AU219" s="49">
        <v>10</v>
      </c>
    </row>
    <row r="220" spans="1:47" x14ac:dyDescent="0.3">
      <c r="A220" s="1">
        <v>10273</v>
      </c>
      <c r="B220" s="47">
        <v>1267</v>
      </c>
      <c r="C220" s="48">
        <v>45091</v>
      </c>
      <c r="D220" s="48">
        <v>45100</v>
      </c>
      <c r="E220" s="47" t="s">
        <v>45</v>
      </c>
      <c r="F220" s="47" t="s">
        <v>53</v>
      </c>
      <c r="G220" s="47" t="s">
        <v>29</v>
      </c>
      <c r="H220" s="47" t="s">
        <v>17</v>
      </c>
      <c r="I220" s="47" t="s">
        <v>30</v>
      </c>
      <c r="J220" s="47" t="s">
        <v>38</v>
      </c>
      <c r="K220" s="47" t="s">
        <v>44</v>
      </c>
      <c r="L220" s="47">
        <v>6</v>
      </c>
      <c r="M220" s="47">
        <v>384.88</v>
      </c>
      <c r="N220" s="49">
        <v>5</v>
      </c>
      <c r="O220" s="4"/>
      <c r="P220" s="4"/>
      <c r="Q220" s="4"/>
      <c r="R220" s="4"/>
      <c r="AH220" s="1">
        <v>10482</v>
      </c>
      <c r="AI220" s="47">
        <v>1606</v>
      </c>
      <c r="AJ220" s="48">
        <v>45153</v>
      </c>
      <c r="AK220" s="48">
        <v>45162</v>
      </c>
      <c r="AL220" s="47" t="s">
        <v>33</v>
      </c>
      <c r="AM220" s="47" t="s">
        <v>53</v>
      </c>
      <c r="AN220" s="47" t="s">
        <v>23</v>
      </c>
      <c r="AO220" s="47" t="s">
        <v>24</v>
      </c>
      <c r="AP220" s="47" t="s">
        <v>56</v>
      </c>
      <c r="AQ220" s="47" t="s">
        <v>65</v>
      </c>
      <c r="AR220" s="47" t="s">
        <v>32</v>
      </c>
      <c r="AS220" s="47">
        <v>7</v>
      </c>
      <c r="AT220" s="47">
        <v>2172.2399999999998</v>
      </c>
      <c r="AU220" s="49">
        <v>20</v>
      </c>
    </row>
    <row r="221" spans="1:47" x14ac:dyDescent="0.3">
      <c r="A221" s="1">
        <v>10274</v>
      </c>
      <c r="B221" s="47">
        <v>1509</v>
      </c>
      <c r="C221" s="48">
        <v>45240</v>
      </c>
      <c r="D221" s="48">
        <v>45241</v>
      </c>
      <c r="E221" s="47" t="s">
        <v>36</v>
      </c>
      <c r="F221" s="47" t="s">
        <v>15</v>
      </c>
      <c r="G221" s="47" t="s">
        <v>23</v>
      </c>
      <c r="H221" s="47" t="s">
        <v>43</v>
      </c>
      <c r="I221" s="47" t="s">
        <v>51</v>
      </c>
      <c r="J221" s="47" t="s">
        <v>59</v>
      </c>
      <c r="K221" s="47" t="s">
        <v>32</v>
      </c>
      <c r="L221" s="47">
        <v>4</v>
      </c>
      <c r="M221" s="47">
        <v>1258.1500000000001</v>
      </c>
      <c r="N221" s="49">
        <v>0</v>
      </c>
      <c r="O221" s="4"/>
      <c r="P221" s="4"/>
      <c r="Q221" s="4"/>
      <c r="R221" s="4"/>
      <c r="AH221" s="1">
        <v>10487</v>
      </c>
      <c r="AI221" s="47">
        <v>1190</v>
      </c>
      <c r="AJ221" s="48">
        <v>44965</v>
      </c>
      <c r="AK221" s="48">
        <v>44966</v>
      </c>
      <c r="AL221" s="47" t="s">
        <v>39</v>
      </c>
      <c r="AM221" s="47" t="s">
        <v>15</v>
      </c>
      <c r="AN221" s="47" t="s">
        <v>29</v>
      </c>
      <c r="AO221" s="47" t="s">
        <v>24</v>
      </c>
      <c r="AP221" s="47" t="s">
        <v>51</v>
      </c>
      <c r="AQ221" s="47" t="s">
        <v>52</v>
      </c>
      <c r="AR221" s="47" t="s">
        <v>20</v>
      </c>
      <c r="AS221" s="47">
        <v>4</v>
      </c>
      <c r="AT221" s="47">
        <v>2751.14</v>
      </c>
      <c r="AU221" s="49">
        <v>20</v>
      </c>
    </row>
    <row r="222" spans="1:47" x14ac:dyDescent="0.3">
      <c r="A222" s="1">
        <v>10275</v>
      </c>
      <c r="B222" s="47">
        <v>1806</v>
      </c>
      <c r="C222" s="48">
        <v>44947</v>
      </c>
      <c r="D222" s="48">
        <v>44951</v>
      </c>
      <c r="E222" s="47" t="s">
        <v>15</v>
      </c>
      <c r="F222" s="47" t="s">
        <v>53</v>
      </c>
      <c r="G222" s="47" t="s">
        <v>23</v>
      </c>
      <c r="H222" s="47" t="s">
        <v>24</v>
      </c>
      <c r="I222" s="47" t="s">
        <v>51</v>
      </c>
      <c r="J222" s="47" t="s">
        <v>63</v>
      </c>
      <c r="K222" s="47" t="s">
        <v>32</v>
      </c>
      <c r="L222" s="47">
        <v>7</v>
      </c>
      <c r="M222" s="47">
        <v>509.1</v>
      </c>
      <c r="N222" s="49">
        <v>15</v>
      </c>
      <c r="O222" s="4"/>
      <c r="P222" s="4"/>
      <c r="Q222" s="4"/>
      <c r="R222" s="4"/>
      <c r="AH222" s="1">
        <v>10489</v>
      </c>
      <c r="AI222" s="47">
        <v>1980</v>
      </c>
      <c r="AJ222" s="48">
        <v>45178</v>
      </c>
      <c r="AK222" s="48">
        <v>45187</v>
      </c>
      <c r="AL222" s="47" t="s">
        <v>33</v>
      </c>
      <c r="AM222" s="47" t="s">
        <v>22</v>
      </c>
      <c r="AN222" s="47" t="s">
        <v>23</v>
      </c>
      <c r="AO222" s="47" t="s">
        <v>17</v>
      </c>
      <c r="AP222" s="47" t="s">
        <v>56</v>
      </c>
      <c r="AQ222" s="47" t="s">
        <v>61</v>
      </c>
      <c r="AR222" s="47" t="s">
        <v>32</v>
      </c>
      <c r="AS222" s="47">
        <v>8</v>
      </c>
      <c r="AT222" s="47">
        <v>2536.88</v>
      </c>
      <c r="AU222" s="49">
        <v>5</v>
      </c>
    </row>
    <row r="223" spans="1:47" x14ac:dyDescent="0.3">
      <c r="A223" s="1">
        <v>10277</v>
      </c>
      <c r="B223" s="47">
        <v>1386</v>
      </c>
      <c r="C223" s="48">
        <v>44995</v>
      </c>
      <c r="D223" s="48">
        <v>45001</v>
      </c>
      <c r="E223" s="47" t="s">
        <v>39</v>
      </c>
      <c r="F223" s="47" t="s">
        <v>40</v>
      </c>
      <c r="G223" s="47" t="s">
        <v>29</v>
      </c>
      <c r="H223" s="47" t="s">
        <v>17</v>
      </c>
      <c r="I223" s="47" t="s">
        <v>25</v>
      </c>
      <c r="J223" s="47" t="s">
        <v>67</v>
      </c>
      <c r="K223" s="47" t="s">
        <v>44</v>
      </c>
      <c r="L223" s="47">
        <v>9</v>
      </c>
      <c r="M223" s="47">
        <v>670.06</v>
      </c>
      <c r="N223" s="49">
        <v>20</v>
      </c>
      <c r="O223" s="4"/>
      <c r="P223" s="4"/>
      <c r="Q223" s="4"/>
      <c r="R223" s="4"/>
      <c r="AH223" s="1">
        <v>10490</v>
      </c>
      <c r="AI223" s="47">
        <v>1927</v>
      </c>
      <c r="AJ223" s="48">
        <v>45259</v>
      </c>
      <c r="AK223" s="48">
        <v>45261</v>
      </c>
      <c r="AL223" s="47" t="s">
        <v>14</v>
      </c>
      <c r="AM223" s="47" t="s">
        <v>28</v>
      </c>
      <c r="AN223" s="47" t="s">
        <v>16</v>
      </c>
      <c r="AO223" s="47" t="s">
        <v>34</v>
      </c>
      <c r="AP223" s="47" t="s">
        <v>30</v>
      </c>
      <c r="AQ223" s="47" t="s">
        <v>31</v>
      </c>
      <c r="AR223" s="47" t="s">
        <v>44</v>
      </c>
      <c r="AS223" s="47">
        <v>7</v>
      </c>
      <c r="AT223" s="47">
        <v>2838.06</v>
      </c>
      <c r="AU223" s="49">
        <v>20</v>
      </c>
    </row>
    <row r="224" spans="1:47" x14ac:dyDescent="0.3">
      <c r="A224" s="1">
        <v>10280</v>
      </c>
      <c r="B224" s="47">
        <v>1624</v>
      </c>
      <c r="C224" s="48">
        <v>45144</v>
      </c>
      <c r="D224" s="48">
        <v>45149</v>
      </c>
      <c r="E224" s="47" t="s">
        <v>45</v>
      </c>
      <c r="F224" s="47" t="s">
        <v>40</v>
      </c>
      <c r="G224" s="47" t="s">
        <v>23</v>
      </c>
      <c r="H224" s="47" t="s">
        <v>17</v>
      </c>
      <c r="I224" s="47" t="s">
        <v>48</v>
      </c>
      <c r="J224" s="47" t="s">
        <v>66</v>
      </c>
      <c r="K224" s="47" t="s">
        <v>32</v>
      </c>
      <c r="L224" s="47">
        <v>8</v>
      </c>
      <c r="M224" s="47">
        <v>3784.12</v>
      </c>
      <c r="N224" s="49">
        <v>15</v>
      </c>
      <c r="O224" s="4"/>
      <c r="P224" s="4"/>
      <c r="Q224" s="4"/>
      <c r="R224" s="4"/>
      <c r="AH224" s="1">
        <v>10493</v>
      </c>
      <c r="AI224" s="47">
        <v>1255</v>
      </c>
      <c r="AJ224" s="48">
        <v>45041</v>
      </c>
      <c r="AK224" s="48">
        <v>45043</v>
      </c>
      <c r="AL224" s="47" t="s">
        <v>39</v>
      </c>
      <c r="AM224" s="47" t="s">
        <v>15</v>
      </c>
      <c r="AN224" s="47" t="s">
        <v>23</v>
      </c>
      <c r="AO224" s="47" t="s">
        <v>43</v>
      </c>
      <c r="AP224" s="47" t="s">
        <v>48</v>
      </c>
      <c r="AQ224" s="47" t="s">
        <v>66</v>
      </c>
      <c r="AR224" s="47" t="s">
        <v>27</v>
      </c>
      <c r="AS224" s="47">
        <v>7</v>
      </c>
      <c r="AT224" s="47">
        <v>1550.03</v>
      </c>
      <c r="AU224" s="49">
        <v>10</v>
      </c>
    </row>
    <row r="225" spans="1:47" x14ac:dyDescent="0.3">
      <c r="A225" s="1">
        <v>10281</v>
      </c>
      <c r="B225" s="47">
        <v>1951</v>
      </c>
      <c r="C225" s="48">
        <v>45231</v>
      </c>
      <c r="D225" s="48">
        <v>45240</v>
      </c>
      <c r="E225" s="47" t="s">
        <v>45</v>
      </c>
      <c r="F225" s="47" t="s">
        <v>53</v>
      </c>
      <c r="G225" s="47" t="s">
        <v>29</v>
      </c>
      <c r="H225" s="47" t="s">
        <v>43</v>
      </c>
      <c r="I225" s="47" t="s">
        <v>25</v>
      </c>
      <c r="J225" s="47" t="s">
        <v>67</v>
      </c>
      <c r="K225" s="47" t="s">
        <v>20</v>
      </c>
      <c r="L225" s="47">
        <v>5</v>
      </c>
      <c r="M225" s="47">
        <v>3098.44</v>
      </c>
      <c r="N225" s="49">
        <v>0</v>
      </c>
      <c r="O225" s="4"/>
      <c r="P225" s="4"/>
      <c r="Q225" s="4"/>
      <c r="R225" s="4"/>
      <c r="AH225" s="1">
        <v>10498</v>
      </c>
      <c r="AI225" s="47">
        <v>1734</v>
      </c>
      <c r="AJ225" s="48">
        <v>45017</v>
      </c>
      <c r="AK225" s="48">
        <v>45025</v>
      </c>
      <c r="AL225" s="47" t="s">
        <v>45</v>
      </c>
      <c r="AM225" s="47" t="s">
        <v>15</v>
      </c>
      <c r="AN225" s="47" t="s">
        <v>29</v>
      </c>
      <c r="AO225" s="47" t="s">
        <v>17</v>
      </c>
      <c r="AP225" s="47" t="s">
        <v>25</v>
      </c>
      <c r="AQ225" s="47" t="s">
        <v>35</v>
      </c>
      <c r="AR225" s="47" t="s">
        <v>27</v>
      </c>
      <c r="AS225" s="47">
        <v>9</v>
      </c>
      <c r="AT225" s="47">
        <v>2190.39</v>
      </c>
      <c r="AU225" s="49">
        <v>20</v>
      </c>
    </row>
    <row r="226" spans="1:47" x14ac:dyDescent="0.3">
      <c r="A226" s="1">
        <v>10286</v>
      </c>
      <c r="B226" s="47">
        <v>1641</v>
      </c>
      <c r="C226" s="48">
        <v>45043</v>
      </c>
      <c r="D226" s="48">
        <v>45050</v>
      </c>
      <c r="E226" s="47" t="s">
        <v>14</v>
      </c>
      <c r="F226" s="47" t="s">
        <v>28</v>
      </c>
      <c r="G226" s="47" t="s">
        <v>16</v>
      </c>
      <c r="H226" s="47" t="s">
        <v>43</v>
      </c>
      <c r="I226" s="47" t="s">
        <v>56</v>
      </c>
      <c r="J226" s="47" t="s">
        <v>57</v>
      </c>
      <c r="K226" s="47" t="s">
        <v>27</v>
      </c>
      <c r="L226" s="47">
        <v>6</v>
      </c>
      <c r="M226" s="47">
        <v>220.79</v>
      </c>
      <c r="N226" s="49">
        <v>5</v>
      </c>
      <c r="O226" s="4"/>
      <c r="P226" s="4"/>
      <c r="Q226" s="4"/>
      <c r="R226" s="4"/>
      <c r="AH226" s="1">
        <v>10500</v>
      </c>
      <c r="AI226" s="47">
        <v>1569</v>
      </c>
      <c r="AJ226" s="48">
        <v>44972</v>
      </c>
      <c r="AK226" s="48">
        <v>44977</v>
      </c>
      <c r="AL226" s="47" t="s">
        <v>14</v>
      </c>
      <c r="AM226" s="47" t="s">
        <v>15</v>
      </c>
      <c r="AN226" s="47" t="s">
        <v>29</v>
      </c>
      <c r="AO226" s="47" t="s">
        <v>41</v>
      </c>
      <c r="AP226" s="47" t="s">
        <v>30</v>
      </c>
      <c r="AQ226" s="47" t="s">
        <v>64</v>
      </c>
      <c r="AR226" s="47" t="s">
        <v>32</v>
      </c>
      <c r="AS226" s="47">
        <v>1</v>
      </c>
      <c r="AT226" s="47">
        <v>2432.17</v>
      </c>
      <c r="AU226" s="49">
        <v>20</v>
      </c>
    </row>
    <row r="227" spans="1:47" x14ac:dyDescent="0.3">
      <c r="A227" s="1">
        <v>10287</v>
      </c>
      <c r="B227" s="47">
        <v>1219</v>
      </c>
      <c r="C227" s="48">
        <v>45122</v>
      </c>
      <c r="D227" s="48">
        <v>45125</v>
      </c>
      <c r="E227" s="47" t="s">
        <v>21</v>
      </c>
      <c r="F227" s="47" t="s">
        <v>37</v>
      </c>
      <c r="G227" s="47" t="s">
        <v>23</v>
      </c>
      <c r="H227" s="47" t="s">
        <v>17</v>
      </c>
      <c r="I227" s="47" t="s">
        <v>56</v>
      </c>
      <c r="J227" s="47" t="s">
        <v>65</v>
      </c>
      <c r="K227" s="47" t="s">
        <v>20</v>
      </c>
      <c r="L227" s="47">
        <v>6</v>
      </c>
      <c r="M227" s="47">
        <v>1936.66</v>
      </c>
      <c r="N227" s="49">
        <v>0</v>
      </c>
      <c r="O227" s="4"/>
      <c r="P227" s="4"/>
      <c r="Q227" s="4"/>
      <c r="R227" s="4"/>
      <c r="AH227" s="19">
        <v>10001</v>
      </c>
      <c r="AI227" s="19">
        <v>1102</v>
      </c>
      <c r="AJ227" s="20">
        <v>45197</v>
      </c>
      <c r="AK227" s="20">
        <v>45203</v>
      </c>
      <c r="AL227" s="19" t="s">
        <v>14</v>
      </c>
      <c r="AM227" s="19" t="s">
        <v>15</v>
      </c>
      <c r="AN227" s="19" t="s">
        <v>16</v>
      </c>
      <c r="AO227" s="19" t="s">
        <v>17</v>
      </c>
      <c r="AP227" s="19" t="s">
        <v>18</v>
      </c>
      <c r="AQ227" s="19" t="s">
        <v>19</v>
      </c>
      <c r="AR227" s="19" t="s">
        <v>20</v>
      </c>
      <c r="AS227" s="19">
        <v>7</v>
      </c>
      <c r="AT227" s="19">
        <v>2843.87</v>
      </c>
      <c r="AU227" s="21">
        <v>0</v>
      </c>
    </row>
    <row r="228" spans="1:47" x14ac:dyDescent="0.3">
      <c r="A228" s="1">
        <v>10289</v>
      </c>
      <c r="B228" s="47">
        <v>1854</v>
      </c>
      <c r="C228" s="48">
        <v>45012</v>
      </c>
      <c r="D228" s="48">
        <v>45014</v>
      </c>
      <c r="E228" s="47" t="s">
        <v>36</v>
      </c>
      <c r="F228" s="47" t="s">
        <v>53</v>
      </c>
      <c r="G228" s="47" t="s">
        <v>16</v>
      </c>
      <c r="H228" s="47" t="s">
        <v>24</v>
      </c>
      <c r="I228" s="47" t="s">
        <v>56</v>
      </c>
      <c r="J228" s="47" t="s">
        <v>57</v>
      </c>
      <c r="K228" s="47" t="s">
        <v>20</v>
      </c>
      <c r="L228" s="47">
        <v>7</v>
      </c>
      <c r="M228" s="47">
        <v>1396.71</v>
      </c>
      <c r="N228" s="49">
        <v>20</v>
      </c>
      <c r="O228" s="4"/>
      <c r="P228" s="4"/>
      <c r="Q228" s="4"/>
      <c r="R228" s="4"/>
      <c r="AH228" s="19">
        <v>10002</v>
      </c>
      <c r="AI228" s="19">
        <v>1435</v>
      </c>
      <c r="AJ228" s="20">
        <v>45199</v>
      </c>
      <c r="AK228" s="20">
        <v>45203</v>
      </c>
      <c r="AL228" s="19" t="s">
        <v>21</v>
      </c>
      <c r="AM228" s="19" t="s">
        <v>22</v>
      </c>
      <c r="AN228" s="19" t="s">
        <v>23</v>
      </c>
      <c r="AO228" s="19" t="s">
        <v>24</v>
      </c>
      <c r="AP228" s="19" t="s">
        <v>25</v>
      </c>
      <c r="AQ228" s="19" t="s">
        <v>26</v>
      </c>
      <c r="AR228" s="19" t="s">
        <v>27</v>
      </c>
      <c r="AS228" s="19">
        <v>9</v>
      </c>
      <c r="AT228" s="19">
        <v>2525.23</v>
      </c>
      <c r="AU228" s="21">
        <v>5</v>
      </c>
    </row>
    <row r="229" spans="1:47" x14ac:dyDescent="0.3">
      <c r="A229" s="1">
        <v>10290</v>
      </c>
      <c r="B229" s="47">
        <v>1996</v>
      </c>
      <c r="C229" s="48">
        <v>45215</v>
      </c>
      <c r="D229" s="48">
        <v>45218</v>
      </c>
      <c r="E229" s="47" t="s">
        <v>36</v>
      </c>
      <c r="F229" s="47" t="s">
        <v>40</v>
      </c>
      <c r="G229" s="47" t="s">
        <v>29</v>
      </c>
      <c r="H229" s="47" t="s">
        <v>17</v>
      </c>
      <c r="I229" s="47" t="s">
        <v>18</v>
      </c>
      <c r="J229" s="47" t="s">
        <v>19</v>
      </c>
      <c r="K229" s="47" t="s">
        <v>27</v>
      </c>
      <c r="L229" s="47">
        <v>8</v>
      </c>
      <c r="M229" s="47">
        <v>2695.39</v>
      </c>
      <c r="N229" s="49">
        <v>10</v>
      </c>
      <c r="O229" s="4"/>
      <c r="P229" s="4"/>
      <c r="Q229" s="4"/>
      <c r="R229" s="4"/>
      <c r="AH229" s="19">
        <v>10003</v>
      </c>
      <c r="AI229" s="19">
        <v>1860</v>
      </c>
      <c r="AJ229" s="20">
        <v>45109</v>
      </c>
      <c r="AK229" s="20">
        <v>45114</v>
      </c>
      <c r="AL229" s="19" t="s">
        <v>14</v>
      </c>
      <c r="AM229" s="19" t="s">
        <v>28</v>
      </c>
      <c r="AN229" s="19" t="s">
        <v>29</v>
      </c>
      <c r="AO229" s="19" t="s">
        <v>24</v>
      </c>
      <c r="AP229" s="19" t="s">
        <v>30</v>
      </c>
      <c r="AQ229" s="19" t="s">
        <v>31</v>
      </c>
      <c r="AR229" s="19" t="s">
        <v>32</v>
      </c>
      <c r="AS229" s="19">
        <v>6</v>
      </c>
      <c r="AT229" s="19">
        <v>3474.34</v>
      </c>
      <c r="AU229" s="21">
        <v>15</v>
      </c>
    </row>
    <row r="230" spans="1:47" x14ac:dyDescent="0.3">
      <c r="A230" s="1">
        <v>10291</v>
      </c>
      <c r="B230" s="47">
        <v>1735</v>
      </c>
      <c r="C230" s="48">
        <v>45007</v>
      </c>
      <c r="D230" s="48">
        <v>45008</v>
      </c>
      <c r="E230" s="47" t="s">
        <v>14</v>
      </c>
      <c r="F230" s="47" t="s">
        <v>53</v>
      </c>
      <c r="G230" s="47" t="s">
        <v>23</v>
      </c>
      <c r="H230" s="47" t="s">
        <v>24</v>
      </c>
      <c r="I230" s="47" t="s">
        <v>51</v>
      </c>
      <c r="J230" s="47" t="s">
        <v>52</v>
      </c>
      <c r="K230" s="47" t="s">
        <v>32</v>
      </c>
      <c r="L230" s="47">
        <v>9</v>
      </c>
      <c r="M230" s="47">
        <v>2661.11</v>
      </c>
      <c r="N230" s="49">
        <v>10</v>
      </c>
      <c r="O230" s="4"/>
      <c r="P230" s="4"/>
      <c r="Q230" s="4"/>
      <c r="R230" s="4"/>
      <c r="AH230" s="19">
        <v>10005</v>
      </c>
      <c r="AI230" s="19">
        <v>1106</v>
      </c>
      <c r="AJ230" s="20">
        <v>45241</v>
      </c>
      <c r="AK230" s="20">
        <v>45244</v>
      </c>
      <c r="AL230" s="19" t="s">
        <v>36</v>
      </c>
      <c r="AM230" s="19" t="s">
        <v>37</v>
      </c>
      <c r="AN230" s="19" t="s">
        <v>29</v>
      </c>
      <c r="AO230" s="19" t="s">
        <v>17</v>
      </c>
      <c r="AP230" s="19" t="s">
        <v>30</v>
      </c>
      <c r="AQ230" s="19" t="s">
        <v>38</v>
      </c>
      <c r="AR230" s="19" t="s">
        <v>20</v>
      </c>
      <c r="AS230" s="19">
        <v>7</v>
      </c>
      <c r="AT230" s="19">
        <v>3511.47</v>
      </c>
      <c r="AU230" s="21">
        <v>20</v>
      </c>
    </row>
    <row r="231" spans="1:47" x14ac:dyDescent="0.3">
      <c r="A231" s="1">
        <v>10294</v>
      </c>
      <c r="B231" s="47">
        <v>1402</v>
      </c>
      <c r="C231" s="48">
        <v>44987</v>
      </c>
      <c r="D231" s="48">
        <v>44994</v>
      </c>
      <c r="E231" s="47" t="s">
        <v>21</v>
      </c>
      <c r="F231" s="47" t="s">
        <v>15</v>
      </c>
      <c r="G231" s="47" t="s">
        <v>23</v>
      </c>
      <c r="H231" s="47" t="s">
        <v>34</v>
      </c>
      <c r="I231" s="47" t="s">
        <v>18</v>
      </c>
      <c r="J231" s="47" t="s">
        <v>42</v>
      </c>
      <c r="K231" s="47" t="s">
        <v>44</v>
      </c>
      <c r="L231" s="47">
        <v>3</v>
      </c>
      <c r="M231" s="47">
        <v>967.49</v>
      </c>
      <c r="N231" s="49">
        <v>0</v>
      </c>
      <c r="O231" s="4"/>
      <c r="P231" s="4"/>
      <c r="Q231" s="4"/>
      <c r="R231" s="4"/>
      <c r="AH231" s="19">
        <v>10006</v>
      </c>
      <c r="AI231" s="19">
        <v>1071</v>
      </c>
      <c r="AJ231" s="20">
        <v>45260</v>
      </c>
      <c r="AK231" s="20">
        <v>45263</v>
      </c>
      <c r="AL231" s="19" t="s">
        <v>39</v>
      </c>
      <c r="AM231" s="19" t="s">
        <v>40</v>
      </c>
      <c r="AN231" s="19" t="s">
        <v>23</v>
      </c>
      <c r="AO231" s="19" t="s">
        <v>41</v>
      </c>
      <c r="AP231" s="19" t="s">
        <v>18</v>
      </c>
      <c r="AQ231" s="19" t="s">
        <v>42</v>
      </c>
      <c r="AR231" s="19" t="s">
        <v>32</v>
      </c>
      <c r="AS231" s="19">
        <v>3</v>
      </c>
      <c r="AT231" s="19">
        <v>3189.55</v>
      </c>
      <c r="AU231" s="21">
        <v>10</v>
      </c>
    </row>
    <row r="232" spans="1:47" x14ac:dyDescent="0.3">
      <c r="A232" s="1">
        <v>10295</v>
      </c>
      <c r="B232" s="47">
        <v>1637</v>
      </c>
      <c r="C232" s="48">
        <v>45280</v>
      </c>
      <c r="D232" s="48">
        <v>45284</v>
      </c>
      <c r="E232" s="47" t="s">
        <v>33</v>
      </c>
      <c r="F232" s="47" t="s">
        <v>22</v>
      </c>
      <c r="G232" s="47" t="s">
        <v>23</v>
      </c>
      <c r="H232" s="47" t="s">
        <v>41</v>
      </c>
      <c r="I232" s="47" t="s">
        <v>30</v>
      </c>
      <c r="J232" s="47" t="s">
        <v>47</v>
      </c>
      <c r="K232" s="47" t="s">
        <v>32</v>
      </c>
      <c r="L232" s="47">
        <v>1</v>
      </c>
      <c r="M232" s="47">
        <v>619.73</v>
      </c>
      <c r="N232" s="49">
        <v>0</v>
      </c>
      <c r="O232" s="4"/>
      <c r="P232" s="4"/>
      <c r="Q232" s="4"/>
      <c r="R232" s="4"/>
      <c r="AH232" s="19">
        <v>10007</v>
      </c>
      <c r="AI232" s="19">
        <v>1700</v>
      </c>
      <c r="AJ232" s="20">
        <v>45050</v>
      </c>
      <c r="AK232" s="20">
        <v>45054</v>
      </c>
      <c r="AL232" s="19" t="s">
        <v>33</v>
      </c>
      <c r="AM232" s="19" t="s">
        <v>40</v>
      </c>
      <c r="AN232" s="19" t="s">
        <v>16</v>
      </c>
      <c r="AO232" s="19" t="s">
        <v>43</v>
      </c>
      <c r="AP232" s="19" t="s">
        <v>30</v>
      </c>
      <c r="AQ232" s="19" t="s">
        <v>31</v>
      </c>
      <c r="AR232" s="19" t="s">
        <v>44</v>
      </c>
      <c r="AS232" s="19">
        <v>5</v>
      </c>
      <c r="AT232" s="19">
        <v>3030.42</v>
      </c>
      <c r="AU232" s="21">
        <v>10</v>
      </c>
    </row>
    <row r="233" spans="1:47" x14ac:dyDescent="0.3">
      <c r="A233" s="1">
        <v>10296</v>
      </c>
      <c r="B233" s="47">
        <v>1129</v>
      </c>
      <c r="C233" s="48">
        <v>44954</v>
      </c>
      <c r="D233" s="48">
        <v>44957</v>
      </c>
      <c r="E233" s="47" t="s">
        <v>15</v>
      </c>
      <c r="F233" s="47" t="s">
        <v>15</v>
      </c>
      <c r="G233" s="47" t="s">
        <v>16</v>
      </c>
      <c r="H233" s="47" t="s">
        <v>34</v>
      </c>
      <c r="I233" s="47" t="s">
        <v>30</v>
      </c>
      <c r="J233" s="47" t="s">
        <v>47</v>
      </c>
      <c r="K233" s="47" t="s">
        <v>46</v>
      </c>
      <c r="L233" s="47">
        <v>5</v>
      </c>
      <c r="M233" s="47">
        <v>2850.33</v>
      </c>
      <c r="N233" s="49">
        <v>5</v>
      </c>
      <c r="O233" s="4"/>
      <c r="P233" s="4"/>
      <c r="Q233" s="4"/>
      <c r="R233" s="4"/>
      <c r="AH233" s="19">
        <v>10008</v>
      </c>
      <c r="AI233" s="19">
        <v>1020</v>
      </c>
      <c r="AJ233" s="20">
        <v>45040</v>
      </c>
      <c r="AK233" s="20">
        <v>45041</v>
      </c>
      <c r="AL233" s="19" t="s">
        <v>45</v>
      </c>
      <c r="AM233" s="19" t="s">
        <v>15</v>
      </c>
      <c r="AN233" s="19" t="s">
        <v>23</v>
      </c>
      <c r="AO233" s="19" t="s">
        <v>17</v>
      </c>
      <c r="AP233" s="19" t="s">
        <v>30</v>
      </c>
      <c r="AQ233" s="19" t="s">
        <v>31</v>
      </c>
      <c r="AR233" s="19" t="s">
        <v>46</v>
      </c>
      <c r="AS233" s="19">
        <v>4</v>
      </c>
      <c r="AT233" s="19">
        <v>2310.83</v>
      </c>
      <c r="AU233" s="21">
        <v>10</v>
      </c>
    </row>
    <row r="234" spans="1:47" x14ac:dyDescent="0.3">
      <c r="A234" s="1">
        <v>10302</v>
      </c>
      <c r="B234" s="47">
        <v>1415</v>
      </c>
      <c r="C234" s="48">
        <v>45024</v>
      </c>
      <c r="D234" s="48">
        <v>45027</v>
      </c>
      <c r="E234" s="47" t="s">
        <v>15</v>
      </c>
      <c r="F234" s="47" t="s">
        <v>28</v>
      </c>
      <c r="G234" s="47" t="s">
        <v>23</v>
      </c>
      <c r="H234" s="47" t="s">
        <v>17</v>
      </c>
      <c r="I234" s="47" t="s">
        <v>30</v>
      </c>
      <c r="J234" s="47" t="s">
        <v>64</v>
      </c>
      <c r="K234" s="47" t="s">
        <v>32</v>
      </c>
      <c r="L234" s="47">
        <v>7</v>
      </c>
      <c r="M234" s="47">
        <v>636.59</v>
      </c>
      <c r="N234" s="49">
        <v>5</v>
      </c>
      <c r="O234" s="4"/>
      <c r="P234" s="4"/>
      <c r="Q234" s="4"/>
      <c r="R234" s="4"/>
      <c r="AH234" s="19">
        <v>10010</v>
      </c>
      <c r="AI234" s="19">
        <v>1121</v>
      </c>
      <c r="AJ234" s="20">
        <v>45139</v>
      </c>
      <c r="AK234" s="20">
        <v>45147</v>
      </c>
      <c r="AL234" s="19" t="s">
        <v>33</v>
      </c>
      <c r="AM234" s="19" t="s">
        <v>37</v>
      </c>
      <c r="AN234" s="19" t="s">
        <v>23</v>
      </c>
      <c r="AO234" s="19" t="s">
        <v>34</v>
      </c>
      <c r="AP234" s="19" t="s">
        <v>48</v>
      </c>
      <c r="AQ234" s="19" t="s">
        <v>49</v>
      </c>
      <c r="AR234" s="19" t="s">
        <v>46</v>
      </c>
      <c r="AS234" s="19">
        <v>5</v>
      </c>
      <c r="AT234" s="19">
        <v>1780.66</v>
      </c>
      <c r="AU234" s="21">
        <v>20</v>
      </c>
    </row>
    <row r="235" spans="1:47" x14ac:dyDescent="0.3">
      <c r="A235" s="1">
        <v>10303</v>
      </c>
      <c r="B235" s="47">
        <v>1246</v>
      </c>
      <c r="C235" s="48">
        <v>45124</v>
      </c>
      <c r="D235" s="48">
        <v>45125</v>
      </c>
      <c r="E235" s="47" t="s">
        <v>36</v>
      </c>
      <c r="F235" s="47" t="s">
        <v>28</v>
      </c>
      <c r="G235" s="47" t="s">
        <v>16</v>
      </c>
      <c r="H235" s="47" t="s">
        <v>24</v>
      </c>
      <c r="I235" s="47" t="s">
        <v>56</v>
      </c>
      <c r="J235" s="47" t="s">
        <v>65</v>
      </c>
      <c r="K235" s="47" t="s">
        <v>20</v>
      </c>
      <c r="L235" s="47">
        <v>6</v>
      </c>
      <c r="M235" s="47">
        <v>257.2</v>
      </c>
      <c r="N235" s="49">
        <v>0</v>
      </c>
      <c r="O235" s="4"/>
      <c r="P235" s="4"/>
      <c r="Q235" s="4"/>
      <c r="R235" s="4"/>
      <c r="AH235" s="19">
        <v>10011</v>
      </c>
      <c r="AI235" s="19">
        <v>1466</v>
      </c>
      <c r="AJ235" s="20">
        <v>45098</v>
      </c>
      <c r="AK235" s="20">
        <v>45106</v>
      </c>
      <c r="AL235" s="19" t="s">
        <v>33</v>
      </c>
      <c r="AM235" s="19" t="s">
        <v>37</v>
      </c>
      <c r="AN235" s="19" t="s">
        <v>16</v>
      </c>
      <c r="AO235" s="19" t="s">
        <v>34</v>
      </c>
      <c r="AP235" s="19" t="s">
        <v>48</v>
      </c>
      <c r="AQ235" s="19" t="s">
        <v>49</v>
      </c>
      <c r="AR235" s="19" t="s">
        <v>32</v>
      </c>
      <c r="AS235" s="19">
        <v>6</v>
      </c>
      <c r="AT235" s="19">
        <v>3205.25</v>
      </c>
      <c r="AU235" s="21">
        <v>0</v>
      </c>
    </row>
    <row r="236" spans="1:47" x14ac:dyDescent="0.3">
      <c r="A236" s="1">
        <v>10304</v>
      </c>
      <c r="B236" s="47">
        <v>1835</v>
      </c>
      <c r="C236" s="48">
        <v>45024</v>
      </c>
      <c r="D236" s="48">
        <v>45027</v>
      </c>
      <c r="E236" s="47" t="s">
        <v>39</v>
      </c>
      <c r="F236" s="47" t="s">
        <v>22</v>
      </c>
      <c r="G236" s="47" t="s">
        <v>23</v>
      </c>
      <c r="H236" s="47" t="s">
        <v>24</v>
      </c>
      <c r="I236" s="47" t="s">
        <v>25</v>
      </c>
      <c r="J236" s="47" t="s">
        <v>60</v>
      </c>
      <c r="K236" s="47" t="s">
        <v>20</v>
      </c>
      <c r="L236" s="47">
        <v>4</v>
      </c>
      <c r="M236" s="47">
        <v>2547.52</v>
      </c>
      <c r="N236" s="49">
        <v>20</v>
      </c>
      <c r="O236" s="4"/>
      <c r="P236" s="4"/>
      <c r="Q236" s="4"/>
      <c r="R236" s="4"/>
      <c r="AH236" s="19">
        <v>10013</v>
      </c>
      <c r="AI236" s="19">
        <v>1330</v>
      </c>
      <c r="AJ236" s="20">
        <v>45100</v>
      </c>
      <c r="AK236" s="20">
        <v>45107</v>
      </c>
      <c r="AL236" s="19" t="s">
        <v>15</v>
      </c>
      <c r="AM236" s="19" t="s">
        <v>22</v>
      </c>
      <c r="AN236" s="19" t="s">
        <v>16</v>
      </c>
      <c r="AO236" s="19" t="s">
        <v>34</v>
      </c>
      <c r="AP236" s="19" t="s">
        <v>18</v>
      </c>
      <c r="AQ236" s="19" t="s">
        <v>42</v>
      </c>
      <c r="AR236" s="19" t="s">
        <v>20</v>
      </c>
      <c r="AS236" s="19">
        <v>8</v>
      </c>
      <c r="AT236" s="19">
        <v>3160.9</v>
      </c>
      <c r="AU236" s="21">
        <v>0</v>
      </c>
    </row>
    <row r="237" spans="1:47" x14ac:dyDescent="0.3">
      <c r="A237" s="1">
        <v>10305</v>
      </c>
      <c r="B237" s="47">
        <v>1438</v>
      </c>
      <c r="C237" s="48">
        <v>44991</v>
      </c>
      <c r="D237" s="48">
        <v>44993</v>
      </c>
      <c r="E237" s="47" t="s">
        <v>45</v>
      </c>
      <c r="F237" s="47" t="s">
        <v>40</v>
      </c>
      <c r="G237" s="47" t="s">
        <v>16</v>
      </c>
      <c r="H237" s="47" t="s">
        <v>34</v>
      </c>
      <c r="I237" s="47" t="s">
        <v>30</v>
      </c>
      <c r="J237" s="47" t="s">
        <v>47</v>
      </c>
      <c r="K237" s="47" t="s">
        <v>20</v>
      </c>
      <c r="L237" s="47">
        <v>2</v>
      </c>
      <c r="M237" s="47">
        <v>3256.02</v>
      </c>
      <c r="N237" s="49">
        <v>20</v>
      </c>
      <c r="O237" s="4"/>
      <c r="P237" s="4"/>
      <c r="Q237" s="4"/>
      <c r="R237" s="4"/>
    </row>
    <row r="238" spans="1:47" x14ac:dyDescent="0.3">
      <c r="A238" s="1">
        <v>10306</v>
      </c>
      <c r="B238" s="47">
        <v>1202</v>
      </c>
      <c r="C238" s="48">
        <v>45256</v>
      </c>
      <c r="D238" s="48">
        <v>45264</v>
      </c>
      <c r="E238" s="47" t="s">
        <v>45</v>
      </c>
      <c r="F238" s="47" t="s">
        <v>28</v>
      </c>
      <c r="G238" s="47" t="s">
        <v>29</v>
      </c>
      <c r="H238" s="47" t="s">
        <v>41</v>
      </c>
      <c r="I238" s="47" t="s">
        <v>56</v>
      </c>
      <c r="J238" s="47" t="s">
        <v>61</v>
      </c>
      <c r="K238" s="47" t="s">
        <v>27</v>
      </c>
      <c r="L238" s="47">
        <v>1</v>
      </c>
      <c r="M238" s="47">
        <v>3391.76</v>
      </c>
      <c r="N238" s="49">
        <v>20</v>
      </c>
      <c r="O238" s="4"/>
      <c r="P238" s="4"/>
      <c r="Q238" s="4"/>
      <c r="R238" s="4"/>
    </row>
    <row r="239" spans="1:47" x14ac:dyDescent="0.3">
      <c r="A239" s="1">
        <v>10307</v>
      </c>
      <c r="B239" s="47">
        <v>1183</v>
      </c>
      <c r="C239" s="48">
        <v>45267</v>
      </c>
      <c r="D239" s="48">
        <v>45273</v>
      </c>
      <c r="E239" s="47" t="s">
        <v>14</v>
      </c>
      <c r="F239" s="47" t="s">
        <v>15</v>
      </c>
      <c r="G239" s="47" t="s">
        <v>23</v>
      </c>
      <c r="H239" s="47" t="s">
        <v>41</v>
      </c>
      <c r="I239" s="47" t="s">
        <v>56</v>
      </c>
      <c r="J239" s="47" t="s">
        <v>57</v>
      </c>
      <c r="K239" s="47" t="s">
        <v>27</v>
      </c>
      <c r="L239" s="47">
        <v>4</v>
      </c>
      <c r="M239" s="47">
        <v>2008.45</v>
      </c>
      <c r="N239" s="49">
        <v>5</v>
      </c>
      <c r="O239" s="4"/>
      <c r="P239" s="4"/>
      <c r="Q239" s="4"/>
      <c r="R239" s="4"/>
    </row>
    <row r="240" spans="1:47" x14ac:dyDescent="0.3">
      <c r="A240" s="1">
        <v>10308</v>
      </c>
      <c r="B240" s="47">
        <v>1122</v>
      </c>
      <c r="C240" s="48">
        <v>44931</v>
      </c>
      <c r="D240" s="48">
        <v>44940</v>
      </c>
      <c r="E240" s="47" t="s">
        <v>36</v>
      </c>
      <c r="F240" s="47" t="s">
        <v>22</v>
      </c>
      <c r="G240" s="47" t="s">
        <v>29</v>
      </c>
      <c r="H240" s="47" t="s">
        <v>24</v>
      </c>
      <c r="I240" s="47" t="s">
        <v>51</v>
      </c>
      <c r="J240" s="47" t="s">
        <v>52</v>
      </c>
      <c r="K240" s="47" t="s">
        <v>44</v>
      </c>
      <c r="L240" s="47">
        <v>4</v>
      </c>
      <c r="M240" s="47">
        <v>3143.2</v>
      </c>
      <c r="N240" s="49">
        <v>0</v>
      </c>
      <c r="O240" s="4"/>
      <c r="P240" s="4"/>
      <c r="Q240" s="4"/>
      <c r="R240" s="4"/>
    </row>
    <row r="241" spans="1:18" x14ac:dyDescent="0.3">
      <c r="A241" s="1">
        <v>10309</v>
      </c>
      <c r="B241" s="47">
        <v>1400</v>
      </c>
      <c r="C241" s="48">
        <v>44928</v>
      </c>
      <c r="D241" s="48">
        <v>44936</v>
      </c>
      <c r="E241" s="47" t="s">
        <v>33</v>
      </c>
      <c r="F241" s="47" t="s">
        <v>28</v>
      </c>
      <c r="G241" s="47" t="s">
        <v>29</v>
      </c>
      <c r="H241" s="47" t="s">
        <v>43</v>
      </c>
      <c r="I241" s="47" t="s">
        <v>48</v>
      </c>
      <c r="J241" s="47" t="s">
        <v>50</v>
      </c>
      <c r="K241" s="47" t="s">
        <v>46</v>
      </c>
      <c r="L241" s="47">
        <v>1</v>
      </c>
      <c r="M241" s="47">
        <v>2740.46</v>
      </c>
      <c r="N241" s="49">
        <v>10</v>
      </c>
      <c r="O241" s="4"/>
      <c r="P241" s="4"/>
      <c r="Q241" s="4"/>
      <c r="R241" s="4"/>
    </row>
    <row r="242" spans="1:18" x14ac:dyDescent="0.3">
      <c r="A242" s="1">
        <v>10311</v>
      </c>
      <c r="B242" s="47">
        <v>1293</v>
      </c>
      <c r="C242" s="48">
        <v>45038</v>
      </c>
      <c r="D242" s="48">
        <v>45043</v>
      </c>
      <c r="E242" s="47" t="s">
        <v>45</v>
      </c>
      <c r="F242" s="47" t="s">
        <v>22</v>
      </c>
      <c r="G242" s="47" t="s">
        <v>23</v>
      </c>
      <c r="H242" s="47" t="s">
        <v>17</v>
      </c>
      <c r="I242" s="47" t="s">
        <v>18</v>
      </c>
      <c r="J242" s="47" t="s">
        <v>42</v>
      </c>
      <c r="K242" s="47" t="s">
        <v>32</v>
      </c>
      <c r="L242" s="47">
        <v>4</v>
      </c>
      <c r="M242" s="47">
        <v>2046.51</v>
      </c>
      <c r="N242" s="49">
        <v>5</v>
      </c>
      <c r="O242" s="4"/>
      <c r="P242" s="4"/>
      <c r="Q242" s="4"/>
      <c r="R242" s="4"/>
    </row>
    <row r="243" spans="1:18" x14ac:dyDescent="0.3">
      <c r="A243" s="1">
        <v>10312</v>
      </c>
      <c r="B243" s="47">
        <v>1279</v>
      </c>
      <c r="C243" s="48">
        <v>44983</v>
      </c>
      <c r="D243" s="48">
        <v>44990</v>
      </c>
      <c r="E243" s="47" t="s">
        <v>45</v>
      </c>
      <c r="F243" s="47" t="s">
        <v>37</v>
      </c>
      <c r="G243" s="47" t="s">
        <v>29</v>
      </c>
      <c r="H243" s="47" t="s">
        <v>17</v>
      </c>
      <c r="I243" s="47" t="s">
        <v>51</v>
      </c>
      <c r="J243" s="47" t="s">
        <v>55</v>
      </c>
      <c r="K243" s="47" t="s">
        <v>32</v>
      </c>
      <c r="L243" s="47">
        <v>1</v>
      </c>
      <c r="M243" s="47">
        <v>2588.64</v>
      </c>
      <c r="N243" s="49">
        <v>0</v>
      </c>
      <c r="O243" s="4"/>
      <c r="P243" s="4"/>
      <c r="Q243" s="4"/>
      <c r="R243" s="4"/>
    </row>
    <row r="244" spans="1:18" x14ac:dyDescent="0.3">
      <c r="A244" s="1">
        <v>10313</v>
      </c>
      <c r="B244" s="47">
        <v>1836</v>
      </c>
      <c r="C244" s="48">
        <v>44992</v>
      </c>
      <c r="D244" s="48">
        <v>44997</v>
      </c>
      <c r="E244" s="47" t="s">
        <v>39</v>
      </c>
      <c r="F244" s="47" t="s">
        <v>40</v>
      </c>
      <c r="G244" s="47" t="s">
        <v>16</v>
      </c>
      <c r="H244" s="47" t="s">
        <v>34</v>
      </c>
      <c r="I244" s="47" t="s">
        <v>56</v>
      </c>
      <c r="J244" s="47" t="s">
        <v>61</v>
      </c>
      <c r="K244" s="47" t="s">
        <v>44</v>
      </c>
      <c r="L244" s="47">
        <v>1</v>
      </c>
      <c r="M244" s="47">
        <v>3251.27</v>
      </c>
      <c r="N244" s="49">
        <v>15</v>
      </c>
      <c r="O244" s="4"/>
      <c r="P244" s="4"/>
      <c r="Q244" s="4"/>
      <c r="R244" s="4"/>
    </row>
    <row r="245" spans="1:18" x14ac:dyDescent="0.3">
      <c r="A245" s="1">
        <v>10314</v>
      </c>
      <c r="B245" s="47">
        <v>1883</v>
      </c>
      <c r="C245" s="48">
        <v>45256</v>
      </c>
      <c r="D245" s="48">
        <v>45264</v>
      </c>
      <c r="E245" s="47" t="s">
        <v>36</v>
      </c>
      <c r="F245" s="47" t="s">
        <v>15</v>
      </c>
      <c r="G245" s="47" t="s">
        <v>23</v>
      </c>
      <c r="H245" s="47" t="s">
        <v>24</v>
      </c>
      <c r="I245" s="47" t="s">
        <v>25</v>
      </c>
      <c r="J245" s="47" t="s">
        <v>67</v>
      </c>
      <c r="K245" s="47" t="s">
        <v>27</v>
      </c>
      <c r="L245" s="47">
        <v>1</v>
      </c>
      <c r="M245" s="47">
        <v>1681.85</v>
      </c>
      <c r="N245" s="49">
        <v>5</v>
      </c>
      <c r="O245" s="4"/>
      <c r="P245" s="4"/>
      <c r="Q245" s="4"/>
      <c r="R245" s="4"/>
    </row>
    <row r="246" spans="1:18" x14ac:dyDescent="0.3">
      <c r="A246" s="1">
        <v>10315</v>
      </c>
      <c r="B246" s="47">
        <v>1609</v>
      </c>
      <c r="C246" s="48">
        <v>45024</v>
      </c>
      <c r="D246" s="48">
        <v>45029</v>
      </c>
      <c r="E246" s="47" t="s">
        <v>36</v>
      </c>
      <c r="F246" s="47" t="s">
        <v>28</v>
      </c>
      <c r="G246" s="47" t="s">
        <v>23</v>
      </c>
      <c r="H246" s="47" t="s">
        <v>17</v>
      </c>
      <c r="I246" s="47" t="s">
        <v>48</v>
      </c>
      <c r="J246" s="47" t="s">
        <v>49</v>
      </c>
      <c r="K246" s="47" t="s">
        <v>44</v>
      </c>
      <c r="L246" s="47">
        <v>8</v>
      </c>
      <c r="M246" s="47">
        <v>3253.02</v>
      </c>
      <c r="N246" s="49">
        <v>15</v>
      </c>
      <c r="O246" s="4"/>
      <c r="P246" s="4"/>
      <c r="Q246" s="4"/>
      <c r="R246" s="4"/>
    </row>
    <row r="247" spans="1:18" x14ac:dyDescent="0.3">
      <c r="A247" s="1">
        <v>10316</v>
      </c>
      <c r="B247" s="47">
        <v>1197</v>
      </c>
      <c r="C247" s="48">
        <v>45070</v>
      </c>
      <c r="D247" s="48">
        <v>45071</v>
      </c>
      <c r="E247" s="47" t="s">
        <v>45</v>
      </c>
      <c r="F247" s="47" t="s">
        <v>37</v>
      </c>
      <c r="G247" s="47" t="s">
        <v>29</v>
      </c>
      <c r="H247" s="47" t="s">
        <v>17</v>
      </c>
      <c r="I247" s="47" t="s">
        <v>56</v>
      </c>
      <c r="J247" s="47" t="s">
        <v>57</v>
      </c>
      <c r="K247" s="47" t="s">
        <v>32</v>
      </c>
      <c r="L247" s="47">
        <v>8</v>
      </c>
      <c r="M247" s="47">
        <v>2429.2600000000002</v>
      </c>
      <c r="N247" s="49">
        <v>15</v>
      </c>
      <c r="O247" s="4"/>
      <c r="P247" s="4"/>
      <c r="Q247" s="4"/>
      <c r="R247" s="4"/>
    </row>
    <row r="248" spans="1:18" x14ac:dyDescent="0.3">
      <c r="A248" s="1">
        <v>10317</v>
      </c>
      <c r="B248" s="47">
        <v>1981</v>
      </c>
      <c r="C248" s="48">
        <v>45051</v>
      </c>
      <c r="D248" s="48">
        <v>45056</v>
      </c>
      <c r="E248" s="47" t="s">
        <v>33</v>
      </c>
      <c r="F248" s="47" t="s">
        <v>37</v>
      </c>
      <c r="G248" s="47" t="s">
        <v>23</v>
      </c>
      <c r="H248" s="47" t="s">
        <v>24</v>
      </c>
      <c r="I248" s="47" t="s">
        <v>48</v>
      </c>
      <c r="J248" s="47" t="s">
        <v>62</v>
      </c>
      <c r="K248" s="47" t="s">
        <v>46</v>
      </c>
      <c r="L248" s="47">
        <v>2</v>
      </c>
      <c r="M248" s="47">
        <v>788.72</v>
      </c>
      <c r="N248" s="49">
        <v>20</v>
      </c>
      <c r="O248" s="4"/>
      <c r="P248" s="4"/>
      <c r="Q248" s="4"/>
      <c r="R248" s="4"/>
    </row>
    <row r="249" spans="1:18" x14ac:dyDescent="0.3">
      <c r="A249" s="1">
        <v>10318</v>
      </c>
      <c r="B249" s="47">
        <v>1906</v>
      </c>
      <c r="C249" s="48">
        <v>45093</v>
      </c>
      <c r="D249" s="48">
        <v>45097</v>
      </c>
      <c r="E249" s="47" t="s">
        <v>14</v>
      </c>
      <c r="F249" s="47" t="s">
        <v>22</v>
      </c>
      <c r="G249" s="47" t="s">
        <v>29</v>
      </c>
      <c r="H249" s="47" t="s">
        <v>34</v>
      </c>
      <c r="I249" s="47" t="s">
        <v>48</v>
      </c>
      <c r="J249" s="47" t="s">
        <v>66</v>
      </c>
      <c r="K249" s="47" t="s">
        <v>20</v>
      </c>
      <c r="L249" s="47">
        <v>7</v>
      </c>
      <c r="M249" s="47">
        <v>245.03</v>
      </c>
      <c r="N249" s="49">
        <v>0</v>
      </c>
      <c r="O249" s="4"/>
      <c r="P249" s="4"/>
      <c r="Q249" s="4"/>
      <c r="R249" s="4"/>
    </row>
    <row r="250" spans="1:18" x14ac:dyDescent="0.3">
      <c r="A250" s="1">
        <v>10320</v>
      </c>
      <c r="B250" s="47">
        <v>1751</v>
      </c>
      <c r="C250" s="48">
        <v>45002</v>
      </c>
      <c r="D250" s="48">
        <v>45005</v>
      </c>
      <c r="E250" s="47" t="s">
        <v>14</v>
      </c>
      <c r="F250" s="47" t="s">
        <v>15</v>
      </c>
      <c r="G250" s="47" t="s">
        <v>16</v>
      </c>
      <c r="H250" s="47" t="s">
        <v>34</v>
      </c>
      <c r="I250" s="47" t="s">
        <v>25</v>
      </c>
      <c r="J250" s="47" t="s">
        <v>35</v>
      </c>
      <c r="K250" s="47" t="s">
        <v>27</v>
      </c>
      <c r="L250" s="47">
        <v>8</v>
      </c>
      <c r="M250" s="47">
        <v>2254.7800000000002</v>
      </c>
      <c r="N250" s="49">
        <v>0</v>
      </c>
      <c r="O250" s="4"/>
      <c r="P250" s="4"/>
      <c r="Q250" s="4"/>
      <c r="R250" s="4"/>
    </row>
    <row r="251" spans="1:18" x14ac:dyDescent="0.3">
      <c r="A251" s="1">
        <v>10321</v>
      </c>
      <c r="B251" s="47">
        <v>1143</v>
      </c>
      <c r="C251" s="48">
        <v>45270</v>
      </c>
      <c r="D251" s="48">
        <v>45275</v>
      </c>
      <c r="E251" s="47" t="s">
        <v>36</v>
      </c>
      <c r="F251" s="47" t="s">
        <v>15</v>
      </c>
      <c r="G251" s="47" t="s">
        <v>29</v>
      </c>
      <c r="H251" s="47" t="s">
        <v>41</v>
      </c>
      <c r="I251" s="47" t="s">
        <v>51</v>
      </c>
      <c r="J251" s="47" t="s">
        <v>59</v>
      </c>
      <c r="K251" s="47" t="s">
        <v>44</v>
      </c>
      <c r="L251" s="47">
        <v>7</v>
      </c>
      <c r="M251" s="47">
        <v>3383.31</v>
      </c>
      <c r="N251" s="49">
        <v>20</v>
      </c>
      <c r="O251" s="4"/>
      <c r="P251" s="4"/>
      <c r="Q251" s="4"/>
      <c r="R251" s="4"/>
    </row>
    <row r="252" spans="1:18" x14ac:dyDescent="0.3">
      <c r="A252" s="1">
        <v>10322</v>
      </c>
      <c r="B252" s="47">
        <v>1608</v>
      </c>
      <c r="C252" s="48">
        <v>45220</v>
      </c>
      <c r="D252" s="48">
        <v>45222</v>
      </c>
      <c r="E252" s="47" t="s">
        <v>14</v>
      </c>
      <c r="F252" s="47" t="s">
        <v>53</v>
      </c>
      <c r="G252" s="47" t="s">
        <v>29</v>
      </c>
      <c r="H252" s="47" t="s">
        <v>34</v>
      </c>
      <c r="I252" s="47" t="s">
        <v>25</v>
      </c>
      <c r="J252" s="47" t="s">
        <v>60</v>
      </c>
      <c r="K252" s="47" t="s">
        <v>27</v>
      </c>
      <c r="L252" s="47">
        <v>5</v>
      </c>
      <c r="M252" s="47">
        <v>640.82000000000005</v>
      </c>
      <c r="N252" s="49">
        <v>0</v>
      </c>
      <c r="O252" s="4"/>
      <c r="P252" s="4"/>
      <c r="Q252" s="4"/>
      <c r="R252" s="4"/>
    </row>
    <row r="253" spans="1:18" x14ac:dyDescent="0.3">
      <c r="A253" s="1">
        <v>10324</v>
      </c>
      <c r="B253" s="47">
        <v>1123</v>
      </c>
      <c r="C253" s="48">
        <v>45064</v>
      </c>
      <c r="D253" s="48">
        <v>45070</v>
      </c>
      <c r="E253" s="47" t="s">
        <v>45</v>
      </c>
      <c r="F253" s="47" t="s">
        <v>40</v>
      </c>
      <c r="G253" s="47" t="s">
        <v>23</v>
      </c>
      <c r="H253" s="47" t="s">
        <v>43</v>
      </c>
      <c r="I253" s="47" t="s">
        <v>56</v>
      </c>
      <c r="J253" s="47" t="s">
        <v>57</v>
      </c>
      <c r="K253" s="47" t="s">
        <v>32</v>
      </c>
      <c r="L253" s="47">
        <v>9</v>
      </c>
      <c r="M253" s="47">
        <v>3472.58</v>
      </c>
      <c r="N253" s="49">
        <v>15</v>
      </c>
      <c r="O253" s="4"/>
      <c r="P253" s="4"/>
      <c r="Q253" s="4"/>
      <c r="R253" s="4"/>
    </row>
    <row r="254" spans="1:18" x14ac:dyDescent="0.3">
      <c r="A254" s="1">
        <v>10325</v>
      </c>
      <c r="B254" s="47">
        <v>1186</v>
      </c>
      <c r="C254" s="48">
        <v>45025</v>
      </c>
      <c r="D254" s="48">
        <v>45030</v>
      </c>
      <c r="E254" s="47" t="s">
        <v>36</v>
      </c>
      <c r="F254" s="47" t="s">
        <v>37</v>
      </c>
      <c r="G254" s="47" t="s">
        <v>29</v>
      </c>
      <c r="H254" s="47" t="s">
        <v>34</v>
      </c>
      <c r="I254" s="47" t="s">
        <v>51</v>
      </c>
      <c r="J254" s="47" t="s">
        <v>63</v>
      </c>
      <c r="K254" s="47" t="s">
        <v>44</v>
      </c>
      <c r="L254" s="47">
        <v>7</v>
      </c>
      <c r="M254" s="47">
        <v>730.15</v>
      </c>
      <c r="N254" s="49">
        <v>0</v>
      </c>
      <c r="O254" s="4"/>
      <c r="P254" s="4"/>
      <c r="Q254" s="4"/>
      <c r="R254" s="4"/>
    </row>
    <row r="255" spans="1:18" x14ac:dyDescent="0.3">
      <c r="A255" s="1">
        <v>10326</v>
      </c>
      <c r="B255" s="47">
        <v>1325</v>
      </c>
      <c r="C255" s="48">
        <v>45118</v>
      </c>
      <c r="D255" s="48">
        <v>45124</v>
      </c>
      <c r="E255" s="47" t="s">
        <v>36</v>
      </c>
      <c r="F255" s="47" t="s">
        <v>15</v>
      </c>
      <c r="G255" s="47" t="s">
        <v>23</v>
      </c>
      <c r="H255" s="47" t="s">
        <v>43</v>
      </c>
      <c r="I255" s="47" t="s">
        <v>51</v>
      </c>
      <c r="J255" s="47" t="s">
        <v>59</v>
      </c>
      <c r="K255" s="47" t="s">
        <v>32</v>
      </c>
      <c r="L255" s="47">
        <v>2</v>
      </c>
      <c r="M255" s="47">
        <v>3428.64</v>
      </c>
      <c r="N255" s="49">
        <v>10</v>
      </c>
      <c r="O255" s="4"/>
      <c r="P255" s="4"/>
      <c r="Q255" s="4"/>
      <c r="R255" s="4"/>
    </row>
    <row r="256" spans="1:18" x14ac:dyDescent="0.3">
      <c r="A256" s="1">
        <v>10327</v>
      </c>
      <c r="B256" s="47">
        <v>1463</v>
      </c>
      <c r="C256" s="48">
        <v>45169</v>
      </c>
      <c r="D256" s="48">
        <v>45176</v>
      </c>
      <c r="E256" s="47" t="s">
        <v>21</v>
      </c>
      <c r="F256" s="47" t="s">
        <v>22</v>
      </c>
      <c r="G256" s="47" t="s">
        <v>16</v>
      </c>
      <c r="H256" s="47" t="s">
        <v>41</v>
      </c>
      <c r="I256" s="47" t="s">
        <v>51</v>
      </c>
      <c r="J256" s="47" t="s">
        <v>59</v>
      </c>
      <c r="K256" s="47" t="s">
        <v>46</v>
      </c>
      <c r="L256" s="47">
        <v>6</v>
      </c>
      <c r="M256" s="47">
        <v>3967.1</v>
      </c>
      <c r="N256" s="49">
        <v>0</v>
      </c>
      <c r="O256" s="4"/>
      <c r="P256" s="4"/>
      <c r="Q256" s="4"/>
      <c r="R256" s="4"/>
    </row>
    <row r="257" spans="1:18" x14ac:dyDescent="0.3">
      <c r="A257" s="1">
        <v>10328</v>
      </c>
      <c r="B257" s="47">
        <v>1348</v>
      </c>
      <c r="C257" s="48">
        <v>45245</v>
      </c>
      <c r="D257" s="48">
        <v>45250</v>
      </c>
      <c r="E257" s="47" t="s">
        <v>21</v>
      </c>
      <c r="F257" s="47" t="s">
        <v>53</v>
      </c>
      <c r="G257" s="47" t="s">
        <v>23</v>
      </c>
      <c r="H257" s="47" t="s">
        <v>24</v>
      </c>
      <c r="I257" s="47" t="s">
        <v>51</v>
      </c>
      <c r="J257" s="47" t="s">
        <v>52</v>
      </c>
      <c r="K257" s="47" t="s">
        <v>44</v>
      </c>
      <c r="L257" s="47">
        <v>2</v>
      </c>
      <c r="M257" s="47">
        <v>2948.33</v>
      </c>
      <c r="N257" s="49">
        <v>15</v>
      </c>
      <c r="O257" s="4"/>
      <c r="P257" s="4"/>
      <c r="Q257" s="4"/>
      <c r="R257" s="4"/>
    </row>
    <row r="258" spans="1:18" x14ac:dyDescent="0.3">
      <c r="A258" s="1">
        <v>10329</v>
      </c>
      <c r="B258" s="47">
        <v>1770</v>
      </c>
      <c r="C258" s="48">
        <v>44975</v>
      </c>
      <c r="D258" s="48">
        <v>44976</v>
      </c>
      <c r="E258" s="47" t="s">
        <v>39</v>
      </c>
      <c r="F258" s="47" t="s">
        <v>37</v>
      </c>
      <c r="G258" s="47" t="s">
        <v>16</v>
      </c>
      <c r="H258" s="47" t="s">
        <v>43</v>
      </c>
      <c r="I258" s="47" t="s">
        <v>25</v>
      </c>
      <c r="J258" s="47" t="s">
        <v>26</v>
      </c>
      <c r="K258" s="47" t="s">
        <v>46</v>
      </c>
      <c r="L258" s="47">
        <v>1</v>
      </c>
      <c r="M258" s="47">
        <v>3171.36</v>
      </c>
      <c r="N258" s="49">
        <v>20</v>
      </c>
      <c r="O258" s="4"/>
      <c r="P258" s="4"/>
      <c r="Q258" s="4"/>
      <c r="R258" s="4"/>
    </row>
    <row r="259" spans="1:18" x14ac:dyDescent="0.3">
      <c r="A259" s="1">
        <v>10330</v>
      </c>
      <c r="B259" s="47">
        <v>1659</v>
      </c>
      <c r="C259" s="48">
        <v>44958</v>
      </c>
      <c r="D259" s="48">
        <v>44966</v>
      </c>
      <c r="E259" s="47" t="s">
        <v>36</v>
      </c>
      <c r="F259" s="47" t="s">
        <v>53</v>
      </c>
      <c r="G259" s="47" t="s">
        <v>16</v>
      </c>
      <c r="H259" s="47" t="s">
        <v>43</v>
      </c>
      <c r="I259" s="47" t="s">
        <v>51</v>
      </c>
      <c r="J259" s="47" t="s">
        <v>63</v>
      </c>
      <c r="K259" s="47" t="s">
        <v>20</v>
      </c>
      <c r="L259" s="47">
        <v>7</v>
      </c>
      <c r="M259" s="47">
        <v>3978.5</v>
      </c>
      <c r="N259" s="49">
        <v>20</v>
      </c>
      <c r="O259" s="4"/>
      <c r="P259" s="4"/>
      <c r="Q259" s="4"/>
      <c r="R259" s="4"/>
    </row>
    <row r="260" spans="1:18" x14ac:dyDescent="0.3">
      <c r="A260" s="1">
        <v>10332</v>
      </c>
      <c r="B260" s="47">
        <v>1954</v>
      </c>
      <c r="C260" s="48">
        <v>44946</v>
      </c>
      <c r="D260" s="48">
        <v>44955</v>
      </c>
      <c r="E260" s="47" t="s">
        <v>14</v>
      </c>
      <c r="F260" s="47" t="s">
        <v>22</v>
      </c>
      <c r="G260" s="47" t="s">
        <v>16</v>
      </c>
      <c r="H260" s="47" t="s">
        <v>41</v>
      </c>
      <c r="I260" s="47" t="s">
        <v>56</v>
      </c>
      <c r="J260" s="47" t="s">
        <v>65</v>
      </c>
      <c r="K260" s="47" t="s">
        <v>20</v>
      </c>
      <c r="L260" s="47">
        <v>2</v>
      </c>
      <c r="M260" s="47">
        <v>1335.36</v>
      </c>
      <c r="N260" s="49">
        <v>5</v>
      </c>
      <c r="O260" s="4"/>
      <c r="P260" s="4"/>
      <c r="Q260" s="4"/>
      <c r="R260" s="4"/>
    </row>
    <row r="261" spans="1:18" x14ac:dyDescent="0.3">
      <c r="A261" s="1">
        <v>10336</v>
      </c>
      <c r="B261" s="47">
        <v>1962</v>
      </c>
      <c r="C261" s="48">
        <v>45069</v>
      </c>
      <c r="D261" s="48">
        <v>45072</v>
      </c>
      <c r="E261" s="47" t="s">
        <v>15</v>
      </c>
      <c r="F261" s="47" t="s">
        <v>40</v>
      </c>
      <c r="G261" s="47" t="s">
        <v>23</v>
      </c>
      <c r="H261" s="47" t="s">
        <v>41</v>
      </c>
      <c r="I261" s="47" t="s">
        <v>18</v>
      </c>
      <c r="J261" s="47" t="s">
        <v>68</v>
      </c>
      <c r="K261" s="47" t="s">
        <v>32</v>
      </c>
      <c r="L261" s="47">
        <v>1</v>
      </c>
      <c r="M261" s="47">
        <v>1126.5</v>
      </c>
      <c r="N261" s="49">
        <v>15</v>
      </c>
      <c r="O261" s="4"/>
      <c r="P261" s="4"/>
      <c r="Q261" s="4"/>
      <c r="R261" s="4"/>
    </row>
    <row r="262" spans="1:18" x14ac:dyDescent="0.3">
      <c r="A262" s="1">
        <v>10338</v>
      </c>
      <c r="B262" s="47">
        <v>1146</v>
      </c>
      <c r="C262" s="48">
        <v>45139</v>
      </c>
      <c r="D262" s="48">
        <v>45145</v>
      </c>
      <c r="E262" s="47" t="s">
        <v>21</v>
      </c>
      <c r="F262" s="47" t="s">
        <v>28</v>
      </c>
      <c r="G262" s="47" t="s">
        <v>29</v>
      </c>
      <c r="H262" s="47" t="s">
        <v>41</v>
      </c>
      <c r="I262" s="47" t="s">
        <v>48</v>
      </c>
      <c r="J262" s="47" t="s">
        <v>49</v>
      </c>
      <c r="K262" s="47" t="s">
        <v>20</v>
      </c>
      <c r="L262" s="47">
        <v>3</v>
      </c>
      <c r="M262" s="47">
        <v>464.42</v>
      </c>
      <c r="N262" s="49">
        <v>20</v>
      </c>
      <c r="O262" s="4"/>
      <c r="P262" s="4"/>
      <c r="Q262" s="4"/>
      <c r="R262" s="4"/>
    </row>
    <row r="263" spans="1:18" x14ac:dyDescent="0.3">
      <c r="A263" s="1">
        <v>10339</v>
      </c>
      <c r="B263" s="47">
        <v>1147</v>
      </c>
      <c r="C263" s="48">
        <v>45005</v>
      </c>
      <c r="D263" s="48">
        <v>45012</v>
      </c>
      <c r="E263" s="47" t="s">
        <v>14</v>
      </c>
      <c r="F263" s="47" t="s">
        <v>53</v>
      </c>
      <c r="G263" s="47" t="s">
        <v>16</v>
      </c>
      <c r="H263" s="47" t="s">
        <v>24</v>
      </c>
      <c r="I263" s="47" t="s">
        <v>30</v>
      </c>
      <c r="J263" s="47" t="s">
        <v>31</v>
      </c>
      <c r="K263" s="47" t="s">
        <v>20</v>
      </c>
      <c r="L263" s="47">
        <v>4</v>
      </c>
      <c r="M263" s="47">
        <v>3708.51</v>
      </c>
      <c r="N263" s="49">
        <v>5</v>
      </c>
      <c r="O263" s="4"/>
      <c r="P263" s="4"/>
      <c r="Q263" s="4"/>
      <c r="R263" s="4"/>
    </row>
    <row r="264" spans="1:18" x14ac:dyDescent="0.3">
      <c r="A264" s="1">
        <v>10341</v>
      </c>
      <c r="B264" s="47">
        <v>1710</v>
      </c>
      <c r="C264" s="48">
        <v>45042</v>
      </c>
      <c r="D264" s="48">
        <v>45048</v>
      </c>
      <c r="E264" s="47" t="s">
        <v>15</v>
      </c>
      <c r="F264" s="47" t="s">
        <v>28</v>
      </c>
      <c r="G264" s="47" t="s">
        <v>16</v>
      </c>
      <c r="H264" s="47" t="s">
        <v>34</v>
      </c>
      <c r="I264" s="47" t="s">
        <v>48</v>
      </c>
      <c r="J264" s="47" t="s">
        <v>50</v>
      </c>
      <c r="K264" s="47" t="s">
        <v>27</v>
      </c>
      <c r="L264" s="47">
        <v>4</v>
      </c>
      <c r="M264" s="47">
        <v>641.92999999999995</v>
      </c>
      <c r="N264" s="49">
        <v>0</v>
      </c>
      <c r="O264" s="4"/>
      <c r="P264" s="4"/>
      <c r="Q264" s="4"/>
      <c r="R264" s="4"/>
    </row>
    <row r="265" spans="1:18" x14ac:dyDescent="0.3">
      <c r="A265" s="1">
        <v>10342</v>
      </c>
      <c r="B265" s="47">
        <v>1819</v>
      </c>
      <c r="C265" s="48">
        <v>45018</v>
      </c>
      <c r="D265" s="48">
        <v>45019</v>
      </c>
      <c r="E265" s="47" t="s">
        <v>14</v>
      </c>
      <c r="F265" s="47" t="s">
        <v>53</v>
      </c>
      <c r="G265" s="47" t="s">
        <v>16</v>
      </c>
      <c r="H265" s="47" t="s">
        <v>34</v>
      </c>
      <c r="I265" s="47" t="s">
        <v>25</v>
      </c>
      <c r="J265" s="47" t="s">
        <v>26</v>
      </c>
      <c r="K265" s="47" t="s">
        <v>46</v>
      </c>
      <c r="L265" s="47">
        <v>5</v>
      </c>
      <c r="M265" s="47">
        <v>1853.11</v>
      </c>
      <c r="N265" s="49">
        <v>10</v>
      </c>
      <c r="O265" s="4"/>
      <c r="P265" s="4"/>
      <c r="Q265" s="4"/>
      <c r="R265" s="4"/>
    </row>
    <row r="266" spans="1:18" x14ac:dyDescent="0.3">
      <c r="A266" s="1">
        <v>10343</v>
      </c>
      <c r="B266" s="47">
        <v>1488</v>
      </c>
      <c r="C266" s="48">
        <v>45196</v>
      </c>
      <c r="D266" s="48">
        <v>45204</v>
      </c>
      <c r="E266" s="47" t="s">
        <v>45</v>
      </c>
      <c r="F266" s="47" t="s">
        <v>22</v>
      </c>
      <c r="G266" s="47" t="s">
        <v>16</v>
      </c>
      <c r="H266" s="47" t="s">
        <v>17</v>
      </c>
      <c r="I266" s="47" t="s">
        <v>48</v>
      </c>
      <c r="J266" s="47" t="s">
        <v>50</v>
      </c>
      <c r="K266" s="47" t="s">
        <v>20</v>
      </c>
      <c r="L266" s="47">
        <v>7</v>
      </c>
      <c r="M266" s="47">
        <v>313.51</v>
      </c>
      <c r="N266" s="49">
        <v>0</v>
      </c>
      <c r="O266" s="4"/>
      <c r="P266" s="4"/>
      <c r="Q266" s="4"/>
      <c r="R266" s="4"/>
    </row>
    <row r="267" spans="1:18" x14ac:dyDescent="0.3">
      <c r="A267" s="1">
        <v>10344</v>
      </c>
      <c r="B267" s="47">
        <v>1928</v>
      </c>
      <c r="C267" s="48">
        <v>45094</v>
      </c>
      <c r="D267" s="48">
        <v>45101</v>
      </c>
      <c r="E267" s="47" t="s">
        <v>21</v>
      </c>
      <c r="F267" s="47" t="s">
        <v>28</v>
      </c>
      <c r="G267" s="47" t="s">
        <v>29</v>
      </c>
      <c r="H267" s="47" t="s">
        <v>43</v>
      </c>
      <c r="I267" s="47" t="s">
        <v>51</v>
      </c>
      <c r="J267" s="47" t="s">
        <v>55</v>
      </c>
      <c r="K267" s="47" t="s">
        <v>32</v>
      </c>
      <c r="L267" s="47">
        <v>4</v>
      </c>
      <c r="M267" s="47">
        <v>2785.81</v>
      </c>
      <c r="N267" s="49">
        <v>20</v>
      </c>
      <c r="O267" s="4"/>
      <c r="P267" s="4"/>
      <c r="Q267" s="4"/>
      <c r="R267" s="4"/>
    </row>
    <row r="268" spans="1:18" x14ac:dyDescent="0.3">
      <c r="A268" s="1">
        <v>10345</v>
      </c>
      <c r="B268" s="47">
        <v>1935</v>
      </c>
      <c r="C268" s="48">
        <v>44984</v>
      </c>
      <c r="D268" s="48">
        <v>44993</v>
      </c>
      <c r="E268" s="47" t="s">
        <v>33</v>
      </c>
      <c r="F268" s="47" t="s">
        <v>28</v>
      </c>
      <c r="G268" s="47" t="s">
        <v>29</v>
      </c>
      <c r="H268" s="47" t="s">
        <v>41</v>
      </c>
      <c r="I268" s="47" t="s">
        <v>25</v>
      </c>
      <c r="J268" s="47" t="s">
        <v>35</v>
      </c>
      <c r="K268" s="47" t="s">
        <v>44</v>
      </c>
      <c r="L268" s="47">
        <v>1</v>
      </c>
      <c r="M268" s="47">
        <v>3625.42</v>
      </c>
      <c r="N268" s="49">
        <v>10</v>
      </c>
      <c r="O268" s="4"/>
      <c r="P268" s="4"/>
      <c r="Q268" s="4"/>
      <c r="R268" s="4"/>
    </row>
    <row r="269" spans="1:18" x14ac:dyDescent="0.3">
      <c r="A269" s="1">
        <v>10347</v>
      </c>
      <c r="B269" s="47">
        <v>1550</v>
      </c>
      <c r="C269" s="48">
        <v>44952</v>
      </c>
      <c r="D269" s="48">
        <v>44954</v>
      </c>
      <c r="E269" s="47" t="s">
        <v>14</v>
      </c>
      <c r="F269" s="47" t="s">
        <v>28</v>
      </c>
      <c r="G269" s="47" t="s">
        <v>23</v>
      </c>
      <c r="H269" s="47" t="s">
        <v>43</v>
      </c>
      <c r="I269" s="47" t="s">
        <v>18</v>
      </c>
      <c r="J269" s="47" t="s">
        <v>19</v>
      </c>
      <c r="K269" s="47" t="s">
        <v>44</v>
      </c>
      <c r="L269" s="47">
        <v>4</v>
      </c>
      <c r="M269" s="47">
        <v>640.37</v>
      </c>
      <c r="N269" s="49">
        <v>20</v>
      </c>
      <c r="O269" s="4"/>
      <c r="P269" s="4"/>
      <c r="Q269" s="4"/>
      <c r="R269" s="4"/>
    </row>
    <row r="270" spans="1:18" x14ac:dyDescent="0.3">
      <c r="A270" s="1">
        <v>10350</v>
      </c>
      <c r="B270" s="47">
        <v>1640</v>
      </c>
      <c r="C270" s="48">
        <v>45180</v>
      </c>
      <c r="D270" s="48">
        <v>45185</v>
      </c>
      <c r="E270" s="47" t="s">
        <v>14</v>
      </c>
      <c r="F270" s="47" t="s">
        <v>40</v>
      </c>
      <c r="G270" s="47" t="s">
        <v>16</v>
      </c>
      <c r="H270" s="47" t="s">
        <v>43</v>
      </c>
      <c r="I270" s="47" t="s">
        <v>56</v>
      </c>
      <c r="J270" s="47" t="s">
        <v>61</v>
      </c>
      <c r="K270" s="47" t="s">
        <v>20</v>
      </c>
      <c r="L270" s="47">
        <v>1</v>
      </c>
      <c r="M270" s="47">
        <v>3708.38</v>
      </c>
      <c r="N270" s="49">
        <v>20</v>
      </c>
      <c r="O270" s="4"/>
      <c r="P270" s="4"/>
      <c r="Q270" s="4"/>
      <c r="R270" s="4"/>
    </row>
    <row r="271" spans="1:18" x14ac:dyDescent="0.3">
      <c r="A271" s="1">
        <v>10351</v>
      </c>
      <c r="B271" s="47">
        <v>1778</v>
      </c>
      <c r="C271" s="48">
        <v>44970</v>
      </c>
      <c r="D271" s="48">
        <v>44972</v>
      </c>
      <c r="E271" s="47" t="s">
        <v>45</v>
      </c>
      <c r="F271" s="47" t="s">
        <v>15</v>
      </c>
      <c r="G271" s="47" t="s">
        <v>29</v>
      </c>
      <c r="H271" s="47" t="s">
        <v>34</v>
      </c>
      <c r="I271" s="47" t="s">
        <v>30</v>
      </c>
      <c r="J271" s="47" t="s">
        <v>31</v>
      </c>
      <c r="K271" s="47" t="s">
        <v>44</v>
      </c>
      <c r="L271" s="47">
        <v>3</v>
      </c>
      <c r="M271" s="47">
        <v>1923.58</v>
      </c>
      <c r="N271" s="49">
        <v>15</v>
      </c>
      <c r="O271" s="4"/>
      <c r="P271" s="4"/>
      <c r="Q271" s="4"/>
      <c r="R271" s="4"/>
    </row>
    <row r="272" spans="1:18" x14ac:dyDescent="0.3">
      <c r="A272" s="1">
        <v>10352</v>
      </c>
      <c r="B272" s="47">
        <v>1987</v>
      </c>
      <c r="C272" s="48">
        <v>45023</v>
      </c>
      <c r="D272" s="48">
        <v>45026</v>
      </c>
      <c r="E272" s="47" t="s">
        <v>45</v>
      </c>
      <c r="F272" s="47" t="s">
        <v>22</v>
      </c>
      <c r="G272" s="47" t="s">
        <v>29</v>
      </c>
      <c r="H272" s="47" t="s">
        <v>17</v>
      </c>
      <c r="I272" s="47" t="s">
        <v>25</v>
      </c>
      <c r="J272" s="47" t="s">
        <v>35</v>
      </c>
      <c r="K272" s="47" t="s">
        <v>44</v>
      </c>
      <c r="L272" s="47">
        <v>2</v>
      </c>
      <c r="M272" s="47">
        <v>2071.04</v>
      </c>
      <c r="N272" s="49">
        <v>20</v>
      </c>
      <c r="O272" s="4"/>
      <c r="P272" s="4"/>
      <c r="Q272" s="4"/>
      <c r="R272" s="4"/>
    </row>
    <row r="273" spans="1:18" x14ac:dyDescent="0.3">
      <c r="A273" s="1">
        <v>10355</v>
      </c>
      <c r="B273" s="47">
        <v>1945</v>
      </c>
      <c r="C273" s="48">
        <v>45188</v>
      </c>
      <c r="D273" s="48">
        <v>45191</v>
      </c>
      <c r="E273" s="47" t="s">
        <v>36</v>
      </c>
      <c r="F273" s="47" t="s">
        <v>22</v>
      </c>
      <c r="G273" s="47" t="s">
        <v>29</v>
      </c>
      <c r="H273" s="47" t="s">
        <v>34</v>
      </c>
      <c r="I273" s="47" t="s">
        <v>51</v>
      </c>
      <c r="J273" s="47" t="s">
        <v>52</v>
      </c>
      <c r="K273" s="47" t="s">
        <v>20</v>
      </c>
      <c r="L273" s="47">
        <v>9</v>
      </c>
      <c r="M273" s="47">
        <v>2632.88</v>
      </c>
      <c r="N273" s="49">
        <v>5</v>
      </c>
      <c r="O273" s="4"/>
      <c r="P273" s="4"/>
      <c r="Q273" s="4"/>
      <c r="R273" s="4"/>
    </row>
    <row r="274" spans="1:18" x14ac:dyDescent="0.3">
      <c r="A274" s="1">
        <v>10356</v>
      </c>
      <c r="B274" s="47">
        <v>1150</v>
      </c>
      <c r="C274" s="48">
        <v>45093</v>
      </c>
      <c r="D274" s="48">
        <v>45102</v>
      </c>
      <c r="E274" s="47" t="s">
        <v>15</v>
      </c>
      <c r="F274" s="47" t="s">
        <v>37</v>
      </c>
      <c r="G274" s="47" t="s">
        <v>29</v>
      </c>
      <c r="H274" s="47" t="s">
        <v>41</v>
      </c>
      <c r="I274" s="47" t="s">
        <v>30</v>
      </c>
      <c r="J274" s="47" t="s">
        <v>47</v>
      </c>
      <c r="K274" s="47" t="s">
        <v>20</v>
      </c>
      <c r="L274" s="47">
        <v>9</v>
      </c>
      <c r="M274" s="47">
        <v>1259.77</v>
      </c>
      <c r="N274" s="49">
        <v>15</v>
      </c>
      <c r="O274" s="4"/>
      <c r="P274" s="4"/>
      <c r="Q274" s="4"/>
      <c r="R274" s="4"/>
    </row>
    <row r="275" spans="1:18" x14ac:dyDescent="0.3">
      <c r="A275" s="1">
        <v>10357</v>
      </c>
      <c r="B275" s="47">
        <v>1414</v>
      </c>
      <c r="C275" s="48">
        <v>45205</v>
      </c>
      <c r="D275" s="48">
        <v>45213</v>
      </c>
      <c r="E275" s="47" t="s">
        <v>36</v>
      </c>
      <c r="F275" s="47" t="s">
        <v>37</v>
      </c>
      <c r="G275" s="47" t="s">
        <v>16</v>
      </c>
      <c r="H275" s="47" t="s">
        <v>24</v>
      </c>
      <c r="I275" s="47" t="s">
        <v>56</v>
      </c>
      <c r="J275" s="47" t="s">
        <v>57</v>
      </c>
      <c r="K275" s="47" t="s">
        <v>27</v>
      </c>
      <c r="L275" s="47">
        <v>8</v>
      </c>
      <c r="M275" s="47">
        <v>1300.31</v>
      </c>
      <c r="N275" s="49">
        <v>0</v>
      </c>
      <c r="O275" s="4"/>
      <c r="P275" s="4"/>
      <c r="Q275" s="4"/>
      <c r="R275" s="4"/>
    </row>
    <row r="276" spans="1:18" x14ac:dyDescent="0.3">
      <c r="A276" s="1">
        <v>10358</v>
      </c>
      <c r="B276" s="47">
        <v>1989</v>
      </c>
      <c r="C276" s="48">
        <v>45015</v>
      </c>
      <c r="D276" s="48">
        <v>45019</v>
      </c>
      <c r="E276" s="47" t="s">
        <v>14</v>
      </c>
      <c r="F276" s="47" t="s">
        <v>28</v>
      </c>
      <c r="G276" s="47" t="s">
        <v>29</v>
      </c>
      <c r="H276" s="47" t="s">
        <v>34</v>
      </c>
      <c r="I276" s="47" t="s">
        <v>56</v>
      </c>
      <c r="J276" s="47" t="s">
        <v>57</v>
      </c>
      <c r="K276" s="47" t="s">
        <v>32</v>
      </c>
      <c r="L276" s="47">
        <v>8</v>
      </c>
      <c r="M276" s="47">
        <v>3581.12</v>
      </c>
      <c r="N276" s="49">
        <v>15</v>
      </c>
      <c r="O276" s="4"/>
      <c r="P276" s="4"/>
      <c r="Q276" s="4"/>
      <c r="R276" s="4"/>
    </row>
    <row r="277" spans="1:18" x14ac:dyDescent="0.3">
      <c r="A277" s="1">
        <v>10359</v>
      </c>
      <c r="B277" s="47">
        <v>1297</v>
      </c>
      <c r="C277" s="48">
        <v>45104</v>
      </c>
      <c r="D277" s="48">
        <v>45105</v>
      </c>
      <c r="E277" s="47" t="s">
        <v>15</v>
      </c>
      <c r="F277" s="47" t="s">
        <v>40</v>
      </c>
      <c r="G277" s="47" t="s">
        <v>16</v>
      </c>
      <c r="H277" s="47" t="s">
        <v>24</v>
      </c>
      <c r="I277" s="47" t="s">
        <v>30</v>
      </c>
      <c r="J277" s="47" t="s">
        <v>47</v>
      </c>
      <c r="K277" s="47" t="s">
        <v>46</v>
      </c>
      <c r="L277" s="47">
        <v>1</v>
      </c>
      <c r="M277" s="47">
        <v>202.49</v>
      </c>
      <c r="N277" s="49">
        <v>5</v>
      </c>
      <c r="O277" s="4"/>
      <c r="P277" s="4"/>
      <c r="Q277" s="4"/>
      <c r="R277" s="4"/>
    </row>
    <row r="278" spans="1:18" x14ac:dyDescent="0.3">
      <c r="A278" s="1">
        <v>10360</v>
      </c>
      <c r="B278" s="47">
        <v>1610</v>
      </c>
      <c r="C278" s="48">
        <v>45123</v>
      </c>
      <c r="D278" s="48">
        <v>45124</v>
      </c>
      <c r="E278" s="47" t="s">
        <v>33</v>
      </c>
      <c r="F278" s="47" t="s">
        <v>40</v>
      </c>
      <c r="G278" s="47" t="s">
        <v>29</v>
      </c>
      <c r="H278" s="47" t="s">
        <v>41</v>
      </c>
      <c r="I278" s="47" t="s">
        <v>30</v>
      </c>
      <c r="J278" s="47" t="s">
        <v>31</v>
      </c>
      <c r="K278" s="47" t="s">
        <v>44</v>
      </c>
      <c r="L278" s="47">
        <v>8</v>
      </c>
      <c r="M278" s="47">
        <v>1392.5</v>
      </c>
      <c r="N278" s="49">
        <v>15</v>
      </c>
      <c r="O278" s="4"/>
      <c r="P278" s="4"/>
      <c r="Q278" s="4"/>
      <c r="R278" s="4"/>
    </row>
    <row r="279" spans="1:18" x14ac:dyDescent="0.3">
      <c r="A279" s="1">
        <v>10361</v>
      </c>
      <c r="B279" s="47">
        <v>1262</v>
      </c>
      <c r="C279" s="48">
        <v>45233</v>
      </c>
      <c r="D279" s="48">
        <v>45234</v>
      </c>
      <c r="E279" s="47" t="s">
        <v>33</v>
      </c>
      <c r="F279" s="47" t="s">
        <v>22</v>
      </c>
      <c r="G279" s="47" t="s">
        <v>23</v>
      </c>
      <c r="H279" s="47" t="s">
        <v>43</v>
      </c>
      <c r="I279" s="47" t="s">
        <v>56</v>
      </c>
      <c r="J279" s="47" t="s">
        <v>58</v>
      </c>
      <c r="K279" s="47" t="s">
        <v>20</v>
      </c>
      <c r="L279" s="47">
        <v>3</v>
      </c>
      <c r="M279" s="47">
        <v>2284.27</v>
      </c>
      <c r="N279" s="49">
        <v>20</v>
      </c>
      <c r="O279" s="4"/>
      <c r="P279" s="4"/>
      <c r="Q279" s="4"/>
      <c r="R279" s="4"/>
    </row>
    <row r="280" spans="1:18" x14ac:dyDescent="0.3">
      <c r="A280" s="1">
        <v>10365</v>
      </c>
      <c r="B280" s="47">
        <v>1623</v>
      </c>
      <c r="C280" s="48">
        <v>44934</v>
      </c>
      <c r="D280" s="48">
        <v>44940</v>
      </c>
      <c r="E280" s="47" t="s">
        <v>15</v>
      </c>
      <c r="F280" s="47" t="s">
        <v>40</v>
      </c>
      <c r="G280" s="47" t="s">
        <v>16</v>
      </c>
      <c r="H280" s="47" t="s">
        <v>34</v>
      </c>
      <c r="I280" s="47" t="s">
        <v>51</v>
      </c>
      <c r="J280" s="47" t="s">
        <v>52</v>
      </c>
      <c r="K280" s="47" t="s">
        <v>32</v>
      </c>
      <c r="L280" s="47">
        <v>5</v>
      </c>
      <c r="M280" s="47">
        <v>3593.46</v>
      </c>
      <c r="N280" s="49">
        <v>20</v>
      </c>
      <c r="O280" s="4"/>
      <c r="P280" s="4"/>
      <c r="Q280" s="4"/>
      <c r="R280" s="4"/>
    </row>
    <row r="281" spans="1:18" x14ac:dyDescent="0.3">
      <c r="A281" s="1">
        <v>10366</v>
      </c>
      <c r="B281" s="47">
        <v>1571</v>
      </c>
      <c r="C281" s="48">
        <v>45223</v>
      </c>
      <c r="D281" s="48">
        <v>45226</v>
      </c>
      <c r="E281" s="47" t="s">
        <v>14</v>
      </c>
      <c r="F281" s="47" t="s">
        <v>15</v>
      </c>
      <c r="G281" s="47" t="s">
        <v>23</v>
      </c>
      <c r="H281" s="47" t="s">
        <v>41</v>
      </c>
      <c r="I281" s="47" t="s">
        <v>48</v>
      </c>
      <c r="J281" s="47" t="s">
        <v>62</v>
      </c>
      <c r="K281" s="47" t="s">
        <v>20</v>
      </c>
      <c r="L281" s="47">
        <v>5</v>
      </c>
      <c r="M281" s="47">
        <v>3320.88</v>
      </c>
      <c r="N281" s="49">
        <v>0</v>
      </c>
      <c r="O281" s="4"/>
      <c r="P281" s="4"/>
      <c r="Q281" s="4"/>
      <c r="R281" s="4"/>
    </row>
    <row r="282" spans="1:18" x14ac:dyDescent="0.3">
      <c r="A282" s="1">
        <v>10367</v>
      </c>
      <c r="B282" s="47">
        <v>1880</v>
      </c>
      <c r="C282" s="48">
        <v>45090</v>
      </c>
      <c r="D282" s="48">
        <v>45095</v>
      </c>
      <c r="E282" s="47" t="s">
        <v>45</v>
      </c>
      <c r="F282" s="47" t="s">
        <v>40</v>
      </c>
      <c r="G282" s="47" t="s">
        <v>29</v>
      </c>
      <c r="H282" s="47" t="s">
        <v>34</v>
      </c>
      <c r="I282" s="47" t="s">
        <v>56</v>
      </c>
      <c r="J282" s="47" t="s">
        <v>61</v>
      </c>
      <c r="K282" s="47" t="s">
        <v>44</v>
      </c>
      <c r="L282" s="47">
        <v>8</v>
      </c>
      <c r="M282" s="47">
        <v>3610.33</v>
      </c>
      <c r="N282" s="49">
        <v>5</v>
      </c>
      <c r="O282" s="4"/>
      <c r="P282" s="4"/>
      <c r="Q282" s="4"/>
      <c r="R282" s="4"/>
    </row>
    <row r="283" spans="1:18" x14ac:dyDescent="0.3">
      <c r="A283" s="1">
        <v>10369</v>
      </c>
      <c r="B283" s="47">
        <v>1896</v>
      </c>
      <c r="C283" s="48">
        <v>44998</v>
      </c>
      <c r="D283" s="48">
        <v>45000</v>
      </c>
      <c r="E283" s="47" t="s">
        <v>21</v>
      </c>
      <c r="F283" s="47" t="s">
        <v>22</v>
      </c>
      <c r="G283" s="47" t="s">
        <v>16</v>
      </c>
      <c r="H283" s="47" t="s">
        <v>34</v>
      </c>
      <c r="I283" s="47" t="s">
        <v>25</v>
      </c>
      <c r="J283" s="47" t="s">
        <v>35</v>
      </c>
      <c r="K283" s="47" t="s">
        <v>46</v>
      </c>
      <c r="L283" s="47">
        <v>8</v>
      </c>
      <c r="M283" s="47">
        <v>3277.19</v>
      </c>
      <c r="N283" s="49">
        <v>15</v>
      </c>
      <c r="O283" s="4"/>
      <c r="P283" s="4"/>
      <c r="Q283" s="4"/>
      <c r="R283" s="4"/>
    </row>
    <row r="284" spans="1:18" x14ac:dyDescent="0.3">
      <c r="A284" s="1">
        <v>10370</v>
      </c>
      <c r="B284" s="47">
        <v>1303</v>
      </c>
      <c r="C284" s="48">
        <v>44981</v>
      </c>
      <c r="D284" s="48">
        <v>44987</v>
      </c>
      <c r="E284" s="47" t="s">
        <v>21</v>
      </c>
      <c r="F284" s="47" t="s">
        <v>40</v>
      </c>
      <c r="G284" s="47" t="s">
        <v>29</v>
      </c>
      <c r="H284" s="47" t="s">
        <v>17</v>
      </c>
      <c r="I284" s="47" t="s">
        <v>48</v>
      </c>
      <c r="J284" s="47" t="s">
        <v>62</v>
      </c>
      <c r="K284" s="47" t="s">
        <v>27</v>
      </c>
      <c r="L284" s="47">
        <v>6</v>
      </c>
      <c r="M284" s="47">
        <v>1628.56</v>
      </c>
      <c r="N284" s="49">
        <v>0</v>
      </c>
      <c r="O284" s="4"/>
      <c r="P284" s="4"/>
      <c r="Q284" s="4"/>
      <c r="R284" s="4"/>
    </row>
    <row r="285" spans="1:18" x14ac:dyDescent="0.3">
      <c r="A285" s="1">
        <v>10371</v>
      </c>
      <c r="B285" s="47">
        <v>1253</v>
      </c>
      <c r="C285" s="48">
        <v>44973</v>
      </c>
      <c r="D285" s="48">
        <v>44979</v>
      </c>
      <c r="E285" s="47" t="s">
        <v>33</v>
      </c>
      <c r="F285" s="47" t="s">
        <v>40</v>
      </c>
      <c r="G285" s="47" t="s">
        <v>16</v>
      </c>
      <c r="H285" s="47" t="s">
        <v>17</v>
      </c>
      <c r="I285" s="47" t="s">
        <v>48</v>
      </c>
      <c r="J285" s="47" t="s">
        <v>66</v>
      </c>
      <c r="K285" s="47" t="s">
        <v>46</v>
      </c>
      <c r="L285" s="47">
        <v>6</v>
      </c>
      <c r="M285" s="47">
        <v>2715.13</v>
      </c>
      <c r="N285" s="49">
        <v>20</v>
      </c>
      <c r="O285" s="4"/>
      <c r="P285" s="4"/>
      <c r="Q285" s="4"/>
      <c r="R285" s="4"/>
    </row>
    <row r="286" spans="1:18" x14ac:dyDescent="0.3">
      <c r="A286" s="1">
        <v>10372</v>
      </c>
      <c r="B286" s="47">
        <v>1651</v>
      </c>
      <c r="C286" s="48">
        <v>45164</v>
      </c>
      <c r="D286" s="48">
        <v>45167</v>
      </c>
      <c r="E286" s="47" t="s">
        <v>15</v>
      </c>
      <c r="F286" s="47" t="s">
        <v>22</v>
      </c>
      <c r="G286" s="47" t="s">
        <v>23</v>
      </c>
      <c r="H286" s="47" t="s">
        <v>34</v>
      </c>
      <c r="I286" s="47" t="s">
        <v>48</v>
      </c>
      <c r="J286" s="47" t="s">
        <v>62</v>
      </c>
      <c r="K286" s="47" t="s">
        <v>20</v>
      </c>
      <c r="L286" s="47">
        <v>2</v>
      </c>
      <c r="M286" s="47">
        <v>3957.02</v>
      </c>
      <c r="N286" s="49">
        <v>5</v>
      </c>
      <c r="O286" s="4"/>
      <c r="P286" s="4"/>
      <c r="Q286" s="4"/>
      <c r="R286" s="4"/>
    </row>
    <row r="287" spans="1:18" x14ac:dyDescent="0.3">
      <c r="A287" s="1">
        <v>10373</v>
      </c>
      <c r="B287" s="47">
        <v>1452</v>
      </c>
      <c r="C287" s="48">
        <v>45030</v>
      </c>
      <c r="D287" s="48">
        <v>45036</v>
      </c>
      <c r="E287" s="47" t="s">
        <v>21</v>
      </c>
      <c r="F287" s="47" t="s">
        <v>15</v>
      </c>
      <c r="G287" s="47" t="s">
        <v>23</v>
      </c>
      <c r="H287" s="47" t="s">
        <v>17</v>
      </c>
      <c r="I287" s="47" t="s">
        <v>51</v>
      </c>
      <c r="J287" s="47" t="s">
        <v>52</v>
      </c>
      <c r="K287" s="47" t="s">
        <v>20</v>
      </c>
      <c r="L287" s="47">
        <v>6</v>
      </c>
      <c r="M287" s="47">
        <v>1019.05</v>
      </c>
      <c r="N287" s="49">
        <v>0</v>
      </c>
      <c r="O287" s="4"/>
      <c r="P287" s="4"/>
      <c r="Q287" s="4"/>
      <c r="R287" s="4"/>
    </row>
    <row r="288" spans="1:18" x14ac:dyDescent="0.3">
      <c r="A288" s="1">
        <v>10374</v>
      </c>
      <c r="B288" s="47">
        <v>1036</v>
      </c>
      <c r="C288" s="48">
        <v>45136</v>
      </c>
      <c r="D288" s="48">
        <v>45141</v>
      </c>
      <c r="E288" s="47" t="s">
        <v>36</v>
      </c>
      <c r="F288" s="47" t="s">
        <v>15</v>
      </c>
      <c r="G288" s="47" t="s">
        <v>16</v>
      </c>
      <c r="H288" s="47" t="s">
        <v>41</v>
      </c>
      <c r="I288" s="47" t="s">
        <v>56</v>
      </c>
      <c r="J288" s="47" t="s">
        <v>57</v>
      </c>
      <c r="K288" s="47" t="s">
        <v>32</v>
      </c>
      <c r="L288" s="47">
        <v>5</v>
      </c>
      <c r="M288" s="47">
        <v>1651.11</v>
      </c>
      <c r="N288" s="49">
        <v>20</v>
      </c>
      <c r="O288" s="4"/>
      <c r="P288" s="4"/>
      <c r="Q288" s="4"/>
      <c r="R288" s="4"/>
    </row>
    <row r="289" spans="1:18" x14ac:dyDescent="0.3">
      <c r="A289" s="1">
        <v>10376</v>
      </c>
      <c r="B289" s="47">
        <v>1008</v>
      </c>
      <c r="C289" s="48">
        <v>45242</v>
      </c>
      <c r="D289" s="48">
        <v>45251</v>
      </c>
      <c r="E289" s="47" t="s">
        <v>36</v>
      </c>
      <c r="F289" s="47" t="s">
        <v>53</v>
      </c>
      <c r="G289" s="47" t="s">
        <v>29</v>
      </c>
      <c r="H289" s="47" t="s">
        <v>17</v>
      </c>
      <c r="I289" s="47" t="s">
        <v>56</v>
      </c>
      <c r="J289" s="47" t="s">
        <v>58</v>
      </c>
      <c r="K289" s="47" t="s">
        <v>44</v>
      </c>
      <c r="L289" s="47">
        <v>6</v>
      </c>
      <c r="M289" s="47">
        <v>681.36</v>
      </c>
      <c r="N289" s="49">
        <v>15</v>
      </c>
      <c r="O289" s="4"/>
      <c r="P289" s="4"/>
      <c r="Q289" s="4"/>
      <c r="R289" s="4"/>
    </row>
    <row r="290" spans="1:18" x14ac:dyDescent="0.3">
      <c r="A290" s="1">
        <v>10379</v>
      </c>
      <c r="B290" s="47">
        <v>1658</v>
      </c>
      <c r="C290" s="48">
        <v>45262</v>
      </c>
      <c r="D290" s="48">
        <v>45270</v>
      </c>
      <c r="E290" s="47" t="s">
        <v>14</v>
      </c>
      <c r="F290" s="47" t="s">
        <v>15</v>
      </c>
      <c r="G290" s="47" t="s">
        <v>23</v>
      </c>
      <c r="H290" s="47" t="s">
        <v>34</v>
      </c>
      <c r="I290" s="47" t="s">
        <v>25</v>
      </c>
      <c r="J290" s="47" t="s">
        <v>67</v>
      </c>
      <c r="K290" s="47" t="s">
        <v>44</v>
      </c>
      <c r="L290" s="47">
        <v>1</v>
      </c>
      <c r="M290" s="47">
        <v>3910.66</v>
      </c>
      <c r="N290" s="49">
        <v>5</v>
      </c>
      <c r="O290" s="4"/>
      <c r="P290" s="4"/>
      <c r="Q290" s="4"/>
      <c r="R290" s="4"/>
    </row>
    <row r="291" spans="1:18" x14ac:dyDescent="0.3">
      <c r="A291" s="1">
        <v>10381</v>
      </c>
      <c r="B291" s="47">
        <v>1207</v>
      </c>
      <c r="C291" s="48">
        <v>45185</v>
      </c>
      <c r="D291" s="48">
        <v>45188</v>
      </c>
      <c r="E291" s="47" t="s">
        <v>15</v>
      </c>
      <c r="F291" s="47" t="s">
        <v>22</v>
      </c>
      <c r="G291" s="47" t="s">
        <v>23</v>
      </c>
      <c r="H291" s="47" t="s">
        <v>43</v>
      </c>
      <c r="I291" s="47" t="s">
        <v>51</v>
      </c>
      <c r="J291" s="47" t="s">
        <v>55</v>
      </c>
      <c r="K291" s="47" t="s">
        <v>46</v>
      </c>
      <c r="L291" s="47">
        <v>3</v>
      </c>
      <c r="M291" s="47">
        <v>487.45</v>
      </c>
      <c r="N291" s="49">
        <v>5</v>
      </c>
      <c r="O291" s="4"/>
      <c r="P291" s="4"/>
      <c r="Q291" s="4"/>
      <c r="R291" s="4"/>
    </row>
    <row r="292" spans="1:18" x14ac:dyDescent="0.3">
      <c r="A292" s="1">
        <v>10383</v>
      </c>
      <c r="B292" s="47">
        <v>1403</v>
      </c>
      <c r="C292" s="48">
        <v>45040</v>
      </c>
      <c r="D292" s="48">
        <v>45042</v>
      </c>
      <c r="E292" s="47" t="s">
        <v>36</v>
      </c>
      <c r="F292" s="47" t="s">
        <v>22</v>
      </c>
      <c r="G292" s="47" t="s">
        <v>23</v>
      </c>
      <c r="H292" s="47" t="s">
        <v>41</v>
      </c>
      <c r="I292" s="47" t="s">
        <v>30</v>
      </c>
      <c r="J292" s="47" t="s">
        <v>47</v>
      </c>
      <c r="K292" s="47" t="s">
        <v>32</v>
      </c>
      <c r="L292" s="47">
        <v>1</v>
      </c>
      <c r="M292" s="47">
        <v>3581.58</v>
      </c>
      <c r="N292" s="49">
        <v>15</v>
      </c>
      <c r="O292" s="4"/>
      <c r="P292" s="4"/>
      <c r="Q292" s="4"/>
      <c r="R292" s="4"/>
    </row>
    <row r="293" spans="1:18" x14ac:dyDescent="0.3">
      <c r="A293" s="1">
        <v>10384</v>
      </c>
      <c r="B293" s="47">
        <v>1151</v>
      </c>
      <c r="C293" s="48">
        <v>45289</v>
      </c>
      <c r="D293" s="48">
        <v>45297</v>
      </c>
      <c r="E293" s="47" t="s">
        <v>21</v>
      </c>
      <c r="F293" s="47" t="s">
        <v>15</v>
      </c>
      <c r="G293" s="47" t="s">
        <v>23</v>
      </c>
      <c r="H293" s="47" t="s">
        <v>41</v>
      </c>
      <c r="I293" s="47" t="s">
        <v>18</v>
      </c>
      <c r="J293" s="47" t="s">
        <v>54</v>
      </c>
      <c r="K293" s="47" t="s">
        <v>27</v>
      </c>
      <c r="L293" s="47">
        <v>5</v>
      </c>
      <c r="M293" s="47">
        <v>1935.68</v>
      </c>
      <c r="N293" s="49">
        <v>20</v>
      </c>
      <c r="O293" s="4"/>
      <c r="P293" s="4"/>
      <c r="Q293" s="4"/>
      <c r="R293" s="4"/>
    </row>
    <row r="294" spans="1:18" x14ac:dyDescent="0.3">
      <c r="A294" s="1">
        <v>10385</v>
      </c>
      <c r="B294" s="47">
        <v>1053</v>
      </c>
      <c r="C294" s="48">
        <v>44966</v>
      </c>
      <c r="D294" s="48">
        <v>44967</v>
      </c>
      <c r="E294" s="47" t="s">
        <v>15</v>
      </c>
      <c r="F294" s="47" t="s">
        <v>22</v>
      </c>
      <c r="G294" s="47" t="s">
        <v>23</v>
      </c>
      <c r="H294" s="47" t="s">
        <v>41</v>
      </c>
      <c r="I294" s="47" t="s">
        <v>51</v>
      </c>
      <c r="J294" s="47" t="s">
        <v>63</v>
      </c>
      <c r="K294" s="47" t="s">
        <v>32</v>
      </c>
      <c r="L294" s="47">
        <v>3</v>
      </c>
      <c r="M294" s="47">
        <v>1382.11</v>
      </c>
      <c r="N294" s="49">
        <v>10</v>
      </c>
      <c r="O294" s="4"/>
      <c r="P294" s="4"/>
      <c r="Q294" s="4"/>
      <c r="R294" s="4"/>
    </row>
    <row r="295" spans="1:18" x14ac:dyDescent="0.3">
      <c r="A295" s="1">
        <v>10386</v>
      </c>
      <c r="B295" s="47">
        <v>1119</v>
      </c>
      <c r="C295" s="48">
        <v>45146</v>
      </c>
      <c r="D295" s="48">
        <v>45154</v>
      </c>
      <c r="E295" s="47" t="s">
        <v>14</v>
      </c>
      <c r="F295" s="47" t="s">
        <v>22</v>
      </c>
      <c r="G295" s="47" t="s">
        <v>23</v>
      </c>
      <c r="H295" s="47" t="s">
        <v>43</v>
      </c>
      <c r="I295" s="47" t="s">
        <v>48</v>
      </c>
      <c r="J295" s="47" t="s">
        <v>66</v>
      </c>
      <c r="K295" s="47" t="s">
        <v>27</v>
      </c>
      <c r="L295" s="47">
        <v>2</v>
      </c>
      <c r="M295" s="47">
        <v>1984.38</v>
      </c>
      <c r="N295" s="49">
        <v>10</v>
      </c>
      <c r="O295" s="4"/>
      <c r="P295" s="4"/>
      <c r="Q295" s="4"/>
      <c r="R295" s="4"/>
    </row>
    <row r="296" spans="1:18" x14ac:dyDescent="0.3">
      <c r="A296" s="1">
        <v>10387</v>
      </c>
      <c r="B296" s="47">
        <v>1672</v>
      </c>
      <c r="C296" s="48">
        <v>45055</v>
      </c>
      <c r="D296" s="48">
        <v>45062</v>
      </c>
      <c r="E296" s="47" t="s">
        <v>45</v>
      </c>
      <c r="F296" s="47" t="s">
        <v>28</v>
      </c>
      <c r="G296" s="47" t="s">
        <v>23</v>
      </c>
      <c r="H296" s="47" t="s">
        <v>41</v>
      </c>
      <c r="I296" s="47" t="s">
        <v>30</v>
      </c>
      <c r="J296" s="47" t="s">
        <v>31</v>
      </c>
      <c r="K296" s="47" t="s">
        <v>32</v>
      </c>
      <c r="L296" s="47">
        <v>8</v>
      </c>
      <c r="M296" s="47">
        <v>1375.47</v>
      </c>
      <c r="N296" s="49">
        <v>15</v>
      </c>
      <c r="O296" s="4"/>
      <c r="P296" s="4"/>
      <c r="Q296" s="4"/>
      <c r="R296" s="4"/>
    </row>
    <row r="297" spans="1:18" x14ac:dyDescent="0.3">
      <c r="A297" s="1">
        <v>10388</v>
      </c>
      <c r="B297" s="47">
        <v>1919</v>
      </c>
      <c r="C297" s="48">
        <v>44934</v>
      </c>
      <c r="D297" s="48">
        <v>44941</v>
      </c>
      <c r="E297" s="47" t="s">
        <v>21</v>
      </c>
      <c r="F297" s="47" t="s">
        <v>53</v>
      </c>
      <c r="G297" s="47" t="s">
        <v>29</v>
      </c>
      <c r="H297" s="47" t="s">
        <v>17</v>
      </c>
      <c r="I297" s="47" t="s">
        <v>30</v>
      </c>
      <c r="J297" s="47" t="s">
        <v>38</v>
      </c>
      <c r="K297" s="47" t="s">
        <v>32</v>
      </c>
      <c r="L297" s="47">
        <v>3</v>
      </c>
      <c r="M297" s="47">
        <v>2032.79</v>
      </c>
      <c r="N297" s="49">
        <v>10</v>
      </c>
      <c r="O297" s="4"/>
      <c r="P297" s="4"/>
      <c r="Q297" s="4"/>
      <c r="R297" s="4"/>
    </row>
    <row r="298" spans="1:18" x14ac:dyDescent="0.3">
      <c r="A298" s="1">
        <v>10390</v>
      </c>
      <c r="B298" s="47">
        <v>1586</v>
      </c>
      <c r="C298" s="48">
        <v>45102</v>
      </c>
      <c r="D298" s="48">
        <v>45103</v>
      </c>
      <c r="E298" s="47" t="s">
        <v>39</v>
      </c>
      <c r="F298" s="47" t="s">
        <v>53</v>
      </c>
      <c r="G298" s="47" t="s">
        <v>23</v>
      </c>
      <c r="H298" s="47" t="s">
        <v>34</v>
      </c>
      <c r="I298" s="47" t="s">
        <v>30</v>
      </c>
      <c r="J298" s="47" t="s">
        <v>47</v>
      </c>
      <c r="K298" s="47" t="s">
        <v>46</v>
      </c>
      <c r="L298" s="47">
        <v>1</v>
      </c>
      <c r="M298" s="47">
        <v>2430.36</v>
      </c>
      <c r="N298" s="49">
        <v>15</v>
      </c>
      <c r="O298" s="4"/>
      <c r="P298" s="4"/>
      <c r="Q298" s="4"/>
      <c r="R298" s="4"/>
    </row>
    <row r="299" spans="1:18" x14ac:dyDescent="0.3">
      <c r="A299" s="1">
        <v>10392</v>
      </c>
      <c r="B299" s="47">
        <v>1967</v>
      </c>
      <c r="C299" s="48">
        <v>45027</v>
      </c>
      <c r="D299" s="48">
        <v>45036</v>
      </c>
      <c r="E299" s="47" t="s">
        <v>21</v>
      </c>
      <c r="F299" s="47" t="s">
        <v>37</v>
      </c>
      <c r="G299" s="47" t="s">
        <v>23</v>
      </c>
      <c r="H299" s="47" t="s">
        <v>24</v>
      </c>
      <c r="I299" s="47" t="s">
        <v>51</v>
      </c>
      <c r="J299" s="47" t="s">
        <v>59</v>
      </c>
      <c r="K299" s="47" t="s">
        <v>32</v>
      </c>
      <c r="L299" s="47">
        <v>3</v>
      </c>
      <c r="M299" s="47">
        <v>1553.98</v>
      </c>
      <c r="N299" s="49">
        <v>15</v>
      </c>
      <c r="O299" s="4"/>
      <c r="P299" s="4"/>
      <c r="Q299" s="4"/>
      <c r="R299" s="4"/>
    </row>
    <row r="300" spans="1:18" x14ac:dyDescent="0.3">
      <c r="A300" s="1">
        <v>10393</v>
      </c>
      <c r="B300" s="47">
        <v>1419</v>
      </c>
      <c r="C300" s="48">
        <v>45186</v>
      </c>
      <c r="D300" s="48">
        <v>45191</v>
      </c>
      <c r="E300" s="47" t="s">
        <v>39</v>
      </c>
      <c r="F300" s="47" t="s">
        <v>22</v>
      </c>
      <c r="G300" s="47" t="s">
        <v>23</v>
      </c>
      <c r="H300" s="47" t="s">
        <v>34</v>
      </c>
      <c r="I300" s="47" t="s">
        <v>51</v>
      </c>
      <c r="J300" s="47" t="s">
        <v>59</v>
      </c>
      <c r="K300" s="47" t="s">
        <v>44</v>
      </c>
      <c r="L300" s="47">
        <v>8</v>
      </c>
      <c r="M300" s="47">
        <v>2993.25</v>
      </c>
      <c r="N300" s="49">
        <v>10</v>
      </c>
      <c r="O300" s="4"/>
      <c r="P300" s="4"/>
      <c r="Q300" s="4"/>
      <c r="R300" s="4"/>
    </row>
    <row r="301" spans="1:18" x14ac:dyDescent="0.3">
      <c r="A301" s="1">
        <v>10394</v>
      </c>
      <c r="B301" s="47">
        <v>1421</v>
      </c>
      <c r="C301" s="48">
        <v>45172</v>
      </c>
      <c r="D301" s="48">
        <v>45173</v>
      </c>
      <c r="E301" s="47" t="s">
        <v>21</v>
      </c>
      <c r="F301" s="47" t="s">
        <v>28</v>
      </c>
      <c r="G301" s="47" t="s">
        <v>16</v>
      </c>
      <c r="H301" s="47" t="s">
        <v>17</v>
      </c>
      <c r="I301" s="47" t="s">
        <v>48</v>
      </c>
      <c r="J301" s="47" t="s">
        <v>49</v>
      </c>
      <c r="K301" s="47" t="s">
        <v>46</v>
      </c>
      <c r="L301" s="47">
        <v>6</v>
      </c>
      <c r="M301" s="47">
        <v>2716.48</v>
      </c>
      <c r="N301" s="49">
        <v>0</v>
      </c>
      <c r="O301" s="4"/>
      <c r="P301" s="4"/>
      <c r="Q301" s="4"/>
      <c r="R301" s="4"/>
    </row>
    <row r="302" spans="1:18" x14ac:dyDescent="0.3">
      <c r="A302" s="1">
        <v>10395</v>
      </c>
      <c r="B302" s="47">
        <v>1103</v>
      </c>
      <c r="C302" s="48">
        <v>45201</v>
      </c>
      <c r="D302" s="48">
        <v>45206</v>
      </c>
      <c r="E302" s="47" t="s">
        <v>15</v>
      </c>
      <c r="F302" s="47" t="s">
        <v>22</v>
      </c>
      <c r="G302" s="47" t="s">
        <v>23</v>
      </c>
      <c r="H302" s="47" t="s">
        <v>43</v>
      </c>
      <c r="I302" s="47" t="s">
        <v>25</v>
      </c>
      <c r="J302" s="47" t="s">
        <v>35</v>
      </c>
      <c r="K302" s="47" t="s">
        <v>44</v>
      </c>
      <c r="L302" s="47">
        <v>2</v>
      </c>
      <c r="M302" s="47">
        <v>610.30999999999995</v>
      </c>
      <c r="N302" s="49">
        <v>10</v>
      </c>
      <c r="O302" s="4"/>
      <c r="P302" s="4"/>
      <c r="Q302" s="4"/>
      <c r="R302" s="4"/>
    </row>
    <row r="303" spans="1:18" x14ac:dyDescent="0.3">
      <c r="A303" s="1">
        <v>10396</v>
      </c>
      <c r="B303" s="47">
        <v>1851</v>
      </c>
      <c r="C303" s="48">
        <v>44958</v>
      </c>
      <c r="D303" s="48">
        <v>44966</v>
      </c>
      <c r="E303" s="47" t="s">
        <v>45</v>
      </c>
      <c r="F303" s="47" t="s">
        <v>15</v>
      </c>
      <c r="G303" s="47" t="s">
        <v>29</v>
      </c>
      <c r="H303" s="47" t="s">
        <v>43</v>
      </c>
      <c r="I303" s="47" t="s">
        <v>48</v>
      </c>
      <c r="J303" s="47" t="s">
        <v>50</v>
      </c>
      <c r="K303" s="47" t="s">
        <v>46</v>
      </c>
      <c r="L303" s="47">
        <v>6</v>
      </c>
      <c r="M303" s="47">
        <v>2354.67</v>
      </c>
      <c r="N303" s="49">
        <v>15</v>
      </c>
      <c r="O303" s="4"/>
      <c r="P303" s="4"/>
      <c r="Q303" s="4"/>
      <c r="R303" s="4"/>
    </row>
    <row r="304" spans="1:18" x14ac:dyDescent="0.3">
      <c r="A304" s="1">
        <v>10398</v>
      </c>
      <c r="B304" s="47">
        <v>1226</v>
      </c>
      <c r="C304" s="48">
        <v>44938</v>
      </c>
      <c r="D304" s="48">
        <v>44943</v>
      </c>
      <c r="E304" s="47" t="s">
        <v>21</v>
      </c>
      <c r="F304" s="47" t="s">
        <v>28</v>
      </c>
      <c r="G304" s="47" t="s">
        <v>16</v>
      </c>
      <c r="H304" s="47" t="s">
        <v>43</v>
      </c>
      <c r="I304" s="47" t="s">
        <v>48</v>
      </c>
      <c r="J304" s="47" t="s">
        <v>62</v>
      </c>
      <c r="K304" s="47" t="s">
        <v>32</v>
      </c>
      <c r="L304" s="47">
        <v>5</v>
      </c>
      <c r="M304" s="47">
        <v>3245.77</v>
      </c>
      <c r="N304" s="49">
        <v>0</v>
      </c>
      <c r="O304" s="4"/>
      <c r="P304" s="4"/>
      <c r="Q304" s="4"/>
      <c r="R304" s="4"/>
    </row>
    <row r="305" spans="1:18" x14ac:dyDescent="0.3">
      <c r="A305" s="1">
        <v>10399</v>
      </c>
      <c r="B305" s="47">
        <v>1111</v>
      </c>
      <c r="C305" s="48">
        <v>45228</v>
      </c>
      <c r="D305" s="48">
        <v>45237</v>
      </c>
      <c r="E305" s="47" t="s">
        <v>15</v>
      </c>
      <c r="F305" s="47" t="s">
        <v>15</v>
      </c>
      <c r="G305" s="47" t="s">
        <v>23</v>
      </c>
      <c r="H305" s="47" t="s">
        <v>41</v>
      </c>
      <c r="I305" s="47" t="s">
        <v>18</v>
      </c>
      <c r="J305" s="47" t="s">
        <v>42</v>
      </c>
      <c r="K305" s="47" t="s">
        <v>32</v>
      </c>
      <c r="L305" s="47">
        <v>3</v>
      </c>
      <c r="M305" s="47">
        <v>1789.86</v>
      </c>
      <c r="N305" s="49">
        <v>0</v>
      </c>
      <c r="O305" s="4"/>
      <c r="P305" s="4"/>
      <c r="Q305" s="4"/>
      <c r="R305" s="4"/>
    </row>
    <row r="306" spans="1:18" x14ac:dyDescent="0.3">
      <c r="A306" s="1">
        <v>10403</v>
      </c>
      <c r="B306" s="47">
        <v>1152</v>
      </c>
      <c r="C306" s="48">
        <v>45035</v>
      </c>
      <c r="D306" s="48">
        <v>45037</v>
      </c>
      <c r="E306" s="47" t="s">
        <v>15</v>
      </c>
      <c r="F306" s="47" t="s">
        <v>37</v>
      </c>
      <c r="G306" s="47" t="s">
        <v>23</v>
      </c>
      <c r="H306" s="47" t="s">
        <v>43</v>
      </c>
      <c r="I306" s="47" t="s">
        <v>25</v>
      </c>
      <c r="J306" s="47" t="s">
        <v>35</v>
      </c>
      <c r="K306" s="47" t="s">
        <v>20</v>
      </c>
      <c r="L306" s="47">
        <v>1</v>
      </c>
      <c r="M306" s="47">
        <v>2743.75</v>
      </c>
      <c r="N306" s="49">
        <v>15</v>
      </c>
      <c r="O306" s="4"/>
      <c r="P306" s="4"/>
      <c r="Q306" s="4"/>
      <c r="R306" s="4"/>
    </row>
    <row r="307" spans="1:18" x14ac:dyDescent="0.3">
      <c r="A307" s="1">
        <v>10405</v>
      </c>
      <c r="B307" s="47">
        <v>1913</v>
      </c>
      <c r="C307" s="48">
        <v>45084</v>
      </c>
      <c r="D307" s="48">
        <v>45091</v>
      </c>
      <c r="E307" s="47" t="s">
        <v>45</v>
      </c>
      <c r="F307" s="47" t="s">
        <v>22</v>
      </c>
      <c r="G307" s="47" t="s">
        <v>23</v>
      </c>
      <c r="H307" s="47" t="s">
        <v>24</v>
      </c>
      <c r="I307" s="47" t="s">
        <v>18</v>
      </c>
      <c r="J307" s="47" t="s">
        <v>68</v>
      </c>
      <c r="K307" s="47" t="s">
        <v>44</v>
      </c>
      <c r="L307" s="47">
        <v>4</v>
      </c>
      <c r="M307" s="47">
        <v>1333.99</v>
      </c>
      <c r="N307" s="49">
        <v>5</v>
      </c>
      <c r="O307" s="4"/>
      <c r="P307" s="4"/>
      <c r="Q307" s="4"/>
      <c r="R307" s="4"/>
    </row>
    <row r="308" spans="1:18" x14ac:dyDescent="0.3">
      <c r="A308" s="1">
        <v>10406</v>
      </c>
      <c r="B308" s="47">
        <v>1895</v>
      </c>
      <c r="C308" s="48">
        <v>45195</v>
      </c>
      <c r="D308" s="48">
        <v>45204</v>
      </c>
      <c r="E308" s="47" t="s">
        <v>15</v>
      </c>
      <c r="F308" s="47" t="s">
        <v>28</v>
      </c>
      <c r="G308" s="47" t="s">
        <v>29</v>
      </c>
      <c r="H308" s="47" t="s">
        <v>43</v>
      </c>
      <c r="I308" s="47" t="s">
        <v>48</v>
      </c>
      <c r="J308" s="47" t="s">
        <v>50</v>
      </c>
      <c r="K308" s="47" t="s">
        <v>20</v>
      </c>
      <c r="L308" s="47">
        <v>1</v>
      </c>
      <c r="M308" s="47">
        <v>2044.41</v>
      </c>
      <c r="N308" s="49">
        <v>0</v>
      </c>
      <c r="O308" s="4"/>
      <c r="P308" s="4"/>
      <c r="Q308" s="4"/>
      <c r="R308" s="4"/>
    </row>
    <row r="309" spans="1:18" x14ac:dyDescent="0.3">
      <c r="A309" s="1">
        <v>10407</v>
      </c>
      <c r="B309" s="47">
        <v>1877</v>
      </c>
      <c r="C309" s="48">
        <v>45088</v>
      </c>
      <c r="D309" s="48">
        <v>45090</v>
      </c>
      <c r="E309" s="47" t="s">
        <v>21</v>
      </c>
      <c r="F309" s="47" t="s">
        <v>22</v>
      </c>
      <c r="G309" s="47" t="s">
        <v>23</v>
      </c>
      <c r="H309" s="47" t="s">
        <v>24</v>
      </c>
      <c r="I309" s="47" t="s">
        <v>51</v>
      </c>
      <c r="J309" s="47" t="s">
        <v>52</v>
      </c>
      <c r="K309" s="47" t="s">
        <v>32</v>
      </c>
      <c r="L309" s="47">
        <v>9</v>
      </c>
      <c r="M309" s="47">
        <v>3216.56</v>
      </c>
      <c r="N309" s="49">
        <v>20</v>
      </c>
      <c r="O309" s="4"/>
      <c r="P309" s="4"/>
      <c r="Q309" s="4"/>
      <c r="R309" s="4"/>
    </row>
    <row r="310" spans="1:18" x14ac:dyDescent="0.3">
      <c r="A310" s="1">
        <v>10409</v>
      </c>
      <c r="B310" s="47">
        <v>1705</v>
      </c>
      <c r="C310" s="48">
        <v>45028</v>
      </c>
      <c r="D310" s="48">
        <v>45034</v>
      </c>
      <c r="E310" s="47" t="s">
        <v>36</v>
      </c>
      <c r="F310" s="47" t="s">
        <v>15</v>
      </c>
      <c r="G310" s="47" t="s">
        <v>23</v>
      </c>
      <c r="H310" s="47" t="s">
        <v>17</v>
      </c>
      <c r="I310" s="47" t="s">
        <v>30</v>
      </c>
      <c r="J310" s="47" t="s">
        <v>38</v>
      </c>
      <c r="K310" s="47" t="s">
        <v>32</v>
      </c>
      <c r="L310" s="47">
        <v>7</v>
      </c>
      <c r="M310" s="47">
        <v>1020.23</v>
      </c>
      <c r="N310" s="49">
        <v>10</v>
      </c>
      <c r="O310" s="4"/>
      <c r="P310" s="4"/>
      <c r="Q310" s="4"/>
      <c r="R310" s="4"/>
    </row>
    <row r="311" spans="1:18" x14ac:dyDescent="0.3">
      <c r="A311" s="1">
        <v>10411</v>
      </c>
      <c r="B311" s="47">
        <v>1162</v>
      </c>
      <c r="C311" s="48">
        <v>44985</v>
      </c>
      <c r="D311" s="48">
        <v>44993</v>
      </c>
      <c r="E311" s="47" t="s">
        <v>45</v>
      </c>
      <c r="F311" s="47" t="s">
        <v>15</v>
      </c>
      <c r="G311" s="47" t="s">
        <v>29</v>
      </c>
      <c r="H311" s="47" t="s">
        <v>24</v>
      </c>
      <c r="I311" s="47" t="s">
        <v>18</v>
      </c>
      <c r="J311" s="47" t="s">
        <v>42</v>
      </c>
      <c r="K311" s="47" t="s">
        <v>32</v>
      </c>
      <c r="L311" s="47">
        <v>3</v>
      </c>
      <c r="M311" s="47">
        <v>2165.7199999999998</v>
      </c>
      <c r="N311" s="49">
        <v>5</v>
      </c>
      <c r="O311" s="4"/>
      <c r="P311" s="4"/>
      <c r="Q311" s="4"/>
      <c r="R311" s="4"/>
    </row>
    <row r="312" spans="1:18" x14ac:dyDescent="0.3">
      <c r="A312" s="1">
        <v>10413</v>
      </c>
      <c r="B312" s="47">
        <v>1956</v>
      </c>
      <c r="C312" s="48">
        <v>45054</v>
      </c>
      <c r="D312" s="48">
        <v>45056</v>
      </c>
      <c r="E312" s="47" t="s">
        <v>36</v>
      </c>
      <c r="F312" s="47" t="s">
        <v>53</v>
      </c>
      <c r="G312" s="47" t="s">
        <v>23</v>
      </c>
      <c r="H312" s="47" t="s">
        <v>17</v>
      </c>
      <c r="I312" s="47" t="s">
        <v>51</v>
      </c>
      <c r="J312" s="47" t="s">
        <v>52</v>
      </c>
      <c r="K312" s="47" t="s">
        <v>27</v>
      </c>
      <c r="L312" s="47">
        <v>8</v>
      </c>
      <c r="M312" s="47">
        <v>1297.5899999999999</v>
      </c>
      <c r="N312" s="49">
        <v>0</v>
      </c>
      <c r="O312" s="4"/>
      <c r="P312" s="4"/>
      <c r="Q312" s="4"/>
      <c r="R312" s="4"/>
    </row>
    <row r="313" spans="1:18" x14ac:dyDescent="0.3">
      <c r="A313" s="1">
        <v>10414</v>
      </c>
      <c r="B313" s="47">
        <v>1680</v>
      </c>
      <c r="C313" s="48">
        <v>45209</v>
      </c>
      <c r="D313" s="48">
        <v>45212</v>
      </c>
      <c r="E313" s="47" t="s">
        <v>45</v>
      </c>
      <c r="F313" s="47" t="s">
        <v>53</v>
      </c>
      <c r="G313" s="47" t="s">
        <v>29</v>
      </c>
      <c r="H313" s="47" t="s">
        <v>41</v>
      </c>
      <c r="I313" s="47" t="s">
        <v>25</v>
      </c>
      <c r="J313" s="47" t="s">
        <v>35</v>
      </c>
      <c r="K313" s="47" t="s">
        <v>44</v>
      </c>
      <c r="L313" s="47">
        <v>1</v>
      </c>
      <c r="M313" s="47">
        <v>1219.7</v>
      </c>
      <c r="N313" s="49">
        <v>5</v>
      </c>
      <c r="O313" s="4"/>
      <c r="P313" s="4"/>
      <c r="Q313" s="4"/>
      <c r="R313" s="4"/>
    </row>
    <row r="314" spans="1:18" x14ac:dyDescent="0.3">
      <c r="A314" s="1">
        <v>10417</v>
      </c>
      <c r="B314" s="47">
        <v>1579</v>
      </c>
      <c r="C314" s="48">
        <v>45057</v>
      </c>
      <c r="D314" s="48">
        <v>45065</v>
      </c>
      <c r="E314" s="47" t="s">
        <v>21</v>
      </c>
      <c r="F314" s="47" t="s">
        <v>53</v>
      </c>
      <c r="G314" s="47" t="s">
        <v>16</v>
      </c>
      <c r="H314" s="47" t="s">
        <v>43</v>
      </c>
      <c r="I314" s="47" t="s">
        <v>51</v>
      </c>
      <c r="J314" s="47" t="s">
        <v>63</v>
      </c>
      <c r="K314" s="47" t="s">
        <v>44</v>
      </c>
      <c r="L314" s="47">
        <v>1</v>
      </c>
      <c r="M314" s="47">
        <v>3354.81</v>
      </c>
      <c r="N314" s="49">
        <v>0</v>
      </c>
      <c r="O314" s="4"/>
      <c r="P314" s="4"/>
      <c r="Q314" s="4"/>
      <c r="R314" s="4"/>
    </row>
    <row r="315" spans="1:18" x14ac:dyDescent="0.3">
      <c r="A315" s="1">
        <v>10418</v>
      </c>
      <c r="B315" s="47">
        <v>1800</v>
      </c>
      <c r="C315" s="48">
        <v>45279</v>
      </c>
      <c r="D315" s="48">
        <v>45280</v>
      </c>
      <c r="E315" s="47" t="s">
        <v>39</v>
      </c>
      <c r="F315" s="47" t="s">
        <v>53</v>
      </c>
      <c r="G315" s="47" t="s">
        <v>23</v>
      </c>
      <c r="H315" s="47" t="s">
        <v>34</v>
      </c>
      <c r="I315" s="47" t="s">
        <v>51</v>
      </c>
      <c r="J315" s="47" t="s">
        <v>55</v>
      </c>
      <c r="K315" s="47" t="s">
        <v>32</v>
      </c>
      <c r="L315" s="47">
        <v>8</v>
      </c>
      <c r="M315" s="47">
        <v>3905.57</v>
      </c>
      <c r="N315" s="49">
        <v>10</v>
      </c>
      <c r="O315" s="4"/>
      <c r="P315" s="4"/>
      <c r="Q315" s="4"/>
      <c r="R315" s="4"/>
    </row>
    <row r="316" spans="1:18" x14ac:dyDescent="0.3">
      <c r="A316" s="1">
        <v>10422</v>
      </c>
      <c r="B316" s="47">
        <v>1915</v>
      </c>
      <c r="C316" s="48">
        <v>45059</v>
      </c>
      <c r="D316" s="48">
        <v>45061</v>
      </c>
      <c r="E316" s="47" t="s">
        <v>15</v>
      </c>
      <c r="F316" s="47" t="s">
        <v>53</v>
      </c>
      <c r="G316" s="47" t="s">
        <v>16</v>
      </c>
      <c r="H316" s="47" t="s">
        <v>17</v>
      </c>
      <c r="I316" s="47" t="s">
        <v>51</v>
      </c>
      <c r="J316" s="47" t="s">
        <v>63</v>
      </c>
      <c r="K316" s="47" t="s">
        <v>46</v>
      </c>
      <c r="L316" s="47">
        <v>6</v>
      </c>
      <c r="M316" s="47">
        <v>1288.31</v>
      </c>
      <c r="N316" s="49">
        <v>15</v>
      </c>
      <c r="O316" s="4"/>
      <c r="P316" s="4"/>
      <c r="Q316" s="4"/>
      <c r="R316" s="4"/>
    </row>
    <row r="317" spans="1:18" x14ac:dyDescent="0.3">
      <c r="A317" s="1">
        <v>10423</v>
      </c>
      <c r="B317" s="47">
        <v>1503</v>
      </c>
      <c r="C317" s="48">
        <v>45153</v>
      </c>
      <c r="D317" s="48">
        <v>45155</v>
      </c>
      <c r="E317" s="47" t="s">
        <v>39</v>
      </c>
      <c r="F317" s="47" t="s">
        <v>15</v>
      </c>
      <c r="G317" s="47" t="s">
        <v>23</v>
      </c>
      <c r="H317" s="47" t="s">
        <v>43</v>
      </c>
      <c r="I317" s="47" t="s">
        <v>51</v>
      </c>
      <c r="J317" s="47" t="s">
        <v>59</v>
      </c>
      <c r="K317" s="47" t="s">
        <v>46</v>
      </c>
      <c r="L317" s="47">
        <v>9</v>
      </c>
      <c r="M317" s="47">
        <v>3740.3</v>
      </c>
      <c r="N317" s="49">
        <v>10</v>
      </c>
      <c r="O317" s="4"/>
      <c r="P317" s="4"/>
      <c r="Q317" s="4"/>
      <c r="R317" s="4"/>
    </row>
    <row r="318" spans="1:18" x14ac:dyDescent="0.3">
      <c r="A318" s="1">
        <v>10427</v>
      </c>
      <c r="B318" s="47">
        <v>1194</v>
      </c>
      <c r="C318" s="48">
        <v>45137</v>
      </c>
      <c r="D318" s="48">
        <v>45140</v>
      </c>
      <c r="E318" s="47" t="s">
        <v>39</v>
      </c>
      <c r="F318" s="47" t="s">
        <v>22</v>
      </c>
      <c r="G318" s="47" t="s">
        <v>23</v>
      </c>
      <c r="H318" s="47" t="s">
        <v>24</v>
      </c>
      <c r="I318" s="47" t="s">
        <v>18</v>
      </c>
      <c r="J318" s="47" t="s">
        <v>54</v>
      </c>
      <c r="K318" s="47" t="s">
        <v>27</v>
      </c>
      <c r="L318" s="47">
        <v>9</v>
      </c>
      <c r="M318" s="47">
        <v>2454.59</v>
      </c>
      <c r="N318" s="49">
        <v>5</v>
      </c>
      <c r="O318" s="4"/>
      <c r="P318" s="4"/>
      <c r="Q318" s="4"/>
      <c r="R318" s="4"/>
    </row>
    <row r="319" spans="1:18" x14ac:dyDescent="0.3">
      <c r="A319" s="1">
        <v>10431</v>
      </c>
      <c r="B319" s="47">
        <v>1687</v>
      </c>
      <c r="C319" s="48">
        <v>45139</v>
      </c>
      <c r="D319" s="48">
        <v>45146</v>
      </c>
      <c r="E319" s="47" t="s">
        <v>45</v>
      </c>
      <c r="F319" s="47" t="s">
        <v>37</v>
      </c>
      <c r="G319" s="47" t="s">
        <v>29</v>
      </c>
      <c r="H319" s="47" t="s">
        <v>34</v>
      </c>
      <c r="I319" s="47" t="s">
        <v>48</v>
      </c>
      <c r="J319" s="47" t="s">
        <v>50</v>
      </c>
      <c r="K319" s="47" t="s">
        <v>27</v>
      </c>
      <c r="L319" s="47">
        <v>6</v>
      </c>
      <c r="M319" s="47">
        <v>2247.37</v>
      </c>
      <c r="N319" s="49">
        <v>15</v>
      </c>
      <c r="O319" s="4"/>
      <c r="P319" s="4"/>
      <c r="Q319" s="4"/>
      <c r="R319" s="4"/>
    </row>
    <row r="320" spans="1:18" x14ac:dyDescent="0.3">
      <c r="A320" s="1">
        <v>10434</v>
      </c>
      <c r="B320" s="47">
        <v>1882</v>
      </c>
      <c r="C320" s="48">
        <v>45057</v>
      </c>
      <c r="D320" s="48">
        <v>45062</v>
      </c>
      <c r="E320" s="47" t="s">
        <v>45</v>
      </c>
      <c r="F320" s="47" t="s">
        <v>53</v>
      </c>
      <c r="G320" s="47" t="s">
        <v>23</v>
      </c>
      <c r="H320" s="47" t="s">
        <v>24</v>
      </c>
      <c r="I320" s="47" t="s">
        <v>18</v>
      </c>
      <c r="J320" s="47" t="s">
        <v>19</v>
      </c>
      <c r="K320" s="47" t="s">
        <v>44</v>
      </c>
      <c r="L320" s="47">
        <v>8</v>
      </c>
      <c r="M320" s="47">
        <v>437.36</v>
      </c>
      <c r="N320" s="49">
        <v>20</v>
      </c>
      <c r="O320" s="4"/>
      <c r="P320" s="4"/>
      <c r="Q320" s="4"/>
      <c r="R320" s="4"/>
    </row>
    <row r="321" spans="1:18" x14ac:dyDescent="0.3">
      <c r="A321" s="1">
        <v>10435</v>
      </c>
      <c r="B321" s="47">
        <v>1469</v>
      </c>
      <c r="C321" s="48">
        <v>45002</v>
      </c>
      <c r="D321" s="48">
        <v>45009</v>
      </c>
      <c r="E321" s="47" t="s">
        <v>14</v>
      </c>
      <c r="F321" s="47" t="s">
        <v>28</v>
      </c>
      <c r="G321" s="47" t="s">
        <v>23</v>
      </c>
      <c r="H321" s="47" t="s">
        <v>43</v>
      </c>
      <c r="I321" s="47" t="s">
        <v>51</v>
      </c>
      <c r="J321" s="47" t="s">
        <v>55</v>
      </c>
      <c r="K321" s="47" t="s">
        <v>20</v>
      </c>
      <c r="L321" s="47">
        <v>3</v>
      </c>
      <c r="M321" s="47">
        <v>3644.78</v>
      </c>
      <c r="N321" s="49">
        <v>0</v>
      </c>
      <c r="O321" s="4"/>
      <c r="P321" s="4"/>
      <c r="Q321" s="4"/>
      <c r="R321" s="4"/>
    </row>
    <row r="322" spans="1:18" x14ac:dyDescent="0.3">
      <c r="A322" s="1">
        <v>10436</v>
      </c>
      <c r="B322" s="47">
        <v>1374</v>
      </c>
      <c r="C322" s="48">
        <v>45212</v>
      </c>
      <c r="D322" s="48">
        <v>45213</v>
      </c>
      <c r="E322" s="47" t="s">
        <v>14</v>
      </c>
      <c r="F322" s="47" t="s">
        <v>22</v>
      </c>
      <c r="G322" s="47" t="s">
        <v>29</v>
      </c>
      <c r="H322" s="47" t="s">
        <v>17</v>
      </c>
      <c r="I322" s="47" t="s">
        <v>51</v>
      </c>
      <c r="J322" s="47" t="s">
        <v>59</v>
      </c>
      <c r="K322" s="47" t="s">
        <v>20</v>
      </c>
      <c r="L322" s="47">
        <v>3</v>
      </c>
      <c r="M322" s="47">
        <v>3986.78</v>
      </c>
      <c r="N322" s="49">
        <v>20</v>
      </c>
      <c r="O322" s="4"/>
      <c r="P322" s="4"/>
      <c r="Q322" s="4"/>
      <c r="R322" s="4"/>
    </row>
    <row r="323" spans="1:18" x14ac:dyDescent="0.3">
      <c r="A323" s="1">
        <v>10438</v>
      </c>
      <c r="B323" s="47">
        <v>1749</v>
      </c>
      <c r="C323" s="48">
        <v>45082</v>
      </c>
      <c r="D323" s="48">
        <v>45091</v>
      </c>
      <c r="E323" s="47" t="s">
        <v>45</v>
      </c>
      <c r="F323" s="47" t="s">
        <v>22</v>
      </c>
      <c r="G323" s="47" t="s">
        <v>29</v>
      </c>
      <c r="H323" s="47" t="s">
        <v>17</v>
      </c>
      <c r="I323" s="47" t="s">
        <v>25</v>
      </c>
      <c r="J323" s="47" t="s">
        <v>60</v>
      </c>
      <c r="K323" s="47" t="s">
        <v>46</v>
      </c>
      <c r="L323" s="47">
        <v>5</v>
      </c>
      <c r="M323" s="47">
        <v>3116.22</v>
      </c>
      <c r="N323" s="49">
        <v>10</v>
      </c>
      <c r="O323" s="4"/>
      <c r="P323" s="4"/>
      <c r="Q323" s="4"/>
      <c r="R323" s="4"/>
    </row>
    <row r="324" spans="1:18" x14ac:dyDescent="0.3">
      <c r="A324" s="1">
        <v>10439</v>
      </c>
      <c r="B324" s="47">
        <v>1669</v>
      </c>
      <c r="C324" s="48">
        <v>45174</v>
      </c>
      <c r="D324" s="48">
        <v>45179</v>
      </c>
      <c r="E324" s="47" t="s">
        <v>33</v>
      </c>
      <c r="F324" s="47" t="s">
        <v>28</v>
      </c>
      <c r="G324" s="47" t="s">
        <v>23</v>
      </c>
      <c r="H324" s="47" t="s">
        <v>34</v>
      </c>
      <c r="I324" s="47" t="s">
        <v>48</v>
      </c>
      <c r="J324" s="47" t="s">
        <v>50</v>
      </c>
      <c r="K324" s="47" t="s">
        <v>27</v>
      </c>
      <c r="L324" s="47">
        <v>3</v>
      </c>
      <c r="M324" s="47">
        <v>1448.62</v>
      </c>
      <c r="N324" s="49">
        <v>10</v>
      </c>
      <c r="O324" s="4"/>
      <c r="P324" s="4"/>
      <c r="Q324" s="4"/>
      <c r="R324" s="4"/>
    </row>
    <row r="325" spans="1:18" x14ac:dyDescent="0.3">
      <c r="A325" s="1">
        <v>10440</v>
      </c>
      <c r="B325" s="47">
        <v>1037</v>
      </c>
      <c r="C325" s="48">
        <v>45144</v>
      </c>
      <c r="D325" s="48">
        <v>45149</v>
      </c>
      <c r="E325" s="47" t="s">
        <v>36</v>
      </c>
      <c r="F325" s="47" t="s">
        <v>53</v>
      </c>
      <c r="G325" s="47" t="s">
        <v>16</v>
      </c>
      <c r="H325" s="47" t="s">
        <v>41</v>
      </c>
      <c r="I325" s="47" t="s">
        <v>48</v>
      </c>
      <c r="J325" s="47" t="s">
        <v>49</v>
      </c>
      <c r="K325" s="47" t="s">
        <v>32</v>
      </c>
      <c r="L325" s="47">
        <v>1</v>
      </c>
      <c r="M325" s="47">
        <v>3775.07</v>
      </c>
      <c r="N325" s="49">
        <v>10</v>
      </c>
      <c r="O325" s="4"/>
      <c r="P325" s="4"/>
      <c r="Q325" s="4"/>
      <c r="R325" s="4"/>
    </row>
    <row r="326" spans="1:18" x14ac:dyDescent="0.3">
      <c r="A326" s="1">
        <v>10441</v>
      </c>
      <c r="B326" s="47">
        <v>1229</v>
      </c>
      <c r="C326" s="48">
        <v>45116</v>
      </c>
      <c r="D326" s="48">
        <v>45119</v>
      </c>
      <c r="E326" s="47" t="s">
        <v>15</v>
      </c>
      <c r="F326" s="47" t="s">
        <v>22</v>
      </c>
      <c r="G326" s="47" t="s">
        <v>16</v>
      </c>
      <c r="H326" s="47" t="s">
        <v>41</v>
      </c>
      <c r="I326" s="47" t="s">
        <v>30</v>
      </c>
      <c r="J326" s="47" t="s">
        <v>64</v>
      </c>
      <c r="K326" s="47" t="s">
        <v>44</v>
      </c>
      <c r="L326" s="47">
        <v>3</v>
      </c>
      <c r="M326" s="47">
        <v>2189.4</v>
      </c>
      <c r="N326" s="49">
        <v>20</v>
      </c>
      <c r="O326" s="4"/>
      <c r="P326" s="4"/>
      <c r="Q326" s="4"/>
      <c r="R326" s="4"/>
    </row>
    <row r="327" spans="1:18" x14ac:dyDescent="0.3">
      <c r="A327" s="1">
        <v>10442</v>
      </c>
      <c r="B327" s="47">
        <v>1364</v>
      </c>
      <c r="C327" s="48">
        <v>45089</v>
      </c>
      <c r="D327" s="48">
        <v>45094</v>
      </c>
      <c r="E327" s="47" t="s">
        <v>14</v>
      </c>
      <c r="F327" s="47" t="s">
        <v>22</v>
      </c>
      <c r="G327" s="47" t="s">
        <v>23</v>
      </c>
      <c r="H327" s="47" t="s">
        <v>34</v>
      </c>
      <c r="I327" s="47" t="s">
        <v>56</v>
      </c>
      <c r="J327" s="47" t="s">
        <v>57</v>
      </c>
      <c r="K327" s="47" t="s">
        <v>44</v>
      </c>
      <c r="L327" s="47">
        <v>9</v>
      </c>
      <c r="M327" s="47">
        <v>2969.7</v>
      </c>
      <c r="N327" s="49">
        <v>10</v>
      </c>
      <c r="O327" s="4"/>
      <c r="P327" s="4"/>
      <c r="Q327" s="4"/>
      <c r="R327" s="4"/>
    </row>
    <row r="328" spans="1:18" x14ac:dyDescent="0.3">
      <c r="A328" s="1">
        <v>10444</v>
      </c>
      <c r="B328" s="47">
        <v>1437</v>
      </c>
      <c r="C328" s="48">
        <v>44960</v>
      </c>
      <c r="D328" s="48">
        <v>44969</v>
      </c>
      <c r="E328" s="47" t="s">
        <v>39</v>
      </c>
      <c r="F328" s="47" t="s">
        <v>37</v>
      </c>
      <c r="G328" s="47" t="s">
        <v>29</v>
      </c>
      <c r="H328" s="47" t="s">
        <v>17</v>
      </c>
      <c r="I328" s="47" t="s">
        <v>30</v>
      </c>
      <c r="J328" s="47" t="s">
        <v>31</v>
      </c>
      <c r="K328" s="47" t="s">
        <v>20</v>
      </c>
      <c r="L328" s="47">
        <v>2</v>
      </c>
      <c r="M328" s="47">
        <v>3904.44</v>
      </c>
      <c r="N328" s="49">
        <v>10</v>
      </c>
      <c r="O328" s="4"/>
      <c r="P328" s="4"/>
      <c r="Q328" s="4"/>
      <c r="R328" s="4"/>
    </row>
    <row r="329" spans="1:18" x14ac:dyDescent="0.3">
      <c r="A329" s="1">
        <v>10447</v>
      </c>
      <c r="B329" s="47">
        <v>1026</v>
      </c>
      <c r="C329" s="48">
        <v>45264</v>
      </c>
      <c r="D329" s="48">
        <v>45265</v>
      </c>
      <c r="E329" s="47" t="s">
        <v>33</v>
      </c>
      <c r="F329" s="47" t="s">
        <v>37</v>
      </c>
      <c r="G329" s="47" t="s">
        <v>16</v>
      </c>
      <c r="H329" s="47" t="s">
        <v>34</v>
      </c>
      <c r="I329" s="47" t="s">
        <v>25</v>
      </c>
      <c r="J329" s="47" t="s">
        <v>67</v>
      </c>
      <c r="K329" s="47" t="s">
        <v>27</v>
      </c>
      <c r="L329" s="47">
        <v>4</v>
      </c>
      <c r="M329" s="47">
        <v>3871.21</v>
      </c>
      <c r="N329" s="49">
        <v>10</v>
      </c>
      <c r="O329" s="4"/>
      <c r="P329" s="4"/>
      <c r="Q329" s="4"/>
      <c r="R329" s="4"/>
    </row>
    <row r="330" spans="1:18" x14ac:dyDescent="0.3">
      <c r="A330" s="1">
        <v>10448</v>
      </c>
      <c r="B330" s="47">
        <v>1225</v>
      </c>
      <c r="C330" s="48">
        <v>45240</v>
      </c>
      <c r="D330" s="48">
        <v>45247</v>
      </c>
      <c r="E330" s="47" t="s">
        <v>39</v>
      </c>
      <c r="F330" s="47" t="s">
        <v>37</v>
      </c>
      <c r="G330" s="47" t="s">
        <v>29</v>
      </c>
      <c r="H330" s="47" t="s">
        <v>17</v>
      </c>
      <c r="I330" s="47" t="s">
        <v>18</v>
      </c>
      <c r="J330" s="47" t="s">
        <v>19</v>
      </c>
      <c r="K330" s="47" t="s">
        <v>32</v>
      </c>
      <c r="L330" s="47">
        <v>7</v>
      </c>
      <c r="M330" s="47">
        <v>2568.2600000000002</v>
      </c>
      <c r="N330" s="49">
        <v>10</v>
      </c>
      <c r="O330" s="4"/>
      <c r="P330" s="4"/>
      <c r="Q330" s="4"/>
      <c r="R330" s="4"/>
    </row>
    <row r="331" spans="1:18" x14ac:dyDescent="0.3">
      <c r="A331" s="1">
        <v>10452</v>
      </c>
      <c r="B331" s="47">
        <v>1283</v>
      </c>
      <c r="C331" s="48">
        <v>45076</v>
      </c>
      <c r="D331" s="48">
        <v>45082</v>
      </c>
      <c r="E331" s="47" t="s">
        <v>45</v>
      </c>
      <c r="F331" s="47" t="s">
        <v>22</v>
      </c>
      <c r="G331" s="47" t="s">
        <v>23</v>
      </c>
      <c r="H331" s="47" t="s">
        <v>41</v>
      </c>
      <c r="I331" s="47" t="s">
        <v>48</v>
      </c>
      <c r="J331" s="47" t="s">
        <v>66</v>
      </c>
      <c r="K331" s="47" t="s">
        <v>27</v>
      </c>
      <c r="L331" s="47">
        <v>1</v>
      </c>
      <c r="M331" s="47">
        <v>1574.59</v>
      </c>
      <c r="N331" s="49">
        <v>5</v>
      </c>
      <c r="O331" s="4"/>
      <c r="P331" s="4"/>
      <c r="Q331" s="4"/>
      <c r="R331" s="4"/>
    </row>
    <row r="332" spans="1:18" x14ac:dyDescent="0.3">
      <c r="A332" s="1">
        <v>10454</v>
      </c>
      <c r="B332" s="47">
        <v>1959</v>
      </c>
      <c r="C332" s="48">
        <v>45251</v>
      </c>
      <c r="D332" s="48">
        <v>45255</v>
      </c>
      <c r="E332" s="47" t="s">
        <v>33</v>
      </c>
      <c r="F332" s="47" t="s">
        <v>40</v>
      </c>
      <c r="G332" s="47" t="s">
        <v>16</v>
      </c>
      <c r="H332" s="47" t="s">
        <v>24</v>
      </c>
      <c r="I332" s="47" t="s">
        <v>56</v>
      </c>
      <c r="J332" s="47" t="s">
        <v>57</v>
      </c>
      <c r="K332" s="47" t="s">
        <v>27</v>
      </c>
      <c r="L332" s="47">
        <v>9</v>
      </c>
      <c r="M332" s="47">
        <v>3191.56</v>
      </c>
      <c r="N332" s="49">
        <v>20</v>
      </c>
      <c r="O332" s="4"/>
      <c r="P332" s="4"/>
      <c r="Q332" s="4"/>
      <c r="R332" s="4"/>
    </row>
    <row r="333" spans="1:18" x14ac:dyDescent="0.3">
      <c r="A333" s="1">
        <v>10455</v>
      </c>
      <c r="B333" s="47">
        <v>1480</v>
      </c>
      <c r="C333" s="48">
        <v>45034</v>
      </c>
      <c r="D333" s="48">
        <v>45036</v>
      </c>
      <c r="E333" s="47" t="s">
        <v>14</v>
      </c>
      <c r="F333" s="47" t="s">
        <v>28</v>
      </c>
      <c r="G333" s="47" t="s">
        <v>16</v>
      </c>
      <c r="H333" s="47" t="s">
        <v>17</v>
      </c>
      <c r="I333" s="47" t="s">
        <v>51</v>
      </c>
      <c r="J333" s="47" t="s">
        <v>63</v>
      </c>
      <c r="K333" s="47" t="s">
        <v>44</v>
      </c>
      <c r="L333" s="47">
        <v>2</v>
      </c>
      <c r="M333" s="47">
        <v>1374.23</v>
      </c>
      <c r="N333" s="49">
        <v>0</v>
      </c>
      <c r="O333" s="4"/>
      <c r="P333" s="4"/>
      <c r="Q333" s="4"/>
      <c r="R333" s="4"/>
    </row>
    <row r="334" spans="1:18" x14ac:dyDescent="0.3">
      <c r="A334" s="1">
        <v>10457</v>
      </c>
      <c r="B334" s="47">
        <v>1828</v>
      </c>
      <c r="C334" s="48">
        <v>45276</v>
      </c>
      <c r="D334" s="48">
        <v>45280</v>
      </c>
      <c r="E334" s="47" t="s">
        <v>45</v>
      </c>
      <c r="F334" s="47" t="s">
        <v>28</v>
      </c>
      <c r="G334" s="47" t="s">
        <v>23</v>
      </c>
      <c r="H334" s="47" t="s">
        <v>43</v>
      </c>
      <c r="I334" s="47" t="s">
        <v>25</v>
      </c>
      <c r="J334" s="47" t="s">
        <v>26</v>
      </c>
      <c r="K334" s="47" t="s">
        <v>27</v>
      </c>
      <c r="L334" s="47">
        <v>5</v>
      </c>
      <c r="M334" s="47">
        <v>1480.66</v>
      </c>
      <c r="N334" s="49">
        <v>0</v>
      </c>
      <c r="O334" s="4"/>
      <c r="P334" s="4"/>
      <c r="Q334" s="4"/>
      <c r="R334" s="4"/>
    </row>
    <row r="335" spans="1:18" x14ac:dyDescent="0.3">
      <c r="A335" s="1">
        <v>10460</v>
      </c>
      <c r="B335" s="47">
        <v>1515</v>
      </c>
      <c r="C335" s="48">
        <v>45215</v>
      </c>
      <c r="D335" s="48">
        <v>45221</v>
      </c>
      <c r="E335" s="47" t="s">
        <v>21</v>
      </c>
      <c r="F335" s="47" t="s">
        <v>28</v>
      </c>
      <c r="G335" s="47" t="s">
        <v>23</v>
      </c>
      <c r="H335" s="47" t="s">
        <v>24</v>
      </c>
      <c r="I335" s="47" t="s">
        <v>48</v>
      </c>
      <c r="J335" s="47" t="s">
        <v>49</v>
      </c>
      <c r="K335" s="47" t="s">
        <v>20</v>
      </c>
      <c r="L335" s="47">
        <v>1</v>
      </c>
      <c r="M335" s="47">
        <v>445.38</v>
      </c>
      <c r="N335" s="49">
        <v>10</v>
      </c>
      <c r="O335" s="4"/>
      <c r="P335" s="4"/>
      <c r="Q335" s="4"/>
      <c r="R335" s="4"/>
    </row>
    <row r="336" spans="1:18" x14ac:dyDescent="0.3">
      <c r="A336" s="1">
        <v>10463</v>
      </c>
      <c r="B336" s="47">
        <v>1048</v>
      </c>
      <c r="C336" s="48">
        <v>44992</v>
      </c>
      <c r="D336" s="48">
        <v>45000</v>
      </c>
      <c r="E336" s="47" t="s">
        <v>21</v>
      </c>
      <c r="F336" s="47" t="s">
        <v>15</v>
      </c>
      <c r="G336" s="47" t="s">
        <v>23</v>
      </c>
      <c r="H336" s="47" t="s">
        <v>34</v>
      </c>
      <c r="I336" s="47" t="s">
        <v>25</v>
      </c>
      <c r="J336" s="47" t="s">
        <v>35</v>
      </c>
      <c r="K336" s="47" t="s">
        <v>46</v>
      </c>
      <c r="L336" s="47">
        <v>5</v>
      </c>
      <c r="M336" s="47">
        <v>2072.3200000000002</v>
      </c>
      <c r="N336" s="49">
        <v>15</v>
      </c>
      <c r="O336" s="4"/>
      <c r="P336" s="4"/>
      <c r="Q336" s="4"/>
      <c r="R336" s="4"/>
    </row>
    <row r="337" spans="1:18" x14ac:dyDescent="0.3">
      <c r="A337" s="1">
        <v>10464</v>
      </c>
      <c r="B337" s="47">
        <v>1511</v>
      </c>
      <c r="C337" s="48">
        <v>45174</v>
      </c>
      <c r="D337" s="48">
        <v>45176</v>
      </c>
      <c r="E337" s="47" t="s">
        <v>45</v>
      </c>
      <c r="F337" s="47" t="s">
        <v>22</v>
      </c>
      <c r="G337" s="47" t="s">
        <v>29</v>
      </c>
      <c r="H337" s="47" t="s">
        <v>41</v>
      </c>
      <c r="I337" s="47" t="s">
        <v>30</v>
      </c>
      <c r="J337" s="47" t="s">
        <v>64</v>
      </c>
      <c r="K337" s="47" t="s">
        <v>46</v>
      </c>
      <c r="L337" s="47">
        <v>1</v>
      </c>
      <c r="M337" s="47">
        <v>559.4</v>
      </c>
      <c r="N337" s="49">
        <v>20</v>
      </c>
      <c r="O337" s="4"/>
      <c r="P337" s="4"/>
      <c r="Q337" s="4"/>
      <c r="R337" s="4"/>
    </row>
    <row r="338" spans="1:18" x14ac:dyDescent="0.3">
      <c r="A338" s="1">
        <v>10465</v>
      </c>
      <c r="B338" s="47">
        <v>1016</v>
      </c>
      <c r="C338" s="48">
        <v>45082</v>
      </c>
      <c r="D338" s="48">
        <v>45089</v>
      </c>
      <c r="E338" s="47" t="s">
        <v>36</v>
      </c>
      <c r="F338" s="47" t="s">
        <v>22</v>
      </c>
      <c r="G338" s="47" t="s">
        <v>29</v>
      </c>
      <c r="H338" s="47" t="s">
        <v>43</v>
      </c>
      <c r="I338" s="47" t="s">
        <v>18</v>
      </c>
      <c r="J338" s="47" t="s">
        <v>42</v>
      </c>
      <c r="K338" s="47" t="s">
        <v>32</v>
      </c>
      <c r="L338" s="47">
        <v>4</v>
      </c>
      <c r="M338" s="47">
        <v>589.44000000000005</v>
      </c>
      <c r="N338" s="49">
        <v>20</v>
      </c>
      <c r="O338" s="4"/>
      <c r="P338" s="4"/>
      <c r="Q338" s="4"/>
      <c r="R338" s="4"/>
    </row>
    <row r="339" spans="1:18" x14ac:dyDescent="0.3">
      <c r="A339" s="1">
        <v>10466</v>
      </c>
      <c r="B339" s="47">
        <v>1171</v>
      </c>
      <c r="C339" s="48">
        <v>44973</v>
      </c>
      <c r="D339" s="48">
        <v>44975</v>
      </c>
      <c r="E339" s="47" t="s">
        <v>15</v>
      </c>
      <c r="F339" s="47" t="s">
        <v>40</v>
      </c>
      <c r="G339" s="47" t="s">
        <v>29</v>
      </c>
      <c r="H339" s="47" t="s">
        <v>34</v>
      </c>
      <c r="I339" s="47" t="s">
        <v>18</v>
      </c>
      <c r="J339" s="47" t="s">
        <v>42</v>
      </c>
      <c r="K339" s="47" t="s">
        <v>27</v>
      </c>
      <c r="L339" s="47">
        <v>6</v>
      </c>
      <c r="M339" s="47">
        <v>3773.04</v>
      </c>
      <c r="N339" s="49">
        <v>0</v>
      </c>
      <c r="O339" s="4"/>
      <c r="P339" s="4"/>
      <c r="Q339" s="4"/>
      <c r="R339" s="4"/>
    </row>
    <row r="340" spans="1:18" x14ac:dyDescent="0.3">
      <c r="A340" s="1">
        <v>10468</v>
      </c>
      <c r="B340" s="47">
        <v>1157</v>
      </c>
      <c r="C340" s="48">
        <v>45074</v>
      </c>
      <c r="D340" s="48">
        <v>45082</v>
      </c>
      <c r="E340" s="47" t="s">
        <v>21</v>
      </c>
      <c r="F340" s="47" t="s">
        <v>15</v>
      </c>
      <c r="G340" s="47" t="s">
        <v>16</v>
      </c>
      <c r="H340" s="47" t="s">
        <v>17</v>
      </c>
      <c r="I340" s="47" t="s">
        <v>56</v>
      </c>
      <c r="J340" s="47" t="s">
        <v>58</v>
      </c>
      <c r="K340" s="47" t="s">
        <v>44</v>
      </c>
      <c r="L340" s="47">
        <v>9</v>
      </c>
      <c r="M340" s="47">
        <v>1890.53</v>
      </c>
      <c r="N340" s="49">
        <v>15</v>
      </c>
      <c r="O340" s="4"/>
      <c r="P340" s="4"/>
      <c r="Q340" s="4"/>
      <c r="R340" s="4"/>
    </row>
    <row r="341" spans="1:18" x14ac:dyDescent="0.3">
      <c r="A341" s="1">
        <v>10470</v>
      </c>
      <c r="B341" s="47">
        <v>1045</v>
      </c>
      <c r="C341" s="48">
        <v>44927</v>
      </c>
      <c r="D341" s="48">
        <v>44936</v>
      </c>
      <c r="E341" s="47" t="s">
        <v>33</v>
      </c>
      <c r="F341" s="47" t="s">
        <v>28</v>
      </c>
      <c r="G341" s="47" t="s">
        <v>29</v>
      </c>
      <c r="H341" s="47" t="s">
        <v>17</v>
      </c>
      <c r="I341" s="47" t="s">
        <v>25</v>
      </c>
      <c r="J341" s="47" t="s">
        <v>35</v>
      </c>
      <c r="K341" s="47" t="s">
        <v>27</v>
      </c>
      <c r="L341" s="47">
        <v>8</v>
      </c>
      <c r="M341" s="47">
        <v>150.72</v>
      </c>
      <c r="N341" s="49">
        <v>5</v>
      </c>
      <c r="O341" s="4"/>
      <c r="P341" s="4"/>
      <c r="Q341" s="4"/>
      <c r="R341" s="4"/>
    </row>
    <row r="342" spans="1:18" x14ac:dyDescent="0.3">
      <c r="A342" s="1">
        <v>10472</v>
      </c>
      <c r="B342" s="47">
        <v>1517</v>
      </c>
      <c r="C342" s="48">
        <v>45269</v>
      </c>
      <c r="D342" s="48">
        <v>45278</v>
      </c>
      <c r="E342" s="47" t="s">
        <v>14</v>
      </c>
      <c r="F342" s="47" t="s">
        <v>53</v>
      </c>
      <c r="G342" s="47" t="s">
        <v>29</v>
      </c>
      <c r="H342" s="47" t="s">
        <v>34</v>
      </c>
      <c r="I342" s="47" t="s">
        <v>30</v>
      </c>
      <c r="J342" s="47" t="s">
        <v>47</v>
      </c>
      <c r="K342" s="47" t="s">
        <v>27</v>
      </c>
      <c r="L342" s="47">
        <v>5</v>
      </c>
      <c r="M342" s="47">
        <v>2523.25</v>
      </c>
      <c r="N342" s="49">
        <v>10</v>
      </c>
      <c r="O342" s="4"/>
      <c r="P342" s="4"/>
      <c r="Q342" s="4"/>
      <c r="R342" s="4"/>
    </row>
    <row r="343" spans="1:18" x14ac:dyDescent="0.3">
      <c r="A343" s="1">
        <v>10480</v>
      </c>
      <c r="B343" s="47">
        <v>1301</v>
      </c>
      <c r="C343" s="48">
        <v>45117</v>
      </c>
      <c r="D343" s="48">
        <v>45119</v>
      </c>
      <c r="E343" s="47" t="s">
        <v>15</v>
      </c>
      <c r="F343" s="47" t="s">
        <v>28</v>
      </c>
      <c r="G343" s="47" t="s">
        <v>16</v>
      </c>
      <c r="H343" s="47" t="s">
        <v>43</v>
      </c>
      <c r="I343" s="47" t="s">
        <v>25</v>
      </c>
      <c r="J343" s="47" t="s">
        <v>35</v>
      </c>
      <c r="K343" s="47" t="s">
        <v>46</v>
      </c>
      <c r="L343" s="47">
        <v>6</v>
      </c>
      <c r="M343" s="47">
        <v>845</v>
      </c>
      <c r="N343" s="49">
        <v>15</v>
      </c>
      <c r="O343" s="4"/>
      <c r="P343" s="4"/>
      <c r="Q343" s="4"/>
      <c r="R343" s="4"/>
    </row>
    <row r="344" spans="1:18" x14ac:dyDescent="0.3">
      <c r="A344" s="1">
        <v>10481</v>
      </c>
      <c r="B344" s="47">
        <v>1180</v>
      </c>
      <c r="C344" s="48">
        <v>44947</v>
      </c>
      <c r="D344" s="48">
        <v>44955</v>
      </c>
      <c r="E344" s="47" t="s">
        <v>33</v>
      </c>
      <c r="F344" s="47" t="s">
        <v>40</v>
      </c>
      <c r="G344" s="47" t="s">
        <v>16</v>
      </c>
      <c r="H344" s="47" t="s">
        <v>43</v>
      </c>
      <c r="I344" s="47" t="s">
        <v>48</v>
      </c>
      <c r="J344" s="47" t="s">
        <v>49</v>
      </c>
      <c r="K344" s="47" t="s">
        <v>46</v>
      </c>
      <c r="L344" s="47">
        <v>8</v>
      </c>
      <c r="M344" s="47">
        <v>1160.51</v>
      </c>
      <c r="N344" s="49">
        <v>0</v>
      </c>
      <c r="O344" s="4"/>
      <c r="P344" s="4"/>
      <c r="Q344" s="4"/>
      <c r="R344" s="4"/>
    </row>
    <row r="345" spans="1:18" x14ac:dyDescent="0.3">
      <c r="A345" s="1">
        <v>10482</v>
      </c>
      <c r="B345" s="47">
        <v>1606</v>
      </c>
      <c r="C345" s="48">
        <v>45153</v>
      </c>
      <c r="D345" s="48">
        <v>45162</v>
      </c>
      <c r="E345" s="47" t="s">
        <v>33</v>
      </c>
      <c r="F345" s="47" t="s">
        <v>53</v>
      </c>
      <c r="G345" s="47" t="s">
        <v>23</v>
      </c>
      <c r="H345" s="47" t="s">
        <v>24</v>
      </c>
      <c r="I345" s="47" t="s">
        <v>56</v>
      </c>
      <c r="J345" s="47" t="s">
        <v>65</v>
      </c>
      <c r="K345" s="47" t="s">
        <v>32</v>
      </c>
      <c r="L345" s="47">
        <v>7</v>
      </c>
      <c r="M345" s="47">
        <v>2172.2399999999998</v>
      </c>
      <c r="N345" s="49">
        <v>20</v>
      </c>
      <c r="O345" s="4"/>
      <c r="P345" s="4"/>
      <c r="Q345" s="4"/>
      <c r="R345" s="4"/>
    </row>
    <row r="346" spans="1:18" x14ac:dyDescent="0.3">
      <c r="A346" s="1">
        <v>10485</v>
      </c>
      <c r="B346" s="47">
        <v>1992</v>
      </c>
      <c r="C346" s="48">
        <v>45228</v>
      </c>
      <c r="D346" s="48">
        <v>45237</v>
      </c>
      <c r="E346" s="47" t="s">
        <v>15</v>
      </c>
      <c r="F346" s="47" t="s">
        <v>15</v>
      </c>
      <c r="G346" s="47" t="s">
        <v>16</v>
      </c>
      <c r="H346" s="47" t="s">
        <v>41</v>
      </c>
      <c r="I346" s="47" t="s">
        <v>18</v>
      </c>
      <c r="J346" s="47" t="s">
        <v>42</v>
      </c>
      <c r="K346" s="47" t="s">
        <v>44</v>
      </c>
      <c r="L346" s="47">
        <v>2</v>
      </c>
      <c r="M346" s="47">
        <v>1294.8399999999999</v>
      </c>
      <c r="N346" s="49">
        <v>15</v>
      </c>
      <c r="O346" s="4"/>
      <c r="P346" s="4"/>
      <c r="Q346" s="4"/>
      <c r="R346" s="4"/>
    </row>
    <row r="347" spans="1:18" x14ac:dyDescent="0.3">
      <c r="A347" s="1">
        <v>10486</v>
      </c>
      <c r="B347" s="47">
        <v>1115</v>
      </c>
      <c r="C347" s="48">
        <v>45068</v>
      </c>
      <c r="D347" s="48">
        <v>45077</v>
      </c>
      <c r="E347" s="47" t="s">
        <v>15</v>
      </c>
      <c r="F347" s="47" t="s">
        <v>40</v>
      </c>
      <c r="G347" s="47" t="s">
        <v>23</v>
      </c>
      <c r="H347" s="47" t="s">
        <v>41</v>
      </c>
      <c r="I347" s="47" t="s">
        <v>48</v>
      </c>
      <c r="J347" s="47" t="s">
        <v>62</v>
      </c>
      <c r="K347" s="47" t="s">
        <v>32</v>
      </c>
      <c r="L347" s="47">
        <v>9</v>
      </c>
      <c r="M347" s="47">
        <v>775.77</v>
      </c>
      <c r="N347" s="49">
        <v>0</v>
      </c>
      <c r="O347" s="4"/>
      <c r="P347" s="4"/>
      <c r="Q347" s="4"/>
      <c r="R347" s="4"/>
    </row>
    <row r="348" spans="1:18" x14ac:dyDescent="0.3">
      <c r="A348" s="1">
        <v>10487</v>
      </c>
      <c r="B348" s="47">
        <v>1190</v>
      </c>
      <c r="C348" s="48">
        <v>44965</v>
      </c>
      <c r="D348" s="48">
        <v>44966</v>
      </c>
      <c r="E348" s="47" t="s">
        <v>39</v>
      </c>
      <c r="F348" s="47" t="s">
        <v>15</v>
      </c>
      <c r="G348" s="47" t="s">
        <v>29</v>
      </c>
      <c r="H348" s="47" t="s">
        <v>24</v>
      </c>
      <c r="I348" s="47" t="s">
        <v>51</v>
      </c>
      <c r="J348" s="47" t="s">
        <v>52</v>
      </c>
      <c r="K348" s="47" t="s">
        <v>20</v>
      </c>
      <c r="L348" s="47">
        <v>4</v>
      </c>
      <c r="M348" s="47">
        <v>2751.14</v>
      </c>
      <c r="N348" s="49">
        <v>20</v>
      </c>
      <c r="O348" s="4"/>
      <c r="P348" s="4"/>
      <c r="Q348" s="4"/>
      <c r="R348" s="4"/>
    </row>
    <row r="349" spans="1:18" x14ac:dyDescent="0.3">
      <c r="A349" s="1">
        <v>10489</v>
      </c>
      <c r="B349" s="47">
        <v>1980</v>
      </c>
      <c r="C349" s="48">
        <v>45178</v>
      </c>
      <c r="D349" s="48">
        <v>45187</v>
      </c>
      <c r="E349" s="47" t="s">
        <v>33</v>
      </c>
      <c r="F349" s="47" t="s">
        <v>22</v>
      </c>
      <c r="G349" s="47" t="s">
        <v>23</v>
      </c>
      <c r="H349" s="47" t="s">
        <v>17</v>
      </c>
      <c r="I349" s="47" t="s">
        <v>56</v>
      </c>
      <c r="J349" s="47" t="s">
        <v>61</v>
      </c>
      <c r="K349" s="47" t="s">
        <v>32</v>
      </c>
      <c r="L349" s="47">
        <v>8</v>
      </c>
      <c r="M349" s="47">
        <v>2536.88</v>
      </c>
      <c r="N349" s="49">
        <v>5</v>
      </c>
      <c r="O349" s="4"/>
      <c r="P349" s="4"/>
      <c r="Q349" s="4"/>
      <c r="R349" s="4"/>
    </row>
    <row r="350" spans="1:18" x14ac:dyDescent="0.3">
      <c r="A350" s="1">
        <v>10490</v>
      </c>
      <c r="B350" s="47">
        <v>1927</v>
      </c>
      <c r="C350" s="48">
        <v>45259</v>
      </c>
      <c r="D350" s="48">
        <v>45261</v>
      </c>
      <c r="E350" s="47" t="s">
        <v>14</v>
      </c>
      <c r="F350" s="47" t="s">
        <v>28</v>
      </c>
      <c r="G350" s="47" t="s">
        <v>16</v>
      </c>
      <c r="H350" s="47" t="s">
        <v>34</v>
      </c>
      <c r="I350" s="47" t="s">
        <v>30</v>
      </c>
      <c r="J350" s="47" t="s">
        <v>31</v>
      </c>
      <c r="K350" s="47" t="s">
        <v>44</v>
      </c>
      <c r="L350" s="47">
        <v>7</v>
      </c>
      <c r="M350" s="47">
        <v>2838.06</v>
      </c>
      <c r="N350" s="49">
        <v>20</v>
      </c>
      <c r="O350" s="4"/>
      <c r="P350" s="4"/>
      <c r="Q350" s="4"/>
      <c r="R350" s="4"/>
    </row>
    <row r="351" spans="1:18" x14ac:dyDescent="0.3">
      <c r="A351" s="1">
        <v>10491</v>
      </c>
      <c r="B351" s="47">
        <v>1982</v>
      </c>
      <c r="C351" s="48">
        <v>45133</v>
      </c>
      <c r="D351" s="48">
        <v>45137</v>
      </c>
      <c r="E351" s="47" t="s">
        <v>15</v>
      </c>
      <c r="F351" s="47" t="s">
        <v>28</v>
      </c>
      <c r="G351" s="47" t="s">
        <v>16</v>
      </c>
      <c r="H351" s="47" t="s">
        <v>43</v>
      </c>
      <c r="I351" s="47" t="s">
        <v>48</v>
      </c>
      <c r="J351" s="47" t="s">
        <v>62</v>
      </c>
      <c r="K351" s="47" t="s">
        <v>27</v>
      </c>
      <c r="L351" s="47">
        <v>5</v>
      </c>
      <c r="M351" s="47">
        <v>977.43</v>
      </c>
      <c r="N351" s="49">
        <v>20</v>
      </c>
      <c r="O351" s="4"/>
      <c r="P351" s="4"/>
      <c r="Q351" s="4"/>
      <c r="R351" s="4"/>
    </row>
    <row r="352" spans="1:18" x14ac:dyDescent="0.3">
      <c r="A352" s="1">
        <v>10493</v>
      </c>
      <c r="B352" s="47">
        <v>1255</v>
      </c>
      <c r="C352" s="48">
        <v>45041</v>
      </c>
      <c r="D352" s="48">
        <v>45043</v>
      </c>
      <c r="E352" s="47" t="s">
        <v>39</v>
      </c>
      <c r="F352" s="47" t="s">
        <v>15</v>
      </c>
      <c r="G352" s="47" t="s">
        <v>23</v>
      </c>
      <c r="H352" s="47" t="s">
        <v>43</v>
      </c>
      <c r="I352" s="47" t="s">
        <v>48</v>
      </c>
      <c r="J352" s="47" t="s">
        <v>66</v>
      </c>
      <c r="K352" s="47" t="s">
        <v>27</v>
      </c>
      <c r="L352" s="47">
        <v>7</v>
      </c>
      <c r="M352" s="47">
        <v>1550.03</v>
      </c>
      <c r="N352" s="49">
        <v>10</v>
      </c>
      <c r="O352" s="4"/>
      <c r="P352" s="4"/>
      <c r="Q352" s="4"/>
      <c r="R352" s="4"/>
    </row>
    <row r="353" spans="1:18" x14ac:dyDescent="0.3">
      <c r="A353" s="1">
        <v>10494</v>
      </c>
      <c r="B353" s="47">
        <v>1322</v>
      </c>
      <c r="C353" s="48">
        <v>45151</v>
      </c>
      <c r="D353" s="48">
        <v>45154</v>
      </c>
      <c r="E353" s="47" t="s">
        <v>36</v>
      </c>
      <c r="F353" s="47" t="s">
        <v>40</v>
      </c>
      <c r="G353" s="47" t="s">
        <v>16</v>
      </c>
      <c r="H353" s="47" t="s">
        <v>43</v>
      </c>
      <c r="I353" s="47" t="s">
        <v>56</v>
      </c>
      <c r="J353" s="47" t="s">
        <v>65</v>
      </c>
      <c r="K353" s="47" t="s">
        <v>44</v>
      </c>
      <c r="L353" s="47">
        <v>5</v>
      </c>
      <c r="M353" s="47">
        <v>529.59</v>
      </c>
      <c r="N353" s="49">
        <v>5</v>
      </c>
      <c r="O353" s="4"/>
      <c r="P353" s="4"/>
      <c r="Q353" s="4"/>
      <c r="R353" s="4"/>
    </row>
    <row r="354" spans="1:18" x14ac:dyDescent="0.3">
      <c r="A354" s="1">
        <v>10495</v>
      </c>
      <c r="B354" s="47">
        <v>1127</v>
      </c>
      <c r="C354" s="48">
        <v>45060</v>
      </c>
      <c r="D354" s="48">
        <v>45063</v>
      </c>
      <c r="E354" s="47" t="s">
        <v>14</v>
      </c>
      <c r="F354" s="47" t="s">
        <v>22</v>
      </c>
      <c r="G354" s="47" t="s">
        <v>29</v>
      </c>
      <c r="H354" s="47" t="s">
        <v>24</v>
      </c>
      <c r="I354" s="47" t="s">
        <v>56</v>
      </c>
      <c r="J354" s="47" t="s">
        <v>58</v>
      </c>
      <c r="K354" s="47" t="s">
        <v>44</v>
      </c>
      <c r="L354" s="47">
        <v>8</v>
      </c>
      <c r="M354" s="47">
        <v>598.44000000000005</v>
      </c>
      <c r="N354" s="49">
        <v>0</v>
      </c>
      <c r="O354" s="4"/>
      <c r="P354" s="4"/>
      <c r="Q354" s="4"/>
      <c r="R354" s="4"/>
    </row>
    <row r="355" spans="1:18" x14ac:dyDescent="0.3">
      <c r="A355" s="1">
        <v>10496</v>
      </c>
      <c r="B355" s="47">
        <v>1017</v>
      </c>
      <c r="C355" s="48">
        <v>45177</v>
      </c>
      <c r="D355" s="48">
        <v>45178</v>
      </c>
      <c r="E355" s="47" t="s">
        <v>14</v>
      </c>
      <c r="F355" s="47" t="s">
        <v>22</v>
      </c>
      <c r="G355" s="47" t="s">
        <v>16</v>
      </c>
      <c r="H355" s="47" t="s">
        <v>41</v>
      </c>
      <c r="I355" s="47" t="s">
        <v>51</v>
      </c>
      <c r="J355" s="47" t="s">
        <v>59</v>
      </c>
      <c r="K355" s="47" t="s">
        <v>44</v>
      </c>
      <c r="L355" s="47">
        <v>6</v>
      </c>
      <c r="M355" s="47">
        <v>1128.9100000000001</v>
      </c>
      <c r="N355" s="49">
        <v>20</v>
      </c>
      <c r="O355" s="4"/>
      <c r="P355" s="4"/>
      <c r="Q355" s="4"/>
      <c r="R355" s="4"/>
    </row>
    <row r="356" spans="1:18" x14ac:dyDescent="0.3">
      <c r="A356" s="1">
        <v>10497</v>
      </c>
      <c r="B356" s="47">
        <v>1792</v>
      </c>
      <c r="C356" s="48">
        <v>45145</v>
      </c>
      <c r="D356" s="48">
        <v>45151</v>
      </c>
      <c r="E356" s="47" t="s">
        <v>15</v>
      </c>
      <c r="F356" s="47" t="s">
        <v>28</v>
      </c>
      <c r="G356" s="47" t="s">
        <v>23</v>
      </c>
      <c r="H356" s="47" t="s">
        <v>41</v>
      </c>
      <c r="I356" s="47" t="s">
        <v>30</v>
      </c>
      <c r="J356" s="47" t="s">
        <v>38</v>
      </c>
      <c r="K356" s="47" t="s">
        <v>20</v>
      </c>
      <c r="L356" s="47">
        <v>5</v>
      </c>
      <c r="M356" s="47">
        <v>1287.55</v>
      </c>
      <c r="N356" s="49">
        <v>0</v>
      </c>
      <c r="O356" s="4"/>
      <c r="P356" s="4"/>
      <c r="Q356" s="4"/>
      <c r="R356" s="4"/>
    </row>
    <row r="357" spans="1:18" x14ac:dyDescent="0.3">
      <c r="A357" s="1">
        <v>10498</v>
      </c>
      <c r="B357" s="47">
        <v>1734</v>
      </c>
      <c r="C357" s="48">
        <v>45017</v>
      </c>
      <c r="D357" s="48">
        <v>45025</v>
      </c>
      <c r="E357" s="47" t="s">
        <v>45</v>
      </c>
      <c r="F357" s="47" t="s">
        <v>15</v>
      </c>
      <c r="G357" s="47" t="s">
        <v>29</v>
      </c>
      <c r="H357" s="47" t="s">
        <v>17</v>
      </c>
      <c r="I357" s="47" t="s">
        <v>25</v>
      </c>
      <c r="J357" s="47" t="s">
        <v>35</v>
      </c>
      <c r="K357" s="47" t="s">
        <v>27</v>
      </c>
      <c r="L357" s="47">
        <v>9</v>
      </c>
      <c r="M357" s="47">
        <v>2190.39</v>
      </c>
      <c r="N357" s="49">
        <v>20</v>
      </c>
      <c r="O357" s="4"/>
      <c r="P357" s="4"/>
      <c r="Q357" s="4"/>
      <c r="R357" s="4"/>
    </row>
    <row r="358" spans="1:18" x14ac:dyDescent="0.3">
      <c r="A358" s="1">
        <v>10500</v>
      </c>
      <c r="B358" s="47">
        <v>1569</v>
      </c>
      <c r="C358" s="48">
        <v>44972</v>
      </c>
      <c r="D358" s="48">
        <v>44977</v>
      </c>
      <c r="E358" s="47" t="s">
        <v>14</v>
      </c>
      <c r="F358" s="47" t="s">
        <v>15</v>
      </c>
      <c r="G358" s="47" t="s">
        <v>29</v>
      </c>
      <c r="H358" s="47" t="s">
        <v>41</v>
      </c>
      <c r="I358" s="47" t="s">
        <v>30</v>
      </c>
      <c r="J358" s="47" t="s">
        <v>64</v>
      </c>
      <c r="K358" s="47" t="s">
        <v>32</v>
      </c>
      <c r="L358" s="47">
        <v>1</v>
      </c>
      <c r="M358" s="47">
        <v>2432.17</v>
      </c>
      <c r="N358" s="49">
        <v>20</v>
      </c>
      <c r="O358" s="4"/>
      <c r="P358" s="4"/>
      <c r="Q358" s="4"/>
      <c r="R358" s="4"/>
    </row>
    <row r="359" spans="1:18" x14ac:dyDescent="0.3">
      <c r="A359" s="19">
        <v>10001</v>
      </c>
      <c r="B359" s="19">
        <v>1102</v>
      </c>
      <c r="C359" s="20">
        <v>45197</v>
      </c>
      <c r="D359" s="20">
        <v>45203</v>
      </c>
      <c r="E359" s="19" t="s">
        <v>14</v>
      </c>
      <c r="F359" s="19" t="s">
        <v>15</v>
      </c>
      <c r="G359" s="19" t="s">
        <v>16</v>
      </c>
      <c r="H359" s="19" t="s">
        <v>17</v>
      </c>
      <c r="I359" s="19" t="s">
        <v>18</v>
      </c>
      <c r="J359" s="19" t="s">
        <v>19</v>
      </c>
      <c r="K359" s="19" t="s">
        <v>20</v>
      </c>
      <c r="L359" s="19">
        <v>7</v>
      </c>
      <c r="M359" s="19">
        <v>2843.87</v>
      </c>
      <c r="N359" s="21">
        <v>0</v>
      </c>
      <c r="O359" s="4"/>
      <c r="P359" s="4"/>
      <c r="Q359" s="4"/>
      <c r="R359" s="4"/>
    </row>
    <row r="360" spans="1:18" x14ac:dyDescent="0.3">
      <c r="A360" s="19">
        <v>10002</v>
      </c>
      <c r="B360" s="19">
        <v>1435</v>
      </c>
      <c r="C360" s="20">
        <v>45199</v>
      </c>
      <c r="D360" s="20">
        <v>45203</v>
      </c>
      <c r="E360" s="19" t="s">
        <v>21</v>
      </c>
      <c r="F360" s="19" t="s">
        <v>22</v>
      </c>
      <c r="G360" s="19" t="s">
        <v>23</v>
      </c>
      <c r="H360" s="19" t="s">
        <v>24</v>
      </c>
      <c r="I360" s="19" t="s">
        <v>25</v>
      </c>
      <c r="J360" s="19" t="s">
        <v>26</v>
      </c>
      <c r="K360" s="19" t="s">
        <v>27</v>
      </c>
      <c r="L360" s="19">
        <v>9</v>
      </c>
      <c r="M360" s="19">
        <v>2525.23</v>
      </c>
      <c r="N360" s="21">
        <v>5</v>
      </c>
      <c r="O360" s="4"/>
      <c r="P360" s="4"/>
      <c r="Q360" s="4"/>
      <c r="R360" s="4"/>
    </row>
    <row r="361" spans="1:18" x14ac:dyDescent="0.3">
      <c r="A361" s="19">
        <v>10003</v>
      </c>
      <c r="B361" s="19">
        <v>1860</v>
      </c>
      <c r="C361" s="20">
        <v>45109</v>
      </c>
      <c r="D361" s="20">
        <v>45114</v>
      </c>
      <c r="E361" s="19" t="s">
        <v>14</v>
      </c>
      <c r="F361" s="19" t="s">
        <v>28</v>
      </c>
      <c r="G361" s="19" t="s">
        <v>29</v>
      </c>
      <c r="H361" s="19" t="s">
        <v>24</v>
      </c>
      <c r="I361" s="19" t="s">
        <v>30</v>
      </c>
      <c r="J361" s="19" t="s">
        <v>31</v>
      </c>
      <c r="K361" s="19" t="s">
        <v>32</v>
      </c>
      <c r="L361" s="19">
        <v>6</v>
      </c>
      <c r="M361" s="19">
        <v>3474.34</v>
      </c>
      <c r="N361" s="21">
        <v>15</v>
      </c>
      <c r="O361" s="4"/>
      <c r="P361" s="4"/>
      <c r="Q361" s="4"/>
      <c r="R361" s="4"/>
    </row>
    <row r="362" spans="1:18" x14ac:dyDescent="0.3">
      <c r="A362" s="19">
        <v>10004</v>
      </c>
      <c r="B362" s="19">
        <v>1270</v>
      </c>
      <c r="C362" s="20">
        <v>45079</v>
      </c>
      <c r="D362" s="20">
        <v>45087</v>
      </c>
      <c r="E362" s="19" t="s">
        <v>33</v>
      </c>
      <c r="F362" s="19" t="s">
        <v>28</v>
      </c>
      <c r="G362" s="19" t="s">
        <v>23</v>
      </c>
      <c r="H362" s="19" t="s">
        <v>34</v>
      </c>
      <c r="I362" s="19" t="s">
        <v>25</v>
      </c>
      <c r="J362" s="19" t="s">
        <v>35</v>
      </c>
      <c r="K362" s="19" t="s">
        <v>20</v>
      </c>
      <c r="L362" s="19">
        <v>1</v>
      </c>
      <c r="M362" s="19">
        <v>1008.79</v>
      </c>
      <c r="N362" s="21">
        <v>15</v>
      </c>
      <c r="O362" s="4"/>
      <c r="P362" s="4"/>
      <c r="Q362" s="4"/>
      <c r="R362" s="4"/>
    </row>
    <row r="363" spans="1:18" x14ac:dyDescent="0.3">
      <c r="A363" s="19">
        <v>10005</v>
      </c>
      <c r="B363" s="19">
        <v>1106</v>
      </c>
      <c r="C363" s="20">
        <v>45241</v>
      </c>
      <c r="D363" s="20">
        <v>45244</v>
      </c>
      <c r="E363" s="19" t="s">
        <v>36</v>
      </c>
      <c r="F363" s="19" t="s">
        <v>37</v>
      </c>
      <c r="G363" s="19" t="s">
        <v>29</v>
      </c>
      <c r="H363" s="19" t="s">
        <v>17</v>
      </c>
      <c r="I363" s="19" t="s">
        <v>30</v>
      </c>
      <c r="J363" s="19" t="s">
        <v>38</v>
      </c>
      <c r="K363" s="19" t="s">
        <v>20</v>
      </c>
      <c r="L363" s="19">
        <v>7</v>
      </c>
      <c r="M363" s="19">
        <v>3511.47</v>
      </c>
      <c r="N363" s="21">
        <v>20</v>
      </c>
      <c r="O363" s="4"/>
      <c r="P363" s="4"/>
      <c r="Q363" s="4"/>
      <c r="R363" s="4"/>
    </row>
    <row r="364" spans="1:18" x14ac:dyDescent="0.3">
      <c r="A364" s="19">
        <v>10006</v>
      </c>
      <c r="B364" s="19">
        <v>1071</v>
      </c>
      <c r="C364" s="20">
        <v>45260</v>
      </c>
      <c r="D364" s="20">
        <v>45263</v>
      </c>
      <c r="E364" s="19" t="s">
        <v>39</v>
      </c>
      <c r="F364" s="19" t="s">
        <v>40</v>
      </c>
      <c r="G364" s="19" t="s">
        <v>23</v>
      </c>
      <c r="H364" s="19" t="s">
        <v>41</v>
      </c>
      <c r="I364" s="19" t="s">
        <v>18</v>
      </c>
      <c r="J364" s="19" t="s">
        <v>42</v>
      </c>
      <c r="K364" s="19" t="s">
        <v>32</v>
      </c>
      <c r="L364" s="19">
        <v>3</v>
      </c>
      <c r="M364" s="19">
        <v>3189.55</v>
      </c>
      <c r="N364" s="21">
        <v>10</v>
      </c>
      <c r="O364" s="4"/>
      <c r="P364" s="4"/>
      <c r="Q364" s="4"/>
      <c r="R364" s="4"/>
    </row>
    <row r="365" spans="1:18" x14ac:dyDescent="0.3">
      <c r="A365" s="19">
        <v>10007</v>
      </c>
      <c r="B365" s="19">
        <v>1700</v>
      </c>
      <c r="C365" s="20">
        <v>45050</v>
      </c>
      <c r="D365" s="20">
        <v>45054</v>
      </c>
      <c r="E365" s="19" t="s">
        <v>33</v>
      </c>
      <c r="F365" s="19" t="s">
        <v>40</v>
      </c>
      <c r="G365" s="19" t="s">
        <v>16</v>
      </c>
      <c r="H365" s="19" t="s">
        <v>43</v>
      </c>
      <c r="I365" s="19" t="s">
        <v>30</v>
      </c>
      <c r="J365" s="19" t="s">
        <v>31</v>
      </c>
      <c r="K365" s="19" t="s">
        <v>44</v>
      </c>
      <c r="L365" s="19">
        <v>5</v>
      </c>
      <c r="M365" s="19">
        <v>3030.42</v>
      </c>
      <c r="N365" s="21">
        <v>10</v>
      </c>
      <c r="O365" s="4"/>
      <c r="P365" s="4"/>
      <c r="Q365" s="4"/>
      <c r="R365" s="4"/>
    </row>
    <row r="366" spans="1:18" x14ac:dyDescent="0.3">
      <c r="A366" s="19">
        <v>10008</v>
      </c>
      <c r="B366" s="19">
        <v>1020</v>
      </c>
      <c r="C366" s="20">
        <v>45040</v>
      </c>
      <c r="D366" s="20">
        <v>45041</v>
      </c>
      <c r="E366" s="19" t="s">
        <v>45</v>
      </c>
      <c r="F366" s="19" t="s">
        <v>15</v>
      </c>
      <c r="G366" s="19" t="s">
        <v>23</v>
      </c>
      <c r="H366" s="19" t="s">
        <v>17</v>
      </c>
      <c r="I366" s="19" t="s">
        <v>30</v>
      </c>
      <c r="J366" s="19" t="s">
        <v>31</v>
      </c>
      <c r="K366" s="19" t="s">
        <v>46</v>
      </c>
      <c r="L366" s="19">
        <v>4</v>
      </c>
      <c r="M366" s="19">
        <v>2310.83</v>
      </c>
      <c r="N366" s="21">
        <v>10</v>
      </c>
      <c r="O366" s="4"/>
      <c r="P366" s="4"/>
      <c r="Q366" s="4"/>
      <c r="R366" s="4"/>
    </row>
    <row r="367" spans="1:18" x14ac:dyDescent="0.3">
      <c r="A367" s="19">
        <v>10009</v>
      </c>
      <c r="B367" s="19">
        <v>1614</v>
      </c>
      <c r="C367" s="20">
        <v>45204</v>
      </c>
      <c r="D367" s="20">
        <v>45213</v>
      </c>
      <c r="E367" s="19" t="s">
        <v>14</v>
      </c>
      <c r="F367" s="19" t="s">
        <v>28</v>
      </c>
      <c r="G367" s="19" t="s">
        <v>23</v>
      </c>
      <c r="H367" s="19" t="s">
        <v>24</v>
      </c>
      <c r="I367" s="19" t="s">
        <v>30</v>
      </c>
      <c r="J367" s="19" t="s">
        <v>47</v>
      </c>
      <c r="K367" s="19" t="s">
        <v>27</v>
      </c>
      <c r="L367" s="19">
        <v>5</v>
      </c>
      <c r="M367" s="19">
        <v>1098.04</v>
      </c>
      <c r="N367" s="21">
        <v>15</v>
      </c>
      <c r="O367" s="4"/>
      <c r="P367" s="4"/>
      <c r="Q367" s="4"/>
      <c r="R367" s="4"/>
    </row>
    <row r="368" spans="1:18" x14ac:dyDescent="0.3">
      <c r="A368" s="19">
        <v>10010</v>
      </c>
      <c r="B368" s="19">
        <v>1121</v>
      </c>
      <c r="C368" s="20">
        <v>45139</v>
      </c>
      <c r="D368" s="20">
        <v>45147</v>
      </c>
      <c r="E368" s="19" t="s">
        <v>33</v>
      </c>
      <c r="F368" s="19" t="s">
        <v>37</v>
      </c>
      <c r="G368" s="19" t="s">
        <v>23</v>
      </c>
      <c r="H368" s="19" t="s">
        <v>34</v>
      </c>
      <c r="I368" s="19" t="s">
        <v>48</v>
      </c>
      <c r="J368" s="19" t="s">
        <v>49</v>
      </c>
      <c r="K368" s="19" t="s">
        <v>46</v>
      </c>
      <c r="L368" s="19">
        <v>5</v>
      </c>
      <c r="M368" s="19">
        <v>1780.66</v>
      </c>
      <c r="N368" s="21">
        <v>20</v>
      </c>
      <c r="O368" s="4"/>
      <c r="P368" s="4"/>
      <c r="Q368" s="4"/>
      <c r="R368" s="4"/>
    </row>
    <row r="369" spans="1:18" x14ac:dyDescent="0.3">
      <c r="A369" s="19">
        <v>10011</v>
      </c>
      <c r="B369" s="19">
        <v>1466</v>
      </c>
      <c r="C369" s="20">
        <v>45098</v>
      </c>
      <c r="D369" s="20">
        <v>45106</v>
      </c>
      <c r="E369" s="19" t="s">
        <v>33</v>
      </c>
      <c r="F369" s="19" t="s">
        <v>37</v>
      </c>
      <c r="G369" s="19" t="s">
        <v>16</v>
      </c>
      <c r="H369" s="19" t="s">
        <v>34</v>
      </c>
      <c r="I369" s="19" t="s">
        <v>48</v>
      </c>
      <c r="J369" s="19" t="s">
        <v>49</v>
      </c>
      <c r="K369" s="19" t="s">
        <v>32</v>
      </c>
      <c r="L369" s="19">
        <v>6</v>
      </c>
      <c r="M369" s="19">
        <v>3205.25</v>
      </c>
      <c r="N369" s="21">
        <v>0</v>
      </c>
      <c r="O369" s="4"/>
      <c r="P369" s="4"/>
      <c r="Q369" s="4"/>
      <c r="R369" s="4"/>
    </row>
    <row r="370" spans="1:18" x14ac:dyDescent="0.3">
      <c r="A370" s="19">
        <v>10012</v>
      </c>
      <c r="B370" s="19">
        <v>1214</v>
      </c>
      <c r="C370" s="20">
        <v>45214</v>
      </c>
      <c r="D370" s="20">
        <v>45220</v>
      </c>
      <c r="E370" s="19" t="s">
        <v>45</v>
      </c>
      <c r="F370" s="19" t="s">
        <v>22</v>
      </c>
      <c r="G370" s="19" t="s">
        <v>23</v>
      </c>
      <c r="H370" s="19" t="s">
        <v>43</v>
      </c>
      <c r="I370" s="19" t="s">
        <v>48</v>
      </c>
      <c r="J370" s="19" t="s">
        <v>50</v>
      </c>
      <c r="K370" s="19" t="s">
        <v>20</v>
      </c>
      <c r="L370" s="19">
        <v>6</v>
      </c>
      <c r="M370" s="19">
        <v>272.35000000000002</v>
      </c>
      <c r="N370" s="21">
        <v>5</v>
      </c>
      <c r="O370" s="4"/>
      <c r="P370" s="4"/>
      <c r="Q370" s="4"/>
      <c r="R370" s="4"/>
    </row>
    <row r="371" spans="1:18" x14ac:dyDescent="0.3">
      <c r="A371" s="19">
        <v>10013</v>
      </c>
      <c r="B371" s="19">
        <v>1330</v>
      </c>
      <c r="C371" s="20">
        <v>45100</v>
      </c>
      <c r="D371" s="20">
        <v>45107</v>
      </c>
      <c r="E371" s="19" t="s">
        <v>15</v>
      </c>
      <c r="F371" s="19" t="s">
        <v>22</v>
      </c>
      <c r="G371" s="19" t="s">
        <v>16</v>
      </c>
      <c r="H371" s="19" t="s">
        <v>34</v>
      </c>
      <c r="I371" s="19" t="s">
        <v>18</v>
      </c>
      <c r="J371" s="19" t="s">
        <v>42</v>
      </c>
      <c r="K371" s="19" t="s">
        <v>20</v>
      </c>
      <c r="L371" s="19">
        <v>8</v>
      </c>
      <c r="M371" s="19">
        <v>3160.9</v>
      </c>
      <c r="N371" s="21">
        <v>0</v>
      </c>
      <c r="O371" s="4"/>
      <c r="P371" s="4"/>
      <c r="Q371" s="4"/>
      <c r="R371" s="4"/>
    </row>
    <row r="372" spans="1:18" x14ac:dyDescent="0.3">
      <c r="A372" s="19">
        <v>10014</v>
      </c>
      <c r="B372" s="19">
        <v>1458</v>
      </c>
      <c r="C372" s="20">
        <v>45039</v>
      </c>
      <c r="D372" s="20">
        <v>45045</v>
      </c>
      <c r="E372" s="19" t="s">
        <v>36</v>
      </c>
      <c r="F372" s="19" t="s">
        <v>37</v>
      </c>
      <c r="G372" s="19" t="s">
        <v>29</v>
      </c>
      <c r="H372" s="19" t="s">
        <v>34</v>
      </c>
      <c r="I372" s="19" t="s">
        <v>25</v>
      </c>
      <c r="J372" s="19" t="s">
        <v>35</v>
      </c>
      <c r="K372" s="19" t="s">
        <v>27</v>
      </c>
      <c r="L372" s="19">
        <v>8</v>
      </c>
      <c r="M372" s="19">
        <v>1074.27</v>
      </c>
      <c r="N372" s="21">
        <v>15</v>
      </c>
      <c r="O372" s="4"/>
      <c r="P372" s="4"/>
      <c r="Q372" s="4"/>
      <c r="R372" s="4"/>
    </row>
    <row r="373" spans="1:18" x14ac:dyDescent="0.3">
      <c r="A373" s="19">
        <v>10015</v>
      </c>
      <c r="B373" s="19">
        <v>1087</v>
      </c>
      <c r="C373" s="20">
        <v>45048</v>
      </c>
      <c r="D373" s="20">
        <v>45057</v>
      </c>
      <c r="E373" s="19" t="s">
        <v>39</v>
      </c>
      <c r="F373" s="19" t="s">
        <v>22</v>
      </c>
      <c r="G373" s="19" t="s">
        <v>23</v>
      </c>
      <c r="H373" s="19" t="s">
        <v>17</v>
      </c>
      <c r="I373" s="19" t="s">
        <v>51</v>
      </c>
      <c r="J373" s="19" t="s">
        <v>52</v>
      </c>
      <c r="K373" s="19" t="s">
        <v>20</v>
      </c>
      <c r="L373" s="19">
        <v>9</v>
      </c>
      <c r="M373" s="19">
        <v>705.59</v>
      </c>
      <c r="N373" s="21">
        <v>10</v>
      </c>
      <c r="O373" s="4"/>
      <c r="P373" s="4"/>
      <c r="Q373" s="4"/>
      <c r="R373" s="4"/>
    </row>
  </sheetData>
  <sortState xmlns:xlrd2="http://schemas.microsoft.com/office/spreadsheetml/2017/richdata2" ref="A2:N373">
    <sortCondition descending="1" sortBy="cellColor" ref="A2:A373" dxfId="0"/>
  </sortState>
  <mergeCells count="1">
    <mergeCell ref="S1:U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E601-CCC8-4A81-A7C4-F6CC744FEE08}">
  <dimension ref="A1:N74"/>
  <sheetViews>
    <sheetView workbookViewId="0">
      <selection activeCell="T16" sqref="T16"/>
    </sheetView>
  </sheetViews>
  <sheetFormatPr defaultRowHeight="14.4" x14ac:dyDescent="0.3"/>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18" t="s">
        <v>13</v>
      </c>
    </row>
    <row r="2" spans="1:14" x14ac:dyDescent="0.3">
      <c r="A2" s="23">
        <v>10022</v>
      </c>
      <c r="B2" s="23">
        <v>1308</v>
      </c>
      <c r="C2" s="24">
        <v>44944</v>
      </c>
      <c r="D2" s="24">
        <v>44951</v>
      </c>
      <c r="E2" s="23" t="s">
        <v>36</v>
      </c>
      <c r="F2" s="23" t="s">
        <v>22</v>
      </c>
      <c r="G2" s="23" t="s">
        <v>29</v>
      </c>
      <c r="H2" s="23" t="s">
        <v>34</v>
      </c>
      <c r="I2" s="23" t="s">
        <v>56</v>
      </c>
      <c r="J2" s="23" t="s">
        <v>57</v>
      </c>
      <c r="K2" s="23" t="s">
        <v>32</v>
      </c>
      <c r="L2" s="23">
        <v>7</v>
      </c>
      <c r="M2" s="23">
        <v>680.86</v>
      </c>
      <c r="N2" s="25">
        <v>20</v>
      </c>
    </row>
    <row r="3" spans="1:14" x14ac:dyDescent="0.3">
      <c r="A3" s="23">
        <v>10027</v>
      </c>
      <c r="B3" s="23">
        <v>1805</v>
      </c>
      <c r="C3" s="24">
        <v>45286</v>
      </c>
      <c r="D3" s="24">
        <v>45290</v>
      </c>
      <c r="E3" s="23" t="s">
        <v>36</v>
      </c>
      <c r="F3" s="23" t="s">
        <v>40</v>
      </c>
      <c r="G3" s="23" t="s">
        <v>23</v>
      </c>
      <c r="H3" s="23" t="s">
        <v>34</v>
      </c>
      <c r="I3" s="23" t="s">
        <v>56</v>
      </c>
      <c r="J3" s="23" t="s">
        <v>57</v>
      </c>
      <c r="K3" s="23" t="s">
        <v>20</v>
      </c>
      <c r="L3" s="23">
        <v>3</v>
      </c>
      <c r="M3" s="23">
        <v>3599.15</v>
      </c>
      <c r="N3" s="25">
        <v>5</v>
      </c>
    </row>
    <row r="4" spans="1:14" x14ac:dyDescent="0.3">
      <c r="A4" s="23">
        <v>10030</v>
      </c>
      <c r="B4" s="23">
        <v>1955</v>
      </c>
      <c r="C4" s="24">
        <v>45077</v>
      </c>
      <c r="D4" s="24">
        <v>45082</v>
      </c>
      <c r="E4" s="23" t="s">
        <v>45</v>
      </c>
      <c r="F4" s="23" t="s">
        <v>22</v>
      </c>
      <c r="G4" s="23" t="s">
        <v>29</v>
      </c>
      <c r="H4" s="23" t="s">
        <v>34</v>
      </c>
      <c r="I4" s="23" t="s">
        <v>25</v>
      </c>
      <c r="J4" s="23" t="s">
        <v>60</v>
      </c>
      <c r="K4" s="23" t="s">
        <v>44</v>
      </c>
      <c r="L4" s="23">
        <v>1</v>
      </c>
      <c r="M4" s="23">
        <v>349.38</v>
      </c>
      <c r="N4" s="25">
        <v>10</v>
      </c>
    </row>
    <row r="5" spans="1:14" x14ac:dyDescent="0.3">
      <c r="A5" s="26">
        <v>10040</v>
      </c>
      <c r="B5" s="26">
        <v>1474</v>
      </c>
      <c r="C5" s="27">
        <v>45274</v>
      </c>
      <c r="D5" s="27">
        <v>45277</v>
      </c>
      <c r="E5" s="26" t="s">
        <v>14</v>
      </c>
      <c r="F5" s="26" t="s">
        <v>15</v>
      </c>
      <c r="G5" s="26" t="s">
        <v>29</v>
      </c>
      <c r="H5" s="26" t="s">
        <v>34</v>
      </c>
      <c r="I5" s="26" t="s">
        <v>25</v>
      </c>
      <c r="J5" s="26" t="s">
        <v>26</v>
      </c>
      <c r="K5" s="26" t="s">
        <v>27</v>
      </c>
      <c r="L5" s="26">
        <v>6</v>
      </c>
      <c r="M5" s="26">
        <v>3083.25</v>
      </c>
      <c r="N5" s="28">
        <v>10</v>
      </c>
    </row>
    <row r="6" spans="1:14" x14ac:dyDescent="0.3">
      <c r="A6" s="26">
        <v>10042</v>
      </c>
      <c r="B6" s="26">
        <v>1510</v>
      </c>
      <c r="C6" s="27">
        <v>45195</v>
      </c>
      <c r="D6" s="27">
        <v>45204</v>
      </c>
      <c r="E6" s="26" t="s">
        <v>14</v>
      </c>
      <c r="F6" s="26" t="s">
        <v>53</v>
      </c>
      <c r="G6" s="26" t="s">
        <v>23</v>
      </c>
      <c r="H6" s="26" t="s">
        <v>34</v>
      </c>
      <c r="I6" s="26" t="s">
        <v>25</v>
      </c>
      <c r="J6" s="26" t="s">
        <v>26</v>
      </c>
      <c r="K6" s="26" t="s">
        <v>32</v>
      </c>
      <c r="L6" s="26">
        <v>4</v>
      </c>
      <c r="M6" s="26">
        <v>1211.67</v>
      </c>
      <c r="N6" s="28">
        <v>20</v>
      </c>
    </row>
    <row r="7" spans="1:14" x14ac:dyDescent="0.3">
      <c r="A7" s="26">
        <v>10043</v>
      </c>
      <c r="B7" s="26">
        <v>1681</v>
      </c>
      <c r="C7" s="27">
        <v>45184</v>
      </c>
      <c r="D7" s="27">
        <v>45188</v>
      </c>
      <c r="E7" s="26" t="s">
        <v>36</v>
      </c>
      <c r="F7" s="26" t="s">
        <v>22</v>
      </c>
      <c r="G7" s="26" t="s">
        <v>23</v>
      </c>
      <c r="H7" s="26" t="s">
        <v>34</v>
      </c>
      <c r="I7" s="26" t="s">
        <v>30</v>
      </c>
      <c r="J7" s="26" t="s">
        <v>47</v>
      </c>
      <c r="K7" s="26" t="s">
        <v>44</v>
      </c>
      <c r="L7" s="26">
        <v>5</v>
      </c>
      <c r="M7" s="26">
        <v>936.35</v>
      </c>
      <c r="N7" s="28">
        <v>15</v>
      </c>
    </row>
    <row r="8" spans="1:14" x14ac:dyDescent="0.3">
      <c r="A8" s="29">
        <v>10052</v>
      </c>
      <c r="B8" s="29">
        <v>1562</v>
      </c>
      <c r="C8" s="30">
        <v>45097</v>
      </c>
      <c r="D8" s="30">
        <v>45098</v>
      </c>
      <c r="E8" s="29" t="s">
        <v>21</v>
      </c>
      <c r="F8" s="29" t="s">
        <v>53</v>
      </c>
      <c r="G8" s="29" t="s">
        <v>23</v>
      </c>
      <c r="H8" s="29" t="s">
        <v>34</v>
      </c>
      <c r="I8" s="29" t="s">
        <v>56</v>
      </c>
      <c r="J8" s="29" t="s">
        <v>61</v>
      </c>
      <c r="K8" s="29" t="s">
        <v>32</v>
      </c>
      <c r="L8" s="29">
        <v>3</v>
      </c>
      <c r="M8" s="29">
        <v>2668.52</v>
      </c>
      <c r="N8" s="31">
        <v>5</v>
      </c>
    </row>
    <row r="9" spans="1:14" x14ac:dyDescent="0.3">
      <c r="A9" s="29">
        <v>10053</v>
      </c>
      <c r="B9" s="29">
        <v>1875</v>
      </c>
      <c r="C9" s="30">
        <v>45115</v>
      </c>
      <c r="D9" s="30">
        <v>45118</v>
      </c>
      <c r="E9" s="29" t="s">
        <v>45</v>
      </c>
      <c r="F9" s="29" t="s">
        <v>15</v>
      </c>
      <c r="G9" s="29" t="s">
        <v>16</v>
      </c>
      <c r="H9" s="29" t="s">
        <v>34</v>
      </c>
      <c r="I9" s="29" t="s">
        <v>51</v>
      </c>
      <c r="J9" s="29" t="s">
        <v>63</v>
      </c>
      <c r="K9" s="29" t="s">
        <v>20</v>
      </c>
      <c r="L9" s="29">
        <v>5</v>
      </c>
      <c r="M9" s="29">
        <v>2534.0700000000002</v>
      </c>
      <c r="N9" s="31">
        <v>10</v>
      </c>
    </row>
    <row r="10" spans="1:14" x14ac:dyDescent="0.3">
      <c r="A10" s="32">
        <v>10066</v>
      </c>
      <c r="B10" s="32">
        <v>1387</v>
      </c>
      <c r="C10" s="33">
        <v>45155</v>
      </c>
      <c r="D10" s="33">
        <v>45158</v>
      </c>
      <c r="E10" s="32" t="s">
        <v>14</v>
      </c>
      <c r="F10" s="32" t="s">
        <v>22</v>
      </c>
      <c r="G10" s="32" t="s">
        <v>16</v>
      </c>
      <c r="H10" s="32" t="s">
        <v>34</v>
      </c>
      <c r="I10" s="32" t="s">
        <v>56</v>
      </c>
      <c r="J10" s="32" t="s">
        <v>65</v>
      </c>
      <c r="K10" s="32" t="s">
        <v>44</v>
      </c>
      <c r="L10" s="32">
        <v>8</v>
      </c>
      <c r="M10" s="32">
        <v>3769.71</v>
      </c>
      <c r="N10" s="34">
        <v>5</v>
      </c>
    </row>
    <row r="11" spans="1:14" x14ac:dyDescent="0.3">
      <c r="A11" s="32">
        <v>10070</v>
      </c>
      <c r="B11" s="32">
        <v>1241</v>
      </c>
      <c r="C11" s="33">
        <v>45112</v>
      </c>
      <c r="D11" s="33">
        <v>45113</v>
      </c>
      <c r="E11" s="32" t="s">
        <v>45</v>
      </c>
      <c r="F11" s="32" t="s">
        <v>40</v>
      </c>
      <c r="G11" s="32" t="s">
        <v>16</v>
      </c>
      <c r="H11" s="32" t="s">
        <v>34</v>
      </c>
      <c r="I11" s="32" t="s">
        <v>30</v>
      </c>
      <c r="J11" s="32" t="s">
        <v>38</v>
      </c>
      <c r="K11" s="32" t="s">
        <v>32</v>
      </c>
      <c r="L11" s="32">
        <v>4</v>
      </c>
      <c r="M11" s="32">
        <v>3612.15</v>
      </c>
      <c r="N11" s="34">
        <v>20</v>
      </c>
    </row>
    <row r="12" spans="1:14" x14ac:dyDescent="0.3">
      <c r="A12" s="32">
        <v>10074</v>
      </c>
      <c r="B12" s="32">
        <v>1897</v>
      </c>
      <c r="C12" s="33">
        <v>45290</v>
      </c>
      <c r="D12" s="33">
        <v>45296</v>
      </c>
      <c r="E12" s="32" t="s">
        <v>15</v>
      </c>
      <c r="F12" s="32" t="s">
        <v>53</v>
      </c>
      <c r="G12" s="32" t="s">
        <v>29</v>
      </c>
      <c r="H12" s="32" t="s">
        <v>34</v>
      </c>
      <c r="I12" s="32" t="s">
        <v>18</v>
      </c>
      <c r="J12" s="32" t="s">
        <v>42</v>
      </c>
      <c r="K12" s="32" t="s">
        <v>32</v>
      </c>
      <c r="L12" s="32">
        <v>3</v>
      </c>
      <c r="M12" s="32">
        <v>2196.89</v>
      </c>
      <c r="N12" s="34">
        <v>0</v>
      </c>
    </row>
    <row r="13" spans="1:14" x14ac:dyDescent="0.3">
      <c r="A13" s="32">
        <v>10076</v>
      </c>
      <c r="B13" s="32">
        <v>1091</v>
      </c>
      <c r="C13" s="33">
        <v>44929</v>
      </c>
      <c r="D13" s="33">
        <v>44932</v>
      </c>
      <c r="E13" s="32" t="s">
        <v>21</v>
      </c>
      <c r="F13" s="32" t="s">
        <v>15</v>
      </c>
      <c r="G13" s="32" t="s">
        <v>29</v>
      </c>
      <c r="H13" s="32" t="s">
        <v>34</v>
      </c>
      <c r="I13" s="32" t="s">
        <v>30</v>
      </c>
      <c r="J13" s="32" t="s">
        <v>38</v>
      </c>
      <c r="K13" s="32" t="s">
        <v>32</v>
      </c>
      <c r="L13" s="32">
        <v>5</v>
      </c>
      <c r="M13" s="32">
        <v>1220.68</v>
      </c>
      <c r="N13" s="34">
        <v>20</v>
      </c>
    </row>
    <row r="14" spans="1:14" x14ac:dyDescent="0.3">
      <c r="A14" s="32">
        <v>10079</v>
      </c>
      <c r="B14" s="32">
        <v>1454</v>
      </c>
      <c r="C14" s="33">
        <v>45246</v>
      </c>
      <c r="D14" s="33">
        <v>45254</v>
      </c>
      <c r="E14" s="32" t="s">
        <v>33</v>
      </c>
      <c r="F14" s="32" t="s">
        <v>15</v>
      </c>
      <c r="G14" s="32" t="s">
        <v>29</v>
      </c>
      <c r="H14" s="32" t="s">
        <v>34</v>
      </c>
      <c r="I14" s="32" t="s">
        <v>30</v>
      </c>
      <c r="J14" s="32" t="s">
        <v>31</v>
      </c>
      <c r="K14" s="32" t="s">
        <v>32</v>
      </c>
      <c r="L14" s="32">
        <v>5</v>
      </c>
      <c r="M14" s="32">
        <v>2291.86</v>
      </c>
      <c r="N14" s="34">
        <v>15</v>
      </c>
    </row>
    <row r="15" spans="1:14" x14ac:dyDescent="0.3">
      <c r="A15" s="35">
        <v>10105</v>
      </c>
      <c r="B15" s="35">
        <v>1995</v>
      </c>
      <c r="C15" s="36">
        <v>45027</v>
      </c>
      <c r="D15" s="36">
        <v>45029</v>
      </c>
      <c r="E15" s="35" t="s">
        <v>45</v>
      </c>
      <c r="F15" s="35" t="s">
        <v>40</v>
      </c>
      <c r="G15" s="35" t="s">
        <v>23</v>
      </c>
      <c r="H15" s="35" t="s">
        <v>34</v>
      </c>
      <c r="I15" s="35" t="s">
        <v>25</v>
      </c>
      <c r="J15" s="35" t="s">
        <v>26</v>
      </c>
      <c r="K15" s="35" t="s">
        <v>20</v>
      </c>
      <c r="L15" s="35">
        <v>5</v>
      </c>
      <c r="M15" s="35">
        <v>181.03</v>
      </c>
      <c r="N15" s="37">
        <v>10</v>
      </c>
    </row>
    <row r="16" spans="1:14" x14ac:dyDescent="0.3">
      <c r="A16" s="38">
        <v>10110</v>
      </c>
      <c r="B16" s="38">
        <v>1455</v>
      </c>
      <c r="C16" s="39">
        <v>44946</v>
      </c>
      <c r="D16" s="39">
        <v>44947</v>
      </c>
      <c r="E16" s="38" t="s">
        <v>45</v>
      </c>
      <c r="F16" s="38" t="s">
        <v>15</v>
      </c>
      <c r="G16" s="38" t="s">
        <v>23</v>
      </c>
      <c r="H16" s="38" t="s">
        <v>34</v>
      </c>
      <c r="I16" s="38" t="s">
        <v>51</v>
      </c>
      <c r="J16" s="38" t="s">
        <v>55</v>
      </c>
      <c r="K16" s="38" t="s">
        <v>46</v>
      </c>
      <c r="L16" s="38">
        <v>6</v>
      </c>
      <c r="M16" s="38">
        <v>2076.84</v>
      </c>
      <c r="N16" s="40">
        <v>20</v>
      </c>
    </row>
    <row r="17" spans="1:14" x14ac:dyDescent="0.3">
      <c r="A17" s="38">
        <v>10111</v>
      </c>
      <c r="B17" s="38">
        <v>1461</v>
      </c>
      <c r="C17" s="39">
        <v>44950</v>
      </c>
      <c r="D17" s="39">
        <v>44959</v>
      </c>
      <c r="E17" s="38" t="s">
        <v>14</v>
      </c>
      <c r="F17" s="38" t="s">
        <v>53</v>
      </c>
      <c r="G17" s="38" t="s">
        <v>29</v>
      </c>
      <c r="H17" s="38" t="s">
        <v>34</v>
      </c>
      <c r="I17" s="38" t="s">
        <v>48</v>
      </c>
      <c r="J17" s="38" t="s">
        <v>66</v>
      </c>
      <c r="K17" s="38" t="s">
        <v>32</v>
      </c>
      <c r="L17" s="38">
        <v>1</v>
      </c>
      <c r="M17" s="38">
        <v>1820.02</v>
      </c>
      <c r="N17" s="40">
        <v>10</v>
      </c>
    </row>
    <row r="18" spans="1:14" x14ac:dyDescent="0.3">
      <c r="A18" s="38">
        <v>10119</v>
      </c>
      <c r="B18" s="38">
        <v>1337</v>
      </c>
      <c r="C18" s="39">
        <v>44964</v>
      </c>
      <c r="D18" s="39">
        <v>44970</v>
      </c>
      <c r="E18" s="38" t="s">
        <v>15</v>
      </c>
      <c r="F18" s="38" t="s">
        <v>37</v>
      </c>
      <c r="G18" s="38" t="s">
        <v>16</v>
      </c>
      <c r="H18" s="38" t="s">
        <v>34</v>
      </c>
      <c r="I18" s="38" t="s">
        <v>30</v>
      </c>
      <c r="J18" s="38" t="s">
        <v>31</v>
      </c>
      <c r="K18" s="38" t="s">
        <v>32</v>
      </c>
      <c r="L18" s="38">
        <v>8</v>
      </c>
      <c r="M18" s="38">
        <v>3339.68</v>
      </c>
      <c r="N18" s="40">
        <v>0</v>
      </c>
    </row>
    <row r="19" spans="1:14" x14ac:dyDescent="0.3">
      <c r="A19" s="38">
        <v>10121</v>
      </c>
      <c r="B19" s="38">
        <v>1052</v>
      </c>
      <c r="C19" s="39">
        <v>45114</v>
      </c>
      <c r="D19" s="39">
        <v>45115</v>
      </c>
      <c r="E19" s="38" t="s">
        <v>15</v>
      </c>
      <c r="F19" s="38" t="s">
        <v>15</v>
      </c>
      <c r="G19" s="38" t="s">
        <v>23</v>
      </c>
      <c r="H19" s="38" t="s">
        <v>34</v>
      </c>
      <c r="I19" s="38" t="s">
        <v>56</v>
      </c>
      <c r="J19" s="38" t="s">
        <v>61</v>
      </c>
      <c r="K19" s="38" t="s">
        <v>32</v>
      </c>
      <c r="L19" s="38">
        <v>5</v>
      </c>
      <c r="M19" s="38">
        <v>2832.28</v>
      </c>
      <c r="N19" s="40">
        <v>0</v>
      </c>
    </row>
    <row r="20" spans="1:14" x14ac:dyDescent="0.3">
      <c r="A20" s="38">
        <v>10128</v>
      </c>
      <c r="B20" s="38">
        <v>1492</v>
      </c>
      <c r="C20" s="39">
        <v>45147</v>
      </c>
      <c r="D20" s="39">
        <v>45148</v>
      </c>
      <c r="E20" s="38" t="s">
        <v>45</v>
      </c>
      <c r="F20" s="38" t="s">
        <v>37</v>
      </c>
      <c r="G20" s="38" t="s">
        <v>29</v>
      </c>
      <c r="H20" s="38" t="s">
        <v>34</v>
      </c>
      <c r="I20" s="38" t="s">
        <v>25</v>
      </c>
      <c r="J20" s="38" t="s">
        <v>60</v>
      </c>
      <c r="K20" s="38" t="s">
        <v>46</v>
      </c>
      <c r="L20" s="38">
        <v>6</v>
      </c>
      <c r="M20" s="38">
        <v>659.76</v>
      </c>
      <c r="N20" s="40">
        <v>0</v>
      </c>
    </row>
    <row r="21" spans="1:14" x14ac:dyDescent="0.3">
      <c r="A21" s="41">
        <v>10132</v>
      </c>
      <c r="B21" s="41">
        <v>1812</v>
      </c>
      <c r="C21" s="42">
        <v>45155</v>
      </c>
      <c r="D21" s="42">
        <v>45163</v>
      </c>
      <c r="E21" s="41" t="s">
        <v>33</v>
      </c>
      <c r="F21" s="41" t="s">
        <v>28</v>
      </c>
      <c r="G21" s="41" t="s">
        <v>23</v>
      </c>
      <c r="H21" s="41" t="s">
        <v>34</v>
      </c>
      <c r="I21" s="41" t="s">
        <v>56</v>
      </c>
      <c r="J21" s="41" t="s">
        <v>57</v>
      </c>
      <c r="K21" s="41" t="s">
        <v>46</v>
      </c>
      <c r="L21" s="41">
        <v>4</v>
      </c>
      <c r="M21" s="41">
        <v>3153.73</v>
      </c>
      <c r="N21" s="43">
        <v>0</v>
      </c>
    </row>
    <row r="22" spans="1:14" x14ac:dyDescent="0.3">
      <c r="A22" s="41">
        <v>10138</v>
      </c>
      <c r="B22" s="41">
        <v>1128</v>
      </c>
      <c r="C22" s="42">
        <v>45088</v>
      </c>
      <c r="D22" s="42">
        <v>45093</v>
      </c>
      <c r="E22" s="41" t="s">
        <v>21</v>
      </c>
      <c r="F22" s="41" t="s">
        <v>28</v>
      </c>
      <c r="G22" s="41" t="s">
        <v>16</v>
      </c>
      <c r="H22" s="41" t="s">
        <v>34</v>
      </c>
      <c r="I22" s="41" t="s">
        <v>51</v>
      </c>
      <c r="J22" s="41" t="s">
        <v>52</v>
      </c>
      <c r="K22" s="41" t="s">
        <v>20</v>
      </c>
      <c r="L22" s="41">
        <v>1</v>
      </c>
      <c r="M22" s="41">
        <v>912.67</v>
      </c>
      <c r="N22" s="43">
        <v>0</v>
      </c>
    </row>
    <row r="23" spans="1:14" x14ac:dyDescent="0.3">
      <c r="A23" s="41">
        <v>10145</v>
      </c>
      <c r="B23" s="41">
        <v>1391</v>
      </c>
      <c r="C23" s="42">
        <v>45245</v>
      </c>
      <c r="D23" s="42">
        <v>45246</v>
      </c>
      <c r="E23" s="41" t="s">
        <v>36</v>
      </c>
      <c r="F23" s="41" t="s">
        <v>37</v>
      </c>
      <c r="G23" s="41" t="s">
        <v>23</v>
      </c>
      <c r="H23" s="41" t="s">
        <v>34</v>
      </c>
      <c r="I23" s="41" t="s">
        <v>56</v>
      </c>
      <c r="J23" s="41" t="s">
        <v>58</v>
      </c>
      <c r="K23" s="41" t="s">
        <v>46</v>
      </c>
      <c r="L23" s="41">
        <v>6</v>
      </c>
      <c r="M23" s="41">
        <v>652.42999999999995</v>
      </c>
      <c r="N23" s="43">
        <v>10</v>
      </c>
    </row>
    <row r="24" spans="1:14" x14ac:dyDescent="0.3">
      <c r="A24" s="1">
        <v>10161</v>
      </c>
      <c r="B24" s="44">
        <v>1047</v>
      </c>
      <c r="C24" s="45">
        <v>45109</v>
      </c>
      <c r="D24" s="45">
        <v>45111</v>
      </c>
      <c r="E24" s="44" t="s">
        <v>45</v>
      </c>
      <c r="F24" s="44" t="s">
        <v>40</v>
      </c>
      <c r="G24" s="44" t="s">
        <v>16</v>
      </c>
      <c r="H24" s="44" t="s">
        <v>34</v>
      </c>
      <c r="I24" s="44" t="s">
        <v>18</v>
      </c>
      <c r="J24" s="44" t="s">
        <v>19</v>
      </c>
      <c r="K24" s="44" t="s">
        <v>32</v>
      </c>
      <c r="L24" s="44">
        <v>8</v>
      </c>
      <c r="M24" s="44">
        <v>1168.3900000000001</v>
      </c>
      <c r="N24" s="46">
        <v>10</v>
      </c>
    </row>
    <row r="25" spans="1:14" x14ac:dyDescent="0.3">
      <c r="A25" s="1">
        <v>10164</v>
      </c>
      <c r="B25" s="44">
        <v>1573</v>
      </c>
      <c r="C25" s="45">
        <v>45042</v>
      </c>
      <c r="D25" s="45">
        <v>45043</v>
      </c>
      <c r="E25" s="44" t="s">
        <v>39</v>
      </c>
      <c r="F25" s="44" t="s">
        <v>15</v>
      </c>
      <c r="G25" s="44" t="s">
        <v>23</v>
      </c>
      <c r="H25" s="44" t="s">
        <v>34</v>
      </c>
      <c r="I25" s="44" t="s">
        <v>51</v>
      </c>
      <c r="J25" s="44" t="s">
        <v>63</v>
      </c>
      <c r="K25" s="44" t="s">
        <v>44</v>
      </c>
      <c r="L25" s="44">
        <v>4</v>
      </c>
      <c r="M25" s="44">
        <v>288.33</v>
      </c>
      <c r="N25" s="46">
        <v>20</v>
      </c>
    </row>
    <row r="26" spans="1:14" x14ac:dyDescent="0.3">
      <c r="A26" s="1">
        <v>10165</v>
      </c>
      <c r="B26" s="44">
        <v>1727</v>
      </c>
      <c r="C26" s="45">
        <v>45039</v>
      </c>
      <c r="D26" s="45">
        <v>45043</v>
      </c>
      <c r="E26" s="44" t="s">
        <v>33</v>
      </c>
      <c r="F26" s="44" t="s">
        <v>37</v>
      </c>
      <c r="G26" s="44" t="s">
        <v>23</v>
      </c>
      <c r="H26" s="44" t="s">
        <v>34</v>
      </c>
      <c r="I26" s="44" t="s">
        <v>56</v>
      </c>
      <c r="J26" s="44" t="s">
        <v>61</v>
      </c>
      <c r="K26" s="44" t="s">
        <v>27</v>
      </c>
      <c r="L26" s="44">
        <v>4</v>
      </c>
      <c r="M26" s="44">
        <v>3718.63</v>
      </c>
      <c r="N26" s="46">
        <v>20</v>
      </c>
    </row>
    <row r="27" spans="1:14" x14ac:dyDescent="0.3">
      <c r="A27" s="1">
        <v>10180</v>
      </c>
      <c r="B27" s="47">
        <v>1004</v>
      </c>
      <c r="C27" s="48">
        <v>45004</v>
      </c>
      <c r="D27" s="48">
        <v>45006</v>
      </c>
      <c r="E27" s="47" t="s">
        <v>14</v>
      </c>
      <c r="F27" s="47" t="s">
        <v>28</v>
      </c>
      <c r="G27" s="47" t="s">
        <v>16</v>
      </c>
      <c r="H27" s="47" t="s">
        <v>34</v>
      </c>
      <c r="I27" s="47" t="s">
        <v>18</v>
      </c>
      <c r="J27" s="47" t="s">
        <v>42</v>
      </c>
      <c r="K27" s="47" t="s">
        <v>44</v>
      </c>
      <c r="L27" s="47">
        <v>8</v>
      </c>
      <c r="M27" s="47">
        <v>2211.17</v>
      </c>
      <c r="N27" s="49">
        <v>10</v>
      </c>
    </row>
    <row r="28" spans="1:14" x14ac:dyDescent="0.3">
      <c r="A28" s="1">
        <v>10191</v>
      </c>
      <c r="B28" s="47">
        <v>1553</v>
      </c>
      <c r="C28" s="48">
        <v>45033</v>
      </c>
      <c r="D28" s="48">
        <v>45039</v>
      </c>
      <c r="E28" s="47" t="s">
        <v>39</v>
      </c>
      <c r="F28" s="47" t="s">
        <v>28</v>
      </c>
      <c r="G28" s="47" t="s">
        <v>29</v>
      </c>
      <c r="H28" s="47" t="s">
        <v>34</v>
      </c>
      <c r="I28" s="47" t="s">
        <v>51</v>
      </c>
      <c r="J28" s="47" t="s">
        <v>55</v>
      </c>
      <c r="K28" s="47" t="s">
        <v>20</v>
      </c>
      <c r="L28" s="47">
        <v>7</v>
      </c>
      <c r="M28" s="47">
        <v>1148.6500000000001</v>
      </c>
      <c r="N28" s="49">
        <v>15</v>
      </c>
    </row>
    <row r="29" spans="1:14" x14ac:dyDescent="0.3">
      <c r="A29" s="1">
        <v>10192</v>
      </c>
      <c r="B29" s="47">
        <v>1891</v>
      </c>
      <c r="C29" s="48">
        <v>45039</v>
      </c>
      <c r="D29" s="48">
        <v>45042</v>
      </c>
      <c r="E29" s="47" t="s">
        <v>14</v>
      </c>
      <c r="F29" s="47" t="s">
        <v>28</v>
      </c>
      <c r="G29" s="47" t="s">
        <v>29</v>
      </c>
      <c r="H29" s="47" t="s">
        <v>34</v>
      </c>
      <c r="I29" s="47" t="s">
        <v>51</v>
      </c>
      <c r="J29" s="47" t="s">
        <v>59</v>
      </c>
      <c r="K29" s="47" t="s">
        <v>20</v>
      </c>
      <c r="L29" s="47">
        <v>2</v>
      </c>
      <c r="M29" s="47">
        <v>487.23</v>
      </c>
      <c r="N29" s="49">
        <v>15</v>
      </c>
    </row>
    <row r="30" spans="1:14" x14ac:dyDescent="0.3">
      <c r="A30" s="1">
        <v>10195</v>
      </c>
      <c r="B30" s="47">
        <v>1574</v>
      </c>
      <c r="C30" s="48">
        <v>45044</v>
      </c>
      <c r="D30" s="48">
        <v>45045</v>
      </c>
      <c r="E30" s="47" t="s">
        <v>33</v>
      </c>
      <c r="F30" s="47" t="s">
        <v>22</v>
      </c>
      <c r="G30" s="47" t="s">
        <v>16</v>
      </c>
      <c r="H30" s="47" t="s">
        <v>34</v>
      </c>
      <c r="I30" s="47" t="s">
        <v>30</v>
      </c>
      <c r="J30" s="47" t="s">
        <v>64</v>
      </c>
      <c r="K30" s="47" t="s">
        <v>46</v>
      </c>
      <c r="L30" s="47">
        <v>6</v>
      </c>
      <c r="M30" s="47">
        <v>344.65</v>
      </c>
      <c r="N30" s="49">
        <v>10</v>
      </c>
    </row>
    <row r="31" spans="1:14" x14ac:dyDescent="0.3">
      <c r="A31" s="1">
        <v>10197</v>
      </c>
      <c r="B31" s="47">
        <v>1742</v>
      </c>
      <c r="C31" s="48">
        <v>45263</v>
      </c>
      <c r="D31" s="48">
        <v>45266</v>
      </c>
      <c r="E31" s="47" t="s">
        <v>15</v>
      </c>
      <c r="F31" s="47" t="s">
        <v>37</v>
      </c>
      <c r="G31" s="47" t="s">
        <v>16</v>
      </c>
      <c r="H31" s="47" t="s">
        <v>34</v>
      </c>
      <c r="I31" s="47" t="s">
        <v>48</v>
      </c>
      <c r="J31" s="47" t="s">
        <v>66</v>
      </c>
      <c r="K31" s="47" t="s">
        <v>44</v>
      </c>
      <c r="L31" s="47">
        <v>4</v>
      </c>
      <c r="M31" s="47">
        <v>1256.21</v>
      </c>
      <c r="N31" s="49">
        <v>10</v>
      </c>
    </row>
    <row r="32" spans="1:14" x14ac:dyDescent="0.3">
      <c r="A32" s="1">
        <v>10199</v>
      </c>
      <c r="B32" s="47">
        <v>1563</v>
      </c>
      <c r="C32" s="48">
        <v>44977</v>
      </c>
      <c r="D32" s="48">
        <v>44984</v>
      </c>
      <c r="E32" s="47" t="s">
        <v>33</v>
      </c>
      <c r="F32" s="47" t="s">
        <v>22</v>
      </c>
      <c r="G32" s="47" t="s">
        <v>23</v>
      </c>
      <c r="H32" s="47" t="s">
        <v>34</v>
      </c>
      <c r="I32" s="47" t="s">
        <v>48</v>
      </c>
      <c r="J32" s="47" t="s">
        <v>50</v>
      </c>
      <c r="K32" s="47" t="s">
        <v>46</v>
      </c>
      <c r="L32" s="47">
        <v>4</v>
      </c>
      <c r="M32" s="47">
        <v>1428.19</v>
      </c>
      <c r="N32" s="49">
        <v>10</v>
      </c>
    </row>
    <row r="33" spans="1:14" x14ac:dyDescent="0.3">
      <c r="A33" s="1">
        <v>10235</v>
      </c>
      <c r="B33" s="47">
        <v>1472</v>
      </c>
      <c r="C33" s="48">
        <v>45032</v>
      </c>
      <c r="D33" s="48">
        <v>45040</v>
      </c>
      <c r="E33" s="47" t="s">
        <v>39</v>
      </c>
      <c r="F33" s="47" t="s">
        <v>28</v>
      </c>
      <c r="G33" s="47" t="s">
        <v>16</v>
      </c>
      <c r="H33" s="47" t="s">
        <v>34</v>
      </c>
      <c r="I33" s="47" t="s">
        <v>51</v>
      </c>
      <c r="J33" s="47" t="s">
        <v>59</v>
      </c>
      <c r="K33" s="47" t="s">
        <v>46</v>
      </c>
      <c r="L33" s="47">
        <v>9</v>
      </c>
      <c r="M33" s="47">
        <v>2677.09</v>
      </c>
      <c r="N33" s="49">
        <v>10</v>
      </c>
    </row>
    <row r="34" spans="1:14" x14ac:dyDescent="0.3">
      <c r="A34" s="1">
        <v>10238</v>
      </c>
      <c r="B34" s="47">
        <v>1224</v>
      </c>
      <c r="C34" s="48">
        <v>45089</v>
      </c>
      <c r="D34" s="48">
        <v>45093</v>
      </c>
      <c r="E34" s="47" t="s">
        <v>33</v>
      </c>
      <c r="F34" s="47" t="s">
        <v>37</v>
      </c>
      <c r="G34" s="47" t="s">
        <v>23</v>
      </c>
      <c r="H34" s="47" t="s">
        <v>34</v>
      </c>
      <c r="I34" s="47" t="s">
        <v>56</v>
      </c>
      <c r="J34" s="47" t="s">
        <v>61</v>
      </c>
      <c r="K34" s="47" t="s">
        <v>44</v>
      </c>
      <c r="L34" s="47">
        <v>8</v>
      </c>
      <c r="M34" s="47">
        <v>284.52</v>
      </c>
      <c r="N34" s="49">
        <v>15</v>
      </c>
    </row>
    <row r="35" spans="1:14" x14ac:dyDescent="0.3">
      <c r="A35" s="1">
        <v>10247</v>
      </c>
      <c r="B35" s="47">
        <v>1258</v>
      </c>
      <c r="C35" s="48">
        <v>44996</v>
      </c>
      <c r="D35" s="48">
        <v>44998</v>
      </c>
      <c r="E35" s="47" t="s">
        <v>14</v>
      </c>
      <c r="F35" s="47" t="s">
        <v>53</v>
      </c>
      <c r="G35" s="47" t="s">
        <v>29</v>
      </c>
      <c r="H35" s="47" t="s">
        <v>34</v>
      </c>
      <c r="I35" s="47" t="s">
        <v>51</v>
      </c>
      <c r="J35" s="47" t="s">
        <v>63</v>
      </c>
      <c r="K35" s="47" t="s">
        <v>46</v>
      </c>
      <c r="L35" s="47">
        <v>7</v>
      </c>
      <c r="M35" s="47">
        <v>2102.27</v>
      </c>
      <c r="N35" s="49">
        <v>20</v>
      </c>
    </row>
    <row r="36" spans="1:14" x14ac:dyDescent="0.3">
      <c r="A36" s="1">
        <v>10253</v>
      </c>
      <c r="B36" s="47">
        <v>1317</v>
      </c>
      <c r="C36" s="48">
        <v>45033</v>
      </c>
      <c r="D36" s="48">
        <v>45034</v>
      </c>
      <c r="E36" s="47" t="s">
        <v>39</v>
      </c>
      <c r="F36" s="47" t="s">
        <v>40</v>
      </c>
      <c r="G36" s="47" t="s">
        <v>23</v>
      </c>
      <c r="H36" s="47" t="s">
        <v>34</v>
      </c>
      <c r="I36" s="47" t="s">
        <v>18</v>
      </c>
      <c r="J36" s="47" t="s">
        <v>19</v>
      </c>
      <c r="K36" s="47" t="s">
        <v>46</v>
      </c>
      <c r="L36" s="47">
        <v>5</v>
      </c>
      <c r="M36" s="47">
        <v>2532.27</v>
      </c>
      <c r="N36" s="49">
        <v>15</v>
      </c>
    </row>
    <row r="37" spans="1:14" x14ac:dyDescent="0.3">
      <c r="A37" s="1">
        <v>10263</v>
      </c>
      <c r="B37" s="47">
        <v>1671</v>
      </c>
      <c r="C37" s="48">
        <v>45053</v>
      </c>
      <c r="D37" s="48">
        <v>45059</v>
      </c>
      <c r="E37" s="47" t="s">
        <v>39</v>
      </c>
      <c r="F37" s="47" t="s">
        <v>37</v>
      </c>
      <c r="G37" s="47" t="s">
        <v>29</v>
      </c>
      <c r="H37" s="47" t="s">
        <v>34</v>
      </c>
      <c r="I37" s="47" t="s">
        <v>48</v>
      </c>
      <c r="J37" s="47" t="s">
        <v>62</v>
      </c>
      <c r="K37" s="47" t="s">
        <v>32</v>
      </c>
      <c r="L37" s="47">
        <v>7</v>
      </c>
      <c r="M37" s="47">
        <v>2165.86</v>
      </c>
      <c r="N37" s="49">
        <v>0</v>
      </c>
    </row>
    <row r="38" spans="1:14" x14ac:dyDescent="0.3">
      <c r="A38" s="1">
        <v>10266</v>
      </c>
      <c r="B38" s="47">
        <v>1232</v>
      </c>
      <c r="C38" s="48">
        <v>45129</v>
      </c>
      <c r="D38" s="48">
        <v>45134</v>
      </c>
      <c r="E38" s="47" t="s">
        <v>39</v>
      </c>
      <c r="F38" s="47" t="s">
        <v>15</v>
      </c>
      <c r="G38" s="47" t="s">
        <v>29</v>
      </c>
      <c r="H38" s="47" t="s">
        <v>34</v>
      </c>
      <c r="I38" s="47" t="s">
        <v>25</v>
      </c>
      <c r="J38" s="47" t="s">
        <v>60</v>
      </c>
      <c r="K38" s="47" t="s">
        <v>32</v>
      </c>
      <c r="L38" s="47">
        <v>8</v>
      </c>
      <c r="M38" s="47">
        <v>2045.09</v>
      </c>
      <c r="N38" s="49">
        <v>10</v>
      </c>
    </row>
    <row r="39" spans="1:14" x14ac:dyDescent="0.3">
      <c r="A39" s="1">
        <v>10269</v>
      </c>
      <c r="B39" s="47">
        <v>1829</v>
      </c>
      <c r="C39" s="48">
        <v>45125</v>
      </c>
      <c r="D39" s="48">
        <v>45132</v>
      </c>
      <c r="E39" s="47" t="s">
        <v>14</v>
      </c>
      <c r="F39" s="47" t="s">
        <v>40</v>
      </c>
      <c r="G39" s="47" t="s">
        <v>23</v>
      </c>
      <c r="H39" s="47" t="s">
        <v>34</v>
      </c>
      <c r="I39" s="47" t="s">
        <v>48</v>
      </c>
      <c r="J39" s="47" t="s">
        <v>50</v>
      </c>
      <c r="K39" s="47" t="s">
        <v>46</v>
      </c>
      <c r="L39" s="47">
        <v>5</v>
      </c>
      <c r="M39" s="47">
        <v>3156.54</v>
      </c>
      <c r="N39" s="49">
        <v>20</v>
      </c>
    </row>
    <row r="40" spans="1:14" x14ac:dyDescent="0.3">
      <c r="A40" s="1">
        <v>10270</v>
      </c>
      <c r="B40" s="47">
        <v>1496</v>
      </c>
      <c r="C40" s="48">
        <v>45080</v>
      </c>
      <c r="D40" s="48">
        <v>45086</v>
      </c>
      <c r="E40" s="47" t="s">
        <v>21</v>
      </c>
      <c r="F40" s="47" t="s">
        <v>28</v>
      </c>
      <c r="G40" s="47" t="s">
        <v>23</v>
      </c>
      <c r="H40" s="47" t="s">
        <v>34</v>
      </c>
      <c r="I40" s="47" t="s">
        <v>30</v>
      </c>
      <c r="J40" s="47" t="s">
        <v>64</v>
      </c>
      <c r="K40" s="47" t="s">
        <v>44</v>
      </c>
      <c r="L40" s="47">
        <v>6</v>
      </c>
      <c r="M40" s="47">
        <v>3197.13</v>
      </c>
      <c r="N40" s="49">
        <v>10</v>
      </c>
    </row>
    <row r="41" spans="1:14" x14ac:dyDescent="0.3">
      <c r="A41" s="1">
        <v>10294</v>
      </c>
      <c r="B41" s="47">
        <v>1402</v>
      </c>
      <c r="C41" s="48">
        <v>44987</v>
      </c>
      <c r="D41" s="48">
        <v>44994</v>
      </c>
      <c r="E41" s="47" t="s">
        <v>21</v>
      </c>
      <c r="F41" s="47" t="s">
        <v>15</v>
      </c>
      <c r="G41" s="47" t="s">
        <v>23</v>
      </c>
      <c r="H41" s="47" t="s">
        <v>34</v>
      </c>
      <c r="I41" s="47" t="s">
        <v>18</v>
      </c>
      <c r="J41" s="47" t="s">
        <v>42</v>
      </c>
      <c r="K41" s="47" t="s">
        <v>44</v>
      </c>
      <c r="L41" s="47">
        <v>3</v>
      </c>
      <c r="M41" s="47">
        <v>967.49</v>
      </c>
      <c r="N41" s="49">
        <v>0</v>
      </c>
    </row>
    <row r="42" spans="1:14" x14ac:dyDescent="0.3">
      <c r="A42" s="1">
        <v>10296</v>
      </c>
      <c r="B42" s="47">
        <v>1129</v>
      </c>
      <c r="C42" s="48">
        <v>44954</v>
      </c>
      <c r="D42" s="48">
        <v>44957</v>
      </c>
      <c r="E42" s="47" t="s">
        <v>15</v>
      </c>
      <c r="F42" s="47" t="s">
        <v>15</v>
      </c>
      <c r="G42" s="47" t="s">
        <v>16</v>
      </c>
      <c r="H42" s="47" t="s">
        <v>34</v>
      </c>
      <c r="I42" s="47" t="s">
        <v>30</v>
      </c>
      <c r="J42" s="47" t="s">
        <v>47</v>
      </c>
      <c r="K42" s="47" t="s">
        <v>46</v>
      </c>
      <c r="L42" s="47">
        <v>5</v>
      </c>
      <c r="M42" s="47">
        <v>2850.33</v>
      </c>
      <c r="N42" s="49">
        <v>5</v>
      </c>
    </row>
    <row r="43" spans="1:14" x14ac:dyDescent="0.3">
      <c r="A43" s="1">
        <v>10305</v>
      </c>
      <c r="B43" s="47">
        <v>1438</v>
      </c>
      <c r="C43" s="48">
        <v>44991</v>
      </c>
      <c r="D43" s="48">
        <v>44993</v>
      </c>
      <c r="E43" s="47" t="s">
        <v>45</v>
      </c>
      <c r="F43" s="47" t="s">
        <v>40</v>
      </c>
      <c r="G43" s="47" t="s">
        <v>16</v>
      </c>
      <c r="H43" s="47" t="s">
        <v>34</v>
      </c>
      <c r="I43" s="47" t="s">
        <v>30</v>
      </c>
      <c r="J43" s="47" t="s">
        <v>47</v>
      </c>
      <c r="K43" s="47" t="s">
        <v>20</v>
      </c>
      <c r="L43" s="47">
        <v>2</v>
      </c>
      <c r="M43" s="47">
        <v>3256.02</v>
      </c>
      <c r="N43" s="49">
        <v>20</v>
      </c>
    </row>
    <row r="44" spans="1:14" x14ac:dyDescent="0.3">
      <c r="A44" s="1">
        <v>10313</v>
      </c>
      <c r="B44" s="47">
        <v>1836</v>
      </c>
      <c r="C44" s="48">
        <v>44992</v>
      </c>
      <c r="D44" s="48">
        <v>44997</v>
      </c>
      <c r="E44" s="47" t="s">
        <v>39</v>
      </c>
      <c r="F44" s="47" t="s">
        <v>40</v>
      </c>
      <c r="G44" s="47" t="s">
        <v>16</v>
      </c>
      <c r="H44" s="47" t="s">
        <v>34</v>
      </c>
      <c r="I44" s="47" t="s">
        <v>56</v>
      </c>
      <c r="J44" s="47" t="s">
        <v>61</v>
      </c>
      <c r="K44" s="47" t="s">
        <v>44</v>
      </c>
      <c r="L44" s="47">
        <v>1</v>
      </c>
      <c r="M44" s="47">
        <v>3251.27</v>
      </c>
      <c r="N44" s="49">
        <v>15</v>
      </c>
    </row>
    <row r="45" spans="1:14" x14ac:dyDescent="0.3">
      <c r="A45" s="1">
        <v>10318</v>
      </c>
      <c r="B45" s="47">
        <v>1906</v>
      </c>
      <c r="C45" s="48">
        <v>45093</v>
      </c>
      <c r="D45" s="48">
        <v>45097</v>
      </c>
      <c r="E45" s="47" t="s">
        <v>14</v>
      </c>
      <c r="F45" s="47" t="s">
        <v>22</v>
      </c>
      <c r="G45" s="47" t="s">
        <v>29</v>
      </c>
      <c r="H45" s="47" t="s">
        <v>34</v>
      </c>
      <c r="I45" s="47" t="s">
        <v>48</v>
      </c>
      <c r="J45" s="47" t="s">
        <v>66</v>
      </c>
      <c r="K45" s="47" t="s">
        <v>20</v>
      </c>
      <c r="L45" s="47">
        <v>7</v>
      </c>
      <c r="M45" s="47">
        <v>245.03</v>
      </c>
      <c r="N45" s="49">
        <v>0</v>
      </c>
    </row>
    <row r="46" spans="1:14" x14ac:dyDescent="0.3">
      <c r="A46" s="1">
        <v>10320</v>
      </c>
      <c r="B46" s="47">
        <v>1751</v>
      </c>
      <c r="C46" s="48">
        <v>45002</v>
      </c>
      <c r="D46" s="48">
        <v>45005</v>
      </c>
      <c r="E46" s="47" t="s">
        <v>14</v>
      </c>
      <c r="F46" s="47" t="s">
        <v>15</v>
      </c>
      <c r="G46" s="47" t="s">
        <v>16</v>
      </c>
      <c r="H46" s="47" t="s">
        <v>34</v>
      </c>
      <c r="I46" s="47" t="s">
        <v>25</v>
      </c>
      <c r="J46" s="47" t="s">
        <v>35</v>
      </c>
      <c r="K46" s="47" t="s">
        <v>27</v>
      </c>
      <c r="L46" s="47">
        <v>8</v>
      </c>
      <c r="M46" s="47">
        <v>2254.7800000000002</v>
      </c>
      <c r="N46" s="49">
        <v>0</v>
      </c>
    </row>
    <row r="47" spans="1:14" x14ac:dyDescent="0.3">
      <c r="A47" s="1">
        <v>10322</v>
      </c>
      <c r="B47" s="47">
        <v>1608</v>
      </c>
      <c r="C47" s="48">
        <v>45220</v>
      </c>
      <c r="D47" s="48">
        <v>45222</v>
      </c>
      <c r="E47" s="47" t="s">
        <v>14</v>
      </c>
      <c r="F47" s="47" t="s">
        <v>53</v>
      </c>
      <c r="G47" s="47" t="s">
        <v>29</v>
      </c>
      <c r="H47" s="47" t="s">
        <v>34</v>
      </c>
      <c r="I47" s="47" t="s">
        <v>25</v>
      </c>
      <c r="J47" s="47" t="s">
        <v>60</v>
      </c>
      <c r="K47" s="47" t="s">
        <v>27</v>
      </c>
      <c r="L47" s="47">
        <v>5</v>
      </c>
      <c r="M47" s="47">
        <v>640.82000000000005</v>
      </c>
      <c r="N47" s="49">
        <v>0</v>
      </c>
    </row>
    <row r="48" spans="1:14" x14ac:dyDescent="0.3">
      <c r="A48" s="1">
        <v>10325</v>
      </c>
      <c r="B48" s="47">
        <v>1186</v>
      </c>
      <c r="C48" s="48">
        <v>45025</v>
      </c>
      <c r="D48" s="48">
        <v>45030</v>
      </c>
      <c r="E48" s="47" t="s">
        <v>36</v>
      </c>
      <c r="F48" s="47" t="s">
        <v>37</v>
      </c>
      <c r="G48" s="47" t="s">
        <v>29</v>
      </c>
      <c r="H48" s="47" t="s">
        <v>34</v>
      </c>
      <c r="I48" s="47" t="s">
        <v>51</v>
      </c>
      <c r="J48" s="47" t="s">
        <v>63</v>
      </c>
      <c r="K48" s="47" t="s">
        <v>44</v>
      </c>
      <c r="L48" s="47">
        <v>7</v>
      </c>
      <c r="M48" s="47">
        <v>730.15</v>
      </c>
      <c r="N48" s="49">
        <v>0</v>
      </c>
    </row>
    <row r="49" spans="1:14" x14ac:dyDescent="0.3">
      <c r="A49" s="1">
        <v>10341</v>
      </c>
      <c r="B49" s="47">
        <v>1710</v>
      </c>
      <c r="C49" s="48">
        <v>45042</v>
      </c>
      <c r="D49" s="48">
        <v>45048</v>
      </c>
      <c r="E49" s="47" t="s">
        <v>15</v>
      </c>
      <c r="F49" s="47" t="s">
        <v>28</v>
      </c>
      <c r="G49" s="47" t="s">
        <v>16</v>
      </c>
      <c r="H49" s="47" t="s">
        <v>34</v>
      </c>
      <c r="I49" s="47" t="s">
        <v>48</v>
      </c>
      <c r="J49" s="47" t="s">
        <v>50</v>
      </c>
      <c r="K49" s="47" t="s">
        <v>27</v>
      </c>
      <c r="L49" s="47">
        <v>4</v>
      </c>
      <c r="M49" s="47">
        <v>641.92999999999995</v>
      </c>
      <c r="N49" s="49">
        <v>0</v>
      </c>
    </row>
    <row r="50" spans="1:14" x14ac:dyDescent="0.3">
      <c r="A50" s="1">
        <v>10342</v>
      </c>
      <c r="B50" s="47">
        <v>1819</v>
      </c>
      <c r="C50" s="48">
        <v>45018</v>
      </c>
      <c r="D50" s="48">
        <v>45019</v>
      </c>
      <c r="E50" s="47" t="s">
        <v>14</v>
      </c>
      <c r="F50" s="47" t="s">
        <v>53</v>
      </c>
      <c r="G50" s="47" t="s">
        <v>16</v>
      </c>
      <c r="H50" s="47" t="s">
        <v>34</v>
      </c>
      <c r="I50" s="47" t="s">
        <v>25</v>
      </c>
      <c r="J50" s="47" t="s">
        <v>26</v>
      </c>
      <c r="K50" s="47" t="s">
        <v>46</v>
      </c>
      <c r="L50" s="47">
        <v>5</v>
      </c>
      <c r="M50" s="47">
        <v>1853.11</v>
      </c>
      <c r="N50" s="49">
        <v>10</v>
      </c>
    </row>
    <row r="51" spans="1:14" x14ac:dyDescent="0.3">
      <c r="A51" s="1">
        <v>10351</v>
      </c>
      <c r="B51" s="47">
        <v>1778</v>
      </c>
      <c r="C51" s="48">
        <v>44970</v>
      </c>
      <c r="D51" s="48">
        <v>44972</v>
      </c>
      <c r="E51" s="47" t="s">
        <v>45</v>
      </c>
      <c r="F51" s="47" t="s">
        <v>15</v>
      </c>
      <c r="G51" s="47" t="s">
        <v>29</v>
      </c>
      <c r="H51" s="47" t="s">
        <v>34</v>
      </c>
      <c r="I51" s="47" t="s">
        <v>30</v>
      </c>
      <c r="J51" s="47" t="s">
        <v>31</v>
      </c>
      <c r="K51" s="47" t="s">
        <v>44</v>
      </c>
      <c r="L51" s="47">
        <v>3</v>
      </c>
      <c r="M51" s="47">
        <v>1923.58</v>
      </c>
      <c r="N51" s="49">
        <v>15</v>
      </c>
    </row>
    <row r="52" spans="1:14" x14ac:dyDescent="0.3">
      <c r="A52" s="1">
        <v>10355</v>
      </c>
      <c r="B52" s="47">
        <v>1945</v>
      </c>
      <c r="C52" s="48">
        <v>45188</v>
      </c>
      <c r="D52" s="48">
        <v>45191</v>
      </c>
      <c r="E52" s="47" t="s">
        <v>36</v>
      </c>
      <c r="F52" s="47" t="s">
        <v>22</v>
      </c>
      <c r="G52" s="47" t="s">
        <v>29</v>
      </c>
      <c r="H52" s="47" t="s">
        <v>34</v>
      </c>
      <c r="I52" s="47" t="s">
        <v>51</v>
      </c>
      <c r="J52" s="47" t="s">
        <v>52</v>
      </c>
      <c r="K52" s="47" t="s">
        <v>20</v>
      </c>
      <c r="L52" s="47">
        <v>9</v>
      </c>
      <c r="M52" s="47">
        <v>2632.88</v>
      </c>
      <c r="N52" s="49">
        <v>5</v>
      </c>
    </row>
    <row r="53" spans="1:14" x14ac:dyDescent="0.3">
      <c r="A53" s="1">
        <v>10358</v>
      </c>
      <c r="B53" s="47">
        <v>1989</v>
      </c>
      <c r="C53" s="48">
        <v>45015</v>
      </c>
      <c r="D53" s="48">
        <v>45019</v>
      </c>
      <c r="E53" s="47" t="s">
        <v>14</v>
      </c>
      <c r="F53" s="47" t="s">
        <v>28</v>
      </c>
      <c r="G53" s="47" t="s">
        <v>29</v>
      </c>
      <c r="H53" s="47" t="s">
        <v>34</v>
      </c>
      <c r="I53" s="47" t="s">
        <v>56</v>
      </c>
      <c r="J53" s="47" t="s">
        <v>57</v>
      </c>
      <c r="K53" s="47" t="s">
        <v>32</v>
      </c>
      <c r="L53" s="47">
        <v>8</v>
      </c>
      <c r="M53" s="47">
        <v>3581.12</v>
      </c>
      <c r="N53" s="49">
        <v>15</v>
      </c>
    </row>
    <row r="54" spans="1:14" x14ac:dyDescent="0.3">
      <c r="A54" s="1">
        <v>10365</v>
      </c>
      <c r="B54" s="47">
        <v>1623</v>
      </c>
      <c r="C54" s="48">
        <v>44934</v>
      </c>
      <c r="D54" s="48">
        <v>44940</v>
      </c>
      <c r="E54" s="47" t="s">
        <v>15</v>
      </c>
      <c r="F54" s="47" t="s">
        <v>40</v>
      </c>
      <c r="G54" s="47" t="s">
        <v>16</v>
      </c>
      <c r="H54" s="47" t="s">
        <v>34</v>
      </c>
      <c r="I54" s="47" t="s">
        <v>51</v>
      </c>
      <c r="J54" s="47" t="s">
        <v>52</v>
      </c>
      <c r="K54" s="47" t="s">
        <v>32</v>
      </c>
      <c r="L54" s="47">
        <v>5</v>
      </c>
      <c r="M54" s="47">
        <v>3593.46</v>
      </c>
      <c r="N54" s="49">
        <v>20</v>
      </c>
    </row>
    <row r="55" spans="1:14" x14ac:dyDescent="0.3">
      <c r="A55" s="1">
        <v>10367</v>
      </c>
      <c r="B55" s="47">
        <v>1880</v>
      </c>
      <c r="C55" s="48">
        <v>45090</v>
      </c>
      <c r="D55" s="48">
        <v>45095</v>
      </c>
      <c r="E55" s="47" t="s">
        <v>45</v>
      </c>
      <c r="F55" s="47" t="s">
        <v>40</v>
      </c>
      <c r="G55" s="47" t="s">
        <v>29</v>
      </c>
      <c r="H55" s="47" t="s">
        <v>34</v>
      </c>
      <c r="I55" s="47" t="s">
        <v>56</v>
      </c>
      <c r="J55" s="47" t="s">
        <v>61</v>
      </c>
      <c r="K55" s="47" t="s">
        <v>44</v>
      </c>
      <c r="L55" s="47">
        <v>8</v>
      </c>
      <c r="M55" s="47">
        <v>3610.33</v>
      </c>
      <c r="N55" s="49">
        <v>5</v>
      </c>
    </row>
    <row r="56" spans="1:14" x14ac:dyDescent="0.3">
      <c r="A56" s="1">
        <v>10369</v>
      </c>
      <c r="B56" s="47">
        <v>1896</v>
      </c>
      <c r="C56" s="48">
        <v>44998</v>
      </c>
      <c r="D56" s="48">
        <v>45000</v>
      </c>
      <c r="E56" s="47" t="s">
        <v>21</v>
      </c>
      <c r="F56" s="47" t="s">
        <v>22</v>
      </c>
      <c r="G56" s="47" t="s">
        <v>16</v>
      </c>
      <c r="H56" s="47" t="s">
        <v>34</v>
      </c>
      <c r="I56" s="47" t="s">
        <v>25</v>
      </c>
      <c r="J56" s="47" t="s">
        <v>35</v>
      </c>
      <c r="K56" s="47" t="s">
        <v>46</v>
      </c>
      <c r="L56" s="47">
        <v>8</v>
      </c>
      <c r="M56" s="47">
        <v>3277.19</v>
      </c>
      <c r="N56" s="49">
        <v>15</v>
      </c>
    </row>
    <row r="57" spans="1:14" x14ac:dyDescent="0.3">
      <c r="A57" s="1">
        <v>10372</v>
      </c>
      <c r="B57" s="47">
        <v>1651</v>
      </c>
      <c r="C57" s="48">
        <v>45164</v>
      </c>
      <c r="D57" s="48">
        <v>45167</v>
      </c>
      <c r="E57" s="47" t="s">
        <v>15</v>
      </c>
      <c r="F57" s="47" t="s">
        <v>22</v>
      </c>
      <c r="G57" s="47" t="s">
        <v>23</v>
      </c>
      <c r="H57" s="47" t="s">
        <v>34</v>
      </c>
      <c r="I57" s="47" t="s">
        <v>48</v>
      </c>
      <c r="J57" s="47" t="s">
        <v>62</v>
      </c>
      <c r="K57" s="47" t="s">
        <v>20</v>
      </c>
      <c r="L57" s="47">
        <v>2</v>
      </c>
      <c r="M57" s="47">
        <v>3957.02</v>
      </c>
      <c r="N57" s="49">
        <v>5</v>
      </c>
    </row>
    <row r="58" spans="1:14" x14ac:dyDescent="0.3">
      <c r="A58" s="1">
        <v>10379</v>
      </c>
      <c r="B58" s="47">
        <v>1658</v>
      </c>
      <c r="C58" s="48">
        <v>45262</v>
      </c>
      <c r="D58" s="48">
        <v>45270</v>
      </c>
      <c r="E58" s="47" t="s">
        <v>14</v>
      </c>
      <c r="F58" s="47" t="s">
        <v>15</v>
      </c>
      <c r="G58" s="47" t="s">
        <v>23</v>
      </c>
      <c r="H58" s="47" t="s">
        <v>34</v>
      </c>
      <c r="I58" s="47" t="s">
        <v>25</v>
      </c>
      <c r="J58" s="47" t="s">
        <v>67</v>
      </c>
      <c r="K58" s="47" t="s">
        <v>44</v>
      </c>
      <c r="L58" s="47">
        <v>1</v>
      </c>
      <c r="M58" s="47">
        <v>3910.66</v>
      </c>
      <c r="N58" s="49">
        <v>5</v>
      </c>
    </row>
    <row r="59" spans="1:14" x14ac:dyDescent="0.3">
      <c r="A59" s="1">
        <v>10390</v>
      </c>
      <c r="B59" s="47">
        <v>1586</v>
      </c>
      <c r="C59" s="48">
        <v>45102</v>
      </c>
      <c r="D59" s="48">
        <v>45103</v>
      </c>
      <c r="E59" s="47" t="s">
        <v>39</v>
      </c>
      <c r="F59" s="47" t="s">
        <v>53</v>
      </c>
      <c r="G59" s="47" t="s">
        <v>23</v>
      </c>
      <c r="H59" s="47" t="s">
        <v>34</v>
      </c>
      <c r="I59" s="47" t="s">
        <v>30</v>
      </c>
      <c r="J59" s="47" t="s">
        <v>47</v>
      </c>
      <c r="K59" s="47" t="s">
        <v>46</v>
      </c>
      <c r="L59" s="47">
        <v>1</v>
      </c>
      <c r="M59" s="47">
        <v>2430.36</v>
      </c>
      <c r="N59" s="49">
        <v>15</v>
      </c>
    </row>
    <row r="60" spans="1:14" x14ac:dyDescent="0.3">
      <c r="A60" s="1">
        <v>10393</v>
      </c>
      <c r="B60" s="47">
        <v>1419</v>
      </c>
      <c r="C60" s="48">
        <v>45186</v>
      </c>
      <c r="D60" s="48">
        <v>45191</v>
      </c>
      <c r="E60" s="47" t="s">
        <v>39</v>
      </c>
      <c r="F60" s="47" t="s">
        <v>22</v>
      </c>
      <c r="G60" s="47" t="s">
        <v>23</v>
      </c>
      <c r="H60" s="47" t="s">
        <v>34</v>
      </c>
      <c r="I60" s="47" t="s">
        <v>51</v>
      </c>
      <c r="J60" s="47" t="s">
        <v>59</v>
      </c>
      <c r="K60" s="47" t="s">
        <v>44</v>
      </c>
      <c r="L60" s="47">
        <v>8</v>
      </c>
      <c r="M60" s="47">
        <v>2993.25</v>
      </c>
      <c r="N60" s="49">
        <v>10</v>
      </c>
    </row>
    <row r="61" spans="1:14" x14ac:dyDescent="0.3">
      <c r="A61" s="1">
        <v>10418</v>
      </c>
      <c r="B61" s="47">
        <v>1800</v>
      </c>
      <c r="C61" s="48">
        <v>45279</v>
      </c>
      <c r="D61" s="48">
        <v>45280</v>
      </c>
      <c r="E61" s="47" t="s">
        <v>39</v>
      </c>
      <c r="F61" s="47" t="s">
        <v>53</v>
      </c>
      <c r="G61" s="47" t="s">
        <v>23</v>
      </c>
      <c r="H61" s="47" t="s">
        <v>34</v>
      </c>
      <c r="I61" s="47" t="s">
        <v>51</v>
      </c>
      <c r="J61" s="47" t="s">
        <v>55</v>
      </c>
      <c r="K61" s="47" t="s">
        <v>32</v>
      </c>
      <c r="L61" s="47">
        <v>8</v>
      </c>
      <c r="M61" s="47">
        <v>3905.57</v>
      </c>
      <c r="N61" s="49">
        <v>10</v>
      </c>
    </row>
    <row r="62" spans="1:14" x14ac:dyDescent="0.3">
      <c r="A62" s="1">
        <v>10431</v>
      </c>
      <c r="B62" s="47">
        <v>1687</v>
      </c>
      <c r="C62" s="48">
        <v>45139</v>
      </c>
      <c r="D62" s="48">
        <v>45146</v>
      </c>
      <c r="E62" s="47" t="s">
        <v>45</v>
      </c>
      <c r="F62" s="47" t="s">
        <v>37</v>
      </c>
      <c r="G62" s="47" t="s">
        <v>29</v>
      </c>
      <c r="H62" s="47" t="s">
        <v>34</v>
      </c>
      <c r="I62" s="47" t="s">
        <v>48</v>
      </c>
      <c r="J62" s="47" t="s">
        <v>50</v>
      </c>
      <c r="K62" s="47" t="s">
        <v>27</v>
      </c>
      <c r="L62" s="47">
        <v>6</v>
      </c>
      <c r="M62" s="47">
        <v>2247.37</v>
      </c>
      <c r="N62" s="49">
        <v>15</v>
      </c>
    </row>
    <row r="63" spans="1:14" x14ac:dyDescent="0.3">
      <c r="A63" s="1">
        <v>10439</v>
      </c>
      <c r="B63" s="47">
        <v>1669</v>
      </c>
      <c r="C63" s="48">
        <v>45174</v>
      </c>
      <c r="D63" s="48">
        <v>45179</v>
      </c>
      <c r="E63" s="47" t="s">
        <v>33</v>
      </c>
      <c r="F63" s="47" t="s">
        <v>28</v>
      </c>
      <c r="G63" s="47" t="s">
        <v>23</v>
      </c>
      <c r="H63" s="47" t="s">
        <v>34</v>
      </c>
      <c r="I63" s="47" t="s">
        <v>48</v>
      </c>
      <c r="J63" s="47" t="s">
        <v>50</v>
      </c>
      <c r="K63" s="47" t="s">
        <v>27</v>
      </c>
      <c r="L63" s="47">
        <v>3</v>
      </c>
      <c r="M63" s="47">
        <v>1448.62</v>
      </c>
      <c r="N63" s="49">
        <v>10</v>
      </c>
    </row>
    <row r="64" spans="1:14" x14ac:dyDescent="0.3">
      <c r="A64" s="1">
        <v>10442</v>
      </c>
      <c r="B64" s="47">
        <v>1364</v>
      </c>
      <c r="C64" s="48">
        <v>45089</v>
      </c>
      <c r="D64" s="48">
        <v>45094</v>
      </c>
      <c r="E64" s="47" t="s">
        <v>14</v>
      </c>
      <c r="F64" s="47" t="s">
        <v>22</v>
      </c>
      <c r="G64" s="47" t="s">
        <v>23</v>
      </c>
      <c r="H64" s="47" t="s">
        <v>34</v>
      </c>
      <c r="I64" s="47" t="s">
        <v>56</v>
      </c>
      <c r="J64" s="47" t="s">
        <v>57</v>
      </c>
      <c r="K64" s="47" t="s">
        <v>44</v>
      </c>
      <c r="L64" s="47">
        <v>9</v>
      </c>
      <c r="M64" s="47">
        <v>2969.7</v>
      </c>
      <c r="N64" s="49">
        <v>10</v>
      </c>
    </row>
    <row r="65" spans="1:14" x14ac:dyDescent="0.3">
      <c r="A65" s="1">
        <v>10447</v>
      </c>
      <c r="B65" s="47">
        <v>1026</v>
      </c>
      <c r="C65" s="48">
        <v>45264</v>
      </c>
      <c r="D65" s="48">
        <v>45265</v>
      </c>
      <c r="E65" s="47" t="s">
        <v>33</v>
      </c>
      <c r="F65" s="47" t="s">
        <v>37</v>
      </c>
      <c r="G65" s="47" t="s">
        <v>16</v>
      </c>
      <c r="H65" s="47" t="s">
        <v>34</v>
      </c>
      <c r="I65" s="47" t="s">
        <v>25</v>
      </c>
      <c r="J65" s="47" t="s">
        <v>67</v>
      </c>
      <c r="K65" s="47" t="s">
        <v>27</v>
      </c>
      <c r="L65" s="47">
        <v>4</v>
      </c>
      <c r="M65" s="47">
        <v>3871.21</v>
      </c>
      <c r="N65" s="49">
        <v>10</v>
      </c>
    </row>
    <row r="66" spans="1:14" x14ac:dyDescent="0.3">
      <c r="A66" s="1">
        <v>10463</v>
      </c>
      <c r="B66" s="47">
        <v>1048</v>
      </c>
      <c r="C66" s="48">
        <v>44992</v>
      </c>
      <c r="D66" s="48">
        <v>45000</v>
      </c>
      <c r="E66" s="47" t="s">
        <v>21</v>
      </c>
      <c r="F66" s="47" t="s">
        <v>15</v>
      </c>
      <c r="G66" s="47" t="s">
        <v>23</v>
      </c>
      <c r="H66" s="47" t="s">
        <v>34</v>
      </c>
      <c r="I66" s="47" t="s">
        <v>25</v>
      </c>
      <c r="J66" s="47" t="s">
        <v>35</v>
      </c>
      <c r="K66" s="47" t="s">
        <v>46</v>
      </c>
      <c r="L66" s="47">
        <v>5</v>
      </c>
      <c r="M66" s="47">
        <v>2072.3200000000002</v>
      </c>
      <c r="N66" s="49">
        <v>15</v>
      </c>
    </row>
    <row r="67" spans="1:14" x14ac:dyDescent="0.3">
      <c r="A67" s="1">
        <v>10466</v>
      </c>
      <c r="B67" s="47">
        <v>1171</v>
      </c>
      <c r="C67" s="48">
        <v>44973</v>
      </c>
      <c r="D67" s="48">
        <v>44975</v>
      </c>
      <c r="E67" s="47" t="s">
        <v>15</v>
      </c>
      <c r="F67" s="47" t="s">
        <v>40</v>
      </c>
      <c r="G67" s="47" t="s">
        <v>29</v>
      </c>
      <c r="H67" s="47" t="s">
        <v>34</v>
      </c>
      <c r="I67" s="47" t="s">
        <v>18</v>
      </c>
      <c r="J67" s="47" t="s">
        <v>42</v>
      </c>
      <c r="K67" s="47" t="s">
        <v>27</v>
      </c>
      <c r="L67" s="47">
        <v>6</v>
      </c>
      <c r="M67" s="47">
        <v>3773.04</v>
      </c>
      <c r="N67" s="49">
        <v>0</v>
      </c>
    </row>
    <row r="68" spans="1:14" x14ac:dyDescent="0.3">
      <c r="A68" s="1">
        <v>10472</v>
      </c>
      <c r="B68" s="47">
        <v>1517</v>
      </c>
      <c r="C68" s="48">
        <v>45269</v>
      </c>
      <c r="D68" s="48">
        <v>45278</v>
      </c>
      <c r="E68" s="47" t="s">
        <v>14</v>
      </c>
      <c r="F68" s="47" t="s">
        <v>53</v>
      </c>
      <c r="G68" s="47" t="s">
        <v>29</v>
      </c>
      <c r="H68" s="47" t="s">
        <v>34</v>
      </c>
      <c r="I68" s="47" t="s">
        <v>30</v>
      </c>
      <c r="J68" s="47" t="s">
        <v>47</v>
      </c>
      <c r="K68" s="47" t="s">
        <v>27</v>
      </c>
      <c r="L68" s="47">
        <v>5</v>
      </c>
      <c r="M68" s="47">
        <v>2523.25</v>
      </c>
      <c r="N68" s="49">
        <v>10</v>
      </c>
    </row>
    <row r="69" spans="1:14" x14ac:dyDescent="0.3">
      <c r="A69" s="1">
        <v>10490</v>
      </c>
      <c r="B69" s="47">
        <v>1927</v>
      </c>
      <c r="C69" s="48">
        <v>45259</v>
      </c>
      <c r="D69" s="48">
        <v>45261</v>
      </c>
      <c r="E69" s="47" t="s">
        <v>14</v>
      </c>
      <c r="F69" s="47" t="s">
        <v>28</v>
      </c>
      <c r="G69" s="47" t="s">
        <v>16</v>
      </c>
      <c r="H69" s="47" t="s">
        <v>34</v>
      </c>
      <c r="I69" s="47" t="s">
        <v>30</v>
      </c>
      <c r="J69" s="47" t="s">
        <v>31</v>
      </c>
      <c r="K69" s="47" t="s">
        <v>44</v>
      </c>
      <c r="L69" s="47">
        <v>7</v>
      </c>
      <c r="M69" s="47">
        <v>2838.06</v>
      </c>
      <c r="N69" s="49">
        <v>20</v>
      </c>
    </row>
    <row r="70" spans="1:14" x14ac:dyDescent="0.3">
      <c r="A70" s="19">
        <v>10004</v>
      </c>
      <c r="B70" s="19">
        <v>1270</v>
      </c>
      <c r="C70" s="20">
        <v>45079</v>
      </c>
      <c r="D70" s="20">
        <v>45087</v>
      </c>
      <c r="E70" s="19" t="s">
        <v>33</v>
      </c>
      <c r="F70" s="19" t="s">
        <v>28</v>
      </c>
      <c r="G70" s="19" t="s">
        <v>23</v>
      </c>
      <c r="H70" s="19" t="s">
        <v>34</v>
      </c>
      <c r="I70" s="19" t="s">
        <v>25</v>
      </c>
      <c r="J70" s="19" t="s">
        <v>35</v>
      </c>
      <c r="K70" s="19" t="s">
        <v>20</v>
      </c>
      <c r="L70" s="19">
        <v>1</v>
      </c>
      <c r="M70" s="19">
        <v>1008.79</v>
      </c>
      <c r="N70" s="21">
        <v>15</v>
      </c>
    </row>
    <row r="71" spans="1:14" x14ac:dyDescent="0.3">
      <c r="A71" s="19">
        <v>10010</v>
      </c>
      <c r="B71" s="19">
        <v>1121</v>
      </c>
      <c r="C71" s="20">
        <v>45139</v>
      </c>
      <c r="D71" s="20">
        <v>45147</v>
      </c>
      <c r="E71" s="19" t="s">
        <v>33</v>
      </c>
      <c r="F71" s="19" t="s">
        <v>37</v>
      </c>
      <c r="G71" s="19" t="s">
        <v>23</v>
      </c>
      <c r="H71" s="19" t="s">
        <v>34</v>
      </c>
      <c r="I71" s="19" t="s">
        <v>48</v>
      </c>
      <c r="J71" s="19" t="s">
        <v>49</v>
      </c>
      <c r="K71" s="19" t="s">
        <v>46</v>
      </c>
      <c r="L71" s="19">
        <v>5</v>
      </c>
      <c r="M71" s="19">
        <v>1780.66</v>
      </c>
      <c r="N71" s="21">
        <v>20</v>
      </c>
    </row>
    <row r="72" spans="1:14" x14ac:dyDescent="0.3">
      <c r="A72" s="19">
        <v>10011</v>
      </c>
      <c r="B72" s="19">
        <v>1466</v>
      </c>
      <c r="C72" s="20">
        <v>45098</v>
      </c>
      <c r="D72" s="20">
        <v>45106</v>
      </c>
      <c r="E72" s="19" t="s">
        <v>33</v>
      </c>
      <c r="F72" s="19" t="s">
        <v>37</v>
      </c>
      <c r="G72" s="19" t="s">
        <v>16</v>
      </c>
      <c r="H72" s="19" t="s">
        <v>34</v>
      </c>
      <c r="I72" s="19" t="s">
        <v>48</v>
      </c>
      <c r="J72" s="19" t="s">
        <v>49</v>
      </c>
      <c r="K72" s="19" t="s">
        <v>32</v>
      </c>
      <c r="L72" s="19">
        <v>6</v>
      </c>
      <c r="M72" s="19">
        <v>3205.25</v>
      </c>
      <c r="N72" s="21">
        <v>0</v>
      </c>
    </row>
    <row r="73" spans="1:14" x14ac:dyDescent="0.3">
      <c r="A73" s="19">
        <v>10013</v>
      </c>
      <c r="B73" s="19">
        <v>1330</v>
      </c>
      <c r="C73" s="20">
        <v>45100</v>
      </c>
      <c r="D73" s="20">
        <v>45107</v>
      </c>
      <c r="E73" s="19" t="s">
        <v>15</v>
      </c>
      <c r="F73" s="19" t="s">
        <v>22</v>
      </c>
      <c r="G73" s="19" t="s">
        <v>16</v>
      </c>
      <c r="H73" s="19" t="s">
        <v>34</v>
      </c>
      <c r="I73" s="19" t="s">
        <v>18</v>
      </c>
      <c r="J73" s="19" t="s">
        <v>42</v>
      </c>
      <c r="K73" s="19" t="s">
        <v>20</v>
      </c>
      <c r="L73" s="19">
        <v>8</v>
      </c>
      <c r="M73" s="19">
        <v>3160.9</v>
      </c>
      <c r="N73" s="21">
        <v>0</v>
      </c>
    </row>
    <row r="74" spans="1:14" x14ac:dyDescent="0.3">
      <c r="A74" s="19">
        <v>10014</v>
      </c>
      <c r="B74" s="19">
        <v>1458</v>
      </c>
      <c r="C74" s="20">
        <v>45039</v>
      </c>
      <c r="D74" s="20">
        <v>45045</v>
      </c>
      <c r="E74" s="19" t="s">
        <v>36</v>
      </c>
      <c r="F74" s="19" t="s">
        <v>37</v>
      </c>
      <c r="G74" s="19" t="s">
        <v>29</v>
      </c>
      <c r="H74" s="19" t="s">
        <v>34</v>
      </c>
      <c r="I74" s="19" t="s">
        <v>25</v>
      </c>
      <c r="J74" s="19" t="s">
        <v>35</v>
      </c>
      <c r="K74" s="19" t="s">
        <v>27</v>
      </c>
      <c r="L74" s="19">
        <v>8</v>
      </c>
      <c r="M74" s="19">
        <v>1074.27</v>
      </c>
      <c r="N74" s="21">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8A73-BA22-4BDC-8FDA-58F8828BF4AF}">
  <sheetPr filterMode="1"/>
  <dimension ref="A1:N67"/>
  <sheetViews>
    <sheetView workbookViewId="0">
      <selection activeCell="H25" sqref="H25"/>
    </sheetView>
  </sheetViews>
  <sheetFormatPr defaultRowHeight="14.4" x14ac:dyDescent="0.3"/>
  <cols>
    <col min="1" max="1" width="9.77734375" bestFit="1" customWidth="1"/>
    <col min="2" max="2" width="12.33203125" customWidth="1"/>
    <col min="3" max="3" width="17.109375" customWidth="1"/>
    <col min="4" max="4" width="15.21875" customWidth="1"/>
    <col min="5" max="5" width="9.77734375" bestFit="1" customWidth="1"/>
    <col min="8" max="8" width="10.33203125" bestFit="1" customWidth="1"/>
    <col min="11" max="11" width="13.33203125" customWidth="1"/>
    <col min="12" max="12" width="13.88671875" customWidth="1"/>
    <col min="13" max="13" width="16.5546875" customWidth="1"/>
    <col min="14" max="14" width="13.44140625" customWidth="1"/>
    <col min="18" max="18" width="10.33203125" bestFit="1" customWidth="1"/>
  </cols>
  <sheetData>
    <row r="1" spans="1:14" x14ac:dyDescent="0.3">
      <c r="A1" s="76" t="s">
        <v>134</v>
      </c>
      <c r="B1" s="76"/>
      <c r="C1" s="76"/>
      <c r="D1" s="76"/>
      <c r="F1" s="77" t="s">
        <v>135</v>
      </c>
      <c r="G1" s="78"/>
      <c r="H1" s="78"/>
      <c r="I1" s="79"/>
      <c r="K1" s="83" t="s">
        <v>139</v>
      </c>
      <c r="L1" s="83"/>
      <c r="M1" s="83"/>
      <c r="N1" s="83"/>
    </row>
    <row r="2" spans="1:14" x14ac:dyDescent="0.3">
      <c r="A2" s="76"/>
      <c r="B2" s="76"/>
      <c r="C2" s="76"/>
      <c r="D2" s="76"/>
      <c r="F2" s="80"/>
      <c r="G2" s="81"/>
      <c r="H2" s="81"/>
      <c r="I2" s="82"/>
      <c r="K2" s="83"/>
      <c r="L2" s="83"/>
      <c r="M2" s="83"/>
      <c r="N2" s="83"/>
    </row>
    <row r="3" spans="1:14" x14ac:dyDescent="0.3">
      <c r="A3" s="55" t="s">
        <v>100</v>
      </c>
      <c r="B3" s="55" t="s">
        <v>111</v>
      </c>
      <c r="C3" s="55" t="s">
        <v>112</v>
      </c>
      <c r="D3" s="55" t="s">
        <v>113</v>
      </c>
      <c r="F3" s="57" t="s">
        <v>100</v>
      </c>
      <c r="G3" s="57" t="s">
        <v>111</v>
      </c>
      <c r="H3" s="57" t="s">
        <v>112</v>
      </c>
      <c r="I3" s="57" t="s">
        <v>113</v>
      </c>
      <c r="K3" s="59" t="s">
        <v>100</v>
      </c>
      <c r="L3" s="59" t="s">
        <v>111</v>
      </c>
      <c r="M3" s="59" t="s">
        <v>112</v>
      </c>
      <c r="N3" s="59" t="s">
        <v>113</v>
      </c>
    </row>
    <row r="4" spans="1:14" x14ac:dyDescent="0.3">
      <c r="A4" s="55" t="s">
        <v>114</v>
      </c>
      <c r="B4" s="55" t="s">
        <v>117</v>
      </c>
      <c r="C4" s="56">
        <v>45292</v>
      </c>
      <c r="D4" s="55">
        <v>120</v>
      </c>
      <c r="F4" s="57" t="s">
        <v>116</v>
      </c>
      <c r="G4" s="57" t="s">
        <v>117</v>
      </c>
      <c r="H4" s="58">
        <v>45298</v>
      </c>
      <c r="I4" s="57">
        <v>300</v>
      </c>
      <c r="K4" s="59" t="s">
        <v>114</v>
      </c>
      <c r="L4" s="59" t="s">
        <v>119</v>
      </c>
      <c r="M4" s="60">
        <v>45294</v>
      </c>
      <c r="N4" s="59">
        <v>200</v>
      </c>
    </row>
    <row r="5" spans="1:14" x14ac:dyDescent="0.3">
      <c r="A5" s="55" t="s">
        <v>114</v>
      </c>
      <c r="B5" s="55" t="s">
        <v>119</v>
      </c>
      <c r="C5" s="56">
        <v>45294</v>
      </c>
      <c r="D5" s="55">
        <v>200</v>
      </c>
      <c r="F5" s="57" t="s">
        <v>115</v>
      </c>
      <c r="G5" s="57" t="s">
        <v>117</v>
      </c>
      <c r="H5" s="58">
        <v>45296</v>
      </c>
      <c r="I5" s="57">
        <v>220</v>
      </c>
      <c r="K5" s="59" t="s">
        <v>115</v>
      </c>
      <c r="L5" s="59" t="s">
        <v>119</v>
      </c>
      <c r="M5" s="60">
        <v>45299</v>
      </c>
      <c r="N5" s="59">
        <v>80</v>
      </c>
    </row>
    <row r="6" spans="1:14" x14ac:dyDescent="0.3">
      <c r="A6" s="55" t="s">
        <v>114</v>
      </c>
      <c r="B6" s="55" t="s">
        <v>118</v>
      </c>
      <c r="C6" s="56">
        <v>45297</v>
      </c>
      <c r="D6" s="55">
        <v>130</v>
      </c>
      <c r="F6" s="57" t="s">
        <v>114</v>
      </c>
      <c r="G6" s="57" t="s">
        <v>119</v>
      </c>
      <c r="H6" s="58">
        <v>45294</v>
      </c>
      <c r="I6" s="57">
        <v>200</v>
      </c>
      <c r="K6" s="59" t="s">
        <v>114</v>
      </c>
      <c r="L6" s="59" t="s">
        <v>117</v>
      </c>
      <c r="M6" s="60">
        <v>45292</v>
      </c>
      <c r="N6" s="59">
        <v>120</v>
      </c>
    </row>
    <row r="7" spans="1:14" x14ac:dyDescent="0.3">
      <c r="A7" s="55" t="s">
        <v>115</v>
      </c>
      <c r="B7" s="55" t="s">
        <v>118</v>
      </c>
      <c r="C7" s="56">
        <v>45293</v>
      </c>
      <c r="D7" s="55">
        <v>150</v>
      </c>
      <c r="F7" s="57" t="s">
        <v>115</v>
      </c>
      <c r="G7" s="57" t="s">
        <v>118</v>
      </c>
      <c r="H7" s="58">
        <v>45293</v>
      </c>
      <c r="I7" s="57">
        <v>150</v>
      </c>
      <c r="K7" s="59" t="s">
        <v>115</v>
      </c>
      <c r="L7" s="59" t="s">
        <v>117</v>
      </c>
      <c r="M7" s="60">
        <v>45296</v>
      </c>
      <c r="N7" s="59">
        <v>220</v>
      </c>
    </row>
    <row r="8" spans="1:14" x14ac:dyDescent="0.3">
      <c r="A8" s="55" t="s">
        <v>115</v>
      </c>
      <c r="B8" s="55" t="s">
        <v>117</v>
      </c>
      <c r="C8" s="56">
        <v>45296</v>
      </c>
      <c r="D8" s="55">
        <v>220</v>
      </c>
      <c r="F8" s="57" t="s">
        <v>114</v>
      </c>
      <c r="G8" s="57" t="s">
        <v>118</v>
      </c>
      <c r="H8" s="58">
        <v>45297</v>
      </c>
      <c r="I8" s="57">
        <v>130</v>
      </c>
      <c r="K8" s="59" t="s">
        <v>116</v>
      </c>
      <c r="L8" s="59" t="s">
        <v>117</v>
      </c>
      <c r="M8" s="60">
        <v>45298</v>
      </c>
      <c r="N8" s="59">
        <v>300</v>
      </c>
    </row>
    <row r="9" spans="1:14" x14ac:dyDescent="0.3">
      <c r="A9" s="55" t="s">
        <v>115</v>
      </c>
      <c r="B9" s="55" t="s">
        <v>121</v>
      </c>
      <c r="C9" s="56">
        <v>45299</v>
      </c>
      <c r="D9" s="55">
        <v>80</v>
      </c>
      <c r="F9" s="57" t="s">
        <v>114</v>
      </c>
      <c r="G9" s="57" t="s">
        <v>117</v>
      </c>
      <c r="H9" s="58">
        <v>45292</v>
      </c>
      <c r="I9" s="57">
        <v>120</v>
      </c>
      <c r="K9" s="59" t="s">
        <v>114</v>
      </c>
      <c r="L9" s="59" t="s">
        <v>118</v>
      </c>
      <c r="M9" s="60">
        <v>45297</v>
      </c>
      <c r="N9" s="59">
        <v>130</v>
      </c>
    </row>
    <row r="10" spans="1:14" x14ac:dyDescent="0.3">
      <c r="A10" s="55" t="s">
        <v>116</v>
      </c>
      <c r="B10" s="55" t="s">
        <v>120</v>
      </c>
      <c r="C10" s="56">
        <v>45295</v>
      </c>
      <c r="D10" s="55">
        <v>90</v>
      </c>
      <c r="F10" s="57" t="s">
        <v>116</v>
      </c>
      <c r="G10" s="57" t="s">
        <v>120</v>
      </c>
      <c r="H10" s="58">
        <v>45295</v>
      </c>
      <c r="I10" s="57">
        <v>90</v>
      </c>
      <c r="K10" s="59" t="s">
        <v>115</v>
      </c>
      <c r="L10" s="59" t="s">
        <v>118</v>
      </c>
      <c r="M10" s="60">
        <v>45293</v>
      </c>
      <c r="N10" s="59">
        <v>150</v>
      </c>
    </row>
    <row r="11" spans="1:14" x14ac:dyDescent="0.3">
      <c r="A11" s="55" t="s">
        <v>116</v>
      </c>
      <c r="B11" s="55" t="s">
        <v>117</v>
      </c>
      <c r="C11" s="56">
        <v>45298</v>
      </c>
      <c r="D11" s="55">
        <v>300</v>
      </c>
      <c r="F11" s="57" t="s">
        <v>115</v>
      </c>
      <c r="G11" s="57" t="s">
        <v>121</v>
      </c>
      <c r="H11" s="58">
        <v>45299</v>
      </c>
      <c r="I11" s="57">
        <v>80</v>
      </c>
      <c r="K11" s="59" t="s">
        <v>116</v>
      </c>
      <c r="L11" s="59" t="s">
        <v>120</v>
      </c>
      <c r="M11" s="60">
        <v>45295</v>
      </c>
      <c r="N11" s="59">
        <v>90</v>
      </c>
    </row>
    <row r="14" spans="1:14" x14ac:dyDescent="0.3">
      <c r="A14" s="84" t="s">
        <v>140</v>
      </c>
      <c r="B14" s="84"/>
      <c r="C14" s="84"/>
      <c r="D14" s="84"/>
    </row>
    <row r="15" spans="1:14" x14ac:dyDescent="0.3">
      <c r="A15" s="84"/>
      <c r="B15" s="84"/>
      <c r="C15" s="84"/>
      <c r="D15" s="84"/>
    </row>
    <row r="16" spans="1:14" x14ac:dyDescent="0.3">
      <c r="A16" s="63" t="s">
        <v>100</v>
      </c>
      <c r="B16" s="63" t="s">
        <v>111</v>
      </c>
      <c r="C16" s="63" t="s">
        <v>112</v>
      </c>
      <c r="D16" s="63" t="s">
        <v>113</v>
      </c>
    </row>
    <row r="17" spans="1:14" hidden="1" x14ac:dyDescent="0.3">
      <c r="A17" s="15" t="s">
        <v>114</v>
      </c>
      <c r="B17" s="15" t="s">
        <v>117</v>
      </c>
      <c r="C17" s="17">
        <v>45292</v>
      </c>
      <c r="D17" s="15">
        <v>120</v>
      </c>
    </row>
    <row r="18" spans="1:14" hidden="1" x14ac:dyDescent="0.3">
      <c r="A18" s="15" t="s">
        <v>114</v>
      </c>
      <c r="B18" s="15" t="s">
        <v>119</v>
      </c>
      <c r="C18" s="17">
        <v>45294</v>
      </c>
      <c r="D18" s="15">
        <v>200</v>
      </c>
    </row>
    <row r="19" spans="1:14" hidden="1" x14ac:dyDescent="0.3">
      <c r="A19" s="61" t="s">
        <v>114</v>
      </c>
      <c r="B19" s="61" t="s">
        <v>118</v>
      </c>
      <c r="C19" s="62">
        <v>45297</v>
      </c>
      <c r="D19" s="61">
        <v>130</v>
      </c>
    </row>
    <row r="20" spans="1:14" x14ac:dyDescent="0.3">
      <c r="A20" s="63" t="s">
        <v>115</v>
      </c>
      <c r="B20" s="63" t="s">
        <v>118</v>
      </c>
      <c r="C20" s="64">
        <v>45293</v>
      </c>
      <c r="D20" s="63">
        <v>150</v>
      </c>
    </row>
    <row r="21" spans="1:14" x14ac:dyDescent="0.3">
      <c r="A21" s="63" t="s">
        <v>115</v>
      </c>
      <c r="B21" s="63" t="s">
        <v>117</v>
      </c>
      <c r="C21" s="64">
        <v>45296</v>
      </c>
      <c r="D21" s="63">
        <v>220</v>
      </c>
    </row>
    <row r="22" spans="1:14" x14ac:dyDescent="0.3">
      <c r="A22" s="63" t="s">
        <v>115</v>
      </c>
      <c r="B22" s="63" t="s">
        <v>119</v>
      </c>
      <c r="C22" s="64">
        <v>45299</v>
      </c>
      <c r="D22" s="63">
        <v>80</v>
      </c>
    </row>
    <row r="23" spans="1:14" hidden="1" x14ac:dyDescent="0.3">
      <c r="A23" s="15" t="s">
        <v>116</v>
      </c>
      <c r="B23" s="15" t="s">
        <v>120</v>
      </c>
      <c r="C23" s="17">
        <v>45295</v>
      </c>
      <c r="D23" s="15">
        <v>90</v>
      </c>
    </row>
    <row r="24" spans="1:14" hidden="1" x14ac:dyDescent="0.3">
      <c r="A24" s="15" t="s">
        <v>116</v>
      </c>
      <c r="B24" s="15" t="s">
        <v>117</v>
      </c>
      <c r="C24" s="17">
        <v>45298</v>
      </c>
      <c r="D24" s="15">
        <v>300</v>
      </c>
    </row>
    <row r="26" spans="1:14" x14ac:dyDescent="0.3">
      <c r="B26" s="15" t="s">
        <v>100</v>
      </c>
    </row>
    <row r="27" spans="1:14" x14ac:dyDescent="0.3">
      <c r="B27" s="61" t="s">
        <v>115</v>
      </c>
    </row>
    <row r="28" spans="1:14" x14ac:dyDescent="0.3">
      <c r="A28" s="85" t="s">
        <v>141</v>
      </c>
      <c r="B28" s="85"/>
      <c r="C28" s="85"/>
      <c r="D28" s="85"/>
    </row>
    <row r="29" spans="1:14" x14ac:dyDescent="0.3">
      <c r="A29" s="85"/>
      <c r="B29" s="85"/>
      <c r="C29" s="85"/>
      <c r="D29" s="85"/>
    </row>
    <row r="30" spans="1:14" x14ac:dyDescent="0.3">
      <c r="A30" s="70" t="s">
        <v>100</v>
      </c>
      <c r="B30" s="70" t="s">
        <v>111</v>
      </c>
      <c r="C30" s="70" t="s">
        <v>112</v>
      </c>
      <c r="D30" s="70" t="s">
        <v>113</v>
      </c>
      <c r="F30" s="52"/>
      <c r="G30" s="52"/>
      <c r="H30" s="52"/>
      <c r="I30" s="52"/>
      <c r="J30" s="4"/>
      <c r="K30" s="52"/>
      <c r="L30" s="52"/>
      <c r="M30" s="52"/>
      <c r="N30" s="52"/>
    </row>
    <row r="31" spans="1:14" hidden="1" x14ac:dyDescent="0.3">
      <c r="A31" s="61" t="s">
        <v>114</v>
      </c>
      <c r="B31" s="61" t="s">
        <v>117</v>
      </c>
      <c r="C31" s="62">
        <v>45292</v>
      </c>
      <c r="D31" s="61">
        <v>120</v>
      </c>
      <c r="F31" s="50" t="s">
        <v>114</v>
      </c>
      <c r="G31" s="50" t="s">
        <v>117</v>
      </c>
      <c r="H31" s="51">
        <v>45292</v>
      </c>
      <c r="I31" s="50">
        <v>120</v>
      </c>
      <c r="K31" s="50" t="s">
        <v>114</v>
      </c>
      <c r="L31" s="50" t="s">
        <v>117</v>
      </c>
      <c r="M31" s="51">
        <v>45292</v>
      </c>
      <c r="N31" s="50">
        <v>120</v>
      </c>
    </row>
    <row r="32" spans="1:14" x14ac:dyDescent="0.3">
      <c r="A32" s="70" t="s">
        <v>114</v>
      </c>
      <c r="B32" s="70" t="s">
        <v>119</v>
      </c>
      <c r="C32" s="71">
        <v>45294</v>
      </c>
      <c r="D32" s="70">
        <v>200</v>
      </c>
      <c r="F32" s="52"/>
      <c r="G32" s="52"/>
      <c r="H32" s="53"/>
      <c r="I32" s="52"/>
      <c r="J32" s="4"/>
      <c r="K32" s="52"/>
      <c r="L32" s="52"/>
      <c r="M32" s="53"/>
      <c r="N32" s="52"/>
    </row>
    <row r="33" spans="1:14" hidden="1" x14ac:dyDescent="0.3">
      <c r="A33" s="15" t="s">
        <v>114</v>
      </c>
      <c r="B33" s="15" t="s">
        <v>118</v>
      </c>
      <c r="C33" s="17">
        <v>45297</v>
      </c>
      <c r="D33" s="15">
        <v>130</v>
      </c>
      <c r="F33" s="50" t="s">
        <v>114</v>
      </c>
      <c r="G33" s="50" t="s">
        <v>118</v>
      </c>
      <c r="H33" s="51">
        <v>45297</v>
      </c>
      <c r="I33" s="50">
        <v>130</v>
      </c>
      <c r="K33" s="50" t="s">
        <v>114</v>
      </c>
      <c r="L33" s="50" t="s">
        <v>118</v>
      </c>
      <c r="M33" s="51">
        <v>45297</v>
      </c>
      <c r="N33" s="50">
        <v>130</v>
      </c>
    </row>
    <row r="34" spans="1:14" hidden="1" x14ac:dyDescent="0.3">
      <c r="A34" s="61" t="s">
        <v>115</v>
      </c>
      <c r="B34" s="61" t="s">
        <v>118</v>
      </c>
      <c r="C34" s="62">
        <v>45293</v>
      </c>
      <c r="D34" s="61">
        <v>150</v>
      </c>
      <c r="F34" s="15" t="s">
        <v>115</v>
      </c>
      <c r="G34" s="15" t="s">
        <v>118</v>
      </c>
      <c r="H34" s="17">
        <v>45293</v>
      </c>
      <c r="I34" s="15">
        <v>150</v>
      </c>
      <c r="K34" s="15" t="s">
        <v>115</v>
      </c>
      <c r="L34" s="15" t="s">
        <v>118</v>
      </c>
      <c r="M34" s="17">
        <v>45293</v>
      </c>
      <c r="N34" s="15">
        <v>150</v>
      </c>
    </row>
    <row r="35" spans="1:14" x14ac:dyDescent="0.3">
      <c r="A35" s="70" t="s">
        <v>115</v>
      </c>
      <c r="B35" s="70" t="s">
        <v>117</v>
      </c>
      <c r="C35" s="71">
        <v>45296</v>
      </c>
      <c r="D35" s="70">
        <v>220</v>
      </c>
      <c r="F35" s="52"/>
      <c r="G35" s="52"/>
      <c r="H35" s="53"/>
      <c r="I35" s="52"/>
      <c r="J35" s="4"/>
      <c r="K35" s="52"/>
      <c r="L35" s="52"/>
      <c r="M35" s="53"/>
      <c r="N35" s="52"/>
    </row>
    <row r="36" spans="1:14" hidden="1" x14ac:dyDescent="0.3">
      <c r="A36" s="15" t="s">
        <v>115</v>
      </c>
      <c r="B36" s="15" t="s">
        <v>119</v>
      </c>
      <c r="C36" s="17">
        <v>45299</v>
      </c>
      <c r="D36" s="15">
        <v>80</v>
      </c>
      <c r="F36" s="50" t="s">
        <v>115</v>
      </c>
      <c r="G36" s="50" t="s">
        <v>119</v>
      </c>
      <c r="H36" s="51">
        <v>45299</v>
      </c>
      <c r="I36" s="50">
        <v>80</v>
      </c>
      <c r="K36" s="50" t="s">
        <v>115</v>
      </c>
      <c r="L36" s="50" t="s">
        <v>119</v>
      </c>
      <c r="M36" s="51">
        <v>45299</v>
      </c>
      <c r="N36" s="50">
        <v>80</v>
      </c>
    </row>
    <row r="37" spans="1:14" hidden="1" x14ac:dyDescent="0.3">
      <c r="A37" s="61" t="s">
        <v>116</v>
      </c>
      <c r="B37" s="61" t="s">
        <v>120</v>
      </c>
      <c r="C37" s="62">
        <v>45295</v>
      </c>
      <c r="D37" s="61">
        <v>90</v>
      </c>
      <c r="F37" s="15" t="s">
        <v>116</v>
      </c>
      <c r="G37" s="15" t="s">
        <v>120</v>
      </c>
      <c r="H37" s="17">
        <v>45295</v>
      </c>
      <c r="I37" s="15">
        <v>90</v>
      </c>
      <c r="K37" s="15" t="s">
        <v>116</v>
      </c>
      <c r="L37" s="15" t="s">
        <v>120</v>
      </c>
      <c r="M37" s="17">
        <v>45295</v>
      </c>
      <c r="N37" s="15">
        <v>90</v>
      </c>
    </row>
    <row r="38" spans="1:14" x14ac:dyDescent="0.3">
      <c r="A38" s="70" t="s">
        <v>116</v>
      </c>
      <c r="B38" s="70" t="s">
        <v>117</v>
      </c>
      <c r="C38" s="71">
        <v>45298</v>
      </c>
      <c r="D38" s="70">
        <v>300</v>
      </c>
      <c r="F38" s="52"/>
      <c r="G38" s="52"/>
      <c r="H38" s="53"/>
      <c r="I38" s="52"/>
      <c r="J38" s="4"/>
      <c r="K38" s="52"/>
      <c r="L38" s="52"/>
      <c r="M38" s="53"/>
      <c r="N38" s="52"/>
    </row>
    <row r="40" spans="1:14" x14ac:dyDescent="0.3">
      <c r="B40" s="15" t="s">
        <v>113</v>
      </c>
    </row>
    <row r="41" spans="1:14" x14ac:dyDescent="0.3">
      <c r="B41" s="69" t="s">
        <v>136</v>
      </c>
    </row>
    <row r="42" spans="1:14" x14ac:dyDescent="0.3">
      <c r="A42" s="86" t="s">
        <v>142</v>
      </c>
      <c r="B42" s="86"/>
      <c r="C42" s="86"/>
      <c r="D42" s="86"/>
    </row>
    <row r="43" spans="1:14" x14ac:dyDescent="0.3">
      <c r="A43" s="86"/>
      <c r="B43" s="86"/>
      <c r="C43" s="86"/>
      <c r="D43" s="86"/>
    </row>
    <row r="44" spans="1:14" x14ac:dyDescent="0.3">
      <c r="A44" s="65" t="s">
        <v>100</v>
      </c>
      <c r="B44" s="65" t="s">
        <v>111</v>
      </c>
      <c r="C44" s="65" t="s">
        <v>112</v>
      </c>
      <c r="D44" s="65" t="s">
        <v>113</v>
      </c>
    </row>
    <row r="45" spans="1:14" x14ac:dyDescent="0.3">
      <c r="A45" s="65" t="s">
        <v>114</v>
      </c>
      <c r="B45" s="65" t="s">
        <v>117</v>
      </c>
      <c r="C45" s="66">
        <v>45292</v>
      </c>
      <c r="D45" s="65">
        <v>120</v>
      </c>
    </row>
    <row r="46" spans="1:14" x14ac:dyDescent="0.3">
      <c r="A46" s="65" t="s">
        <v>115</v>
      </c>
      <c r="B46" s="65" t="s">
        <v>118</v>
      </c>
      <c r="C46" s="66">
        <v>45293</v>
      </c>
      <c r="D46" s="65">
        <v>150</v>
      </c>
    </row>
    <row r="47" spans="1:14" hidden="1" x14ac:dyDescent="0.3">
      <c r="A47" s="15" t="s">
        <v>114</v>
      </c>
      <c r="B47" s="15" t="s">
        <v>119</v>
      </c>
      <c r="C47" s="17">
        <v>45354</v>
      </c>
      <c r="D47" s="15">
        <v>200</v>
      </c>
    </row>
    <row r="48" spans="1:14" hidden="1" x14ac:dyDescent="0.3">
      <c r="A48" s="15" t="s">
        <v>116</v>
      </c>
      <c r="B48" s="15" t="s">
        <v>120</v>
      </c>
      <c r="C48" s="17">
        <v>45386</v>
      </c>
      <c r="D48" s="15">
        <v>90</v>
      </c>
    </row>
    <row r="49" spans="1:4" hidden="1" x14ac:dyDescent="0.3">
      <c r="A49" s="61" t="s">
        <v>115</v>
      </c>
      <c r="B49" s="61" t="s">
        <v>117</v>
      </c>
      <c r="C49" s="62">
        <v>45327</v>
      </c>
      <c r="D49" s="61">
        <v>220</v>
      </c>
    </row>
    <row r="50" spans="1:4" x14ac:dyDescent="0.3">
      <c r="A50" s="65" t="s">
        <v>114</v>
      </c>
      <c r="B50" s="65" t="s">
        <v>118</v>
      </c>
      <c r="C50" s="66">
        <v>45297</v>
      </c>
      <c r="D50" s="65">
        <v>130</v>
      </c>
    </row>
    <row r="51" spans="1:4" x14ac:dyDescent="0.3">
      <c r="A51" s="65" t="s">
        <v>116</v>
      </c>
      <c r="B51" s="65" t="s">
        <v>117</v>
      </c>
      <c r="C51" s="66">
        <v>45298</v>
      </c>
      <c r="D51" s="65">
        <v>300</v>
      </c>
    </row>
    <row r="52" spans="1:4" x14ac:dyDescent="0.3">
      <c r="A52" s="65" t="s">
        <v>115</v>
      </c>
      <c r="B52" s="65" t="s">
        <v>121</v>
      </c>
      <c r="C52" s="66">
        <v>45299</v>
      </c>
      <c r="D52" s="65">
        <v>80</v>
      </c>
    </row>
    <row r="54" spans="1:4" x14ac:dyDescent="0.3">
      <c r="B54" s="15" t="s">
        <v>112</v>
      </c>
    </row>
    <row r="55" spans="1:4" x14ac:dyDescent="0.3">
      <c r="B55" s="54" t="s">
        <v>137</v>
      </c>
    </row>
    <row r="56" spans="1:4" x14ac:dyDescent="0.3">
      <c r="B56" s="69" t="s">
        <v>138</v>
      </c>
    </row>
    <row r="57" spans="1:4" x14ac:dyDescent="0.3">
      <c r="A57" s="75" t="s">
        <v>143</v>
      </c>
      <c r="B57" s="75"/>
      <c r="C57" s="75"/>
      <c r="D57" s="75"/>
    </row>
    <row r="58" spans="1:4" x14ac:dyDescent="0.3">
      <c r="A58" s="75"/>
      <c r="B58" s="75"/>
      <c r="C58" s="75"/>
      <c r="D58" s="75"/>
    </row>
    <row r="59" spans="1:4" x14ac:dyDescent="0.3">
      <c r="A59" s="67" t="s">
        <v>100</v>
      </c>
      <c r="B59" s="67" t="s">
        <v>111</v>
      </c>
      <c r="C59" s="67" t="s">
        <v>112</v>
      </c>
      <c r="D59" s="67" t="s">
        <v>113</v>
      </c>
    </row>
    <row r="60" spans="1:4" x14ac:dyDescent="0.3">
      <c r="A60" s="67" t="s">
        <v>114</v>
      </c>
      <c r="B60" s="67" t="s">
        <v>117</v>
      </c>
      <c r="C60" s="68">
        <v>45292</v>
      </c>
      <c r="D60" s="67">
        <v>120</v>
      </c>
    </row>
    <row r="61" spans="1:4" x14ac:dyDescent="0.3">
      <c r="A61" s="67" t="s">
        <v>115</v>
      </c>
      <c r="B61" s="67" t="s">
        <v>118</v>
      </c>
      <c r="C61" s="68">
        <v>45293</v>
      </c>
      <c r="D61" s="67">
        <v>150</v>
      </c>
    </row>
    <row r="62" spans="1:4" x14ac:dyDescent="0.3">
      <c r="A62" s="67" t="s">
        <v>114</v>
      </c>
      <c r="B62" s="67" t="s">
        <v>119</v>
      </c>
      <c r="C62" s="68">
        <v>45294</v>
      </c>
      <c r="D62" s="67">
        <v>200</v>
      </c>
    </row>
    <row r="63" spans="1:4" x14ac:dyDescent="0.3">
      <c r="A63" s="67" t="s">
        <v>116</v>
      </c>
      <c r="B63" s="67" t="s">
        <v>120</v>
      </c>
      <c r="C63" s="68">
        <v>45295</v>
      </c>
      <c r="D63" s="67">
        <v>90</v>
      </c>
    </row>
    <row r="64" spans="1:4" x14ac:dyDescent="0.3">
      <c r="A64" s="67" t="s">
        <v>115</v>
      </c>
      <c r="B64" s="67" t="s">
        <v>117</v>
      </c>
      <c r="C64" s="68">
        <v>45296</v>
      </c>
      <c r="D64" s="67">
        <v>220</v>
      </c>
    </row>
    <row r="65" spans="1:4" x14ac:dyDescent="0.3">
      <c r="A65" s="67" t="s">
        <v>114</v>
      </c>
      <c r="B65" s="67" t="s">
        <v>118</v>
      </c>
      <c r="C65" s="68">
        <v>45297</v>
      </c>
      <c r="D65" s="67">
        <v>130</v>
      </c>
    </row>
    <row r="66" spans="1:4" x14ac:dyDescent="0.3">
      <c r="A66" s="67" t="s">
        <v>116</v>
      </c>
      <c r="B66" s="67" t="s">
        <v>117</v>
      </c>
      <c r="C66" s="68">
        <v>45298</v>
      </c>
      <c r="D66" s="67">
        <v>300</v>
      </c>
    </row>
    <row r="67" spans="1:4" x14ac:dyDescent="0.3">
      <c r="A67" s="67" t="s">
        <v>115</v>
      </c>
      <c r="B67" s="67" t="s">
        <v>121</v>
      </c>
      <c r="C67" s="68">
        <v>45299</v>
      </c>
      <c r="D67" s="67">
        <v>80</v>
      </c>
    </row>
  </sheetData>
  <autoFilter ref="C44:C52" xr:uid="{F9E68A73-BA22-4BDC-8FDA-58F8828BF4AF}">
    <filterColumn colId="0">
      <filters>
        <dateGroupItem year="2024" month="1" dateTimeGrouping="month"/>
      </filters>
    </filterColumn>
  </autoFilter>
  <sortState xmlns:xlrd2="http://schemas.microsoft.com/office/spreadsheetml/2017/richdata2" ref="A60:D67">
    <sortCondition ref="C60:C67"/>
    <sortCondition descending="1" ref="D60:D67"/>
  </sortState>
  <mergeCells count="7">
    <mergeCell ref="A57:D58"/>
    <mergeCell ref="A1:D2"/>
    <mergeCell ref="F1:I2"/>
    <mergeCell ref="K1:N2"/>
    <mergeCell ref="A14:D15"/>
    <mergeCell ref="A28:D29"/>
    <mergeCell ref="A42: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Function &amp; Formula Used</vt:lpstr>
      <vt:lpstr>Grading System</vt:lpstr>
      <vt:lpstr>Conditional Formatting</vt:lpstr>
      <vt:lpstr>Condtional_Formatting(DAY 2)</vt:lpstr>
      <vt:lpstr>Conditional_Formatting(DAY 2.1)</vt:lpstr>
      <vt:lpstr>Conditional_Formatting(Day2.2)</vt:lpstr>
      <vt:lpstr>ConditionalFormat2.3labwork</vt:lpstr>
      <vt:lpstr>Sort &amp; Filtering(Day3)</vt:lpstr>
      <vt:lpstr>Advanced Filterring(Day3.1)</vt:lpstr>
      <vt:lpstr>Sort &amp; Filtering(ClassLabWork)</vt:lpstr>
      <vt:lpstr>'Sort &amp; Filtering(ClassLabWork)'!Criteria</vt:lpstr>
      <vt:lpstr>'Sort &amp; Filtering(Day3)'!Criteria</vt:lpstr>
      <vt:lpstr>'Advanced Filterring(Day3.1)'!Extract</vt:lpstr>
      <vt:lpstr>'Sort &amp; Filtering(Day3)'!Extract</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2026-03-05T04:47:21Z</dcterms:modified>
</cp:coreProperties>
</file>