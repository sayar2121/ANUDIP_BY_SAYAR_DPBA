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NUDIP_BY_SAYAR_DPBA\EXCEL\Project\"/>
    </mc:Choice>
  </mc:AlternateContent>
  <xr:revisionPtr revIDLastSave="0" documentId="8_{B9FD09AF-A106-428F-8514-038048D3F7F0}" xr6:coauthVersionLast="47" xr6:coauthVersionMax="47" xr10:uidLastSave="{00000000-0000-0000-0000-000000000000}"/>
  <bookViews>
    <workbookView xWindow="-108" yWindow="-108" windowWidth="23256" windowHeight="12456" xr2:uid="{7E8BA1AA-08D4-4FBB-81CA-962D3D290C37}"/>
  </bookViews>
  <sheets>
    <sheet name="E-CommerceBusinessIntelligence" sheetId="1" r:id="rId1"/>
    <sheet name="Pivot Sheet Dashboard" sheetId="2" r:id="rId2"/>
    <sheet name="DATA Analysis" sheetId="11" r:id="rId3"/>
  </sheets>
  <definedNames>
    <definedName name="Slicer_Category">#N/A</definedName>
    <definedName name="Slicer_Customer_Type">#N/A</definedName>
    <definedName name="Slicer_Payment_Mode">#N/A</definedName>
    <definedName name="Slicer_Region">#N/A</definedName>
    <definedName name="Slicer_Segment">#N/A</definedName>
  </definedNames>
  <calcPr calcId="191029"/>
  <pivotCaches>
    <pivotCache cacheId="11" r:id="rId4"/>
    <pivotCache cacheId="1" r:id="rId5"/>
    <pivotCache cacheId="2" r:id="rId6"/>
    <pivotCache cacheId="3" r:id="rId7"/>
    <pivotCache cacheId="4" r:id="rId8"/>
    <pivotCache cacheId="5" r:id="rId9"/>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81" i="11" l="1" a="1"/>
  <c r="A481" i="11" s="1"/>
  <c r="A155" i="11" a="1"/>
  <c r="A155" i="11" s="1"/>
  <c r="A3" i="11" a="1"/>
  <c r="A3" i="11" s="1"/>
  <c r="X3" i="1"/>
  <c r="X2"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<sst xmlns="http://schemas.openxmlformats.org/spreadsheetml/2006/main" count="3196" uniqueCount="272">
  <si>
    <t>Order_ID</t>
  </si>
  <si>
    <t>Order_Date</t>
  </si>
  <si>
    <t>Customer_ID</t>
  </si>
  <si>
    <t>Customer_Name</t>
  </si>
  <si>
    <t>Segment</t>
  </si>
  <si>
    <t>Region</t>
  </si>
  <si>
    <t>Category</t>
  </si>
  <si>
    <t>Product_Name</t>
  </si>
  <si>
    <t>Price</t>
  </si>
  <si>
    <t>Quantity</t>
  </si>
  <si>
    <t>Discount</t>
  </si>
  <si>
    <t>Profit</t>
  </si>
  <si>
    <t>Payment_Mode</t>
  </si>
  <si>
    <t>Sales</t>
  </si>
  <si>
    <t>Customer_33</t>
  </si>
  <si>
    <t>Consumer</t>
  </si>
  <si>
    <t>South</t>
  </si>
  <si>
    <t>Electronics</t>
  </si>
  <si>
    <t>Product_A</t>
  </si>
  <si>
    <t>UPI</t>
  </si>
  <si>
    <t>Customer_191</t>
  </si>
  <si>
    <t>East</t>
  </si>
  <si>
    <t>Clothing</t>
  </si>
  <si>
    <t>Customer_54</t>
  </si>
  <si>
    <t>Corporate</t>
  </si>
  <si>
    <t>Product_D</t>
  </si>
  <si>
    <t>Card</t>
  </si>
  <si>
    <t>Customer_116</t>
  </si>
  <si>
    <t>West</t>
  </si>
  <si>
    <t>Product_B</t>
  </si>
  <si>
    <t>Customer_179</t>
  </si>
  <si>
    <t>COD</t>
  </si>
  <si>
    <t>Customer_112</t>
  </si>
  <si>
    <t>North</t>
  </si>
  <si>
    <t>Furniture</t>
  </si>
  <si>
    <t>Customer_180</t>
  </si>
  <si>
    <t>Customer_184</t>
  </si>
  <si>
    <t>Product_C</t>
  </si>
  <si>
    <t>Customer_114</t>
  </si>
  <si>
    <t>Customer_73</t>
  </si>
  <si>
    <t>Customer_1</t>
  </si>
  <si>
    <t>Customer_31</t>
  </si>
  <si>
    <t>Customer_21</t>
  </si>
  <si>
    <t>Customer_24</t>
  </si>
  <si>
    <t>Customer_19</t>
  </si>
  <si>
    <t>Customer_61</t>
  </si>
  <si>
    <t>Customer_188</t>
  </si>
  <si>
    <t>Customer_124</t>
  </si>
  <si>
    <t>Customer_153</t>
  </si>
  <si>
    <t>Customer_20</t>
  </si>
  <si>
    <t>Customer_117</t>
  </si>
  <si>
    <t>Customer_154</t>
  </si>
  <si>
    <t>Customer_127</t>
  </si>
  <si>
    <t>Customer_7</t>
  </si>
  <si>
    <t>Customer_195</t>
  </si>
  <si>
    <t>Customer_56</t>
  </si>
  <si>
    <t>Customer_72</t>
  </si>
  <si>
    <t>Customer_94</t>
  </si>
  <si>
    <t>Customer_11</t>
  </si>
  <si>
    <t>Customer_145</t>
  </si>
  <si>
    <t>Customer_175</t>
  </si>
  <si>
    <t>Customer_172</t>
  </si>
  <si>
    <t>Customer_192</t>
  </si>
  <si>
    <t>Customer_158</t>
  </si>
  <si>
    <t>Customer_43</t>
  </si>
  <si>
    <t>Customer_16</t>
  </si>
  <si>
    <t>Customer_119</t>
  </si>
  <si>
    <t>Customer_4</t>
  </si>
  <si>
    <t>Customer_85</t>
  </si>
  <si>
    <t>Customer_50</t>
  </si>
  <si>
    <t>Customer_34</t>
  </si>
  <si>
    <t>Customer_35</t>
  </si>
  <si>
    <t>Customer_64</t>
  </si>
  <si>
    <t>Customer_13</t>
  </si>
  <si>
    <t>Customer_107</t>
  </si>
  <si>
    <t>Customer_27</t>
  </si>
  <si>
    <t>Customer_169</t>
  </si>
  <si>
    <t>Customer_42</t>
  </si>
  <si>
    <t>Customer_157</t>
  </si>
  <si>
    <t>Customer_144</t>
  </si>
  <si>
    <t>Customer_181</t>
  </si>
  <si>
    <t>Customer_46</t>
  </si>
  <si>
    <t>Customer_197</t>
  </si>
  <si>
    <t>Customer_37</t>
  </si>
  <si>
    <t>Customer_104</t>
  </si>
  <si>
    <t>Customer_143</t>
  </si>
  <si>
    <t>Customer_149</t>
  </si>
  <si>
    <t>Customer_9</t>
  </si>
  <si>
    <t>Customer_77</t>
  </si>
  <si>
    <t>Customer_146</t>
  </si>
  <si>
    <t>Customer_23</t>
  </si>
  <si>
    <t>Customer_95</t>
  </si>
  <si>
    <t>Customer_122</t>
  </si>
  <si>
    <t>Customer_102</t>
  </si>
  <si>
    <t>Customer_142</t>
  </si>
  <si>
    <t>Customer_101</t>
  </si>
  <si>
    <t>Customer_76</t>
  </si>
  <si>
    <t>Customer_156</t>
  </si>
  <si>
    <t>Customer_131</t>
  </si>
  <si>
    <t>Customer_150</t>
  </si>
  <si>
    <t>Customer_29</t>
  </si>
  <si>
    <t>Customer_148</t>
  </si>
  <si>
    <t>Customer_67</t>
  </si>
  <si>
    <t>Customer_105</t>
  </si>
  <si>
    <t>Customer_161</t>
  </si>
  <si>
    <t>Customer_48</t>
  </si>
  <si>
    <t>Customer_103</t>
  </si>
  <si>
    <t>Customer_41</t>
  </si>
  <si>
    <t>Customer_123</t>
  </si>
  <si>
    <t>Customer_137</t>
  </si>
  <si>
    <t>Customer_176</t>
  </si>
  <si>
    <t>Customer_182</t>
  </si>
  <si>
    <t>Customer_193</t>
  </si>
  <si>
    <t>Customer_160</t>
  </si>
  <si>
    <t>Customer_109</t>
  </si>
  <si>
    <t>Customer_81</t>
  </si>
  <si>
    <t>Customer_70</t>
  </si>
  <si>
    <t>Customer_174</t>
  </si>
  <si>
    <t>Customer_128</t>
  </si>
  <si>
    <t>Customer_121</t>
  </si>
  <si>
    <t>Customer_138</t>
  </si>
  <si>
    <t>Customer_28</t>
  </si>
  <si>
    <t>Customer_22</t>
  </si>
  <si>
    <t>Customer_111</t>
  </si>
  <si>
    <t>Customer_32</t>
  </si>
  <si>
    <t>Customer_115</t>
  </si>
  <si>
    <t>Customer_164</t>
  </si>
  <si>
    <t>Customer_159</t>
  </si>
  <si>
    <t>Customer_170</t>
  </si>
  <si>
    <t>Customer_74</t>
  </si>
  <si>
    <t>Customer_69</t>
  </si>
  <si>
    <t>Customer_125</t>
  </si>
  <si>
    <t>Customer_199</t>
  </si>
  <si>
    <t>Customer_134</t>
  </si>
  <si>
    <t>Customer_52</t>
  </si>
  <si>
    <t>Customer_82</t>
  </si>
  <si>
    <t>Customer_100</t>
  </si>
  <si>
    <t>Customer_196</t>
  </si>
  <si>
    <t>Customer_60</t>
  </si>
  <si>
    <t>Customer_183</t>
  </si>
  <si>
    <t>Customer_152</t>
  </si>
  <si>
    <t>Customer_168</t>
  </si>
  <si>
    <t>Customer_162</t>
  </si>
  <si>
    <t>Customer_39</t>
  </si>
  <si>
    <t>Customer_120</t>
  </si>
  <si>
    <t>Customer_113</t>
  </si>
  <si>
    <t>Customer_3</t>
  </si>
  <si>
    <t>Customer_166</t>
  </si>
  <si>
    <t>Customer_65</t>
  </si>
  <si>
    <t>Customer_83</t>
  </si>
  <si>
    <t>Customer_38</t>
  </si>
  <si>
    <t>Customer_47</t>
  </si>
  <si>
    <t>Customer_10</t>
  </si>
  <si>
    <t>Customer_88</t>
  </si>
  <si>
    <t>Customer_133</t>
  </si>
  <si>
    <t>Customer_141</t>
  </si>
  <si>
    <t>Customer_86</t>
  </si>
  <si>
    <t>Customer_151</t>
  </si>
  <si>
    <t>Customer_8</t>
  </si>
  <si>
    <t>Customer_190</t>
  </si>
  <si>
    <t>Customer_167</t>
  </si>
  <si>
    <t>Customer_51</t>
  </si>
  <si>
    <t>Customer_45</t>
  </si>
  <si>
    <t>Customer_177</t>
  </si>
  <si>
    <t>Customer_80</t>
  </si>
  <si>
    <t>Customer_99</t>
  </si>
  <si>
    <t>Customer_106</t>
  </si>
  <si>
    <t>Customer_187</t>
  </si>
  <si>
    <t>Customer_198</t>
  </si>
  <si>
    <t>Customer_78</t>
  </si>
  <si>
    <t>Customer_110</t>
  </si>
  <si>
    <t>Customer_130</t>
  </si>
  <si>
    <t>Customer_89</t>
  </si>
  <si>
    <t>Customer_15</t>
  </si>
  <si>
    <t>Customer_97</t>
  </si>
  <si>
    <t>Customer_40</t>
  </si>
  <si>
    <t>Customer_108</t>
  </si>
  <si>
    <t>Customer_87</t>
  </si>
  <si>
    <t>Customer_2</t>
  </si>
  <si>
    <t>Customer_26</t>
  </si>
  <si>
    <t>Customer_44</t>
  </si>
  <si>
    <t>Customer_18</t>
  </si>
  <si>
    <t>Customer_98</t>
  </si>
  <si>
    <t>Customer_30</t>
  </si>
  <si>
    <t>Customer_96</t>
  </si>
  <si>
    <t>Customer_68</t>
  </si>
  <si>
    <t>Customer_25</t>
  </si>
  <si>
    <t>Customer_12</t>
  </si>
  <si>
    <t>Customer_71</t>
  </si>
  <si>
    <t>Customer_75</t>
  </si>
  <si>
    <t>Customer_14</t>
  </si>
  <si>
    <t>Customer_57</t>
  </si>
  <si>
    <t>Customer_140</t>
  </si>
  <si>
    <t>Customer_91</t>
  </si>
  <si>
    <t>Customer_17</t>
  </si>
  <si>
    <t>Customer_171</t>
  </si>
  <si>
    <t>Customer_92</t>
  </si>
  <si>
    <t>Customer_178</t>
  </si>
  <si>
    <t>Customer_79</t>
  </si>
  <si>
    <t>Customer_186</t>
  </si>
  <si>
    <t>Customer_147</t>
  </si>
  <si>
    <t>Customer_84</t>
  </si>
  <si>
    <t>Customer_163</t>
  </si>
  <si>
    <t>Customer_118</t>
  </si>
  <si>
    <t>Customer_55</t>
  </si>
  <si>
    <t>Customer_58</t>
  </si>
  <si>
    <t>Customer_5</t>
  </si>
  <si>
    <t>Customer_53</t>
  </si>
  <si>
    <t>Customer_90</t>
  </si>
  <si>
    <t>Customer_59</t>
  </si>
  <si>
    <t>Customer_49</t>
  </si>
  <si>
    <t>Customer_36</t>
  </si>
  <si>
    <t>Customer_62</t>
  </si>
  <si>
    <t>Customer_6</t>
  </si>
  <si>
    <t>Customer_194</t>
  </si>
  <si>
    <t>Customer_132</t>
  </si>
  <si>
    <t>Customer_63</t>
  </si>
  <si>
    <t>Customer_155</t>
  </si>
  <si>
    <t>Months</t>
  </si>
  <si>
    <t>Year</t>
  </si>
  <si>
    <t>Quarter</t>
  </si>
  <si>
    <t>Profit Margin</t>
  </si>
  <si>
    <t>Discount Amount</t>
  </si>
  <si>
    <t>Order Category</t>
  </si>
  <si>
    <t>Customer Type</t>
  </si>
  <si>
    <t>Sales Performance</t>
  </si>
  <si>
    <t>Profit Status</t>
  </si>
  <si>
    <t>Rank Sales</t>
  </si>
  <si>
    <t>Row Labels</t>
  </si>
  <si>
    <t>Grand Total</t>
  </si>
  <si>
    <t>Sum of Sales</t>
  </si>
  <si>
    <t>Sales by Region</t>
  </si>
  <si>
    <t>Sales by Category</t>
  </si>
  <si>
    <t>Monthly Sales</t>
  </si>
  <si>
    <t>Jan</t>
  </si>
  <si>
    <t>Feb</t>
  </si>
  <si>
    <t>Mar</t>
  </si>
  <si>
    <t>Apr</t>
  </si>
  <si>
    <t>May</t>
  </si>
  <si>
    <t>Jun</t>
  </si>
  <si>
    <t>Jul</t>
  </si>
  <si>
    <t>Aug</t>
  </si>
  <si>
    <t>Sep</t>
  </si>
  <si>
    <t>Oct</t>
  </si>
  <si>
    <t>Nov</t>
  </si>
  <si>
    <t>Dec</t>
  </si>
  <si>
    <t>Top 2 Products</t>
  </si>
  <si>
    <t>Payment Mode</t>
  </si>
  <si>
    <t>Count of Order_ID</t>
  </si>
  <si>
    <t>Segment Sales</t>
  </si>
  <si>
    <t>Sum of Profit</t>
  </si>
  <si>
    <t>Sum of Discount</t>
  </si>
  <si>
    <t>Sum of Profit Margin</t>
  </si>
  <si>
    <t>Sum of Discount Amount</t>
  </si>
  <si>
    <t>Q1</t>
  </si>
  <si>
    <t>Q2</t>
  </si>
  <si>
    <t>Q3</t>
  </si>
  <si>
    <t>Q4</t>
  </si>
  <si>
    <t>High</t>
  </si>
  <si>
    <t>Low</t>
  </si>
  <si>
    <t>Medium</t>
  </si>
  <si>
    <t>Region Based Profit</t>
  </si>
  <si>
    <t>Region Based Discount</t>
  </si>
  <si>
    <t>Sum Of Sales,Profit Margin,Discount Ammount On Basis of Product</t>
  </si>
  <si>
    <t>Sum of Profit Margin, Discount Ammount, Profit on Basis of Payment Method</t>
  </si>
  <si>
    <t>Sum Of Discount Ammount, Profit, Discount On Basis of Quarter</t>
  </si>
  <si>
    <t>Sum of Discount on Basis of Order Category</t>
  </si>
  <si>
    <t>New</t>
  </si>
  <si>
    <t>Repeat</t>
  </si>
  <si>
    <t>Extrcat Only Electronics</t>
  </si>
  <si>
    <t>High Sales Orders</t>
  </si>
  <si>
    <t>Profit Only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</si>
</sst>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left" indent="1"/>
    </xf>
    <xf numFmtId="0" fontId="1" fillId="0" borderId="1" xfId="0" pivotButton="1"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NumberFormat="1" applyFont="1" applyBorder="1" applyAlignment="1">
      <alignment vertical="center"/>
    </xf>
    <xf numFmtId="0" fontId="1" fillId="0" borderId="0" xfId="0" applyFont="1" applyBorder="1" applyAlignment="1">
      <alignment vertical="center"/>
    </xf>
    <xf numFmtId="0" fontId="2" fillId="2" borderId="1" xfId="0" applyFont="1" applyFill="1" applyBorder="1"/>
    <xf numFmtId="14" fontId="2" fillId="2" borderId="1" xfId="0" applyNumberFormat="1" applyFont="1" applyFill="1" applyBorder="1"/>
    <xf numFmtId="14" fontId="0" fillId="0" borderId="1" xfId="0" applyNumberFormat="1" applyBorder="1"/>
    <xf numFmtId="0" fontId="0" fillId="0" borderId="0" xfId="0" applyBorder="1"/>
    <xf numFmtId="0" fontId="0" fillId="0" borderId="0" xfId="0" applyBorder="1" applyAlignme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cellXfs>
  <cellStyles count="1">
    <cellStyle name="Normal" xfId="0" builtinId="0"/>
  </cellStyles>
  <dxfs count="20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microsoft.com/office/2007/relationships/slicerCache" Target="slicerCaches/slicerCache5.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[EXCEL_MINI_PROJECT.xlsx]Pivot Sheet 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 Dashboard'!$B$3</c:f>
              <c:strCache>
                <c:ptCount val="1"/>
                <c:pt idx="0">
                  <c:v>Total</c:v>
                </c:pt>
              </c:strCache>
            </c:strRef>
          </c:tx>
          <c:spPr>
            <a:solidFill>
              <a:schemeClr val="accent1"/>
            </a:solidFill>
            <a:ln>
              <a:noFill/>
            </a:ln>
            <a:effectLst/>
          </c:spPr>
          <c:invertIfNegative val="0"/>
          <c:cat>
            <c:strRef>
              <c:f>'Pivot Sheet Dashboard'!$A$4:$A$8</c:f>
              <c:strCache>
                <c:ptCount val="4"/>
                <c:pt idx="0">
                  <c:v>East</c:v>
                </c:pt>
                <c:pt idx="1">
                  <c:v>North</c:v>
                </c:pt>
                <c:pt idx="2">
                  <c:v>South</c:v>
                </c:pt>
                <c:pt idx="3">
                  <c:v>West</c:v>
                </c:pt>
              </c:strCache>
            </c:strRef>
          </c:cat>
          <c:val>
            <c:numRef>
              <c:f>'Pivot Sheet Dashboard'!$B$4:$B$8</c:f>
              <c:numCache>
                <c:formatCode>General</c:formatCode>
                <c:ptCount val="4"/>
                <c:pt idx="0">
                  <c:v>1401104.8199999989</c:v>
                </c:pt>
                <c:pt idx="1">
                  <c:v>1346134.5999999992</c:v>
                </c:pt>
                <c:pt idx="2">
                  <c:v>1276144.9099999997</c:v>
                </c:pt>
                <c:pt idx="3">
                  <c:v>1292056.879999999</c:v>
                </c:pt>
              </c:numCache>
            </c:numRef>
          </c:val>
          <c:extLst>
            <c:ext xmlns:c16="http://schemas.microsoft.com/office/drawing/2014/chart" uri="{C3380CC4-5D6E-409C-BE32-E72D297353CC}">
              <c16:uniqueId val="{00000000-E900-4376-A453-049DCBFDED05}"/>
            </c:ext>
          </c:extLst>
        </c:ser>
        <c:dLbls>
          <c:showLegendKey val="0"/>
          <c:showVal val="0"/>
          <c:showCatName val="0"/>
          <c:showSerName val="0"/>
          <c:showPercent val="0"/>
          <c:showBubbleSize val="0"/>
        </c:dLbls>
        <c:gapWidth val="219"/>
        <c:overlap val="-27"/>
        <c:axId val="1966919632"/>
        <c:axId val="1966921712"/>
      </c:barChart>
      <c:catAx>
        <c:axId val="196691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21712"/>
        <c:crosses val="autoZero"/>
        <c:auto val="1"/>
        <c:lblAlgn val="ctr"/>
        <c:lblOffset val="100"/>
        <c:noMultiLvlLbl val="0"/>
      </c:catAx>
      <c:valAx>
        <c:axId val="19669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[EXCEL_MINI_PROJECT.xlsx]Pivot Sheet 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Sheet Dashboard'!$E$3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Sheet Dashboard'!$D$4:$D$7</c:f>
              <c:strCache>
                <c:ptCount val="3"/>
                <c:pt idx="0">
                  <c:v>Clothing</c:v>
                </c:pt>
                <c:pt idx="1">
                  <c:v>Electronics</c:v>
                </c:pt>
                <c:pt idx="2">
                  <c:v>Furniture</c:v>
                </c:pt>
              </c:strCache>
            </c:strRef>
          </c:cat>
          <c:val>
            <c:numRef>
              <c:f>'Pivot Sheet Dashboard'!$E$4:$E$7</c:f>
              <c:numCache>
                <c:formatCode>General</c:formatCode>
                <c:ptCount val="3"/>
                <c:pt idx="0">
                  <c:v>1613798.9599999997</c:v>
                </c:pt>
                <c:pt idx="1">
                  <c:v>1666487.2599999991</c:v>
                </c:pt>
                <c:pt idx="2">
                  <c:v>2035154.9899999986</c:v>
                </c:pt>
              </c:numCache>
            </c:numRef>
          </c:val>
          <c:extLst>
            <c:ext xmlns:c16="http://schemas.microsoft.com/office/drawing/2014/chart" uri="{C3380CC4-5D6E-409C-BE32-E72D297353CC}">
              <c16:uniqueId val="{00000000-FD2C-430E-B24F-7BC2E83856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[EXCEL_MINI_PROJECT.xlsx]Pivot Sheet Dashboard!PivotTable26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 Dashboard'!$B$38</c:f>
              <c:strCache>
                <c:ptCount val="1"/>
                <c:pt idx="0">
                  <c:v>Sum of Discount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Sheet Dashboard'!$A$39:$A$55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'Pivot Sheet Dashboard'!$B$39:$B$55</c:f>
              <c:numCache>
                <c:formatCode>General</c:formatCode>
                <c:ptCount val="12"/>
                <c:pt idx="0">
                  <c:v>109395.18</c:v>
                </c:pt>
                <c:pt idx="1">
                  <c:v>117335.47</c:v>
                </c:pt>
                <c:pt idx="2">
                  <c:v>99708.52</c:v>
                </c:pt>
                <c:pt idx="3">
                  <c:v>113252.19</c:v>
                </c:pt>
                <c:pt idx="4">
                  <c:v>93553.25999999998</c:v>
                </c:pt>
                <c:pt idx="5">
                  <c:v>71489.380000000019</c:v>
                </c:pt>
                <c:pt idx="6">
                  <c:v>52648.150000000009</c:v>
                </c:pt>
                <c:pt idx="7">
                  <c:v>70919.989999999991</c:v>
                </c:pt>
                <c:pt idx="8">
                  <c:v>37687.279999999999</c:v>
                </c:pt>
                <c:pt idx="9">
                  <c:v>50356.08</c:v>
                </c:pt>
                <c:pt idx="10">
                  <c:v>69353.13</c:v>
                </c:pt>
                <c:pt idx="11">
                  <c:v>81205.16</c:v>
                </c:pt>
              </c:numCache>
            </c:numRef>
          </c:val>
          <c:smooth val="0"/>
          <c:extLst>
            <c:ext xmlns:c16="http://schemas.microsoft.com/office/drawing/2014/chart" uri="{C3380CC4-5D6E-409C-BE32-E72D297353CC}">
              <c16:uniqueId val="{00000000-D069-4B0A-AEB1-89BA57B5835F}"/>
            </c:ext>
          </c:extLst>
        </c:ser>
        <c:ser>
          <c:idx val="1"/>
          <c:order val="1"/>
          <c:tx>
            <c:strRef>
              <c:f>'Pivot Sheet Dashboard'!$C$38</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Sheet Dashboard'!$A$39:$A$55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'Pivot Sheet Dashboard'!$C$39:$C$55</c:f>
              <c:numCache>
                <c:formatCode>General</c:formatCode>
                <c:ptCount val="12"/>
                <c:pt idx="0">
                  <c:v>44086</c:v>
                </c:pt>
                <c:pt idx="1">
                  <c:v>37113</c:v>
                </c:pt>
                <c:pt idx="2">
                  <c:v>39171</c:v>
                </c:pt>
                <c:pt idx="3">
                  <c:v>45345</c:v>
                </c:pt>
                <c:pt idx="4">
                  <c:v>34624</c:v>
                </c:pt>
                <c:pt idx="5">
                  <c:v>19915</c:v>
                </c:pt>
                <c:pt idx="6">
                  <c:v>18716</c:v>
                </c:pt>
                <c:pt idx="7">
                  <c:v>28698</c:v>
                </c:pt>
                <c:pt idx="8">
                  <c:v>27197</c:v>
                </c:pt>
                <c:pt idx="9">
                  <c:v>18576</c:v>
                </c:pt>
                <c:pt idx="10">
                  <c:v>28797</c:v>
                </c:pt>
                <c:pt idx="11">
                  <c:v>16853</c:v>
                </c:pt>
              </c:numCache>
            </c:numRef>
          </c:val>
          <c:smooth val="0"/>
          <c:extLst>
            <c:ext xmlns:c16="http://schemas.microsoft.com/office/drawing/2014/chart" uri="{C3380CC4-5D6E-409C-BE32-E72D297353CC}">
              <c16:uniqueId val="{00000001-D069-4B0A-AEB1-89BA57B5835F}"/>
            </c:ext>
          </c:extLst>
        </c:ser>
        <c:ser>
          <c:idx val="2"/>
          <c:order val="2"/>
          <c:tx>
            <c:strRef>
              <c:f>'Pivot Sheet Dashboard'!$D$38</c:f>
              <c:strCache>
                <c:ptCount val="1"/>
                <c:pt idx="0">
                  <c:v>Sum of Discount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Sheet Dashboard'!$A$39:$A$55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'Pivot Sheet Dashboard'!$D$39:$D$55</c:f>
              <c:numCache>
                <c:formatCode>General</c:formatCode>
                <c:ptCount val="12"/>
                <c:pt idx="0">
                  <c:v>9.1100000000000012</c:v>
                </c:pt>
                <c:pt idx="1">
                  <c:v>8.92</c:v>
                </c:pt>
                <c:pt idx="2">
                  <c:v>9.879999999999999</c:v>
                </c:pt>
                <c:pt idx="3">
                  <c:v>8.3499999999999979</c:v>
                </c:pt>
                <c:pt idx="4">
                  <c:v>6.8500000000000005</c:v>
                </c:pt>
                <c:pt idx="5">
                  <c:v>5.29</c:v>
                </c:pt>
                <c:pt idx="6">
                  <c:v>5.07</c:v>
                </c:pt>
                <c:pt idx="7">
                  <c:v>4.7399999999999993</c:v>
                </c:pt>
                <c:pt idx="8">
                  <c:v>4.1000000000000005</c:v>
                </c:pt>
                <c:pt idx="9">
                  <c:v>4.4000000000000012</c:v>
                </c:pt>
                <c:pt idx="10">
                  <c:v>4.4400000000000004</c:v>
                </c:pt>
                <c:pt idx="11">
                  <c:v>5.089999999999999</c:v>
                </c:pt>
              </c:numCache>
            </c:numRef>
          </c:val>
          <c:smooth val="0"/>
          <c:extLst>
            <c:ext xmlns:c16="http://schemas.microsoft.com/office/drawing/2014/chart" uri="{C3380CC4-5D6E-409C-BE32-E72D297353CC}">
              <c16:uniqueId val="{00000002-D069-4B0A-AEB1-89BA57B5835F}"/>
            </c:ext>
          </c:extLst>
        </c:ser>
        <c:dLbls>
          <c:showLegendKey val="0"/>
          <c:showVal val="0"/>
          <c:showCatName val="0"/>
          <c:showSerName val="0"/>
          <c:showPercent val="0"/>
          <c:showBubbleSize val="0"/>
        </c:dLbls>
        <c:marker val="1"/>
        <c:smooth val="0"/>
        <c:axId val="1662325200"/>
        <c:axId val="1662324784"/>
      </c:lineChart>
      <c:catAx>
        <c:axId val="166232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324784"/>
        <c:crosses val="autoZero"/>
        <c:auto val="1"/>
        <c:lblAlgn val="ctr"/>
        <c:lblOffset val="100"/>
        <c:noMultiLvlLbl val="0"/>
      </c:catAx>
      <c:valAx>
        <c:axId val="16623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32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368134</xdr:colOff>
      <xdr:row>58</xdr:row>
      <xdr:rowOff>4949</xdr:rowOff>
    </xdr:from>
    <xdr:to>
      <xdr:col>3</xdr:col>
      <xdr:colOff>763979</xdr:colOff>
      <xdr:row>73</xdr:row>
      <xdr:rowOff>41565</xdr:rowOff>
    </xdr:to>
    <xdr:graphicFrame macro="">
      <xdr:nvGraphicFramePr>
        <xdr:cNvPr id="2" name="Chart 1">
          <a:extLst>
            <a:ext uri="{FF2B5EF4-FFF2-40B4-BE49-F238E27FC236}">
              <a16:creationId xmlns:a16="http://schemas.microsoft.com/office/drawing/2014/main" id="{ADAC52C0-2439-4215-B5D8-EFCC72820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2071255</xdr:colOff>
      <xdr:row>57</xdr:row>
      <xdr:rowOff>166255</xdr:rowOff>
    </xdr:from>
    <xdr:to>
      <xdr:col>7</xdr:col>
      <xdr:colOff>519546</xdr:colOff>
      <xdr:row>73</xdr:row>
      <xdr:rowOff>27709</xdr:rowOff>
    </xdr:to>
    <xdr:graphicFrame macro="">
      <xdr:nvGraphicFramePr>
        <xdr:cNvPr id="3" name="Chart 2">
          <a:extLst>
            <a:ext uri="{FF2B5EF4-FFF2-40B4-BE49-F238E27FC236}">
              <a16:creationId xmlns:a16="http://schemas.microsoft.com/office/drawing/2014/main" id="{2DBA4543-D858-4318-A69E-5C21658DA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1572491</xdr:colOff>
      <xdr:row>58</xdr:row>
      <xdr:rowOff>55418</xdr:rowOff>
    </xdr:from>
    <xdr:to>
      <xdr:col>9</xdr:col>
      <xdr:colOff>2119746</xdr:colOff>
      <xdr:row>72</xdr:row>
      <xdr:rowOff>183572</xdr:rowOff>
    </xdr:to>
    <xdr:graphicFrame macro="">
      <xdr:nvGraphicFramePr>
        <xdr:cNvPr id="4" name="Chart 3">
          <a:extLst>
            <a:ext uri="{FF2B5EF4-FFF2-40B4-BE49-F238E27FC236}">
              <a16:creationId xmlns:a16="http://schemas.microsoft.com/office/drawing/2014/main" id="{20C7F307-3BFD-4759-98D6-BCA2045B5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182880</xdr:colOff>
      <xdr:row>3</xdr:row>
      <xdr:rowOff>140970</xdr:rowOff>
    </xdr:from>
    <xdr:to>
      <xdr:col>18</xdr:col>
      <xdr:colOff>182879</xdr:colOff>
      <xdr:row>16</xdr:row>
      <xdr:rowOff>131445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638B721D-CE6B-4E31-9F6F-D42DF2994AE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732818" y="712470"/>
              <a:ext cx="185737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186690</xdr:colOff>
      <xdr:row>18</xdr:row>
      <xdr:rowOff>125730</xdr:rowOff>
    </xdr:from>
    <xdr:to>
      <xdr:col>18</xdr:col>
      <xdr:colOff>186689</xdr:colOff>
      <xdr:row>30</xdr:row>
      <xdr:rowOff>154305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2F84037-F59C-441C-961B-7A817037EE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736628" y="3554730"/>
              <a:ext cx="1857374"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19</xdr:row>
      <xdr:rowOff>15240</xdr:rowOff>
    </xdr:from>
    <xdr:to>
      <xdr:col>22</xdr:col>
      <xdr:colOff>323851</xdr:colOff>
      <xdr:row>31</xdr:row>
      <xdr:rowOff>43815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528A9F5-AC12-41E5-9249-59BE82EC3E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350288" y="3634740"/>
              <a:ext cx="1857376"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270510</xdr:colOff>
      <xdr:row>34</xdr:row>
      <xdr:rowOff>76200</xdr:rowOff>
    </xdr:from>
    <xdr:to>
      <xdr:col>20</xdr:col>
      <xdr:colOff>270512</xdr:colOff>
      <xdr:row>45</xdr:row>
      <xdr:rowOff>142875</xdr:rowOff>
    </xdr:to>
    <mc:AlternateContent xmlns:mc="http://schemas.openxmlformats.org/markup-compatibility/2006">
      <mc:Choice xmlns:a14="http://schemas.microsoft.com/office/drawing/2010/main" Requires="a14">
        <xdr:graphicFrame macro="">
          <xdr:nvGraphicFramePr>
            <xdr:cNvPr id="8" name="Payment_Mode">
              <a:extLst>
                <a:ext uri="{FF2B5EF4-FFF2-40B4-BE49-F238E27FC236}">
                  <a16:creationId xmlns:a16="http://schemas.microsoft.com/office/drawing/2014/main" id="{460B34EB-C21B-4A81-AAA9-4FFF0B4F795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20058698" y="6696075"/>
              <a:ext cx="1857377"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217170</xdr:colOff>
      <xdr:row>3</xdr:row>
      <xdr:rowOff>118110</xdr:rowOff>
    </xdr:from>
    <xdr:to>
      <xdr:col>22</xdr:col>
      <xdr:colOff>217171</xdr:colOff>
      <xdr:row>16</xdr:row>
      <xdr:rowOff>108585</xdr:rowOff>
    </xdr:to>
    <mc:AlternateContent xmlns:mc="http://schemas.openxmlformats.org/markup-compatibility/2006">
      <mc:Choice xmlns:a14="http://schemas.microsoft.com/office/drawing/2010/main" Requires="a14">
        <xdr:graphicFrame macro="">
          <xdr:nvGraphicFramePr>
            <xdr:cNvPr id="9" name="Customer Type">
              <a:extLst>
                <a:ext uri="{FF2B5EF4-FFF2-40B4-BE49-F238E27FC236}">
                  <a16:creationId xmlns:a16="http://schemas.microsoft.com/office/drawing/2014/main" id="{7C600134-6203-4EF2-8CDB-E98B0BD2832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1243608" y="689610"/>
              <a:ext cx="1857376"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03061805555" createdVersion="7" refreshedVersion="7" minRefreshableVersion="3" recordCount="500" xr:uid="{1B5C618D-6A8B-416F-817F-833BF4431873}">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acheField>
    <cacheField name="Customer_ID" numFmtId="0">
      <sharedItems containsSemiMixedTypes="0" containsString="0" containsNumber="1" containsInteger="1" minValue="1000" maxValue="1099"/>
    </cacheField>
    <cacheField name="Customer_Name" numFmtId="0">
      <sharedItems/>
    </cacheField>
    <cacheField name="Segment" numFmtId="0">
      <sharedItems count="2">
        <s v="Consumer"/>
        <s v="Corporate"/>
      </sharedItems>
    </cacheField>
    <cacheField name="Region" numFmtId="0">
      <sharedItems count="4">
        <s v="South"/>
        <s v="East"/>
        <s v="West"/>
        <s v="North"/>
      </sharedItems>
    </cacheField>
    <cacheField name="Category" numFmtId="0">
      <sharedItems count="3">
        <s v="Electronics"/>
        <s v="Clothing"/>
        <s v="Furniture"/>
      </sharedItems>
    </cacheField>
    <cacheField name="Product_Name" numFmtId="0">
      <sharedItems count="4">
        <s v="Product_A"/>
        <s v="Product_D"/>
        <s v="Product_B"/>
        <s v="Product_C"/>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ount="3">
        <s v="UPI"/>
        <s v="Card"/>
        <s v="COD"/>
      </sharedItems>
    </cacheField>
    <cacheField name="Sales" numFmtId="0">
      <sharedItems containsSemiMixedTypes="0" containsString="0" containsNumber="1" minValue="149.47999999999999" maxValue="41148"/>
    </cacheField>
    <cacheField name="Months" numFmtId="0">
      <sharedItems count="12">
        <s v="Jan"/>
        <s v="Feb"/>
        <s v="Mar"/>
        <s v="Apr"/>
        <s v="May"/>
        <s v="Jun"/>
        <s v="Jul"/>
        <s v="Aug"/>
        <s v="Sep"/>
        <s v="Oct"/>
        <s v="Nov"/>
        <s v="Dec"/>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ount="2">
        <s v="Repeat"/>
        <s v="New"/>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pivotCacheId="17971380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2664351852" createdVersion="7" refreshedVersion="7" minRefreshableVersion="3" recordCount="500" xr:uid="{A67CC1B8-84F6-4BB0-B2AB-74E9846F78B4}">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acheField>
    <cacheField name="Customer_ID" numFmtId="0">
      <sharedItems containsSemiMixedTypes="0" containsString="0" containsNumber="1" containsInteger="1" minValue="1000" maxValue="1099"/>
    </cacheField>
    <cacheField name="Customer_Name" numFmtId="0">
      <sharedItems/>
    </cacheField>
    <cacheField name="Segment" numFmtId="0">
      <sharedItems/>
    </cacheField>
    <cacheField name="Region" numFmtId="0">
      <sharedItems count="4">
        <s v="South"/>
        <s v="East"/>
        <s v="West"/>
        <s v="North"/>
      </sharedItems>
    </cacheField>
    <cacheField name="Category" numFmtId="0">
      <sharedItems/>
    </cacheField>
    <cacheField name="Product_Name" numFmtId="0">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acheField>
    <cacheField name="Sales" numFmtId="0">
      <sharedItems containsSemiMixedTypes="0" containsString="0" containsNumber="1" minValue="149.47999999999999" maxValue="41148"/>
    </cacheField>
    <cacheField name="Months" numFmtId="0">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27679166663" createdVersion="7" refreshedVersion="7" minRefreshableVersion="3" recordCount="500" xr:uid="{D3E2C771-860C-4457-B841-47A7F2387036}">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acheField>
    <cacheField name="Customer_ID" numFmtId="0">
      <sharedItems containsSemiMixedTypes="0" containsString="0" containsNumber="1" containsInteger="1" minValue="1000" maxValue="1099"/>
    </cacheField>
    <cacheField name="Customer_Name" numFmtId="0">
      <sharedItems/>
    </cacheField>
    <cacheField name="Segment" numFmtId="0">
      <sharedItems count="2">
        <s v="Consumer"/>
        <s v="Corporate"/>
      </sharedItems>
    </cacheField>
    <cacheField name="Region" numFmtId="0">
      <sharedItems count="4">
        <s v="South"/>
        <s v="East"/>
        <s v="West"/>
        <s v="North"/>
      </sharedItems>
    </cacheField>
    <cacheField name="Category" numFmtId="0">
      <sharedItems/>
    </cacheField>
    <cacheField name="Product_Name" numFmtId="0">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acheField>
    <cacheField name="Sales" numFmtId="0">
      <sharedItems containsSemiMixedTypes="0" containsString="0" containsNumber="1" minValue="149.47999999999999" maxValue="41148"/>
    </cacheField>
    <cacheField name="Months" numFmtId="0">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30802893519" createdVersion="7" refreshedVersion="7" minRefreshableVersion="3" recordCount="500" xr:uid="{0C85E137-9DB9-45E8-B7A6-9757A12429CF}">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cacheField>
    <cacheField name="Customer_ID" numFmtId="0">
      <sharedItems containsSemiMixedTypes="0" containsString="0" containsNumber="1" containsInteger="1" minValue="1000" maxValue="1099"/>
    </cacheField>
    <cacheField name="Customer_Name" numFmtId="0">
      <sharedItems/>
    </cacheField>
    <cacheField name="Segment" numFmtId="0">
      <sharedItems/>
    </cacheField>
    <cacheField name="Region" numFmtId="0">
      <sharedItems/>
    </cacheField>
    <cacheField name="Category" numFmtId="0">
      <sharedItems/>
    </cacheField>
    <cacheField name="Product_Name" numFmtId="0">
      <sharedItems count="4">
        <s v="Product_A"/>
        <s v="Product_D"/>
        <s v="Product_B"/>
        <s v="Product_C"/>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acheField>
    <cacheField name="Sales" numFmtId="0">
      <sharedItems containsSemiMixedTypes="0" containsString="0" containsNumber="1" minValue="149.47999999999999" maxValue="41148"/>
    </cacheField>
    <cacheField name="Months" numFmtId="0">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31696527776" createdVersion="7" refreshedVersion="7" minRefreshableVersion="3" recordCount="500" xr:uid="{14E39117-E6C8-40FA-A0E8-3D308D4A89F0}">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cacheField>
    <cacheField name="Customer_ID" numFmtId="0">
      <sharedItems containsSemiMixedTypes="0" containsString="0" containsNumber="1" containsInteger="1" minValue="1000" maxValue="1099"/>
    </cacheField>
    <cacheField name="Customer_Name" numFmtId="0">
      <sharedItems/>
    </cacheField>
    <cacheField name="Segment" numFmtId="0">
      <sharedItems/>
    </cacheField>
    <cacheField name="Region" numFmtId="0">
      <sharedItems/>
    </cacheField>
    <cacheField name="Category" numFmtId="0">
      <sharedItems/>
    </cacheField>
    <cacheField name="Product_Name" numFmtId="0">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ount="3">
        <s v="UPI"/>
        <s v="Card"/>
        <s v="COD"/>
      </sharedItems>
    </cacheField>
    <cacheField name="Sales" numFmtId="0">
      <sharedItems containsSemiMixedTypes="0" containsString="0" containsNumber="1" minValue="149.47999999999999" maxValue="41148"/>
    </cacheField>
    <cacheField name="Months" numFmtId="0">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46963425929" createdVersion="7" refreshedVersion="7" minRefreshableVersion="3" recordCount="500" xr:uid="{C9E4F055-67D0-4F3F-8E13-561B881C507B}">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cacheField>
    <cacheField name="Customer_ID" numFmtId="0">
      <sharedItems containsSemiMixedTypes="0" containsString="0" containsNumber="1" containsInteger="1" minValue="1000" maxValue="1099"/>
    </cacheField>
    <cacheField name="Customer_Name" numFmtId="0">
      <sharedItems/>
    </cacheField>
    <cacheField name="Segment" numFmtId="0">
      <sharedItems/>
    </cacheField>
    <cacheField name="Region" numFmtId="0">
      <sharedItems/>
    </cacheField>
    <cacheField name="Category" numFmtId="0">
      <sharedItems/>
    </cacheField>
    <cacheField name="Product_Name" numFmtId="0">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acheField>
    <cacheField name="Sales" numFmtId="0">
      <sharedItems containsSemiMixedTypes="0" containsString="0" containsNumber="1" minValue="149.47999999999999" maxValue="41148"/>
    </cacheField>
    <cacheField name="Months" numFmtId="0">
      <sharedItems count="12">
        <s v="Jan"/>
        <s v="Feb"/>
        <s v="Mar"/>
        <s v="Apr"/>
        <s v="May"/>
        <s v="Jun"/>
        <s v="Jul"/>
        <s v="Aug"/>
        <s v="Sep"/>
        <s v="Oct"/>
        <s v="Nov"/>
        <s v="Dec"/>
      </sharedItems>
    </cacheField>
    <cacheField name="Year" numFmtId="0">
      <sharedItems containsSemiMixedTypes="0" containsString="0" containsNumber="1" containsInteger="1" minValue="2024" maxValue="2025"/>
    </cacheField>
    <cacheField name="Quarter" numFmtId="0">
      <sharedItems count="4">
        <s v="Q1"/>
        <s v="Q2"/>
        <s v="Q3"/>
        <s v="Q4"/>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acheField>
    <cacheField name="Customer Type" numFmtId="0">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449353124997" createdVersion="7" refreshedVersion="7" minRefreshableVersion="3" recordCount="500" xr:uid="{26F018AB-BA14-4BFF-9B1D-A073FF636DAC}">
  <cacheSource type="worksheet">
    <worksheetSource name="SalesData"/>
  </cacheSource>
  <cacheFields count="24">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cacheField>
    <cacheField name="Customer_ID" numFmtId="0">
      <sharedItems containsSemiMixedTypes="0" containsString="0" containsNumber="1" containsInteger="1" minValue="1000" maxValue="1099"/>
    </cacheField>
    <cacheField name="Customer_Name" numFmtId="0">
      <sharedItems/>
    </cacheField>
    <cacheField name="Segment" numFmtId="0">
      <sharedItems/>
    </cacheField>
    <cacheField name="Region" numFmtId="0">
      <sharedItems/>
    </cacheField>
    <cacheField name="Category" numFmtId="0">
      <sharedItems/>
    </cacheField>
    <cacheField name="Product_Name" numFmtId="0">
      <sharedItems/>
    </cacheField>
    <cacheField name="Price" numFmtId="0">
      <sharedItems containsSemiMixedTypes="0" containsString="0" containsNumber="1" containsInteger="1" minValue="100" maxValue="4994"/>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3"/>
    </cacheField>
    <cacheField name="Profit" numFmtId="0">
      <sharedItems containsSemiMixedTypes="0" containsString="0" containsNumber="1" containsInteger="1" minValue="-499" maxValue="1997"/>
    </cacheField>
    <cacheField name="Payment_Mode" numFmtId="0">
      <sharedItems/>
    </cacheField>
    <cacheField name="Sales" numFmtId="0">
      <sharedItems containsSemiMixedTypes="0" containsString="0" containsNumber="1" minValue="149.47999999999999" maxValue="41148"/>
    </cacheField>
    <cacheField name="Months" numFmtId="0">
      <sharedItems/>
    </cacheField>
    <cacheField name="Year" numFmtId="0">
      <sharedItems containsSemiMixedTypes="0" containsString="0" containsNumber="1" containsInteger="1" minValue="2024" maxValue="2025"/>
    </cacheField>
    <cacheField name="Quarter" numFmtId="0">
      <sharedItems/>
    </cacheField>
    <cacheField name="Profit Margin" numFmtId="0">
      <sharedItems containsSemiMixedTypes="0" containsString="0" containsNumber="1" minValue="-2.3898061381327782" maxValue="11.687182231736688"/>
    </cacheField>
    <cacheField name="Discount Amount" numFmtId="0">
      <sharedItems containsSemiMixedTypes="0" containsString="0" containsNumber="1" minValue="0" maxValue="12584.880000000001"/>
    </cacheField>
    <cacheField name="Order Category" numFmtId="0">
      <sharedItems count="3">
        <s v="High"/>
        <s v="Medium"/>
        <s v="Low"/>
      </sharedItems>
    </cacheField>
    <cacheField name="Customer Type" numFmtId="0">
      <sharedItems count="2">
        <s v="Repeat"/>
        <s v="New"/>
      </sharedItems>
    </cacheField>
    <cacheField name="Sales Performance" numFmtId="0">
      <sharedItems/>
    </cacheField>
    <cacheField name="Profit Status" numFmtId="0">
      <sharedItems/>
    </cacheField>
    <cacheField name="Rank Sales" numFmtId="0">
      <sharedItems containsSemiMixedTypes="0" containsString="0" containsNumber="1" containsInteger="1" minValue="1" maxValue="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4-01-01T00:00:00"/>
    <n v="1066"/>
    <s v="Customer_33"/>
    <x v="0"/>
    <x v="0"/>
    <x v="0"/>
    <x v="0"/>
    <n v="2755"/>
    <n v="3"/>
    <n v="0.25"/>
    <n v="559"/>
    <x v="0"/>
    <n v="6198.75"/>
    <x v="0"/>
    <n v="2024"/>
    <s v="Q1"/>
    <n v="9.017947166767494E-2"/>
    <n v="2066.25"/>
    <s v="High"/>
    <x v="0"/>
    <s v="Below Avg"/>
    <s v="Profit"/>
    <n v="293"/>
  </r>
  <r>
    <n v="2"/>
    <d v="2024-01-02T00:00:00"/>
    <n v="1092"/>
    <s v="Customer_191"/>
    <x v="0"/>
    <x v="1"/>
    <x v="1"/>
    <x v="0"/>
    <n v="1709"/>
    <n v="3"/>
    <n v="0.04"/>
    <n v="1735"/>
    <x v="0"/>
    <n v="4921.92"/>
    <x v="0"/>
    <n v="2024"/>
    <s v="Q1"/>
    <n v="0.35250471360769781"/>
    <n v="205.08"/>
    <s v="Medium"/>
    <x v="0"/>
    <s v="Below Avg"/>
    <s v="Profit"/>
    <n v="326"/>
  </r>
  <r>
    <n v="3"/>
    <d v="2024-01-03T00:00:00"/>
    <n v="1098"/>
    <s v="Customer_54"/>
    <x v="1"/>
    <x v="1"/>
    <x v="1"/>
    <x v="1"/>
    <n v="3914"/>
    <n v="7"/>
    <n v="0.16"/>
    <n v="-225"/>
    <x v="1"/>
    <n v="23014.32"/>
    <x v="0"/>
    <n v="2024"/>
    <s v="Q1"/>
    <n v="-9.7765217481985134E-3"/>
    <n v="4383.68"/>
    <s v="High"/>
    <x v="0"/>
    <s v="Above Avg"/>
    <s v="Loss"/>
    <n v="59"/>
  </r>
  <r>
    <n v="4"/>
    <d v="2024-01-04T00:00:00"/>
    <n v="1017"/>
    <s v="Customer_116"/>
    <x v="0"/>
    <x v="2"/>
    <x v="0"/>
    <x v="2"/>
    <n v="759"/>
    <n v="5"/>
    <n v="0.01"/>
    <n v="-75"/>
    <x v="0"/>
    <n v="3757.05"/>
    <x v="0"/>
    <n v="2024"/>
    <s v="Q1"/>
    <n v="-1.9962470555355931E-2"/>
    <n v="37.950000000000003"/>
    <s v="Medium"/>
    <x v="0"/>
    <s v="Below Avg"/>
    <s v="Loss"/>
    <n v="365"/>
  </r>
  <r>
    <n v="5"/>
    <d v="2024-01-05T00:00:00"/>
    <n v="1083"/>
    <s v="Customer_179"/>
    <x v="0"/>
    <x v="2"/>
    <x v="0"/>
    <x v="2"/>
    <n v="243"/>
    <n v="1"/>
    <n v="0.17"/>
    <n v="-482"/>
    <x v="2"/>
    <n v="201.69"/>
    <x v="0"/>
    <n v="2024"/>
    <s v="Q1"/>
    <n v="-2.3898061381327782"/>
    <n v="41.31"/>
    <s v="Low"/>
    <x v="0"/>
    <s v="Below Avg"/>
    <s v="Loss"/>
    <n v="499"/>
  </r>
  <r>
    <n v="6"/>
    <d v="2024-01-06T00:00:00"/>
    <n v="1057"/>
    <s v="Customer_112"/>
    <x v="0"/>
    <x v="3"/>
    <x v="2"/>
    <x v="1"/>
    <n v="2090"/>
    <n v="8"/>
    <n v="0.04"/>
    <n v="1271"/>
    <x v="0"/>
    <n v="16051.199999999901"/>
    <x v="0"/>
    <n v="2024"/>
    <s v="Q1"/>
    <n v="7.9184110845295544E-2"/>
    <n v="668.80000000000007"/>
    <s v="High"/>
    <x v="0"/>
    <s v="Above Avg"/>
    <s v="Profit"/>
    <n v="127"/>
  </r>
  <r>
    <n v="7"/>
    <d v="2024-01-07T00:00:00"/>
    <n v="1086"/>
    <s v="Customer_180"/>
    <x v="1"/>
    <x v="3"/>
    <x v="2"/>
    <x v="1"/>
    <n v="550"/>
    <n v="5"/>
    <n v="0.24"/>
    <n v="1300"/>
    <x v="2"/>
    <n v="2090"/>
    <x v="0"/>
    <n v="2024"/>
    <s v="Q1"/>
    <n v="0.62200956937799046"/>
    <n v="660"/>
    <s v="Medium"/>
    <x v="0"/>
    <s v="Below Avg"/>
    <s v="Profit"/>
    <n v="423"/>
  </r>
  <r>
    <n v="8"/>
    <d v="2024-01-08T00:00:00"/>
    <n v="1097"/>
    <s v="Customer_180"/>
    <x v="1"/>
    <x v="0"/>
    <x v="2"/>
    <x v="0"/>
    <n v="1291"/>
    <n v="4"/>
    <n v="7.0000000000000007E-2"/>
    <n v="829"/>
    <x v="2"/>
    <n v="4802.5199999999904"/>
    <x v="0"/>
    <n v="2024"/>
    <s v="Q1"/>
    <n v="0.17261770903608972"/>
    <n v="361.48"/>
    <s v="Medium"/>
    <x v="0"/>
    <s v="Below Avg"/>
    <s v="Profit"/>
    <n v="329"/>
  </r>
  <r>
    <n v="9"/>
    <d v="2024-01-09T00:00:00"/>
    <n v="1096"/>
    <s v="Customer_184"/>
    <x v="0"/>
    <x v="2"/>
    <x v="0"/>
    <x v="3"/>
    <n v="4121"/>
    <n v="4"/>
    <n v="0.03"/>
    <n v="-169"/>
    <x v="1"/>
    <n v="15989.48"/>
    <x v="0"/>
    <n v="2024"/>
    <s v="Q1"/>
    <n v="-1.056944941298904E-2"/>
    <n v="494.52"/>
    <s v="High"/>
    <x v="0"/>
    <s v="Above Avg"/>
    <s v="Loss"/>
    <n v="128"/>
  </r>
  <r>
    <n v="10"/>
    <d v="2024-01-10T00:00:00"/>
    <n v="1047"/>
    <s v="Customer_114"/>
    <x v="1"/>
    <x v="2"/>
    <x v="0"/>
    <x v="2"/>
    <n v="735"/>
    <n v="2"/>
    <n v="0.01"/>
    <n v="-250"/>
    <x v="2"/>
    <n v="1455.3"/>
    <x v="0"/>
    <n v="2024"/>
    <s v="Q1"/>
    <n v="-0.17178588607160036"/>
    <n v="14.700000000000001"/>
    <s v="Low"/>
    <x v="0"/>
    <s v="Below Avg"/>
    <s v="Loss"/>
    <n v="460"/>
  </r>
  <r>
    <n v="11"/>
    <d v="2024-01-11T00:00:00"/>
    <n v="1073"/>
    <s v="Customer_73"/>
    <x v="0"/>
    <x v="2"/>
    <x v="1"/>
    <x v="0"/>
    <n v="2257"/>
    <n v="1"/>
    <n v="0.17"/>
    <n v="960"/>
    <x v="1"/>
    <n v="1873.31"/>
    <x v="0"/>
    <n v="2024"/>
    <s v="Q1"/>
    <n v="0.51246189899162442"/>
    <n v="383.69000000000005"/>
    <s v="Low"/>
    <x v="0"/>
    <s v="Below Avg"/>
    <s v="Profit"/>
    <n v="438"/>
  </r>
  <r>
    <n v="12"/>
    <d v="2024-01-12T00:00:00"/>
    <n v="1032"/>
    <s v="Customer_1"/>
    <x v="0"/>
    <x v="2"/>
    <x v="0"/>
    <x v="3"/>
    <n v="3851"/>
    <n v="6"/>
    <n v="0.2"/>
    <n v="-7"/>
    <x v="0"/>
    <n v="18484.8"/>
    <x v="0"/>
    <n v="2024"/>
    <s v="Q1"/>
    <n v="-3.7868951787414524E-4"/>
    <n v="4621.2"/>
    <s v="High"/>
    <x v="0"/>
    <s v="Above Avg"/>
    <s v="Loss"/>
    <n v="87"/>
  </r>
  <r>
    <n v="13"/>
    <d v="2024-01-13T00:00:00"/>
    <n v="1046"/>
    <s v="Customer_31"/>
    <x v="1"/>
    <x v="1"/>
    <x v="1"/>
    <x v="2"/>
    <n v="999"/>
    <n v="3"/>
    <n v="0.27"/>
    <n v="-134"/>
    <x v="1"/>
    <n v="2187.81"/>
    <x v="0"/>
    <n v="2024"/>
    <s v="Q1"/>
    <n v="-6.1248463074947093E-2"/>
    <n v="809.19"/>
    <s v="Medium"/>
    <x v="0"/>
    <s v="Below Avg"/>
    <s v="Loss"/>
    <n v="419"/>
  </r>
  <r>
    <n v="14"/>
    <d v="2024-01-14T00:00:00"/>
    <n v="1096"/>
    <s v="Customer_21"/>
    <x v="0"/>
    <x v="3"/>
    <x v="1"/>
    <x v="0"/>
    <n v="4554"/>
    <n v="9"/>
    <n v="0.02"/>
    <n v="1529"/>
    <x v="1"/>
    <n v="40166.28"/>
    <x v="0"/>
    <n v="2024"/>
    <s v="Q1"/>
    <n v="3.8066756493257532E-2"/>
    <n v="819.72"/>
    <s v="High"/>
    <x v="0"/>
    <s v="Above Avg"/>
    <s v="Profit"/>
    <n v="2"/>
  </r>
  <r>
    <n v="15"/>
    <d v="2024-01-15T00:00:00"/>
    <n v="1025"/>
    <s v="Customer_24"/>
    <x v="1"/>
    <x v="0"/>
    <x v="1"/>
    <x v="0"/>
    <n v="2930"/>
    <n v="4"/>
    <n v="0.12"/>
    <n v="1243"/>
    <x v="1"/>
    <n v="10313.6"/>
    <x v="0"/>
    <n v="2024"/>
    <s v="Q1"/>
    <n v="0.12052047781569965"/>
    <n v="1406.3999999999999"/>
    <s v="High"/>
    <x v="0"/>
    <s v="Below Avg"/>
    <s v="Profit"/>
    <n v="198"/>
  </r>
  <r>
    <n v="16"/>
    <d v="2024-01-16T00:00:00"/>
    <n v="1083"/>
    <s v="Customer_19"/>
    <x v="0"/>
    <x v="3"/>
    <x v="2"/>
    <x v="1"/>
    <n v="2870"/>
    <n v="2"/>
    <n v="0.05"/>
    <n v="1714"/>
    <x v="1"/>
    <n v="5453"/>
    <x v="0"/>
    <n v="2024"/>
    <s v="Q1"/>
    <n v="0.31432239134421419"/>
    <n v="287"/>
    <s v="High"/>
    <x v="0"/>
    <s v="Below Avg"/>
    <s v="Profit"/>
    <n v="310"/>
  </r>
  <r>
    <n v="17"/>
    <d v="2024-01-17T00:00:00"/>
    <n v="1078"/>
    <s v="Customer_61"/>
    <x v="1"/>
    <x v="3"/>
    <x v="1"/>
    <x v="3"/>
    <n v="1320"/>
    <n v="4"/>
    <n v="0.15"/>
    <n v="644"/>
    <x v="0"/>
    <n v="4488"/>
    <x v="0"/>
    <n v="2024"/>
    <s v="Q1"/>
    <n v="0.14349376114081996"/>
    <n v="792"/>
    <s v="Medium"/>
    <x v="0"/>
    <s v="Below Avg"/>
    <s v="Profit"/>
    <n v="338"/>
  </r>
  <r>
    <n v="18"/>
    <d v="2024-01-18T00:00:00"/>
    <n v="1036"/>
    <s v="Customer_112"/>
    <x v="0"/>
    <x v="3"/>
    <x v="2"/>
    <x v="0"/>
    <n v="4545"/>
    <n v="4"/>
    <n v="7.0000000000000007E-2"/>
    <n v="1171"/>
    <x v="0"/>
    <n v="16907.3999999999"/>
    <x v="0"/>
    <n v="2024"/>
    <s v="Q1"/>
    <n v="6.9259614133456771E-2"/>
    <n v="1272.6000000000001"/>
    <s v="High"/>
    <x v="0"/>
    <s v="Above Avg"/>
    <s v="Profit"/>
    <n v="105"/>
  </r>
  <r>
    <n v="19"/>
    <d v="2024-01-19T00:00:00"/>
    <n v="1096"/>
    <s v="Customer_188"/>
    <x v="0"/>
    <x v="3"/>
    <x v="0"/>
    <x v="0"/>
    <n v="4690"/>
    <n v="1"/>
    <n v="0.12"/>
    <n v="-18"/>
    <x v="2"/>
    <n v="4127.2"/>
    <x v="0"/>
    <n v="2024"/>
    <s v="Q1"/>
    <n v="-4.3613103314595857E-3"/>
    <n v="562.79999999999995"/>
    <s v="Medium"/>
    <x v="0"/>
    <s v="Below Avg"/>
    <s v="Loss"/>
    <n v="348"/>
  </r>
  <r>
    <n v="20"/>
    <d v="2024-01-20T00:00:00"/>
    <n v="1080"/>
    <s v="Customer_124"/>
    <x v="1"/>
    <x v="1"/>
    <x v="2"/>
    <x v="0"/>
    <n v="1487"/>
    <n v="8"/>
    <n v="0.11"/>
    <n v="992"/>
    <x v="1"/>
    <n v="10587.44"/>
    <x v="0"/>
    <n v="2024"/>
    <s v="Q1"/>
    <n v="9.3695926494034437E-2"/>
    <n v="1308.56"/>
    <s v="High"/>
    <x v="0"/>
    <s v="Below Avg"/>
    <s v="Profit"/>
    <n v="196"/>
  </r>
  <r>
    <n v="21"/>
    <d v="2024-01-21T00:00:00"/>
    <n v="1068"/>
    <s v="Customer_153"/>
    <x v="0"/>
    <x v="0"/>
    <x v="1"/>
    <x v="2"/>
    <n v="2066"/>
    <n v="4"/>
    <n v="0.21"/>
    <n v="-488"/>
    <x v="0"/>
    <n v="6528.56"/>
    <x v="0"/>
    <n v="2024"/>
    <s v="Q1"/>
    <n v="-7.4748489712892274E-2"/>
    <n v="1735.4399999999998"/>
    <s v="High"/>
    <x v="0"/>
    <s v="Below Avg"/>
    <s v="Loss"/>
    <n v="285"/>
  </r>
  <r>
    <n v="22"/>
    <d v="2024-01-22T00:00:00"/>
    <n v="1049"/>
    <s v="Customer_20"/>
    <x v="1"/>
    <x v="1"/>
    <x v="1"/>
    <x v="1"/>
    <n v="4415"/>
    <n v="4"/>
    <n v="0.22"/>
    <n v="316"/>
    <x v="2"/>
    <n v="13774.8"/>
    <x v="0"/>
    <n v="2024"/>
    <s v="Q1"/>
    <n v="2.2940441966489533E-2"/>
    <n v="3885.2"/>
    <s v="High"/>
    <x v="0"/>
    <s v="Above Avg"/>
    <s v="Profit"/>
    <n v="149"/>
  </r>
  <r>
    <n v="23"/>
    <d v="2024-01-23T00:00:00"/>
    <n v="1055"/>
    <s v="Customer_117"/>
    <x v="0"/>
    <x v="2"/>
    <x v="2"/>
    <x v="0"/>
    <n v="790"/>
    <n v="7"/>
    <n v="0.13"/>
    <n v="1889"/>
    <x v="2"/>
    <n v="4811.1000000000004"/>
    <x v="0"/>
    <n v="2024"/>
    <s v="Q1"/>
    <n v="0.3926337012325663"/>
    <n v="718.9"/>
    <s v="Medium"/>
    <x v="0"/>
    <s v="Below Avg"/>
    <s v="Profit"/>
    <n v="328"/>
  </r>
  <r>
    <n v="24"/>
    <d v="2024-01-24T00:00:00"/>
    <n v="1067"/>
    <s v="Customer_154"/>
    <x v="1"/>
    <x v="3"/>
    <x v="1"/>
    <x v="0"/>
    <n v="4346"/>
    <n v="2"/>
    <n v="7.0000000000000007E-2"/>
    <n v="-8"/>
    <x v="1"/>
    <n v="8083.5599999999904"/>
    <x v="0"/>
    <n v="2024"/>
    <s v="Q1"/>
    <n v="-9.8966297027547378E-4"/>
    <n v="608.44000000000005"/>
    <s v="High"/>
    <x v="0"/>
    <s v="Below Avg"/>
    <s v="Loss"/>
    <n v="250"/>
  </r>
  <r>
    <n v="25"/>
    <d v="2024-01-25T00:00:00"/>
    <n v="1002"/>
    <s v="Customer_127"/>
    <x v="0"/>
    <x v="0"/>
    <x v="2"/>
    <x v="1"/>
    <n v="2176"/>
    <n v="6"/>
    <n v="0.24"/>
    <n v="337"/>
    <x v="0"/>
    <n v="9922.56"/>
    <x v="0"/>
    <n v="2024"/>
    <s v="Q1"/>
    <n v="3.3963009545923635E-2"/>
    <n v="3133.44"/>
    <s v="High"/>
    <x v="0"/>
    <s v="Below Avg"/>
    <s v="Profit"/>
    <n v="201"/>
  </r>
  <r>
    <n v="26"/>
    <d v="2024-01-26T00:00:00"/>
    <n v="1084"/>
    <s v="Customer_7"/>
    <x v="1"/>
    <x v="3"/>
    <x v="1"/>
    <x v="3"/>
    <n v="1857"/>
    <n v="6"/>
    <n v="0.25"/>
    <n v="1296"/>
    <x v="1"/>
    <n v="8356.5"/>
    <x v="0"/>
    <n v="2024"/>
    <s v="Q1"/>
    <n v="0.15508885298869143"/>
    <n v="2785.5"/>
    <s v="High"/>
    <x v="0"/>
    <s v="Below Avg"/>
    <s v="Profit"/>
    <n v="240"/>
  </r>
  <r>
    <n v="27"/>
    <d v="2024-01-27T00:00:00"/>
    <n v="1039"/>
    <s v="Customer_195"/>
    <x v="0"/>
    <x v="1"/>
    <x v="2"/>
    <x v="1"/>
    <n v="4258"/>
    <n v="7"/>
    <n v="0.16"/>
    <n v="1331"/>
    <x v="2"/>
    <n v="25037.040000000001"/>
    <x v="0"/>
    <n v="2024"/>
    <s v="Q1"/>
    <n v="5.3161236312279724E-2"/>
    <n v="4768.96"/>
    <s v="High"/>
    <x v="0"/>
    <s v="Above Avg"/>
    <s v="Profit"/>
    <n v="42"/>
  </r>
  <r>
    <n v="28"/>
    <d v="2024-01-28T00:00:00"/>
    <n v="1066"/>
    <s v="Customer_56"/>
    <x v="0"/>
    <x v="0"/>
    <x v="2"/>
    <x v="1"/>
    <n v="270"/>
    <n v="2"/>
    <n v="7.0000000000000007E-2"/>
    <n v="1695"/>
    <x v="1"/>
    <n v="502.2"/>
    <x v="0"/>
    <n v="2024"/>
    <s v="Q1"/>
    <n v="3.3751493428912784"/>
    <n v="37.800000000000004"/>
    <s v="Low"/>
    <x v="0"/>
    <s v="Below Avg"/>
    <s v="Profit"/>
    <n v="491"/>
  </r>
  <r>
    <n v="29"/>
    <d v="2024-01-29T00:00:00"/>
    <n v="1084"/>
    <s v="Customer_72"/>
    <x v="1"/>
    <x v="3"/>
    <x v="2"/>
    <x v="0"/>
    <n v="1757"/>
    <n v="7"/>
    <n v="0.24"/>
    <n v="1198"/>
    <x v="1"/>
    <n v="9347.24"/>
    <x v="0"/>
    <n v="2024"/>
    <s v="Q1"/>
    <n v="0.1281661752560114"/>
    <n v="2951.7599999999998"/>
    <s v="High"/>
    <x v="0"/>
    <s v="Below Avg"/>
    <s v="Profit"/>
    <n v="223"/>
  </r>
  <r>
    <n v="30"/>
    <d v="2024-01-30T00:00:00"/>
    <n v="1047"/>
    <s v="Customer_94"/>
    <x v="1"/>
    <x v="2"/>
    <x v="0"/>
    <x v="0"/>
    <n v="2171"/>
    <n v="2"/>
    <n v="0.11"/>
    <n v="1464"/>
    <x v="0"/>
    <n v="3864.38"/>
    <x v="0"/>
    <n v="2024"/>
    <s v="Q1"/>
    <n v="0.37884473059067691"/>
    <n v="477.62"/>
    <s v="Medium"/>
    <x v="0"/>
    <s v="Below Avg"/>
    <s v="Profit"/>
    <n v="359"/>
  </r>
  <r>
    <n v="31"/>
    <d v="2024-01-31T00:00:00"/>
    <n v="1061"/>
    <s v="Customer_11"/>
    <x v="0"/>
    <x v="3"/>
    <x v="2"/>
    <x v="1"/>
    <n v="4589"/>
    <n v="2"/>
    <n v="0.28000000000000003"/>
    <n v="1849"/>
    <x v="2"/>
    <n v="6608.16"/>
    <x v="0"/>
    <n v="2024"/>
    <s v="Q1"/>
    <n v="0.27980557371492215"/>
    <n v="2569.84"/>
    <s v="High"/>
    <x v="0"/>
    <s v="Below Avg"/>
    <s v="Profit"/>
    <n v="284"/>
  </r>
  <r>
    <n v="32"/>
    <d v="2024-02-01T00:00:00"/>
    <n v="1048"/>
    <s v="Customer_145"/>
    <x v="0"/>
    <x v="3"/>
    <x v="2"/>
    <x v="0"/>
    <n v="1491"/>
    <n v="1"/>
    <n v="0.08"/>
    <n v="-440"/>
    <x v="0"/>
    <n v="1371.72"/>
    <x v="1"/>
    <n v="2024"/>
    <s v="Q1"/>
    <n v="-0.32076517073455224"/>
    <n v="119.28"/>
    <s v="Low"/>
    <x v="0"/>
    <s v="Below Avg"/>
    <s v="Loss"/>
    <n v="464"/>
  </r>
  <r>
    <n v="33"/>
    <d v="2024-02-02T00:00:00"/>
    <n v="1007"/>
    <s v="Customer_72"/>
    <x v="1"/>
    <x v="3"/>
    <x v="0"/>
    <x v="1"/>
    <n v="4961"/>
    <n v="9"/>
    <n v="0.28000000000000003"/>
    <n v="1103"/>
    <x v="1"/>
    <n v="32147.279999999999"/>
    <x v="1"/>
    <n v="2024"/>
    <s v="Q1"/>
    <n v="3.4310834384744214E-2"/>
    <n v="12501.720000000001"/>
    <s v="High"/>
    <x v="0"/>
    <s v="Above Avg"/>
    <s v="Profit"/>
    <n v="21"/>
  </r>
  <r>
    <n v="34"/>
    <d v="2024-02-03T00:00:00"/>
    <n v="1099"/>
    <s v="Customer_175"/>
    <x v="0"/>
    <x v="2"/>
    <x v="0"/>
    <x v="0"/>
    <n v="2141"/>
    <n v="9"/>
    <n v="0.13"/>
    <n v="191"/>
    <x v="2"/>
    <n v="16764.03"/>
    <x v="1"/>
    <n v="2024"/>
    <s v="Q1"/>
    <n v="1.1393441791741009E-2"/>
    <n v="2504.9700000000003"/>
    <s v="High"/>
    <x v="0"/>
    <s v="Above Avg"/>
    <s v="Profit"/>
    <n v="108"/>
  </r>
  <r>
    <n v="35"/>
    <d v="2024-02-04T00:00:00"/>
    <n v="1092"/>
    <s v="Customer_172"/>
    <x v="0"/>
    <x v="2"/>
    <x v="2"/>
    <x v="2"/>
    <n v="4536"/>
    <n v="5"/>
    <n v="0.23"/>
    <n v="954"/>
    <x v="0"/>
    <n v="17463.599999999999"/>
    <x v="1"/>
    <n v="2024"/>
    <s v="Q1"/>
    <n v="5.4627911770768915E-2"/>
    <n v="5216.4000000000005"/>
    <s v="High"/>
    <x v="0"/>
    <s v="Above Avg"/>
    <s v="Profit"/>
    <n v="98"/>
  </r>
  <r>
    <n v="36"/>
    <d v="2024-02-05T00:00:00"/>
    <n v="1052"/>
    <s v="Customer_192"/>
    <x v="1"/>
    <x v="0"/>
    <x v="0"/>
    <x v="0"/>
    <n v="2529"/>
    <n v="7"/>
    <n v="0.06"/>
    <n v="-454"/>
    <x v="1"/>
    <n v="16640.82"/>
    <x v="1"/>
    <n v="2024"/>
    <s v="Q1"/>
    <n v="-2.7282309405425934E-2"/>
    <n v="1062.18"/>
    <s v="High"/>
    <x v="0"/>
    <s v="Above Avg"/>
    <s v="Loss"/>
    <n v="112"/>
  </r>
  <r>
    <n v="37"/>
    <d v="2024-02-06T00:00:00"/>
    <n v="1097"/>
    <s v="Customer_158"/>
    <x v="0"/>
    <x v="1"/>
    <x v="1"/>
    <x v="3"/>
    <n v="3484"/>
    <n v="7"/>
    <n v="0.19"/>
    <n v="-398"/>
    <x v="0"/>
    <n v="19754.28"/>
    <x v="1"/>
    <n v="2024"/>
    <s v="Q1"/>
    <n v="-2.0147532585343533E-2"/>
    <n v="4633.72"/>
    <s v="High"/>
    <x v="0"/>
    <s v="Above Avg"/>
    <s v="Loss"/>
    <n v="81"/>
  </r>
  <r>
    <n v="38"/>
    <d v="2024-02-07T00:00:00"/>
    <n v="1085"/>
    <s v="Customer_43"/>
    <x v="0"/>
    <x v="3"/>
    <x v="2"/>
    <x v="2"/>
    <n v="100"/>
    <n v="3"/>
    <n v="0.17"/>
    <n v="-325"/>
    <x v="2"/>
    <n v="249"/>
    <x v="1"/>
    <n v="2024"/>
    <s v="Q1"/>
    <n v="-1.3052208835341366"/>
    <n v="51.000000000000007"/>
    <s v="Low"/>
    <x v="0"/>
    <s v="Below Avg"/>
    <s v="Loss"/>
    <n v="498"/>
  </r>
  <r>
    <n v="39"/>
    <d v="2024-02-08T00:00:00"/>
    <n v="1094"/>
    <s v="Customer_16"/>
    <x v="0"/>
    <x v="1"/>
    <x v="0"/>
    <x v="1"/>
    <n v="1152"/>
    <n v="2"/>
    <n v="0.13"/>
    <n v="-297"/>
    <x v="0"/>
    <n v="2004.48"/>
    <x v="1"/>
    <n v="2024"/>
    <s v="Q1"/>
    <n v="-0.14816810344827586"/>
    <n v="299.52"/>
    <s v="Medium"/>
    <x v="0"/>
    <s v="Below Avg"/>
    <s v="Loss"/>
    <n v="430"/>
  </r>
  <r>
    <n v="40"/>
    <d v="2024-02-09T00:00:00"/>
    <n v="1027"/>
    <s v="Customer_119"/>
    <x v="1"/>
    <x v="0"/>
    <x v="0"/>
    <x v="0"/>
    <n v="1345"/>
    <n v="4"/>
    <n v="0.22"/>
    <n v="1624"/>
    <x v="2"/>
    <n v="4196.3999999999996"/>
    <x v="1"/>
    <n v="2024"/>
    <s v="Q1"/>
    <n v="0.38699837956343536"/>
    <n v="1183.5999999999999"/>
    <s v="Medium"/>
    <x v="0"/>
    <s v="Below Avg"/>
    <s v="Profit"/>
    <n v="346"/>
  </r>
  <r>
    <n v="41"/>
    <d v="2024-02-10T00:00:00"/>
    <n v="1034"/>
    <s v="Customer_4"/>
    <x v="1"/>
    <x v="2"/>
    <x v="2"/>
    <x v="1"/>
    <n v="3274"/>
    <n v="8"/>
    <n v="0.25"/>
    <n v="578"/>
    <x v="1"/>
    <n v="19644"/>
    <x v="1"/>
    <n v="2024"/>
    <s v="Q1"/>
    <n v="2.942374261861128E-2"/>
    <n v="6548"/>
    <s v="High"/>
    <x v="0"/>
    <s v="Above Avg"/>
    <s v="Profit"/>
    <n v="82"/>
  </r>
  <r>
    <n v="42"/>
    <d v="2024-02-11T00:00:00"/>
    <n v="1097"/>
    <s v="Customer_85"/>
    <x v="1"/>
    <x v="0"/>
    <x v="2"/>
    <x v="3"/>
    <n v="2350"/>
    <n v="1"/>
    <n v="0.22"/>
    <n v="1840"/>
    <x v="0"/>
    <n v="1833"/>
    <x v="1"/>
    <n v="2024"/>
    <s v="Q1"/>
    <n v="1.0038188761593017"/>
    <n v="517"/>
    <s v="Low"/>
    <x v="0"/>
    <s v="Below Avg"/>
    <s v="Profit"/>
    <n v="439"/>
  </r>
  <r>
    <n v="43"/>
    <d v="2024-02-12T00:00:00"/>
    <n v="1076"/>
    <s v="Customer_50"/>
    <x v="0"/>
    <x v="2"/>
    <x v="0"/>
    <x v="1"/>
    <n v="1934"/>
    <n v="8"/>
    <n v="0.24"/>
    <n v="1168"/>
    <x v="1"/>
    <n v="11758.72"/>
    <x v="1"/>
    <n v="2024"/>
    <s v="Q1"/>
    <n v="9.933053937843575E-2"/>
    <n v="3713.2799999999997"/>
    <s v="High"/>
    <x v="0"/>
    <s v="Above Avg"/>
    <s v="Profit"/>
    <n v="175"/>
  </r>
  <r>
    <n v="44"/>
    <d v="2024-02-13T00:00:00"/>
    <n v="1040"/>
    <s v="Customer_34"/>
    <x v="1"/>
    <x v="3"/>
    <x v="0"/>
    <x v="3"/>
    <n v="3605"/>
    <n v="2"/>
    <n v="0.22"/>
    <n v="1510"/>
    <x v="1"/>
    <n v="5623.8"/>
    <x v="1"/>
    <n v="2024"/>
    <s v="Q1"/>
    <n v="0.26850172481240442"/>
    <n v="1586.2"/>
    <s v="High"/>
    <x v="0"/>
    <s v="Below Avg"/>
    <s v="Profit"/>
    <n v="305"/>
  </r>
  <r>
    <n v="45"/>
    <d v="2024-02-14T00:00:00"/>
    <n v="1003"/>
    <s v="Customer_35"/>
    <x v="1"/>
    <x v="1"/>
    <x v="2"/>
    <x v="2"/>
    <n v="4693"/>
    <n v="8"/>
    <n v="0.04"/>
    <n v="1809"/>
    <x v="0"/>
    <n v="36042.239999999998"/>
    <x v="1"/>
    <n v="2024"/>
    <s v="Q1"/>
    <n v="5.019110909865758E-2"/>
    <n v="1501.76"/>
    <s v="High"/>
    <x v="0"/>
    <s v="Above Avg"/>
    <s v="Profit"/>
    <n v="7"/>
  </r>
  <r>
    <n v="46"/>
    <d v="2024-02-15T00:00:00"/>
    <n v="1069"/>
    <s v="Customer_64"/>
    <x v="0"/>
    <x v="0"/>
    <x v="2"/>
    <x v="3"/>
    <n v="4092"/>
    <n v="2"/>
    <n v="0.23"/>
    <n v="779"/>
    <x v="1"/>
    <n v="6301.68"/>
    <x v="1"/>
    <n v="2024"/>
    <s v="Q1"/>
    <n v="0.12361782889642127"/>
    <n v="1882.3200000000002"/>
    <s v="High"/>
    <x v="0"/>
    <s v="Below Avg"/>
    <s v="Profit"/>
    <n v="290"/>
  </r>
  <r>
    <n v="47"/>
    <d v="2024-02-16T00:00:00"/>
    <n v="1064"/>
    <s v="Customer_13"/>
    <x v="1"/>
    <x v="2"/>
    <x v="0"/>
    <x v="2"/>
    <n v="1788"/>
    <n v="7"/>
    <n v="0.06"/>
    <n v="-196"/>
    <x v="1"/>
    <n v="11765.039999999901"/>
    <x v="1"/>
    <n v="2024"/>
    <s v="Q1"/>
    <n v="-1.6659526869437048E-2"/>
    <n v="750.95999999999992"/>
    <s v="High"/>
    <x v="0"/>
    <s v="Above Avg"/>
    <s v="Loss"/>
    <n v="174"/>
  </r>
  <r>
    <n v="48"/>
    <d v="2024-02-17T00:00:00"/>
    <n v="1075"/>
    <s v="Customer_107"/>
    <x v="1"/>
    <x v="2"/>
    <x v="1"/>
    <x v="3"/>
    <n v="343"/>
    <n v="3"/>
    <n v="0.03"/>
    <n v="1062"/>
    <x v="0"/>
    <n v="998.13"/>
    <x v="1"/>
    <n v="2024"/>
    <s v="Q1"/>
    <n v="1.0639896606654444"/>
    <n v="30.869999999999997"/>
    <s v="Low"/>
    <x v="0"/>
    <s v="Below Avg"/>
    <s v="Profit"/>
    <n v="479"/>
  </r>
  <r>
    <n v="49"/>
    <d v="2024-02-18T00:00:00"/>
    <n v="1034"/>
    <s v="Customer_27"/>
    <x v="0"/>
    <x v="0"/>
    <x v="0"/>
    <x v="2"/>
    <n v="1734"/>
    <n v="6"/>
    <n v="0.27"/>
    <n v="318"/>
    <x v="0"/>
    <n v="7594.92"/>
    <x v="1"/>
    <n v="2024"/>
    <s v="Q1"/>
    <n v="4.1870092114202652E-2"/>
    <n v="2809.0800000000004"/>
    <s v="High"/>
    <x v="0"/>
    <s v="Below Avg"/>
    <s v="Profit"/>
    <n v="263"/>
  </r>
  <r>
    <n v="50"/>
    <d v="2024-02-19T00:00:00"/>
    <n v="1058"/>
    <s v="Customer_169"/>
    <x v="0"/>
    <x v="1"/>
    <x v="2"/>
    <x v="3"/>
    <n v="2310"/>
    <n v="7"/>
    <n v="0.18"/>
    <n v="-22"/>
    <x v="2"/>
    <n v="13259.4"/>
    <x v="1"/>
    <n v="2024"/>
    <s v="Q1"/>
    <n v="-1.6592002654720426E-3"/>
    <n v="2910.6"/>
    <s v="High"/>
    <x v="0"/>
    <s v="Above Avg"/>
    <s v="Loss"/>
    <n v="157"/>
  </r>
  <r>
    <n v="51"/>
    <d v="2024-02-20T00:00:00"/>
    <n v="1010"/>
    <s v="Customer_42"/>
    <x v="0"/>
    <x v="1"/>
    <x v="1"/>
    <x v="2"/>
    <n v="274"/>
    <n v="6"/>
    <n v="0.05"/>
    <n v="-327"/>
    <x v="2"/>
    <n v="1561.8"/>
    <x v="1"/>
    <n v="2024"/>
    <s v="Q1"/>
    <n v="-0.20937379946215906"/>
    <n v="82.2"/>
    <s v="Low"/>
    <x v="0"/>
    <s v="Below Avg"/>
    <s v="Loss"/>
    <n v="455"/>
  </r>
  <r>
    <n v="52"/>
    <d v="2024-02-21T00:00:00"/>
    <n v="1022"/>
    <s v="Customer_157"/>
    <x v="1"/>
    <x v="2"/>
    <x v="1"/>
    <x v="0"/>
    <n v="2319"/>
    <n v="5"/>
    <n v="0.19"/>
    <n v="51"/>
    <x v="2"/>
    <n v="9391.9500000000007"/>
    <x v="1"/>
    <n v="2024"/>
    <s v="Q1"/>
    <n v="5.4301822305272062E-3"/>
    <n v="2203.0500000000002"/>
    <s v="High"/>
    <x v="0"/>
    <s v="Below Avg"/>
    <s v="Profit"/>
    <n v="222"/>
  </r>
  <r>
    <n v="53"/>
    <d v="2024-02-22T00:00:00"/>
    <n v="1077"/>
    <s v="Customer_144"/>
    <x v="1"/>
    <x v="3"/>
    <x v="0"/>
    <x v="2"/>
    <n v="3756"/>
    <n v="9"/>
    <n v="0.1"/>
    <n v="1822"/>
    <x v="1"/>
    <n v="30423.599999999999"/>
    <x v="1"/>
    <n v="2024"/>
    <s v="Q1"/>
    <n v="5.9887718744658758E-2"/>
    <n v="3380.4"/>
    <s v="High"/>
    <x v="0"/>
    <s v="Above Avg"/>
    <s v="Profit"/>
    <n v="23"/>
  </r>
  <r>
    <n v="54"/>
    <d v="2024-02-23T00:00:00"/>
    <n v="1018"/>
    <s v="Customer_181"/>
    <x v="1"/>
    <x v="3"/>
    <x v="2"/>
    <x v="1"/>
    <n v="366"/>
    <n v="9"/>
    <n v="0.04"/>
    <n v="-461"/>
    <x v="0"/>
    <n v="3162.24"/>
    <x v="1"/>
    <n v="2024"/>
    <s v="Q1"/>
    <n v="-0.14578273628820079"/>
    <n v="131.76"/>
    <s v="Medium"/>
    <x v="0"/>
    <s v="Below Avg"/>
    <s v="Loss"/>
    <n v="388"/>
  </r>
  <r>
    <n v="55"/>
    <d v="2024-02-24T00:00:00"/>
    <n v="1015"/>
    <s v="Customer_46"/>
    <x v="1"/>
    <x v="3"/>
    <x v="1"/>
    <x v="0"/>
    <n v="1482"/>
    <n v="3"/>
    <n v="0.24"/>
    <n v="1102"/>
    <x v="2"/>
    <n v="3378.96"/>
    <x v="1"/>
    <n v="2024"/>
    <s v="Q1"/>
    <n v="0.32613585245164189"/>
    <n v="1067.04"/>
    <s v="Medium"/>
    <x v="0"/>
    <s v="Below Avg"/>
    <s v="Profit"/>
    <n v="381"/>
  </r>
  <r>
    <n v="56"/>
    <d v="2024-02-25T00:00:00"/>
    <n v="1027"/>
    <s v="Customer_197"/>
    <x v="1"/>
    <x v="3"/>
    <x v="0"/>
    <x v="3"/>
    <n v="879"/>
    <n v="7"/>
    <n v="0.03"/>
    <n v="1934"/>
    <x v="1"/>
    <n v="5968.41"/>
    <x v="1"/>
    <n v="2024"/>
    <s v="Q1"/>
    <n v="0.3240394007784318"/>
    <n v="184.59"/>
    <s v="High"/>
    <x v="0"/>
    <s v="Below Avg"/>
    <s v="Profit"/>
    <n v="298"/>
  </r>
  <r>
    <n v="57"/>
    <d v="2024-02-26T00:00:00"/>
    <n v="1030"/>
    <s v="Customer_37"/>
    <x v="1"/>
    <x v="1"/>
    <x v="2"/>
    <x v="2"/>
    <n v="4731"/>
    <n v="2"/>
    <n v="0.28999999999999998"/>
    <n v="1177"/>
    <x v="2"/>
    <n v="6718.0199999999904"/>
    <x v="1"/>
    <n v="2024"/>
    <s v="Q1"/>
    <n v="0.17520043107939567"/>
    <n v="2743.98"/>
    <s v="High"/>
    <x v="0"/>
    <s v="Below Avg"/>
    <s v="Profit"/>
    <n v="282"/>
  </r>
  <r>
    <n v="58"/>
    <d v="2024-02-27T00:00:00"/>
    <n v="1052"/>
    <s v="Customer_104"/>
    <x v="0"/>
    <x v="2"/>
    <x v="2"/>
    <x v="2"/>
    <n v="766"/>
    <n v="1"/>
    <n v="0.23"/>
    <n v="993"/>
    <x v="2"/>
    <n v="589.82000000000005"/>
    <x v="1"/>
    <n v="2024"/>
    <s v="Q1"/>
    <n v="1.6835644772981586"/>
    <n v="176.18"/>
    <s v="Low"/>
    <x v="0"/>
    <s v="Below Avg"/>
    <s v="Profit"/>
    <n v="487"/>
  </r>
  <r>
    <n v="59"/>
    <d v="2024-02-28T00:00:00"/>
    <n v="1070"/>
    <s v="Customer_188"/>
    <x v="0"/>
    <x v="2"/>
    <x v="2"/>
    <x v="2"/>
    <n v="1257"/>
    <n v="4"/>
    <n v="0.21"/>
    <n v="-182"/>
    <x v="0"/>
    <n v="3972.12"/>
    <x v="1"/>
    <n v="2024"/>
    <s v="Q1"/>
    <n v="-4.581936094579217E-2"/>
    <n v="1055.8799999999999"/>
    <s v="Medium"/>
    <x v="0"/>
    <s v="Below Avg"/>
    <s v="Loss"/>
    <n v="354"/>
  </r>
  <r>
    <n v="60"/>
    <d v="2024-02-29T00:00:00"/>
    <n v="1026"/>
    <s v="Customer_143"/>
    <x v="0"/>
    <x v="3"/>
    <x v="0"/>
    <x v="3"/>
    <n v="4776"/>
    <n v="3"/>
    <n v="7.0000000000000007E-2"/>
    <n v="1297"/>
    <x v="0"/>
    <n v="13325.039999999901"/>
    <x v="1"/>
    <n v="2024"/>
    <s v="Q1"/>
    <n v="9.7335542707564823E-2"/>
    <n v="1002.9600000000002"/>
    <s v="High"/>
    <x v="0"/>
    <s v="Above Avg"/>
    <s v="Profit"/>
    <n v="156"/>
  </r>
  <r>
    <n v="61"/>
    <d v="2024-03-01T00:00:00"/>
    <n v="1080"/>
    <s v="Customer_149"/>
    <x v="0"/>
    <x v="2"/>
    <x v="2"/>
    <x v="1"/>
    <n v="963"/>
    <n v="4"/>
    <n v="0.23"/>
    <n v="-271"/>
    <x v="1"/>
    <n v="2966.04"/>
    <x v="2"/>
    <n v="2024"/>
    <s v="Q1"/>
    <n v="-9.1367614732100713E-2"/>
    <n v="885.96"/>
    <s v="Medium"/>
    <x v="0"/>
    <s v="Below Avg"/>
    <s v="Loss"/>
    <n v="395"/>
  </r>
  <r>
    <n v="62"/>
    <d v="2024-03-02T00:00:00"/>
    <n v="1006"/>
    <s v="Customer_34"/>
    <x v="1"/>
    <x v="1"/>
    <x v="1"/>
    <x v="3"/>
    <n v="4000"/>
    <n v="3"/>
    <n v="0.01"/>
    <n v="1902"/>
    <x v="2"/>
    <n v="11880"/>
    <x v="2"/>
    <n v="2024"/>
    <s v="Q1"/>
    <n v="0.1601010101010101"/>
    <n v="120"/>
    <s v="High"/>
    <x v="0"/>
    <s v="Above Avg"/>
    <s v="Profit"/>
    <n v="171"/>
  </r>
  <r>
    <n v="63"/>
    <d v="2024-03-03T00:00:00"/>
    <n v="1014"/>
    <s v="Customer_9"/>
    <x v="0"/>
    <x v="0"/>
    <x v="0"/>
    <x v="2"/>
    <n v="156"/>
    <n v="9"/>
    <n v="0.17"/>
    <n v="325"/>
    <x v="2"/>
    <n v="1165.32"/>
    <x v="2"/>
    <n v="2024"/>
    <s v="Q1"/>
    <n v="0.2788933511825078"/>
    <n v="238.68"/>
    <s v="Low"/>
    <x v="0"/>
    <s v="Below Avg"/>
    <s v="Profit"/>
    <n v="472"/>
  </r>
  <r>
    <n v="64"/>
    <d v="2024-03-04T00:00:00"/>
    <n v="1075"/>
    <s v="Customer_154"/>
    <x v="0"/>
    <x v="0"/>
    <x v="0"/>
    <x v="0"/>
    <n v="3350"/>
    <n v="4"/>
    <n v="0.09"/>
    <n v="1332"/>
    <x v="2"/>
    <n v="12194"/>
    <x v="2"/>
    <n v="2024"/>
    <s v="Q1"/>
    <n v="0.109234049532557"/>
    <n v="1206"/>
    <s v="High"/>
    <x v="0"/>
    <s v="Above Avg"/>
    <s v="Profit"/>
    <n v="165"/>
  </r>
  <r>
    <n v="65"/>
    <d v="2024-03-05T00:00:00"/>
    <n v="1054"/>
    <s v="Customer_77"/>
    <x v="0"/>
    <x v="2"/>
    <x v="0"/>
    <x v="2"/>
    <n v="642"/>
    <n v="4"/>
    <n v="0.25"/>
    <n v="30"/>
    <x v="0"/>
    <n v="1926"/>
    <x v="2"/>
    <n v="2024"/>
    <s v="Q1"/>
    <n v="1.5576323987538941E-2"/>
    <n v="642"/>
    <s v="Low"/>
    <x v="0"/>
    <s v="Below Avg"/>
    <s v="Profit"/>
    <n v="434"/>
  </r>
  <r>
    <n v="66"/>
    <d v="2024-03-06T00:00:00"/>
    <n v="1071"/>
    <s v="Customer_146"/>
    <x v="1"/>
    <x v="2"/>
    <x v="0"/>
    <x v="0"/>
    <n v="1032"/>
    <n v="7"/>
    <n v="0.23"/>
    <n v="-33"/>
    <x v="0"/>
    <n v="5562.48"/>
    <x v="2"/>
    <n v="2024"/>
    <s v="Q1"/>
    <n v="-5.9326056003796875E-3"/>
    <n v="1661.52"/>
    <s v="High"/>
    <x v="0"/>
    <s v="Below Avg"/>
    <s v="Loss"/>
    <n v="307"/>
  </r>
  <r>
    <n v="67"/>
    <d v="2024-03-07T00:00:00"/>
    <n v="1001"/>
    <s v="Customer_1"/>
    <x v="0"/>
    <x v="2"/>
    <x v="2"/>
    <x v="2"/>
    <n v="950"/>
    <n v="4"/>
    <n v="0.15"/>
    <n v="1734"/>
    <x v="2"/>
    <n v="3230"/>
    <x v="2"/>
    <n v="2024"/>
    <s v="Q1"/>
    <n v="0.5368421052631579"/>
    <n v="570"/>
    <s v="Medium"/>
    <x v="0"/>
    <s v="Below Avg"/>
    <s v="Profit"/>
    <n v="387"/>
  </r>
  <r>
    <n v="68"/>
    <d v="2024-03-08T00:00:00"/>
    <n v="1043"/>
    <s v="Customer_23"/>
    <x v="1"/>
    <x v="3"/>
    <x v="0"/>
    <x v="1"/>
    <n v="1275"/>
    <n v="9"/>
    <n v="0.14000000000000001"/>
    <n v="1604"/>
    <x v="1"/>
    <n v="9868.5"/>
    <x v="2"/>
    <n v="2024"/>
    <s v="Q1"/>
    <n v="0.16253736636773572"/>
    <n v="1606.5000000000002"/>
    <s v="High"/>
    <x v="1"/>
    <s v="Below Avg"/>
    <s v="Profit"/>
    <n v="204"/>
  </r>
  <r>
    <n v="69"/>
    <d v="2024-03-09T00:00:00"/>
    <n v="1058"/>
    <s v="Customer_33"/>
    <x v="0"/>
    <x v="3"/>
    <x v="1"/>
    <x v="1"/>
    <n v="622"/>
    <n v="9"/>
    <n v="0.02"/>
    <n v="442"/>
    <x v="1"/>
    <n v="5486.04"/>
    <x v="2"/>
    <n v="2024"/>
    <s v="Q1"/>
    <n v="8.0568132933773726E-2"/>
    <n v="111.96000000000001"/>
    <s v="High"/>
    <x v="0"/>
    <s v="Below Avg"/>
    <s v="Profit"/>
    <n v="309"/>
  </r>
  <r>
    <n v="70"/>
    <d v="2024-03-10T00:00:00"/>
    <n v="1055"/>
    <s v="Customer_175"/>
    <x v="0"/>
    <x v="2"/>
    <x v="1"/>
    <x v="3"/>
    <n v="209"/>
    <n v="9"/>
    <n v="7.0000000000000007E-2"/>
    <n v="79"/>
    <x v="1"/>
    <n v="1749.33"/>
    <x v="2"/>
    <n v="2024"/>
    <s v="Q1"/>
    <n v="4.5160147027719186E-2"/>
    <n v="131.67000000000002"/>
    <s v="Low"/>
    <x v="0"/>
    <s v="Below Avg"/>
    <s v="Profit"/>
    <n v="444"/>
  </r>
  <r>
    <n v="71"/>
    <d v="2024-03-11T00:00:00"/>
    <n v="1025"/>
    <s v="Customer_95"/>
    <x v="0"/>
    <x v="0"/>
    <x v="1"/>
    <x v="1"/>
    <n v="3545"/>
    <n v="6"/>
    <n v="0.21"/>
    <n v="706"/>
    <x v="1"/>
    <n v="16803.3"/>
    <x v="2"/>
    <n v="2024"/>
    <s v="Q1"/>
    <n v="4.2015556468074727E-2"/>
    <n v="4466.7"/>
    <s v="High"/>
    <x v="0"/>
    <s v="Above Avg"/>
    <s v="Profit"/>
    <n v="107"/>
  </r>
  <r>
    <n v="72"/>
    <d v="2024-03-12T00:00:00"/>
    <n v="1050"/>
    <s v="Customer_122"/>
    <x v="1"/>
    <x v="1"/>
    <x v="1"/>
    <x v="0"/>
    <n v="156"/>
    <n v="9"/>
    <n v="0.02"/>
    <n v="56"/>
    <x v="2"/>
    <n v="1375.92"/>
    <x v="2"/>
    <n v="2024"/>
    <s v="Q1"/>
    <n v="4.0700040700040699E-2"/>
    <n v="28.080000000000002"/>
    <s v="Low"/>
    <x v="0"/>
    <s v="Below Avg"/>
    <s v="Profit"/>
    <n v="463"/>
  </r>
  <r>
    <n v="73"/>
    <d v="2024-03-13T00:00:00"/>
    <n v="1084"/>
    <s v="Customer_21"/>
    <x v="0"/>
    <x v="2"/>
    <x v="1"/>
    <x v="3"/>
    <n v="3923"/>
    <n v="3"/>
    <n v="0.24"/>
    <n v="1141"/>
    <x v="0"/>
    <n v="8944.44"/>
    <x v="2"/>
    <n v="2024"/>
    <s v="Q1"/>
    <n v="0.12756528077777926"/>
    <n v="2824.56"/>
    <s v="High"/>
    <x v="0"/>
    <s v="Below Avg"/>
    <s v="Profit"/>
    <n v="232"/>
  </r>
  <r>
    <n v="74"/>
    <d v="2024-03-14T00:00:00"/>
    <n v="1056"/>
    <s v="Customer_61"/>
    <x v="1"/>
    <x v="1"/>
    <x v="0"/>
    <x v="1"/>
    <n v="1766"/>
    <n v="2"/>
    <n v="0.28999999999999998"/>
    <n v="620"/>
    <x v="1"/>
    <n v="2507.7199999999998"/>
    <x v="2"/>
    <n v="2024"/>
    <s v="Q1"/>
    <n v="0.24723653358429173"/>
    <n v="1024.28"/>
    <s v="Medium"/>
    <x v="0"/>
    <s v="Below Avg"/>
    <s v="Profit"/>
    <n v="410"/>
  </r>
  <r>
    <n v="75"/>
    <d v="2024-03-15T00:00:00"/>
    <n v="1049"/>
    <s v="Customer_27"/>
    <x v="0"/>
    <x v="1"/>
    <x v="2"/>
    <x v="2"/>
    <n v="4017"/>
    <n v="2"/>
    <n v="0.02"/>
    <n v="755"/>
    <x v="2"/>
    <n v="7873.32"/>
    <x v="2"/>
    <n v="2024"/>
    <s v="Q1"/>
    <n v="9.58934731472873E-2"/>
    <n v="160.68"/>
    <s v="High"/>
    <x v="0"/>
    <s v="Below Avg"/>
    <s v="Profit"/>
    <n v="255"/>
  </r>
  <r>
    <n v="76"/>
    <d v="2024-03-16T00:00:00"/>
    <n v="1012"/>
    <s v="Customer_191"/>
    <x v="0"/>
    <x v="1"/>
    <x v="1"/>
    <x v="1"/>
    <n v="1527"/>
    <n v="7"/>
    <n v="0.14000000000000001"/>
    <n v="-113"/>
    <x v="2"/>
    <n v="9192.53999999999"/>
    <x v="2"/>
    <n v="2024"/>
    <s v="Q1"/>
    <n v="-1.2292576371710117E-2"/>
    <n v="1496.46"/>
    <s v="High"/>
    <x v="0"/>
    <s v="Below Avg"/>
    <s v="Loss"/>
    <n v="227"/>
  </r>
  <r>
    <n v="77"/>
    <d v="2024-03-17T00:00:00"/>
    <n v="1018"/>
    <s v="Customer_102"/>
    <x v="0"/>
    <x v="1"/>
    <x v="2"/>
    <x v="3"/>
    <n v="604"/>
    <n v="5"/>
    <n v="0.17"/>
    <n v="213"/>
    <x v="2"/>
    <n v="2506.6"/>
    <x v="2"/>
    <n v="2024"/>
    <s v="Q1"/>
    <n v="8.497566424638954E-2"/>
    <n v="513.40000000000009"/>
    <s v="Medium"/>
    <x v="0"/>
    <s v="Below Avg"/>
    <s v="Profit"/>
    <n v="411"/>
  </r>
  <r>
    <n v="78"/>
    <d v="2024-03-18T00:00:00"/>
    <n v="1081"/>
    <s v="Customer_180"/>
    <x v="0"/>
    <x v="3"/>
    <x v="1"/>
    <x v="1"/>
    <n v="3795"/>
    <n v="4"/>
    <n v="0.24"/>
    <n v="842"/>
    <x v="0"/>
    <n v="11536.8"/>
    <x v="2"/>
    <n v="2024"/>
    <s v="Q1"/>
    <n v="7.2983843006726307E-2"/>
    <n v="3643.2"/>
    <s v="High"/>
    <x v="0"/>
    <s v="Above Avg"/>
    <s v="Profit"/>
    <n v="181"/>
  </r>
  <r>
    <n v="79"/>
    <d v="2024-03-19T00:00:00"/>
    <n v="1001"/>
    <s v="Customer_192"/>
    <x v="0"/>
    <x v="2"/>
    <x v="1"/>
    <x v="0"/>
    <n v="4704"/>
    <n v="2"/>
    <n v="0.05"/>
    <n v="-31"/>
    <x v="1"/>
    <n v="8937.6"/>
    <x v="2"/>
    <n v="2024"/>
    <s v="Q1"/>
    <n v="-3.4684926602219835E-3"/>
    <n v="470.40000000000003"/>
    <s v="High"/>
    <x v="0"/>
    <s v="Below Avg"/>
    <s v="Loss"/>
    <n v="233"/>
  </r>
  <r>
    <n v="80"/>
    <d v="2024-03-20T00:00:00"/>
    <n v="1051"/>
    <s v="Customer_142"/>
    <x v="1"/>
    <x v="1"/>
    <x v="1"/>
    <x v="0"/>
    <n v="1428"/>
    <n v="4"/>
    <n v="0.11"/>
    <n v="361"/>
    <x v="0"/>
    <n v="5083.68"/>
    <x v="2"/>
    <n v="2024"/>
    <s v="Q1"/>
    <n v="7.10115506876908E-2"/>
    <n v="628.32000000000005"/>
    <s v="High"/>
    <x v="0"/>
    <s v="Below Avg"/>
    <s v="Profit"/>
    <n v="320"/>
  </r>
  <r>
    <n v="81"/>
    <d v="2024-03-21T00:00:00"/>
    <n v="1044"/>
    <s v="Customer_101"/>
    <x v="1"/>
    <x v="1"/>
    <x v="2"/>
    <x v="0"/>
    <n v="783"/>
    <n v="6"/>
    <n v="0.25"/>
    <n v="-54"/>
    <x v="2"/>
    <n v="3523.5"/>
    <x v="2"/>
    <n v="2024"/>
    <s v="Q1"/>
    <n v="-1.532567049808429E-2"/>
    <n v="1174.5"/>
    <s v="Medium"/>
    <x v="0"/>
    <s v="Below Avg"/>
    <s v="Loss"/>
    <n v="376"/>
  </r>
  <r>
    <n v="82"/>
    <d v="2024-03-22T00:00:00"/>
    <n v="1048"/>
    <s v="Customer_175"/>
    <x v="0"/>
    <x v="0"/>
    <x v="0"/>
    <x v="0"/>
    <n v="222"/>
    <n v="6"/>
    <n v="0.16"/>
    <n v="9"/>
    <x v="0"/>
    <n v="1118.8799999999901"/>
    <x v="2"/>
    <n v="2024"/>
    <s v="Q1"/>
    <n v="8.043758043758115E-3"/>
    <n v="213.12"/>
    <s v="Low"/>
    <x v="0"/>
    <s v="Below Avg"/>
    <s v="Profit"/>
    <n v="474"/>
  </r>
  <r>
    <n v="83"/>
    <d v="2024-03-23T00:00:00"/>
    <n v="1056"/>
    <s v="Customer_7"/>
    <x v="1"/>
    <x v="2"/>
    <x v="1"/>
    <x v="0"/>
    <n v="1447"/>
    <n v="8"/>
    <n v="0.05"/>
    <n v="1686"/>
    <x v="0"/>
    <n v="10997.199999999901"/>
    <x v="2"/>
    <n v="2024"/>
    <s v="Q1"/>
    <n v="0.15331175208234962"/>
    <n v="578.80000000000007"/>
    <s v="High"/>
    <x v="0"/>
    <s v="Above Avg"/>
    <s v="Profit"/>
    <n v="191"/>
  </r>
  <r>
    <n v="84"/>
    <d v="2024-03-24T00:00:00"/>
    <n v="1091"/>
    <s v="Customer_76"/>
    <x v="1"/>
    <x v="1"/>
    <x v="0"/>
    <x v="3"/>
    <n v="4171"/>
    <n v="6"/>
    <n v="0.26"/>
    <n v="1941"/>
    <x v="0"/>
    <n v="18519.2399999999"/>
    <x v="2"/>
    <n v="2024"/>
    <s v="Q1"/>
    <n v="0.10480991660564962"/>
    <n v="6506.76"/>
    <s v="High"/>
    <x v="0"/>
    <s v="Above Avg"/>
    <s v="Profit"/>
    <n v="86"/>
  </r>
  <r>
    <n v="85"/>
    <d v="2024-03-25T00:00:00"/>
    <n v="1049"/>
    <s v="Customer_156"/>
    <x v="1"/>
    <x v="3"/>
    <x v="1"/>
    <x v="1"/>
    <n v="2001"/>
    <n v="5"/>
    <n v="0.28000000000000003"/>
    <n v="832"/>
    <x v="0"/>
    <n v="7203.5999999999904"/>
    <x v="2"/>
    <n v="2024"/>
    <s v="Q1"/>
    <n v="0.1154978066522296"/>
    <n v="2801.4"/>
    <s v="High"/>
    <x v="0"/>
    <s v="Below Avg"/>
    <s v="Profit"/>
    <n v="271"/>
  </r>
  <r>
    <n v="86"/>
    <d v="2024-03-26T00:00:00"/>
    <n v="1086"/>
    <s v="Customer_131"/>
    <x v="0"/>
    <x v="0"/>
    <x v="0"/>
    <x v="3"/>
    <n v="1745"/>
    <n v="7"/>
    <n v="0.22"/>
    <n v="1411"/>
    <x v="0"/>
    <n v="9527.7000000000007"/>
    <x v="2"/>
    <n v="2024"/>
    <s v="Q1"/>
    <n v="0.14809450339536298"/>
    <n v="2687.3"/>
    <s v="High"/>
    <x v="0"/>
    <s v="Below Avg"/>
    <s v="Profit"/>
    <n v="215"/>
  </r>
  <r>
    <n v="87"/>
    <d v="2024-03-27T00:00:00"/>
    <n v="1003"/>
    <s v="Customer_150"/>
    <x v="1"/>
    <x v="0"/>
    <x v="0"/>
    <x v="1"/>
    <n v="2969"/>
    <n v="3"/>
    <n v="0.28999999999999998"/>
    <n v="735"/>
    <x v="0"/>
    <n v="6323.9699999999903"/>
    <x v="2"/>
    <n v="2024"/>
    <s v="Q1"/>
    <n v="0.11622446026783827"/>
    <n v="2583.0299999999997"/>
    <s v="High"/>
    <x v="0"/>
    <s v="Below Avg"/>
    <s v="Profit"/>
    <n v="288"/>
  </r>
  <r>
    <n v="88"/>
    <d v="2024-03-28T00:00:00"/>
    <n v="1067"/>
    <s v="Customer_85"/>
    <x v="1"/>
    <x v="0"/>
    <x v="1"/>
    <x v="0"/>
    <n v="1478"/>
    <n v="4"/>
    <n v="0.28000000000000003"/>
    <n v="-370"/>
    <x v="2"/>
    <n v="4256.6399999999903"/>
    <x v="2"/>
    <n v="2024"/>
    <s v="Q1"/>
    <n v="-8.6923019094873155E-2"/>
    <n v="1655.3600000000001"/>
    <s v="Medium"/>
    <x v="0"/>
    <s v="Below Avg"/>
    <s v="Loss"/>
    <n v="343"/>
  </r>
  <r>
    <n v="89"/>
    <d v="2024-03-29T00:00:00"/>
    <n v="1011"/>
    <s v="Customer_191"/>
    <x v="1"/>
    <x v="0"/>
    <x v="0"/>
    <x v="2"/>
    <n v="2972"/>
    <n v="6"/>
    <n v="0.04"/>
    <n v="64"/>
    <x v="0"/>
    <n v="17118.72"/>
    <x v="2"/>
    <n v="2024"/>
    <s v="Q1"/>
    <n v="3.7385972783011813E-3"/>
    <n v="713.28"/>
    <s v="High"/>
    <x v="0"/>
    <s v="Above Avg"/>
    <s v="Profit"/>
    <n v="104"/>
  </r>
  <r>
    <n v="90"/>
    <d v="2024-03-30T00:00:00"/>
    <n v="1021"/>
    <s v="Customer_29"/>
    <x v="0"/>
    <x v="1"/>
    <x v="2"/>
    <x v="2"/>
    <n v="1596"/>
    <n v="9"/>
    <n v="0.12"/>
    <n v="1887"/>
    <x v="0"/>
    <n v="12640.32"/>
    <x v="2"/>
    <n v="2024"/>
    <s v="Q1"/>
    <n v="0.14928419533682691"/>
    <n v="1723.6799999999998"/>
    <s v="High"/>
    <x v="0"/>
    <s v="Above Avg"/>
    <s v="Profit"/>
    <n v="161"/>
  </r>
  <r>
    <n v="91"/>
    <d v="2024-03-31T00:00:00"/>
    <n v="1089"/>
    <s v="Customer_148"/>
    <x v="1"/>
    <x v="3"/>
    <x v="0"/>
    <x v="2"/>
    <n v="775"/>
    <n v="6"/>
    <n v="0.18"/>
    <n v="1459"/>
    <x v="0"/>
    <n v="3813"/>
    <x v="2"/>
    <n v="2024"/>
    <s v="Q1"/>
    <n v="0.38263834251245737"/>
    <n v="837"/>
    <s v="Medium"/>
    <x v="0"/>
    <s v="Below Avg"/>
    <s v="Profit"/>
    <n v="364"/>
  </r>
  <r>
    <n v="92"/>
    <d v="2024-04-01T00:00:00"/>
    <n v="1098"/>
    <s v="Customer_67"/>
    <x v="1"/>
    <x v="0"/>
    <x v="2"/>
    <x v="1"/>
    <n v="2608"/>
    <n v="4"/>
    <n v="0.22"/>
    <n v="1774"/>
    <x v="0"/>
    <n v="8136.96"/>
    <x v="3"/>
    <n v="2024"/>
    <s v="Q2"/>
    <n v="0.21801753971999371"/>
    <n v="2295.04"/>
    <s v="High"/>
    <x v="0"/>
    <s v="Below Avg"/>
    <s v="Profit"/>
    <n v="246"/>
  </r>
  <r>
    <n v="93"/>
    <d v="2024-04-02T00:00:00"/>
    <n v="1003"/>
    <s v="Customer_105"/>
    <x v="1"/>
    <x v="3"/>
    <x v="0"/>
    <x v="1"/>
    <n v="2396"/>
    <n v="8"/>
    <n v="0.16"/>
    <n v="943"/>
    <x v="1"/>
    <n v="16101.119999999901"/>
    <x v="3"/>
    <n v="2024"/>
    <s v="Q2"/>
    <n v="5.8567354320693578E-2"/>
    <n v="3066.88"/>
    <s v="High"/>
    <x v="0"/>
    <s v="Above Avg"/>
    <s v="Profit"/>
    <n v="126"/>
  </r>
  <r>
    <n v="94"/>
    <d v="2024-04-03T00:00:00"/>
    <n v="1011"/>
    <s v="Customer_161"/>
    <x v="0"/>
    <x v="1"/>
    <x v="2"/>
    <x v="3"/>
    <n v="662"/>
    <n v="5"/>
    <n v="0.19"/>
    <n v="-45"/>
    <x v="2"/>
    <n v="2681.1"/>
    <x v="3"/>
    <n v="2024"/>
    <s v="Q2"/>
    <n v="-1.6784155756965426E-2"/>
    <n v="628.9"/>
    <s v="Medium"/>
    <x v="0"/>
    <s v="Below Avg"/>
    <s v="Loss"/>
    <n v="403"/>
  </r>
  <r>
    <n v="95"/>
    <d v="2024-04-04T00:00:00"/>
    <n v="1003"/>
    <s v="Customer_94"/>
    <x v="0"/>
    <x v="2"/>
    <x v="1"/>
    <x v="3"/>
    <n v="4372"/>
    <n v="5"/>
    <n v="0.04"/>
    <n v="1771"/>
    <x v="0"/>
    <n v="20985.599999999999"/>
    <x v="3"/>
    <n v="2024"/>
    <s v="Q2"/>
    <n v="8.4391201585849354E-2"/>
    <n v="874.4"/>
    <s v="High"/>
    <x v="0"/>
    <s v="Above Avg"/>
    <s v="Profit"/>
    <n v="77"/>
  </r>
  <r>
    <n v="96"/>
    <d v="2024-04-05T00:00:00"/>
    <n v="1094"/>
    <s v="Customer_48"/>
    <x v="0"/>
    <x v="3"/>
    <x v="2"/>
    <x v="1"/>
    <n v="301"/>
    <n v="8"/>
    <n v="0.12"/>
    <n v="1297"/>
    <x v="0"/>
    <n v="2119.04"/>
    <x v="3"/>
    <n v="2024"/>
    <s v="Q2"/>
    <n v="0.61206961643008151"/>
    <n v="288.95999999999998"/>
    <s v="Medium"/>
    <x v="0"/>
    <s v="Below Avg"/>
    <s v="Profit"/>
    <n v="421"/>
  </r>
  <r>
    <n v="97"/>
    <d v="2024-04-06T00:00:00"/>
    <n v="1006"/>
    <s v="Customer_103"/>
    <x v="1"/>
    <x v="1"/>
    <x v="2"/>
    <x v="0"/>
    <n v="4572"/>
    <n v="9"/>
    <n v="0"/>
    <n v="519"/>
    <x v="0"/>
    <n v="41148"/>
    <x v="3"/>
    <n v="2024"/>
    <s v="Q2"/>
    <n v="1.2613006707494897E-2"/>
    <n v="0"/>
    <s v="High"/>
    <x v="0"/>
    <s v="Above Avg"/>
    <s v="Profit"/>
    <n v="1"/>
  </r>
  <r>
    <n v="98"/>
    <d v="2024-04-07T00:00:00"/>
    <n v="1009"/>
    <s v="Customer_41"/>
    <x v="0"/>
    <x v="0"/>
    <x v="0"/>
    <x v="0"/>
    <n v="3094"/>
    <n v="4"/>
    <n v="0.2"/>
    <n v="236"/>
    <x v="1"/>
    <n v="9900.7999999999993"/>
    <x v="3"/>
    <n v="2024"/>
    <s v="Q2"/>
    <n v="2.3836457659987074E-2"/>
    <n v="2475.2000000000003"/>
    <s v="High"/>
    <x v="0"/>
    <s v="Below Avg"/>
    <s v="Profit"/>
    <n v="203"/>
  </r>
  <r>
    <n v="99"/>
    <d v="2024-04-08T00:00:00"/>
    <n v="1087"/>
    <s v="Customer_123"/>
    <x v="0"/>
    <x v="2"/>
    <x v="0"/>
    <x v="0"/>
    <n v="4656"/>
    <n v="8"/>
    <n v="0.05"/>
    <n v="115"/>
    <x v="1"/>
    <n v="35385.599999999999"/>
    <x v="3"/>
    <n v="2024"/>
    <s v="Q2"/>
    <n v="3.2499095677337676E-3"/>
    <n v="1862.4"/>
    <s v="High"/>
    <x v="0"/>
    <s v="Above Avg"/>
    <s v="Profit"/>
    <n v="9"/>
  </r>
  <r>
    <n v="100"/>
    <d v="2024-04-09T00:00:00"/>
    <n v="1014"/>
    <s v="Customer_137"/>
    <x v="1"/>
    <x v="3"/>
    <x v="1"/>
    <x v="2"/>
    <n v="4815"/>
    <n v="8"/>
    <n v="0.12"/>
    <n v="271"/>
    <x v="0"/>
    <n v="33897.599999999999"/>
    <x v="3"/>
    <n v="2024"/>
    <s v="Q2"/>
    <n v="7.9946662890588126E-3"/>
    <n v="4622.3999999999996"/>
    <s v="High"/>
    <x v="0"/>
    <s v="Above Avg"/>
    <s v="Profit"/>
    <n v="14"/>
  </r>
  <r>
    <n v="101"/>
    <d v="2024-04-10T00:00:00"/>
    <n v="1083"/>
    <s v="Customer_176"/>
    <x v="0"/>
    <x v="0"/>
    <x v="2"/>
    <x v="3"/>
    <n v="4598"/>
    <n v="3"/>
    <n v="0.15"/>
    <n v="93"/>
    <x v="1"/>
    <n v="11724.9"/>
    <x v="3"/>
    <n v="2024"/>
    <s v="Q2"/>
    <n v="7.9318373717473072E-3"/>
    <n v="2069.1"/>
    <s v="High"/>
    <x v="0"/>
    <s v="Above Avg"/>
    <s v="Profit"/>
    <n v="177"/>
  </r>
  <r>
    <n v="102"/>
    <d v="2024-04-11T00:00:00"/>
    <n v="1070"/>
    <s v="Customer_182"/>
    <x v="0"/>
    <x v="1"/>
    <x v="0"/>
    <x v="2"/>
    <n v="4505"/>
    <n v="4"/>
    <n v="0.2"/>
    <n v="-150"/>
    <x v="0"/>
    <n v="14416"/>
    <x v="3"/>
    <n v="2024"/>
    <s v="Q2"/>
    <n v="-1.0405105438401776E-2"/>
    <n v="3604"/>
    <s v="High"/>
    <x v="0"/>
    <s v="Above Avg"/>
    <s v="Loss"/>
    <n v="144"/>
  </r>
  <r>
    <n v="103"/>
    <d v="2024-04-12T00:00:00"/>
    <n v="1012"/>
    <s v="Customer_23"/>
    <x v="0"/>
    <x v="1"/>
    <x v="0"/>
    <x v="3"/>
    <n v="3765"/>
    <n v="2"/>
    <n v="0.23"/>
    <n v="820"/>
    <x v="2"/>
    <n v="5798.1"/>
    <x v="3"/>
    <n v="2024"/>
    <s v="Q2"/>
    <n v="0.14142563943360756"/>
    <n v="1731.9"/>
    <s v="High"/>
    <x v="0"/>
    <s v="Below Avg"/>
    <s v="Profit"/>
    <n v="301"/>
  </r>
  <r>
    <n v="104"/>
    <d v="2024-04-13T00:00:00"/>
    <n v="1054"/>
    <s v="Customer_193"/>
    <x v="1"/>
    <x v="1"/>
    <x v="2"/>
    <x v="0"/>
    <n v="4195"/>
    <n v="5"/>
    <n v="0.21"/>
    <n v="-479"/>
    <x v="1"/>
    <n v="16570.25"/>
    <x v="3"/>
    <n v="2024"/>
    <s v="Q2"/>
    <n v="-2.8907228315806943E-2"/>
    <n v="4404.75"/>
    <s v="High"/>
    <x v="0"/>
    <s v="Above Avg"/>
    <s v="Loss"/>
    <n v="114"/>
  </r>
  <r>
    <n v="105"/>
    <d v="2024-04-14T00:00:00"/>
    <n v="1027"/>
    <s v="Customer_149"/>
    <x v="1"/>
    <x v="0"/>
    <x v="2"/>
    <x v="0"/>
    <n v="1628"/>
    <n v="6"/>
    <n v="0.17"/>
    <n v="1224"/>
    <x v="1"/>
    <n v="8107.44"/>
    <x v="3"/>
    <n v="2024"/>
    <s v="Q2"/>
    <n v="0.15097244012906663"/>
    <n v="1660.5600000000002"/>
    <s v="High"/>
    <x v="0"/>
    <s v="Below Avg"/>
    <s v="Profit"/>
    <n v="248"/>
  </r>
  <r>
    <n v="106"/>
    <d v="2024-04-15T00:00:00"/>
    <n v="1038"/>
    <s v="Customer_160"/>
    <x v="1"/>
    <x v="3"/>
    <x v="1"/>
    <x v="0"/>
    <n v="759"/>
    <n v="6"/>
    <n v="0.16"/>
    <n v="879"/>
    <x v="0"/>
    <n v="3825.3599999999901"/>
    <x v="3"/>
    <n v="2024"/>
    <s v="Q2"/>
    <n v="0.22978229499968689"/>
    <n v="728.64"/>
    <s v="Medium"/>
    <x v="0"/>
    <s v="Below Avg"/>
    <s v="Profit"/>
    <n v="363"/>
  </r>
  <r>
    <n v="107"/>
    <d v="2024-04-16T00:00:00"/>
    <n v="1017"/>
    <s v="Customer_109"/>
    <x v="0"/>
    <x v="1"/>
    <x v="0"/>
    <x v="2"/>
    <n v="101"/>
    <n v="2"/>
    <n v="0.26"/>
    <n v="1747"/>
    <x v="2"/>
    <n v="149.47999999999999"/>
    <x v="3"/>
    <n v="2024"/>
    <s v="Q2"/>
    <n v="11.687182231736688"/>
    <n v="52.52"/>
    <s v="Low"/>
    <x v="0"/>
    <s v="Below Avg"/>
    <s v="Profit"/>
    <n v="500"/>
  </r>
  <r>
    <n v="108"/>
    <d v="2024-04-17T00:00:00"/>
    <n v="1061"/>
    <s v="Customer_154"/>
    <x v="1"/>
    <x v="1"/>
    <x v="2"/>
    <x v="0"/>
    <n v="608"/>
    <n v="4"/>
    <n v="0.26"/>
    <n v="1152"/>
    <x v="0"/>
    <n v="1799.68"/>
    <x v="3"/>
    <n v="2024"/>
    <s v="Q2"/>
    <n v="0.64011379800853485"/>
    <n v="632.32000000000005"/>
    <s v="Low"/>
    <x v="0"/>
    <s v="Below Avg"/>
    <s v="Profit"/>
    <n v="441"/>
  </r>
  <r>
    <n v="109"/>
    <d v="2024-04-18T00:00:00"/>
    <n v="1074"/>
    <s v="Customer_33"/>
    <x v="0"/>
    <x v="2"/>
    <x v="1"/>
    <x v="0"/>
    <n v="239"/>
    <n v="2"/>
    <n v="0.02"/>
    <n v="1292"/>
    <x v="2"/>
    <n v="468.44"/>
    <x v="3"/>
    <n v="2024"/>
    <s v="Q2"/>
    <n v="2.7580906839723336"/>
    <n v="9.56"/>
    <s v="Low"/>
    <x v="0"/>
    <s v="Below Avg"/>
    <s v="Profit"/>
    <n v="492"/>
  </r>
  <r>
    <n v="110"/>
    <d v="2024-04-19T00:00:00"/>
    <n v="1099"/>
    <s v="Customer_188"/>
    <x v="1"/>
    <x v="3"/>
    <x v="2"/>
    <x v="2"/>
    <n v="3354"/>
    <n v="5"/>
    <n v="0.08"/>
    <n v="556"/>
    <x v="1"/>
    <n v="15428.4"/>
    <x v="3"/>
    <n v="2024"/>
    <s v="Q2"/>
    <n v="3.603743745300874E-2"/>
    <n v="1341.6000000000001"/>
    <s v="High"/>
    <x v="0"/>
    <s v="Above Avg"/>
    <s v="Profit"/>
    <n v="136"/>
  </r>
  <r>
    <n v="111"/>
    <d v="2024-04-20T00:00:00"/>
    <n v="1099"/>
    <s v="Customer_137"/>
    <x v="1"/>
    <x v="1"/>
    <x v="2"/>
    <x v="0"/>
    <n v="3754"/>
    <n v="2"/>
    <n v="0.28000000000000003"/>
    <n v="853"/>
    <x v="1"/>
    <n v="5405.76"/>
    <x v="3"/>
    <n v="2024"/>
    <s v="Q2"/>
    <n v="0.15779464867104717"/>
    <n v="2102.2400000000002"/>
    <s v="High"/>
    <x v="0"/>
    <s v="Below Avg"/>
    <s v="Profit"/>
    <n v="312"/>
  </r>
  <r>
    <n v="112"/>
    <d v="2024-04-21T00:00:00"/>
    <n v="1065"/>
    <s v="Customer_81"/>
    <x v="0"/>
    <x v="3"/>
    <x v="1"/>
    <x v="0"/>
    <n v="1685"/>
    <n v="9"/>
    <n v="0.18"/>
    <n v="1489"/>
    <x v="2"/>
    <n v="12435.3"/>
    <x v="3"/>
    <n v="2024"/>
    <s v="Q2"/>
    <n v="0.11973977306538645"/>
    <n v="2729.7"/>
    <s v="High"/>
    <x v="0"/>
    <s v="Above Avg"/>
    <s v="Profit"/>
    <n v="163"/>
  </r>
  <r>
    <n v="113"/>
    <d v="2024-04-22T00:00:00"/>
    <n v="1047"/>
    <s v="Customer_70"/>
    <x v="1"/>
    <x v="1"/>
    <x v="2"/>
    <x v="2"/>
    <n v="4837"/>
    <n v="1"/>
    <n v="0.04"/>
    <n v="216"/>
    <x v="1"/>
    <n v="4643.5199999999904"/>
    <x v="3"/>
    <n v="2024"/>
    <s v="Q2"/>
    <n v="4.6516435807318679E-2"/>
    <n v="193.48000000000002"/>
    <s v="Medium"/>
    <x v="0"/>
    <s v="Below Avg"/>
    <s v="Profit"/>
    <n v="334"/>
  </r>
  <r>
    <n v="114"/>
    <d v="2024-04-23T00:00:00"/>
    <n v="1016"/>
    <s v="Customer_174"/>
    <x v="1"/>
    <x v="0"/>
    <x v="0"/>
    <x v="1"/>
    <n v="327"/>
    <n v="6"/>
    <n v="0.02"/>
    <n v="-476"/>
    <x v="0"/>
    <n v="1922.76"/>
    <x v="3"/>
    <n v="2024"/>
    <s v="Q2"/>
    <n v="-0.24756079801951361"/>
    <n v="39.24"/>
    <s v="Low"/>
    <x v="0"/>
    <s v="Below Avg"/>
    <s v="Loss"/>
    <n v="435"/>
  </r>
  <r>
    <n v="115"/>
    <d v="2024-04-24T00:00:00"/>
    <n v="1005"/>
    <s v="Customer_7"/>
    <x v="1"/>
    <x v="1"/>
    <x v="1"/>
    <x v="3"/>
    <n v="2697"/>
    <n v="9"/>
    <n v="0.03"/>
    <n v="196"/>
    <x v="1"/>
    <n v="23544.809999999899"/>
    <x v="3"/>
    <n v="2024"/>
    <s v="Q2"/>
    <n v="8.324552204923329E-3"/>
    <n v="728.18999999999994"/>
    <s v="High"/>
    <x v="0"/>
    <s v="Above Avg"/>
    <s v="Profit"/>
    <n v="56"/>
  </r>
  <r>
    <n v="116"/>
    <d v="2024-04-25T00:00:00"/>
    <n v="1086"/>
    <s v="Customer_128"/>
    <x v="0"/>
    <x v="2"/>
    <x v="1"/>
    <x v="0"/>
    <n v="2905"/>
    <n v="3"/>
    <n v="0.23"/>
    <n v="1412"/>
    <x v="1"/>
    <n v="6710.55"/>
    <x v="3"/>
    <n v="2024"/>
    <s v="Q2"/>
    <n v="0.21041494363353228"/>
    <n v="2004.45"/>
    <s v="High"/>
    <x v="0"/>
    <s v="Below Avg"/>
    <s v="Profit"/>
    <n v="283"/>
  </r>
  <r>
    <n v="117"/>
    <d v="2024-04-26T00:00:00"/>
    <n v="1046"/>
    <s v="Customer_7"/>
    <x v="1"/>
    <x v="1"/>
    <x v="2"/>
    <x v="0"/>
    <n v="4460"/>
    <n v="9"/>
    <n v="7.0000000000000007E-2"/>
    <n v="683"/>
    <x v="0"/>
    <n v="37330.199999999997"/>
    <x v="3"/>
    <n v="2024"/>
    <s v="Q2"/>
    <n v="1.8296178429261029E-2"/>
    <n v="2809.8"/>
    <s v="High"/>
    <x v="0"/>
    <s v="Above Avg"/>
    <s v="Profit"/>
    <n v="6"/>
  </r>
  <r>
    <n v="118"/>
    <d v="2024-04-27T00:00:00"/>
    <n v="1015"/>
    <s v="Customer_121"/>
    <x v="0"/>
    <x v="1"/>
    <x v="1"/>
    <x v="2"/>
    <n v="3646"/>
    <n v="2"/>
    <n v="7.0000000000000007E-2"/>
    <n v="1559"/>
    <x v="2"/>
    <n v="6781.5599999999904"/>
    <x v="3"/>
    <n v="2024"/>
    <s v="Q2"/>
    <n v="0.22988810834085405"/>
    <n v="510.44000000000005"/>
    <s v="High"/>
    <x v="0"/>
    <s v="Below Avg"/>
    <s v="Profit"/>
    <n v="278"/>
  </r>
  <r>
    <n v="119"/>
    <d v="2024-04-28T00:00:00"/>
    <n v="1059"/>
    <s v="Customer_197"/>
    <x v="1"/>
    <x v="2"/>
    <x v="2"/>
    <x v="1"/>
    <n v="3772"/>
    <n v="2"/>
    <n v="0.04"/>
    <n v="189"/>
    <x v="1"/>
    <n v="7242.24"/>
    <x v="3"/>
    <n v="2024"/>
    <s v="Q2"/>
    <n v="2.6096898197242844E-2"/>
    <n v="301.76"/>
    <s v="High"/>
    <x v="0"/>
    <s v="Below Avg"/>
    <s v="Profit"/>
    <n v="270"/>
  </r>
  <r>
    <n v="120"/>
    <d v="2024-04-29T00:00:00"/>
    <n v="1040"/>
    <s v="Customer_161"/>
    <x v="1"/>
    <x v="1"/>
    <x v="1"/>
    <x v="2"/>
    <n v="4990"/>
    <n v="2"/>
    <n v="0.18"/>
    <n v="829"/>
    <x v="0"/>
    <n v="8183.6"/>
    <x v="3"/>
    <n v="2024"/>
    <s v="Q2"/>
    <n v="0.10130016129820617"/>
    <n v="1796.3999999999999"/>
    <s v="High"/>
    <x v="0"/>
    <s v="Below Avg"/>
    <s v="Profit"/>
    <n v="245"/>
  </r>
  <r>
    <n v="121"/>
    <d v="2024-04-30T00:00:00"/>
    <n v="1025"/>
    <s v="Customer_114"/>
    <x v="1"/>
    <x v="0"/>
    <x v="1"/>
    <x v="1"/>
    <n v="4660"/>
    <n v="3"/>
    <n v="0.15"/>
    <n v="697"/>
    <x v="0"/>
    <n v="11883"/>
    <x v="3"/>
    <n v="2024"/>
    <s v="Q2"/>
    <n v="5.8655221745350504E-2"/>
    <n v="2097"/>
    <s v="High"/>
    <x v="0"/>
    <s v="Above Avg"/>
    <s v="Profit"/>
    <n v="170"/>
  </r>
  <r>
    <n v="122"/>
    <d v="2024-05-01T00:00:00"/>
    <n v="1045"/>
    <s v="Customer_138"/>
    <x v="1"/>
    <x v="1"/>
    <x v="2"/>
    <x v="2"/>
    <n v="2622"/>
    <n v="4"/>
    <n v="0.08"/>
    <n v="-69"/>
    <x v="2"/>
    <n v="9648.9599999999991"/>
    <x v="4"/>
    <n v="2024"/>
    <s v="Q2"/>
    <n v="-7.1510297482837533E-3"/>
    <n v="839.04"/>
    <s v="High"/>
    <x v="0"/>
    <s v="Below Avg"/>
    <s v="Loss"/>
    <n v="210"/>
  </r>
  <r>
    <n v="123"/>
    <d v="2024-05-02T00:00:00"/>
    <n v="1049"/>
    <s v="Customer_104"/>
    <x v="0"/>
    <x v="2"/>
    <x v="2"/>
    <x v="2"/>
    <n v="438"/>
    <n v="3"/>
    <n v="0.2"/>
    <n v="1254"/>
    <x v="0"/>
    <n v="1051.2"/>
    <x v="4"/>
    <n v="2024"/>
    <s v="Q2"/>
    <n v="1.1929223744292237"/>
    <n v="262.8"/>
    <s v="Low"/>
    <x v="0"/>
    <s v="Below Avg"/>
    <s v="Profit"/>
    <n v="478"/>
  </r>
  <r>
    <n v="124"/>
    <d v="2024-05-03T00:00:00"/>
    <n v="1000"/>
    <s v="Customer_28"/>
    <x v="0"/>
    <x v="1"/>
    <x v="1"/>
    <x v="1"/>
    <n v="918"/>
    <n v="6"/>
    <n v="0.23"/>
    <n v="-299"/>
    <x v="0"/>
    <n v="4241.16"/>
    <x v="4"/>
    <n v="2024"/>
    <s v="Q2"/>
    <n v="-7.0499580303501869E-2"/>
    <n v="1266.8400000000001"/>
    <s v="Medium"/>
    <x v="0"/>
    <s v="Below Avg"/>
    <s v="Loss"/>
    <n v="344"/>
  </r>
  <r>
    <n v="125"/>
    <d v="2024-05-04T00:00:00"/>
    <n v="1035"/>
    <s v="Customer_175"/>
    <x v="1"/>
    <x v="2"/>
    <x v="2"/>
    <x v="1"/>
    <n v="2666"/>
    <n v="6"/>
    <n v="0.28999999999999998"/>
    <n v="1830"/>
    <x v="1"/>
    <n v="11357.16"/>
    <x v="4"/>
    <n v="2024"/>
    <s v="Q2"/>
    <n v="0.16113183225383812"/>
    <n v="4638.8399999999992"/>
    <s v="High"/>
    <x v="0"/>
    <s v="Above Avg"/>
    <s v="Profit"/>
    <n v="184"/>
  </r>
  <r>
    <n v="126"/>
    <d v="2024-05-05T00:00:00"/>
    <n v="1029"/>
    <s v="Customer_46"/>
    <x v="0"/>
    <x v="3"/>
    <x v="0"/>
    <x v="3"/>
    <n v="3817"/>
    <n v="5"/>
    <n v="0.14000000000000001"/>
    <n v="381"/>
    <x v="2"/>
    <n v="16413.099999999999"/>
    <x v="4"/>
    <n v="2024"/>
    <s v="Q2"/>
    <n v="2.3213165093736103E-2"/>
    <n v="2671.9"/>
    <s v="High"/>
    <x v="0"/>
    <s v="Above Avg"/>
    <s v="Profit"/>
    <n v="117"/>
  </r>
  <r>
    <n v="127"/>
    <d v="2024-05-06T00:00:00"/>
    <n v="1001"/>
    <s v="Customer_22"/>
    <x v="0"/>
    <x v="2"/>
    <x v="2"/>
    <x v="2"/>
    <n v="3162"/>
    <n v="2"/>
    <n v="0.12"/>
    <n v="1730"/>
    <x v="0"/>
    <n v="5565.12"/>
    <x v="4"/>
    <n v="2024"/>
    <s v="Q2"/>
    <n v="0.31086481513426484"/>
    <n v="758.88"/>
    <s v="High"/>
    <x v="0"/>
    <s v="Below Avg"/>
    <s v="Profit"/>
    <n v="306"/>
  </r>
  <r>
    <n v="128"/>
    <d v="2024-05-07T00:00:00"/>
    <n v="1083"/>
    <s v="Customer_21"/>
    <x v="1"/>
    <x v="2"/>
    <x v="2"/>
    <x v="0"/>
    <n v="1353"/>
    <n v="4"/>
    <n v="0.09"/>
    <n v="558"/>
    <x v="1"/>
    <n v="4924.92"/>
    <x v="4"/>
    <n v="2024"/>
    <s v="Q2"/>
    <n v="0.11330133281352793"/>
    <n v="487.08"/>
    <s v="Medium"/>
    <x v="0"/>
    <s v="Below Avg"/>
    <s v="Profit"/>
    <n v="325"/>
  </r>
  <r>
    <n v="129"/>
    <d v="2024-05-08T00:00:00"/>
    <n v="1068"/>
    <s v="Customer_111"/>
    <x v="0"/>
    <x v="0"/>
    <x v="0"/>
    <x v="0"/>
    <n v="3250"/>
    <n v="7"/>
    <n v="0.24"/>
    <n v="170"/>
    <x v="2"/>
    <n v="17290"/>
    <x v="4"/>
    <n v="2024"/>
    <s v="Q2"/>
    <n v="9.8322729901677269E-3"/>
    <n v="5460"/>
    <s v="High"/>
    <x v="0"/>
    <s v="Above Avg"/>
    <s v="Profit"/>
    <n v="103"/>
  </r>
  <r>
    <n v="130"/>
    <d v="2024-05-09T00:00:00"/>
    <n v="1030"/>
    <s v="Customer_184"/>
    <x v="1"/>
    <x v="1"/>
    <x v="2"/>
    <x v="1"/>
    <n v="2350"/>
    <n v="8"/>
    <n v="0.28999999999999998"/>
    <n v="188"/>
    <x v="1"/>
    <n v="13348"/>
    <x v="4"/>
    <n v="2024"/>
    <s v="Q2"/>
    <n v="1.4084507042253521E-2"/>
    <n v="5452"/>
    <s v="High"/>
    <x v="0"/>
    <s v="Above Avg"/>
    <s v="Profit"/>
    <n v="155"/>
  </r>
  <r>
    <n v="131"/>
    <d v="2024-05-10T00:00:00"/>
    <n v="1007"/>
    <s v="Customer_32"/>
    <x v="0"/>
    <x v="0"/>
    <x v="0"/>
    <x v="3"/>
    <n v="4420"/>
    <n v="9"/>
    <n v="0.18"/>
    <n v="-333"/>
    <x v="0"/>
    <n v="32619.599999999999"/>
    <x v="4"/>
    <n v="2024"/>
    <s v="Q2"/>
    <n v="-1.0208586248758415E-2"/>
    <n v="7160.4"/>
    <s v="High"/>
    <x v="0"/>
    <s v="Above Avg"/>
    <s v="Loss"/>
    <n v="18"/>
  </r>
  <r>
    <n v="132"/>
    <d v="2024-05-11T00:00:00"/>
    <n v="1093"/>
    <s v="Customer_160"/>
    <x v="0"/>
    <x v="3"/>
    <x v="2"/>
    <x v="2"/>
    <n v="3715"/>
    <n v="2"/>
    <n v="0.19"/>
    <n v="931"/>
    <x v="2"/>
    <n v="6018.3"/>
    <x v="4"/>
    <n v="2024"/>
    <s v="Q2"/>
    <n v="0.15469484738215111"/>
    <n v="1411.7"/>
    <s v="High"/>
    <x v="0"/>
    <s v="Below Avg"/>
    <s v="Profit"/>
    <n v="296"/>
  </r>
  <r>
    <n v="133"/>
    <d v="2024-05-12T00:00:00"/>
    <n v="1060"/>
    <s v="Customer_115"/>
    <x v="1"/>
    <x v="1"/>
    <x v="1"/>
    <x v="3"/>
    <n v="1879"/>
    <n v="9"/>
    <n v="0.21"/>
    <n v="738"/>
    <x v="0"/>
    <n v="13359.69"/>
    <x v="4"/>
    <n v="2024"/>
    <s v="Q2"/>
    <n v="5.5240802743177421E-2"/>
    <n v="3551.31"/>
    <s v="High"/>
    <x v="0"/>
    <s v="Above Avg"/>
    <s v="Profit"/>
    <n v="154"/>
  </r>
  <r>
    <n v="134"/>
    <d v="2024-05-13T00:00:00"/>
    <n v="1065"/>
    <s v="Customer_164"/>
    <x v="0"/>
    <x v="0"/>
    <x v="0"/>
    <x v="1"/>
    <n v="1391"/>
    <n v="7"/>
    <n v="0.13"/>
    <n v="1496"/>
    <x v="2"/>
    <n v="8471.19"/>
    <x v="4"/>
    <n v="2024"/>
    <s v="Q2"/>
    <n v="0.17659856525470446"/>
    <n v="1265.81"/>
    <s v="High"/>
    <x v="0"/>
    <s v="Below Avg"/>
    <s v="Profit"/>
    <n v="239"/>
  </r>
  <r>
    <n v="135"/>
    <d v="2024-05-14T00:00:00"/>
    <n v="1076"/>
    <s v="Customer_159"/>
    <x v="0"/>
    <x v="1"/>
    <x v="2"/>
    <x v="1"/>
    <n v="778"/>
    <n v="7"/>
    <n v="7.0000000000000007E-2"/>
    <n v="1345"/>
    <x v="0"/>
    <n v="5064.78"/>
    <x v="4"/>
    <n v="2024"/>
    <s v="Q2"/>
    <n v="0.26555941225482649"/>
    <n v="381.22"/>
    <s v="High"/>
    <x v="0"/>
    <s v="Below Avg"/>
    <s v="Profit"/>
    <n v="321"/>
  </r>
  <r>
    <n v="136"/>
    <d v="2024-05-15T00:00:00"/>
    <n v="1067"/>
    <s v="Customer_70"/>
    <x v="0"/>
    <x v="1"/>
    <x v="0"/>
    <x v="1"/>
    <n v="2652"/>
    <n v="1"/>
    <n v="0.08"/>
    <n v="-241"/>
    <x v="1"/>
    <n v="2439.84"/>
    <x v="4"/>
    <n v="2024"/>
    <s v="Q2"/>
    <n v="-9.8776968981572552E-2"/>
    <n v="212.16"/>
    <s v="Medium"/>
    <x v="0"/>
    <s v="Below Avg"/>
    <s v="Loss"/>
    <n v="412"/>
  </r>
  <r>
    <n v="137"/>
    <d v="2024-05-16T00:00:00"/>
    <n v="1044"/>
    <s v="Customer_54"/>
    <x v="1"/>
    <x v="1"/>
    <x v="1"/>
    <x v="3"/>
    <n v="3324"/>
    <n v="8"/>
    <n v="0.19"/>
    <n v="1450"/>
    <x v="0"/>
    <n v="21539.52"/>
    <x v="4"/>
    <n v="2024"/>
    <s v="Q2"/>
    <n v="6.731812036665627E-2"/>
    <n v="5052.4800000000005"/>
    <s v="High"/>
    <x v="0"/>
    <s v="Above Avg"/>
    <s v="Profit"/>
    <n v="71"/>
  </r>
  <r>
    <n v="138"/>
    <d v="2024-05-17T00:00:00"/>
    <n v="1051"/>
    <s v="Customer_21"/>
    <x v="1"/>
    <x v="0"/>
    <x v="0"/>
    <x v="0"/>
    <n v="314"/>
    <n v="3"/>
    <n v="0.19"/>
    <n v="1084"/>
    <x v="2"/>
    <n v="763.02"/>
    <x v="4"/>
    <n v="2024"/>
    <s v="Q2"/>
    <n v="1.4206704935650443"/>
    <n v="178.98"/>
    <s v="Low"/>
    <x v="0"/>
    <s v="Below Avg"/>
    <s v="Profit"/>
    <n v="482"/>
  </r>
  <r>
    <n v="139"/>
    <d v="2024-05-18T00:00:00"/>
    <n v="1007"/>
    <s v="Customer_35"/>
    <x v="0"/>
    <x v="1"/>
    <x v="1"/>
    <x v="0"/>
    <n v="1085"/>
    <n v="4"/>
    <n v="0.14000000000000001"/>
    <n v="1745"/>
    <x v="1"/>
    <n v="3732.4"/>
    <x v="4"/>
    <n v="2024"/>
    <s v="Q2"/>
    <n v="0.46752759618476047"/>
    <n v="607.6"/>
    <s v="Medium"/>
    <x v="0"/>
    <s v="Below Avg"/>
    <s v="Profit"/>
    <n v="366"/>
  </r>
  <r>
    <n v="140"/>
    <d v="2024-05-19T00:00:00"/>
    <n v="1088"/>
    <s v="Customer_23"/>
    <x v="1"/>
    <x v="3"/>
    <x v="2"/>
    <x v="0"/>
    <n v="3383"/>
    <n v="4"/>
    <n v="0.01"/>
    <n v="1826"/>
    <x v="2"/>
    <n v="13396.68"/>
    <x v="4"/>
    <n v="2024"/>
    <s v="Q2"/>
    <n v="0.13630242716852234"/>
    <n v="135.32"/>
    <s v="High"/>
    <x v="0"/>
    <s v="Above Avg"/>
    <s v="Profit"/>
    <n v="153"/>
  </r>
  <r>
    <n v="141"/>
    <d v="2024-05-20T00:00:00"/>
    <n v="1070"/>
    <s v="Customer_170"/>
    <x v="0"/>
    <x v="0"/>
    <x v="1"/>
    <x v="3"/>
    <n v="4806"/>
    <n v="2"/>
    <n v="0.26"/>
    <n v="126"/>
    <x v="0"/>
    <n v="7112.88"/>
    <x v="4"/>
    <n v="2024"/>
    <s v="Q2"/>
    <n v="1.7714343557040185E-2"/>
    <n v="2499.12"/>
    <s v="High"/>
    <x v="0"/>
    <s v="Below Avg"/>
    <s v="Profit"/>
    <n v="273"/>
  </r>
  <r>
    <n v="142"/>
    <d v="2024-05-21T00:00:00"/>
    <n v="1013"/>
    <s v="Customer_24"/>
    <x v="1"/>
    <x v="2"/>
    <x v="0"/>
    <x v="2"/>
    <n v="2445"/>
    <n v="3"/>
    <n v="7.0000000000000007E-2"/>
    <n v="834"/>
    <x v="2"/>
    <n v="6821.5499999999902"/>
    <x v="4"/>
    <n v="2024"/>
    <s v="Q2"/>
    <n v="0.12225960375574484"/>
    <n v="513.45000000000005"/>
    <s v="High"/>
    <x v="0"/>
    <s v="Below Avg"/>
    <s v="Profit"/>
    <n v="277"/>
  </r>
  <r>
    <n v="143"/>
    <d v="2024-05-22T00:00:00"/>
    <n v="1028"/>
    <s v="Customer_94"/>
    <x v="0"/>
    <x v="3"/>
    <x v="2"/>
    <x v="3"/>
    <n v="4838"/>
    <n v="5"/>
    <n v="0.17"/>
    <n v="-431"/>
    <x v="0"/>
    <n v="20077.7"/>
    <x v="4"/>
    <n v="2024"/>
    <s v="Q2"/>
    <n v="-2.1466602250257746E-2"/>
    <n v="4112.3"/>
    <s v="High"/>
    <x v="0"/>
    <s v="Above Avg"/>
    <s v="Loss"/>
    <n v="79"/>
  </r>
  <r>
    <n v="144"/>
    <d v="2024-05-23T00:00:00"/>
    <n v="1063"/>
    <s v="Customer_74"/>
    <x v="0"/>
    <x v="2"/>
    <x v="2"/>
    <x v="0"/>
    <n v="3533"/>
    <n v="3"/>
    <n v="0.22"/>
    <n v="1071"/>
    <x v="0"/>
    <n v="8267.2199999999993"/>
    <x v="4"/>
    <n v="2024"/>
    <s v="Q2"/>
    <n v="0.1295477802695465"/>
    <n v="2331.7800000000002"/>
    <s v="High"/>
    <x v="0"/>
    <s v="Below Avg"/>
    <s v="Profit"/>
    <n v="242"/>
  </r>
  <r>
    <n v="145"/>
    <d v="2024-05-24T00:00:00"/>
    <n v="1084"/>
    <s v="Customer_69"/>
    <x v="1"/>
    <x v="2"/>
    <x v="2"/>
    <x v="1"/>
    <n v="3727"/>
    <n v="5"/>
    <n v="0.06"/>
    <n v="1304"/>
    <x v="2"/>
    <n v="17516.8999999999"/>
    <x v="4"/>
    <n v="2024"/>
    <s v="Q2"/>
    <n v="7.4442395629364069E-2"/>
    <n v="1118.0999999999999"/>
    <s v="High"/>
    <x v="0"/>
    <s v="Above Avg"/>
    <s v="Profit"/>
    <n v="97"/>
  </r>
  <r>
    <n v="146"/>
    <d v="2024-05-25T00:00:00"/>
    <n v="1036"/>
    <s v="Customer_127"/>
    <x v="0"/>
    <x v="3"/>
    <x v="1"/>
    <x v="1"/>
    <n v="3173"/>
    <n v="8"/>
    <n v="0.14000000000000001"/>
    <n v="1176"/>
    <x v="1"/>
    <n v="21830.2399999999"/>
    <x v="4"/>
    <n v="2024"/>
    <s v="Q2"/>
    <n v="5.3870227720813214E-2"/>
    <n v="3553.76"/>
    <s v="High"/>
    <x v="0"/>
    <s v="Above Avg"/>
    <s v="Profit"/>
    <n v="69"/>
  </r>
  <r>
    <n v="147"/>
    <d v="2024-05-26T00:00:00"/>
    <n v="1096"/>
    <s v="Customer_125"/>
    <x v="0"/>
    <x v="1"/>
    <x v="2"/>
    <x v="0"/>
    <n v="4473"/>
    <n v="8"/>
    <n v="0"/>
    <n v="126"/>
    <x v="1"/>
    <n v="35784"/>
    <x v="4"/>
    <n v="2024"/>
    <s v="Q2"/>
    <n v="3.5211267605633804E-3"/>
    <n v="0"/>
    <s v="High"/>
    <x v="0"/>
    <s v="Above Avg"/>
    <s v="Profit"/>
    <n v="8"/>
  </r>
  <r>
    <n v="148"/>
    <d v="2024-05-27T00:00:00"/>
    <n v="1040"/>
    <s v="Customer_170"/>
    <x v="0"/>
    <x v="3"/>
    <x v="1"/>
    <x v="2"/>
    <n v="3339"/>
    <n v="3"/>
    <n v="0.01"/>
    <n v="-386"/>
    <x v="1"/>
    <n v="9916.83"/>
    <x v="4"/>
    <n v="2024"/>
    <s v="Q2"/>
    <n v="-3.8923728651191966E-2"/>
    <n v="100.17"/>
    <s v="High"/>
    <x v="0"/>
    <s v="Below Avg"/>
    <s v="Loss"/>
    <n v="202"/>
  </r>
  <r>
    <n v="149"/>
    <d v="2024-05-28T00:00:00"/>
    <n v="1088"/>
    <s v="Customer_158"/>
    <x v="1"/>
    <x v="0"/>
    <x v="1"/>
    <x v="1"/>
    <n v="1472"/>
    <n v="5"/>
    <n v="0.08"/>
    <n v="788"/>
    <x v="0"/>
    <n v="6771.2"/>
    <x v="4"/>
    <n v="2024"/>
    <s v="Q2"/>
    <n v="0.11637523629489603"/>
    <n v="588.80000000000007"/>
    <s v="High"/>
    <x v="0"/>
    <s v="Below Avg"/>
    <s v="Profit"/>
    <n v="279"/>
  </r>
  <r>
    <n v="150"/>
    <d v="2024-05-29T00:00:00"/>
    <n v="1063"/>
    <s v="Customer_199"/>
    <x v="1"/>
    <x v="1"/>
    <x v="1"/>
    <x v="2"/>
    <n v="2138"/>
    <n v="1"/>
    <n v="0.2"/>
    <n v="725"/>
    <x v="1"/>
    <n v="1710.4"/>
    <x v="4"/>
    <n v="2024"/>
    <s v="Q2"/>
    <n v="0.42387745556594947"/>
    <n v="427.6"/>
    <s v="Low"/>
    <x v="0"/>
    <s v="Below Avg"/>
    <s v="Profit"/>
    <n v="446"/>
  </r>
  <r>
    <n v="151"/>
    <d v="2024-05-30T00:00:00"/>
    <n v="1058"/>
    <s v="Customer_134"/>
    <x v="0"/>
    <x v="1"/>
    <x v="2"/>
    <x v="1"/>
    <n v="4818"/>
    <n v="7"/>
    <n v="0.27"/>
    <n v="841"/>
    <x v="1"/>
    <n v="24619.98"/>
    <x v="4"/>
    <n v="2024"/>
    <s v="Q2"/>
    <n v="3.4159247895408529E-2"/>
    <n v="9106.02"/>
    <s v="High"/>
    <x v="0"/>
    <s v="Above Avg"/>
    <s v="Profit"/>
    <n v="44"/>
  </r>
  <r>
    <n v="152"/>
    <d v="2024-05-31T00:00:00"/>
    <n v="1077"/>
    <s v="Customer_52"/>
    <x v="0"/>
    <x v="2"/>
    <x v="0"/>
    <x v="0"/>
    <n v="3953"/>
    <n v="3"/>
    <n v="0.13"/>
    <n v="1405"/>
    <x v="2"/>
    <n v="10317.33"/>
    <x v="4"/>
    <n v="2024"/>
    <s v="Q2"/>
    <n v="0.13617864311793845"/>
    <n v="1541.67"/>
    <s v="High"/>
    <x v="0"/>
    <s v="Below Avg"/>
    <s v="Profit"/>
    <n v="197"/>
  </r>
  <r>
    <n v="153"/>
    <d v="2024-06-01T00:00:00"/>
    <n v="1008"/>
    <s v="Customer_82"/>
    <x v="1"/>
    <x v="3"/>
    <x v="2"/>
    <x v="3"/>
    <n v="3443"/>
    <n v="7"/>
    <n v="0.01"/>
    <n v="1505"/>
    <x v="1"/>
    <n v="23859.99"/>
    <x v="5"/>
    <n v="2024"/>
    <s v="Q2"/>
    <n v="6.3076304726028806E-2"/>
    <n v="241.01"/>
    <s v="High"/>
    <x v="0"/>
    <s v="Above Avg"/>
    <s v="Profit"/>
    <n v="52"/>
  </r>
  <r>
    <n v="154"/>
    <d v="2024-06-02T00:00:00"/>
    <n v="1078"/>
    <s v="Customer_154"/>
    <x v="0"/>
    <x v="1"/>
    <x v="2"/>
    <x v="3"/>
    <n v="4783"/>
    <n v="8"/>
    <n v="0.09"/>
    <n v="605"/>
    <x v="2"/>
    <n v="34820.239999999998"/>
    <x v="5"/>
    <n v="2024"/>
    <s v="Q2"/>
    <n v="1.7374952039388585E-2"/>
    <n v="3443.7599999999998"/>
    <s v="High"/>
    <x v="0"/>
    <s v="Above Avg"/>
    <s v="Profit"/>
    <n v="12"/>
  </r>
  <r>
    <n v="155"/>
    <d v="2024-06-03T00:00:00"/>
    <n v="1006"/>
    <s v="Customer_100"/>
    <x v="0"/>
    <x v="0"/>
    <x v="2"/>
    <x v="2"/>
    <n v="4252"/>
    <n v="7"/>
    <n v="0.28999999999999998"/>
    <n v="-483"/>
    <x v="1"/>
    <n v="21132.44"/>
    <x v="5"/>
    <n v="2024"/>
    <s v="Q2"/>
    <n v="-2.2855855736488549E-2"/>
    <n v="8631.56"/>
    <s v="High"/>
    <x v="0"/>
    <s v="Above Avg"/>
    <s v="Loss"/>
    <n v="74"/>
  </r>
  <r>
    <n v="156"/>
    <d v="2024-06-04T00:00:00"/>
    <n v="1065"/>
    <s v="Customer_41"/>
    <x v="1"/>
    <x v="0"/>
    <x v="2"/>
    <x v="0"/>
    <n v="1868"/>
    <n v="5"/>
    <n v="0.03"/>
    <n v="200"/>
    <x v="1"/>
    <n v="9059.7999999999993"/>
    <x v="5"/>
    <n v="2024"/>
    <s v="Q2"/>
    <n v="2.2075542506457099E-2"/>
    <n v="280.2"/>
    <s v="High"/>
    <x v="0"/>
    <s v="Below Avg"/>
    <s v="Profit"/>
    <n v="230"/>
  </r>
  <r>
    <n v="157"/>
    <d v="2024-06-05T00:00:00"/>
    <n v="1094"/>
    <s v="Customer_196"/>
    <x v="0"/>
    <x v="1"/>
    <x v="1"/>
    <x v="1"/>
    <n v="138"/>
    <n v="9"/>
    <n v="0.23"/>
    <n v="486"/>
    <x v="2"/>
    <n v="956.34"/>
    <x v="5"/>
    <n v="2024"/>
    <s v="Q2"/>
    <n v="0.50818746470920384"/>
    <n v="285.66000000000003"/>
    <s v="Low"/>
    <x v="0"/>
    <s v="Below Avg"/>
    <s v="Profit"/>
    <n v="481"/>
  </r>
  <r>
    <n v="158"/>
    <d v="2024-06-06T00:00:00"/>
    <n v="1070"/>
    <s v="Customer_182"/>
    <x v="0"/>
    <x v="0"/>
    <x v="0"/>
    <x v="2"/>
    <n v="3662"/>
    <n v="1"/>
    <n v="0.22"/>
    <n v="-184"/>
    <x v="1"/>
    <n v="2856.36"/>
    <x v="5"/>
    <n v="2024"/>
    <s v="Q2"/>
    <n v="-6.4417650436219526E-2"/>
    <n v="805.64"/>
    <s v="Medium"/>
    <x v="0"/>
    <s v="Below Avg"/>
    <s v="Loss"/>
    <n v="397"/>
  </r>
  <r>
    <n v="159"/>
    <d v="2024-06-07T00:00:00"/>
    <n v="1040"/>
    <s v="Customer_60"/>
    <x v="1"/>
    <x v="3"/>
    <x v="2"/>
    <x v="0"/>
    <n v="1929"/>
    <n v="6"/>
    <n v="0.18"/>
    <n v="1743"/>
    <x v="2"/>
    <n v="9490.68"/>
    <x v="5"/>
    <n v="2024"/>
    <s v="Q2"/>
    <n v="0.18365385831152245"/>
    <n v="2083.3199999999997"/>
    <s v="High"/>
    <x v="0"/>
    <s v="Below Avg"/>
    <s v="Profit"/>
    <n v="217"/>
  </r>
  <r>
    <n v="160"/>
    <d v="2024-06-08T00:00:00"/>
    <n v="1074"/>
    <s v="Customer_77"/>
    <x v="0"/>
    <x v="0"/>
    <x v="2"/>
    <x v="3"/>
    <n v="2271"/>
    <n v="6"/>
    <n v="0.28000000000000003"/>
    <n v="1840"/>
    <x v="2"/>
    <n v="9810.7199999999993"/>
    <x v="5"/>
    <n v="2024"/>
    <s v="Q2"/>
    <n v="0.18754994536588548"/>
    <n v="3815.28"/>
    <s v="High"/>
    <x v="0"/>
    <s v="Below Avg"/>
    <s v="Profit"/>
    <n v="207"/>
  </r>
  <r>
    <n v="161"/>
    <d v="2024-06-09T00:00:00"/>
    <n v="1076"/>
    <s v="Customer_183"/>
    <x v="0"/>
    <x v="1"/>
    <x v="1"/>
    <x v="3"/>
    <n v="208"/>
    <n v="7"/>
    <n v="0.19"/>
    <n v="1079"/>
    <x v="1"/>
    <n v="1179.3599999999999"/>
    <x v="5"/>
    <n v="2024"/>
    <s v="Q2"/>
    <n v="0.9149029982363317"/>
    <n v="276.64"/>
    <s v="Low"/>
    <x v="0"/>
    <s v="Below Avg"/>
    <s v="Profit"/>
    <n v="469"/>
  </r>
  <r>
    <n v="162"/>
    <d v="2024-06-10T00:00:00"/>
    <n v="1076"/>
    <s v="Customer_152"/>
    <x v="0"/>
    <x v="0"/>
    <x v="1"/>
    <x v="3"/>
    <n v="4940"/>
    <n v="7"/>
    <n v="0.28999999999999998"/>
    <n v="-154"/>
    <x v="1"/>
    <n v="24551.8"/>
    <x v="5"/>
    <n v="2024"/>
    <s v="Q2"/>
    <n v="-6.272452528938815E-3"/>
    <n v="10028.199999999999"/>
    <s v="High"/>
    <x v="0"/>
    <s v="Above Avg"/>
    <s v="Loss"/>
    <n v="45"/>
  </r>
  <r>
    <n v="163"/>
    <d v="2024-06-11T00:00:00"/>
    <n v="1025"/>
    <s v="Customer_119"/>
    <x v="0"/>
    <x v="2"/>
    <x v="1"/>
    <x v="2"/>
    <n v="4228"/>
    <n v="2"/>
    <n v="0.25"/>
    <n v="115"/>
    <x v="1"/>
    <n v="6342"/>
    <x v="5"/>
    <n v="2024"/>
    <s v="Q2"/>
    <n v="1.8133081046988332E-2"/>
    <n v="2114"/>
    <s v="High"/>
    <x v="0"/>
    <s v="Below Avg"/>
    <s v="Profit"/>
    <n v="287"/>
  </r>
  <r>
    <n v="164"/>
    <d v="2024-06-12T00:00:00"/>
    <n v="1007"/>
    <s v="Customer_95"/>
    <x v="0"/>
    <x v="0"/>
    <x v="0"/>
    <x v="3"/>
    <n v="4335"/>
    <n v="5"/>
    <n v="0.24"/>
    <n v="1958"/>
    <x v="0"/>
    <n v="16473"/>
    <x v="5"/>
    <n v="2024"/>
    <s v="Q2"/>
    <n v="0.11886116675772476"/>
    <n v="5202"/>
    <s v="High"/>
    <x v="0"/>
    <s v="Above Avg"/>
    <s v="Profit"/>
    <n v="116"/>
  </r>
  <r>
    <n v="165"/>
    <d v="2024-06-13T00:00:00"/>
    <n v="1013"/>
    <s v="Customer_127"/>
    <x v="0"/>
    <x v="2"/>
    <x v="1"/>
    <x v="2"/>
    <n v="4277"/>
    <n v="6"/>
    <n v="0.28999999999999998"/>
    <n v="-94"/>
    <x v="2"/>
    <n v="18220.02"/>
    <x v="5"/>
    <n v="2024"/>
    <s v="Q2"/>
    <n v="-5.1591600887375532E-3"/>
    <n v="7441.98"/>
    <s v="High"/>
    <x v="0"/>
    <s v="Above Avg"/>
    <s v="Loss"/>
    <n v="89"/>
  </r>
  <r>
    <n v="166"/>
    <d v="2024-06-14T00:00:00"/>
    <n v="1044"/>
    <s v="Customer_168"/>
    <x v="1"/>
    <x v="3"/>
    <x v="0"/>
    <x v="1"/>
    <n v="3206"/>
    <n v="2"/>
    <n v="0.19"/>
    <n v="1742"/>
    <x v="2"/>
    <n v="5193.72"/>
    <x v="5"/>
    <n v="2024"/>
    <s v="Q2"/>
    <n v="0.33540506611831211"/>
    <n v="1218.28"/>
    <s v="High"/>
    <x v="0"/>
    <s v="Below Avg"/>
    <s v="Profit"/>
    <n v="319"/>
  </r>
  <r>
    <n v="167"/>
    <d v="2024-06-15T00:00:00"/>
    <n v="1001"/>
    <s v="Customer_192"/>
    <x v="0"/>
    <x v="3"/>
    <x v="2"/>
    <x v="3"/>
    <n v="236"/>
    <n v="9"/>
    <n v="0.1"/>
    <n v="-188"/>
    <x v="2"/>
    <n v="1911.6"/>
    <x v="5"/>
    <n v="2024"/>
    <s v="Q2"/>
    <n v="-9.8346934505126604E-2"/>
    <n v="212.4"/>
    <s v="Low"/>
    <x v="0"/>
    <s v="Below Avg"/>
    <s v="Loss"/>
    <n v="436"/>
  </r>
  <r>
    <n v="168"/>
    <d v="2024-06-16T00:00:00"/>
    <n v="1041"/>
    <s v="Customer_162"/>
    <x v="1"/>
    <x v="3"/>
    <x v="1"/>
    <x v="3"/>
    <n v="3837"/>
    <n v="6"/>
    <n v="0.03"/>
    <n v="-151"/>
    <x v="2"/>
    <n v="22331.34"/>
    <x v="5"/>
    <n v="2024"/>
    <s v="Q2"/>
    <n v="-6.7617975455122707E-3"/>
    <n v="690.66"/>
    <s v="High"/>
    <x v="0"/>
    <s v="Above Avg"/>
    <s v="Loss"/>
    <n v="64"/>
  </r>
  <r>
    <n v="169"/>
    <d v="2024-06-17T00:00:00"/>
    <n v="1078"/>
    <s v="Customer_39"/>
    <x v="0"/>
    <x v="3"/>
    <x v="2"/>
    <x v="3"/>
    <n v="3951"/>
    <n v="5"/>
    <n v="0.21"/>
    <n v="1112"/>
    <x v="2"/>
    <n v="15606.45"/>
    <x v="5"/>
    <n v="2024"/>
    <s v="Q2"/>
    <n v="7.1252591076125568E-2"/>
    <n v="4148.55"/>
    <s v="High"/>
    <x v="0"/>
    <s v="Above Avg"/>
    <s v="Profit"/>
    <n v="134"/>
  </r>
  <r>
    <n v="170"/>
    <d v="2024-06-18T00:00:00"/>
    <n v="1056"/>
    <s v="Customer_122"/>
    <x v="1"/>
    <x v="2"/>
    <x v="2"/>
    <x v="3"/>
    <n v="430"/>
    <n v="8"/>
    <n v="0.16"/>
    <n v="403"/>
    <x v="1"/>
    <n v="2889.6"/>
    <x v="5"/>
    <n v="2024"/>
    <s v="Q2"/>
    <n v="0.13946566998892582"/>
    <n v="550.4"/>
    <s v="Medium"/>
    <x v="0"/>
    <s v="Below Avg"/>
    <s v="Profit"/>
    <n v="396"/>
  </r>
  <r>
    <n v="171"/>
    <d v="2024-06-19T00:00:00"/>
    <n v="1087"/>
    <s v="Customer_1"/>
    <x v="0"/>
    <x v="2"/>
    <x v="2"/>
    <x v="1"/>
    <n v="296"/>
    <n v="8"/>
    <n v="0.12"/>
    <n v="-8"/>
    <x v="1"/>
    <n v="2083.84"/>
    <x v="5"/>
    <n v="2024"/>
    <s v="Q2"/>
    <n v="-3.8390663390663387E-3"/>
    <n v="284.15999999999997"/>
    <s v="Medium"/>
    <x v="0"/>
    <s v="Below Avg"/>
    <s v="Loss"/>
    <n v="424"/>
  </r>
  <r>
    <n v="172"/>
    <d v="2024-06-20T00:00:00"/>
    <n v="1063"/>
    <s v="Customer_123"/>
    <x v="1"/>
    <x v="2"/>
    <x v="2"/>
    <x v="2"/>
    <n v="1515"/>
    <n v="1"/>
    <n v="0.28000000000000003"/>
    <n v="1470"/>
    <x v="0"/>
    <n v="1090.8"/>
    <x v="5"/>
    <n v="2024"/>
    <s v="Q2"/>
    <n v="1.3476347634763477"/>
    <n v="424.20000000000005"/>
    <s v="Low"/>
    <x v="0"/>
    <s v="Below Avg"/>
    <s v="Profit"/>
    <n v="477"/>
  </r>
  <r>
    <n v="173"/>
    <d v="2024-06-21T00:00:00"/>
    <n v="1097"/>
    <s v="Customer_20"/>
    <x v="0"/>
    <x v="0"/>
    <x v="1"/>
    <x v="1"/>
    <n v="3396"/>
    <n v="7"/>
    <n v="0.27"/>
    <n v="1252"/>
    <x v="2"/>
    <n v="17353.560000000001"/>
    <x v="5"/>
    <n v="2024"/>
    <s v="Q2"/>
    <n v="7.2146579721970583E-2"/>
    <n v="6418.4400000000005"/>
    <s v="High"/>
    <x v="0"/>
    <s v="Above Avg"/>
    <s v="Profit"/>
    <n v="99"/>
  </r>
  <r>
    <n v="174"/>
    <d v="2024-06-22T00:00:00"/>
    <n v="1003"/>
    <s v="Customer_111"/>
    <x v="0"/>
    <x v="1"/>
    <x v="0"/>
    <x v="0"/>
    <n v="3120"/>
    <n v="6"/>
    <n v="0.11"/>
    <n v="-429"/>
    <x v="0"/>
    <n v="16660.8"/>
    <x v="5"/>
    <n v="2024"/>
    <s v="Q2"/>
    <n v="-2.5749063670411985E-2"/>
    <n v="2059.1999999999998"/>
    <s v="High"/>
    <x v="0"/>
    <s v="Above Avg"/>
    <s v="Loss"/>
    <n v="110"/>
  </r>
  <r>
    <n v="175"/>
    <d v="2024-06-23T00:00:00"/>
    <n v="1017"/>
    <s v="Customer_153"/>
    <x v="1"/>
    <x v="1"/>
    <x v="1"/>
    <x v="1"/>
    <n v="3469"/>
    <n v="3"/>
    <n v="0.28000000000000003"/>
    <n v="431"/>
    <x v="0"/>
    <n v="7493.04"/>
    <x v="5"/>
    <n v="2024"/>
    <s v="Q2"/>
    <n v="5.7520045268675997E-2"/>
    <n v="2913.9600000000005"/>
    <s v="High"/>
    <x v="0"/>
    <s v="Below Avg"/>
    <s v="Profit"/>
    <n v="264"/>
  </r>
  <r>
    <n v="176"/>
    <d v="2024-06-24T00:00:00"/>
    <n v="1088"/>
    <s v="Customer_134"/>
    <x v="1"/>
    <x v="1"/>
    <x v="1"/>
    <x v="2"/>
    <n v="4955"/>
    <n v="1"/>
    <n v="0.13"/>
    <n v="-182"/>
    <x v="1"/>
    <n v="4310.8500000000004"/>
    <x v="5"/>
    <n v="2024"/>
    <s v="Q2"/>
    <n v="-4.2219051927114136E-2"/>
    <n v="644.15"/>
    <s v="Medium"/>
    <x v="0"/>
    <s v="Below Avg"/>
    <s v="Loss"/>
    <n v="341"/>
  </r>
  <r>
    <n v="177"/>
    <d v="2024-06-25T00:00:00"/>
    <n v="1087"/>
    <s v="Customer_116"/>
    <x v="1"/>
    <x v="0"/>
    <x v="1"/>
    <x v="0"/>
    <n v="940"/>
    <n v="2"/>
    <n v="0.06"/>
    <n v="1960"/>
    <x v="1"/>
    <n v="1767.19999999999"/>
    <x v="5"/>
    <n v="2024"/>
    <s v="Q2"/>
    <n v="1.109099139882306"/>
    <n v="112.8"/>
    <s v="Low"/>
    <x v="0"/>
    <s v="Below Avg"/>
    <s v="Profit"/>
    <n v="442"/>
  </r>
  <r>
    <n v="178"/>
    <d v="2024-06-26T00:00:00"/>
    <n v="1069"/>
    <s v="Customer_94"/>
    <x v="0"/>
    <x v="2"/>
    <x v="2"/>
    <x v="3"/>
    <n v="3742"/>
    <n v="1"/>
    <n v="0.19"/>
    <n v="1388"/>
    <x v="1"/>
    <n v="3031.02"/>
    <x v="5"/>
    <n v="2024"/>
    <s v="Q2"/>
    <n v="0.45793165337081249"/>
    <n v="710.98"/>
    <s v="Medium"/>
    <x v="0"/>
    <s v="Below Avg"/>
    <s v="Profit"/>
    <n v="390"/>
  </r>
  <r>
    <n v="179"/>
    <d v="2024-06-27T00:00:00"/>
    <n v="1097"/>
    <s v="Customer_120"/>
    <x v="1"/>
    <x v="0"/>
    <x v="1"/>
    <x v="3"/>
    <n v="2769"/>
    <n v="3"/>
    <n v="0.03"/>
    <n v="-283"/>
    <x v="1"/>
    <n v="8057.79"/>
    <x v="5"/>
    <n v="2024"/>
    <s v="Q2"/>
    <n v="-3.512129256284912E-2"/>
    <n v="249.20999999999998"/>
    <s v="High"/>
    <x v="0"/>
    <s v="Below Avg"/>
    <s v="Loss"/>
    <n v="251"/>
  </r>
  <r>
    <n v="180"/>
    <d v="2024-06-28T00:00:00"/>
    <n v="1050"/>
    <s v="Customer_113"/>
    <x v="0"/>
    <x v="3"/>
    <x v="2"/>
    <x v="3"/>
    <n v="1277"/>
    <n v="6"/>
    <n v="0.05"/>
    <n v="-393"/>
    <x v="1"/>
    <n v="7278.9"/>
    <x v="5"/>
    <n v="2024"/>
    <s v="Q2"/>
    <n v="-5.3991674566211928E-2"/>
    <n v="383.1"/>
    <s v="High"/>
    <x v="0"/>
    <s v="Below Avg"/>
    <s v="Loss"/>
    <n v="269"/>
  </r>
  <r>
    <n v="181"/>
    <d v="2024-06-29T00:00:00"/>
    <n v="1002"/>
    <s v="Customer_3"/>
    <x v="0"/>
    <x v="0"/>
    <x v="2"/>
    <x v="0"/>
    <n v="1043"/>
    <n v="2"/>
    <n v="0.24"/>
    <n v="1350"/>
    <x v="1"/>
    <n v="1585.36"/>
    <x v="5"/>
    <n v="2024"/>
    <s v="Q2"/>
    <n v="0.85154160569208259"/>
    <n v="500.64"/>
    <s v="Low"/>
    <x v="0"/>
    <s v="Below Avg"/>
    <s v="Profit"/>
    <n v="454"/>
  </r>
  <r>
    <n v="182"/>
    <d v="2024-06-30T00:00:00"/>
    <n v="1018"/>
    <s v="Customer_164"/>
    <x v="0"/>
    <x v="0"/>
    <x v="0"/>
    <x v="2"/>
    <n v="3546"/>
    <n v="6"/>
    <n v="0.25"/>
    <n v="1825"/>
    <x v="0"/>
    <n v="15957"/>
    <x v="5"/>
    <n v="2024"/>
    <s v="Q2"/>
    <n v="0.11436986902299931"/>
    <n v="5319"/>
    <s v="High"/>
    <x v="0"/>
    <s v="Above Avg"/>
    <s v="Profit"/>
    <n v="129"/>
  </r>
  <r>
    <n v="183"/>
    <d v="2024-07-01T00:00:00"/>
    <n v="1046"/>
    <s v="Customer_70"/>
    <x v="1"/>
    <x v="0"/>
    <x v="2"/>
    <x v="0"/>
    <n v="951"/>
    <n v="8"/>
    <n v="7.0000000000000007E-2"/>
    <n v="1104"/>
    <x v="2"/>
    <n v="7075.44"/>
    <x v="6"/>
    <n v="2024"/>
    <s v="Q3"/>
    <n v="0.15603269902649164"/>
    <n v="532.56000000000006"/>
    <s v="High"/>
    <x v="0"/>
    <s v="Below Avg"/>
    <s v="Profit"/>
    <n v="274"/>
  </r>
  <r>
    <n v="184"/>
    <d v="2024-07-02T00:00:00"/>
    <n v="1045"/>
    <s v="Customer_166"/>
    <x v="1"/>
    <x v="3"/>
    <x v="2"/>
    <x v="3"/>
    <n v="4700"/>
    <n v="3"/>
    <n v="0.22"/>
    <n v="140"/>
    <x v="2"/>
    <n v="10998"/>
    <x v="6"/>
    <n v="2024"/>
    <s v="Q3"/>
    <n v="1.2729587197672304E-2"/>
    <n v="3102"/>
    <s v="High"/>
    <x v="0"/>
    <s v="Above Avg"/>
    <s v="Profit"/>
    <n v="190"/>
  </r>
  <r>
    <n v="185"/>
    <d v="2024-07-03T00:00:00"/>
    <n v="1057"/>
    <s v="Customer_65"/>
    <x v="0"/>
    <x v="1"/>
    <x v="0"/>
    <x v="3"/>
    <n v="1851"/>
    <n v="3"/>
    <n v="0.28999999999999998"/>
    <n v="589"/>
    <x v="1"/>
    <n v="3942.6299999999901"/>
    <x v="6"/>
    <n v="2024"/>
    <s v="Q3"/>
    <n v="0.14939266428754447"/>
    <n v="1610.37"/>
    <s v="Medium"/>
    <x v="0"/>
    <s v="Below Avg"/>
    <s v="Profit"/>
    <n v="356"/>
  </r>
  <r>
    <n v="186"/>
    <d v="2024-07-04T00:00:00"/>
    <n v="1035"/>
    <s v="Customer_83"/>
    <x v="1"/>
    <x v="1"/>
    <x v="2"/>
    <x v="3"/>
    <n v="1945"/>
    <n v="1"/>
    <n v="0.28999999999999998"/>
    <n v="7"/>
    <x v="1"/>
    <n v="1380.94999999999"/>
    <x v="6"/>
    <n v="2024"/>
    <s v="Q3"/>
    <n v="5.068974256852204E-3"/>
    <n v="564.04999999999995"/>
    <s v="Low"/>
    <x v="0"/>
    <s v="Below Avg"/>
    <s v="Profit"/>
    <n v="462"/>
  </r>
  <r>
    <n v="187"/>
    <d v="2024-07-05T00:00:00"/>
    <n v="1018"/>
    <s v="Customer_38"/>
    <x v="1"/>
    <x v="3"/>
    <x v="1"/>
    <x v="0"/>
    <n v="4924"/>
    <n v="3"/>
    <n v="0.13"/>
    <n v="1357"/>
    <x v="0"/>
    <n v="12851.64"/>
    <x v="6"/>
    <n v="2024"/>
    <s v="Q3"/>
    <n v="0.1055896368089987"/>
    <n v="1920.3600000000001"/>
    <s v="High"/>
    <x v="0"/>
    <s v="Above Avg"/>
    <s v="Profit"/>
    <n v="160"/>
  </r>
  <r>
    <n v="188"/>
    <d v="2024-07-06T00:00:00"/>
    <n v="1091"/>
    <s v="Customer_28"/>
    <x v="1"/>
    <x v="1"/>
    <x v="2"/>
    <x v="0"/>
    <n v="1821"/>
    <n v="7"/>
    <n v="0.26"/>
    <n v="-309"/>
    <x v="1"/>
    <n v="9432.7800000000007"/>
    <x v="6"/>
    <n v="2024"/>
    <s v="Q3"/>
    <n v="-3.2758105245749396E-2"/>
    <n v="3314.2200000000003"/>
    <s v="High"/>
    <x v="0"/>
    <s v="Below Avg"/>
    <s v="Loss"/>
    <n v="220"/>
  </r>
  <r>
    <n v="189"/>
    <d v="2024-07-07T00:00:00"/>
    <n v="1046"/>
    <s v="Customer_175"/>
    <x v="1"/>
    <x v="1"/>
    <x v="1"/>
    <x v="2"/>
    <n v="1873"/>
    <n v="9"/>
    <n v="0.17"/>
    <n v="-234"/>
    <x v="0"/>
    <n v="13991.31"/>
    <x v="6"/>
    <n v="2024"/>
    <s v="Q3"/>
    <n v="-1.672466695398787E-2"/>
    <n v="2865.69"/>
    <s v="High"/>
    <x v="0"/>
    <s v="Above Avg"/>
    <s v="Loss"/>
    <n v="147"/>
  </r>
  <r>
    <n v="190"/>
    <d v="2024-07-08T00:00:00"/>
    <n v="1054"/>
    <s v="Customer_47"/>
    <x v="0"/>
    <x v="2"/>
    <x v="2"/>
    <x v="3"/>
    <n v="750"/>
    <n v="8"/>
    <n v="0.17"/>
    <n v="-108"/>
    <x v="1"/>
    <n v="4980"/>
    <x v="6"/>
    <n v="2024"/>
    <s v="Q3"/>
    <n v="-2.1686746987951807E-2"/>
    <n v="1020.0000000000001"/>
    <s v="Medium"/>
    <x v="0"/>
    <s v="Below Avg"/>
    <s v="Loss"/>
    <n v="324"/>
  </r>
  <r>
    <n v="191"/>
    <d v="2024-07-09T00:00:00"/>
    <n v="1073"/>
    <s v="Customer_10"/>
    <x v="0"/>
    <x v="1"/>
    <x v="2"/>
    <x v="0"/>
    <n v="1461"/>
    <n v="3"/>
    <n v="7.0000000000000007E-2"/>
    <n v="-371"/>
    <x v="2"/>
    <n v="4076.1899999999901"/>
    <x v="6"/>
    <n v="2024"/>
    <s v="Q3"/>
    <n v="-9.1016365772940144E-2"/>
    <n v="306.81"/>
    <s v="Medium"/>
    <x v="0"/>
    <s v="Below Avg"/>
    <s v="Loss"/>
    <n v="351"/>
  </r>
  <r>
    <n v="192"/>
    <d v="2024-07-10T00:00:00"/>
    <n v="1081"/>
    <s v="Customer_88"/>
    <x v="1"/>
    <x v="0"/>
    <x v="1"/>
    <x v="0"/>
    <n v="3609"/>
    <n v="5"/>
    <n v="0.12"/>
    <n v="514"/>
    <x v="2"/>
    <n v="15879.6"/>
    <x v="6"/>
    <n v="2024"/>
    <s v="Q3"/>
    <n v="3.2368573515705684E-2"/>
    <n v="2165.4"/>
    <s v="High"/>
    <x v="0"/>
    <s v="Above Avg"/>
    <s v="Profit"/>
    <n v="131"/>
  </r>
  <r>
    <n v="193"/>
    <d v="2024-07-11T00:00:00"/>
    <n v="1062"/>
    <s v="Customer_133"/>
    <x v="1"/>
    <x v="0"/>
    <x v="0"/>
    <x v="1"/>
    <n v="1568"/>
    <n v="1"/>
    <n v="0.06"/>
    <n v="1807"/>
    <x v="0"/>
    <n v="1473.9199999999901"/>
    <x v="6"/>
    <n v="2024"/>
    <s v="Q3"/>
    <n v="1.225982414242301"/>
    <n v="94.08"/>
    <s v="Low"/>
    <x v="0"/>
    <s v="Below Avg"/>
    <s v="Profit"/>
    <n v="459"/>
  </r>
  <r>
    <n v="194"/>
    <d v="2024-07-12T00:00:00"/>
    <n v="1067"/>
    <s v="Customer_141"/>
    <x v="0"/>
    <x v="2"/>
    <x v="2"/>
    <x v="3"/>
    <n v="584"/>
    <n v="1"/>
    <n v="0.22"/>
    <n v="858"/>
    <x v="1"/>
    <n v="455.52"/>
    <x v="6"/>
    <n v="2024"/>
    <s v="Q3"/>
    <n v="1.8835616438356164"/>
    <n v="128.47999999999999"/>
    <s v="Low"/>
    <x v="0"/>
    <s v="Below Avg"/>
    <s v="Profit"/>
    <n v="494"/>
  </r>
  <r>
    <n v="195"/>
    <d v="2024-07-13T00:00:00"/>
    <n v="1011"/>
    <s v="Customer_86"/>
    <x v="1"/>
    <x v="0"/>
    <x v="2"/>
    <x v="3"/>
    <n v="851"/>
    <n v="9"/>
    <n v="0.19"/>
    <n v="1126"/>
    <x v="1"/>
    <n v="6203.79"/>
    <x v="6"/>
    <n v="2024"/>
    <s v="Q3"/>
    <n v="0.18150195283850679"/>
    <n v="1455.21"/>
    <s v="High"/>
    <x v="0"/>
    <s v="Below Avg"/>
    <s v="Profit"/>
    <n v="292"/>
  </r>
  <r>
    <n v="196"/>
    <d v="2024-07-14T00:00:00"/>
    <n v="1026"/>
    <s v="Customer_34"/>
    <x v="1"/>
    <x v="2"/>
    <x v="0"/>
    <x v="0"/>
    <n v="209"/>
    <n v="7"/>
    <n v="0.24"/>
    <n v="-125"/>
    <x v="0"/>
    <n v="1111.8800000000001"/>
    <x v="6"/>
    <n v="2024"/>
    <s v="Q3"/>
    <n v="-0.11242220383494621"/>
    <n v="351.12"/>
    <s v="Low"/>
    <x v="0"/>
    <s v="Below Avg"/>
    <s v="Loss"/>
    <n v="476"/>
  </r>
  <r>
    <n v="197"/>
    <d v="2024-07-15T00:00:00"/>
    <n v="1092"/>
    <s v="Customer_153"/>
    <x v="1"/>
    <x v="0"/>
    <x v="0"/>
    <x v="1"/>
    <n v="2452"/>
    <n v="4"/>
    <n v="0.19"/>
    <n v="1641"/>
    <x v="1"/>
    <n v="7944.48"/>
    <x v="6"/>
    <n v="2024"/>
    <s v="Q3"/>
    <n v="0.20655851610174614"/>
    <n v="1863.52"/>
    <s v="High"/>
    <x v="0"/>
    <s v="Below Avg"/>
    <s v="Profit"/>
    <n v="254"/>
  </r>
  <r>
    <n v="198"/>
    <d v="2024-07-16T00:00:00"/>
    <n v="1075"/>
    <s v="Customer_151"/>
    <x v="0"/>
    <x v="1"/>
    <x v="0"/>
    <x v="3"/>
    <n v="4378"/>
    <n v="4"/>
    <n v="0.08"/>
    <n v="-266"/>
    <x v="2"/>
    <n v="16111.04"/>
    <x v="6"/>
    <n v="2024"/>
    <s v="Q3"/>
    <n v="-1.6510417701153992E-2"/>
    <n v="1400.96"/>
    <s v="High"/>
    <x v="0"/>
    <s v="Above Avg"/>
    <s v="Loss"/>
    <n v="125"/>
  </r>
  <r>
    <n v="199"/>
    <d v="2024-07-17T00:00:00"/>
    <n v="1010"/>
    <s v="Customer_112"/>
    <x v="1"/>
    <x v="0"/>
    <x v="2"/>
    <x v="3"/>
    <n v="3624"/>
    <n v="3"/>
    <n v="0.28999999999999998"/>
    <n v="-429"/>
    <x v="2"/>
    <n v="7719.12"/>
    <x v="6"/>
    <n v="2024"/>
    <s v="Q3"/>
    <n v="-5.557628330690545E-2"/>
    <n v="3152.8799999999997"/>
    <s v="High"/>
    <x v="0"/>
    <s v="Below Avg"/>
    <s v="Loss"/>
    <n v="259"/>
  </r>
  <r>
    <n v="200"/>
    <d v="2024-07-18T00:00:00"/>
    <n v="1003"/>
    <s v="Customer_85"/>
    <x v="1"/>
    <x v="0"/>
    <x v="1"/>
    <x v="3"/>
    <n v="1158"/>
    <n v="5"/>
    <n v="0.2"/>
    <n v="1597"/>
    <x v="2"/>
    <n v="4632"/>
    <x v="6"/>
    <n v="2024"/>
    <s v="Q3"/>
    <n v="0.34477547495682209"/>
    <n v="1158"/>
    <s v="Medium"/>
    <x v="0"/>
    <s v="Below Avg"/>
    <s v="Profit"/>
    <n v="335"/>
  </r>
  <r>
    <n v="201"/>
    <d v="2024-07-19T00:00:00"/>
    <n v="1045"/>
    <s v="Customer_3"/>
    <x v="1"/>
    <x v="2"/>
    <x v="2"/>
    <x v="0"/>
    <n v="300"/>
    <n v="8"/>
    <n v="0.14000000000000001"/>
    <n v="1580"/>
    <x v="0"/>
    <n v="2064"/>
    <x v="6"/>
    <n v="2024"/>
    <s v="Q3"/>
    <n v="0.76550387596899228"/>
    <n v="336.00000000000006"/>
    <s v="Medium"/>
    <x v="0"/>
    <s v="Below Avg"/>
    <s v="Profit"/>
    <n v="425"/>
  </r>
  <r>
    <n v="202"/>
    <d v="2024-07-20T00:00:00"/>
    <n v="1058"/>
    <s v="Customer_8"/>
    <x v="0"/>
    <x v="2"/>
    <x v="1"/>
    <x v="0"/>
    <n v="4590"/>
    <n v="3"/>
    <n v="0.23"/>
    <n v="458"/>
    <x v="1"/>
    <n v="10602.9"/>
    <x v="6"/>
    <n v="2024"/>
    <s v="Q3"/>
    <n v="4.3195729470239273E-2"/>
    <n v="3167.1000000000004"/>
    <s v="High"/>
    <x v="0"/>
    <s v="Below Avg"/>
    <s v="Profit"/>
    <n v="195"/>
  </r>
  <r>
    <n v="203"/>
    <d v="2024-07-21T00:00:00"/>
    <n v="1059"/>
    <s v="Customer_174"/>
    <x v="0"/>
    <x v="2"/>
    <x v="0"/>
    <x v="2"/>
    <n v="3815"/>
    <n v="6"/>
    <n v="0.08"/>
    <n v="971"/>
    <x v="1"/>
    <n v="21058.799999999999"/>
    <x v="6"/>
    <n v="2024"/>
    <s v="Q3"/>
    <n v="4.6108990065910689E-2"/>
    <n v="1831.2"/>
    <s v="High"/>
    <x v="0"/>
    <s v="Above Avg"/>
    <s v="Profit"/>
    <n v="76"/>
  </r>
  <r>
    <n v="204"/>
    <d v="2024-07-22T00:00:00"/>
    <n v="1023"/>
    <s v="Customer_190"/>
    <x v="0"/>
    <x v="3"/>
    <x v="2"/>
    <x v="2"/>
    <n v="1315"/>
    <n v="4"/>
    <n v="0.24"/>
    <n v="-35"/>
    <x v="2"/>
    <n v="3997.6"/>
    <x v="6"/>
    <n v="2024"/>
    <s v="Q3"/>
    <n v="-8.7552531518911344E-3"/>
    <n v="1262.3999999999999"/>
    <s v="Medium"/>
    <x v="0"/>
    <s v="Below Avg"/>
    <s v="Loss"/>
    <n v="353"/>
  </r>
  <r>
    <n v="205"/>
    <d v="2024-07-23T00:00:00"/>
    <n v="1025"/>
    <s v="Customer_167"/>
    <x v="0"/>
    <x v="1"/>
    <x v="2"/>
    <x v="3"/>
    <n v="831"/>
    <n v="3"/>
    <n v="0.1"/>
    <n v="1324"/>
    <x v="0"/>
    <n v="2243.6999999999998"/>
    <x v="6"/>
    <n v="2024"/>
    <s v="Q3"/>
    <n v="0.59009671524713647"/>
    <n v="249.3"/>
    <s v="Medium"/>
    <x v="0"/>
    <s v="Below Avg"/>
    <s v="Profit"/>
    <n v="417"/>
  </r>
  <r>
    <n v="206"/>
    <d v="2024-07-24T00:00:00"/>
    <n v="1027"/>
    <s v="Customer_51"/>
    <x v="0"/>
    <x v="3"/>
    <x v="2"/>
    <x v="1"/>
    <n v="473"/>
    <n v="1"/>
    <n v="0.02"/>
    <n v="-233"/>
    <x v="0"/>
    <n v="463.539999999999"/>
    <x v="6"/>
    <n v="2024"/>
    <s v="Q3"/>
    <n v="-0.50265349268671633"/>
    <n v="9.4600000000000009"/>
    <s v="Low"/>
    <x v="0"/>
    <s v="Below Avg"/>
    <s v="Loss"/>
    <n v="493"/>
  </r>
  <r>
    <n v="207"/>
    <d v="2024-07-25T00:00:00"/>
    <n v="1057"/>
    <s v="Customer_22"/>
    <x v="0"/>
    <x v="0"/>
    <x v="2"/>
    <x v="3"/>
    <n v="3249"/>
    <n v="8"/>
    <n v="0.23"/>
    <n v="1197"/>
    <x v="0"/>
    <n v="20013.84"/>
    <x v="6"/>
    <n v="2024"/>
    <s v="Q3"/>
    <n v="5.9808612440191387E-2"/>
    <n v="5978.16"/>
    <s v="High"/>
    <x v="0"/>
    <s v="Above Avg"/>
    <s v="Profit"/>
    <n v="80"/>
  </r>
  <r>
    <n v="208"/>
    <d v="2024-07-26T00:00:00"/>
    <n v="1003"/>
    <s v="Customer_45"/>
    <x v="1"/>
    <x v="0"/>
    <x v="0"/>
    <x v="1"/>
    <n v="3344"/>
    <n v="7"/>
    <n v="0.06"/>
    <n v="581"/>
    <x v="2"/>
    <n v="22003.52"/>
    <x v="6"/>
    <n v="2024"/>
    <s v="Q3"/>
    <n v="2.6404866130510025E-2"/>
    <n v="1404.48"/>
    <s v="High"/>
    <x v="0"/>
    <s v="Above Avg"/>
    <s v="Profit"/>
    <n v="67"/>
  </r>
  <r>
    <n v="209"/>
    <d v="2024-07-27T00:00:00"/>
    <n v="1099"/>
    <s v="Customer_151"/>
    <x v="1"/>
    <x v="2"/>
    <x v="0"/>
    <x v="0"/>
    <n v="4041"/>
    <n v="7"/>
    <n v="0.19"/>
    <n v="1642"/>
    <x v="0"/>
    <n v="22912.47"/>
    <x v="6"/>
    <n v="2024"/>
    <s v="Q3"/>
    <n v="7.1664032729775534E-2"/>
    <n v="5374.53"/>
    <s v="High"/>
    <x v="0"/>
    <s v="Above Avg"/>
    <s v="Profit"/>
    <n v="60"/>
  </r>
  <r>
    <n v="210"/>
    <d v="2024-07-28T00:00:00"/>
    <n v="1078"/>
    <s v="Customer_177"/>
    <x v="0"/>
    <x v="2"/>
    <x v="0"/>
    <x v="2"/>
    <n v="4048"/>
    <n v="8"/>
    <n v="0.08"/>
    <n v="-375"/>
    <x v="2"/>
    <n v="29793.279999999999"/>
    <x v="6"/>
    <n v="2024"/>
    <s v="Q3"/>
    <n v="-1.2586730967520193E-2"/>
    <n v="2590.7200000000003"/>
    <s v="High"/>
    <x v="0"/>
    <s v="Above Avg"/>
    <s v="Loss"/>
    <n v="24"/>
  </r>
  <r>
    <n v="211"/>
    <d v="2024-07-29T00:00:00"/>
    <n v="1085"/>
    <s v="Customer_80"/>
    <x v="0"/>
    <x v="0"/>
    <x v="2"/>
    <x v="0"/>
    <n v="745"/>
    <n v="9"/>
    <n v="0.21"/>
    <n v="515"/>
    <x v="1"/>
    <n v="5296.95"/>
    <x v="6"/>
    <n v="2024"/>
    <s v="Q3"/>
    <n v="9.7225761995110391E-2"/>
    <n v="1408.05"/>
    <s v="High"/>
    <x v="0"/>
    <s v="Below Avg"/>
    <s v="Profit"/>
    <n v="316"/>
  </r>
  <r>
    <n v="212"/>
    <d v="2024-07-30T00:00:00"/>
    <n v="1059"/>
    <s v="Customer_124"/>
    <x v="0"/>
    <x v="3"/>
    <x v="2"/>
    <x v="1"/>
    <n v="3695"/>
    <n v="3"/>
    <n v="0.04"/>
    <n v="333"/>
    <x v="1"/>
    <n v="10641.6"/>
    <x v="6"/>
    <n v="2024"/>
    <s v="Q3"/>
    <n v="3.1292286874154258E-2"/>
    <n v="443.40000000000003"/>
    <s v="High"/>
    <x v="0"/>
    <s v="Above Avg"/>
    <s v="Profit"/>
    <n v="194"/>
  </r>
  <r>
    <n v="213"/>
    <d v="2024-07-31T00:00:00"/>
    <n v="1048"/>
    <s v="Customer_179"/>
    <x v="1"/>
    <x v="2"/>
    <x v="1"/>
    <x v="1"/>
    <n v="4178"/>
    <n v="2"/>
    <n v="0.19"/>
    <n v="1860"/>
    <x v="1"/>
    <n v="6768.36"/>
    <x v="6"/>
    <n v="2024"/>
    <s v="Q3"/>
    <n v="0.27480807758452563"/>
    <n v="1587.64"/>
    <s v="High"/>
    <x v="0"/>
    <s v="Below Avg"/>
    <s v="Profit"/>
    <n v="280"/>
  </r>
  <r>
    <n v="214"/>
    <d v="2024-08-01T00:00:00"/>
    <n v="1056"/>
    <s v="Customer_28"/>
    <x v="0"/>
    <x v="2"/>
    <x v="1"/>
    <x v="2"/>
    <n v="2035"/>
    <n v="4"/>
    <n v="0.06"/>
    <n v="1215"/>
    <x v="0"/>
    <n v="7651.5999999999904"/>
    <x v="7"/>
    <n v="2024"/>
    <s v="Q3"/>
    <n v="0.15879031836478666"/>
    <n v="488.4"/>
    <s v="High"/>
    <x v="0"/>
    <s v="Below Avg"/>
    <s v="Profit"/>
    <n v="262"/>
  </r>
  <r>
    <n v="215"/>
    <d v="2024-08-02T00:00:00"/>
    <n v="1087"/>
    <s v="Customer_99"/>
    <x v="0"/>
    <x v="0"/>
    <x v="1"/>
    <x v="0"/>
    <n v="2833"/>
    <n v="4"/>
    <n v="0.15"/>
    <n v="-499"/>
    <x v="2"/>
    <n v="9632.1999999999898"/>
    <x v="7"/>
    <n v="2024"/>
    <s v="Q3"/>
    <n v="-5.1805402711737766E-2"/>
    <n v="1699.8"/>
    <s v="High"/>
    <x v="0"/>
    <s v="Below Avg"/>
    <s v="Loss"/>
    <n v="211"/>
  </r>
  <r>
    <n v="216"/>
    <d v="2024-08-03T00:00:00"/>
    <n v="1087"/>
    <s v="Customer_106"/>
    <x v="0"/>
    <x v="1"/>
    <x v="2"/>
    <x v="3"/>
    <n v="2661"/>
    <n v="8"/>
    <n v="0.26"/>
    <n v="-152"/>
    <x v="2"/>
    <n v="15753.119999999901"/>
    <x v="7"/>
    <n v="2024"/>
    <s v="Q3"/>
    <n v="-9.6488822531664176E-3"/>
    <n v="5534.88"/>
    <s v="High"/>
    <x v="0"/>
    <s v="Above Avg"/>
    <s v="Loss"/>
    <n v="133"/>
  </r>
  <r>
    <n v="217"/>
    <d v="2024-08-04T00:00:00"/>
    <n v="1004"/>
    <s v="Customer_29"/>
    <x v="0"/>
    <x v="2"/>
    <x v="2"/>
    <x v="0"/>
    <n v="2152"/>
    <n v="8"/>
    <n v="0.14000000000000001"/>
    <n v="925"/>
    <x v="2"/>
    <n v="14805.76"/>
    <x v="7"/>
    <n v="2024"/>
    <s v="Q3"/>
    <n v="6.2475685138756808E-2"/>
    <n v="2410.2400000000002"/>
    <s v="High"/>
    <x v="0"/>
    <s v="Above Avg"/>
    <s v="Profit"/>
    <n v="142"/>
  </r>
  <r>
    <n v="218"/>
    <d v="2024-08-05T00:00:00"/>
    <n v="1069"/>
    <s v="Customer_187"/>
    <x v="0"/>
    <x v="3"/>
    <x v="1"/>
    <x v="1"/>
    <n v="2039"/>
    <n v="7"/>
    <n v="0.23"/>
    <n v="-462"/>
    <x v="0"/>
    <n v="10990.21"/>
    <x v="7"/>
    <n v="2024"/>
    <s v="Q3"/>
    <n v="-4.2037413297835079E-2"/>
    <n v="3282.79"/>
    <s v="High"/>
    <x v="0"/>
    <s v="Above Avg"/>
    <s v="Loss"/>
    <n v="192"/>
  </r>
  <r>
    <n v="219"/>
    <d v="2024-08-06T00:00:00"/>
    <n v="1056"/>
    <s v="Customer_102"/>
    <x v="0"/>
    <x v="1"/>
    <x v="1"/>
    <x v="0"/>
    <n v="802"/>
    <n v="5"/>
    <n v="0.04"/>
    <n v="1193"/>
    <x v="2"/>
    <n v="3849.6"/>
    <x v="7"/>
    <n v="2024"/>
    <s v="Q3"/>
    <n v="0.30990232751454699"/>
    <n v="160.4"/>
    <s v="Medium"/>
    <x v="0"/>
    <s v="Below Avg"/>
    <s v="Profit"/>
    <n v="361"/>
  </r>
  <r>
    <n v="220"/>
    <d v="2024-08-07T00:00:00"/>
    <n v="1060"/>
    <s v="Customer_198"/>
    <x v="1"/>
    <x v="0"/>
    <x v="1"/>
    <x v="2"/>
    <n v="2899"/>
    <n v="1"/>
    <n v="0.2"/>
    <n v="569"/>
    <x v="2"/>
    <n v="2319.1999999999998"/>
    <x v="7"/>
    <n v="2024"/>
    <s v="Q3"/>
    <n v="0.24534322180062093"/>
    <n v="579.80000000000007"/>
    <s v="Medium"/>
    <x v="0"/>
    <s v="Below Avg"/>
    <s v="Profit"/>
    <n v="415"/>
  </r>
  <r>
    <n v="221"/>
    <d v="2024-08-08T00:00:00"/>
    <n v="1009"/>
    <s v="Customer_78"/>
    <x v="1"/>
    <x v="2"/>
    <x v="0"/>
    <x v="0"/>
    <n v="607"/>
    <n v="6"/>
    <n v="0.05"/>
    <n v="1509"/>
    <x v="1"/>
    <n v="3459.8999999999901"/>
    <x v="7"/>
    <n v="2024"/>
    <s v="Q3"/>
    <n v="0.43613977282580546"/>
    <n v="182.10000000000002"/>
    <s v="Medium"/>
    <x v="0"/>
    <s v="Below Avg"/>
    <s v="Profit"/>
    <n v="378"/>
  </r>
  <r>
    <n v="222"/>
    <d v="2024-08-09T00:00:00"/>
    <n v="1066"/>
    <s v="Customer_156"/>
    <x v="1"/>
    <x v="1"/>
    <x v="1"/>
    <x v="0"/>
    <n v="1523"/>
    <n v="1"/>
    <n v="0.23"/>
    <n v="1244"/>
    <x v="2"/>
    <n v="1172.71"/>
    <x v="7"/>
    <n v="2024"/>
    <s v="Q3"/>
    <n v="1.0607908178492551"/>
    <n v="350.29"/>
    <s v="Low"/>
    <x v="0"/>
    <s v="Below Avg"/>
    <s v="Profit"/>
    <n v="471"/>
  </r>
  <r>
    <n v="223"/>
    <d v="2024-08-10T00:00:00"/>
    <n v="1033"/>
    <s v="Customer_110"/>
    <x v="1"/>
    <x v="0"/>
    <x v="2"/>
    <x v="1"/>
    <n v="2167"/>
    <n v="2"/>
    <n v="0.21"/>
    <n v="1682"/>
    <x v="1"/>
    <n v="3423.86"/>
    <x v="7"/>
    <n v="2024"/>
    <s v="Q3"/>
    <n v="0.49125840425718337"/>
    <n v="910.14"/>
    <s v="Medium"/>
    <x v="1"/>
    <s v="Below Avg"/>
    <s v="Profit"/>
    <n v="379"/>
  </r>
  <r>
    <n v="224"/>
    <d v="2024-08-11T00:00:00"/>
    <n v="1069"/>
    <s v="Customer_175"/>
    <x v="1"/>
    <x v="3"/>
    <x v="2"/>
    <x v="3"/>
    <n v="4265"/>
    <n v="6"/>
    <n v="0.12"/>
    <n v="490"/>
    <x v="2"/>
    <n v="22519.200000000001"/>
    <x v="7"/>
    <n v="2024"/>
    <s v="Q3"/>
    <n v="2.1759209918647198E-2"/>
    <n v="3070.7999999999997"/>
    <s v="High"/>
    <x v="0"/>
    <s v="Above Avg"/>
    <s v="Profit"/>
    <n v="63"/>
  </r>
  <r>
    <n v="225"/>
    <d v="2024-08-12T00:00:00"/>
    <n v="1009"/>
    <s v="Customer_4"/>
    <x v="0"/>
    <x v="2"/>
    <x v="1"/>
    <x v="3"/>
    <n v="851"/>
    <n v="1"/>
    <n v="0.14000000000000001"/>
    <n v="1419"/>
    <x v="0"/>
    <n v="731.86"/>
    <x v="7"/>
    <n v="2024"/>
    <s v="Q3"/>
    <n v="1.9388954171562867"/>
    <n v="119.14000000000001"/>
    <s v="Low"/>
    <x v="0"/>
    <s v="Below Avg"/>
    <s v="Profit"/>
    <n v="484"/>
  </r>
  <r>
    <n v="226"/>
    <d v="2024-08-13T00:00:00"/>
    <n v="1079"/>
    <s v="Customer_130"/>
    <x v="1"/>
    <x v="0"/>
    <x v="2"/>
    <x v="2"/>
    <n v="2116"/>
    <n v="6"/>
    <n v="0.05"/>
    <n v="1516"/>
    <x v="0"/>
    <n v="12061.199999999901"/>
    <x v="7"/>
    <n v="2024"/>
    <s v="Q3"/>
    <n v="0.12569230259012473"/>
    <n v="634.80000000000007"/>
    <s v="High"/>
    <x v="0"/>
    <s v="Above Avg"/>
    <s v="Profit"/>
    <n v="167"/>
  </r>
  <r>
    <n v="227"/>
    <d v="2024-08-14T00:00:00"/>
    <n v="1028"/>
    <s v="Customer_110"/>
    <x v="0"/>
    <x v="2"/>
    <x v="2"/>
    <x v="2"/>
    <n v="648"/>
    <n v="9"/>
    <n v="0.19"/>
    <n v="730"/>
    <x v="1"/>
    <n v="4723.92"/>
    <x v="7"/>
    <n v="2024"/>
    <s v="Q3"/>
    <n v="0.15453267625192638"/>
    <n v="1108.08"/>
    <s v="Medium"/>
    <x v="0"/>
    <s v="Below Avg"/>
    <s v="Profit"/>
    <n v="331"/>
  </r>
  <r>
    <n v="228"/>
    <d v="2024-08-15T00:00:00"/>
    <n v="1066"/>
    <s v="Customer_64"/>
    <x v="0"/>
    <x v="2"/>
    <x v="2"/>
    <x v="0"/>
    <n v="2655"/>
    <n v="6"/>
    <n v="0.27"/>
    <n v="1403"/>
    <x v="2"/>
    <n v="11628.9"/>
    <x v="7"/>
    <n v="2024"/>
    <s v="Q3"/>
    <n v="0.12064769668670296"/>
    <n v="4301.1000000000004"/>
    <s v="High"/>
    <x v="0"/>
    <s v="Above Avg"/>
    <s v="Profit"/>
    <n v="179"/>
  </r>
  <r>
    <n v="229"/>
    <d v="2024-08-16T00:00:00"/>
    <n v="1010"/>
    <s v="Customer_29"/>
    <x v="0"/>
    <x v="3"/>
    <x v="1"/>
    <x v="3"/>
    <n v="738"/>
    <n v="1"/>
    <n v="0.17"/>
    <n v="1581"/>
    <x v="0"/>
    <n v="612.54"/>
    <x v="7"/>
    <n v="2024"/>
    <s v="Q3"/>
    <n v="2.5810559310412384"/>
    <n v="125.46000000000001"/>
    <s v="Low"/>
    <x v="0"/>
    <s v="Below Avg"/>
    <s v="Profit"/>
    <n v="486"/>
  </r>
  <r>
    <n v="230"/>
    <d v="2024-08-17T00:00:00"/>
    <n v="1003"/>
    <s v="Customer_89"/>
    <x v="0"/>
    <x v="1"/>
    <x v="2"/>
    <x v="2"/>
    <n v="1820"/>
    <n v="9"/>
    <n v="0.09"/>
    <n v="631"/>
    <x v="0"/>
    <n v="14905.8"/>
    <x v="7"/>
    <n v="2024"/>
    <s v="Q3"/>
    <n v="4.2332514859987389E-2"/>
    <n v="1474.2"/>
    <s v="High"/>
    <x v="0"/>
    <s v="Above Avg"/>
    <s v="Profit"/>
    <n v="141"/>
  </r>
  <r>
    <n v="231"/>
    <d v="2024-08-18T00:00:00"/>
    <n v="1048"/>
    <s v="Customer_95"/>
    <x v="0"/>
    <x v="3"/>
    <x v="0"/>
    <x v="3"/>
    <n v="3916"/>
    <n v="7"/>
    <n v="0.12"/>
    <n v="1533"/>
    <x v="0"/>
    <n v="24122.560000000001"/>
    <x v="7"/>
    <n v="2024"/>
    <s v="Q3"/>
    <n v="6.3550468938620111E-2"/>
    <n v="3289.44"/>
    <s v="High"/>
    <x v="0"/>
    <s v="Above Avg"/>
    <s v="Profit"/>
    <n v="51"/>
  </r>
  <r>
    <n v="232"/>
    <d v="2024-08-19T00:00:00"/>
    <n v="1003"/>
    <s v="Customer_175"/>
    <x v="0"/>
    <x v="2"/>
    <x v="1"/>
    <x v="1"/>
    <n v="3888"/>
    <n v="5"/>
    <n v="7.0000000000000007E-2"/>
    <n v="1032"/>
    <x v="1"/>
    <n v="18079.199999999899"/>
    <x v="7"/>
    <n v="2024"/>
    <s v="Q3"/>
    <n v="5.7082171777512597E-2"/>
    <n v="1360.8000000000002"/>
    <s v="High"/>
    <x v="0"/>
    <s v="Above Avg"/>
    <s v="Profit"/>
    <n v="91"/>
  </r>
  <r>
    <n v="233"/>
    <d v="2024-08-20T00:00:00"/>
    <n v="1023"/>
    <s v="Customer_15"/>
    <x v="0"/>
    <x v="3"/>
    <x v="1"/>
    <x v="2"/>
    <n v="1813"/>
    <n v="7"/>
    <n v="0.13"/>
    <n v="937"/>
    <x v="2"/>
    <n v="11041.17"/>
    <x v="7"/>
    <n v="2024"/>
    <s v="Q3"/>
    <n v="8.4864194646038421E-2"/>
    <n v="1649.8300000000002"/>
    <s v="High"/>
    <x v="0"/>
    <s v="Above Avg"/>
    <s v="Profit"/>
    <n v="189"/>
  </r>
  <r>
    <n v="234"/>
    <d v="2024-08-21T00:00:00"/>
    <n v="1091"/>
    <s v="Customer_166"/>
    <x v="1"/>
    <x v="2"/>
    <x v="2"/>
    <x v="3"/>
    <n v="4283"/>
    <n v="6"/>
    <n v="0.15"/>
    <n v="436"/>
    <x v="2"/>
    <n v="21843.3"/>
    <x v="7"/>
    <n v="2024"/>
    <s v="Q3"/>
    <n v="1.9960353975818673E-2"/>
    <n v="3854.7"/>
    <s v="High"/>
    <x v="0"/>
    <s v="Above Avg"/>
    <s v="Profit"/>
    <n v="68"/>
  </r>
  <r>
    <n v="235"/>
    <d v="2024-08-22T00:00:00"/>
    <n v="1055"/>
    <s v="Customer_97"/>
    <x v="1"/>
    <x v="3"/>
    <x v="1"/>
    <x v="3"/>
    <n v="4730"/>
    <n v="8"/>
    <n v="0.28000000000000003"/>
    <n v="1356"/>
    <x v="1"/>
    <n v="27244.799999999999"/>
    <x v="7"/>
    <n v="2024"/>
    <s v="Q3"/>
    <n v="4.9770965468639891E-2"/>
    <n v="10595.2"/>
    <s v="High"/>
    <x v="0"/>
    <s v="Above Avg"/>
    <s v="Profit"/>
    <n v="34"/>
  </r>
  <r>
    <n v="236"/>
    <d v="2024-08-23T00:00:00"/>
    <n v="1034"/>
    <s v="Customer_177"/>
    <x v="0"/>
    <x v="2"/>
    <x v="2"/>
    <x v="3"/>
    <n v="4044"/>
    <n v="8"/>
    <n v="0.13"/>
    <n v="-288"/>
    <x v="0"/>
    <n v="28146.240000000002"/>
    <x v="7"/>
    <n v="2024"/>
    <s v="Q3"/>
    <n v="-1.0232272587741736E-2"/>
    <n v="4205.76"/>
    <s v="High"/>
    <x v="0"/>
    <s v="Above Avg"/>
    <s v="Loss"/>
    <n v="29"/>
  </r>
  <r>
    <n v="237"/>
    <d v="2024-08-24T00:00:00"/>
    <n v="1037"/>
    <s v="Customer_40"/>
    <x v="1"/>
    <x v="3"/>
    <x v="0"/>
    <x v="1"/>
    <n v="1901"/>
    <n v="8"/>
    <n v="0.26"/>
    <n v="1933"/>
    <x v="0"/>
    <n v="11253.92"/>
    <x v="7"/>
    <n v="2024"/>
    <s v="Q3"/>
    <n v="0.17176237257773291"/>
    <n v="3954.08"/>
    <s v="High"/>
    <x v="0"/>
    <s v="Above Avg"/>
    <s v="Profit"/>
    <n v="186"/>
  </r>
  <r>
    <n v="238"/>
    <d v="2024-08-25T00:00:00"/>
    <n v="1049"/>
    <s v="Customer_144"/>
    <x v="0"/>
    <x v="0"/>
    <x v="0"/>
    <x v="0"/>
    <n v="4270"/>
    <n v="6"/>
    <n v="0.05"/>
    <n v="1845"/>
    <x v="1"/>
    <n v="24339"/>
    <x v="7"/>
    <n v="2024"/>
    <s v="Q3"/>
    <n v="7.5804264760261308E-2"/>
    <n v="1281"/>
    <s v="High"/>
    <x v="0"/>
    <s v="Above Avg"/>
    <s v="Profit"/>
    <n v="48"/>
  </r>
  <r>
    <n v="239"/>
    <d v="2024-08-26T00:00:00"/>
    <n v="1087"/>
    <s v="Customer_102"/>
    <x v="1"/>
    <x v="3"/>
    <x v="2"/>
    <x v="2"/>
    <n v="3460"/>
    <n v="2"/>
    <n v="0.16"/>
    <n v="898"/>
    <x v="0"/>
    <n v="5812.8"/>
    <x v="7"/>
    <n v="2024"/>
    <s v="Q3"/>
    <n v="0.15448665015139004"/>
    <n v="1107.2"/>
    <s v="High"/>
    <x v="0"/>
    <s v="Below Avg"/>
    <s v="Profit"/>
    <n v="300"/>
  </r>
  <r>
    <n v="240"/>
    <d v="2024-08-27T00:00:00"/>
    <n v="1085"/>
    <s v="Customer_108"/>
    <x v="0"/>
    <x v="1"/>
    <x v="2"/>
    <x v="3"/>
    <n v="4062"/>
    <n v="1"/>
    <n v="0.18"/>
    <n v="630"/>
    <x v="1"/>
    <n v="3330.84"/>
    <x v="7"/>
    <n v="2024"/>
    <s v="Q3"/>
    <n v="0.18914147782541341"/>
    <n v="731.16"/>
    <s v="Medium"/>
    <x v="0"/>
    <s v="Below Avg"/>
    <s v="Profit"/>
    <n v="385"/>
  </r>
  <r>
    <n v="241"/>
    <d v="2024-08-28T00:00:00"/>
    <n v="1025"/>
    <s v="Customer_34"/>
    <x v="1"/>
    <x v="0"/>
    <x v="2"/>
    <x v="3"/>
    <n v="3312"/>
    <n v="6"/>
    <n v="0.18"/>
    <n v="1603"/>
    <x v="0"/>
    <n v="16295.04"/>
    <x v="7"/>
    <n v="2024"/>
    <s v="Q3"/>
    <n v="9.8373492792898934E-2"/>
    <n v="3576.96"/>
    <s v="High"/>
    <x v="0"/>
    <s v="Above Avg"/>
    <s v="Profit"/>
    <n v="119"/>
  </r>
  <r>
    <n v="242"/>
    <d v="2024-08-29T00:00:00"/>
    <n v="1017"/>
    <s v="Customer_127"/>
    <x v="1"/>
    <x v="0"/>
    <x v="0"/>
    <x v="2"/>
    <n v="2687"/>
    <n v="2"/>
    <n v="0.15"/>
    <n v="564"/>
    <x v="0"/>
    <n v="4567.8999999999996"/>
    <x v="7"/>
    <n v="2024"/>
    <s v="Q3"/>
    <n v="0.12347030364062261"/>
    <n v="806.1"/>
    <s v="Medium"/>
    <x v="0"/>
    <s v="Below Avg"/>
    <s v="Profit"/>
    <n v="336"/>
  </r>
  <r>
    <n v="243"/>
    <d v="2024-08-30T00:00:00"/>
    <n v="1058"/>
    <s v="Customer_134"/>
    <x v="1"/>
    <x v="3"/>
    <x v="2"/>
    <x v="2"/>
    <n v="4904"/>
    <n v="7"/>
    <n v="0.23"/>
    <n v="984"/>
    <x v="1"/>
    <n v="26432.560000000001"/>
    <x v="7"/>
    <n v="2024"/>
    <s v="Q3"/>
    <n v="3.7226814201878289E-2"/>
    <n v="7895.4400000000005"/>
    <s v="High"/>
    <x v="0"/>
    <s v="Above Avg"/>
    <s v="Profit"/>
    <n v="38"/>
  </r>
  <r>
    <n v="244"/>
    <d v="2024-08-31T00:00:00"/>
    <n v="1066"/>
    <s v="Customer_103"/>
    <x v="0"/>
    <x v="3"/>
    <x v="0"/>
    <x v="1"/>
    <n v="1799"/>
    <n v="2"/>
    <n v="0.05"/>
    <n v="241"/>
    <x v="1"/>
    <n v="3418.1"/>
    <x v="7"/>
    <n v="2024"/>
    <s v="Q3"/>
    <n v="7.0507006816652534E-2"/>
    <n v="179.9"/>
    <s v="Medium"/>
    <x v="0"/>
    <s v="Below Avg"/>
    <s v="Profit"/>
    <n v="380"/>
  </r>
  <r>
    <n v="245"/>
    <d v="2024-09-01T00:00:00"/>
    <n v="1045"/>
    <s v="Customer_87"/>
    <x v="0"/>
    <x v="2"/>
    <x v="1"/>
    <x v="0"/>
    <n v="247"/>
    <n v="7"/>
    <n v="0.02"/>
    <n v="452"/>
    <x v="0"/>
    <n v="1694.42"/>
    <x v="8"/>
    <n v="2024"/>
    <s v="Q3"/>
    <n v="0.26675794667201758"/>
    <n v="34.58"/>
    <s v="Low"/>
    <x v="0"/>
    <s v="Below Avg"/>
    <s v="Profit"/>
    <n v="447"/>
  </r>
  <r>
    <n v="246"/>
    <d v="2024-09-02T00:00:00"/>
    <n v="1010"/>
    <s v="Customer_181"/>
    <x v="1"/>
    <x v="1"/>
    <x v="2"/>
    <x v="3"/>
    <n v="3111"/>
    <n v="1"/>
    <n v="0.04"/>
    <n v="120"/>
    <x v="1"/>
    <n v="2986.56"/>
    <x v="8"/>
    <n v="2024"/>
    <s v="Q3"/>
    <n v="4.0180006428801027E-2"/>
    <n v="124.44"/>
    <s v="Medium"/>
    <x v="0"/>
    <s v="Below Avg"/>
    <s v="Profit"/>
    <n v="394"/>
  </r>
  <r>
    <n v="247"/>
    <d v="2024-09-03T00:00:00"/>
    <n v="1008"/>
    <s v="Customer_114"/>
    <x v="1"/>
    <x v="3"/>
    <x v="0"/>
    <x v="2"/>
    <n v="1629"/>
    <n v="6"/>
    <n v="0.17"/>
    <n v="1561"/>
    <x v="0"/>
    <n v="8112.4199999999901"/>
    <x v="8"/>
    <n v="2024"/>
    <s v="Q3"/>
    <n v="0.19242100384348959"/>
    <n v="1661.5800000000002"/>
    <s v="High"/>
    <x v="0"/>
    <s v="Below Avg"/>
    <s v="Profit"/>
    <n v="247"/>
  </r>
  <r>
    <n v="248"/>
    <d v="2024-09-04T00:00:00"/>
    <n v="1096"/>
    <s v="Customer_149"/>
    <x v="1"/>
    <x v="1"/>
    <x v="0"/>
    <x v="0"/>
    <n v="4607"/>
    <n v="8"/>
    <n v="7.0000000000000007E-2"/>
    <n v="746"/>
    <x v="0"/>
    <n v="34276.0799999999"/>
    <x v="8"/>
    <n v="2024"/>
    <s v="Q3"/>
    <n v="2.1764449143542731E-2"/>
    <n v="2579.92"/>
    <s v="High"/>
    <x v="0"/>
    <s v="Above Avg"/>
    <s v="Profit"/>
    <n v="13"/>
  </r>
  <r>
    <n v="249"/>
    <d v="2024-09-05T00:00:00"/>
    <n v="1025"/>
    <s v="Customer_99"/>
    <x v="1"/>
    <x v="2"/>
    <x v="1"/>
    <x v="0"/>
    <n v="217"/>
    <n v="4"/>
    <n v="0.22"/>
    <n v="-1"/>
    <x v="2"/>
    <n v="677.04"/>
    <x v="8"/>
    <n v="2024"/>
    <s v="Q3"/>
    <n v="-1.4770176060498641E-3"/>
    <n v="190.96"/>
    <s v="Low"/>
    <x v="0"/>
    <s v="Below Avg"/>
    <s v="Loss"/>
    <n v="485"/>
  </r>
  <r>
    <n v="250"/>
    <d v="2024-09-06T00:00:00"/>
    <n v="1099"/>
    <s v="Customer_157"/>
    <x v="1"/>
    <x v="1"/>
    <x v="0"/>
    <x v="0"/>
    <n v="4979"/>
    <n v="2"/>
    <n v="0.02"/>
    <n v="1538"/>
    <x v="2"/>
    <n v="9758.84"/>
    <x v="8"/>
    <n v="2024"/>
    <s v="Q3"/>
    <n v="0.15760069844366748"/>
    <n v="199.16"/>
    <s v="High"/>
    <x v="0"/>
    <s v="Below Avg"/>
    <s v="Profit"/>
    <n v="208"/>
  </r>
  <r>
    <n v="251"/>
    <d v="2024-09-07T00:00:00"/>
    <n v="1067"/>
    <s v="Customer_2"/>
    <x v="0"/>
    <x v="0"/>
    <x v="2"/>
    <x v="0"/>
    <n v="586"/>
    <n v="9"/>
    <n v="0.27"/>
    <n v="781"/>
    <x v="2"/>
    <n v="3850.02"/>
    <x v="8"/>
    <n v="2024"/>
    <s v="Q3"/>
    <n v="0.20285608905927763"/>
    <n v="1423.98"/>
    <s v="Medium"/>
    <x v="0"/>
    <s v="Below Avg"/>
    <s v="Profit"/>
    <n v="360"/>
  </r>
  <r>
    <n v="252"/>
    <d v="2024-09-08T00:00:00"/>
    <n v="1065"/>
    <s v="Customer_97"/>
    <x v="0"/>
    <x v="2"/>
    <x v="2"/>
    <x v="3"/>
    <n v="1335"/>
    <n v="6"/>
    <n v="0.28999999999999998"/>
    <n v="598"/>
    <x v="1"/>
    <n v="5687.0999999999904"/>
    <x v="8"/>
    <n v="2024"/>
    <s v="Q3"/>
    <n v="0.10515025232543845"/>
    <n v="2322.8999999999996"/>
    <s v="High"/>
    <x v="0"/>
    <s v="Below Avg"/>
    <s v="Profit"/>
    <n v="304"/>
  </r>
  <r>
    <n v="253"/>
    <d v="2024-09-09T00:00:00"/>
    <n v="1007"/>
    <s v="Customer_26"/>
    <x v="0"/>
    <x v="0"/>
    <x v="0"/>
    <x v="0"/>
    <n v="2947"/>
    <n v="2"/>
    <n v="0.24"/>
    <n v="48"/>
    <x v="2"/>
    <n v="4479.4399999999996"/>
    <x v="8"/>
    <n v="2024"/>
    <s v="Q3"/>
    <n v="1.0715625167431644E-2"/>
    <n v="1414.56"/>
    <s v="Medium"/>
    <x v="0"/>
    <s v="Below Avg"/>
    <s v="Profit"/>
    <n v="339"/>
  </r>
  <r>
    <n v="254"/>
    <d v="2024-09-10T00:00:00"/>
    <n v="1070"/>
    <s v="Customer_44"/>
    <x v="1"/>
    <x v="1"/>
    <x v="0"/>
    <x v="3"/>
    <n v="1121"/>
    <n v="5"/>
    <n v="0.26"/>
    <n v="1771"/>
    <x v="2"/>
    <n v="4147.7"/>
    <x v="8"/>
    <n v="2024"/>
    <s v="Q3"/>
    <n v="0.42698362948139934"/>
    <n v="1457.3"/>
    <s v="Medium"/>
    <x v="0"/>
    <s v="Below Avg"/>
    <s v="Profit"/>
    <n v="347"/>
  </r>
  <r>
    <n v="255"/>
    <d v="2024-09-11T00:00:00"/>
    <n v="1099"/>
    <s v="Customer_18"/>
    <x v="0"/>
    <x v="0"/>
    <x v="0"/>
    <x v="2"/>
    <n v="2319"/>
    <n v="7"/>
    <n v="0.11"/>
    <n v="-105"/>
    <x v="0"/>
    <n v="14447.37"/>
    <x v="8"/>
    <n v="2024"/>
    <s v="Q3"/>
    <n v="-7.2677587685509538E-3"/>
    <n v="1785.63"/>
    <s v="High"/>
    <x v="0"/>
    <s v="Above Avg"/>
    <s v="Loss"/>
    <n v="143"/>
  </r>
  <r>
    <n v="256"/>
    <d v="2024-09-12T00:00:00"/>
    <n v="1097"/>
    <s v="Customer_98"/>
    <x v="1"/>
    <x v="0"/>
    <x v="1"/>
    <x v="3"/>
    <n v="3265"/>
    <n v="3"/>
    <n v="0.05"/>
    <n v="1937"/>
    <x v="1"/>
    <n v="9305.25"/>
    <x v="8"/>
    <n v="2024"/>
    <s v="Q3"/>
    <n v="0.20816205905268531"/>
    <n v="489.75"/>
    <s v="High"/>
    <x v="0"/>
    <s v="Below Avg"/>
    <s v="Profit"/>
    <n v="225"/>
  </r>
  <r>
    <n v="257"/>
    <d v="2024-09-13T00:00:00"/>
    <n v="1039"/>
    <s v="Customer_30"/>
    <x v="1"/>
    <x v="2"/>
    <x v="2"/>
    <x v="0"/>
    <n v="3199"/>
    <n v="1"/>
    <n v="0.06"/>
    <n v="1657"/>
    <x v="1"/>
    <n v="3007.06"/>
    <x v="8"/>
    <n v="2024"/>
    <s v="Q3"/>
    <n v="0.55103656062732376"/>
    <n v="191.94"/>
    <s v="Medium"/>
    <x v="0"/>
    <s v="Below Avg"/>
    <s v="Profit"/>
    <n v="392"/>
  </r>
  <r>
    <n v="258"/>
    <d v="2024-09-14T00:00:00"/>
    <n v="1082"/>
    <s v="Customer_108"/>
    <x v="1"/>
    <x v="0"/>
    <x v="0"/>
    <x v="2"/>
    <n v="316"/>
    <n v="5"/>
    <n v="0.15"/>
    <n v="897"/>
    <x v="0"/>
    <n v="1343"/>
    <x v="8"/>
    <n v="2024"/>
    <s v="Q3"/>
    <n v="0.66790766939687263"/>
    <n v="237"/>
    <s v="Low"/>
    <x v="0"/>
    <s v="Below Avg"/>
    <s v="Profit"/>
    <n v="465"/>
  </r>
  <r>
    <n v="259"/>
    <d v="2024-09-15T00:00:00"/>
    <n v="1092"/>
    <s v="Customer_23"/>
    <x v="0"/>
    <x v="0"/>
    <x v="2"/>
    <x v="3"/>
    <n v="4046"/>
    <n v="5"/>
    <n v="0.2"/>
    <n v="-246"/>
    <x v="2"/>
    <n v="16184"/>
    <x v="8"/>
    <n v="2024"/>
    <s v="Q3"/>
    <n v="-1.5200197726149283E-2"/>
    <n v="4046"/>
    <s v="High"/>
    <x v="0"/>
    <s v="Above Avg"/>
    <s v="Loss"/>
    <n v="122"/>
  </r>
  <r>
    <n v="260"/>
    <d v="2024-09-16T00:00:00"/>
    <n v="1038"/>
    <s v="Customer_48"/>
    <x v="1"/>
    <x v="2"/>
    <x v="1"/>
    <x v="3"/>
    <n v="2805"/>
    <n v="7"/>
    <n v="0.17"/>
    <n v="1777"/>
    <x v="1"/>
    <n v="16297.05"/>
    <x v="8"/>
    <n v="2024"/>
    <s v="Q3"/>
    <n v="0.10903813880426212"/>
    <n v="3337.9500000000003"/>
    <s v="High"/>
    <x v="0"/>
    <s v="Above Avg"/>
    <s v="Profit"/>
    <n v="118"/>
  </r>
  <r>
    <n v="261"/>
    <d v="2024-09-17T00:00:00"/>
    <n v="1005"/>
    <s v="Customer_183"/>
    <x v="1"/>
    <x v="0"/>
    <x v="1"/>
    <x v="2"/>
    <n v="1983"/>
    <n v="6"/>
    <n v="0.03"/>
    <n v="722"/>
    <x v="0"/>
    <n v="11541.06"/>
    <x v="8"/>
    <n v="2024"/>
    <s v="Q3"/>
    <n v="6.2559244991361285E-2"/>
    <n v="356.94"/>
    <s v="High"/>
    <x v="0"/>
    <s v="Above Avg"/>
    <s v="Profit"/>
    <n v="180"/>
  </r>
  <r>
    <n v="262"/>
    <d v="2024-09-18T00:00:00"/>
    <n v="1009"/>
    <s v="Customer_127"/>
    <x v="1"/>
    <x v="1"/>
    <x v="2"/>
    <x v="3"/>
    <n v="1606"/>
    <n v="1"/>
    <n v="0.22"/>
    <n v="1195"/>
    <x v="2"/>
    <n v="1252.68"/>
    <x v="8"/>
    <n v="2024"/>
    <s v="Q3"/>
    <n v="0.95395472107800872"/>
    <n v="353.32"/>
    <s v="Low"/>
    <x v="0"/>
    <s v="Below Avg"/>
    <s v="Profit"/>
    <n v="468"/>
  </r>
  <r>
    <n v="263"/>
    <d v="2024-09-19T00:00:00"/>
    <n v="1040"/>
    <s v="Customer_23"/>
    <x v="1"/>
    <x v="0"/>
    <x v="1"/>
    <x v="1"/>
    <n v="4264"/>
    <n v="1"/>
    <n v="0.24"/>
    <n v="-20"/>
    <x v="0"/>
    <n v="3240.64"/>
    <x v="8"/>
    <n v="2024"/>
    <s v="Q3"/>
    <n v="-6.1716204206576485E-3"/>
    <n v="1023.36"/>
    <s v="Medium"/>
    <x v="0"/>
    <s v="Below Avg"/>
    <s v="Loss"/>
    <n v="386"/>
  </r>
  <r>
    <n v="264"/>
    <d v="2024-09-20T00:00:00"/>
    <n v="1068"/>
    <s v="Customer_40"/>
    <x v="1"/>
    <x v="1"/>
    <x v="2"/>
    <x v="0"/>
    <n v="2397"/>
    <n v="7"/>
    <n v="0.01"/>
    <n v="-217"/>
    <x v="2"/>
    <n v="16611.21"/>
    <x v="8"/>
    <n v="2024"/>
    <s v="Q3"/>
    <n v="-1.3063467381364754E-2"/>
    <n v="167.79"/>
    <s v="High"/>
    <x v="0"/>
    <s v="Above Avg"/>
    <s v="Loss"/>
    <n v="113"/>
  </r>
  <r>
    <n v="265"/>
    <d v="2024-09-21T00:00:00"/>
    <n v="1087"/>
    <s v="Customer_64"/>
    <x v="1"/>
    <x v="2"/>
    <x v="2"/>
    <x v="2"/>
    <n v="1811"/>
    <n v="2"/>
    <n v="0.14000000000000001"/>
    <n v="1730"/>
    <x v="0"/>
    <n v="3114.92"/>
    <x v="8"/>
    <n v="2024"/>
    <s v="Q3"/>
    <n v="0.55539147072798012"/>
    <n v="507.08000000000004"/>
    <s v="Medium"/>
    <x v="0"/>
    <s v="Below Avg"/>
    <s v="Profit"/>
    <n v="389"/>
  </r>
  <r>
    <n v="266"/>
    <d v="2024-09-22T00:00:00"/>
    <n v="1021"/>
    <s v="Customer_72"/>
    <x v="1"/>
    <x v="2"/>
    <x v="0"/>
    <x v="0"/>
    <n v="1107"/>
    <n v="9"/>
    <n v="0.13"/>
    <n v="655"/>
    <x v="1"/>
    <n v="8667.81"/>
    <x v="8"/>
    <n v="2024"/>
    <s v="Q3"/>
    <n v="7.5566954051830865E-2"/>
    <n v="1295.19"/>
    <s v="High"/>
    <x v="0"/>
    <s v="Below Avg"/>
    <s v="Profit"/>
    <n v="235"/>
  </r>
  <r>
    <n v="267"/>
    <d v="2024-09-23T00:00:00"/>
    <n v="1089"/>
    <s v="Customer_142"/>
    <x v="0"/>
    <x v="0"/>
    <x v="0"/>
    <x v="1"/>
    <n v="2696"/>
    <n v="9"/>
    <n v="0.02"/>
    <n v="445"/>
    <x v="1"/>
    <n v="23778.720000000001"/>
    <x v="8"/>
    <n v="2024"/>
    <s v="Q3"/>
    <n v="1.8714211698527085E-2"/>
    <n v="485.28000000000003"/>
    <s v="High"/>
    <x v="0"/>
    <s v="Above Avg"/>
    <s v="Profit"/>
    <n v="53"/>
  </r>
  <r>
    <n v="268"/>
    <d v="2024-09-24T00:00:00"/>
    <n v="1050"/>
    <s v="Customer_124"/>
    <x v="1"/>
    <x v="2"/>
    <x v="2"/>
    <x v="2"/>
    <n v="3486"/>
    <n v="4"/>
    <n v="0.05"/>
    <n v="1943"/>
    <x v="2"/>
    <n v="13246.8"/>
    <x v="8"/>
    <n v="2024"/>
    <s v="Q3"/>
    <n v="0.14667693329709819"/>
    <n v="697.2"/>
    <s v="High"/>
    <x v="0"/>
    <s v="Above Avg"/>
    <s v="Profit"/>
    <n v="158"/>
  </r>
  <r>
    <n v="269"/>
    <d v="2024-09-25T00:00:00"/>
    <n v="1036"/>
    <s v="Customer_110"/>
    <x v="1"/>
    <x v="2"/>
    <x v="0"/>
    <x v="0"/>
    <n v="1882"/>
    <n v="3"/>
    <n v="0.24"/>
    <n v="1096"/>
    <x v="2"/>
    <n v="4290.96"/>
    <x v="8"/>
    <n v="2024"/>
    <s v="Q3"/>
    <n v="0.25542069839849357"/>
    <n v="1355.04"/>
    <s v="Medium"/>
    <x v="0"/>
    <s v="Below Avg"/>
    <s v="Profit"/>
    <n v="342"/>
  </r>
  <r>
    <n v="270"/>
    <d v="2024-09-26T00:00:00"/>
    <n v="1044"/>
    <s v="Customer_78"/>
    <x v="1"/>
    <x v="3"/>
    <x v="2"/>
    <x v="3"/>
    <n v="4244"/>
    <n v="8"/>
    <n v="0.18"/>
    <n v="1997"/>
    <x v="0"/>
    <n v="27840.639999999999"/>
    <x v="8"/>
    <n v="2024"/>
    <s v="Q3"/>
    <n v="7.1729672881083201E-2"/>
    <n v="6111.36"/>
    <s v="High"/>
    <x v="0"/>
    <s v="Above Avg"/>
    <s v="Profit"/>
    <n v="33"/>
  </r>
  <r>
    <n v="271"/>
    <d v="2024-09-27T00:00:00"/>
    <n v="1092"/>
    <s v="Customer_2"/>
    <x v="0"/>
    <x v="1"/>
    <x v="1"/>
    <x v="1"/>
    <n v="2461"/>
    <n v="4"/>
    <n v="7.0000000000000007E-2"/>
    <n v="1327"/>
    <x v="1"/>
    <n v="9154.92"/>
    <x v="8"/>
    <n v="2024"/>
    <s v="Q3"/>
    <n v="0.14494938240858468"/>
    <n v="689.08"/>
    <s v="High"/>
    <x v="0"/>
    <s v="Below Avg"/>
    <s v="Profit"/>
    <n v="228"/>
  </r>
  <r>
    <n v="272"/>
    <d v="2024-09-28T00:00:00"/>
    <n v="1099"/>
    <s v="Customer_122"/>
    <x v="1"/>
    <x v="0"/>
    <x v="0"/>
    <x v="2"/>
    <n v="4549"/>
    <n v="3"/>
    <n v="0.14000000000000001"/>
    <n v="1353"/>
    <x v="2"/>
    <n v="11736.42"/>
    <x v="8"/>
    <n v="2024"/>
    <s v="Q3"/>
    <n v="0.11528217292837169"/>
    <n v="1910.5800000000002"/>
    <s v="High"/>
    <x v="0"/>
    <s v="Above Avg"/>
    <s v="Profit"/>
    <n v="176"/>
  </r>
  <r>
    <n v="273"/>
    <d v="2024-09-29T00:00:00"/>
    <n v="1083"/>
    <s v="Customer_4"/>
    <x v="1"/>
    <x v="0"/>
    <x v="2"/>
    <x v="1"/>
    <n v="1134"/>
    <n v="3"/>
    <n v="0.26"/>
    <n v="1911"/>
    <x v="0"/>
    <n v="2517.48"/>
    <x v="8"/>
    <n v="2024"/>
    <s v="Q3"/>
    <n v="0.75909242575909242"/>
    <n v="884.52"/>
    <s v="Medium"/>
    <x v="0"/>
    <s v="Below Avg"/>
    <s v="Profit"/>
    <n v="409"/>
  </r>
  <r>
    <n v="274"/>
    <d v="2024-09-30T00:00:00"/>
    <n v="1081"/>
    <s v="Customer_100"/>
    <x v="0"/>
    <x v="2"/>
    <x v="0"/>
    <x v="3"/>
    <n v="3921"/>
    <n v="3"/>
    <n v="0.03"/>
    <n v="-471"/>
    <x v="2"/>
    <n v="11410.11"/>
    <x v="8"/>
    <n v="2024"/>
    <s v="Q3"/>
    <n v="-4.1279181357585508E-2"/>
    <n v="352.89"/>
    <s v="High"/>
    <x v="0"/>
    <s v="Above Avg"/>
    <s v="Loss"/>
    <n v="182"/>
  </r>
  <r>
    <n v="275"/>
    <d v="2024-10-01T00:00:00"/>
    <n v="1061"/>
    <s v="Customer_9"/>
    <x v="0"/>
    <x v="3"/>
    <x v="0"/>
    <x v="3"/>
    <n v="3876"/>
    <n v="1"/>
    <n v="0.28999999999999998"/>
    <n v="71"/>
    <x v="0"/>
    <n v="2751.96"/>
    <x v="9"/>
    <n v="2024"/>
    <s v="Q4"/>
    <n v="2.5799793601651185E-2"/>
    <n v="1124.04"/>
    <s v="Medium"/>
    <x v="0"/>
    <s v="Below Avg"/>
    <s v="Profit"/>
    <n v="401"/>
  </r>
  <r>
    <n v="276"/>
    <d v="2024-10-02T00:00:00"/>
    <n v="1014"/>
    <s v="Customer_16"/>
    <x v="1"/>
    <x v="2"/>
    <x v="2"/>
    <x v="2"/>
    <n v="4808"/>
    <n v="5"/>
    <n v="0.04"/>
    <n v="860"/>
    <x v="2"/>
    <n v="23078.3999999999"/>
    <x v="9"/>
    <n v="2024"/>
    <s v="Q4"/>
    <n v="3.7264281752634659E-2"/>
    <n v="961.6"/>
    <s v="High"/>
    <x v="0"/>
    <s v="Above Avg"/>
    <s v="Profit"/>
    <n v="58"/>
  </r>
  <r>
    <n v="277"/>
    <d v="2024-10-03T00:00:00"/>
    <n v="1078"/>
    <s v="Customer_96"/>
    <x v="0"/>
    <x v="0"/>
    <x v="2"/>
    <x v="2"/>
    <n v="1839"/>
    <n v="2"/>
    <n v="0.09"/>
    <n v="1136"/>
    <x v="2"/>
    <n v="3346.98"/>
    <x v="9"/>
    <n v="2024"/>
    <s v="Q4"/>
    <n v="0.33941045360294952"/>
    <n v="331.02"/>
    <s v="Medium"/>
    <x v="0"/>
    <s v="Below Avg"/>
    <s v="Profit"/>
    <n v="384"/>
  </r>
  <r>
    <n v="278"/>
    <d v="2024-10-04T00:00:00"/>
    <n v="1023"/>
    <s v="Customer_160"/>
    <x v="0"/>
    <x v="2"/>
    <x v="2"/>
    <x v="1"/>
    <n v="535"/>
    <n v="7"/>
    <n v="0.05"/>
    <n v="-213"/>
    <x v="2"/>
    <n v="3557.75"/>
    <x v="9"/>
    <n v="2024"/>
    <s v="Q4"/>
    <n v="-5.9869299416766213E-2"/>
    <n v="187.25"/>
    <s v="Medium"/>
    <x v="0"/>
    <s v="Below Avg"/>
    <s v="Loss"/>
    <n v="374"/>
  </r>
  <r>
    <n v="279"/>
    <d v="2024-10-05T00:00:00"/>
    <n v="1062"/>
    <s v="Customer_27"/>
    <x v="1"/>
    <x v="3"/>
    <x v="0"/>
    <x v="2"/>
    <n v="592"/>
    <n v="4"/>
    <n v="0.14000000000000001"/>
    <n v="549"/>
    <x v="2"/>
    <n v="2036.48"/>
    <x v="9"/>
    <n v="2024"/>
    <s v="Q4"/>
    <n v="0.26958280955373981"/>
    <n v="331.52000000000004"/>
    <s v="Medium"/>
    <x v="0"/>
    <s v="Below Avg"/>
    <s v="Profit"/>
    <n v="428"/>
  </r>
  <r>
    <n v="280"/>
    <d v="2024-10-06T00:00:00"/>
    <n v="1028"/>
    <s v="Customer_15"/>
    <x v="0"/>
    <x v="2"/>
    <x v="0"/>
    <x v="0"/>
    <n v="4041"/>
    <n v="2"/>
    <n v="0.09"/>
    <n v="-358"/>
    <x v="0"/>
    <n v="7354.62"/>
    <x v="9"/>
    <n v="2024"/>
    <s v="Q4"/>
    <n v="-4.8676886093367164E-2"/>
    <n v="727.38"/>
    <s v="High"/>
    <x v="0"/>
    <s v="Below Avg"/>
    <s v="Loss"/>
    <n v="267"/>
  </r>
  <r>
    <n v="281"/>
    <d v="2024-10-07T00:00:00"/>
    <n v="1080"/>
    <s v="Customer_68"/>
    <x v="0"/>
    <x v="3"/>
    <x v="2"/>
    <x v="1"/>
    <n v="2216"/>
    <n v="8"/>
    <n v="0.3"/>
    <n v="618"/>
    <x v="2"/>
    <n v="12409.5999999999"/>
    <x v="9"/>
    <n v="2024"/>
    <s v="Q4"/>
    <n v="4.9800154718927681E-2"/>
    <n v="5318.4"/>
    <s v="High"/>
    <x v="0"/>
    <s v="Above Avg"/>
    <s v="Profit"/>
    <n v="164"/>
  </r>
  <r>
    <n v="282"/>
    <d v="2024-10-08T00:00:00"/>
    <n v="1024"/>
    <s v="Customer_25"/>
    <x v="0"/>
    <x v="3"/>
    <x v="2"/>
    <x v="0"/>
    <n v="2168"/>
    <n v="8"/>
    <n v="0"/>
    <n v="853"/>
    <x v="1"/>
    <n v="17344"/>
    <x v="9"/>
    <n v="2024"/>
    <s v="Q4"/>
    <n v="4.9181273062730631E-2"/>
    <n v="0"/>
    <s v="High"/>
    <x v="0"/>
    <s v="Above Avg"/>
    <s v="Profit"/>
    <n v="101"/>
  </r>
  <r>
    <n v="283"/>
    <d v="2024-10-09T00:00:00"/>
    <n v="1015"/>
    <s v="Customer_15"/>
    <x v="0"/>
    <x v="2"/>
    <x v="1"/>
    <x v="1"/>
    <n v="1828"/>
    <n v="1"/>
    <n v="0.1"/>
    <n v="892"/>
    <x v="2"/>
    <n v="1645.2"/>
    <x v="9"/>
    <n v="2024"/>
    <s v="Q4"/>
    <n v="0.54218332117675661"/>
    <n v="182.8"/>
    <s v="Low"/>
    <x v="0"/>
    <s v="Below Avg"/>
    <s v="Profit"/>
    <n v="450"/>
  </r>
  <r>
    <n v="284"/>
    <d v="2024-10-10T00:00:00"/>
    <n v="1049"/>
    <s v="Customer_12"/>
    <x v="1"/>
    <x v="0"/>
    <x v="0"/>
    <x v="2"/>
    <n v="2743"/>
    <n v="5"/>
    <n v="0.18"/>
    <n v="-288"/>
    <x v="2"/>
    <n v="11246.3"/>
    <x v="9"/>
    <n v="2024"/>
    <s v="Q4"/>
    <n v="-2.5608422325564855E-2"/>
    <n v="2468.6999999999998"/>
    <s v="High"/>
    <x v="0"/>
    <s v="Above Avg"/>
    <s v="Loss"/>
    <n v="187"/>
  </r>
  <r>
    <n v="285"/>
    <d v="2024-10-11T00:00:00"/>
    <n v="1080"/>
    <s v="Customer_71"/>
    <x v="1"/>
    <x v="3"/>
    <x v="1"/>
    <x v="3"/>
    <n v="3747"/>
    <n v="2"/>
    <n v="0.1"/>
    <n v="-334"/>
    <x v="1"/>
    <n v="6744.6"/>
    <x v="9"/>
    <n v="2024"/>
    <s v="Q4"/>
    <n v="-4.9521098360169616E-2"/>
    <n v="749.40000000000009"/>
    <s v="High"/>
    <x v="0"/>
    <s v="Below Avg"/>
    <s v="Loss"/>
    <n v="281"/>
  </r>
  <r>
    <n v="286"/>
    <d v="2024-10-12T00:00:00"/>
    <n v="1084"/>
    <s v="Customer_152"/>
    <x v="1"/>
    <x v="0"/>
    <x v="0"/>
    <x v="3"/>
    <n v="3612"/>
    <n v="9"/>
    <n v="0.14000000000000001"/>
    <n v="74"/>
    <x v="2"/>
    <n v="27956.880000000001"/>
    <x v="9"/>
    <n v="2024"/>
    <s v="Q4"/>
    <n v="2.6469334203244425E-3"/>
    <n v="4551.1200000000008"/>
    <s v="High"/>
    <x v="0"/>
    <s v="Above Avg"/>
    <s v="Profit"/>
    <n v="31"/>
  </r>
  <r>
    <n v="287"/>
    <d v="2024-10-13T00:00:00"/>
    <n v="1090"/>
    <s v="Customer_70"/>
    <x v="1"/>
    <x v="3"/>
    <x v="0"/>
    <x v="1"/>
    <n v="1459"/>
    <n v="2"/>
    <n v="0.13"/>
    <n v="-190"/>
    <x v="0"/>
    <n v="2538.66"/>
    <x v="9"/>
    <n v="2024"/>
    <s v="Q4"/>
    <n v="-7.4842633515319112E-2"/>
    <n v="379.34000000000003"/>
    <s v="Medium"/>
    <x v="0"/>
    <s v="Below Avg"/>
    <s v="Loss"/>
    <n v="408"/>
  </r>
  <r>
    <n v="288"/>
    <d v="2024-10-14T00:00:00"/>
    <n v="1004"/>
    <s v="Customer_112"/>
    <x v="1"/>
    <x v="0"/>
    <x v="0"/>
    <x v="0"/>
    <n v="2607"/>
    <n v="7"/>
    <n v="0.03"/>
    <n v="431"/>
    <x v="0"/>
    <n v="17701.53"/>
    <x v="9"/>
    <n v="2024"/>
    <s v="Q4"/>
    <n v="2.4348177812878322E-2"/>
    <n v="547.47"/>
    <s v="High"/>
    <x v="0"/>
    <s v="Above Avg"/>
    <s v="Profit"/>
    <n v="93"/>
  </r>
  <r>
    <n v="289"/>
    <d v="2024-10-15T00:00:00"/>
    <n v="1021"/>
    <s v="Customer_169"/>
    <x v="0"/>
    <x v="0"/>
    <x v="2"/>
    <x v="3"/>
    <n v="3261"/>
    <n v="2"/>
    <n v="0.19"/>
    <n v="1891"/>
    <x v="2"/>
    <n v="5282.82"/>
    <x v="9"/>
    <n v="2024"/>
    <s v="Q4"/>
    <n v="0.35795276007889726"/>
    <n v="1239.18"/>
    <s v="High"/>
    <x v="0"/>
    <s v="Below Avg"/>
    <s v="Profit"/>
    <n v="317"/>
  </r>
  <r>
    <n v="290"/>
    <d v="2024-10-16T00:00:00"/>
    <n v="1032"/>
    <s v="Customer_60"/>
    <x v="1"/>
    <x v="2"/>
    <x v="2"/>
    <x v="1"/>
    <n v="3495"/>
    <n v="2"/>
    <n v="0.25"/>
    <n v="1055"/>
    <x v="0"/>
    <n v="5242.5"/>
    <x v="9"/>
    <n v="2024"/>
    <s v="Q4"/>
    <n v="0.20123986647591799"/>
    <n v="1747.5"/>
    <s v="High"/>
    <x v="0"/>
    <s v="Below Avg"/>
    <s v="Profit"/>
    <n v="318"/>
  </r>
  <r>
    <n v="291"/>
    <d v="2024-10-17T00:00:00"/>
    <n v="1039"/>
    <s v="Customer_31"/>
    <x v="0"/>
    <x v="2"/>
    <x v="2"/>
    <x v="1"/>
    <n v="3159"/>
    <n v="1"/>
    <n v="0.16"/>
    <n v="528"/>
    <x v="2"/>
    <n v="2653.56"/>
    <x v="9"/>
    <n v="2024"/>
    <s v="Q4"/>
    <n v="0.19897797675575454"/>
    <n v="505.44"/>
    <s v="Medium"/>
    <x v="0"/>
    <s v="Below Avg"/>
    <s v="Profit"/>
    <n v="406"/>
  </r>
  <r>
    <n v="292"/>
    <d v="2024-10-18T00:00:00"/>
    <n v="1001"/>
    <s v="Customer_149"/>
    <x v="1"/>
    <x v="0"/>
    <x v="2"/>
    <x v="3"/>
    <n v="2792"/>
    <n v="1"/>
    <n v="0.04"/>
    <n v="1424"/>
    <x v="1"/>
    <n v="2680.3199999999902"/>
    <x v="9"/>
    <n v="2024"/>
    <s v="Q4"/>
    <n v="0.53127984718242793"/>
    <n v="111.68"/>
    <s v="Medium"/>
    <x v="0"/>
    <s v="Below Avg"/>
    <s v="Profit"/>
    <n v="404"/>
  </r>
  <r>
    <n v="293"/>
    <d v="2024-10-19T00:00:00"/>
    <n v="1098"/>
    <s v="Customer_60"/>
    <x v="1"/>
    <x v="2"/>
    <x v="2"/>
    <x v="3"/>
    <n v="462"/>
    <n v="9"/>
    <n v="0.14000000000000001"/>
    <n v="448"/>
    <x v="0"/>
    <n v="3575.88"/>
    <x v="9"/>
    <n v="2024"/>
    <s v="Q4"/>
    <n v="0.12528384621407876"/>
    <n v="582.12"/>
    <s v="Medium"/>
    <x v="0"/>
    <s v="Below Avg"/>
    <s v="Profit"/>
    <n v="372"/>
  </r>
  <r>
    <n v="294"/>
    <d v="2024-10-20T00:00:00"/>
    <n v="1082"/>
    <s v="Customer_75"/>
    <x v="1"/>
    <x v="3"/>
    <x v="0"/>
    <x v="0"/>
    <n v="373"/>
    <n v="2"/>
    <n v="0"/>
    <n v="509"/>
    <x v="2"/>
    <n v="746"/>
    <x v="9"/>
    <n v="2024"/>
    <s v="Q4"/>
    <n v="0.68230563002680966"/>
    <n v="0"/>
    <s v="Low"/>
    <x v="0"/>
    <s v="Below Avg"/>
    <s v="Profit"/>
    <n v="483"/>
  </r>
  <r>
    <n v="295"/>
    <d v="2024-10-21T00:00:00"/>
    <n v="1090"/>
    <s v="Customer_14"/>
    <x v="1"/>
    <x v="0"/>
    <x v="1"/>
    <x v="2"/>
    <n v="4106"/>
    <n v="3"/>
    <n v="0.27"/>
    <n v="1883"/>
    <x v="0"/>
    <n v="8992.14"/>
    <x v="9"/>
    <n v="2024"/>
    <s v="Q4"/>
    <n v="0.20940510267856152"/>
    <n v="3325.86"/>
    <s v="High"/>
    <x v="0"/>
    <s v="Below Avg"/>
    <s v="Profit"/>
    <n v="231"/>
  </r>
  <r>
    <n v="296"/>
    <d v="2024-10-22T00:00:00"/>
    <n v="1035"/>
    <s v="Customer_102"/>
    <x v="1"/>
    <x v="1"/>
    <x v="1"/>
    <x v="0"/>
    <n v="3188"/>
    <n v="9"/>
    <n v="7.0000000000000007E-2"/>
    <n v="956"/>
    <x v="2"/>
    <n v="26683.559999999899"/>
    <x v="9"/>
    <n v="2024"/>
    <s v="Q4"/>
    <n v="3.5827303403294146E-2"/>
    <n v="2008.4400000000003"/>
    <s v="High"/>
    <x v="0"/>
    <s v="Above Avg"/>
    <s v="Profit"/>
    <n v="35"/>
  </r>
  <r>
    <n v="297"/>
    <d v="2024-10-23T00:00:00"/>
    <n v="1058"/>
    <s v="Customer_82"/>
    <x v="0"/>
    <x v="0"/>
    <x v="1"/>
    <x v="1"/>
    <n v="3427"/>
    <n v="6"/>
    <n v="0.27"/>
    <n v="803"/>
    <x v="1"/>
    <n v="15010.26"/>
    <x v="9"/>
    <n v="2024"/>
    <s v="Q4"/>
    <n v="5.3496741562104856E-2"/>
    <n v="5551.7400000000007"/>
    <s v="High"/>
    <x v="0"/>
    <s v="Above Avg"/>
    <s v="Profit"/>
    <n v="138"/>
  </r>
  <r>
    <n v="298"/>
    <d v="2024-10-24T00:00:00"/>
    <n v="1038"/>
    <s v="Customer_14"/>
    <x v="0"/>
    <x v="3"/>
    <x v="1"/>
    <x v="1"/>
    <n v="227"/>
    <n v="6"/>
    <n v="0.18"/>
    <n v="1807"/>
    <x v="2"/>
    <n v="1116.8399999999999"/>
    <x v="9"/>
    <n v="2024"/>
    <s v="Q4"/>
    <n v="1.6179578095340426"/>
    <n v="245.16"/>
    <s v="Low"/>
    <x v="0"/>
    <s v="Below Avg"/>
    <s v="Profit"/>
    <n v="475"/>
  </r>
  <r>
    <n v="299"/>
    <d v="2024-10-25T00:00:00"/>
    <n v="1001"/>
    <s v="Customer_152"/>
    <x v="1"/>
    <x v="3"/>
    <x v="2"/>
    <x v="2"/>
    <n v="3346"/>
    <n v="9"/>
    <n v="0.28999999999999998"/>
    <n v="784"/>
    <x v="0"/>
    <n v="21380.94"/>
    <x v="9"/>
    <n v="2024"/>
    <s v="Q4"/>
    <n v="3.6668172680901778E-2"/>
    <n v="8733.06"/>
    <s v="High"/>
    <x v="0"/>
    <s v="Above Avg"/>
    <s v="Profit"/>
    <n v="72"/>
  </r>
  <r>
    <n v="300"/>
    <d v="2024-10-26T00:00:00"/>
    <n v="1052"/>
    <s v="Customer_25"/>
    <x v="1"/>
    <x v="3"/>
    <x v="1"/>
    <x v="0"/>
    <n v="1300"/>
    <n v="7"/>
    <n v="0.25"/>
    <n v="-190"/>
    <x v="0"/>
    <n v="6825"/>
    <x v="9"/>
    <n v="2024"/>
    <s v="Q4"/>
    <n v="-2.7838827838827841E-2"/>
    <n v="2275"/>
    <s v="High"/>
    <x v="0"/>
    <s v="Below Avg"/>
    <s v="Loss"/>
    <n v="276"/>
  </r>
  <r>
    <n v="301"/>
    <d v="2024-10-27T00:00:00"/>
    <n v="1017"/>
    <s v="Customer_109"/>
    <x v="1"/>
    <x v="3"/>
    <x v="1"/>
    <x v="0"/>
    <n v="3165"/>
    <n v="3"/>
    <n v="0"/>
    <n v="286"/>
    <x v="1"/>
    <n v="9495"/>
    <x v="9"/>
    <n v="2024"/>
    <s v="Q4"/>
    <n v="3.0121116377040548E-2"/>
    <n v="0"/>
    <s v="High"/>
    <x v="0"/>
    <s v="Below Avg"/>
    <s v="Profit"/>
    <n v="216"/>
  </r>
  <r>
    <n v="302"/>
    <d v="2024-10-28T00:00:00"/>
    <n v="1045"/>
    <s v="Customer_108"/>
    <x v="1"/>
    <x v="0"/>
    <x v="1"/>
    <x v="0"/>
    <n v="4359"/>
    <n v="9"/>
    <n v="0"/>
    <n v="198"/>
    <x v="1"/>
    <n v="39231"/>
    <x v="9"/>
    <n v="2024"/>
    <s v="Q4"/>
    <n v="5.0470291351227348E-3"/>
    <n v="0"/>
    <s v="High"/>
    <x v="0"/>
    <s v="Above Avg"/>
    <s v="Profit"/>
    <n v="3"/>
  </r>
  <r>
    <n v="303"/>
    <d v="2024-10-29T00:00:00"/>
    <n v="1022"/>
    <s v="Customer_156"/>
    <x v="0"/>
    <x v="2"/>
    <x v="0"/>
    <x v="3"/>
    <n v="4615"/>
    <n v="4"/>
    <n v="0.22"/>
    <n v="247"/>
    <x v="2"/>
    <n v="14398.8"/>
    <x v="9"/>
    <n v="2024"/>
    <s v="Q4"/>
    <n v="1.7154207295052366E-2"/>
    <n v="4061.2"/>
    <s v="High"/>
    <x v="0"/>
    <s v="Above Avg"/>
    <s v="Profit"/>
    <n v="145"/>
  </r>
  <r>
    <n v="304"/>
    <d v="2024-10-30T00:00:00"/>
    <n v="1053"/>
    <s v="Customer_88"/>
    <x v="0"/>
    <x v="3"/>
    <x v="1"/>
    <x v="1"/>
    <n v="3662"/>
    <n v="3"/>
    <n v="0.16"/>
    <n v="1555"/>
    <x v="2"/>
    <n v="9228.24"/>
    <x v="9"/>
    <n v="2024"/>
    <s v="Q4"/>
    <n v="0.16850450356731078"/>
    <n v="1757.76"/>
    <s v="High"/>
    <x v="1"/>
    <s v="Below Avg"/>
    <s v="Profit"/>
    <n v="226"/>
  </r>
  <r>
    <n v="305"/>
    <d v="2024-10-31T00:00:00"/>
    <n v="1089"/>
    <s v="Customer_18"/>
    <x v="1"/>
    <x v="0"/>
    <x v="0"/>
    <x v="0"/>
    <n v="170"/>
    <n v="9"/>
    <n v="0.23"/>
    <n v="291"/>
    <x v="2"/>
    <n v="1178.0999999999999"/>
    <x v="9"/>
    <n v="2024"/>
    <s v="Q4"/>
    <n v="0.24700789406671761"/>
    <n v="351.90000000000003"/>
    <s v="Low"/>
    <x v="0"/>
    <s v="Below Avg"/>
    <s v="Profit"/>
    <n v="470"/>
  </r>
  <r>
    <n v="306"/>
    <d v="2024-11-01T00:00:00"/>
    <n v="1074"/>
    <s v="Customer_57"/>
    <x v="1"/>
    <x v="0"/>
    <x v="0"/>
    <x v="3"/>
    <n v="4005"/>
    <n v="3"/>
    <n v="0.18"/>
    <n v="940"/>
    <x v="2"/>
    <n v="9852.2999999999993"/>
    <x v="10"/>
    <n v="2024"/>
    <s v="Q4"/>
    <n v="9.5409193792312469E-2"/>
    <n v="2162.6999999999998"/>
    <s v="High"/>
    <x v="0"/>
    <s v="Below Avg"/>
    <s v="Profit"/>
    <n v="206"/>
  </r>
  <r>
    <n v="307"/>
    <d v="2024-11-02T00:00:00"/>
    <n v="1000"/>
    <s v="Customer_98"/>
    <x v="0"/>
    <x v="0"/>
    <x v="0"/>
    <x v="3"/>
    <n v="568"/>
    <n v="1"/>
    <n v="7.0000000000000007E-2"/>
    <n v="1894"/>
    <x v="0"/>
    <n v="528.24"/>
    <x v="10"/>
    <n v="2024"/>
    <s v="Q4"/>
    <n v="3.585491443283356"/>
    <n v="39.760000000000005"/>
    <s v="Low"/>
    <x v="0"/>
    <s v="Below Avg"/>
    <s v="Profit"/>
    <n v="490"/>
  </r>
  <r>
    <n v="308"/>
    <d v="2024-11-03T00:00:00"/>
    <n v="1035"/>
    <s v="Customer_170"/>
    <x v="0"/>
    <x v="3"/>
    <x v="1"/>
    <x v="0"/>
    <n v="3660"/>
    <n v="3"/>
    <n v="0.24"/>
    <n v="1824"/>
    <x v="2"/>
    <n v="8344.7999999999993"/>
    <x v="10"/>
    <n v="2024"/>
    <s v="Q4"/>
    <n v="0.21857923497267762"/>
    <n v="2635.2"/>
    <s v="High"/>
    <x v="0"/>
    <s v="Below Avg"/>
    <s v="Profit"/>
    <n v="241"/>
  </r>
  <r>
    <n v="309"/>
    <d v="2024-11-04T00:00:00"/>
    <n v="1083"/>
    <s v="Customer_67"/>
    <x v="1"/>
    <x v="1"/>
    <x v="2"/>
    <x v="1"/>
    <n v="2023"/>
    <n v="3"/>
    <n v="0.01"/>
    <n v="356"/>
    <x v="1"/>
    <n v="6008.31"/>
    <x v="10"/>
    <n v="2024"/>
    <s v="Q4"/>
    <n v="5.9251270323934679E-2"/>
    <n v="60.69"/>
    <s v="High"/>
    <x v="0"/>
    <s v="Below Avg"/>
    <s v="Profit"/>
    <n v="297"/>
  </r>
  <r>
    <n v="310"/>
    <d v="2024-11-05T00:00:00"/>
    <n v="1094"/>
    <s v="Customer_140"/>
    <x v="0"/>
    <x v="3"/>
    <x v="1"/>
    <x v="2"/>
    <n v="3079"/>
    <n v="5"/>
    <n v="0.24"/>
    <n v="1522"/>
    <x v="0"/>
    <n v="11700.2"/>
    <x v="10"/>
    <n v="2024"/>
    <s v="Q4"/>
    <n v="0.13008324644023178"/>
    <n v="3694.7999999999997"/>
    <s v="High"/>
    <x v="0"/>
    <s v="Above Avg"/>
    <s v="Profit"/>
    <n v="178"/>
  </r>
  <r>
    <n v="311"/>
    <d v="2024-11-06T00:00:00"/>
    <n v="1071"/>
    <s v="Customer_164"/>
    <x v="1"/>
    <x v="0"/>
    <x v="2"/>
    <x v="2"/>
    <n v="4122"/>
    <n v="9"/>
    <n v="0.2"/>
    <n v="-297"/>
    <x v="1"/>
    <n v="29678.400000000001"/>
    <x v="10"/>
    <n v="2024"/>
    <s v="Q4"/>
    <n v="-1.0007278020378457E-2"/>
    <n v="7419.6"/>
    <s v="High"/>
    <x v="0"/>
    <s v="Above Avg"/>
    <s v="Loss"/>
    <n v="25"/>
  </r>
  <r>
    <n v="312"/>
    <d v="2024-11-07T00:00:00"/>
    <n v="1039"/>
    <s v="Customer_69"/>
    <x v="1"/>
    <x v="3"/>
    <x v="1"/>
    <x v="0"/>
    <n v="4319"/>
    <n v="7"/>
    <n v="0.2"/>
    <n v="1668"/>
    <x v="0"/>
    <n v="24186.400000000001"/>
    <x v="10"/>
    <n v="2024"/>
    <s v="Q4"/>
    <n v="6.896437667449476E-2"/>
    <n v="6046.6"/>
    <s v="High"/>
    <x v="0"/>
    <s v="Above Avg"/>
    <s v="Profit"/>
    <n v="50"/>
  </r>
  <r>
    <n v="313"/>
    <d v="2024-11-08T00:00:00"/>
    <n v="1087"/>
    <s v="Customer_83"/>
    <x v="0"/>
    <x v="2"/>
    <x v="1"/>
    <x v="1"/>
    <n v="4618"/>
    <n v="3"/>
    <n v="0.01"/>
    <n v="1802"/>
    <x v="2"/>
    <n v="13715.46"/>
    <x v="10"/>
    <n v="2024"/>
    <s v="Q4"/>
    <n v="0.13138458352836874"/>
    <n v="138.54"/>
    <s v="High"/>
    <x v="0"/>
    <s v="Above Avg"/>
    <s v="Profit"/>
    <n v="150"/>
  </r>
  <r>
    <n v="314"/>
    <d v="2024-11-09T00:00:00"/>
    <n v="1083"/>
    <s v="Customer_76"/>
    <x v="1"/>
    <x v="1"/>
    <x v="2"/>
    <x v="2"/>
    <n v="666"/>
    <n v="3"/>
    <n v="0.06"/>
    <n v="-107"/>
    <x v="0"/>
    <n v="1878.12"/>
    <x v="10"/>
    <n v="2024"/>
    <s v="Q4"/>
    <n v="-5.6971865482503783E-2"/>
    <n v="119.88"/>
    <s v="Low"/>
    <x v="0"/>
    <s v="Below Avg"/>
    <s v="Loss"/>
    <n v="437"/>
  </r>
  <r>
    <n v="315"/>
    <d v="2024-11-10T00:00:00"/>
    <n v="1078"/>
    <s v="Customer_91"/>
    <x v="1"/>
    <x v="1"/>
    <x v="0"/>
    <x v="1"/>
    <n v="3227"/>
    <n v="4"/>
    <n v="0.15"/>
    <n v="200"/>
    <x v="2"/>
    <n v="10971.8"/>
    <x v="10"/>
    <n v="2024"/>
    <s v="Q4"/>
    <n v="1.8228549554311965E-2"/>
    <n v="1936.1999999999998"/>
    <s v="High"/>
    <x v="0"/>
    <s v="Above Avg"/>
    <s v="Profit"/>
    <n v="193"/>
  </r>
  <r>
    <n v="316"/>
    <d v="2024-11-11T00:00:00"/>
    <n v="1029"/>
    <s v="Customer_17"/>
    <x v="1"/>
    <x v="3"/>
    <x v="0"/>
    <x v="2"/>
    <n v="4116"/>
    <n v="7"/>
    <n v="0.13"/>
    <n v="1791"/>
    <x v="0"/>
    <n v="25066.44"/>
    <x v="10"/>
    <n v="2024"/>
    <s v="Q4"/>
    <n v="7.1450114176564369E-2"/>
    <n v="3745.56"/>
    <s v="High"/>
    <x v="0"/>
    <s v="Above Avg"/>
    <s v="Profit"/>
    <n v="41"/>
  </r>
  <r>
    <n v="317"/>
    <d v="2024-11-12T00:00:00"/>
    <n v="1019"/>
    <s v="Customer_171"/>
    <x v="1"/>
    <x v="1"/>
    <x v="0"/>
    <x v="3"/>
    <n v="1265"/>
    <n v="4"/>
    <n v="0.01"/>
    <n v="458"/>
    <x v="1"/>
    <n v="5009.3999999999996"/>
    <x v="10"/>
    <n v="2024"/>
    <s v="Q4"/>
    <n v="9.1428115143530164E-2"/>
    <n v="50.6"/>
    <s v="High"/>
    <x v="0"/>
    <s v="Below Avg"/>
    <s v="Profit"/>
    <n v="322"/>
  </r>
  <r>
    <n v="318"/>
    <d v="2024-11-13T00:00:00"/>
    <n v="1037"/>
    <s v="Customer_92"/>
    <x v="1"/>
    <x v="1"/>
    <x v="2"/>
    <x v="1"/>
    <n v="4336"/>
    <n v="9"/>
    <n v="0.1"/>
    <n v="-99"/>
    <x v="2"/>
    <n v="35121.599999999999"/>
    <x v="10"/>
    <n v="2024"/>
    <s v="Q4"/>
    <n v="-2.8187781877818778E-3"/>
    <n v="3902.4"/>
    <s v="High"/>
    <x v="0"/>
    <s v="Above Avg"/>
    <s v="Loss"/>
    <n v="10"/>
  </r>
  <r>
    <n v="319"/>
    <d v="2024-11-14T00:00:00"/>
    <n v="1001"/>
    <s v="Customer_40"/>
    <x v="1"/>
    <x v="0"/>
    <x v="1"/>
    <x v="2"/>
    <n v="1915"/>
    <n v="3"/>
    <n v="0.28999999999999998"/>
    <n v="1599"/>
    <x v="1"/>
    <n v="4078.95"/>
    <x v="10"/>
    <n v="2024"/>
    <s v="Q4"/>
    <n v="0.39201265031441918"/>
    <n v="1666.05"/>
    <s v="Medium"/>
    <x v="0"/>
    <s v="Below Avg"/>
    <s v="Profit"/>
    <n v="349"/>
  </r>
  <r>
    <n v="320"/>
    <d v="2024-11-15T00:00:00"/>
    <n v="1005"/>
    <s v="Customer_22"/>
    <x v="1"/>
    <x v="0"/>
    <x v="1"/>
    <x v="0"/>
    <n v="4067"/>
    <n v="7"/>
    <n v="0.09"/>
    <n v="1720"/>
    <x v="0"/>
    <n v="25906.79"/>
    <x v="10"/>
    <n v="2024"/>
    <s v="Q4"/>
    <n v="6.6391860975443112E-2"/>
    <n v="2562.21"/>
    <s v="High"/>
    <x v="0"/>
    <s v="Above Avg"/>
    <s v="Profit"/>
    <n v="40"/>
  </r>
  <r>
    <n v="321"/>
    <d v="2024-11-16T00:00:00"/>
    <n v="1081"/>
    <s v="Customer_192"/>
    <x v="1"/>
    <x v="1"/>
    <x v="2"/>
    <x v="1"/>
    <n v="240"/>
    <n v="9"/>
    <n v="0.19"/>
    <n v="271"/>
    <x v="1"/>
    <n v="1749.6"/>
    <x v="10"/>
    <n v="2024"/>
    <s v="Q4"/>
    <n v="0.15489254686785553"/>
    <n v="410.4"/>
    <s v="Low"/>
    <x v="0"/>
    <s v="Below Avg"/>
    <s v="Profit"/>
    <n v="443"/>
  </r>
  <r>
    <n v="322"/>
    <d v="2024-11-17T00:00:00"/>
    <n v="1035"/>
    <s v="Customer_138"/>
    <x v="0"/>
    <x v="3"/>
    <x v="0"/>
    <x v="1"/>
    <n v="3410"/>
    <n v="5"/>
    <n v="0.2"/>
    <n v="1549"/>
    <x v="1"/>
    <n v="13640"/>
    <x v="10"/>
    <n v="2024"/>
    <s v="Q4"/>
    <n v="0.11356304985337243"/>
    <n v="3410"/>
    <s v="High"/>
    <x v="0"/>
    <s v="Above Avg"/>
    <s v="Profit"/>
    <n v="151"/>
  </r>
  <r>
    <n v="323"/>
    <d v="2024-11-18T00:00:00"/>
    <n v="1077"/>
    <s v="Customer_105"/>
    <x v="0"/>
    <x v="1"/>
    <x v="1"/>
    <x v="1"/>
    <n v="601"/>
    <n v="4"/>
    <n v="0.19"/>
    <n v="-310"/>
    <x v="2"/>
    <n v="1947.24"/>
    <x v="10"/>
    <n v="2024"/>
    <s v="Q4"/>
    <n v="-0.15919968776319304"/>
    <n v="456.76"/>
    <s v="Low"/>
    <x v="0"/>
    <s v="Below Avg"/>
    <s v="Loss"/>
    <n v="433"/>
  </r>
  <r>
    <n v="324"/>
    <d v="2024-11-19T00:00:00"/>
    <n v="1025"/>
    <s v="Customer_134"/>
    <x v="1"/>
    <x v="0"/>
    <x v="2"/>
    <x v="2"/>
    <n v="1554"/>
    <n v="2"/>
    <n v="0.09"/>
    <n v="1816"/>
    <x v="2"/>
    <n v="2828.28"/>
    <x v="10"/>
    <n v="2024"/>
    <s v="Q4"/>
    <n v="0.64208635637207057"/>
    <n v="279.71999999999997"/>
    <s v="Medium"/>
    <x v="0"/>
    <s v="Below Avg"/>
    <s v="Profit"/>
    <n v="398"/>
  </r>
  <r>
    <n v="325"/>
    <d v="2024-11-20T00:00:00"/>
    <n v="1097"/>
    <s v="Customer_17"/>
    <x v="0"/>
    <x v="0"/>
    <x v="2"/>
    <x v="3"/>
    <n v="4379"/>
    <n v="5"/>
    <n v="0.17"/>
    <n v="884"/>
    <x v="0"/>
    <n v="18172.849999999999"/>
    <x v="10"/>
    <n v="2024"/>
    <s v="Q4"/>
    <n v="4.8643993649867802E-2"/>
    <n v="3722.15"/>
    <s v="High"/>
    <x v="0"/>
    <s v="Above Avg"/>
    <s v="Profit"/>
    <n v="90"/>
  </r>
  <r>
    <n v="326"/>
    <d v="2024-11-21T00:00:00"/>
    <n v="1093"/>
    <s v="Customer_76"/>
    <x v="1"/>
    <x v="1"/>
    <x v="1"/>
    <x v="3"/>
    <n v="635"/>
    <n v="3"/>
    <n v="0.21"/>
    <n v="895"/>
    <x v="1"/>
    <n v="1504.95"/>
    <x v="10"/>
    <n v="2024"/>
    <s v="Q4"/>
    <n v="0.59470414299478391"/>
    <n v="400.05"/>
    <s v="Low"/>
    <x v="0"/>
    <s v="Below Avg"/>
    <s v="Profit"/>
    <n v="457"/>
  </r>
  <r>
    <n v="327"/>
    <d v="2024-11-22T00:00:00"/>
    <n v="1070"/>
    <s v="Customer_191"/>
    <x v="0"/>
    <x v="1"/>
    <x v="2"/>
    <x v="2"/>
    <n v="2260"/>
    <n v="3"/>
    <n v="0.11"/>
    <n v="1691"/>
    <x v="0"/>
    <n v="6034.2"/>
    <x v="10"/>
    <n v="2024"/>
    <s v="Q4"/>
    <n v="0.28023598820058998"/>
    <n v="745.8"/>
    <s v="High"/>
    <x v="0"/>
    <s v="Below Avg"/>
    <s v="Profit"/>
    <n v="295"/>
  </r>
  <r>
    <n v="328"/>
    <d v="2024-11-23T00:00:00"/>
    <n v="1058"/>
    <s v="Customer_198"/>
    <x v="0"/>
    <x v="2"/>
    <x v="2"/>
    <x v="3"/>
    <n v="4341"/>
    <n v="7"/>
    <n v="0.08"/>
    <n v="-164"/>
    <x v="2"/>
    <n v="27956.04"/>
    <x v="10"/>
    <n v="2024"/>
    <s v="Q4"/>
    <n v="-5.8663530314021581E-3"/>
    <n v="2430.96"/>
    <s v="High"/>
    <x v="0"/>
    <s v="Above Avg"/>
    <s v="Loss"/>
    <n v="32"/>
  </r>
  <r>
    <n v="329"/>
    <d v="2024-11-24T00:00:00"/>
    <n v="1029"/>
    <s v="Customer_178"/>
    <x v="0"/>
    <x v="2"/>
    <x v="0"/>
    <x v="3"/>
    <n v="2929"/>
    <n v="6"/>
    <n v="0.08"/>
    <n v="122"/>
    <x v="2"/>
    <n v="16168.08"/>
    <x v="10"/>
    <n v="2024"/>
    <s v="Q4"/>
    <n v="7.5457320844528235E-3"/>
    <n v="1405.92"/>
    <s v="High"/>
    <x v="0"/>
    <s v="Above Avg"/>
    <s v="Profit"/>
    <n v="123"/>
  </r>
  <r>
    <n v="330"/>
    <d v="2024-11-25T00:00:00"/>
    <n v="1081"/>
    <s v="Customer_80"/>
    <x v="1"/>
    <x v="3"/>
    <x v="2"/>
    <x v="0"/>
    <n v="4483"/>
    <n v="3"/>
    <n v="0.28000000000000003"/>
    <n v="1527"/>
    <x v="1"/>
    <n v="9683.2799999999897"/>
    <x v="10"/>
    <n v="2024"/>
    <s v="Q4"/>
    <n v="0.15769450021067258"/>
    <n v="3765.7200000000003"/>
    <s v="High"/>
    <x v="0"/>
    <s v="Below Avg"/>
    <s v="Profit"/>
    <n v="209"/>
  </r>
  <r>
    <n v="331"/>
    <d v="2024-11-26T00:00:00"/>
    <n v="1021"/>
    <s v="Customer_196"/>
    <x v="1"/>
    <x v="0"/>
    <x v="0"/>
    <x v="3"/>
    <n v="1725"/>
    <n v="9"/>
    <n v="0.19"/>
    <n v="508"/>
    <x v="2"/>
    <n v="12575.25"/>
    <x v="10"/>
    <n v="2024"/>
    <s v="Q4"/>
    <n v="4.0396811196596487E-2"/>
    <n v="2949.75"/>
    <s v="High"/>
    <x v="0"/>
    <s v="Above Avg"/>
    <s v="Profit"/>
    <n v="162"/>
  </r>
  <r>
    <n v="332"/>
    <d v="2024-11-27T00:00:00"/>
    <n v="1016"/>
    <s v="Customer_153"/>
    <x v="0"/>
    <x v="0"/>
    <x v="2"/>
    <x v="2"/>
    <n v="4547"/>
    <n v="7"/>
    <n v="0.23"/>
    <n v="695"/>
    <x v="0"/>
    <n v="24508.33"/>
    <x v="10"/>
    <n v="2024"/>
    <s v="Q4"/>
    <n v="2.8357705318967058E-2"/>
    <n v="7320.67"/>
    <s v="High"/>
    <x v="0"/>
    <s v="Above Avg"/>
    <s v="Profit"/>
    <n v="47"/>
  </r>
  <r>
    <n v="333"/>
    <d v="2024-11-28T00:00:00"/>
    <n v="1030"/>
    <s v="Customer_33"/>
    <x v="0"/>
    <x v="0"/>
    <x v="0"/>
    <x v="2"/>
    <n v="2252"/>
    <n v="8"/>
    <n v="0.17"/>
    <n v="1739"/>
    <x v="1"/>
    <n v="14953.279999999901"/>
    <x v="10"/>
    <n v="2024"/>
    <s v="Q4"/>
    <n v="0.11629555522266764"/>
    <n v="3062.7200000000003"/>
    <s v="High"/>
    <x v="0"/>
    <s v="Above Avg"/>
    <s v="Profit"/>
    <n v="140"/>
  </r>
  <r>
    <n v="334"/>
    <d v="2024-11-29T00:00:00"/>
    <n v="1055"/>
    <s v="Customer_1"/>
    <x v="1"/>
    <x v="2"/>
    <x v="1"/>
    <x v="2"/>
    <n v="3427"/>
    <n v="4"/>
    <n v="0.19"/>
    <n v="922"/>
    <x v="1"/>
    <n v="11103.48"/>
    <x v="10"/>
    <n v="2024"/>
    <s v="Q4"/>
    <n v="8.3037029832088688E-2"/>
    <n v="2604.52"/>
    <s v="High"/>
    <x v="0"/>
    <s v="Above Avg"/>
    <s v="Profit"/>
    <n v="188"/>
  </r>
  <r>
    <n v="335"/>
    <d v="2024-11-30T00:00:00"/>
    <n v="1080"/>
    <s v="Customer_79"/>
    <x v="0"/>
    <x v="3"/>
    <x v="1"/>
    <x v="0"/>
    <n v="370"/>
    <n v="7"/>
    <n v="0.08"/>
    <n v="1381"/>
    <x v="1"/>
    <n v="2382.8000000000002"/>
    <x v="10"/>
    <n v="2024"/>
    <s v="Q4"/>
    <n v="0.57957025348329694"/>
    <n v="207.20000000000002"/>
    <s v="Medium"/>
    <x v="0"/>
    <s v="Below Avg"/>
    <s v="Profit"/>
    <n v="413"/>
  </r>
  <r>
    <n v="336"/>
    <d v="2024-12-01T00:00:00"/>
    <n v="1030"/>
    <s v="Customer_128"/>
    <x v="0"/>
    <x v="0"/>
    <x v="0"/>
    <x v="1"/>
    <n v="4426"/>
    <n v="9"/>
    <n v="0.27"/>
    <n v="-447"/>
    <x v="1"/>
    <n v="29078.82"/>
    <x v="11"/>
    <n v="2024"/>
    <s v="Q4"/>
    <n v="-1.537201303216568E-2"/>
    <n v="10755.18"/>
    <s v="High"/>
    <x v="0"/>
    <s v="Above Avg"/>
    <s v="Loss"/>
    <n v="26"/>
  </r>
  <r>
    <n v="337"/>
    <d v="2024-12-02T00:00:00"/>
    <n v="1012"/>
    <s v="Customer_145"/>
    <x v="1"/>
    <x v="2"/>
    <x v="1"/>
    <x v="3"/>
    <n v="3915"/>
    <n v="8"/>
    <n v="0.15"/>
    <n v="-47"/>
    <x v="1"/>
    <n v="26622"/>
    <x v="11"/>
    <n v="2024"/>
    <s v="Q4"/>
    <n v="-1.7654571407106905E-3"/>
    <n v="4698"/>
    <s v="High"/>
    <x v="0"/>
    <s v="Above Avg"/>
    <s v="Loss"/>
    <n v="36"/>
  </r>
  <r>
    <n v="338"/>
    <d v="2024-12-03T00:00:00"/>
    <n v="1090"/>
    <s v="Customer_171"/>
    <x v="0"/>
    <x v="3"/>
    <x v="2"/>
    <x v="2"/>
    <n v="1456"/>
    <n v="7"/>
    <n v="0.24"/>
    <n v="-31"/>
    <x v="1"/>
    <n v="7745.92"/>
    <x v="11"/>
    <n v="2024"/>
    <s v="Q4"/>
    <n v="-4.0021069156407499E-3"/>
    <n v="2446.08"/>
    <s v="High"/>
    <x v="0"/>
    <s v="Below Avg"/>
    <s v="Loss"/>
    <n v="258"/>
  </r>
  <r>
    <n v="339"/>
    <d v="2024-12-04T00:00:00"/>
    <n v="1083"/>
    <s v="Customer_186"/>
    <x v="1"/>
    <x v="1"/>
    <x v="0"/>
    <x v="0"/>
    <n v="4189"/>
    <n v="5"/>
    <n v="0.16"/>
    <n v="798"/>
    <x v="1"/>
    <n v="17593.8"/>
    <x v="11"/>
    <n v="2024"/>
    <s v="Q4"/>
    <n v="4.5356887085223209E-2"/>
    <n v="3351.2000000000003"/>
    <s v="High"/>
    <x v="0"/>
    <s v="Above Avg"/>
    <s v="Profit"/>
    <n v="95"/>
  </r>
  <r>
    <n v="340"/>
    <d v="2024-12-05T00:00:00"/>
    <n v="1016"/>
    <s v="Customer_147"/>
    <x v="0"/>
    <x v="1"/>
    <x v="0"/>
    <x v="3"/>
    <n v="190"/>
    <n v="8"/>
    <n v="0.03"/>
    <n v="728"/>
    <x v="1"/>
    <n v="1474.3999999999901"/>
    <x v="11"/>
    <n v="2024"/>
    <s v="Q4"/>
    <n v="0.4937601736299545"/>
    <n v="45.6"/>
    <s v="Low"/>
    <x v="0"/>
    <s v="Below Avg"/>
    <s v="Profit"/>
    <n v="458"/>
  </r>
  <r>
    <n v="341"/>
    <d v="2024-12-06T00:00:00"/>
    <n v="1092"/>
    <s v="Customer_54"/>
    <x v="1"/>
    <x v="1"/>
    <x v="1"/>
    <x v="1"/>
    <n v="2277"/>
    <n v="8"/>
    <n v="0.03"/>
    <n v="297"/>
    <x v="0"/>
    <n v="17669.52"/>
    <x v="11"/>
    <n v="2024"/>
    <s v="Q4"/>
    <n v="1.6808606006275213E-2"/>
    <n v="546.48"/>
    <s v="High"/>
    <x v="0"/>
    <s v="Above Avg"/>
    <s v="Profit"/>
    <n v="94"/>
  </r>
  <r>
    <n v="342"/>
    <d v="2024-12-07T00:00:00"/>
    <n v="1038"/>
    <s v="Customer_114"/>
    <x v="1"/>
    <x v="2"/>
    <x v="0"/>
    <x v="0"/>
    <n v="1830"/>
    <n v="4"/>
    <n v="0.14000000000000001"/>
    <n v="898"/>
    <x v="2"/>
    <n v="6295.2"/>
    <x v="11"/>
    <n v="2024"/>
    <s v="Q4"/>
    <n v="0.14264836700978523"/>
    <n v="1024.8000000000002"/>
    <s v="High"/>
    <x v="0"/>
    <s v="Below Avg"/>
    <s v="Profit"/>
    <n v="291"/>
  </r>
  <r>
    <n v="343"/>
    <d v="2024-12-08T00:00:00"/>
    <n v="1098"/>
    <s v="Customer_83"/>
    <x v="1"/>
    <x v="1"/>
    <x v="1"/>
    <x v="2"/>
    <n v="2458"/>
    <n v="9"/>
    <n v="0.13"/>
    <n v="-443"/>
    <x v="2"/>
    <n v="19246.14"/>
    <x v="11"/>
    <n v="2024"/>
    <s v="Q4"/>
    <n v="-2.3017602490681251E-2"/>
    <n v="2875.86"/>
    <s v="High"/>
    <x v="0"/>
    <s v="Above Avg"/>
    <s v="Loss"/>
    <n v="83"/>
  </r>
  <r>
    <n v="344"/>
    <d v="2024-12-09T00:00:00"/>
    <n v="1007"/>
    <s v="Customer_84"/>
    <x v="0"/>
    <x v="1"/>
    <x v="0"/>
    <x v="2"/>
    <n v="2809"/>
    <n v="1"/>
    <n v="0.27"/>
    <n v="-352"/>
    <x v="2"/>
    <n v="2050.5700000000002"/>
    <x v="11"/>
    <n v="2024"/>
    <s v="Q4"/>
    <n v="-0.17165958733425338"/>
    <n v="758.43000000000006"/>
    <s v="Medium"/>
    <x v="0"/>
    <s v="Below Avg"/>
    <s v="Loss"/>
    <n v="426"/>
  </r>
  <r>
    <n v="345"/>
    <d v="2024-12-10T00:00:00"/>
    <n v="1037"/>
    <s v="Customer_1"/>
    <x v="0"/>
    <x v="3"/>
    <x v="1"/>
    <x v="1"/>
    <n v="448"/>
    <n v="9"/>
    <n v="0.04"/>
    <n v="1096"/>
    <x v="2"/>
    <n v="3870.72"/>
    <x v="11"/>
    <n v="2024"/>
    <s v="Q4"/>
    <n v="0.28315145502645506"/>
    <n v="161.28"/>
    <s v="Medium"/>
    <x v="0"/>
    <s v="Below Avg"/>
    <s v="Profit"/>
    <n v="358"/>
  </r>
  <r>
    <n v="346"/>
    <d v="2024-12-11T00:00:00"/>
    <n v="1014"/>
    <s v="Customer_144"/>
    <x v="0"/>
    <x v="1"/>
    <x v="1"/>
    <x v="3"/>
    <n v="4977"/>
    <n v="1"/>
    <n v="0.21"/>
    <n v="294"/>
    <x v="1"/>
    <n v="3931.83"/>
    <x v="11"/>
    <n v="2024"/>
    <s v="Q4"/>
    <n v="7.4774341718741658E-2"/>
    <n v="1045.17"/>
    <s v="Medium"/>
    <x v="0"/>
    <s v="Below Avg"/>
    <s v="Profit"/>
    <n v="357"/>
  </r>
  <r>
    <n v="347"/>
    <d v="2024-12-12T00:00:00"/>
    <n v="1000"/>
    <s v="Customer_152"/>
    <x v="0"/>
    <x v="1"/>
    <x v="2"/>
    <x v="0"/>
    <n v="4432"/>
    <n v="5"/>
    <n v="0.28000000000000003"/>
    <n v="1809"/>
    <x v="0"/>
    <n v="15955.199999999901"/>
    <x v="11"/>
    <n v="2024"/>
    <s v="Q4"/>
    <n v="0.11337996389891768"/>
    <n v="6204.8"/>
    <s v="High"/>
    <x v="0"/>
    <s v="Above Avg"/>
    <s v="Profit"/>
    <n v="130"/>
  </r>
  <r>
    <n v="348"/>
    <d v="2024-12-13T00:00:00"/>
    <n v="1096"/>
    <s v="Customer_192"/>
    <x v="1"/>
    <x v="2"/>
    <x v="2"/>
    <x v="0"/>
    <n v="1393"/>
    <n v="6"/>
    <n v="0.12"/>
    <n v="1693"/>
    <x v="1"/>
    <n v="7355.04"/>
    <x v="11"/>
    <n v="2024"/>
    <s v="Q4"/>
    <n v="0.23018229676521135"/>
    <n v="1002.9599999999999"/>
    <s v="High"/>
    <x v="0"/>
    <s v="Below Avg"/>
    <s v="Profit"/>
    <n v="266"/>
  </r>
  <r>
    <n v="349"/>
    <d v="2024-12-14T00:00:00"/>
    <n v="1002"/>
    <s v="Customer_186"/>
    <x v="0"/>
    <x v="2"/>
    <x v="0"/>
    <x v="3"/>
    <n v="4564"/>
    <n v="5"/>
    <n v="0.27"/>
    <n v="710"/>
    <x v="0"/>
    <n v="16658.599999999999"/>
    <x v="11"/>
    <n v="2024"/>
    <s v="Q4"/>
    <n v="4.2620628384137924E-2"/>
    <n v="6161.4000000000005"/>
    <s v="High"/>
    <x v="0"/>
    <s v="Above Avg"/>
    <s v="Profit"/>
    <n v="111"/>
  </r>
  <r>
    <n v="350"/>
    <d v="2024-12-15T00:00:00"/>
    <n v="1037"/>
    <s v="Customer_152"/>
    <x v="0"/>
    <x v="2"/>
    <x v="1"/>
    <x v="2"/>
    <n v="2447"/>
    <n v="4"/>
    <n v="0.04"/>
    <n v="-339"/>
    <x v="0"/>
    <n v="9396.48"/>
    <x v="11"/>
    <n v="2024"/>
    <s v="Q4"/>
    <n v="-3.6077339599509609E-2"/>
    <n v="391.52"/>
    <s v="High"/>
    <x v="0"/>
    <s v="Below Avg"/>
    <s v="Loss"/>
    <n v="221"/>
  </r>
  <r>
    <n v="351"/>
    <d v="2024-12-16T00:00:00"/>
    <n v="1047"/>
    <s v="Customer_186"/>
    <x v="0"/>
    <x v="1"/>
    <x v="2"/>
    <x v="3"/>
    <n v="3091"/>
    <n v="5"/>
    <n v="0.03"/>
    <n v="644"/>
    <x v="0"/>
    <n v="14991.35"/>
    <x v="11"/>
    <n v="2024"/>
    <s v="Q4"/>
    <n v="4.2958105841034995E-2"/>
    <n v="463.65"/>
    <s v="High"/>
    <x v="0"/>
    <s v="Above Avg"/>
    <s v="Profit"/>
    <n v="139"/>
  </r>
  <r>
    <n v="352"/>
    <d v="2024-12-17T00:00:00"/>
    <n v="1062"/>
    <s v="Customer_101"/>
    <x v="0"/>
    <x v="3"/>
    <x v="0"/>
    <x v="3"/>
    <n v="2900"/>
    <n v="7"/>
    <n v="7.0000000000000007E-2"/>
    <n v="1932"/>
    <x v="0"/>
    <n v="18879"/>
    <x v="11"/>
    <n v="2024"/>
    <s v="Q4"/>
    <n v="0.10233592880978866"/>
    <n v="1421.0000000000002"/>
    <s v="High"/>
    <x v="0"/>
    <s v="Above Avg"/>
    <s v="Profit"/>
    <n v="85"/>
  </r>
  <r>
    <n v="353"/>
    <d v="2024-12-18T00:00:00"/>
    <n v="1061"/>
    <s v="Customer_192"/>
    <x v="0"/>
    <x v="0"/>
    <x v="1"/>
    <x v="3"/>
    <n v="4356"/>
    <n v="2"/>
    <n v="0.16"/>
    <n v="332"/>
    <x v="2"/>
    <n v="7318.08"/>
    <x v="11"/>
    <n v="2024"/>
    <s v="Q4"/>
    <n v="4.5367090821636279E-2"/>
    <n v="1393.92"/>
    <s v="High"/>
    <x v="0"/>
    <s v="Below Avg"/>
    <s v="Profit"/>
    <n v="268"/>
  </r>
  <r>
    <n v="354"/>
    <d v="2024-12-19T00:00:00"/>
    <n v="1014"/>
    <s v="Customer_169"/>
    <x v="1"/>
    <x v="2"/>
    <x v="2"/>
    <x v="2"/>
    <n v="1224"/>
    <n v="7"/>
    <n v="0.19"/>
    <n v="210"/>
    <x v="2"/>
    <n v="6940.08"/>
    <x v="11"/>
    <n v="2024"/>
    <s v="Q4"/>
    <n v="3.0259017187121762E-2"/>
    <n v="1627.92"/>
    <s v="High"/>
    <x v="0"/>
    <s v="Below Avg"/>
    <s v="Profit"/>
    <n v="275"/>
  </r>
  <r>
    <n v="355"/>
    <d v="2024-12-20T00:00:00"/>
    <n v="1061"/>
    <s v="Customer_161"/>
    <x v="0"/>
    <x v="3"/>
    <x v="1"/>
    <x v="2"/>
    <n v="673"/>
    <n v="9"/>
    <n v="0.23"/>
    <n v="944"/>
    <x v="0"/>
    <n v="4663.8900000000003"/>
    <x v="11"/>
    <n v="2024"/>
    <s v="Q4"/>
    <n v="0.20240614594255008"/>
    <n v="1393.1100000000001"/>
    <s v="Medium"/>
    <x v="0"/>
    <s v="Below Avg"/>
    <s v="Profit"/>
    <n v="332"/>
  </r>
  <r>
    <n v="356"/>
    <d v="2024-12-21T00:00:00"/>
    <n v="1081"/>
    <s v="Customer_186"/>
    <x v="1"/>
    <x v="1"/>
    <x v="2"/>
    <x v="0"/>
    <n v="4179"/>
    <n v="7"/>
    <n v="0.23"/>
    <n v="-144"/>
    <x v="0"/>
    <n v="22524.81"/>
    <x v="11"/>
    <n v="2024"/>
    <s v="Q4"/>
    <n v="-6.3929507063544598E-3"/>
    <n v="6728.1900000000005"/>
    <s v="High"/>
    <x v="0"/>
    <s v="Above Avg"/>
    <s v="Loss"/>
    <n v="62"/>
  </r>
  <r>
    <n v="357"/>
    <d v="2024-12-22T00:00:00"/>
    <n v="1037"/>
    <s v="Customer_125"/>
    <x v="0"/>
    <x v="2"/>
    <x v="1"/>
    <x v="3"/>
    <n v="928"/>
    <n v="4"/>
    <n v="0.03"/>
    <n v="182"/>
    <x v="1"/>
    <n v="3600.64"/>
    <x v="11"/>
    <n v="2024"/>
    <s v="Q4"/>
    <n v="5.0546569498755779E-2"/>
    <n v="111.36"/>
    <s v="Medium"/>
    <x v="0"/>
    <s v="Below Avg"/>
    <s v="Profit"/>
    <n v="368"/>
  </r>
  <r>
    <n v="358"/>
    <d v="2024-12-23T00:00:00"/>
    <n v="1094"/>
    <s v="Customer_184"/>
    <x v="0"/>
    <x v="3"/>
    <x v="0"/>
    <x v="3"/>
    <n v="570"/>
    <n v="8"/>
    <n v="0.26"/>
    <n v="1134"/>
    <x v="0"/>
    <n v="3374.4"/>
    <x v="11"/>
    <n v="2024"/>
    <s v="Q4"/>
    <n v="0.33605974395448079"/>
    <n v="1185.6000000000001"/>
    <s v="Medium"/>
    <x v="0"/>
    <s v="Below Avg"/>
    <s v="Profit"/>
    <n v="382"/>
  </r>
  <r>
    <n v="359"/>
    <d v="2024-12-24T00:00:00"/>
    <n v="1019"/>
    <s v="Customer_95"/>
    <x v="1"/>
    <x v="0"/>
    <x v="2"/>
    <x v="2"/>
    <n v="4250"/>
    <n v="8"/>
    <n v="0.03"/>
    <n v="335"/>
    <x v="1"/>
    <n v="32980"/>
    <x v="11"/>
    <n v="2024"/>
    <s v="Q4"/>
    <n v="1.015767131594906E-2"/>
    <n v="1020"/>
    <s v="High"/>
    <x v="0"/>
    <s v="Above Avg"/>
    <s v="Profit"/>
    <n v="17"/>
  </r>
  <r>
    <n v="360"/>
    <d v="2024-12-25T00:00:00"/>
    <n v="1058"/>
    <s v="Customer_15"/>
    <x v="1"/>
    <x v="3"/>
    <x v="1"/>
    <x v="2"/>
    <n v="2351"/>
    <n v="9"/>
    <n v="0.27"/>
    <n v="28"/>
    <x v="2"/>
    <n v="15446.07"/>
    <x v="11"/>
    <n v="2024"/>
    <s v="Q4"/>
    <n v="1.8127588441590645E-3"/>
    <n v="5712.93"/>
    <s v="High"/>
    <x v="0"/>
    <s v="Above Avg"/>
    <s v="Profit"/>
    <n v="135"/>
  </r>
  <r>
    <n v="361"/>
    <d v="2024-12-26T00:00:00"/>
    <n v="1006"/>
    <s v="Customer_65"/>
    <x v="1"/>
    <x v="1"/>
    <x v="2"/>
    <x v="3"/>
    <n v="4067"/>
    <n v="6"/>
    <n v="0.28999999999999998"/>
    <n v="1213"/>
    <x v="0"/>
    <n v="17325.419999999998"/>
    <x v="11"/>
    <n v="2024"/>
    <s v="Q4"/>
    <n v="7.0012732736060665E-2"/>
    <n v="7076.58"/>
    <s v="High"/>
    <x v="0"/>
    <s v="Above Avg"/>
    <s v="Profit"/>
    <n v="102"/>
  </r>
  <r>
    <n v="362"/>
    <d v="2024-12-27T00:00:00"/>
    <n v="1090"/>
    <s v="Customer_113"/>
    <x v="1"/>
    <x v="2"/>
    <x v="2"/>
    <x v="1"/>
    <n v="2732"/>
    <n v="1"/>
    <n v="0.18"/>
    <n v="547"/>
    <x v="2"/>
    <n v="2240.2399999999998"/>
    <x v="11"/>
    <n v="2024"/>
    <s v="Q4"/>
    <n v="0.24417026747134238"/>
    <n v="491.76"/>
    <s v="Medium"/>
    <x v="0"/>
    <s v="Below Avg"/>
    <s v="Profit"/>
    <n v="418"/>
  </r>
  <r>
    <n v="363"/>
    <d v="2024-12-28T00:00:00"/>
    <n v="1071"/>
    <s v="Customer_140"/>
    <x v="0"/>
    <x v="3"/>
    <x v="1"/>
    <x v="2"/>
    <n v="4332"/>
    <n v="9"/>
    <n v="0.21"/>
    <n v="1493"/>
    <x v="2"/>
    <n v="30800.52"/>
    <x v="11"/>
    <n v="2024"/>
    <s v="Q4"/>
    <n v="4.8473207595196445E-2"/>
    <n v="8187.48"/>
    <s v="High"/>
    <x v="0"/>
    <s v="Above Avg"/>
    <s v="Profit"/>
    <n v="22"/>
  </r>
  <r>
    <n v="364"/>
    <d v="2024-12-29T00:00:00"/>
    <n v="1077"/>
    <s v="Customer_163"/>
    <x v="0"/>
    <x v="3"/>
    <x v="0"/>
    <x v="1"/>
    <n v="1198"/>
    <n v="9"/>
    <n v="0.11"/>
    <n v="-189"/>
    <x v="0"/>
    <n v="9595.98"/>
    <x v="11"/>
    <n v="2024"/>
    <s v="Q4"/>
    <n v="-1.9695747594305115E-2"/>
    <n v="1186.02"/>
    <s v="High"/>
    <x v="0"/>
    <s v="Below Avg"/>
    <s v="Loss"/>
    <n v="212"/>
  </r>
  <r>
    <n v="365"/>
    <d v="2024-12-30T00:00:00"/>
    <n v="1078"/>
    <s v="Customer_37"/>
    <x v="0"/>
    <x v="3"/>
    <x v="2"/>
    <x v="3"/>
    <n v="3189"/>
    <n v="1"/>
    <n v="0.17"/>
    <n v="159"/>
    <x v="0"/>
    <n v="2646.87"/>
    <x v="11"/>
    <n v="2024"/>
    <s v="Q4"/>
    <n v="6.0070951727889926E-2"/>
    <n v="542.13"/>
    <s v="Medium"/>
    <x v="0"/>
    <s v="Below Avg"/>
    <s v="Profit"/>
    <n v="407"/>
  </r>
  <r>
    <n v="366"/>
    <d v="2024-12-31T00:00:00"/>
    <n v="1070"/>
    <s v="Customer_30"/>
    <x v="1"/>
    <x v="2"/>
    <x v="1"/>
    <x v="3"/>
    <n v="531"/>
    <n v="9"/>
    <n v="0.25"/>
    <n v="1369"/>
    <x v="2"/>
    <n v="3584.25"/>
    <x v="11"/>
    <n v="2024"/>
    <s v="Q4"/>
    <n v="0.38194880379437818"/>
    <n v="1194.75"/>
    <s v="Medium"/>
    <x v="0"/>
    <s v="Below Avg"/>
    <s v="Profit"/>
    <n v="371"/>
  </r>
  <r>
    <n v="367"/>
    <d v="2025-01-01T00:00:00"/>
    <n v="1096"/>
    <s v="Customer_11"/>
    <x v="1"/>
    <x v="3"/>
    <x v="0"/>
    <x v="1"/>
    <n v="1333"/>
    <n v="1"/>
    <n v="0.05"/>
    <n v="-123"/>
    <x v="0"/>
    <n v="1266.3499999999999"/>
    <x v="0"/>
    <n v="2025"/>
    <s v="Q1"/>
    <n v="-9.7129545544280813E-2"/>
    <n v="66.650000000000006"/>
    <s v="Low"/>
    <x v="0"/>
    <s v="Below Avg"/>
    <s v="Loss"/>
    <n v="466"/>
  </r>
  <r>
    <n v="368"/>
    <d v="2025-01-02T00:00:00"/>
    <n v="1051"/>
    <s v="Customer_188"/>
    <x v="0"/>
    <x v="1"/>
    <x v="1"/>
    <x v="1"/>
    <n v="1629"/>
    <n v="2"/>
    <n v="0.15"/>
    <n v="-281"/>
    <x v="1"/>
    <n v="2769.2999999999902"/>
    <x v="0"/>
    <n v="2025"/>
    <s v="Q1"/>
    <n v="-0.10146968548008559"/>
    <n v="488.7"/>
    <s v="Medium"/>
    <x v="0"/>
    <s v="Below Avg"/>
    <s v="Loss"/>
    <n v="400"/>
  </r>
  <r>
    <n v="369"/>
    <d v="2025-01-03T00:00:00"/>
    <n v="1097"/>
    <s v="Customer_32"/>
    <x v="1"/>
    <x v="1"/>
    <x v="1"/>
    <x v="3"/>
    <n v="4451"/>
    <n v="6"/>
    <n v="0.12"/>
    <n v="978"/>
    <x v="0"/>
    <n v="23501.279999999999"/>
    <x v="0"/>
    <n v="2025"/>
    <s v="Q1"/>
    <n v="4.1614754600600483E-2"/>
    <n v="3204.72"/>
    <s v="High"/>
    <x v="0"/>
    <s v="Above Avg"/>
    <s v="Profit"/>
    <n v="57"/>
  </r>
  <r>
    <n v="370"/>
    <d v="2025-01-04T00:00:00"/>
    <n v="1003"/>
    <s v="Customer_2"/>
    <x v="0"/>
    <x v="0"/>
    <x v="2"/>
    <x v="1"/>
    <n v="1480"/>
    <n v="7"/>
    <n v="0.26"/>
    <n v="1989"/>
    <x v="0"/>
    <n v="7666.4"/>
    <x v="0"/>
    <n v="2025"/>
    <s v="Q1"/>
    <n v="0.25944380674110407"/>
    <n v="2693.6"/>
    <s v="High"/>
    <x v="0"/>
    <s v="Below Avg"/>
    <s v="Profit"/>
    <n v="261"/>
  </r>
  <r>
    <n v="371"/>
    <d v="2025-01-05T00:00:00"/>
    <n v="1000"/>
    <s v="Customer_138"/>
    <x v="1"/>
    <x v="0"/>
    <x v="1"/>
    <x v="3"/>
    <n v="241"/>
    <n v="7"/>
    <n v="0.04"/>
    <n v="967"/>
    <x v="2"/>
    <n v="1619.52"/>
    <x v="0"/>
    <n v="2025"/>
    <s v="Q1"/>
    <n v="0.5970904959494171"/>
    <n v="67.48"/>
    <s v="Low"/>
    <x v="0"/>
    <s v="Below Avg"/>
    <s v="Profit"/>
    <n v="452"/>
  </r>
  <r>
    <n v="372"/>
    <d v="2025-01-06T00:00:00"/>
    <n v="1077"/>
    <s v="Customer_124"/>
    <x v="1"/>
    <x v="0"/>
    <x v="1"/>
    <x v="1"/>
    <n v="1316"/>
    <n v="6"/>
    <n v="0.27"/>
    <n v="-31"/>
    <x v="2"/>
    <n v="5764.08"/>
    <x v="0"/>
    <n v="2025"/>
    <s v="Q1"/>
    <n v="-5.3781349322008024E-3"/>
    <n v="2131.92"/>
    <s v="High"/>
    <x v="0"/>
    <s v="Below Avg"/>
    <s v="Loss"/>
    <n v="302"/>
  </r>
  <r>
    <n v="373"/>
    <d v="2025-01-07T00:00:00"/>
    <n v="1094"/>
    <s v="Customer_174"/>
    <x v="0"/>
    <x v="2"/>
    <x v="0"/>
    <x v="3"/>
    <n v="3947"/>
    <n v="8"/>
    <n v="0.08"/>
    <n v="655"/>
    <x v="2"/>
    <n v="29049.919999999998"/>
    <x v="0"/>
    <n v="2025"/>
    <s v="Q1"/>
    <n v="2.2547394278538462E-2"/>
    <n v="2526.08"/>
    <s v="High"/>
    <x v="0"/>
    <s v="Above Avg"/>
    <s v="Profit"/>
    <n v="27"/>
  </r>
  <r>
    <n v="374"/>
    <d v="2025-01-08T00:00:00"/>
    <n v="1037"/>
    <s v="Customer_22"/>
    <x v="0"/>
    <x v="1"/>
    <x v="2"/>
    <x v="2"/>
    <n v="4287"/>
    <n v="8"/>
    <n v="0.18"/>
    <n v="312"/>
    <x v="0"/>
    <n v="28122.720000000001"/>
    <x v="0"/>
    <n v="2025"/>
    <s v="Q1"/>
    <n v="1.1094232705798016E-2"/>
    <n v="6173.28"/>
    <s v="High"/>
    <x v="0"/>
    <s v="Above Avg"/>
    <s v="Profit"/>
    <n v="30"/>
  </r>
  <r>
    <n v="375"/>
    <d v="2025-01-09T00:00:00"/>
    <n v="1052"/>
    <s v="Customer_73"/>
    <x v="1"/>
    <x v="1"/>
    <x v="1"/>
    <x v="3"/>
    <n v="1876"/>
    <n v="1"/>
    <n v="0.11"/>
    <n v="486"/>
    <x v="1"/>
    <n v="1669.64"/>
    <x v="0"/>
    <n v="2025"/>
    <s v="Q1"/>
    <n v="0.29108071200977453"/>
    <n v="206.36"/>
    <s v="Low"/>
    <x v="0"/>
    <s v="Below Avg"/>
    <s v="Profit"/>
    <n v="448"/>
  </r>
  <r>
    <n v="376"/>
    <d v="2025-01-10T00:00:00"/>
    <n v="1083"/>
    <s v="Customer_118"/>
    <x v="1"/>
    <x v="0"/>
    <x v="2"/>
    <x v="3"/>
    <n v="3751"/>
    <n v="9"/>
    <n v="0.28000000000000003"/>
    <n v="339"/>
    <x v="2"/>
    <n v="24306.48"/>
    <x v="0"/>
    <n v="2025"/>
    <s v="Q1"/>
    <n v="1.3946898111120985E-2"/>
    <n v="9452.52"/>
    <s v="High"/>
    <x v="0"/>
    <s v="Above Avg"/>
    <s v="Profit"/>
    <n v="49"/>
  </r>
  <r>
    <n v="377"/>
    <d v="2025-01-11T00:00:00"/>
    <n v="1002"/>
    <s v="Customer_55"/>
    <x v="0"/>
    <x v="0"/>
    <x v="0"/>
    <x v="2"/>
    <n v="2552"/>
    <n v="4"/>
    <n v="0.06"/>
    <n v="-131"/>
    <x v="0"/>
    <n v="9595.5199999999895"/>
    <x v="0"/>
    <n v="2025"/>
    <s v="Q1"/>
    <n v="-1.3652204362035632E-2"/>
    <n v="612.48"/>
    <s v="High"/>
    <x v="0"/>
    <s v="Below Avg"/>
    <s v="Loss"/>
    <n v="213"/>
  </r>
  <r>
    <n v="378"/>
    <d v="2025-01-12T00:00:00"/>
    <n v="1098"/>
    <s v="Customer_187"/>
    <x v="1"/>
    <x v="3"/>
    <x v="0"/>
    <x v="3"/>
    <n v="817"/>
    <n v="4"/>
    <n v="0.15"/>
    <n v="514"/>
    <x v="0"/>
    <n v="2777.7999999999902"/>
    <x v="0"/>
    <n v="2025"/>
    <s v="Q1"/>
    <n v="0.18503851969184312"/>
    <n v="490.2"/>
    <s v="Medium"/>
    <x v="0"/>
    <s v="Below Avg"/>
    <s v="Profit"/>
    <n v="399"/>
  </r>
  <r>
    <n v="379"/>
    <d v="2025-01-13T00:00:00"/>
    <n v="1096"/>
    <s v="Customer_30"/>
    <x v="1"/>
    <x v="0"/>
    <x v="1"/>
    <x v="2"/>
    <n v="660"/>
    <n v="9"/>
    <n v="7.0000000000000007E-2"/>
    <n v="-250"/>
    <x v="0"/>
    <n v="5524.2"/>
    <x v="0"/>
    <n v="2025"/>
    <s v="Q1"/>
    <n v="-4.5255421599507621E-2"/>
    <n v="415.8"/>
    <s v="High"/>
    <x v="0"/>
    <s v="Below Avg"/>
    <s v="Loss"/>
    <n v="308"/>
  </r>
  <r>
    <n v="380"/>
    <d v="2025-01-14T00:00:00"/>
    <n v="1014"/>
    <s v="Customer_181"/>
    <x v="0"/>
    <x v="2"/>
    <x v="2"/>
    <x v="2"/>
    <n v="1004"/>
    <n v="2"/>
    <n v="0.24"/>
    <n v="-339"/>
    <x v="0"/>
    <n v="1526.08"/>
    <x v="0"/>
    <n v="2025"/>
    <s v="Q1"/>
    <n v="-0.2221377647305515"/>
    <n v="481.91999999999996"/>
    <s v="Low"/>
    <x v="0"/>
    <s v="Below Avg"/>
    <s v="Loss"/>
    <n v="456"/>
  </r>
  <r>
    <n v="381"/>
    <d v="2025-01-15T00:00:00"/>
    <n v="1002"/>
    <s v="Customer_89"/>
    <x v="0"/>
    <x v="0"/>
    <x v="1"/>
    <x v="1"/>
    <n v="1036"/>
    <n v="6"/>
    <n v="0.08"/>
    <n v="162"/>
    <x v="2"/>
    <n v="5718.72"/>
    <x v="0"/>
    <n v="2025"/>
    <s v="Q1"/>
    <n v="2.8328017458452238E-2"/>
    <n v="497.28000000000003"/>
    <s v="High"/>
    <x v="0"/>
    <s v="Below Avg"/>
    <s v="Profit"/>
    <n v="303"/>
  </r>
  <r>
    <n v="382"/>
    <d v="2025-01-16T00:00:00"/>
    <n v="1091"/>
    <s v="Customer_21"/>
    <x v="0"/>
    <x v="1"/>
    <x v="2"/>
    <x v="3"/>
    <n v="396"/>
    <n v="2"/>
    <n v="0.28999999999999998"/>
    <n v="1960"/>
    <x v="1"/>
    <n v="562.31999999999903"/>
    <x v="0"/>
    <n v="2025"/>
    <s v="Q1"/>
    <n v="3.4855598235879985"/>
    <n v="229.67999999999998"/>
    <s v="Low"/>
    <x v="0"/>
    <s v="Below Avg"/>
    <s v="Profit"/>
    <n v="488"/>
  </r>
  <r>
    <n v="383"/>
    <d v="2025-01-17T00:00:00"/>
    <n v="1090"/>
    <s v="Customer_82"/>
    <x v="0"/>
    <x v="2"/>
    <x v="2"/>
    <x v="2"/>
    <n v="4994"/>
    <n v="9"/>
    <n v="0.28000000000000003"/>
    <n v="992"/>
    <x v="2"/>
    <n v="32361.119999999999"/>
    <x v="0"/>
    <n v="2025"/>
    <s v="Q1"/>
    <n v="3.0654068833217144E-2"/>
    <n v="12584.880000000001"/>
    <s v="High"/>
    <x v="0"/>
    <s v="Above Avg"/>
    <s v="Profit"/>
    <n v="20"/>
  </r>
  <r>
    <n v="384"/>
    <d v="2025-01-18T00:00:00"/>
    <n v="1032"/>
    <s v="Customer_20"/>
    <x v="1"/>
    <x v="3"/>
    <x v="0"/>
    <x v="0"/>
    <n v="1860"/>
    <n v="3"/>
    <n v="0.14000000000000001"/>
    <n v="1994"/>
    <x v="1"/>
    <n v="4798.8"/>
    <x v="0"/>
    <n v="2025"/>
    <s v="Q1"/>
    <n v="0.41552054680336747"/>
    <n v="781.2"/>
    <s v="Medium"/>
    <x v="0"/>
    <s v="Below Avg"/>
    <s v="Profit"/>
    <n v="330"/>
  </r>
  <r>
    <n v="385"/>
    <d v="2025-01-19T00:00:00"/>
    <n v="1082"/>
    <s v="Customer_113"/>
    <x v="1"/>
    <x v="2"/>
    <x v="1"/>
    <x v="3"/>
    <n v="1299"/>
    <n v="6"/>
    <n v="0"/>
    <n v="92"/>
    <x v="0"/>
    <n v="7794"/>
    <x v="0"/>
    <n v="2025"/>
    <s v="Q1"/>
    <n v="1.1803951757762381E-2"/>
    <n v="0"/>
    <s v="High"/>
    <x v="0"/>
    <s v="Below Avg"/>
    <s v="Profit"/>
    <n v="256"/>
  </r>
  <r>
    <n v="386"/>
    <d v="2025-01-20T00:00:00"/>
    <n v="1055"/>
    <s v="Customer_167"/>
    <x v="0"/>
    <x v="3"/>
    <x v="2"/>
    <x v="3"/>
    <n v="4386"/>
    <n v="3"/>
    <n v="0.28999999999999998"/>
    <n v="838"/>
    <x v="2"/>
    <n v="9342.18"/>
    <x v="0"/>
    <n v="2025"/>
    <s v="Q1"/>
    <n v="8.9700690845177455E-2"/>
    <n v="3815.8199999999997"/>
    <s v="High"/>
    <x v="0"/>
    <s v="Below Avg"/>
    <s v="Profit"/>
    <n v="224"/>
  </r>
  <r>
    <n v="387"/>
    <d v="2025-01-21T00:00:00"/>
    <n v="1032"/>
    <s v="Customer_35"/>
    <x v="0"/>
    <x v="3"/>
    <x v="0"/>
    <x v="0"/>
    <n v="3993"/>
    <n v="5"/>
    <n v="0.21"/>
    <n v="1730"/>
    <x v="2"/>
    <n v="15772.35"/>
    <x v="0"/>
    <n v="2025"/>
    <s v="Q1"/>
    <n v="0.10968562072234005"/>
    <n v="4192.6499999999996"/>
    <s v="High"/>
    <x v="0"/>
    <s v="Above Avg"/>
    <s v="Profit"/>
    <n v="132"/>
  </r>
  <r>
    <n v="388"/>
    <d v="2025-01-22T00:00:00"/>
    <n v="1030"/>
    <s v="Customer_29"/>
    <x v="0"/>
    <x v="1"/>
    <x v="0"/>
    <x v="2"/>
    <n v="1045"/>
    <n v="3"/>
    <n v="0.15"/>
    <n v="1869"/>
    <x v="1"/>
    <n v="2664.75"/>
    <x v="0"/>
    <n v="2025"/>
    <s v="Q1"/>
    <n v="0.70137911623979732"/>
    <n v="470.25"/>
    <s v="Medium"/>
    <x v="0"/>
    <s v="Below Avg"/>
    <s v="Profit"/>
    <n v="405"/>
  </r>
  <r>
    <n v="389"/>
    <d v="2025-01-23T00:00:00"/>
    <n v="1003"/>
    <s v="Customer_110"/>
    <x v="1"/>
    <x v="2"/>
    <x v="2"/>
    <x v="3"/>
    <n v="1736"/>
    <n v="8"/>
    <n v="0.18"/>
    <n v="492"/>
    <x v="2"/>
    <n v="11388.16"/>
    <x v="0"/>
    <n v="2025"/>
    <s v="Q1"/>
    <n v="4.3202764976958526E-2"/>
    <n v="2499.8399999999997"/>
    <s v="High"/>
    <x v="0"/>
    <s v="Above Avg"/>
    <s v="Profit"/>
    <n v="183"/>
  </r>
  <r>
    <n v="390"/>
    <d v="2025-01-24T00:00:00"/>
    <n v="1095"/>
    <s v="Customer_56"/>
    <x v="0"/>
    <x v="3"/>
    <x v="1"/>
    <x v="0"/>
    <n v="2341"/>
    <n v="4"/>
    <n v="0.03"/>
    <n v="1730"/>
    <x v="1"/>
    <n v="9083.08"/>
    <x v="0"/>
    <n v="2025"/>
    <s v="Q1"/>
    <n v="0.19046402762058684"/>
    <n v="280.92"/>
    <s v="High"/>
    <x v="0"/>
    <s v="Below Avg"/>
    <s v="Profit"/>
    <n v="229"/>
  </r>
  <r>
    <n v="391"/>
    <d v="2025-01-25T00:00:00"/>
    <n v="1091"/>
    <s v="Customer_116"/>
    <x v="0"/>
    <x v="2"/>
    <x v="1"/>
    <x v="3"/>
    <n v="3013"/>
    <n v="3"/>
    <n v="0.05"/>
    <n v="1502"/>
    <x v="2"/>
    <n v="8587.0499999999993"/>
    <x v="0"/>
    <n v="2025"/>
    <s v="Q1"/>
    <n v="0.17491455156310959"/>
    <n v="451.95000000000005"/>
    <s v="High"/>
    <x v="0"/>
    <s v="Below Avg"/>
    <s v="Profit"/>
    <n v="237"/>
  </r>
  <r>
    <n v="392"/>
    <d v="2025-01-26T00:00:00"/>
    <n v="1079"/>
    <s v="Customer_183"/>
    <x v="1"/>
    <x v="3"/>
    <x v="1"/>
    <x v="1"/>
    <n v="3266"/>
    <n v="8"/>
    <n v="0.19"/>
    <n v="658"/>
    <x v="0"/>
    <n v="21163.68"/>
    <x v="0"/>
    <n v="2025"/>
    <s v="Q1"/>
    <n v="3.1091001186939134E-2"/>
    <n v="4964.32"/>
    <s v="High"/>
    <x v="0"/>
    <s v="Above Avg"/>
    <s v="Profit"/>
    <n v="73"/>
  </r>
  <r>
    <n v="393"/>
    <d v="2025-01-27T00:00:00"/>
    <n v="1091"/>
    <s v="Customer_181"/>
    <x v="0"/>
    <x v="0"/>
    <x v="1"/>
    <x v="3"/>
    <n v="4888"/>
    <n v="7"/>
    <n v="0.01"/>
    <n v="249"/>
    <x v="2"/>
    <n v="33873.839999999997"/>
    <x v="0"/>
    <n v="2025"/>
    <s v="Q1"/>
    <n v="7.3508052231456497E-3"/>
    <n v="342.16"/>
    <s v="High"/>
    <x v="0"/>
    <s v="Above Avg"/>
    <s v="Profit"/>
    <n v="15"/>
  </r>
  <r>
    <n v="394"/>
    <d v="2025-01-28T00:00:00"/>
    <n v="1078"/>
    <s v="Customer_176"/>
    <x v="1"/>
    <x v="0"/>
    <x v="0"/>
    <x v="2"/>
    <n v="4543"/>
    <n v="1"/>
    <n v="0.21"/>
    <n v="62"/>
    <x v="0"/>
    <n v="3588.97"/>
    <x v="0"/>
    <n v="2025"/>
    <s v="Q1"/>
    <n v="1.7275151366548065E-2"/>
    <n v="954.03"/>
    <s v="Medium"/>
    <x v="0"/>
    <s v="Below Avg"/>
    <s v="Profit"/>
    <n v="370"/>
  </r>
  <r>
    <n v="395"/>
    <d v="2025-01-29T00:00:00"/>
    <n v="1021"/>
    <s v="Customer_67"/>
    <x v="1"/>
    <x v="2"/>
    <x v="1"/>
    <x v="2"/>
    <n v="2496"/>
    <n v="3"/>
    <n v="0.28000000000000003"/>
    <n v="455"/>
    <x v="1"/>
    <n v="5391.36"/>
    <x v="0"/>
    <n v="2025"/>
    <s v="Q1"/>
    <n v="8.4394290123456797E-2"/>
    <n v="2096.6400000000003"/>
    <s v="High"/>
    <x v="0"/>
    <s v="Below Avg"/>
    <s v="Profit"/>
    <n v="313"/>
  </r>
  <r>
    <n v="396"/>
    <d v="2025-01-30T00:00:00"/>
    <n v="1030"/>
    <s v="Customer_183"/>
    <x v="0"/>
    <x v="2"/>
    <x v="1"/>
    <x v="3"/>
    <n v="1506"/>
    <n v="3"/>
    <n v="0.21"/>
    <n v="-309"/>
    <x v="0"/>
    <n v="3569.22"/>
    <x v="0"/>
    <n v="2025"/>
    <s v="Q1"/>
    <n v="-8.6573537075327389E-2"/>
    <n v="948.78"/>
    <s v="Medium"/>
    <x v="0"/>
    <s v="Below Avg"/>
    <s v="Loss"/>
    <n v="373"/>
  </r>
  <r>
    <n v="397"/>
    <d v="2025-01-31T00:00:00"/>
    <n v="1059"/>
    <s v="Customer_32"/>
    <x v="1"/>
    <x v="3"/>
    <x v="2"/>
    <x v="0"/>
    <n v="593"/>
    <n v="4"/>
    <n v="0.17"/>
    <n v="1059"/>
    <x v="1"/>
    <n v="1968.76"/>
    <x v="0"/>
    <n v="2025"/>
    <s v="Q1"/>
    <n v="0.53790202970397616"/>
    <n v="403.24"/>
    <s v="Low"/>
    <x v="0"/>
    <s v="Below Avg"/>
    <s v="Profit"/>
    <n v="432"/>
  </r>
  <r>
    <n v="398"/>
    <d v="2025-02-01T00:00:00"/>
    <n v="1084"/>
    <s v="Customer_58"/>
    <x v="1"/>
    <x v="3"/>
    <x v="2"/>
    <x v="0"/>
    <n v="2132"/>
    <n v="1"/>
    <n v="0.24"/>
    <n v="1264"/>
    <x v="2"/>
    <n v="1620.32"/>
    <x v="1"/>
    <n v="2025"/>
    <s v="Q1"/>
    <n v="0.78009282117112677"/>
    <n v="511.68"/>
    <s v="Low"/>
    <x v="0"/>
    <s v="Below Avg"/>
    <s v="Profit"/>
    <n v="451"/>
  </r>
  <r>
    <n v="399"/>
    <d v="2025-02-02T00:00:00"/>
    <n v="1031"/>
    <s v="Customer_78"/>
    <x v="0"/>
    <x v="3"/>
    <x v="2"/>
    <x v="0"/>
    <n v="160"/>
    <n v="9"/>
    <n v="0.22"/>
    <n v="121"/>
    <x v="0"/>
    <n v="1123.2"/>
    <x v="1"/>
    <n v="2025"/>
    <s v="Q1"/>
    <n v="0.10772792022792023"/>
    <n v="316.8"/>
    <s v="Low"/>
    <x v="1"/>
    <s v="Below Avg"/>
    <s v="Profit"/>
    <n v="473"/>
  </r>
  <r>
    <n v="400"/>
    <d v="2025-02-03T00:00:00"/>
    <n v="1070"/>
    <s v="Customer_69"/>
    <x v="0"/>
    <x v="1"/>
    <x v="2"/>
    <x v="2"/>
    <n v="1845"/>
    <n v="2"/>
    <n v="0.18"/>
    <n v="-188"/>
    <x v="2"/>
    <n v="3025.8"/>
    <x v="1"/>
    <n v="2025"/>
    <s v="Q1"/>
    <n v="-6.2132328640359571E-2"/>
    <n v="664.19999999999993"/>
    <s v="Medium"/>
    <x v="0"/>
    <s v="Below Avg"/>
    <s v="Loss"/>
    <n v="391"/>
  </r>
  <r>
    <n v="401"/>
    <d v="2025-02-04T00:00:00"/>
    <n v="1096"/>
    <s v="Customer_28"/>
    <x v="0"/>
    <x v="1"/>
    <x v="0"/>
    <x v="3"/>
    <n v="3601"/>
    <n v="7"/>
    <n v="0.06"/>
    <n v="774"/>
    <x v="1"/>
    <n v="23694.5799999999"/>
    <x v="1"/>
    <n v="2025"/>
    <s v="Q1"/>
    <n v="3.2665698231410023E-2"/>
    <n v="1512.4199999999998"/>
    <s v="High"/>
    <x v="0"/>
    <s v="Above Avg"/>
    <s v="Profit"/>
    <n v="54"/>
  </r>
  <r>
    <n v="402"/>
    <d v="2025-02-05T00:00:00"/>
    <n v="1007"/>
    <s v="Customer_72"/>
    <x v="0"/>
    <x v="2"/>
    <x v="1"/>
    <x v="1"/>
    <n v="1056"/>
    <n v="2"/>
    <n v="0"/>
    <n v="1283"/>
    <x v="0"/>
    <n v="2112"/>
    <x v="1"/>
    <n v="2025"/>
    <s v="Q1"/>
    <n v="0.60748106060606055"/>
    <n v="0"/>
    <s v="Medium"/>
    <x v="0"/>
    <s v="Below Avg"/>
    <s v="Profit"/>
    <n v="422"/>
  </r>
  <r>
    <n v="403"/>
    <d v="2025-02-06T00:00:00"/>
    <n v="1077"/>
    <s v="Customer_109"/>
    <x v="0"/>
    <x v="2"/>
    <x v="1"/>
    <x v="1"/>
    <n v="4889"/>
    <n v="8"/>
    <n v="0.14000000000000001"/>
    <n v="517"/>
    <x v="0"/>
    <n v="33636.32"/>
    <x v="1"/>
    <n v="2025"/>
    <s v="Q1"/>
    <n v="1.5370290210106219E-2"/>
    <n v="5475.68"/>
    <s v="High"/>
    <x v="0"/>
    <s v="Above Avg"/>
    <s v="Profit"/>
    <n v="16"/>
  </r>
  <r>
    <n v="404"/>
    <d v="2025-02-07T00:00:00"/>
    <n v="1061"/>
    <s v="Customer_60"/>
    <x v="0"/>
    <x v="0"/>
    <x v="0"/>
    <x v="1"/>
    <n v="4231"/>
    <n v="3"/>
    <n v="7.0000000000000007E-2"/>
    <n v="-225"/>
    <x v="0"/>
    <n v="11804.49"/>
    <x v="1"/>
    <n v="2025"/>
    <s v="Q1"/>
    <n v="-1.9060543911681063E-2"/>
    <n v="888.5100000000001"/>
    <s v="High"/>
    <x v="0"/>
    <s v="Above Avg"/>
    <s v="Loss"/>
    <n v="172"/>
  </r>
  <r>
    <n v="405"/>
    <d v="2025-02-08T00:00:00"/>
    <n v="1088"/>
    <s v="Customer_13"/>
    <x v="1"/>
    <x v="0"/>
    <x v="0"/>
    <x v="2"/>
    <n v="2954"/>
    <n v="6"/>
    <n v="7.0000000000000007E-2"/>
    <n v="-111"/>
    <x v="2"/>
    <n v="16483.32"/>
    <x v="1"/>
    <n v="2025"/>
    <s v="Q1"/>
    <n v="-6.7340802702368216E-3"/>
    <n v="1240.68"/>
    <s v="High"/>
    <x v="0"/>
    <s v="Above Avg"/>
    <s v="Loss"/>
    <n v="115"/>
  </r>
  <r>
    <n v="406"/>
    <d v="2025-02-09T00:00:00"/>
    <n v="1095"/>
    <s v="Customer_18"/>
    <x v="1"/>
    <x v="2"/>
    <x v="0"/>
    <x v="1"/>
    <n v="3263"/>
    <n v="8"/>
    <n v="0.15"/>
    <n v="562"/>
    <x v="2"/>
    <n v="22188.3999999999"/>
    <x v="1"/>
    <n v="2025"/>
    <s v="Q1"/>
    <n v="2.5328550053181055E-2"/>
    <n v="3915.6"/>
    <s v="High"/>
    <x v="0"/>
    <s v="Above Avg"/>
    <s v="Profit"/>
    <n v="65"/>
  </r>
  <r>
    <n v="407"/>
    <d v="2025-02-10T00:00:00"/>
    <n v="1027"/>
    <s v="Customer_179"/>
    <x v="1"/>
    <x v="3"/>
    <x v="0"/>
    <x v="1"/>
    <n v="1024"/>
    <n v="5"/>
    <n v="0.11"/>
    <n v="538"/>
    <x v="2"/>
    <n v="4556.8"/>
    <x v="1"/>
    <n v="2025"/>
    <s v="Q1"/>
    <n v="0.11806530898876404"/>
    <n v="563.20000000000005"/>
    <s v="Medium"/>
    <x v="0"/>
    <s v="Below Avg"/>
    <s v="Profit"/>
    <n v="337"/>
  </r>
  <r>
    <n v="408"/>
    <d v="2025-02-11T00:00:00"/>
    <n v="1065"/>
    <s v="Customer_50"/>
    <x v="0"/>
    <x v="1"/>
    <x v="1"/>
    <x v="0"/>
    <n v="2288"/>
    <n v="7"/>
    <n v="0.15"/>
    <n v="634"/>
    <x v="1"/>
    <n v="13613.6"/>
    <x v="1"/>
    <n v="2025"/>
    <s v="Q1"/>
    <n v="4.6571075982840687E-2"/>
    <n v="2402.4"/>
    <s v="High"/>
    <x v="0"/>
    <s v="Above Avg"/>
    <s v="Profit"/>
    <n v="152"/>
  </r>
  <r>
    <n v="409"/>
    <d v="2025-02-12T00:00:00"/>
    <n v="1016"/>
    <s v="Customer_43"/>
    <x v="0"/>
    <x v="2"/>
    <x v="0"/>
    <x v="0"/>
    <n v="4617"/>
    <n v="9"/>
    <n v="0.08"/>
    <n v="1491"/>
    <x v="1"/>
    <n v="38228.76"/>
    <x v="1"/>
    <n v="2025"/>
    <s v="Q1"/>
    <n v="3.9002049765673799E-2"/>
    <n v="3324.2400000000002"/>
    <s v="High"/>
    <x v="0"/>
    <s v="Above Avg"/>
    <s v="Profit"/>
    <n v="5"/>
  </r>
  <r>
    <n v="410"/>
    <d v="2025-02-13T00:00:00"/>
    <n v="1090"/>
    <s v="Customer_85"/>
    <x v="0"/>
    <x v="2"/>
    <x v="1"/>
    <x v="1"/>
    <n v="1303"/>
    <n v="5"/>
    <n v="0.18"/>
    <n v="826"/>
    <x v="1"/>
    <n v="5342.3"/>
    <x v="1"/>
    <n v="2025"/>
    <s v="Q1"/>
    <n v="0.15461505344140164"/>
    <n v="1172.7"/>
    <s v="High"/>
    <x v="0"/>
    <s v="Below Avg"/>
    <s v="Profit"/>
    <n v="315"/>
  </r>
  <r>
    <n v="411"/>
    <d v="2025-02-14T00:00:00"/>
    <n v="1001"/>
    <s v="Customer_46"/>
    <x v="0"/>
    <x v="0"/>
    <x v="2"/>
    <x v="0"/>
    <n v="2942"/>
    <n v="7"/>
    <n v="0.19"/>
    <n v="90"/>
    <x v="0"/>
    <n v="16681.14"/>
    <x v="1"/>
    <n v="2025"/>
    <s v="Q1"/>
    <n v="5.3953147087069595E-3"/>
    <n v="3912.86"/>
    <s v="High"/>
    <x v="0"/>
    <s v="Above Avg"/>
    <s v="Profit"/>
    <n v="109"/>
  </r>
  <r>
    <n v="412"/>
    <d v="2025-02-15T00:00:00"/>
    <n v="1007"/>
    <s v="Customer_24"/>
    <x v="0"/>
    <x v="2"/>
    <x v="2"/>
    <x v="3"/>
    <n v="3138"/>
    <n v="8"/>
    <n v="0.06"/>
    <n v="281"/>
    <x v="2"/>
    <n v="23597.759999999998"/>
    <x v="1"/>
    <n v="2025"/>
    <s v="Q1"/>
    <n v="1.1907909903312858E-2"/>
    <n v="1506.24"/>
    <s v="High"/>
    <x v="0"/>
    <s v="Above Avg"/>
    <s v="Profit"/>
    <n v="55"/>
  </r>
  <r>
    <n v="413"/>
    <d v="2025-02-16T00:00:00"/>
    <n v="1037"/>
    <s v="Customer_5"/>
    <x v="1"/>
    <x v="0"/>
    <x v="0"/>
    <x v="3"/>
    <n v="2851"/>
    <n v="4"/>
    <n v="0.17"/>
    <n v="385"/>
    <x v="1"/>
    <n v="9465.32"/>
    <x v="1"/>
    <n v="2025"/>
    <s v="Q1"/>
    <n v="4.0674800218059193E-2"/>
    <n v="1938.68"/>
    <s v="High"/>
    <x v="0"/>
    <s v="Below Avg"/>
    <s v="Profit"/>
    <n v="219"/>
  </r>
  <r>
    <n v="414"/>
    <d v="2025-02-17T00:00:00"/>
    <n v="1019"/>
    <s v="Customer_158"/>
    <x v="0"/>
    <x v="1"/>
    <x v="1"/>
    <x v="0"/>
    <n v="1181"/>
    <n v="8"/>
    <n v="0.13"/>
    <n v="-134"/>
    <x v="2"/>
    <n v="8219.76"/>
    <x v="1"/>
    <n v="2025"/>
    <s v="Q1"/>
    <n v="-1.6302179139050289E-2"/>
    <n v="1228.24"/>
    <s v="High"/>
    <x v="0"/>
    <s v="Below Avg"/>
    <s v="Loss"/>
    <n v="243"/>
  </r>
  <r>
    <n v="415"/>
    <d v="2025-02-18T00:00:00"/>
    <n v="1063"/>
    <s v="Customer_43"/>
    <x v="1"/>
    <x v="2"/>
    <x v="2"/>
    <x v="0"/>
    <n v="4382"/>
    <n v="8"/>
    <n v="0.28999999999999998"/>
    <n v="420"/>
    <x v="0"/>
    <n v="24889.759999999998"/>
    <x v="1"/>
    <n v="2025"/>
    <s v="Q1"/>
    <n v="1.6874409395671152E-2"/>
    <n v="10166.24"/>
    <s v="High"/>
    <x v="0"/>
    <s v="Above Avg"/>
    <s v="Profit"/>
    <n v="43"/>
  </r>
  <r>
    <n v="416"/>
    <d v="2025-02-19T00:00:00"/>
    <n v="1020"/>
    <s v="Customer_53"/>
    <x v="0"/>
    <x v="1"/>
    <x v="2"/>
    <x v="3"/>
    <n v="346"/>
    <n v="1"/>
    <n v="0.22"/>
    <n v="1283"/>
    <x v="2"/>
    <n v="269.88"/>
    <x v="1"/>
    <n v="2025"/>
    <s v="Q1"/>
    <n v="4.7539647250629908"/>
    <n v="76.12"/>
    <s v="Low"/>
    <x v="0"/>
    <s v="Below Avg"/>
    <s v="Profit"/>
    <n v="497"/>
  </r>
  <r>
    <n v="417"/>
    <d v="2025-02-20T00:00:00"/>
    <n v="1089"/>
    <s v="Customer_152"/>
    <x v="0"/>
    <x v="0"/>
    <x v="0"/>
    <x v="2"/>
    <n v="895"/>
    <n v="7"/>
    <n v="0.05"/>
    <n v="305"/>
    <x v="1"/>
    <n v="5951.75"/>
    <x v="1"/>
    <n v="2025"/>
    <s v="Q1"/>
    <n v="5.1245432015793672E-2"/>
    <n v="313.25"/>
    <s v="High"/>
    <x v="0"/>
    <s v="Below Avg"/>
    <s v="Profit"/>
    <n v="299"/>
  </r>
  <r>
    <n v="418"/>
    <d v="2025-02-21T00:00:00"/>
    <n v="1030"/>
    <s v="Customer_103"/>
    <x v="0"/>
    <x v="3"/>
    <x v="1"/>
    <x v="1"/>
    <n v="3786"/>
    <n v="6"/>
    <n v="0.26"/>
    <n v="1046"/>
    <x v="0"/>
    <n v="16809.84"/>
    <x v="1"/>
    <n v="2025"/>
    <s v="Q1"/>
    <n v="6.2225458421971892E-2"/>
    <n v="5906.16"/>
    <s v="High"/>
    <x v="0"/>
    <s v="Above Avg"/>
    <s v="Profit"/>
    <n v="106"/>
  </r>
  <r>
    <n v="419"/>
    <d v="2025-02-22T00:00:00"/>
    <n v="1083"/>
    <s v="Customer_142"/>
    <x v="1"/>
    <x v="3"/>
    <x v="0"/>
    <x v="0"/>
    <n v="1037"/>
    <n v="9"/>
    <n v="0.14000000000000001"/>
    <n v="1107"/>
    <x v="1"/>
    <n v="8026.38"/>
    <x v="1"/>
    <n v="2025"/>
    <s v="Q1"/>
    <n v="0.13792020811374492"/>
    <n v="1306.6200000000001"/>
    <s v="High"/>
    <x v="0"/>
    <s v="Below Avg"/>
    <s v="Profit"/>
    <n v="253"/>
  </r>
  <r>
    <n v="420"/>
    <d v="2025-02-23T00:00:00"/>
    <n v="1069"/>
    <s v="Customer_164"/>
    <x v="1"/>
    <x v="1"/>
    <x v="1"/>
    <x v="2"/>
    <n v="2011"/>
    <n v="8"/>
    <n v="0.25"/>
    <n v="1506"/>
    <x v="1"/>
    <n v="12066"/>
    <x v="1"/>
    <n v="2025"/>
    <s v="Q1"/>
    <n v="0.12481352560914968"/>
    <n v="4022"/>
    <s v="High"/>
    <x v="0"/>
    <s v="Above Avg"/>
    <s v="Profit"/>
    <n v="166"/>
  </r>
  <r>
    <n v="421"/>
    <d v="2025-02-24T00:00:00"/>
    <n v="1014"/>
    <s v="Customer_154"/>
    <x v="0"/>
    <x v="3"/>
    <x v="1"/>
    <x v="1"/>
    <n v="1278"/>
    <n v="4"/>
    <n v="0.25"/>
    <n v="-41"/>
    <x v="1"/>
    <n v="3834"/>
    <x v="1"/>
    <n v="2025"/>
    <s v="Q1"/>
    <n v="-1.069379238393323E-2"/>
    <n v="1278"/>
    <s v="Medium"/>
    <x v="0"/>
    <s v="Below Avg"/>
    <s v="Loss"/>
    <n v="362"/>
  </r>
  <r>
    <n v="422"/>
    <d v="2025-02-25T00:00:00"/>
    <n v="1056"/>
    <s v="Customer_13"/>
    <x v="1"/>
    <x v="1"/>
    <x v="1"/>
    <x v="0"/>
    <n v="837"/>
    <n v="2"/>
    <n v="0.01"/>
    <n v="1937"/>
    <x v="2"/>
    <n v="1657.26"/>
    <x v="1"/>
    <n v="2025"/>
    <s v="Q1"/>
    <n v="1.1687966885099501"/>
    <n v="16.740000000000002"/>
    <s v="Low"/>
    <x v="0"/>
    <s v="Below Avg"/>
    <s v="Profit"/>
    <n v="449"/>
  </r>
  <r>
    <n v="423"/>
    <d v="2025-02-26T00:00:00"/>
    <n v="1000"/>
    <s v="Customer_21"/>
    <x v="0"/>
    <x v="3"/>
    <x v="1"/>
    <x v="0"/>
    <n v="734"/>
    <n v="3"/>
    <n v="7.0000000000000007E-2"/>
    <n v="1682"/>
    <x v="0"/>
    <n v="2047.86"/>
    <x v="1"/>
    <n v="2025"/>
    <s v="Q1"/>
    <n v="0.82134520914515641"/>
    <n v="154.14000000000001"/>
    <s v="Medium"/>
    <x v="0"/>
    <s v="Below Avg"/>
    <s v="Profit"/>
    <n v="427"/>
  </r>
  <r>
    <n v="424"/>
    <d v="2025-02-27T00:00:00"/>
    <n v="1089"/>
    <s v="Customer_90"/>
    <x v="1"/>
    <x v="2"/>
    <x v="0"/>
    <x v="2"/>
    <n v="316"/>
    <n v="7"/>
    <n v="0.27"/>
    <n v="1139"/>
    <x v="1"/>
    <n v="1614.76"/>
    <x v="1"/>
    <n v="2025"/>
    <s v="Q1"/>
    <n v="0.70536798038098536"/>
    <n v="597.24"/>
    <s v="Low"/>
    <x v="0"/>
    <s v="Below Avg"/>
    <s v="Profit"/>
    <n v="453"/>
  </r>
  <r>
    <n v="425"/>
    <d v="2025-02-28T00:00:00"/>
    <n v="1028"/>
    <s v="Customer_98"/>
    <x v="0"/>
    <x v="0"/>
    <x v="2"/>
    <x v="1"/>
    <n v="519"/>
    <n v="9"/>
    <n v="0.23"/>
    <n v="411"/>
    <x v="1"/>
    <n v="3596.67"/>
    <x v="1"/>
    <n v="2025"/>
    <s v="Q1"/>
    <n v="0.11427236860762872"/>
    <n v="1074.3300000000002"/>
    <s v="Medium"/>
    <x v="0"/>
    <s v="Below Avg"/>
    <s v="Profit"/>
    <n v="369"/>
  </r>
  <r>
    <n v="426"/>
    <d v="2025-03-01T00:00:00"/>
    <n v="1065"/>
    <s v="Customer_40"/>
    <x v="0"/>
    <x v="3"/>
    <x v="1"/>
    <x v="0"/>
    <n v="2662"/>
    <n v="3"/>
    <n v="0.04"/>
    <n v="1264"/>
    <x v="0"/>
    <n v="7666.5599999999904"/>
    <x v="2"/>
    <n v="2025"/>
    <s v="Q1"/>
    <n v="0.16487185908673532"/>
    <n v="319.44"/>
    <s v="High"/>
    <x v="0"/>
    <s v="Below Avg"/>
    <s v="Profit"/>
    <n v="260"/>
  </r>
  <r>
    <n v="427"/>
    <d v="2025-03-02T00:00:00"/>
    <n v="1021"/>
    <s v="Customer_43"/>
    <x v="0"/>
    <x v="1"/>
    <x v="1"/>
    <x v="1"/>
    <n v="408"/>
    <n v="7"/>
    <n v="0.06"/>
    <n v="1876"/>
    <x v="1"/>
    <n v="2684.64"/>
    <x v="2"/>
    <n v="2025"/>
    <s v="Q1"/>
    <n v="0.69879015435961622"/>
    <n v="171.35999999999999"/>
    <s v="Medium"/>
    <x v="0"/>
    <s v="Below Avg"/>
    <s v="Profit"/>
    <n v="402"/>
  </r>
  <r>
    <n v="428"/>
    <d v="2025-03-03T00:00:00"/>
    <n v="1060"/>
    <s v="Customer_59"/>
    <x v="0"/>
    <x v="0"/>
    <x v="1"/>
    <x v="1"/>
    <n v="4903"/>
    <n v="1"/>
    <n v="0.19"/>
    <n v="1541"/>
    <x v="0"/>
    <n v="3971.43"/>
    <x v="2"/>
    <n v="2025"/>
    <s v="Q1"/>
    <n v="0.38802144315775428"/>
    <n v="931.57"/>
    <s v="Medium"/>
    <x v="0"/>
    <s v="Below Avg"/>
    <s v="Profit"/>
    <n v="355"/>
  </r>
  <r>
    <n v="429"/>
    <d v="2025-03-04T00:00:00"/>
    <n v="1028"/>
    <s v="Customer_49"/>
    <x v="1"/>
    <x v="2"/>
    <x v="0"/>
    <x v="1"/>
    <n v="1966"/>
    <n v="3"/>
    <n v="0.08"/>
    <n v="919"/>
    <x v="1"/>
    <n v="5426.16"/>
    <x v="2"/>
    <n v="2025"/>
    <s v="Q1"/>
    <n v="0.16936470726996625"/>
    <n v="471.84000000000003"/>
    <s v="High"/>
    <x v="0"/>
    <s v="Below Avg"/>
    <s v="Profit"/>
    <n v="311"/>
  </r>
  <r>
    <n v="430"/>
    <d v="2025-03-05T00:00:00"/>
    <n v="1008"/>
    <s v="Customer_175"/>
    <x v="1"/>
    <x v="2"/>
    <x v="1"/>
    <x v="2"/>
    <n v="1083"/>
    <n v="2"/>
    <n v="0.06"/>
    <n v="25"/>
    <x v="1"/>
    <n v="2036.04"/>
    <x v="2"/>
    <n v="2025"/>
    <s v="Q1"/>
    <n v="1.2278737156440934E-2"/>
    <n v="129.96"/>
    <s v="Medium"/>
    <x v="0"/>
    <s v="Below Avg"/>
    <s v="Profit"/>
    <n v="429"/>
  </r>
  <r>
    <n v="431"/>
    <d v="2025-03-06T00:00:00"/>
    <n v="1040"/>
    <s v="Customer_147"/>
    <x v="1"/>
    <x v="1"/>
    <x v="2"/>
    <x v="1"/>
    <n v="3878"/>
    <n v="6"/>
    <n v="0.3"/>
    <n v="227"/>
    <x v="1"/>
    <n v="16287.5999999999"/>
    <x v="2"/>
    <n v="2025"/>
    <s v="Q1"/>
    <n v="1.3936982735332485E-2"/>
    <n v="6980.4"/>
    <s v="High"/>
    <x v="0"/>
    <s v="Above Avg"/>
    <s v="Profit"/>
    <n v="120"/>
  </r>
  <r>
    <n v="432"/>
    <d v="2025-03-07T00:00:00"/>
    <n v="1020"/>
    <s v="Customer_140"/>
    <x v="0"/>
    <x v="3"/>
    <x v="1"/>
    <x v="3"/>
    <n v="2387"/>
    <n v="9"/>
    <n v="0.14000000000000001"/>
    <n v="-68"/>
    <x v="2"/>
    <n v="18475.38"/>
    <x v="2"/>
    <n v="2025"/>
    <s v="Q1"/>
    <n v="-3.6805738231094568E-3"/>
    <n v="3007.6200000000003"/>
    <s v="High"/>
    <x v="0"/>
    <s v="Above Avg"/>
    <s v="Loss"/>
    <n v="88"/>
  </r>
  <r>
    <n v="433"/>
    <d v="2025-03-08T00:00:00"/>
    <n v="1054"/>
    <s v="Customer_36"/>
    <x v="0"/>
    <x v="3"/>
    <x v="2"/>
    <x v="0"/>
    <n v="3414"/>
    <n v="3"/>
    <n v="0.16"/>
    <n v="1361"/>
    <x v="0"/>
    <n v="8603.2799999999897"/>
    <x v="2"/>
    <n v="2025"/>
    <s v="Q1"/>
    <n v="0.15819547893361621"/>
    <n v="1638.72"/>
    <s v="High"/>
    <x v="0"/>
    <s v="Below Avg"/>
    <s v="Profit"/>
    <n v="236"/>
  </r>
  <r>
    <n v="434"/>
    <d v="2025-03-09T00:00:00"/>
    <n v="1095"/>
    <s v="Customer_122"/>
    <x v="0"/>
    <x v="0"/>
    <x v="2"/>
    <x v="1"/>
    <n v="661"/>
    <n v="8"/>
    <n v="0.2"/>
    <n v="31"/>
    <x v="2"/>
    <n v="4230.3999999999996"/>
    <x v="2"/>
    <n v="2025"/>
    <s v="Q1"/>
    <n v="7.3279122541603636E-3"/>
    <n v="1057.6000000000001"/>
    <s v="Medium"/>
    <x v="0"/>
    <s v="Below Avg"/>
    <s v="Profit"/>
    <n v="345"/>
  </r>
  <r>
    <n v="435"/>
    <d v="2025-03-10T00:00:00"/>
    <n v="1095"/>
    <s v="Customer_94"/>
    <x v="0"/>
    <x v="1"/>
    <x v="0"/>
    <x v="0"/>
    <n v="3695"/>
    <n v="9"/>
    <n v="0.02"/>
    <n v="1064"/>
    <x v="2"/>
    <n v="32589.8999999999"/>
    <x v="2"/>
    <n v="2025"/>
    <s v="Q1"/>
    <n v="3.2648151727989447E-2"/>
    <n v="665.1"/>
    <s v="High"/>
    <x v="0"/>
    <s v="Above Avg"/>
    <s v="Profit"/>
    <n v="19"/>
  </r>
  <r>
    <n v="436"/>
    <d v="2025-03-11T00:00:00"/>
    <n v="1039"/>
    <s v="Customer_108"/>
    <x v="1"/>
    <x v="1"/>
    <x v="2"/>
    <x v="3"/>
    <n v="4987"/>
    <n v="8"/>
    <n v="0.12"/>
    <n v="1901"/>
    <x v="0"/>
    <n v="35108.480000000003"/>
    <x v="2"/>
    <n v="2025"/>
    <s v="Q1"/>
    <n v="5.4146462620996406E-2"/>
    <n v="4787.5199999999995"/>
    <s v="High"/>
    <x v="0"/>
    <s v="Above Avg"/>
    <s v="Profit"/>
    <n v="11"/>
  </r>
  <r>
    <n v="437"/>
    <d v="2025-03-12T00:00:00"/>
    <n v="1025"/>
    <s v="Customer_33"/>
    <x v="1"/>
    <x v="0"/>
    <x v="1"/>
    <x v="3"/>
    <n v="1502"/>
    <n v="9"/>
    <n v="0.27"/>
    <n v="407"/>
    <x v="0"/>
    <n v="9868.14"/>
    <x v="2"/>
    <n v="2025"/>
    <s v="Q1"/>
    <n v="4.1243841291266646E-2"/>
    <n v="3649.86"/>
    <s v="High"/>
    <x v="0"/>
    <s v="Below Avg"/>
    <s v="Profit"/>
    <n v="205"/>
  </r>
  <r>
    <n v="438"/>
    <d v="2025-03-13T00:00:00"/>
    <n v="1047"/>
    <s v="Customer_108"/>
    <x v="1"/>
    <x v="0"/>
    <x v="2"/>
    <x v="3"/>
    <n v="2678"/>
    <n v="9"/>
    <n v="0.28000000000000003"/>
    <n v="-115"/>
    <x v="0"/>
    <n v="17353.439999999999"/>
    <x v="2"/>
    <n v="2025"/>
    <s v="Q1"/>
    <n v="-6.626928147963747E-3"/>
    <n v="6748.56"/>
    <s v="High"/>
    <x v="0"/>
    <s v="Above Avg"/>
    <s v="Loss"/>
    <n v="100"/>
  </r>
  <r>
    <n v="439"/>
    <d v="2025-03-14T00:00:00"/>
    <n v="1076"/>
    <s v="Customer_127"/>
    <x v="1"/>
    <x v="3"/>
    <x v="1"/>
    <x v="3"/>
    <n v="3044"/>
    <n v="3"/>
    <n v="0.15"/>
    <n v="151"/>
    <x v="0"/>
    <n v="7762.2"/>
    <x v="2"/>
    <n v="2025"/>
    <s v="Q1"/>
    <n v="1.9453247790574838E-2"/>
    <n v="1369.8"/>
    <s v="High"/>
    <x v="0"/>
    <s v="Below Avg"/>
    <s v="Profit"/>
    <n v="257"/>
  </r>
  <r>
    <n v="440"/>
    <d v="2025-03-15T00:00:00"/>
    <n v="1002"/>
    <s v="Customer_87"/>
    <x v="0"/>
    <x v="0"/>
    <x v="2"/>
    <x v="0"/>
    <n v="670"/>
    <n v="9"/>
    <n v="0.27"/>
    <n v="-290"/>
    <x v="1"/>
    <n v="4401.8999999999996"/>
    <x v="2"/>
    <n v="2025"/>
    <s v="Q1"/>
    <n v="-6.5880642449851201E-2"/>
    <n v="1628.1000000000001"/>
    <s v="Medium"/>
    <x v="0"/>
    <s v="Below Avg"/>
    <s v="Loss"/>
    <n v="340"/>
  </r>
  <r>
    <n v="441"/>
    <d v="2025-03-16T00:00:00"/>
    <n v="1095"/>
    <s v="Customer_62"/>
    <x v="0"/>
    <x v="1"/>
    <x v="1"/>
    <x v="1"/>
    <n v="2551"/>
    <n v="1"/>
    <n v="0.15"/>
    <n v="453"/>
    <x v="2"/>
    <n v="2168.35"/>
    <x v="2"/>
    <n v="2025"/>
    <s v="Q1"/>
    <n v="0.20891461249337054"/>
    <n v="382.65"/>
    <s v="Medium"/>
    <x v="0"/>
    <s v="Below Avg"/>
    <s v="Profit"/>
    <n v="420"/>
  </r>
  <r>
    <n v="442"/>
    <d v="2025-03-17T00:00:00"/>
    <n v="1032"/>
    <s v="Customer_169"/>
    <x v="1"/>
    <x v="2"/>
    <x v="0"/>
    <x v="2"/>
    <n v="1755"/>
    <n v="4"/>
    <n v="0.3"/>
    <n v="678"/>
    <x v="2"/>
    <n v="4914"/>
    <x v="2"/>
    <n v="2025"/>
    <s v="Q1"/>
    <n v="0.13797313797313798"/>
    <n v="2106"/>
    <s v="Medium"/>
    <x v="0"/>
    <s v="Below Avg"/>
    <s v="Profit"/>
    <n v="327"/>
  </r>
  <r>
    <n v="443"/>
    <d v="2025-03-18T00:00:00"/>
    <n v="1096"/>
    <s v="Customer_19"/>
    <x v="1"/>
    <x v="2"/>
    <x v="1"/>
    <x v="1"/>
    <n v="4413"/>
    <n v="1"/>
    <n v="0.24"/>
    <n v="-325"/>
    <x v="1"/>
    <n v="3353.88"/>
    <x v="2"/>
    <n v="2025"/>
    <s v="Q1"/>
    <n v="-9.6902691807697353E-2"/>
    <n v="1059.1199999999999"/>
    <s v="Medium"/>
    <x v="0"/>
    <s v="Below Avg"/>
    <s v="Loss"/>
    <n v="383"/>
  </r>
  <r>
    <n v="444"/>
    <d v="2025-03-19T00:00:00"/>
    <n v="1041"/>
    <s v="Customer_101"/>
    <x v="0"/>
    <x v="2"/>
    <x v="0"/>
    <x v="1"/>
    <n v="4983"/>
    <n v="2"/>
    <n v="0.25"/>
    <n v="159"/>
    <x v="2"/>
    <n v="7474.5"/>
    <x v="2"/>
    <n v="2025"/>
    <s v="Q1"/>
    <n v="2.1272325908087499E-2"/>
    <n v="2491.5"/>
    <s v="High"/>
    <x v="0"/>
    <s v="Below Avg"/>
    <s v="Profit"/>
    <n v="265"/>
  </r>
  <r>
    <n v="445"/>
    <d v="2025-03-20T00:00:00"/>
    <n v="1076"/>
    <s v="Customer_31"/>
    <x v="0"/>
    <x v="2"/>
    <x v="1"/>
    <x v="0"/>
    <n v="2328"/>
    <n v="4"/>
    <n v="0.06"/>
    <n v="878"/>
    <x v="2"/>
    <n v="8753.2799999999897"/>
    <x v="2"/>
    <n v="2025"/>
    <s v="Q1"/>
    <n v="0.10030525700080439"/>
    <n v="558.72"/>
    <s v="High"/>
    <x v="0"/>
    <s v="Below Avg"/>
    <s v="Profit"/>
    <n v="234"/>
  </r>
  <r>
    <n v="446"/>
    <d v="2025-03-21T00:00:00"/>
    <n v="1042"/>
    <s v="Customer_50"/>
    <x v="0"/>
    <x v="1"/>
    <x v="2"/>
    <x v="1"/>
    <n v="4886"/>
    <n v="8"/>
    <n v="0"/>
    <n v="-420"/>
    <x v="0"/>
    <n v="39088"/>
    <x v="2"/>
    <n v="2025"/>
    <s v="Q1"/>
    <n v="-1.0744985673352435E-2"/>
    <n v="0"/>
    <s v="High"/>
    <x v="1"/>
    <s v="Above Avg"/>
    <s v="Loss"/>
    <n v="4"/>
  </r>
  <r>
    <n v="447"/>
    <d v="2025-03-22T00:00:00"/>
    <n v="1069"/>
    <s v="Customer_170"/>
    <x v="0"/>
    <x v="2"/>
    <x v="1"/>
    <x v="3"/>
    <n v="2947"/>
    <n v="6"/>
    <n v="0.15"/>
    <n v="963"/>
    <x v="1"/>
    <n v="15029.699999999901"/>
    <x v="2"/>
    <n v="2025"/>
    <s v="Q1"/>
    <n v="6.4073135192319636E-2"/>
    <n v="2652.2999999999997"/>
    <s v="High"/>
    <x v="0"/>
    <s v="Above Avg"/>
    <s v="Profit"/>
    <n v="137"/>
  </r>
  <r>
    <n v="448"/>
    <d v="2025-03-23T00:00:00"/>
    <n v="1003"/>
    <s v="Customer_103"/>
    <x v="1"/>
    <x v="1"/>
    <x v="2"/>
    <x v="0"/>
    <n v="3985"/>
    <n v="4"/>
    <n v="0.28999999999999998"/>
    <n v="735"/>
    <x v="1"/>
    <n v="11317.4"/>
    <x v="2"/>
    <n v="2025"/>
    <s v="Q1"/>
    <n v="6.494424514464453E-2"/>
    <n v="4622.5999999999995"/>
    <s v="High"/>
    <x v="0"/>
    <s v="Above Avg"/>
    <s v="Profit"/>
    <n v="185"/>
  </r>
  <r>
    <n v="449"/>
    <d v="2025-03-24T00:00:00"/>
    <n v="1063"/>
    <s v="Customer_17"/>
    <x v="0"/>
    <x v="3"/>
    <x v="1"/>
    <x v="2"/>
    <n v="444"/>
    <n v="4"/>
    <n v="0.28999999999999998"/>
    <n v="1226"/>
    <x v="1"/>
    <n v="1260.96"/>
    <x v="2"/>
    <n v="2025"/>
    <s v="Q1"/>
    <n v="0.97227509199340179"/>
    <n v="515.04"/>
    <s v="Low"/>
    <x v="0"/>
    <s v="Below Avg"/>
    <s v="Profit"/>
    <n v="467"/>
  </r>
  <r>
    <n v="450"/>
    <d v="2025-03-25T00:00:00"/>
    <n v="1069"/>
    <s v="Customer_196"/>
    <x v="0"/>
    <x v="2"/>
    <x v="1"/>
    <x v="0"/>
    <n v="3283"/>
    <n v="6"/>
    <n v="0.18"/>
    <n v="-475"/>
    <x v="1"/>
    <n v="16152.36"/>
    <x v="2"/>
    <n v="2025"/>
    <s v="Q1"/>
    <n v="-2.9407467391761945E-2"/>
    <n v="3545.64"/>
    <s v="High"/>
    <x v="0"/>
    <s v="Above Avg"/>
    <s v="Loss"/>
    <n v="124"/>
  </r>
  <r>
    <n v="451"/>
    <d v="2025-03-26T00:00:00"/>
    <n v="1050"/>
    <s v="Customer_6"/>
    <x v="0"/>
    <x v="1"/>
    <x v="1"/>
    <x v="0"/>
    <n v="3777"/>
    <n v="1"/>
    <n v="0.06"/>
    <n v="658"/>
    <x v="0"/>
    <n v="3550.3799999999901"/>
    <x v="2"/>
    <n v="2025"/>
    <s v="Q1"/>
    <n v="0.18533227429176646"/>
    <n v="226.62"/>
    <s v="Medium"/>
    <x v="0"/>
    <s v="Below Avg"/>
    <s v="Profit"/>
    <n v="375"/>
  </r>
  <r>
    <n v="452"/>
    <d v="2025-03-27T00:00:00"/>
    <n v="1066"/>
    <s v="Customer_60"/>
    <x v="1"/>
    <x v="3"/>
    <x v="0"/>
    <x v="2"/>
    <n v="4411"/>
    <n v="5"/>
    <n v="0"/>
    <n v="1052"/>
    <x v="2"/>
    <n v="22055"/>
    <x v="2"/>
    <n v="2025"/>
    <s v="Q1"/>
    <n v="4.7698934481976873E-2"/>
    <n v="0"/>
    <s v="High"/>
    <x v="0"/>
    <s v="Above Avg"/>
    <s v="Profit"/>
    <n v="66"/>
  </r>
  <r>
    <n v="453"/>
    <d v="2025-03-28T00:00:00"/>
    <n v="1090"/>
    <s v="Customer_19"/>
    <x v="1"/>
    <x v="3"/>
    <x v="2"/>
    <x v="0"/>
    <n v="2976"/>
    <n v="4"/>
    <n v="0.15"/>
    <n v="1151"/>
    <x v="1"/>
    <n v="10118.4"/>
    <x v="2"/>
    <n v="2025"/>
    <s v="Q1"/>
    <n v="0.11375316255534472"/>
    <n v="1785.6"/>
    <s v="High"/>
    <x v="0"/>
    <s v="Below Avg"/>
    <s v="Profit"/>
    <n v="199"/>
  </r>
  <r>
    <n v="454"/>
    <d v="2025-03-29T00:00:00"/>
    <n v="1083"/>
    <s v="Customer_186"/>
    <x v="1"/>
    <x v="3"/>
    <x v="0"/>
    <x v="3"/>
    <n v="504"/>
    <n v="8"/>
    <n v="0.09"/>
    <n v="1073"/>
    <x v="0"/>
    <n v="3669.12"/>
    <x v="2"/>
    <n v="2025"/>
    <s v="Q1"/>
    <n v="0.2924406942264085"/>
    <n v="362.88"/>
    <s v="Medium"/>
    <x v="0"/>
    <s v="Below Avg"/>
    <s v="Profit"/>
    <n v="367"/>
  </r>
  <r>
    <n v="455"/>
    <d v="2025-03-30T00:00:00"/>
    <n v="1017"/>
    <s v="Customer_40"/>
    <x v="1"/>
    <x v="2"/>
    <x v="0"/>
    <x v="1"/>
    <n v="2002"/>
    <n v="9"/>
    <n v="0.1"/>
    <n v="-460"/>
    <x v="0"/>
    <n v="16216.2"/>
    <x v="2"/>
    <n v="2025"/>
    <s v="Q1"/>
    <n v="-2.83666950333617E-2"/>
    <n v="1801.8000000000002"/>
    <s v="High"/>
    <x v="0"/>
    <s v="Above Avg"/>
    <s v="Loss"/>
    <n v="121"/>
  </r>
  <r>
    <n v="456"/>
    <d v="2025-03-31T00:00:00"/>
    <n v="1019"/>
    <s v="Customer_124"/>
    <x v="0"/>
    <x v="0"/>
    <x v="0"/>
    <x v="0"/>
    <n v="272"/>
    <n v="2"/>
    <n v="0.25"/>
    <n v="237"/>
    <x v="2"/>
    <n v="408"/>
    <x v="2"/>
    <n v="2025"/>
    <s v="Q1"/>
    <n v="0.58088235294117652"/>
    <n v="136"/>
    <s v="Low"/>
    <x v="0"/>
    <s v="Below Avg"/>
    <s v="Profit"/>
    <n v="495"/>
  </r>
  <r>
    <n v="457"/>
    <d v="2025-04-01T00:00:00"/>
    <n v="1029"/>
    <s v="Customer_45"/>
    <x v="0"/>
    <x v="1"/>
    <x v="0"/>
    <x v="2"/>
    <n v="1217"/>
    <n v="2"/>
    <n v="0.03"/>
    <n v="1969"/>
    <x v="2"/>
    <n v="2360.98"/>
    <x v="3"/>
    <n v="2025"/>
    <s v="Q2"/>
    <n v="0.83397572194597158"/>
    <n v="73.02"/>
    <s v="Medium"/>
    <x v="0"/>
    <s v="Below Avg"/>
    <s v="Profit"/>
    <n v="414"/>
  </r>
  <r>
    <n v="458"/>
    <d v="2025-04-02T00:00:00"/>
    <n v="1073"/>
    <s v="Customer_42"/>
    <x v="1"/>
    <x v="2"/>
    <x v="1"/>
    <x v="1"/>
    <n v="1801"/>
    <n v="8"/>
    <n v="0.03"/>
    <n v="1897"/>
    <x v="1"/>
    <n v="13975.76"/>
    <x v="3"/>
    <n v="2025"/>
    <s v="Q2"/>
    <n v="0.13573501548395223"/>
    <n v="432.24"/>
    <s v="High"/>
    <x v="0"/>
    <s v="Above Avg"/>
    <s v="Profit"/>
    <n v="148"/>
  </r>
  <r>
    <n v="459"/>
    <d v="2025-04-03T00:00:00"/>
    <n v="1051"/>
    <s v="Customer_70"/>
    <x v="1"/>
    <x v="1"/>
    <x v="1"/>
    <x v="3"/>
    <n v="4044"/>
    <n v="6"/>
    <n v="0.13"/>
    <n v="-422"/>
    <x v="1"/>
    <n v="21109.68"/>
    <x v="3"/>
    <n v="2025"/>
    <s v="Q2"/>
    <n v="-1.9990828851976911E-2"/>
    <n v="3154.32"/>
    <s v="High"/>
    <x v="0"/>
    <s v="Above Avg"/>
    <s v="Loss"/>
    <n v="75"/>
  </r>
  <r>
    <n v="460"/>
    <d v="2025-04-04T00:00:00"/>
    <n v="1022"/>
    <s v="Customer_152"/>
    <x v="1"/>
    <x v="1"/>
    <x v="0"/>
    <x v="1"/>
    <n v="1017"/>
    <n v="8"/>
    <n v="0.12"/>
    <n v="622"/>
    <x v="2"/>
    <n v="7159.68"/>
    <x v="3"/>
    <n v="2025"/>
    <s v="Q2"/>
    <n v="8.68753910789309E-2"/>
    <n v="976.31999999999994"/>
    <s v="High"/>
    <x v="0"/>
    <s v="Below Avg"/>
    <s v="Profit"/>
    <n v="272"/>
  </r>
  <r>
    <n v="461"/>
    <d v="2025-04-05T00:00:00"/>
    <n v="1046"/>
    <s v="Customer_150"/>
    <x v="0"/>
    <x v="0"/>
    <x v="0"/>
    <x v="3"/>
    <n v="3058"/>
    <n v="1"/>
    <n v="0.02"/>
    <n v="1633"/>
    <x v="1"/>
    <n v="2996.84"/>
    <x v="3"/>
    <n v="2025"/>
    <s v="Q2"/>
    <n v="0.54490730235848428"/>
    <n v="61.160000000000004"/>
    <s v="Medium"/>
    <x v="0"/>
    <s v="Below Avg"/>
    <s v="Profit"/>
    <n v="393"/>
  </r>
  <r>
    <n v="462"/>
    <d v="2025-04-06T00:00:00"/>
    <n v="1002"/>
    <s v="Customer_53"/>
    <x v="0"/>
    <x v="2"/>
    <x v="0"/>
    <x v="3"/>
    <n v="3212"/>
    <n v="3"/>
    <n v="0.16"/>
    <n v="-72"/>
    <x v="2"/>
    <n v="8094.24"/>
    <x v="3"/>
    <n v="2025"/>
    <s v="Q2"/>
    <n v="-8.8952143746664301E-3"/>
    <n v="1541.76"/>
    <s v="High"/>
    <x v="0"/>
    <s v="Below Avg"/>
    <s v="Loss"/>
    <n v="249"/>
  </r>
  <r>
    <n v="463"/>
    <d v="2025-04-07T00:00:00"/>
    <n v="1049"/>
    <s v="Customer_78"/>
    <x v="0"/>
    <x v="0"/>
    <x v="2"/>
    <x v="3"/>
    <n v="1965"/>
    <n v="7"/>
    <n v="0.13"/>
    <n v="510"/>
    <x v="2"/>
    <n v="11966.85"/>
    <x v="3"/>
    <n v="2025"/>
    <s v="Q2"/>
    <n v="4.2617731483222399E-2"/>
    <n v="1788.15"/>
    <s v="High"/>
    <x v="0"/>
    <s v="Above Avg"/>
    <s v="Profit"/>
    <n v="168"/>
  </r>
  <r>
    <n v="464"/>
    <d v="2025-04-08T00:00:00"/>
    <n v="1008"/>
    <s v="Customer_152"/>
    <x v="0"/>
    <x v="3"/>
    <x v="2"/>
    <x v="0"/>
    <n v="406"/>
    <n v="7"/>
    <n v="0.3"/>
    <n v="648"/>
    <x v="2"/>
    <n v="1989.3999999999901"/>
    <x v="3"/>
    <n v="2025"/>
    <s v="Q2"/>
    <n v="0.32572634965316338"/>
    <n v="852.6"/>
    <s v="Low"/>
    <x v="0"/>
    <s v="Below Avg"/>
    <s v="Profit"/>
    <n v="431"/>
  </r>
  <r>
    <n v="465"/>
    <d v="2025-04-09T00:00:00"/>
    <n v="1018"/>
    <s v="Customer_153"/>
    <x v="0"/>
    <x v="2"/>
    <x v="1"/>
    <x v="3"/>
    <n v="1951"/>
    <n v="5"/>
    <n v="0.02"/>
    <n v="575"/>
    <x v="1"/>
    <n v="9559.9"/>
    <x v="3"/>
    <n v="2025"/>
    <s v="Q2"/>
    <n v="6.0147072668124149E-2"/>
    <n v="195.1"/>
    <s v="High"/>
    <x v="0"/>
    <s v="Below Avg"/>
    <s v="Profit"/>
    <n v="214"/>
  </r>
  <r>
    <n v="466"/>
    <d v="2025-04-10T00:00:00"/>
    <n v="1035"/>
    <s v="Customer_145"/>
    <x v="0"/>
    <x v="3"/>
    <x v="2"/>
    <x v="1"/>
    <n v="930"/>
    <n v="9"/>
    <n v="0.04"/>
    <n v="-226"/>
    <x v="1"/>
    <n v="8035.2"/>
    <x v="3"/>
    <n v="2025"/>
    <s v="Q2"/>
    <n v="-2.8126244524093989E-2"/>
    <n v="334.8"/>
    <s v="High"/>
    <x v="0"/>
    <s v="Below Avg"/>
    <s v="Loss"/>
    <n v="252"/>
  </r>
  <r>
    <n v="467"/>
    <d v="2025-04-11T00:00:00"/>
    <n v="1039"/>
    <s v="Customer_123"/>
    <x v="0"/>
    <x v="0"/>
    <x v="0"/>
    <x v="0"/>
    <n v="524"/>
    <n v="2"/>
    <n v="0.05"/>
    <n v="563"/>
    <x v="1"/>
    <n v="995.599999999999"/>
    <x v="3"/>
    <n v="2025"/>
    <s v="Q2"/>
    <n v="0.56548814785054291"/>
    <n v="52.400000000000006"/>
    <s v="Low"/>
    <x v="0"/>
    <s v="Below Avg"/>
    <s v="Profit"/>
    <n v="480"/>
  </r>
  <r>
    <n v="468"/>
    <d v="2025-04-12T00:00:00"/>
    <n v="1026"/>
    <s v="Customer_115"/>
    <x v="1"/>
    <x v="3"/>
    <x v="2"/>
    <x v="2"/>
    <n v="3851"/>
    <n v="1"/>
    <n v="0.1"/>
    <n v="1436"/>
    <x v="0"/>
    <n v="3465.9"/>
    <x v="3"/>
    <n v="2025"/>
    <s v="Q2"/>
    <n v="0.41432239822268385"/>
    <n v="385.1"/>
    <s v="Medium"/>
    <x v="0"/>
    <s v="Below Avg"/>
    <s v="Profit"/>
    <n v="377"/>
  </r>
  <r>
    <n v="469"/>
    <d v="2025-04-13T00:00:00"/>
    <n v="1091"/>
    <s v="Customer_110"/>
    <x v="1"/>
    <x v="1"/>
    <x v="0"/>
    <x v="0"/>
    <n v="4972"/>
    <n v="3"/>
    <n v="0.2"/>
    <n v="1594"/>
    <x v="2"/>
    <n v="11932.8"/>
    <x v="3"/>
    <n v="2025"/>
    <s v="Q2"/>
    <n v="0.13358138911236256"/>
    <n v="2983.2000000000003"/>
    <s v="High"/>
    <x v="0"/>
    <s v="Above Avg"/>
    <s v="Profit"/>
    <n v="169"/>
  </r>
  <r>
    <n v="470"/>
    <d v="2025-04-14T00:00:00"/>
    <n v="1071"/>
    <s v="Customer_163"/>
    <x v="0"/>
    <x v="0"/>
    <x v="2"/>
    <x v="3"/>
    <n v="1905"/>
    <n v="7"/>
    <n v="0.28999999999999998"/>
    <n v="-284"/>
    <x v="0"/>
    <n v="9467.85"/>
    <x v="3"/>
    <n v="2025"/>
    <s v="Q2"/>
    <n v="-2.9996250468691414E-2"/>
    <n v="3867.1499999999996"/>
    <s v="High"/>
    <x v="0"/>
    <s v="Below Avg"/>
    <s v="Loss"/>
    <n v="218"/>
  </r>
  <r>
    <n v="471"/>
    <d v="2025-04-15T00:00:00"/>
    <n v="1071"/>
    <s v="Customer_56"/>
    <x v="1"/>
    <x v="3"/>
    <x v="2"/>
    <x v="2"/>
    <n v="4820"/>
    <n v="8"/>
    <n v="0.27"/>
    <n v="148"/>
    <x v="2"/>
    <n v="28148.799999999999"/>
    <x v="3"/>
    <n v="2025"/>
    <s v="Q2"/>
    <n v="5.257772977888933E-3"/>
    <n v="10411.200000000001"/>
    <s v="High"/>
    <x v="0"/>
    <s v="Above Avg"/>
    <s v="Profit"/>
    <n v="28"/>
  </r>
  <r>
    <n v="472"/>
    <d v="2025-04-16T00:00:00"/>
    <n v="1081"/>
    <s v="Customer_28"/>
    <x v="1"/>
    <x v="3"/>
    <x v="2"/>
    <x v="3"/>
    <n v="2519"/>
    <n v="8"/>
    <n v="0.13"/>
    <n v="1049"/>
    <x v="2"/>
    <n v="17532.240000000002"/>
    <x v="3"/>
    <n v="2025"/>
    <s v="Q2"/>
    <n v="5.9832628346406388E-2"/>
    <n v="2619.7600000000002"/>
    <s v="High"/>
    <x v="0"/>
    <s v="Above Avg"/>
    <s v="Profit"/>
    <n v="96"/>
  </r>
  <r>
    <n v="473"/>
    <d v="2025-04-17T00:00:00"/>
    <n v="1020"/>
    <s v="Customer_194"/>
    <x v="1"/>
    <x v="3"/>
    <x v="1"/>
    <x v="2"/>
    <n v="191"/>
    <n v="2"/>
    <n v="0.02"/>
    <n v="453"/>
    <x v="1"/>
    <n v="374.36"/>
    <x v="3"/>
    <n v="2025"/>
    <s v="Q2"/>
    <n v="1.2100651779036222"/>
    <n v="7.6400000000000006"/>
    <s v="Low"/>
    <x v="0"/>
    <s v="Below Avg"/>
    <s v="Profit"/>
    <n v="496"/>
  </r>
  <r>
    <n v="474"/>
    <d v="2025-04-18T00:00:00"/>
    <n v="1012"/>
    <s v="Customer_34"/>
    <x v="1"/>
    <x v="3"/>
    <x v="2"/>
    <x v="0"/>
    <n v="958"/>
    <n v="6"/>
    <n v="0.19"/>
    <n v="1374"/>
    <x v="1"/>
    <n v="4655.88"/>
    <x v="3"/>
    <n v="2025"/>
    <s v="Q2"/>
    <n v="0.2951106987293487"/>
    <n v="1092.1200000000001"/>
    <s v="Medium"/>
    <x v="0"/>
    <s v="Below Avg"/>
    <s v="Profit"/>
    <n v="333"/>
  </r>
  <r>
    <n v="475"/>
    <d v="2025-04-19T00:00:00"/>
    <n v="1026"/>
    <s v="Customer_65"/>
    <x v="1"/>
    <x v="2"/>
    <x v="1"/>
    <x v="1"/>
    <n v="4109"/>
    <n v="5"/>
    <n v="0.13"/>
    <n v="630"/>
    <x v="0"/>
    <n v="17874.150000000001"/>
    <x v="3"/>
    <n v="2025"/>
    <s v="Q2"/>
    <n v="3.5246431298830989E-2"/>
    <n v="2670.85"/>
    <s v="High"/>
    <x v="0"/>
    <s v="Above Avg"/>
    <s v="Profit"/>
    <n v="92"/>
  </r>
  <r>
    <n v="476"/>
    <d v="2025-04-20T00:00:00"/>
    <n v="1061"/>
    <s v="Customer_111"/>
    <x v="1"/>
    <x v="3"/>
    <x v="1"/>
    <x v="0"/>
    <n v="911"/>
    <n v="2"/>
    <n v="0.01"/>
    <n v="61"/>
    <x v="0"/>
    <n v="1803.78"/>
    <x v="3"/>
    <n v="2025"/>
    <s v="Q2"/>
    <n v="3.3817871359034919E-2"/>
    <n v="18.22"/>
    <s v="Low"/>
    <x v="0"/>
    <s v="Below Avg"/>
    <s v="Profit"/>
    <n v="440"/>
  </r>
  <r>
    <n v="477"/>
    <d v="2025-04-21T00:00:00"/>
    <n v="1039"/>
    <s v="Customer_128"/>
    <x v="0"/>
    <x v="3"/>
    <x v="2"/>
    <x v="1"/>
    <n v="1853"/>
    <n v="1"/>
    <n v="0.25"/>
    <n v="1755"/>
    <x v="2"/>
    <n v="1389.75"/>
    <x v="3"/>
    <n v="2025"/>
    <s v="Q2"/>
    <n v="1.2628170534268754"/>
    <n v="463.25"/>
    <s v="Low"/>
    <x v="0"/>
    <s v="Below Avg"/>
    <s v="Profit"/>
    <n v="461"/>
  </r>
  <r>
    <n v="478"/>
    <d v="2025-04-22T00:00:00"/>
    <n v="1052"/>
    <s v="Customer_131"/>
    <x v="1"/>
    <x v="2"/>
    <x v="0"/>
    <x v="3"/>
    <n v="3861"/>
    <n v="4"/>
    <n v="0.16"/>
    <n v="1739"/>
    <x v="1"/>
    <n v="12972.96"/>
    <x v="3"/>
    <n v="2025"/>
    <s v="Q2"/>
    <n v="0.1340480507147174"/>
    <n v="2471.04"/>
    <s v="High"/>
    <x v="0"/>
    <s v="Above Avg"/>
    <s v="Profit"/>
    <n v="159"/>
  </r>
  <r>
    <n v="479"/>
    <d v="2025-04-23T00:00:00"/>
    <n v="1079"/>
    <s v="Customer_187"/>
    <x v="1"/>
    <x v="3"/>
    <x v="0"/>
    <x v="3"/>
    <n v="3679"/>
    <n v="6"/>
    <n v="0.13"/>
    <n v="1506"/>
    <x v="2"/>
    <n v="19204.38"/>
    <x v="3"/>
    <n v="2025"/>
    <s v="Q2"/>
    <n v="7.8419610526348674E-2"/>
    <n v="2869.62"/>
    <s v="High"/>
    <x v="0"/>
    <s v="Above Avg"/>
    <s v="Profit"/>
    <n v="84"/>
  </r>
  <r>
    <n v="480"/>
    <d v="2025-04-24T00:00:00"/>
    <n v="1039"/>
    <s v="Customer_56"/>
    <x v="0"/>
    <x v="3"/>
    <x v="0"/>
    <x v="0"/>
    <n v="1431"/>
    <n v="9"/>
    <n v="0.22"/>
    <n v="822"/>
    <x v="0"/>
    <n v="10045.620000000001"/>
    <x v="3"/>
    <n v="2025"/>
    <s v="Q2"/>
    <n v="8.1826706564652046E-2"/>
    <n v="2833.38"/>
    <s v="High"/>
    <x v="0"/>
    <s v="Below Avg"/>
    <s v="Profit"/>
    <n v="200"/>
  </r>
  <r>
    <n v="481"/>
    <d v="2025-04-25T00:00:00"/>
    <n v="1008"/>
    <s v="Customer_22"/>
    <x v="0"/>
    <x v="3"/>
    <x v="2"/>
    <x v="3"/>
    <n v="2112"/>
    <n v="9"/>
    <n v="0.26"/>
    <n v="645"/>
    <x v="0"/>
    <n v="14065.92"/>
    <x v="3"/>
    <n v="2025"/>
    <s v="Q2"/>
    <n v="4.5855514605514604E-2"/>
    <n v="4942.08"/>
    <s v="High"/>
    <x v="0"/>
    <s v="Above Avg"/>
    <s v="Profit"/>
    <n v="146"/>
  </r>
  <r>
    <n v="482"/>
    <d v="2025-04-26T00:00:00"/>
    <n v="1026"/>
    <s v="Customer_170"/>
    <x v="0"/>
    <x v="2"/>
    <x v="1"/>
    <x v="1"/>
    <n v="3792"/>
    <n v="3"/>
    <n v="0.28000000000000003"/>
    <n v="1742"/>
    <x v="1"/>
    <n v="8190.7199999999903"/>
    <x v="3"/>
    <n v="2025"/>
    <s v="Q2"/>
    <n v="0.2126797155805597"/>
    <n v="3185.28"/>
    <s v="High"/>
    <x v="0"/>
    <s v="Below Avg"/>
    <s v="Profit"/>
    <n v="244"/>
  </r>
  <r>
    <n v="483"/>
    <d v="2025-04-27T00:00:00"/>
    <n v="1080"/>
    <s v="Customer_132"/>
    <x v="0"/>
    <x v="1"/>
    <x v="2"/>
    <x v="3"/>
    <n v="2486"/>
    <n v="9"/>
    <n v="0.1"/>
    <n v="-143"/>
    <x v="0"/>
    <n v="20136.599999999999"/>
    <x v="3"/>
    <n v="2025"/>
    <s v="Q2"/>
    <n v="-7.1014967770130014E-3"/>
    <n v="2237.4"/>
    <s v="High"/>
    <x v="0"/>
    <s v="Above Avg"/>
    <s v="Loss"/>
    <n v="78"/>
  </r>
  <r>
    <n v="484"/>
    <d v="2025-04-28T00:00:00"/>
    <n v="1002"/>
    <s v="Customer_100"/>
    <x v="1"/>
    <x v="1"/>
    <x v="1"/>
    <x v="1"/>
    <n v="306"/>
    <n v="6"/>
    <n v="0.06"/>
    <n v="-483"/>
    <x v="1"/>
    <n v="1725.84"/>
    <x v="3"/>
    <n v="2025"/>
    <s v="Q2"/>
    <n v="-0.27986371853706021"/>
    <n v="110.16"/>
    <s v="Low"/>
    <x v="0"/>
    <s v="Below Avg"/>
    <s v="Loss"/>
    <n v="445"/>
  </r>
  <r>
    <n v="485"/>
    <d v="2025-04-29T00:00:00"/>
    <n v="1055"/>
    <s v="Customer_118"/>
    <x v="0"/>
    <x v="2"/>
    <x v="0"/>
    <x v="2"/>
    <n v="3682"/>
    <n v="8"/>
    <n v="0.1"/>
    <n v="1715"/>
    <x v="1"/>
    <n v="26510.400000000001"/>
    <x v="3"/>
    <n v="2025"/>
    <s v="Q2"/>
    <n v="6.4691592733417819E-2"/>
    <n v="2945.6000000000004"/>
    <s v="High"/>
    <x v="0"/>
    <s v="Above Avg"/>
    <s v="Profit"/>
    <n v="37"/>
  </r>
  <r>
    <n v="486"/>
    <d v="2025-04-30T00:00:00"/>
    <n v="1052"/>
    <s v="Customer_12"/>
    <x v="0"/>
    <x v="1"/>
    <x v="2"/>
    <x v="3"/>
    <n v="4317"/>
    <n v="8"/>
    <n v="0.28999999999999998"/>
    <n v="227"/>
    <x v="0"/>
    <n v="24520.559999999899"/>
    <x v="3"/>
    <n v="2025"/>
    <s v="Q2"/>
    <n v="9.2575373482498332E-3"/>
    <n v="10015.439999999999"/>
    <s v="High"/>
    <x v="0"/>
    <s v="Above Avg"/>
    <s v="Profit"/>
    <n v="46"/>
  </r>
  <r>
    <n v="487"/>
    <d v="2025-05-01T00:00:00"/>
    <n v="1003"/>
    <s v="Customer_37"/>
    <x v="1"/>
    <x v="1"/>
    <x v="0"/>
    <x v="1"/>
    <n v="1839"/>
    <n v="3"/>
    <n v="0.03"/>
    <n v="1247"/>
    <x v="0"/>
    <n v="5351.49"/>
    <x v="4"/>
    <n v="2025"/>
    <s v="Q2"/>
    <n v="0.23301921520922211"/>
    <n v="165.51"/>
    <s v="High"/>
    <x v="0"/>
    <s v="Below Avg"/>
    <s v="Profit"/>
    <n v="314"/>
  </r>
  <r>
    <n v="488"/>
    <d v="2025-05-02T00:00:00"/>
    <n v="1039"/>
    <s v="Customer_41"/>
    <x v="0"/>
    <x v="2"/>
    <x v="2"/>
    <x v="0"/>
    <n v="3996"/>
    <n v="3"/>
    <n v="0.28999999999999998"/>
    <n v="56"/>
    <x v="1"/>
    <n v="8511.48"/>
    <x v="4"/>
    <n v="2025"/>
    <s v="Q2"/>
    <n v="6.5793493023539977E-3"/>
    <n v="3476.52"/>
    <s v="High"/>
    <x v="0"/>
    <s v="Below Avg"/>
    <s v="Profit"/>
    <n v="238"/>
  </r>
  <r>
    <n v="489"/>
    <d v="2025-05-03T00:00:00"/>
    <n v="1051"/>
    <s v="Customer_58"/>
    <x v="1"/>
    <x v="0"/>
    <x v="0"/>
    <x v="3"/>
    <n v="3116"/>
    <n v="9"/>
    <n v="0.19"/>
    <n v="942"/>
    <x v="2"/>
    <n v="22715.64"/>
    <x v="4"/>
    <n v="2025"/>
    <s v="Q2"/>
    <n v="4.1469225608435425E-2"/>
    <n v="5328.36"/>
    <s v="High"/>
    <x v="0"/>
    <s v="Above Avg"/>
    <s v="Profit"/>
    <n v="61"/>
  </r>
  <r>
    <n v="490"/>
    <d v="2025-05-04T00:00:00"/>
    <n v="1055"/>
    <s v="Customer_63"/>
    <x v="0"/>
    <x v="2"/>
    <x v="2"/>
    <x v="1"/>
    <n v="2104"/>
    <n v="3"/>
    <n v="0"/>
    <n v="1145"/>
    <x v="0"/>
    <n v="6312"/>
    <x v="4"/>
    <n v="2025"/>
    <s v="Q2"/>
    <n v="0.18140050697084917"/>
    <n v="0"/>
    <s v="High"/>
    <x v="0"/>
    <s v="Below Avg"/>
    <s v="Profit"/>
    <n v="289"/>
  </r>
  <r>
    <n v="491"/>
    <d v="2025-05-05T00:00:00"/>
    <n v="1064"/>
    <s v="Customer_71"/>
    <x v="1"/>
    <x v="1"/>
    <x v="1"/>
    <x v="2"/>
    <n v="1692"/>
    <n v="4"/>
    <n v="0.26"/>
    <n v="-81"/>
    <x v="2"/>
    <n v="5008.32"/>
    <x v="4"/>
    <n v="2025"/>
    <s v="Q2"/>
    <n v="-1.6173087981598621E-2"/>
    <n v="1759.68"/>
    <s v="High"/>
    <x v="0"/>
    <s v="Below Avg"/>
    <s v="Loss"/>
    <n v="323"/>
  </r>
  <r>
    <n v="492"/>
    <d v="2025-05-06T00:00:00"/>
    <n v="1077"/>
    <s v="Customer_133"/>
    <x v="0"/>
    <x v="1"/>
    <x v="1"/>
    <x v="2"/>
    <n v="2103"/>
    <n v="7"/>
    <n v="0.2"/>
    <n v="439"/>
    <x v="2"/>
    <n v="11776.8"/>
    <x v="4"/>
    <n v="2025"/>
    <s v="Q2"/>
    <n v="3.7276679573398551E-2"/>
    <n v="2944.2000000000003"/>
    <s v="High"/>
    <x v="0"/>
    <s v="Above Avg"/>
    <s v="Profit"/>
    <n v="173"/>
  </r>
  <r>
    <n v="493"/>
    <d v="2025-05-07T00:00:00"/>
    <n v="1071"/>
    <s v="Customer_91"/>
    <x v="1"/>
    <x v="3"/>
    <x v="0"/>
    <x v="3"/>
    <n v="3019"/>
    <n v="9"/>
    <n v="0.04"/>
    <n v="660"/>
    <x v="2"/>
    <n v="26084.16"/>
    <x v="4"/>
    <n v="2025"/>
    <s v="Q2"/>
    <n v="2.5302712450774725E-2"/>
    <n v="1086.8399999999999"/>
    <s v="High"/>
    <x v="0"/>
    <s v="Above Avg"/>
    <s v="Profit"/>
    <n v="39"/>
  </r>
  <r>
    <n v="494"/>
    <d v="2025-05-08T00:00:00"/>
    <n v="1070"/>
    <s v="Customer_89"/>
    <x v="0"/>
    <x v="0"/>
    <x v="1"/>
    <x v="1"/>
    <n v="208"/>
    <n v="3"/>
    <n v="0.1"/>
    <n v="1549"/>
    <x v="1"/>
    <n v="561.6"/>
    <x v="4"/>
    <n v="2025"/>
    <s v="Q2"/>
    <n v="2.758190883190883"/>
    <n v="62.400000000000006"/>
    <s v="Low"/>
    <x v="0"/>
    <s v="Below Avg"/>
    <s v="Profit"/>
    <n v="489"/>
  </r>
  <r>
    <n v="495"/>
    <d v="2025-05-09T00:00:00"/>
    <n v="1029"/>
    <s v="Customer_17"/>
    <x v="1"/>
    <x v="1"/>
    <x v="2"/>
    <x v="2"/>
    <n v="3081"/>
    <n v="1"/>
    <n v="0.26"/>
    <n v="606"/>
    <x v="1"/>
    <n v="2279.94"/>
    <x v="4"/>
    <n v="2025"/>
    <s v="Q2"/>
    <n v="0.26579646832811388"/>
    <n v="801.06000000000006"/>
    <s v="Medium"/>
    <x v="0"/>
    <s v="Below Avg"/>
    <s v="Profit"/>
    <n v="416"/>
  </r>
  <r>
    <n v="496"/>
    <d v="2025-05-10T00:00:00"/>
    <n v="1024"/>
    <s v="Customer_156"/>
    <x v="0"/>
    <x v="3"/>
    <x v="1"/>
    <x v="0"/>
    <n v="2595"/>
    <n v="2"/>
    <n v="0.22"/>
    <n v="1965"/>
    <x v="1"/>
    <n v="4048.2"/>
    <x v="4"/>
    <n v="2025"/>
    <s v="Q2"/>
    <n v="0.48540091892693049"/>
    <n v="1141.8"/>
    <s v="Medium"/>
    <x v="0"/>
    <s v="Below Avg"/>
    <s v="Profit"/>
    <n v="352"/>
  </r>
  <r>
    <n v="497"/>
    <d v="2025-05-11T00:00:00"/>
    <n v="1038"/>
    <s v="Customer_119"/>
    <x v="1"/>
    <x v="0"/>
    <x v="0"/>
    <x v="0"/>
    <n v="1791"/>
    <n v="4"/>
    <n v="0.1"/>
    <n v="-437"/>
    <x v="0"/>
    <n v="6447.6"/>
    <x v="4"/>
    <n v="2025"/>
    <s v="Q2"/>
    <n v="-6.7777157391897755E-2"/>
    <n v="716.40000000000009"/>
    <s v="High"/>
    <x v="0"/>
    <s v="Below Avg"/>
    <s v="Loss"/>
    <n v="286"/>
  </r>
  <r>
    <n v="498"/>
    <d v="2025-05-12T00:00:00"/>
    <n v="1079"/>
    <s v="Customer_155"/>
    <x v="0"/>
    <x v="1"/>
    <x v="0"/>
    <x v="1"/>
    <n v="4085"/>
    <n v="7"/>
    <n v="0.24"/>
    <n v="1108"/>
    <x v="0"/>
    <n v="21732.2"/>
    <x v="4"/>
    <n v="2025"/>
    <s v="Q2"/>
    <n v="5.0984253780105099E-2"/>
    <n v="6862.8"/>
    <s v="High"/>
    <x v="0"/>
    <s v="Above Avg"/>
    <s v="Profit"/>
    <n v="70"/>
  </r>
  <r>
    <n v="499"/>
    <d v="2025-05-13T00:00:00"/>
    <n v="1074"/>
    <s v="Customer_181"/>
    <x v="1"/>
    <x v="0"/>
    <x v="0"/>
    <x v="0"/>
    <n v="4431"/>
    <n v="1"/>
    <n v="0.08"/>
    <n v="394"/>
    <x v="1"/>
    <n v="4076.52"/>
    <x v="4"/>
    <n v="2025"/>
    <s v="Q2"/>
    <n v="9.665106512417454E-2"/>
    <n v="354.48"/>
    <s v="Medium"/>
    <x v="0"/>
    <s v="Below Avg"/>
    <s v="Profit"/>
    <n v="350"/>
  </r>
  <r>
    <n v="500"/>
    <d v="2025-05-14T00:00:00"/>
    <n v="1024"/>
    <s v="Customer_26"/>
    <x v="0"/>
    <x v="3"/>
    <x v="2"/>
    <x v="2"/>
    <n v="1822"/>
    <n v="4"/>
    <n v="0.16"/>
    <n v="1668"/>
    <x v="1"/>
    <n v="6121.92"/>
    <x v="4"/>
    <n v="2025"/>
    <s v="Q2"/>
    <n v="0.27246354084992941"/>
    <n v="1166.08"/>
    <s v="High"/>
    <x v="0"/>
    <s v="Below Avg"/>
    <s v="Profit"/>
    <n v="2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4-01-01T00:00:00"/>
    <n v="1066"/>
    <s v="Customer_33"/>
    <s v="Consumer"/>
    <x v="0"/>
    <s v="Electronics"/>
    <s v="Product_A"/>
    <n v="2755"/>
    <n v="3"/>
    <n v="0.25"/>
    <n v="559"/>
    <s v="UPI"/>
    <n v="6198.75"/>
    <s v="Jan"/>
    <n v="2024"/>
    <s v="Q1"/>
    <n v="9.017947166767494E-2"/>
    <n v="2066.25"/>
    <s v="High"/>
    <s v="Repeat"/>
    <s v="Below Avg"/>
    <s v="Profit"/>
    <n v="293"/>
  </r>
  <r>
    <n v="2"/>
    <d v="2024-01-02T00:00:00"/>
    <n v="1092"/>
    <s v="Customer_191"/>
    <s v="Consumer"/>
    <x v="1"/>
    <s v="Clothing"/>
    <s v="Product_A"/>
    <n v="1709"/>
    <n v="3"/>
    <n v="0.04"/>
    <n v="1735"/>
    <s v="UPI"/>
    <n v="4921.92"/>
    <s v="Jan"/>
    <n v="2024"/>
    <s v="Q1"/>
    <n v="0.35250471360769781"/>
    <n v="205.08"/>
    <s v="Medium"/>
    <s v="Repeat"/>
    <s v="Below Avg"/>
    <s v="Profit"/>
    <n v="326"/>
  </r>
  <r>
    <n v="3"/>
    <d v="2024-01-03T00:00:00"/>
    <n v="1098"/>
    <s v="Customer_54"/>
    <s v="Corporate"/>
    <x v="1"/>
    <s v="Clothing"/>
    <s v="Product_D"/>
    <n v="3914"/>
    <n v="7"/>
    <n v="0.16"/>
    <n v="-225"/>
    <s v="Card"/>
    <n v="23014.32"/>
    <s v="Jan"/>
    <n v="2024"/>
    <s v="Q1"/>
    <n v="-9.7765217481985134E-3"/>
    <n v="4383.68"/>
    <s v="High"/>
    <s v="Repeat"/>
    <s v="Above Avg"/>
    <s v="Loss"/>
    <n v="59"/>
  </r>
  <r>
    <n v="4"/>
    <d v="2024-01-04T00:00:00"/>
    <n v="1017"/>
    <s v="Customer_116"/>
    <s v="Consumer"/>
    <x v="2"/>
    <s v="Electronics"/>
    <s v="Product_B"/>
    <n v="759"/>
    <n v="5"/>
    <n v="0.01"/>
    <n v="-75"/>
    <s v="UPI"/>
    <n v="3757.05"/>
    <s v="Jan"/>
    <n v="2024"/>
    <s v="Q1"/>
    <n v="-1.9962470555355931E-2"/>
    <n v="37.950000000000003"/>
    <s v="Medium"/>
    <s v="Repeat"/>
    <s v="Below Avg"/>
    <s v="Loss"/>
    <n v="365"/>
  </r>
  <r>
    <n v="5"/>
    <d v="2024-01-05T00:00:00"/>
    <n v="1083"/>
    <s v="Customer_179"/>
    <s v="Consumer"/>
    <x v="2"/>
    <s v="Electronics"/>
    <s v="Product_B"/>
    <n v="243"/>
    <n v="1"/>
    <n v="0.17"/>
    <n v="-482"/>
    <s v="COD"/>
    <n v="201.69"/>
    <s v="Jan"/>
    <n v="2024"/>
    <s v="Q1"/>
    <n v="-2.3898061381327782"/>
    <n v="41.31"/>
    <s v="Low"/>
    <s v="Repeat"/>
    <s v="Below Avg"/>
    <s v="Loss"/>
    <n v="499"/>
  </r>
  <r>
    <n v="6"/>
    <d v="2024-01-06T00:00:00"/>
    <n v="1057"/>
    <s v="Customer_112"/>
    <s v="Consumer"/>
    <x v="3"/>
    <s v="Furniture"/>
    <s v="Product_D"/>
    <n v="2090"/>
    <n v="8"/>
    <n v="0.04"/>
    <n v="1271"/>
    <s v="UPI"/>
    <n v="16051.199999999901"/>
    <s v="Jan"/>
    <n v="2024"/>
    <s v="Q1"/>
    <n v="7.9184110845295544E-2"/>
    <n v="668.80000000000007"/>
    <s v="High"/>
    <s v="Repeat"/>
    <s v="Above Avg"/>
    <s v="Profit"/>
    <n v="127"/>
  </r>
  <r>
    <n v="7"/>
    <d v="2024-01-07T00:00:00"/>
    <n v="1086"/>
    <s v="Customer_180"/>
    <s v="Corporate"/>
    <x v="3"/>
    <s v="Furniture"/>
    <s v="Product_D"/>
    <n v="550"/>
    <n v="5"/>
    <n v="0.24"/>
    <n v="1300"/>
    <s v="COD"/>
    <n v="2090"/>
    <s v="Jan"/>
    <n v="2024"/>
    <s v="Q1"/>
    <n v="0.62200956937799046"/>
    <n v="660"/>
    <s v="Medium"/>
    <s v="Repeat"/>
    <s v="Below Avg"/>
    <s v="Profit"/>
    <n v="423"/>
  </r>
  <r>
    <n v="8"/>
    <d v="2024-01-08T00:00:00"/>
    <n v="1097"/>
    <s v="Customer_180"/>
    <s v="Corporate"/>
    <x v="0"/>
    <s v="Furniture"/>
    <s v="Product_A"/>
    <n v="1291"/>
    <n v="4"/>
    <n v="7.0000000000000007E-2"/>
    <n v="829"/>
    <s v="COD"/>
    <n v="4802.5199999999904"/>
    <s v="Jan"/>
    <n v="2024"/>
    <s v="Q1"/>
    <n v="0.17261770903608972"/>
    <n v="361.48"/>
    <s v="Medium"/>
    <s v="Repeat"/>
    <s v="Below Avg"/>
    <s v="Profit"/>
    <n v="329"/>
  </r>
  <r>
    <n v="9"/>
    <d v="2024-01-09T00:00:00"/>
    <n v="1096"/>
    <s v="Customer_184"/>
    <s v="Consumer"/>
    <x v="2"/>
    <s v="Electronics"/>
    <s v="Product_C"/>
    <n v="4121"/>
    <n v="4"/>
    <n v="0.03"/>
    <n v="-169"/>
    <s v="Card"/>
    <n v="15989.48"/>
    <s v="Jan"/>
    <n v="2024"/>
    <s v="Q1"/>
    <n v="-1.056944941298904E-2"/>
    <n v="494.52"/>
    <s v="High"/>
    <s v="Repeat"/>
    <s v="Above Avg"/>
    <s v="Loss"/>
    <n v="128"/>
  </r>
  <r>
    <n v="10"/>
    <d v="2024-01-10T00:00:00"/>
    <n v="1047"/>
    <s v="Customer_114"/>
    <s v="Corporate"/>
    <x v="2"/>
    <s v="Electronics"/>
    <s v="Product_B"/>
    <n v="735"/>
    <n v="2"/>
    <n v="0.01"/>
    <n v="-250"/>
    <s v="COD"/>
    <n v="1455.3"/>
    <s v="Jan"/>
    <n v="2024"/>
    <s v="Q1"/>
    <n v="-0.17178588607160036"/>
    <n v="14.700000000000001"/>
    <s v="Low"/>
    <s v="Repeat"/>
    <s v="Below Avg"/>
    <s v="Loss"/>
    <n v="460"/>
  </r>
  <r>
    <n v="11"/>
    <d v="2024-01-11T00:00:00"/>
    <n v="1073"/>
    <s v="Customer_73"/>
    <s v="Consumer"/>
    <x v="2"/>
    <s v="Clothing"/>
    <s v="Product_A"/>
    <n v="2257"/>
    <n v="1"/>
    <n v="0.17"/>
    <n v="960"/>
    <s v="Card"/>
    <n v="1873.31"/>
    <s v="Jan"/>
    <n v="2024"/>
    <s v="Q1"/>
    <n v="0.51246189899162442"/>
    <n v="383.69000000000005"/>
    <s v="Low"/>
    <s v="Repeat"/>
    <s v="Below Avg"/>
    <s v="Profit"/>
    <n v="438"/>
  </r>
  <r>
    <n v="12"/>
    <d v="2024-01-12T00:00:00"/>
    <n v="1032"/>
    <s v="Customer_1"/>
    <s v="Consumer"/>
    <x v="2"/>
    <s v="Electronics"/>
    <s v="Product_C"/>
    <n v="3851"/>
    <n v="6"/>
    <n v="0.2"/>
    <n v="-7"/>
    <s v="UPI"/>
    <n v="18484.8"/>
    <s v="Jan"/>
    <n v="2024"/>
    <s v="Q1"/>
    <n v="-3.7868951787414524E-4"/>
    <n v="4621.2"/>
    <s v="High"/>
    <s v="Repeat"/>
    <s v="Above Avg"/>
    <s v="Loss"/>
    <n v="87"/>
  </r>
  <r>
    <n v="13"/>
    <d v="2024-01-13T00:00:00"/>
    <n v="1046"/>
    <s v="Customer_31"/>
    <s v="Corporate"/>
    <x v="1"/>
    <s v="Clothing"/>
    <s v="Product_B"/>
    <n v="999"/>
    <n v="3"/>
    <n v="0.27"/>
    <n v="-134"/>
    <s v="Card"/>
    <n v="2187.81"/>
    <s v="Jan"/>
    <n v="2024"/>
    <s v="Q1"/>
    <n v="-6.1248463074947093E-2"/>
    <n v="809.19"/>
    <s v="Medium"/>
    <s v="Repeat"/>
    <s v="Below Avg"/>
    <s v="Loss"/>
    <n v="419"/>
  </r>
  <r>
    <n v="14"/>
    <d v="2024-01-14T00:00:00"/>
    <n v="1096"/>
    <s v="Customer_21"/>
    <s v="Consumer"/>
    <x v="3"/>
    <s v="Clothing"/>
    <s v="Product_A"/>
    <n v="4554"/>
    <n v="9"/>
    <n v="0.02"/>
    <n v="1529"/>
    <s v="Card"/>
    <n v="40166.28"/>
    <s v="Jan"/>
    <n v="2024"/>
    <s v="Q1"/>
    <n v="3.8066756493257532E-2"/>
    <n v="819.72"/>
    <s v="High"/>
    <s v="Repeat"/>
    <s v="Above Avg"/>
    <s v="Profit"/>
    <n v="2"/>
  </r>
  <r>
    <n v="15"/>
    <d v="2024-01-15T00:00:00"/>
    <n v="1025"/>
    <s v="Customer_24"/>
    <s v="Corporate"/>
    <x v="0"/>
    <s v="Clothing"/>
    <s v="Product_A"/>
    <n v="2930"/>
    <n v="4"/>
    <n v="0.12"/>
    <n v="1243"/>
    <s v="Card"/>
    <n v="10313.6"/>
    <s v="Jan"/>
    <n v="2024"/>
    <s v="Q1"/>
    <n v="0.12052047781569965"/>
    <n v="1406.3999999999999"/>
    <s v="High"/>
    <s v="Repeat"/>
    <s v="Below Avg"/>
    <s v="Profit"/>
    <n v="198"/>
  </r>
  <r>
    <n v="16"/>
    <d v="2024-01-16T00:00:00"/>
    <n v="1083"/>
    <s v="Customer_19"/>
    <s v="Consumer"/>
    <x v="3"/>
    <s v="Furniture"/>
    <s v="Product_D"/>
    <n v="2870"/>
    <n v="2"/>
    <n v="0.05"/>
    <n v="1714"/>
    <s v="Card"/>
    <n v="5453"/>
    <s v="Jan"/>
    <n v="2024"/>
    <s v="Q1"/>
    <n v="0.31432239134421419"/>
    <n v="287"/>
    <s v="High"/>
    <s v="Repeat"/>
    <s v="Below Avg"/>
    <s v="Profit"/>
    <n v="310"/>
  </r>
  <r>
    <n v="17"/>
    <d v="2024-01-17T00:00:00"/>
    <n v="1078"/>
    <s v="Customer_61"/>
    <s v="Corporate"/>
    <x v="3"/>
    <s v="Clothing"/>
    <s v="Product_C"/>
    <n v="1320"/>
    <n v="4"/>
    <n v="0.15"/>
    <n v="644"/>
    <s v="UPI"/>
    <n v="4488"/>
    <s v="Jan"/>
    <n v="2024"/>
    <s v="Q1"/>
    <n v="0.14349376114081996"/>
    <n v="792"/>
    <s v="Medium"/>
    <s v="Repeat"/>
    <s v="Below Avg"/>
    <s v="Profit"/>
    <n v="338"/>
  </r>
  <r>
    <n v="18"/>
    <d v="2024-01-18T00:00:00"/>
    <n v="1036"/>
    <s v="Customer_112"/>
    <s v="Consumer"/>
    <x v="3"/>
    <s v="Furniture"/>
    <s v="Product_A"/>
    <n v="4545"/>
    <n v="4"/>
    <n v="7.0000000000000007E-2"/>
    <n v="1171"/>
    <s v="UPI"/>
    <n v="16907.3999999999"/>
    <s v="Jan"/>
    <n v="2024"/>
    <s v="Q1"/>
    <n v="6.9259614133456771E-2"/>
    <n v="1272.6000000000001"/>
    <s v="High"/>
    <s v="Repeat"/>
    <s v="Above Avg"/>
    <s v="Profit"/>
    <n v="105"/>
  </r>
  <r>
    <n v="19"/>
    <d v="2024-01-19T00:00:00"/>
    <n v="1096"/>
    <s v="Customer_188"/>
    <s v="Consumer"/>
    <x v="3"/>
    <s v="Electronics"/>
    <s v="Product_A"/>
    <n v="4690"/>
    <n v="1"/>
    <n v="0.12"/>
    <n v="-18"/>
    <s v="COD"/>
    <n v="4127.2"/>
    <s v="Jan"/>
    <n v="2024"/>
    <s v="Q1"/>
    <n v="-4.3613103314595857E-3"/>
    <n v="562.79999999999995"/>
    <s v="Medium"/>
    <s v="Repeat"/>
    <s v="Below Avg"/>
    <s v="Loss"/>
    <n v="348"/>
  </r>
  <r>
    <n v="20"/>
    <d v="2024-01-20T00:00:00"/>
    <n v="1080"/>
    <s v="Customer_124"/>
    <s v="Corporate"/>
    <x v="1"/>
    <s v="Furniture"/>
    <s v="Product_A"/>
    <n v="1487"/>
    <n v="8"/>
    <n v="0.11"/>
    <n v="992"/>
    <s v="Card"/>
    <n v="10587.44"/>
    <s v="Jan"/>
    <n v="2024"/>
    <s v="Q1"/>
    <n v="9.3695926494034437E-2"/>
    <n v="1308.56"/>
    <s v="High"/>
    <s v="Repeat"/>
    <s v="Below Avg"/>
    <s v="Profit"/>
    <n v="196"/>
  </r>
  <r>
    <n v="21"/>
    <d v="2024-01-21T00:00:00"/>
    <n v="1068"/>
    <s v="Customer_153"/>
    <s v="Consumer"/>
    <x v="0"/>
    <s v="Clothing"/>
    <s v="Product_B"/>
    <n v="2066"/>
    <n v="4"/>
    <n v="0.21"/>
    <n v="-488"/>
    <s v="UPI"/>
    <n v="6528.56"/>
    <s v="Jan"/>
    <n v="2024"/>
    <s v="Q1"/>
    <n v="-7.4748489712892274E-2"/>
    <n v="1735.4399999999998"/>
    <s v="High"/>
    <s v="Repeat"/>
    <s v="Below Avg"/>
    <s v="Loss"/>
    <n v="285"/>
  </r>
  <r>
    <n v="22"/>
    <d v="2024-01-22T00:00:00"/>
    <n v="1049"/>
    <s v="Customer_20"/>
    <s v="Corporate"/>
    <x v="1"/>
    <s v="Clothing"/>
    <s v="Product_D"/>
    <n v="4415"/>
    <n v="4"/>
    <n v="0.22"/>
    <n v="316"/>
    <s v="COD"/>
    <n v="13774.8"/>
    <s v="Jan"/>
    <n v="2024"/>
    <s v="Q1"/>
    <n v="2.2940441966489533E-2"/>
    <n v="3885.2"/>
    <s v="High"/>
    <s v="Repeat"/>
    <s v="Above Avg"/>
    <s v="Profit"/>
    <n v="149"/>
  </r>
  <r>
    <n v="23"/>
    <d v="2024-01-23T00:00:00"/>
    <n v="1055"/>
    <s v="Customer_117"/>
    <s v="Consumer"/>
    <x v="2"/>
    <s v="Furniture"/>
    <s v="Product_A"/>
    <n v="790"/>
    <n v="7"/>
    <n v="0.13"/>
    <n v="1889"/>
    <s v="COD"/>
    <n v="4811.1000000000004"/>
    <s v="Jan"/>
    <n v="2024"/>
    <s v="Q1"/>
    <n v="0.3926337012325663"/>
    <n v="718.9"/>
    <s v="Medium"/>
    <s v="Repeat"/>
    <s v="Below Avg"/>
    <s v="Profit"/>
    <n v="328"/>
  </r>
  <r>
    <n v="24"/>
    <d v="2024-01-24T00:00:00"/>
    <n v="1067"/>
    <s v="Customer_154"/>
    <s v="Corporate"/>
    <x v="3"/>
    <s v="Clothing"/>
    <s v="Product_A"/>
    <n v="4346"/>
    <n v="2"/>
    <n v="7.0000000000000007E-2"/>
    <n v="-8"/>
    <s v="Card"/>
    <n v="8083.5599999999904"/>
    <s v="Jan"/>
    <n v="2024"/>
    <s v="Q1"/>
    <n v="-9.8966297027547378E-4"/>
    <n v="608.44000000000005"/>
    <s v="High"/>
    <s v="Repeat"/>
    <s v="Below Avg"/>
    <s v="Loss"/>
    <n v="250"/>
  </r>
  <r>
    <n v="25"/>
    <d v="2024-01-25T00:00:00"/>
    <n v="1002"/>
    <s v="Customer_127"/>
    <s v="Consumer"/>
    <x v="0"/>
    <s v="Furniture"/>
    <s v="Product_D"/>
    <n v="2176"/>
    <n v="6"/>
    <n v="0.24"/>
    <n v="337"/>
    <s v="UPI"/>
    <n v="9922.56"/>
    <s v="Jan"/>
    <n v="2024"/>
    <s v="Q1"/>
    <n v="3.3963009545923635E-2"/>
    <n v="3133.44"/>
    <s v="High"/>
    <s v="Repeat"/>
    <s v="Below Avg"/>
    <s v="Profit"/>
    <n v="201"/>
  </r>
  <r>
    <n v="26"/>
    <d v="2024-01-26T00:00:00"/>
    <n v="1084"/>
    <s v="Customer_7"/>
    <s v="Corporate"/>
    <x v="3"/>
    <s v="Clothing"/>
    <s v="Product_C"/>
    <n v="1857"/>
    <n v="6"/>
    <n v="0.25"/>
    <n v="1296"/>
    <s v="Card"/>
    <n v="8356.5"/>
    <s v="Jan"/>
    <n v="2024"/>
    <s v="Q1"/>
    <n v="0.15508885298869143"/>
    <n v="2785.5"/>
    <s v="High"/>
    <s v="Repeat"/>
    <s v="Below Avg"/>
    <s v="Profit"/>
    <n v="240"/>
  </r>
  <r>
    <n v="27"/>
    <d v="2024-01-27T00:00:00"/>
    <n v="1039"/>
    <s v="Customer_195"/>
    <s v="Consumer"/>
    <x v="1"/>
    <s v="Furniture"/>
    <s v="Product_D"/>
    <n v="4258"/>
    <n v="7"/>
    <n v="0.16"/>
    <n v="1331"/>
    <s v="COD"/>
    <n v="25037.040000000001"/>
    <s v="Jan"/>
    <n v="2024"/>
    <s v="Q1"/>
    <n v="5.3161236312279724E-2"/>
    <n v="4768.96"/>
    <s v="High"/>
    <s v="Repeat"/>
    <s v="Above Avg"/>
    <s v="Profit"/>
    <n v="42"/>
  </r>
  <r>
    <n v="28"/>
    <d v="2024-01-28T00:00:00"/>
    <n v="1066"/>
    <s v="Customer_56"/>
    <s v="Consumer"/>
    <x v="0"/>
    <s v="Furniture"/>
    <s v="Product_D"/>
    <n v="270"/>
    <n v="2"/>
    <n v="7.0000000000000007E-2"/>
    <n v="1695"/>
    <s v="Card"/>
    <n v="502.2"/>
    <s v="Jan"/>
    <n v="2024"/>
    <s v="Q1"/>
    <n v="3.3751493428912784"/>
    <n v="37.800000000000004"/>
    <s v="Low"/>
    <s v="Repeat"/>
    <s v="Below Avg"/>
    <s v="Profit"/>
    <n v="491"/>
  </r>
  <r>
    <n v="29"/>
    <d v="2024-01-29T00:00:00"/>
    <n v="1084"/>
    <s v="Customer_72"/>
    <s v="Corporate"/>
    <x v="3"/>
    <s v="Furniture"/>
    <s v="Product_A"/>
    <n v="1757"/>
    <n v="7"/>
    <n v="0.24"/>
    <n v="1198"/>
    <s v="Card"/>
    <n v="9347.24"/>
    <s v="Jan"/>
    <n v="2024"/>
    <s v="Q1"/>
    <n v="0.1281661752560114"/>
    <n v="2951.7599999999998"/>
    <s v="High"/>
    <s v="Repeat"/>
    <s v="Below Avg"/>
    <s v="Profit"/>
    <n v="223"/>
  </r>
  <r>
    <n v="30"/>
    <d v="2024-01-30T00:00:00"/>
    <n v="1047"/>
    <s v="Customer_94"/>
    <s v="Corporate"/>
    <x v="2"/>
    <s v="Electronics"/>
    <s v="Product_A"/>
    <n v="2171"/>
    <n v="2"/>
    <n v="0.11"/>
    <n v="1464"/>
    <s v="UPI"/>
    <n v="3864.38"/>
    <s v="Jan"/>
    <n v="2024"/>
    <s v="Q1"/>
    <n v="0.37884473059067691"/>
    <n v="477.62"/>
    <s v="Medium"/>
    <s v="Repeat"/>
    <s v="Below Avg"/>
    <s v="Profit"/>
    <n v="359"/>
  </r>
  <r>
    <n v="31"/>
    <d v="2024-01-31T00:00:00"/>
    <n v="1061"/>
    <s v="Customer_11"/>
    <s v="Consumer"/>
    <x v="3"/>
    <s v="Furniture"/>
    <s v="Product_D"/>
    <n v="4589"/>
    <n v="2"/>
    <n v="0.28000000000000003"/>
    <n v="1849"/>
    <s v="COD"/>
    <n v="6608.16"/>
    <s v="Jan"/>
    <n v="2024"/>
    <s v="Q1"/>
    <n v="0.27980557371492215"/>
    <n v="2569.84"/>
    <s v="High"/>
    <s v="Repeat"/>
    <s v="Below Avg"/>
    <s v="Profit"/>
    <n v="284"/>
  </r>
  <r>
    <n v="32"/>
    <d v="2024-02-01T00:00:00"/>
    <n v="1048"/>
    <s v="Customer_145"/>
    <s v="Consumer"/>
    <x v="3"/>
    <s v="Furniture"/>
    <s v="Product_A"/>
    <n v="1491"/>
    <n v="1"/>
    <n v="0.08"/>
    <n v="-440"/>
    <s v="UPI"/>
    <n v="1371.72"/>
    <s v="Feb"/>
    <n v="2024"/>
    <s v="Q1"/>
    <n v="-0.32076517073455224"/>
    <n v="119.28"/>
    <s v="Low"/>
    <s v="Repeat"/>
    <s v="Below Avg"/>
    <s v="Loss"/>
    <n v="464"/>
  </r>
  <r>
    <n v="33"/>
    <d v="2024-02-02T00:00:00"/>
    <n v="1007"/>
    <s v="Customer_72"/>
    <s v="Corporate"/>
    <x v="3"/>
    <s v="Electronics"/>
    <s v="Product_D"/>
    <n v="4961"/>
    <n v="9"/>
    <n v="0.28000000000000003"/>
    <n v="1103"/>
    <s v="Card"/>
    <n v="32147.279999999999"/>
    <s v="Feb"/>
    <n v="2024"/>
    <s v="Q1"/>
    <n v="3.4310834384744214E-2"/>
    <n v="12501.720000000001"/>
    <s v="High"/>
    <s v="Repeat"/>
    <s v="Above Avg"/>
    <s v="Profit"/>
    <n v="21"/>
  </r>
  <r>
    <n v="34"/>
    <d v="2024-02-03T00:00:00"/>
    <n v="1099"/>
    <s v="Customer_175"/>
    <s v="Consumer"/>
    <x v="2"/>
    <s v="Electronics"/>
    <s v="Product_A"/>
    <n v="2141"/>
    <n v="9"/>
    <n v="0.13"/>
    <n v="191"/>
    <s v="COD"/>
    <n v="16764.03"/>
    <s v="Feb"/>
    <n v="2024"/>
    <s v="Q1"/>
    <n v="1.1393441791741009E-2"/>
    <n v="2504.9700000000003"/>
    <s v="High"/>
    <s v="Repeat"/>
    <s v="Above Avg"/>
    <s v="Profit"/>
    <n v="108"/>
  </r>
  <r>
    <n v="35"/>
    <d v="2024-02-04T00:00:00"/>
    <n v="1092"/>
    <s v="Customer_172"/>
    <s v="Consumer"/>
    <x v="2"/>
    <s v="Furniture"/>
    <s v="Product_B"/>
    <n v="4536"/>
    <n v="5"/>
    <n v="0.23"/>
    <n v="954"/>
    <s v="UPI"/>
    <n v="17463.599999999999"/>
    <s v="Feb"/>
    <n v="2024"/>
    <s v="Q1"/>
    <n v="5.4627911770768915E-2"/>
    <n v="5216.4000000000005"/>
    <s v="High"/>
    <s v="Repeat"/>
    <s v="Above Avg"/>
    <s v="Profit"/>
    <n v="98"/>
  </r>
  <r>
    <n v="36"/>
    <d v="2024-02-05T00:00:00"/>
    <n v="1052"/>
    <s v="Customer_192"/>
    <s v="Corporate"/>
    <x v="0"/>
    <s v="Electronics"/>
    <s v="Product_A"/>
    <n v="2529"/>
    <n v="7"/>
    <n v="0.06"/>
    <n v="-454"/>
    <s v="Card"/>
    <n v="16640.82"/>
    <s v="Feb"/>
    <n v="2024"/>
    <s v="Q1"/>
    <n v="-2.7282309405425934E-2"/>
    <n v="1062.18"/>
    <s v="High"/>
    <s v="Repeat"/>
    <s v="Above Avg"/>
    <s v="Loss"/>
    <n v="112"/>
  </r>
  <r>
    <n v="37"/>
    <d v="2024-02-06T00:00:00"/>
    <n v="1097"/>
    <s v="Customer_158"/>
    <s v="Consumer"/>
    <x v="1"/>
    <s v="Clothing"/>
    <s v="Product_C"/>
    <n v="3484"/>
    <n v="7"/>
    <n v="0.19"/>
    <n v="-398"/>
    <s v="UPI"/>
    <n v="19754.28"/>
    <s v="Feb"/>
    <n v="2024"/>
    <s v="Q1"/>
    <n v="-2.0147532585343533E-2"/>
    <n v="4633.72"/>
    <s v="High"/>
    <s v="Repeat"/>
    <s v="Above Avg"/>
    <s v="Loss"/>
    <n v="81"/>
  </r>
  <r>
    <n v="38"/>
    <d v="2024-02-07T00:00:00"/>
    <n v="1085"/>
    <s v="Customer_43"/>
    <s v="Consumer"/>
    <x v="3"/>
    <s v="Furniture"/>
    <s v="Product_B"/>
    <n v="100"/>
    <n v="3"/>
    <n v="0.17"/>
    <n v="-325"/>
    <s v="COD"/>
    <n v="249"/>
    <s v="Feb"/>
    <n v="2024"/>
    <s v="Q1"/>
    <n v="-1.3052208835341366"/>
    <n v="51.000000000000007"/>
    <s v="Low"/>
    <s v="Repeat"/>
    <s v="Below Avg"/>
    <s v="Loss"/>
    <n v="498"/>
  </r>
  <r>
    <n v="39"/>
    <d v="2024-02-08T00:00:00"/>
    <n v="1094"/>
    <s v="Customer_16"/>
    <s v="Consumer"/>
    <x v="1"/>
    <s v="Electronics"/>
    <s v="Product_D"/>
    <n v="1152"/>
    <n v="2"/>
    <n v="0.13"/>
    <n v="-297"/>
    <s v="UPI"/>
    <n v="2004.48"/>
    <s v="Feb"/>
    <n v="2024"/>
    <s v="Q1"/>
    <n v="-0.14816810344827586"/>
    <n v="299.52"/>
    <s v="Medium"/>
    <s v="Repeat"/>
    <s v="Below Avg"/>
    <s v="Loss"/>
    <n v="430"/>
  </r>
  <r>
    <n v="40"/>
    <d v="2024-02-09T00:00:00"/>
    <n v="1027"/>
    <s v="Customer_119"/>
    <s v="Corporate"/>
    <x v="0"/>
    <s v="Electronics"/>
    <s v="Product_A"/>
    <n v="1345"/>
    <n v="4"/>
    <n v="0.22"/>
    <n v="1624"/>
    <s v="COD"/>
    <n v="4196.3999999999996"/>
    <s v="Feb"/>
    <n v="2024"/>
    <s v="Q1"/>
    <n v="0.38699837956343536"/>
    <n v="1183.5999999999999"/>
    <s v="Medium"/>
    <s v="Repeat"/>
    <s v="Below Avg"/>
    <s v="Profit"/>
    <n v="346"/>
  </r>
  <r>
    <n v="41"/>
    <d v="2024-02-10T00:00:00"/>
    <n v="1034"/>
    <s v="Customer_4"/>
    <s v="Corporate"/>
    <x v="2"/>
    <s v="Furniture"/>
    <s v="Product_D"/>
    <n v="3274"/>
    <n v="8"/>
    <n v="0.25"/>
    <n v="578"/>
    <s v="Card"/>
    <n v="19644"/>
    <s v="Feb"/>
    <n v="2024"/>
    <s v="Q1"/>
    <n v="2.942374261861128E-2"/>
    <n v="6548"/>
    <s v="High"/>
    <s v="Repeat"/>
    <s v="Above Avg"/>
    <s v="Profit"/>
    <n v="82"/>
  </r>
  <r>
    <n v="42"/>
    <d v="2024-02-11T00:00:00"/>
    <n v="1097"/>
    <s v="Customer_85"/>
    <s v="Corporate"/>
    <x v="0"/>
    <s v="Furniture"/>
    <s v="Product_C"/>
    <n v="2350"/>
    <n v="1"/>
    <n v="0.22"/>
    <n v="1840"/>
    <s v="UPI"/>
    <n v="1833"/>
    <s v="Feb"/>
    <n v="2024"/>
    <s v="Q1"/>
    <n v="1.0038188761593017"/>
    <n v="517"/>
    <s v="Low"/>
    <s v="Repeat"/>
    <s v="Below Avg"/>
    <s v="Profit"/>
    <n v="439"/>
  </r>
  <r>
    <n v="43"/>
    <d v="2024-02-12T00:00:00"/>
    <n v="1076"/>
    <s v="Customer_50"/>
    <s v="Consumer"/>
    <x v="2"/>
    <s v="Electronics"/>
    <s v="Product_D"/>
    <n v="1934"/>
    <n v="8"/>
    <n v="0.24"/>
    <n v="1168"/>
    <s v="Card"/>
    <n v="11758.72"/>
    <s v="Feb"/>
    <n v="2024"/>
    <s v="Q1"/>
    <n v="9.933053937843575E-2"/>
    <n v="3713.2799999999997"/>
    <s v="High"/>
    <s v="Repeat"/>
    <s v="Above Avg"/>
    <s v="Profit"/>
    <n v="175"/>
  </r>
  <r>
    <n v="44"/>
    <d v="2024-02-13T00:00:00"/>
    <n v="1040"/>
    <s v="Customer_34"/>
    <s v="Corporate"/>
    <x v="3"/>
    <s v="Electronics"/>
    <s v="Product_C"/>
    <n v="3605"/>
    <n v="2"/>
    <n v="0.22"/>
    <n v="1510"/>
    <s v="Card"/>
    <n v="5623.8"/>
    <s v="Feb"/>
    <n v="2024"/>
    <s v="Q1"/>
    <n v="0.26850172481240442"/>
    <n v="1586.2"/>
    <s v="High"/>
    <s v="Repeat"/>
    <s v="Below Avg"/>
    <s v="Profit"/>
    <n v="305"/>
  </r>
  <r>
    <n v="45"/>
    <d v="2024-02-14T00:00:00"/>
    <n v="1003"/>
    <s v="Customer_35"/>
    <s v="Corporate"/>
    <x v="1"/>
    <s v="Furniture"/>
    <s v="Product_B"/>
    <n v="4693"/>
    <n v="8"/>
    <n v="0.04"/>
    <n v="1809"/>
    <s v="UPI"/>
    <n v="36042.239999999998"/>
    <s v="Feb"/>
    <n v="2024"/>
    <s v="Q1"/>
    <n v="5.019110909865758E-2"/>
    <n v="1501.76"/>
    <s v="High"/>
    <s v="Repeat"/>
    <s v="Above Avg"/>
    <s v="Profit"/>
    <n v="7"/>
  </r>
  <r>
    <n v="46"/>
    <d v="2024-02-15T00:00:00"/>
    <n v="1069"/>
    <s v="Customer_64"/>
    <s v="Consumer"/>
    <x v="0"/>
    <s v="Furniture"/>
    <s v="Product_C"/>
    <n v="4092"/>
    <n v="2"/>
    <n v="0.23"/>
    <n v="779"/>
    <s v="Card"/>
    <n v="6301.68"/>
    <s v="Feb"/>
    <n v="2024"/>
    <s v="Q1"/>
    <n v="0.12361782889642127"/>
    <n v="1882.3200000000002"/>
    <s v="High"/>
    <s v="Repeat"/>
    <s v="Below Avg"/>
    <s v="Profit"/>
    <n v="290"/>
  </r>
  <r>
    <n v="47"/>
    <d v="2024-02-16T00:00:00"/>
    <n v="1064"/>
    <s v="Customer_13"/>
    <s v="Corporate"/>
    <x v="2"/>
    <s v="Electronics"/>
    <s v="Product_B"/>
    <n v="1788"/>
    <n v="7"/>
    <n v="0.06"/>
    <n v="-196"/>
    <s v="Card"/>
    <n v="11765.039999999901"/>
    <s v="Feb"/>
    <n v="2024"/>
    <s v="Q1"/>
    <n v="-1.6659526869437048E-2"/>
    <n v="750.95999999999992"/>
    <s v="High"/>
    <s v="Repeat"/>
    <s v="Above Avg"/>
    <s v="Loss"/>
    <n v="174"/>
  </r>
  <r>
    <n v="48"/>
    <d v="2024-02-17T00:00:00"/>
    <n v="1075"/>
    <s v="Customer_107"/>
    <s v="Corporate"/>
    <x v="2"/>
    <s v="Clothing"/>
    <s v="Product_C"/>
    <n v="343"/>
    <n v="3"/>
    <n v="0.03"/>
    <n v="1062"/>
    <s v="UPI"/>
    <n v="998.13"/>
    <s v="Feb"/>
    <n v="2024"/>
    <s v="Q1"/>
    <n v="1.0639896606654444"/>
    <n v="30.869999999999997"/>
    <s v="Low"/>
    <s v="Repeat"/>
    <s v="Below Avg"/>
    <s v="Profit"/>
    <n v="479"/>
  </r>
  <r>
    <n v="49"/>
    <d v="2024-02-18T00:00:00"/>
    <n v="1034"/>
    <s v="Customer_27"/>
    <s v="Consumer"/>
    <x v="0"/>
    <s v="Electronics"/>
    <s v="Product_B"/>
    <n v="1734"/>
    <n v="6"/>
    <n v="0.27"/>
    <n v="318"/>
    <s v="UPI"/>
    <n v="7594.92"/>
    <s v="Feb"/>
    <n v="2024"/>
    <s v="Q1"/>
    <n v="4.1870092114202652E-2"/>
    <n v="2809.0800000000004"/>
    <s v="High"/>
    <s v="Repeat"/>
    <s v="Below Avg"/>
    <s v="Profit"/>
    <n v="263"/>
  </r>
  <r>
    <n v="50"/>
    <d v="2024-02-19T00:00:00"/>
    <n v="1058"/>
    <s v="Customer_169"/>
    <s v="Consumer"/>
    <x v="1"/>
    <s v="Furniture"/>
    <s v="Product_C"/>
    <n v="2310"/>
    <n v="7"/>
    <n v="0.18"/>
    <n v="-22"/>
    <s v="COD"/>
    <n v="13259.4"/>
    <s v="Feb"/>
    <n v="2024"/>
    <s v="Q1"/>
    <n v="-1.6592002654720426E-3"/>
    <n v="2910.6"/>
    <s v="High"/>
    <s v="Repeat"/>
    <s v="Above Avg"/>
    <s v="Loss"/>
    <n v="157"/>
  </r>
  <r>
    <n v="51"/>
    <d v="2024-02-20T00:00:00"/>
    <n v="1010"/>
    <s v="Customer_42"/>
    <s v="Consumer"/>
    <x v="1"/>
    <s v="Clothing"/>
    <s v="Product_B"/>
    <n v="274"/>
    <n v="6"/>
    <n v="0.05"/>
    <n v="-327"/>
    <s v="COD"/>
    <n v="1561.8"/>
    <s v="Feb"/>
    <n v="2024"/>
    <s v="Q1"/>
    <n v="-0.20937379946215906"/>
    <n v="82.2"/>
    <s v="Low"/>
    <s v="Repeat"/>
    <s v="Below Avg"/>
    <s v="Loss"/>
    <n v="455"/>
  </r>
  <r>
    <n v="52"/>
    <d v="2024-02-21T00:00:00"/>
    <n v="1022"/>
    <s v="Customer_157"/>
    <s v="Corporate"/>
    <x v="2"/>
    <s v="Clothing"/>
    <s v="Product_A"/>
    <n v="2319"/>
    <n v="5"/>
    <n v="0.19"/>
    <n v="51"/>
    <s v="COD"/>
    <n v="9391.9500000000007"/>
    <s v="Feb"/>
    <n v="2024"/>
    <s v="Q1"/>
    <n v="5.4301822305272062E-3"/>
    <n v="2203.0500000000002"/>
    <s v="High"/>
    <s v="Repeat"/>
    <s v="Below Avg"/>
    <s v="Profit"/>
    <n v="222"/>
  </r>
  <r>
    <n v="53"/>
    <d v="2024-02-22T00:00:00"/>
    <n v="1077"/>
    <s v="Customer_144"/>
    <s v="Corporate"/>
    <x v="3"/>
    <s v="Electronics"/>
    <s v="Product_B"/>
    <n v="3756"/>
    <n v="9"/>
    <n v="0.1"/>
    <n v="1822"/>
    <s v="Card"/>
    <n v="30423.599999999999"/>
    <s v="Feb"/>
    <n v="2024"/>
    <s v="Q1"/>
    <n v="5.9887718744658758E-2"/>
    <n v="3380.4"/>
    <s v="High"/>
    <s v="Repeat"/>
    <s v="Above Avg"/>
    <s v="Profit"/>
    <n v="23"/>
  </r>
  <r>
    <n v="54"/>
    <d v="2024-02-23T00:00:00"/>
    <n v="1018"/>
    <s v="Customer_181"/>
    <s v="Corporate"/>
    <x v="3"/>
    <s v="Furniture"/>
    <s v="Product_D"/>
    <n v="366"/>
    <n v="9"/>
    <n v="0.04"/>
    <n v="-461"/>
    <s v="UPI"/>
    <n v="3162.24"/>
    <s v="Feb"/>
    <n v="2024"/>
    <s v="Q1"/>
    <n v="-0.14578273628820079"/>
    <n v="131.76"/>
    <s v="Medium"/>
    <s v="Repeat"/>
    <s v="Below Avg"/>
    <s v="Loss"/>
    <n v="388"/>
  </r>
  <r>
    <n v="55"/>
    <d v="2024-02-24T00:00:00"/>
    <n v="1015"/>
    <s v="Customer_46"/>
    <s v="Corporate"/>
    <x v="3"/>
    <s v="Clothing"/>
    <s v="Product_A"/>
    <n v="1482"/>
    <n v="3"/>
    <n v="0.24"/>
    <n v="1102"/>
    <s v="COD"/>
    <n v="3378.96"/>
    <s v="Feb"/>
    <n v="2024"/>
    <s v="Q1"/>
    <n v="0.32613585245164189"/>
    <n v="1067.04"/>
    <s v="Medium"/>
    <s v="Repeat"/>
    <s v="Below Avg"/>
    <s v="Profit"/>
    <n v="381"/>
  </r>
  <r>
    <n v="56"/>
    <d v="2024-02-25T00:00:00"/>
    <n v="1027"/>
    <s v="Customer_197"/>
    <s v="Corporate"/>
    <x v="3"/>
    <s v="Electronics"/>
    <s v="Product_C"/>
    <n v="879"/>
    <n v="7"/>
    <n v="0.03"/>
    <n v="1934"/>
    <s v="Card"/>
    <n v="5968.41"/>
    <s v="Feb"/>
    <n v="2024"/>
    <s v="Q1"/>
    <n v="0.3240394007784318"/>
    <n v="184.59"/>
    <s v="High"/>
    <s v="Repeat"/>
    <s v="Below Avg"/>
    <s v="Profit"/>
    <n v="298"/>
  </r>
  <r>
    <n v="57"/>
    <d v="2024-02-26T00:00:00"/>
    <n v="1030"/>
    <s v="Customer_37"/>
    <s v="Corporate"/>
    <x v="1"/>
    <s v="Furniture"/>
    <s v="Product_B"/>
    <n v="4731"/>
    <n v="2"/>
    <n v="0.28999999999999998"/>
    <n v="1177"/>
    <s v="COD"/>
    <n v="6718.0199999999904"/>
    <s v="Feb"/>
    <n v="2024"/>
    <s v="Q1"/>
    <n v="0.17520043107939567"/>
    <n v="2743.98"/>
    <s v="High"/>
    <s v="Repeat"/>
    <s v="Below Avg"/>
    <s v="Profit"/>
    <n v="282"/>
  </r>
  <r>
    <n v="58"/>
    <d v="2024-02-27T00:00:00"/>
    <n v="1052"/>
    <s v="Customer_104"/>
    <s v="Consumer"/>
    <x v="2"/>
    <s v="Furniture"/>
    <s v="Product_B"/>
    <n v="766"/>
    <n v="1"/>
    <n v="0.23"/>
    <n v="993"/>
    <s v="COD"/>
    <n v="589.82000000000005"/>
    <s v="Feb"/>
    <n v="2024"/>
    <s v="Q1"/>
    <n v="1.6835644772981586"/>
    <n v="176.18"/>
    <s v="Low"/>
    <s v="Repeat"/>
    <s v="Below Avg"/>
    <s v="Profit"/>
    <n v="487"/>
  </r>
  <r>
    <n v="59"/>
    <d v="2024-02-28T00:00:00"/>
    <n v="1070"/>
    <s v="Customer_188"/>
    <s v="Consumer"/>
    <x v="2"/>
    <s v="Furniture"/>
    <s v="Product_B"/>
    <n v="1257"/>
    <n v="4"/>
    <n v="0.21"/>
    <n v="-182"/>
    <s v="UPI"/>
    <n v="3972.12"/>
    <s v="Feb"/>
    <n v="2024"/>
    <s v="Q1"/>
    <n v="-4.581936094579217E-2"/>
    <n v="1055.8799999999999"/>
    <s v="Medium"/>
    <s v="Repeat"/>
    <s v="Below Avg"/>
    <s v="Loss"/>
    <n v="354"/>
  </r>
  <r>
    <n v="60"/>
    <d v="2024-02-29T00:00:00"/>
    <n v="1026"/>
    <s v="Customer_143"/>
    <s v="Consumer"/>
    <x v="3"/>
    <s v="Electronics"/>
    <s v="Product_C"/>
    <n v="4776"/>
    <n v="3"/>
    <n v="7.0000000000000007E-2"/>
    <n v="1297"/>
    <s v="UPI"/>
    <n v="13325.039999999901"/>
    <s v="Feb"/>
    <n v="2024"/>
    <s v="Q1"/>
    <n v="9.7335542707564823E-2"/>
    <n v="1002.9600000000002"/>
    <s v="High"/>
    <s v="Repeat"/>
    <s v="Above Avg"/>
    <s v="Profit"/>
    <n v="156"/>
  </r>
  <r>
    <n v="61"/>
    <d v="2024-03-01T00:00:00"/>
    <n v="1080"/>
    <s v="Customer_149"/>
    <s v="Consumer"/>
    <x v="2"/>
    <s v="Furniture"/>
    <s v="Product_D"/>
    <n v="963"/>
    <n v="4"/>
    <n v="0.23"/>
    <n v="-271"/>
    <s v="Card"/>
    <n v="2966.04"/>
    <s v="Mar"/>
    <n v="2024"/>
    <s v="Q1"/>
    <n v="-9.1367614732100713E-2"/>
    <n v="885.96"/>
    <s v="Medium"/>
    <s v="Repeat"/>
    <s v="Below Avg"/>
    <s v="Loss"/>
    <n v="395"/>
  </r>
  <r>
    <n v="62"/>
    <d v="2024-03-02T00:00:00"/>
    <n v="1006"/>
    <s v="Customer_34"/>
    <s v="Corporate"/>
    <x v="1"/>
    <s v="Clothing"/>
    <s v="Product_C"/>
    <n v="4000"/>
    <n v="3"/>
    <n v="0.01"/>
    <n v="1902"/>
    <s v="COD"/>
    <n v="11880"/>
    <s v="Mar"/>
    <n v="2024"/>
    <s v="Q1"/>
    <n v="0.1601010101010101"/>
    <n v="120"/>
    <s v="High"/>
    <s v="Repeat"/>
    <s v="Above Avg"/>
    <s v="Profit"/>
    <n v="171"/>
  </r>
  <r>
    <n v="63"/>
    <d v="2024-03-03T00:00:00"/>
    <n v="1014"/>
    <s v="Customer_9"/>
    <s v="Consumer"/>
    <x v="0"/>
    <s v="Electronics"/>
    <s v="Product_B"/>
    <n v="156"/>
    <n v="9"/>
    <n v="0.17"/>
    <n v="325"/>
    <s v="COD"/>
    <n v="1165.32"/>
    <s v="Mar"/>
    <n v="2024"/>
    <s v="Q1"/>
    <n v="0.2788933511825078"/>
    <n v="238.68"/>
    <s v="Low"/>
    <s v="Repeat"/>
    <s v="Below Avg"/>
    <s v="Profit"/>
    <n v="472"/>
  </r>
  <r>
    <n v="64"/>
    <d v="2024-03-04T00:00:00"/>
    <n v="1075"/>
    <s v="Customer_154"/>
    <s v="Consumer"/>
    <x v="0"/>
    <s v="Electronics"/>
    <s v="Product_A"/>
    <n v="3350"/>
    <n v="4"/>
    <n v="0.09"/>
    <n v="1332"/>
    <s v="COD"/>
    <n v="12194"/>
    <s v="Mar"/>
    <n v="2024"/>
    <s v="Q1"/>
    <n v="0.109234049532557"/>
    <n v="1206"/>
    <s v="High"/>
    <s v="Repeat"/>
    <s v="Above Avg"/>
    <s v="Profit"/>
    <n v="165"/>
  </r>
  <r>
    <n v="65"/>
    <d v="2024-03-05T00:00:00"/>
    <n v="1054"/>
    <s v="Customer_77"/>
    <s v="Consumer"/>
    <x v="2"/>
    <s v="Electronics"/>
    <s v="Product_B"/>
    <n v="642"/>
    <n v="4"/>
    <n v="0.25"/>
    <n v="30"/>
    <s v="UPI"/>
    <n v="1926"/>
    <s v="Mar"/>
    <n v="2024"/>
    <s v="Q1"/>
    <n v="1.5576323987538941E-2"/>
    <n v="642"/>
    <s v="Low"/>
    <s v="Repeat"/>
    <s v="Below Avg"/>
    <s v="Profit"/>
    <n v="434"/>
  </r>
  <r>
    <n v="66"/>
    <d v="2024-03-06T00:00:00"/>
    <n v="1071"/>
    <s v="Customer_146"/>
    <s v="Corporate"/>
    <x v="2"/>
    <s v="Electronics"/>
    <s v="Product_A"/>
    <n v="1032"/>
    <n v="7"/>
    <n v="0.23"/>
    <n v="-33"/>
    <s v="UPI"/>
    <n v="5562.48"/>
    <s v="Mar"/>
    <n v="2024"/>
    <s v="Q1"/>
    <n v="-5.9326056003796875E-3"/>
    <n v="1661.52"/>
    <s v="High"/>
    <s v="Repeat"/>
    <s v="Below Avg"/>
    <s v="Loss"/>
    <n v="307"/>
  </r>
  <r>
    <n v="67"/>
    <d v="2024-03-07T00:00:00"/>
    <n v="1001"/>
    <s v="Customer_1"/>
    <s v="Consumer"/>
    <x v="2"/>
    <s v="Furniture"/>
    <s v="Product_B"/>
    <n v="950"/>
    <n v="4"/>
    <n v="0.15"/>
    <n v="1734"/>
    <s v="COD"/>
    <n v="3230"/>
    <s v="Mar"/>
    <n v="2024"/>
    <s v="Q1"/>
    <n v="0.5368421052631579"/>
    <n v="570"/>
    <s v="Medium"/>
    <s v="Repeat"/>
    <s v="Below Avg"/>
    <s v="Profit"/>
    <n v="387"/>
  </r>
  <r>
    <n v="68"/>
    <d v="2024-03-08T00:00:00"/>
    <n v="1043"/>
    <s v="Customer_23"/>
    <s v="Corporate"/>
    <x v="3"/>
    <s v="Electronics"/>
    <s v="Product_D"/>
    <n v="1275"/>
    <n v="9"/>
    <n v="0.14000000000000001"/>
    <n v="1604"/>
    <s v="Card"/>
    <n v="9868.5"/>
    <s v="Mar"/>
    <n v="2024"/>
    <s v="Q1"/>
    <n v="0.16253736636773572"/>
    <n v="1606.5000000000002"/>
    <s v="High"/>
    <s v="New"/>
    <s v="Below Avg"/>
    <s v="Profit"/>
    <n v="204"/>
  </r>
  <r>
    <n v="69"/>
    <d v="2024-03-09T00:00:00"/>
    <n v="1058"/>
    <s v="Customer_33"/>
    <s v="Consumer"/>
    <x v="3"/>
    <s v="Clothing"/>
    <s v="Product_D"/>
    <n v="622"/>
    <n v="9"/>
    <n v="0.02"/>
    <n v="442"/>
    <s v="Card"/>
    <n v="5486.04"/>
    <s v="Mar"/>
    <n v="2024"/>
    <s v="Q1"/>
    <n v="8.0568132933773726E-2"/>
    <n v="111.96000000000001"/>
    <s v="High"/>
    <s v="Repeat"/>
    <s v="Below Avg"/>
    <s v="Profit"/>
    <n v="309"/>
  </r>
  <r>
    <n v="70"/>
    <d v="2024-03-10T00:00:00"/>
    <n v="1055"/>
    <s v="Customer_175"/>
    <s v="Consumer"/>
    <x v="2"/>
    <s v="Clothing"/>
    <s v="Product_C"/>
    <n v="209"/>
    <n v="9"/>
    <n v="7.0000000000000007E-2"/>
    <n v="79"/>
    <s v="Card"/>
    <n v="1749.33"/>
    <s v="Mar"/>
    <n v="2024"/>
    <s v="Q1"/>
    <n v="4.5160147027719186E-2"/>
    <n v="131.67000000000002"/>
    <s v="Low"/>
    <s v="Repeat"/>
    <s v="Below Avg"/>
    <s v="Profit"/>
    <n v="444"/>
  </r>
  <r>
    <n v="71"/>
    <d v="2024-03-11T00:00:00"/>
    <n v="1025"/>
    <s v="Customer_95"/>
    <s v="Consumer"/>
    <x v="0"/>
    <s v="Clothing"/>
    <s v="Product_D"/>
    <n v="3545"/>
    <n v="6"/>
    <n v="0.21"/>
    <n v="706"/>
    <s v="Card"/>
    <n v="16803.3"/>
    <s v="Mar"/>
    <n v="2024"/>
    <s v="Q1"/>
    <n v="4.2015556468074727E-2"/>
    <n v="4466.7"/>
    <s v="High"/>
    <s v="Repeat"/>
    <s v="Above Avg"/>
    <s v="Profit"/>
    <n v="107"/>
  </r>
  <r>
    <n v="72"/>
    <d v="2024-03-12T00:00:00"/>
    <n v="1050"/>
    <s v="Customer_122"/>
    <s v="Corporate"/>
    <x v="1"/>
    <s v="Clothing"/>
    <s v="Product_A"/>
    <n v="156"/>
    <n v="9"/>
    <n v="0.02"/>
    <n v="56"/>
    <s v="COD"/>
    <n v="1375.92"/>
    <s v="Mar"/>
    <n v="2024"/>
    <s v="Q1"/>
    <n v="4.0700040700040699E-2"/>
    <n v="28.080000000000002"/>
    <s v="Low"/>
    <s v="Repeat"/>
    <s v="Below Avg"/>
    <s v="Profit"/>
    <n v="463"/>
  </r>
  <r>
    <n v="73"/>
    <d v="2024-03-13T00:00:00"/>
    <n v="1084"/>
    <s v="Customer_21"/>
    <s v="Consumer"/>
    <x v="2"/>
    <s v="Clothing"/>
    <s v="Product_C"/>
    <n v="3923"/>
    <n v="3"/>
    <n v="0.24"/>
    <n v="1141"/>
    <s v="UPI"/>
    <n v="8944.44"/>
    <s v="Mar"/>
    <n v="2024"/>
    <s v="Q1"/>
    <n v="0.12756528077777926"/>
    <n v="2824.56"/>
    <s v="High"/>
    <s v="Repeat"/>
    <s v="Below Avg"/>
    <s v="Profit"/>
    <n v="232"/>
  </r>
  <r>
    <n v="74"/>
    <d v="2024-03-14T00:00:00"/>
    <n v="1056"/>
    <s v="Customer_61"/>
    <s v="Corporate"/>
    <x v="1"/>
    <s v="Electronics"/>
    <s v="Product_D"/>
    <n v="1766"/>
    <n v="2"/>
    <n v="0.28999999999999998"/>
    <n v="620"/>
    <s v="Card"/>
    <n v="2507.7199999999998"/>
    <s v="Mar"/>
    <n v="2024"/>
    <s v="Q1"/>
    <n v="0.24723653358429173"/>
    <n v="1024.28"/>
    <s v="Medium"/>
    <s v="Repeat"/>
    <s v="Below Avg"/>
    <s v="Profit"/>
    <n v="410"/>
  </r>
  <r>
    <n v="75"/>
    <d v="2024-03-15T00:00:00"/>
    <n v="1049"/>
    <s v="Customer_27"/>
    <s v="Consumer"/>
    <x v="1"/>
    <s v="Furniture"/>
    <s v="Product_B"/>
    <n v="4017"/>
    <n v="2"/>
    <n v="0.02"/>
    <n v="755"/>
    <s v="COD"/>
    <n v="7873.32"/>
    <s v="Mar"/>
    <n v="2024"/>
    <s v="Q1"/>
    <n v="9.58934731472873E-2"/>
    <n v="160.68"/>
    <s v="High"/>
    <s v="Repeat"/>
    <s v="Below Avg"/>
    <s v="Profit"/>
    <n v="255"/>
  </r>
  <r>
    <n v="76"/>
    <d v="2024-03-16T00:00:00"/>
    <n v="1012"/>
    <s v="Customer_191"/>
    <s v="Consumer"/>
    <x v="1"/>
    <s v="Clothing"/>
    <s v="Product_D"/>
    <n v="1527"/>
    <n v="7"/>
    <n v="0.14000000000000001"/>
    <n v="-113"/>
    <s v="COD"/>
    <n v="9192.53999999999"/>
    <s v="Mar"/>
    <n v="2024"/>
    <s v="Q1"/>
    <n v="-1.2292576371710117E-2"/>
    <n v="1496.46"/>
    <s v="High"/>
    <s v="Repeat"/>
    <s v="Below Avg"/>
    <s v="Loss"/>
    <n v="227"/>
  </r>
  <r>
    <n v="77"/>
    <d v="2024-03-17T00:00:00"/>
    <n v="1018"/>
    <s v="Customer_102"/>
    <s v="Consumer"/>
    <x v="1"/>
    <s v="Furniture"/>
    <s v="Product_C"/>
    <n v="604"/>
    <n v="5"/>
    <n v="0.17"/>
    <n v="213"/>
    <s v="COD"/>
    <n v="2506.6"/>
    <s v="Mar"/>
    <n v="2024"/>
    <s v="Q1"/>
    <n v="8.497566424638954E-2"/>
    <n v="513.40000000000009"/>
    <s v="Medium"/>
    <s v="Repeat"/>
    <s v="Below Avg"/>
    <s v="Profit"/>
    <n v="411"/>
  </r>
  <r>
    <n v="78"/>
    <d v="2024-03-18T00:00:00"/>
    <n v="1081"/>
    <s v="Customer_180"/>
    <s v="Consumer"/>
    <x v="3"/>
    <s v="Clothing"/>
    <s v="Product_D"/>
    <n v="3795"/>
    <n v="4"/>
    <n v="0.24"/>
    <n v="842"/>
    <s v="UPI"/>
    <n v="11536.8"/>
    <s v="Mar"/>
    <n v="2024"/>
    <s v="Q1"/>
    <n v="7.2983843006726307E-2"/>
    <n v="3643.2"/>
    <s v="High"/>
    <s v="Repeat"/>
    <s v="Above Avg"/>
    <s v="Profit"/>
    <n v="181"/>
  </r>
  <r>
    <n v="79"/>
    <d v="2024-03-19T00:00:00"/>
    <n v="1001"/>
    <s v="Customer_192"/>
    <s v="Consumer"/>
    <x v="2"/>
    <s v="Clothing"/>
    <s v="Product_A"/>
    <n v="4704"/>
    <n v="2"/>
    <n v="0.05"/>
    <n v="-31"/>
    <s v="Card"/>
    <n v="8937.6"/>
    <s v="Mar"/>
    <n v="2024"/>
    <s v="Q1"/>
    <n v="-3.4684926602219835E-3"/>
    <n v="470.40000000000003"/>
    <s v="High"/>
    <s v="Repeat"/>
    <s v="Below Avg"/>
    <s v="Loss"/>
    <n v="233"/>
  </r>
  <r>
    <n v="80"/>
    <d v="2024-03-20T00:00:00"/>
    <n v="1051"/>
    <s v="Customer_142"/>
    <s v="Corporate"/>
    <x v="1"/>
    <s v="Clothing"/>
    <s v="Product_A"/>
    <n v="1428"/>
    <n v="4"/>
    <n v="0.11"/>
    <n v="361"/>
    <s v="UPI"/>
    <n v="5083.68"/>
    <s v="Mar"/>
    <n v="2024"/>
    <s v="Q1"/>
    <n v="7.10115506876908E-2"/>
    <n v="628.32000000000005"/>
    <s v="High"/>
    <s v="Repeat"/>
    <s v="Below Avg"/>
    <s v="Profit"/>
    <n v="320"/>
  </r>
  <r>
    <n v="81"/>
    <d v="2024-03-21T00:00:00"/>
    <n v="1044"/>
    <s v="Customer_101"/>
    <s v="Corporate"/>
    <x v="1"/>
    <s v="Furniture"/>
    <s v="Product_A"/>
    <n v="783"/>
    <n v="6"/>
    <n v="0.25"/>
    <n v="-54"/>
    <s v="COD"/>
    <n v="3523.5"/>
    <s v="Mar"/>
    <n v="2024"/>
    <s v="Q1"/>
    <n v="-1.532567049808429E-2"/>
    <n v="1174.5"/>
    <s v="Medium"/>
    <s v="Repeat"/>
    <s v="Below Avg"/>
    <s v="Loss"/>
    <n v="376"/>
  </r>
  <r>
    <n v="82"/>
    <d v="2024-03-22T00:00:00"/>
    <n v="1048"/>
    <s v="Customer_175"/>
    <s v="Consumer"/>
    <x v="0"/>
    <s v="Electronics"/>
    <s v="Product_A"/>
    <n v="222"/>
    <n v="6"/>
    <n v="0.16"/>
    <n v="9"/>
    <s v="UPI"/>
    <n v="1118.8799999999901"/>
    <s v="Mar"/>
    <n v="2024"/>
    <s v="Q1"/>
    <n v="8.043758043758115E-3"/>
    <n v="213.12"/>
    <s v="Low"/>
    <s v="Repeat"/>
    <s v="Below Avg"/>
    <s v="Profit"/>
    <n v="474"/>
  </r>
  <r>
    <n v="83"/>
    <d v="2024-03-23T00:00:00"/>
    <n v="1056"/>
    <s v="Customer_7"/>
    <s v="Corporate"/>
    <x v="2"/>
    <s v="Clothing"/>
    <s v="Product_A"/>
    <n v="1447"/>
    <n v="8"/>
    <n v="0.05"/>
    <n v="1686"/>
    <s v="UPI"/>
    <n v="10997.199999999901"/>
    <s v="Mar"/>
    <n v="2024"/>
    <s v="Q1"/>
    <n v="0.15331175208234962"/>
    <n v="578.80000000000007"/>
    <s v="High"/>
    <s v="Repeat"/>
    <s v="Above Avg"/>
    <s v="Profit"/>
    <n v="191"/>
  </r>
  <r>
    <n v="84"/>
    <d v="2024-03-24T00:00:00"/>
    <n v="1091"/>
    <s v="Customer_76"/>
    <s v="Corporate"/>
    <x v="1"/>
    <s v="Electronics"/>
    <s v="Product_C"/>
    <n v="4171"/>
    <n v="6"/>
    <n v="0.26"/>
    <n v="1941"/>
    <s v="UPI"/>
    <n v="18519.2399999999"/>
    <s v="Mar"/>
    <n v="2024"/>
    <s v="Q1"/>
    <n v="0.10480991660564962"/>
    <n v="6506.76"/>
    <s v="High"/>
    <s v="Repeat"/>
    <s v="Above Avg"/>
    <s v="Profit"/>
    <n v="86"/>
  </r>
  <r>
    <n v="85"/>
    <d v="2024-03-25T00:00:00"/>
    <n v="1049"/>
    <s v="Customer_156"/>
    <s v="Corporate"/>
    <x v="3"/>
    <s v="Clothing"/>
    <s v="Product_D"/>
    <n v="2001"/>
    <n v="5"/>
    <n v="0.28000000000000003"/>
    <n v="832"/>
    <s v="UPI"/>
    <n v="7203.5999999999904"/>
    <s v="Mar"/>
    <n v="2024"/>
    <s v="Q1"/>
    <n v="0.1154978066522296"/>
    <n v="2801.4"/>
    <s v="High"/>
    <s v="Repeat"/>
    <s v="Below Avg"/>
    <s v="Profit"/>
    <n v="271"/>
  </r>
  <r>
    <n v="86"/>
    <d v="2024-03-26T00:00:00"/>
    <n v="1086"/>
    <s v="Customer_131"/>
    <s v="Consumer"/>
    <x v="0"/>
    <s v="Electronics"/>
    <s v="Product_C"/>
    <n v="1745"/>
    <n v="7"/>
    <n v="0.22"/>
    <n v="1411"/>
    <s v="UPI"/>
    <n v="9527.7000000000007"/>
    <s v="Mar"/>
    <n v="2024"/>
    <s v="Q1"/>
    <n v="0.14809450339536298"/>
    <n v="2687.3"/>
    <s v="High"/>
    <s v="Repeat"/>
    <s v="Below Avg"/>
    <s v="Profit"/>
    <n v="215"/>
  </r>
  <r>
    <n v="87"/>
    <d v="2024-03-27T00:00:00"/>
    <n v="1003"/>
    <s v="Customer_150"/>
    <s v="Corporate"/>
    <x v="0"/>
    <s v="Electronics"/>
    <s v="Product_D"/>
    <n v="2969"/>
    <n v="3"/>
    <n v="0.28999999999999998"/>
    <n v="735"/>
    <s v="UPI"/>
    <n v="6323.9699999999903"/>
    <s v="Mar"/>
    <n v="2024"/>
    <s v="Q1"/>
    <n v="0.11622446026783827"/>
    <n v="2583.0299999999997"/>
    <s v="High"/>
    <s v="Repeat"/>
    <s v="Below Avg"/>
    <s v="Profit"/>
    <n v="288"/>
  </r>
  <r>
    <n v="88"/>
    <d v="2024-03-28T00:00:00"/>
    <n v="1067"/>
    <s v="Customer_85"/>
    <s v="Corporate"/>
    <x v="0"/>
    <s v="Clothing"/>
    <s v="Product_A"/>
    <n v="1478"/>
    <n v="4"/>
    <n v="0.28000000000000003"/>
    <n v="-370"/>
    <s v="COD"/>
    <n v="4256.6399999999903"/>
    <s v="Mar"/>
    <n v="2024"/>
    <s v="Q1"/>
    <n v="-8.6923019094873155E-2"/>
    <n v="1655.3600000000001"/>
    <s v="Medium"/>
    <s v="Repeat"/>
    <s v="Below Avg"/>
    <s v="Loss"/>
    <n v="343"/>
  </r>
  <r>
    <n v="89"/>
    <d v="2024-03-29T00:00:00"/>
    <n v="1011"/>
    <s v="Customer_191"/>
    <s v="Corporate"/>
    <x v="0"/>
    <s v="Electronics"/>
    <s v="Product_B"/>
    <n v="2972"/>
    <n v="6"/>
    <n v="0.04"/>
    <n v="64"/>
    <s v="UPI"/>
    <n v="17118.72"/>
    <s v="Mar"/>
    <n v="2024"/>
    <s v="Q1"/>
    <n v="3.7385972783011813E-3"/>
    <n v="713.28"/>
    <s v="High"/>
    <s v="Repeat"/>
    <s v="Above Avg"/>
    <s v="Profit"/>
    <n v="104"/>
  </r>
  <r>
    <n v="90"/>
    <d v="2024-03-30T00:00:00"/>
    <n v="1021"/>
    <s v="Customer_29"/>
    <s v="Consumer"/>
    <x v="1"/>
    <s v="Furniture"/>
    <s v="Product_B"/>
    <n v="1596"/>
    <n v="9"/>
    <n v="0.12"/>
    <n v="1887"/>
    <s v="UPI"/>
    <n v="12640.32"/>
    <s v="Mar"/>
    <n v="2024"/>
    <s v="Q1"/>
    <n v="0.14928419533682691"/>
    <n v="1723.6799999999998"/>
    <s v="High"/>
    <s v="Repeat"/>
    <s v="Above Avg"/>
    <s v="Profit"/>
    <n v="161"/>
  </r>
  <r>
    <n v="91"/>
    <d v="2024-03-31T00:00:00"/>
    <n v="1089"/>
    <s v="Customer_148"/>
    <s v="Corporate"/>
    <x v="3"/>
    <s v="Electronics"/>
    <s v="Product_B"/>
    <n v="775"/>
    <n v="6"/>
    <n v="0.18"/>
    <n v="1459"/>
    <s v="UPI"/>
    <n v="3813"/>
    <s v="Mar"/>
    <n v="2024"/>
    <s v="Q1"/>
    <n v="0.38263834251245737"/>
    <n v="837"/>
    <s v="Medium"/>
    <s v="Repeat"/>
    <s v="Below Avg"/>
    <s v="Profit"/>
    <n v="364"/>
  </r>
  <r>
    <n v="92"/>
    <d v="2024-04-01T00:00:00"/>
    <n v="1098"/>
    <s v="Customer_67"/>
    <s v="Corporate"/>
    <x v="0"/>
    <s v="Furniture"/>
    <s v="Product_D"/>
    <n v="2608"/>
    <n v="4"/>
    <n v="0.22"/>
    <n v="1774"/>
    <s v="UPI"/>
    <n v="8136.96"/>
    <s v="Apr"/>
    <n v="2024"/>
    <s v="Q2"/>
    <n v="0.21801753971999371"/>
    <n v="2295.04"/>
    <s v="High"/>
    <s v="Repeat"/>
    <s v="Below Avg"/>
    <s v="Profit"/>
    <n v="246"/>
  </r>
  <r>
    <n v="93"/>
    <d v="2024-04-02T00:00:00"/>
    <n v="1003"/>
    <s v="Customer_105"/>
    <s v="Corporate"/>
    <x v="3"/>
    <s v="Electronics"/>
    <s v="Product_D"/>
    <n v="2396"/>
    <n v="8"/>
    <n v="0.16"/>
    <n v="943"/>
    <s v="Card"/>
    <n v="16101.119999999901"/>
    <s v="Apr"/>
    <n v="2024"/>
    <s v="Q2"/>
    <n v="5.8567354320693578E-2"/>
    <n v="3066.88"/>
    <s v="High"/>
    <s v="Repeat"/>
    <s v="Above Avg"/>
    <s v="Profit"/>
    <n v="126"/>
  </r>
  <r>
    <n v="94"/>
    <d v="2024-04-03T00:00:00"/>
    <n v="1011"/>
    <s v="Customer_161"/>
    <s v="Consumer"/>
    <x v="1"/>
    <s v="Furniture"/>
    <s v="Product_C"/>
    <n v="662"/>
    <n v="5"/>
    <n v="0.19"/>
    <n v="-45"/>
    <s v="COD"/>
    <n v="2681.1"/>
    <s v="Apr"/>
    <n v="2024"/>
    <s v="Q2"/>
    <n v="-1.6784155756965426E-2"/>
    <n v="628.9"/>
    <s v="Medium"/>
    <s v="Repeat"/>
    <s v="Below Avg"/>
    <s v="Loss"/>
    <n v="403"/>
  </r>
  <r>
    <n v="95"/>
    <d v="2024-04-04T00:00:00"/>
    <n v="1003"/>
    <s v="Customer_94"/>
    <s v="Consumer"/>
    <x v="2"/>
    <s v="Clothing"/>
    <s v="Product_C"/>
    <n v="4372"/>
    <n v="5"/>
    <n v="0.04"/>
    <n v="1771"/>
    <s v="UPI"/>
    <n v="20985.599999999999"/>
    <s v="Apr"/>
    <n v="2024"/>
    <s v="Q2"/>
    <n v="8.4391201585849354E-2"/>
    <n v="874.4"/>
    <s v="High"/>
    <s v="Repeat"/>
    <s v="Above Avg"/>
    <s v="Profit"/>
    <n v="77"/>
  </r>
  <r>
    <n v="96"/>
    <d v="2024-04-05T00:00:00"/>
    <n v="1094"/>
    <s v="Customer_48"/>
    <s v="Consumer"/>
    <x v="3"/>
    <s v="Furniture"/>
    <s v="Product_D"/>
    <n v="301"/>
    <n v="8"/>
    <n v="0.12"/>
    <n v="1297"/>
    <s v="UPI"/>
    <n v="2119.04"/>
    <s v="Apr"/>
    <n v="2024"/>
    <s v="Q2"/>
    <n v="0.61206961643008151"/>
    <n v="288.95999999999998"/>
    <s v="Medium"/>
    <s v="Repeat"/>
    <s v="Below Avg"/>
    <s v="Profit"/>
    <n v="421"/>
  </r>
  <r>
    <n v="97"/>
    <d v="2024-04-06T00:00:00"/>
    <n v="1006"/>
    <s v="Customer_103"/>
    <s v="Corporate"/>
    <x v="1"/>
    <s v="Furniture"/>
    <s v="Product_A"/>
    <n v="4572"/>
    <n v="9"/>
    <n v="0"/>
    <n v="519"/>
    <s v="UPI"/>
    <n v="41148"/>
    <s v="Apr"/>
    <n v="2024"/>
    <s v="Q2"/>
    <n v="1.2613006707494897E-2"/>
    <n v="0"/>
    <s v="High"/>
    <s v="Repeat"/>
    <s v="Above Avg"/>
    <s v="Profit"/>
    <n v="1"/>
  </r>
  <r>
    <n v="98"/>
    <d v="2024-04-07T00:00:00"/>
    <n v="1009"/>
    <s v="Customer_41"/>
    <s v="Consumer"/>
    <x v="0"/>
    <s v="Electronics"/>
    <s v="Product_A"/>
    <n v="3094"/>
    <n v="4"/>
    <n v="0.2"/>
    <n v="236"/>
    <s v="Card"/>
    <n v="9900.7999999999993"/>
    <s v="Apr"/>
    <n v="2024"/>
    <s v="Q2"/>
    <n v="2.3836457659987074E-2"/>
    <n v="2475.2000000000003"/>
    <s v="High"/>
    <s v="Repeat"/>
    <s v="Below Avg"/>
    <s v="Profit"/>
    <n v="203"/>
  </r>
  <r>
    <n v="99"/>
    <d v="2024-04-08T00:00:00"/>
    <n v="1087"/>
    <s v="Customer_123"/>
    <s v="Consumer"/>
    <x v="2"/>
    <s v="Electronics"/>
    <s v="Product_A"/>
    <n v="4656"/>
    <n v="8"/>
    <n v="0.05"/>
    <n v="115"/>
    <s v="Card"/>
    <n v="35385.599999999999"/>
    <s v="Apr"/>
    <n v="2024"/>
    <s v="Q2"/>
    <n v="3.2499095677337676E-3"/>
    <n v="1862.4"/>
    <s v="High"/>
    <s v="Repeat"/>
    <s v="Above Avg"/>
    <s v="Profit"/>
    <n v="9"/>
  </r>
  <r>
    <n v="100"/>
    <d v="2024-04-09T00:00:00"/>
    <n v="1014"/>
    <s v="Customer_137"/>
    <s v="Corporate"/>
    <x v="3"/>
    <s v="Clothing"/>
    <s v="Product_B"/>
    <n v="4815"/>
    <n v="8"/>
    <n v="0.12"/>
    <n v="271"/>
    <s v="UPI"/>
    <n v="33897.599999999999"/>
    <s v="Apr"/>
    <n v="2024"/>
    <s v="Q2"/>
    <n v="7.9946662890588126E-3"/>
    <n v="4622.3999999999996"/>
    <s v="High"/>
    <s v="Repeat"/>
    <s v="Above Avg"/>
    <s v="Profit"/>
    <n v="14"/>
  </r>
  <r>
    <n v="101"/>
    <d v="2024-04-10T00:00:00"/>
    <n v="1083"/>
    <s v="Customer_176"/>
    <s v="Consumer"/>
    <x v="0"/>
    <s v="Furniture"/>
    <s v="Product_C"/>
    <n v="4598"/>
    <n v="3"/>
    <n v="0.15"/>
    <n v="93"/>
    <s v="Card"/>
    <n v="11724.9"/>
    <s v="Apr"/>
    <n v="2024"/>
    <s v="Q2"/>
    <n v="7.9318373717473072E-3"/>
    <n v="2069.1"/>
    <s v="High"/>
    <s v="Repeat"/>
    <s v="Above Avg"/>
    <s v="Profit"/>
    <n v="177"/>
  </r>
  <r>
    <n v="102"/>
    <d v="2024-04-11T00:00:00"/>
    <n v="1070"/>
    <s v="Customer_182"/>
    <s v="Consumer"/>
    <x v="1"/>
    <s v="Electronics"/>
    <s v="Product_B"/>
    <n v="4505"/>
    <n v="4"/>
    <n v="0.2"/>
    <n v="-150"/>
    <s v="UPI"/>
    <n v="14416"/>
    <s v="Apr"/>
    <n v="2024"/>
    <s v="Q2"/>
    <n v="-1.0405105438401776E-2"/>
    <n v="3604"/>
    <s v="High"/>
    <s v="Repeat"/>
    <s v="Above Avg"/>
    <s v="Loss"/>
    <n v="144"/>
  </r>
  <r>
    <n v="103"/>
    <d v="2024-04-12T00:00:00"/>
    <n v="1012"/>
    <s v="Customer_23"/>
    <s v="Consumer"/>
    <x v="1"/>
    <s v="Electronics"/>
    <s v="Product_C"/>
    <n v="3765"/>
    <n v="2"/>
    <n v="0.23"/>
    <n v="820"/>
    <s v="COD"/>
    <n v="5798.1"/>
    <s v="Apr"/>
    <n v="2024"/>
    <s v="Q2"/>
    <n v="0.14142563943360756"/>
    <n v="1731.9"/>
    <s v="High"/>
    <s v="Repeat"/>
    <s v="Below Avg"/>
    <s v="Profit"/>
    <n v="301"/>
  </r>
  <r>
    <n v="104"/>
    <d v="2024-04-13T00:00:00"/>
    <n v="1054"/>
    <s v="Customer_193"/>
    <s v="Corporate"/>
    <x v="1"/>
    <s v="Furniture"/>
    <s v="Product_A"/>
    <n v="4195"/>
    <n v="5"/>
    <n v="0.21"/>
    <n v="-479"/>
    <s v="Card"/>
    <n v="16570.25"/>
    <s v="Apr"/>
    <n v="2024"/>
    <s v="Q2"/>
    <n v="-2.8907228315806943E-2"/>
    <n v="4404.75"/>
    <s v="High"/>
    <s v="Repeat"/>
    <s v="Above Avg"/>
    <s v="Loss"/>
    <n v="114"/>
  </r>
  <r>
    <n v="105"/>
    <d v="2024-04-14T00:00:00"/>
    <n v="1027"/>
    <s v="Customer_149"/>
    <s v="Corporate"/>
    <x v="0"/>
    <s v="Furniture"/>
    <s v="Product_A"/>
    <n v="1628"/>
    <n v="6"/>
    <n v="0.17"/>
    <n v="1224"/>
    <s v="Card"/>
    <n v="8107.44"/>
    <s v="Apr"/>
    <n v="2024"/>
    <s v="Q2"/>
    <n v="0.15097244012906663"/>
    <n v="1660.5600000000002"/>
    <s v="High"/>
    <s v="Repeat"/>
    <s v="Below Avg"/>
    <s v="Profit"/>
    <n v="248"/>
  </r>
  <r>
    <n v="106"/>
    <d v="2024-04-15T00:00:00"/>
    <n v="1038"/>
    <s v="Customer_160"/>
    <s v="Corporate"/>
    <x v="3"/>
    <s v="Clothing"/>
    <s v="Product_A"/>
    <n v="759"/>
    <n v="6"/>
    <n v="0.16"/>
    <n v="879"/>
    <s v="UPI"/>
    <n v="3825.3599999999901"/>
    <s v="Apr"/>
    <n v="2024"/>
    <s v="Q2"/>
    <n v="0.22978229499968689"/>
    <n v="728.64"/>
    <s v="Medium"/>
    <s v="Repeat"/>
    <s v="Below Avg"/>
    <s v="Profit"/>
    <n v="363"/>
  </r>
  <r>
    <n v="107"/>
    <d v="2024-04-16T00:00:00"/>
    <n v="1017"/>
    <s v="Customer_109"/>
    <s v="Consumer"/>
    <x v="1"/>
    <s v="Electronics"/>
    <s v="Product_B"/>
    <n v="101"/>
    <n v="2"/>
    <n v="0.26"/>
    <n v="1747"/>
    <s v="COD"/>
    <n v="149.47999999999999"/>
    <s v="Apr"/>
    <n v="2024"/>
    <s v="Q2"/>
    <n v="11.687182231736688"/>
    <n v="52.52"/>
    <s v="Low"/>
    <s v="Repeat"/>
    <s v="Below Avg"/>
    <s v="Profit"/>
    <n v="500"/>
  </r>
  <r>
    <n v="108"/>
    <d v="2024-04-17T00:00:00"/>
    <n v="1061"/>
    <s v="Customer_154"/>
    <s v="Corporate"/>
    <x v="1"/>
    <s v="Furniture"/>
    <s v="Product_A"/>
    <n v="608"/>
    <n v="4"/>
    <n v="0.26"/>
    <n v="1152"/>
    <s v="UPI"/>
    <n v="1799.68"/>
    <s v="Apr"/>
    <n v="2024"/>
    <s v="Q2"/>
    <n v="0.64011379800853485"/>
    <n v="632.32000000000005"/>
    <s v="Low"/>
    <s v="Repeat"/>
    <s v="Below Avg"/>
    <s v="Profit"/>
    <n v="441"/>
  </r>
  <r>
    <n v="109"/>
    <d v="2024-04-18T00:00:00"/>
    <n v="1074"/>
    <s v="Customer_33"/>
    <s v="Consumer"/>
    <x v="2"/>
    <s v="Clothing"/>
    <s v="Product_A"/>
    <n v="239"/>
    <n v="2"/>
    <n v="0.02"/>
    <n v="1292"/>
    <s v="COD"/>
    <n v="468.44"/>
    <s v="Apr"/>
    <n v="2024"/>
    <s v="Q2"/>
    <n v="2.7580906839723336"/>
    <n v="9.56"/>
    <s v="Low"/>
    <s v="Repeat"/>
    <s v="Below Avg"/>
    <s v="Profit"/>
    <n v="492"/>
  </r>
  <r>
    <n v="110"/>
    <d v="2024-04-19T00:00:00"/>
    <n v="1099"/>
    <s v="Customer_188"/>
    <s v="Corporate"/>
    <x v="3"/>
    <s v="Furniture"/>
    <s v="Product_B"/>
    <n v="3354"/>
    <n v="5"/>
    <n v="0.08"/>
    <n v="556"/>
    <s v="Card"/>
    <n v="15428.4"/>
    <s v="Apr"/>
    <n v="2024"/>
    <s v="Q2"/>
    <n v="3.603743745300874E-2"/>
    <n v="1341.6000000000001"/>
    <s v="High"/>
    <s v="Repeat"/>
    <s v="Above Avg"/>
    <s v="Profit"/>
    <n v="136"/>
  </r>
  <r>
    <n v="111"/>
    <d v="2024-04-20T00:00:00"/>
    <n v="1099"/>
    <s v="Customer_137"/>
    <s v="Corporate"/>
    <x v="1"/>
    <s v="Furniture"/>
    <s v="Product_A"/>
    <n v="3754"/>
    <n v="2"/>
    <n v="0.28000000000000003"/>
    <n v="853"/>
    <s v="Card"/>
    <n v="5405.76"/>
    <s v="Apr"/>
    <n v="2024"/>
    <s v="Q2"/>
    <n v="0.15779464867104717"/>
    <n v="2102.2400000000002"/>
    <s v="High"/>
    <s v="Repeat"/>
    <s v="Below Avg"/>
    <s v="Profit"/>
    <n v="312"/>
  </r>
  <r>
    <n v="112"/>
    <d v="2024-04-21T00:00:00"/>
    <n v="1065"/>
    <s v="Customer_81"/>
    <s v="Consumer"/>
    <x v="3"/>
    <s v="Clothing"/>
    <s v="Product_A"/>
    <n v="1685"/>
    <n v="9"/>
    <n v="0.18"/>
    <n v="1489"/>
    <s v="COD"/>
    <n v="12435.3"/>
    <s v="Apr"/>
    <n v="2024"/>
    <s v="Q2"/>
    <n v="0.11973977306538645"/>
    <n v="2729.7"/>
    <s v="High"/>
    <s v="Repeat"/>
    <s v="Above Avg"/>
    <s v="Profit"/>
    <n v="163"/>
  </r>
  <r>
    <n v="113"/>
    <d v="2024-04-22T00:00:00"/>
    <n v="1047"/>
    <s v="Customer_70"/>
    <s v="Corporate"/>
    <x v="1"/>
    <s v="Furniture"/>
    <s v="Product_B"/>
    <n v="4837"/>
    <n v="1"/>
    <n v="0.04"/>
    <n v="216"/>
    <s v="Card"/>
    <n v="4643.5199999999904"/>
    <s v="Apr"/>
    <n v="2024"/>
    <s v="Q2"/>
    <n v="4.6516435807318679E-2"/>
    <n v="193.48000000000002"/>
    <s v="Medium"/>
    <s v="Repeat"/>
    <s v="Below Avg"/>
    <s v="Profit"/>
    <n v="334"/>
  </r>
  <r>
    <n v="114"/>
    <d v="2024-04-23T00:00:00"/>
    <n v="1016"/>
    <s v="Customer_174"/>
    <s v="Corporate"/>
    <x v="0"/>
    <s v="Electronics"/>
    <s v="Product_D"/>
    <n v="327"/>
    <n v="6"/>
    <n v="0.02"/>
    <n v="-476"/>
    <s v="UPI"/>
    <n v="1922.76"/>
    <s v="Apr"/>
    <n v="2024"/>
    <s v="Q2"/>
    <n v="-0.24756079801951361"/>
    <n v="39.24"/>
    <s v="Low"/>
    <s v="Repeat"/>
    <s v="Below Avg"/>
    <s v="Loss"/>
    <n v="435"/>
  </r>
  <r>
    <n v="115"/>
    <d v="2024-04-24T00:00:00"/>
    <n v="1005"/>
    <s v="Customer_7"/>
    <s v="Corporate"/>
    <x v="1"/>
    <s v="Clothing"/>
    <s v="Product_C"/>
    <n v="2697"/>
    <n v="9"/>
    <n v="0.03"/>
    <n v="196"/>
    <s v="Card"/>
    <n v="23544.809999999899"/>
    <s v="Apr"/>
    <n v="2024"/>
    <s v="Q2"/>
    <n v="8.324552204923329E-3"/>
    <n v="728.18999999999994"/>
    <s v="High"/>
    <s v="Repeat"/>
    <s v="Above Avg"/>
    <s v="Profit"/>
    <n v="56"/>
  </r>
  <r>
    <n v="116"/>
    <d v="2024-04-25T00:00:00"/>
    <n v="1086"/>
    <s v="Customer_128"/>
    <s v="Consumer"/>
    <x v="2"/>
    <s v="Clothing"/>
    <s v="Product_A"/>
    <n v="2905"/>
    <n v="3"/>
    <n v="0.23"/>
    <n v="1412"/>
    <s v="Card"/>
    <n v="6710.55"/>
    <s v="Apr"/>
    <n v="2024"/>
    <s v="Q2"/>
    <n v="0.21041494363353228"/>
    <n v="2004.45"/>
    <s v="High"/>
    <s v="Repeat"/>
    <s v="Below Avg"/>
    <s v="Profit"/>
    <n v="283"/>
  </r>
  <r>
    <n v="117"/>
    <d v="2024-04-26T00:00:00"/>
    <n v="1046"/>
    <s v="Customer_7"/>
    <s v="Corporate"/>
    <x v="1"/>
    <s v="Furniture"/>
    <s v="Product_A"/>
    <n v="4460"/>
    <n v="9"/>
    <n v="7.0000000000000007E-2"/>
    <n v="683"/>
    <s v="UPI"/>
    <n v="37330.199999999997"/>
    <s v="Apr"/>
    <n v="2024"/>
    <s v="Q2"/>
    <n v="1.8296178429261029E-2"/>
    <n v="2809.8"/>
    <s v="High"/>
    <s v="Repeat"/>
    <s v="Above Avg"/>
    <s v="Profit"/>
    <n v="6"/>
  </r>
  <r>
    <n v="118"/>
    <d v="2024-04-27T00:00:00"/>
    <n v="1015"/>
    <s v="Customer_121"/>
    <s v="Consumer"/>
    <x v="1"/>
    <s v="Clothing"/>
    <s v="Product_B"/>
    <n v="3646"/>
    <n v="2"/>
    <n v="7.0000000000000007E-2"/>
    <n v="1559"/>
    <s v="COD"/>
    <n v="6781.5599999999904"/>
    <s v="Apr"/>
    <n v="2024"/>
    <s v="Q2"/>
    <n v="0.22988810834085405"/>
    <n v="510.44000000000005"/>
    <s v="High"/>
    <s v="Repeat"/>
    <s v="Below Avg"/>
    <s v="Profit"/>
    <n v="278"/>
  </r>
  <r>
    <n v="119"/>
    <d v="2024-04-28T00:00:00"/>
    <n v="1059"/>
    <s v="Customer_197"/>
    <s v="Corporate"/>
    <x v="2"/>
    <s v="Furniture"/>
    <s v="Product_D"/>
    <n v="3772"/>
    <n v="2"/>
    <n v="0.04"/>
    <n v="189"/>
    <s v="Card"/>
    <n v="7242.24"/>
    <s v="Apr"/>
    <n v="2024"/>
    <s v="Q2"/>
    <n v="2.6096898197242844E-2"/>
    <n v="301.76"/>
    <s v="High"/>
    <s v="Repeat"/>
    <s v="Below Avg"/>
    <s v="Profit"/>
    <n v="270"/>
  </r>
  <r>
    <n v="120"/>
    <d v="2024-04-29T00:00:00"/>
    <n v="1040"/>
    <s v="Customer_161"/>
    <s v="Corporate"/>
    <x v="1"/>
    <s v="Clothing"/>
    <s v="Product_B"/>
    <n v="4990"/>
    <n v="2"/>
    <n v="0.18"/>
    <n v="829"/>
    <s v="UPI"/>
    <n v="8183.6"/>
    <s v="Apr"/>
    <n v="2024"/>
    <s v="Q2"/>
    <n v="0.10130016129820617"/>
    <n v="1796.3999999999999"/>
    <s v="High"/>
    <s v="Repeat"/>
    <s v="Below Avg"/>
    <s v="Profit"/>
    <n v="245"/>
  </r>
  <r>
    <n v="121"/>
    <d v="2024-04-30T00:00:00"/>
    <n v="1025"/>
    <s v="Customer_114"/>
    <s v="Corporate"/>
    <x v="0"/>
    <s v="Clothing"/>
    <s v="Product_D"/>
    <n v="4660"/>
    <n v="3"/>
    <n v="0.15"/>
    <n v="697"/>
    <s v="UPI"/>
    <n v="11883"/>
    <s v="Apr"/>
    <n v="2024"/>
    <s v="Q2"/>
    <n v="5.8655221745350504E-2"/>
    <n v="2097"/>
    <s v="High"/>
    <s v="Repeat"/>
    <s v="Above Avg"/>
    <s v="Profit"/>
    <n v="170"/>
  </r>
  <r>
    <n v="122"/>
    <d v="2024-05-01T00:00:00"/>
    <n v="1045"/>
    <s v="Customer_138"/>
    <s v="Corporate"/>
    <x v="1"/>
    <s v="Furniture"/>
    <s v="Product_B"/>
    <n v="2622"/>
    <n v="4"/>
    <n v="0.08"/>
    <n v="-69"/>
    <s v="COD"/>
    <n v="9648.9599999999991"/>
    <s v="May"/>
    <n v="2024"/>
    <s v="Q2"/>
    <n v="-7.1510297482837533E-3"/>
    <n v="839.04"/>
    <s v="High"/>
    <s v="Repeat"/>
    <s v="Below Avg"/>
    <s v="Loss"/>
    <n v="210"/>
  </r>
  <r>
    <n v="123"/>
    <d v="2024-05-02T00:00:00"/>
    <n v="1049"/>
    <s v="Customer_104"/>
    <s v="Consumer"/>
    <x v="2"/>
    <s v="Furniture"/>
    <s v="Product_B"/>
    <n v="438"/>
    <n v="3"/>
    <n v="0.2"/>
    <n v="1254"/>
    <s v="UPI"/>
    <n v="1051.2"/>
    <s v="May"/>
    <n v="2024"/>
    <s v="Q2"/>
    <n v="1.1929223744292237"/>
    <n v="262.8"/>
    <s v="Low"/>
    <s v="Repeat"/>
    <s v="Below Avg"/>
    <s v="Profit"/>
    <n v="478"/>
  </r>
  <r>
    <n v="124"/>
    <d v="2024-05-03T00:00:00"/>
    <n v="1000"/>
    <s v="Customer_28"/>
    <s v="Consumer"/>
    <x v="1"/>
    <s v="Clothing"/>
    <s v="Product_D"/>
    <n v="918"/>
    <n v="6"/>
    <n v="0.23"/>
    <n v="-299"/>
    <s v="UPI"/>
    <n v="4241.16"/>
    <s v="May"/>
    <n v="2024"/>
    <s v="Q2"/>
    <n v="-7.0499580303501869E-2"/>
    <n v="1266.8400000000001"/>
    <s v="Medium"/>
    <s v="Repeat"/>
    <s v="Below Avg"/>
    <s v="Loss"/>
    <n v="344"/>
  </r>
  <r>
    <n v="125"/>
    <d v="2024-05-04T00:00:00"/>
    <n v="1035"/>
    <s v="Customer_175"/>
    <s v="Corporate"/>
    <x v="2"/>
    <s v="Furniture"/>
    <s v="Product_D"/>
    <n v="2666"/>
    <n v="6"/>
    <n v="0.28999999999999998"/>
    <n v="1830"/>
    <s v="Card"/>
    <n v="11357.16"/>
    <s v="May"/>
    <n v="2024"/>
    <s v="Q2"/>
    <n v="0.16113183225383812"/>
    <n v="4638.8399999999992"/>
    <s v="High"/>
    <s v="Repeat"/>
    <s v="Above Avg"/>
    <s v="Profit"/>
    <n v="184"/>
  </r>
  <r>
    <n v="126"/>
    <d v="2024-05-05T00:00:00"/>
    <n v="1029"/>
    <s v="Customer_46"/>
    <s v="Consumer"/>
    <x v="3"/>
    <s v="Electronics"/>
    <s v="Product_C"/>
    <n v="3817"/>
    <n v="5"/>
    <n v="0.14000000000000001"/>
    <n v="381"/>
    <s v="COD"/>
    <n v="16413.099999999999"/>
    <s v="May"/>
    <n v="2024"/>
    <s v="Q2"/>
    <n v="2.3213165093736103E-2"/>
    <n v="2671.9"/>
    <s v="High"/>
    <s v="Repeat"/>
    <s v="Above Avg"/>
    <s v="Profit"/>
    <n v="117"/>
  </r>
  <r>
    <n v="127"/>
    <d v="2024-05-06T00:00:00"/>
    <n v="1001"/>
    <s v="Customer_22"/>
    <s v="Consumer"/>
    <x v="2"/>
    <s v="Furniture"/>
    <s v="Product_B"/>
    <n v="3162"/>
    <n v="2"/>
    <n v="0.12"/>
    <n v="1730"/>
    <s v="UPI"/>
    <n v="5565.12"/>
    <s v="May"/>
    <n v="2024"/>
    <s v="Q2"/>
    <n v="0.31086481513426484"/>
    <n v="758.88"/>
    <s v="High"/>
    <s v="Repeat"/>
    <s v="Below Avg"/>
    <s v="Profit"/>
    <n v="306"/>
  </r>
  <r>
    <n v="128"/>
    <d v="2024-05-07T00:00:00"/>
    <n v="1083"/>
    <s v="Customer_21"/>
    <s v="Corporate"/>
    <x v="2"/>
    <s v="Furniture"/>
    <s v="Product_A"/>
    <n v="1353"/>
    <n v="4"/>
    <n v="0.09"/>
    <n v="558"/>
    <s v="Card"/>
    <n v="4924.92"/>
    <s v="May"/>
    <n v="2024"/>
    <s v="Q2"/>
    <n v="0.11330133281352793"/>
    <n v="487.08"/>
    <s v="Medium"/>
    <s v="Repeat"/>
    <s v="Below Avg"/>
    <s v="Profit"/>
    <n v="325"/>
  </r>
  <r>
    <n v="129"/>
    <d v="2024-05-08T00:00:00"/>
    <n v="1068"/>
    <s v="Customer_111"/>
    <s v="Consumer"/>
    <x v="0"/>
    <s v="Electronics"/>
    <s v="Product_A"/>
    <n v="3250"/>
    <n v="7"/>
    <n v="0.24"/>
    <n v="170"/>
    <s v="COD"/>
    <n v="17290"/>
    <s v="May"/>
    <n v="2024"/>
    <s v="Q2"/>
    <n v="9.8322729901677269E-3"/>
    <n v="5460"/>
    <s v="High"/>
    <s v="Repeat"/>
    <s v="Above Avg"/>
    <s v="Profit"/>
    <n v="103"/>
  </r>
  <r>
    <n v="130"/>
    <d v="2024-05-09T00:00:00"/>
    <n v="1030"/>
    <s v="Customer_184"/>
    <s v="Corporate"/>
    <x v="1"/>
    <s v="Furniture"/>
    <s v="Product_D"/>
    <n v="2350"/>
    <n v="8"/>
    <n v="0.28999999999999998"/>
    <n v="188"/>
    <s v="Card"/>
    <n v="13348"/>
    <s v="May"/>
    <n v="2024"/>
    <s v="Q2"/>
    <n v="1.4084507042253521E-2"/>
    <n v="5452"/>
    <s v="High"/>
    <s v="Repeat"/>
    <s v="Above Avg"/>
    <s v="Profit"/>
    <n v="155"/>
  </r>
  <r>
    <n v="131"/>
    <d v="2024-05-10T00:00:00"/>
    <n v="1007"/>
    <s v="Customer_32"/>
    <s v="Consumer"/>
    <x v="0"/>
    <s v="Electronics"/>
    <s v="Product_C"/>
    <n v="4420"/>
    <n v="9"/>
    <n v="0.18"/>
    <n v="-333"/>
    <s v="UPI"/>
    <n v="32619.599999999999"/>
    <s v="May"/>
    <n v="2024"/>
    <s v="Q2"/>
    <n v="-1.0208586248758415E-2"/>
    <n v="7160.4"/>
    <s v="High"/>
    <s v="Repeat"/>
    <s v="Above Avg"/>
    <s v="Loss"/>
    <n v="18"/>
  </r>
  <r>
    <n v="132"/>
    <d v="2024-05-11T00:00:00"/>
    <n v="1093"/>
    <s v="Customer_160"/>
    <s v="Consumer"/>
    <x v="3"/>
    <s v="Furniture"/>
    <s v="Product_B"/>
    <n v="3715"/>
    <n v="2"/>
    <n v="0.19"/>
    <n v="931"/>
    <s v="COD"/>
    <n v="6018.3"/>
    <s v="May"/>
    <n v="2024"/>
    <s v="Q2"/>
    <n v="0.15469484738215111"/>
    <n v="1411.7"/>
    <s v="High"/>
    <s v="Repeat"/>
    <s v="Below Avg"/>
    <s v="Profit"/>
    <n v="296"/>
  </r>
  <r>
    <n v="133"/>
    <d v="2024-05-12T00:00:00"/>
    <n v="1060"/>
    <s v="Customer_115"/>
    <s v="Corporate"/>
    <x v="1"/>
    <s v="Clothing"/>
    <s v="Product_C"/>
    <n v="1879"/>
    <n v="9"/>
    <n v="0.21"/>
    <n v="738"/>
    <s v="UPI"/>
    <n v="13359.69"/>
    <s v="May"/>
    <n v="2024"/>
    <s v="Q2"/>
    <n v="5.5240802743177421E-2"/>
    <n v="3551.31"/>
    <s v="High"/>
    <s v="Repeat"/>
    <s v="Above Avg"/>
    <s v="Profit"/>
    <n v="154"/>
  </r>
  <r>
    <n v="134"/>
    <d v="2024-05-13T00:00:00"/>
    <n v="1065"/>
    <s v="Customer_164"/>
    <s v="Consumer"/>
    <x v="0"/>
    <s v="Electronics"/>
    <s v="Product_D"/>
    <n v="1391"/>
    <n v="7"/>
    <n v="0.13"/>
    <n v="1496"/>
    <s v="COD"/>
    <n v="8471.19"/>
    <s v="May"/>
    <n v="2024"/>
    <s v="Q2"/>
    <n v="0.17659856525470446"/>
    <n v="1265.81"/>
    <s v="High"/>
    <s v="Repeat"/>
    <s v="Below Avg"/>
    <s v="Profit"/>
    <n v="239"/>
  </r>
  <r>
    <n v="135"/>
    <d v="2024-05-14T00:00:00"/>
    <n v="1076"/>
    <s v="Customer_159"/>
    <s v="Consumer"/>
    <x v="1"/>
    <s v="Furniture"/>
    <s v="Product_D"/>
    <n v="778"/>
    <n v="7"/>
    <n v="7.0000000000000007E-2"/>
    <n v="1345"/>
    <s v="UPI"/>
    <n v="5064.78"/>
    <s v="May"/>
    <n v="2024"/>
    <s v="Q2"/>
    <n v="0.26555941225482649"/>
    <n v="381.22"/>
    <s v="High"/>
    <s v="Repeat"/>
    <s v="Below Avg"/>
    <s v="Profit"/>
    <n v="321"/>
  </r>
  <r>
    <n v="136"/>
    <d v="2024-05-15T00:00:00"/>
    <n v="1067"/>
    <s v="Customer_70"/>
    <s v="Consumer"/>
    <x v="1"/>
    <s v="Electronics"/>
    <s v="Product_D"/>
    <n v="2652"/>
    <n v="1"/>
    <n v="0.08"/>
    <n v="-241"/>
    <s v="Card"/>
    <n v="2439.84"/>
    <s v="May"/>
    <n v="2024"/>
    <s v="Q2"/>
    <n v="-9.8776968981572552E-2"/>
    <n v="212.16"/>
    <s v="Medium"/>
    <s v="Repeat"/>
    <s v="Below Avg"/>
    <s v="Loss"/>
    <n v="412"/>
  </r>
  <r>
    <n v="137"/>
    <d v="2024-05-16T00:00:00"/>
    <n v="1044"/>
    <s v="Customer_54"/>
    <s v="Corporate"/>
    <x v="1"/>
    <s v="Clothing"/>
    <s v="Product_C"/>
    <n v="3324"/>
    <n v="8"/>
    <n v="0.19"/>
    <n v="1450"/>
    <s v="UPI"/>
    <n v="21539.52"/>
    <s v="May"/>
    <n v="2024"/>
    <s v="Q2"/>
    <n v="6.731812036665627E-2"/>
    <n v="5052.4800000000005"/>
    <s v="High"/>
    <s v="Repeat"/>
    <s v="Above Avg"/>
    <s v="Profit"/>
    <n v="71"/>
  </r>
  <r>
    <n v="138"/>
    <d v="2024-05-17T00:00:00"/>
    <n v="1051"/>
    <s v="Customer_21"/>
    <s v="Corporate"/>
    <x v="0"/>
    <s v="Electronics"/>
    <s v="Product_A"/>
    <n v="314"/>
    <n v="3"/>
    <n v="0.19"/>
    <n v="1084"/>
    <s v="COD"/>
    <n v="763.02"/>
    <s v="May"/>
    <n v="2024"/>
    <s v="Q2"/>
    <n v="1.4206704935650443"/>
    <n v="178.98"/>
    <s v="Low"/>
    <s v="Repeat"/>
    <s v="Below Avg"/>
    <s v="Profit"/>
    <n v="482"/>
  </r>
  <r>
    <n v="139"/>
    <d v="2024-05-18T00:00:00"/>
    <n v="1007"/>
    <s v="Customer_35"/>
    <s v="Consumer"/>
    <x v="1"/>
    <s v="Clothing"/>
    <s v="Product_A"/>
    <n v="1085"/>
    <n v="4"/>
    <n v="0.14000000000000001"/>
    <n v="1745"/>
    <s v="Card"/>
    <n v="3732.4"/>
    <s v="May"/>
    <n v="2024"/>
    <s v="Q2"/>
    <n v="0.46752759618476047"/>
    <n v="607.6"/>
    <s v="Medium"/>
    <s v="Repeat"/>
    <s v="Below Avg"/>
    <s v="Profit"/>
    <n v="366"/>
  </r>
  <r>
    <n v="140"/>
    <d v="2024-05-19T00:00:00"/>
    <n v="1088"/>
    <s v="Customer_23"/>
    <s v="Corporate"/>
    <x v="3"/>
    <s v="Furniture"/>
    <s v="Product_A"/>
    <n v="3383"/>
    <n v="4"/>
    <n v="0.01"/>
    <n v="1826"/>
    <s v="COD"/>
    <n v="13396.68"/>
    <s v="May"/>
    <n v="2024"/>
    <s v="Q2"/>
    <n v="0.13630242716852234"/>
    <n v="135.32"/>
    <s v="High"/>
    <s v="Repeat"/>
    <s v="Above Avg"/>
    <s v="Profit"/>
    <n v="153"/>
  </r>
  <r>
    <n v="141"/>
    <d v="2024-05-20T00:00:00"/>
    <n v="1070"/>
    <s v="Customer_170"/>
    <s v="Consumer"/>
    <x v="0"/>
    <s v="Clothing"/>
    <s v="Product_C"/>
    <n v="4806"/>
    <n v="2"/>
    <n v="0.26"/>
    <n v="126"/>
    <s v="UPI"/>
    <n v="7112.88"/>
    <s v="May"/>
    <n v="2024"/>
    <s v="Q2"/>
    <n v="1.7714343557040185E-2"/>
    <n v="2499.12"/>
    <s v="High"/>
    <s v="Repeat"/>
    <s v="Below Avg"/>
    <s v="Profit"/>
    <n v="273"/>
  </r>
  <r>
    <n v="142"/>
    <d v="2024-05-21T00:00:00"/>
    <n v="1013"/>
    <s v="Customer_24"/>
    <s v="Corporate"/>
    <x v="2"/>
    <s v="Electronics"/>
    <s v="Product_B"/>
    <n v="2445"/>
    <n v="3"/>
    <n v="7.0000000000000007E-2"/>
    <n v="834"/>
    <s v="COD"/>
    <n v="6821.5499999999902"/>
    <s v="May"/>
    <n v="2024"/>
    <s v="Q2"/>
    <n v="0.12225960375574484"/>
    <n v="513.45000000000005"/>
    <s v="High"/>
    <s v="Repeat"/>
    <s v="Below Avg"/>
    <s v="Profit"/>
    <n v="277"/>
  </r>
  <r>
    <n v="143"/>
    <d v="2024-05-22T00:00:00"/>
    <n v="1028"/>
    <s v="Customer_94"/>
    <s v="Consumer"/>
    <x v="3"/>
    <s v="Furniture"/>
    <s v="Product_C"/>
    <n v="4838"/>
    <n v="5"/>
    <n v="0.17"/>
    <n v="-431"/>
    <s v="UPI"/>
    <n v="20077.7"/>
    <s v="May"/>
    <n v="2024"/>
    <s v="Q2"/>
    <n v="-2.1466602250257746E-2"/>
    <n v="4112.3"/>
    <s v="High"/>
    <s v="Repeat"/>
    <s v="Above Avg"/>
    <s v="Loss"/>
    <n v="79"/>
  </r>
  <r>
    <n v="144"/>
    <d v="2024-05-23T00:00:00"/>
    <n v="1063"/>
    <s v="Customer_74"/>
    <s v="Consumer"/>
    <x v="2"/>
    <s v="Furniture"/>
    <s v="Product_A"/>
    <n v="3533"/>
    <n v="3"/>
    <n v="0.22"/>
    <n v="1071"/>
    <s v="UPI"/>
    <n v="8267.2199999999993"/>
    <s v="May"/>
    <n v="2024"/>
    <s v="Q2"/>
    <n v="0.1295477802695465"/>
    <n v="2331.7800000000002"/>
    <s v="High"/>
    <s v="Repeat"/>
    <s v="Below Avg"/>
    <s v="Profit"/>
    <n v="242"/>
  </r>
  <r>
    <n v="145"/>
    <d v="2024-05-24T00:00:00"/>
    <n v="1084"/>
    <s v="Customer_69"/>
    <s v="Corporate"/>
    <x v="2"/>
    <s v="Furniture"/>
    <s v="Product_D"/>
    <n v="3727"/>
    <n v="5"/>
    <n v="0.06"/>
    <n v="1304"/>
    <s v="COD"/>
    <n v="17516.8999999999"/>
    <s v="May"/>
    <n v="2024"/>
    <s v="Q2"/>
    <n v="7.4442395629364069E-2"/>
    <n v="1118.0999999999999"/>
    <s v="High"/>
    <s v="Repeat"/>
    <s v="Above Avg"/>
    <s v="Profit"/>
    <n v="97"/>
  </r>
  <r>
    <n v="146"/>
    <d v="2024-05-25T00:00:00"/>
    <n v="1036"/>
    <s v="Customer_127"/>
    <s v="Consumer"/>
    <x v="3"/>
    <s v="Clothing"/>
    <s v="Product_D"/>
    <n v="3173"/>
    <n v="8"/>
    <n v="0.14000000000000001"/>
    <n v="1176"/>
    <s v="Card"/>
    <n v="21830.2399999999"/>
    <s v="May"/>
    <n v="2024"/>
    <s v="Q2"/>
    <n v="5.3870227720813214E-2"/>
    <n v="3553.76"/>
    <s v="High"/>
    <s v="Repeat"/>
    <s v="Above Avg"/>
    <s v="Profit"/>
    <n v="69"/>
  </r>
  <r>
    <n v="147"/>
    <d v="2024-05-26T00:00:00"/>
    <n v="1096"/>
    <s v="Customer_125"/>
    <s v="Consumer"/>
    <x v="1"/>
    <s v="Furniture"/>
    <s v="Product_A"/>
    <n v="4473"/>
    <n v="8"/>
    <n v="0"/>
    <n v="126"/>
    <s v="Card"/>
    <n v="35784"/>
    <s v="May"/>
    <n v="2024"/>
    <s v="Q2"/>
    <n v="3.5211267605633804E-3"/>
    <n v="0"/>
    <s v="High"/>
    <s v="Repeat"/>
    <s v="Above Avg"/>
    <s v="Profit"/>
    <n v="8"/>
  </r>
  <r>
    <n v="148"/>
    <d v="2024-05-27T00:00:00"/>
    <n v="1040"/>
    <s v="Customer_170"/>
    <s v="Consumer"/>
    <x v="3"/>
    <s v="Clothing"/>
    <s v="Product_B"/>
    <n v="3339"/>
    <n v="3"/>
    <n v="0.01"/>
    <n v="-386"/>
    <s v="Card"/>
    <n v="9916.83"/>
    <s v="May"/>
    <n v="2024"/>
    <s v="Q2"/>
    <n v="-3.8923728651191966E-2"/>
    <n v="100.17"/>
    <s v="High"/>
    <s v="Repeat"/>
    <s v="Below Avg"/>
    <s v="Loss"/>
    <n v="202"/>
  </r>
  <r>
    <n v="149"/>
    <d v="2024-05-28T00:00:00"/>
    <n v="1088"/>
    <s v="Customer_158"/>
    <s v="Corporate"/>
    <x v="0"/>
    <s v="Clothing"/>
    <s v="Product_D"/>
    <n v="1472"/>
    <n v="5"/>
    <n v="0.08"/>
    <n v="788"/>
    <s v="UPI"/>
    <n v="6771.2"/>
    <s v="May"/>
    <n v="2024"/>
    <s v="Q2"/>
    <n v="0.11637523629489603"/>
    <n v="588.80000000000007"/>
    <s v="High"/>
    <s v="Repeat"/>
    <s v="Below Avg"/>
    <s v="Profit"/>
    <n v="279"/>
  </r>
  <r>
    <n v="150"/>
    <d v="2024-05-29T00:00:00"/>
    <n v="1063"/>
    <s v="Customer_199"/>
    <s v="Corporate"/>
    <x v="1"/>
    <s v="Clothing"/>
    <s v="Product_B"/>
    <n v="2138"/>
    <n v="1"/>
    <n v="0.2"/>
    <n v="725"/>
    <s v="Card"/>
    <n v="1710.4"/>
    <s v="May"/>
    <n v="2024"/>
    <s v="Q2"/>
    <n v="0.42387745556594947"/>
    <n v="427.6"/>
    <s v="Low"/>
    <s v="Repeat"/>
    <s v="Below Avg"/>
    <s v="Profit"/>
    <n v="446"/>
  </r>
  <r>
    <n v="151"/>
    <d v="2024-05-30T00:00:00"/>
    <n v="1058"/>
    <s v="Customer_134"/>
    <s v="Consumer"/>
    <x v="1"/>
    <s v="Furniture"/>
    <s v="Product_D"/>
    <n v="4818"/>
    <n v="7"/>
    <n v="0.27"/>
    <n v="841"/>
    <s v="Card"/>
    <n v="24619.98"/>
    <s v="May"/>
    <n v="2024"/>
    <s v="Q2"/>
    <n v="3.4159247895408529E-2"/>
    <n v="9106.02"/>
    <s v="High"/>
    <s v="Repeat"/>
    <s v="Above Avg"/>
    <s v="Profit"/>
    <n v="44"/>
  </r>
  <r>
    <n v="152"/>
    <d v="2024-05-31T00:00:00"/>
    <n v="1077"/>
    <s v="Customer_52"/>
    <s v="Consumer"/>
    <x v="2"/>
    <s v="Electronics"/>
    <s v="Product_A"/>
    <n v="3953"/>
    <n v="3"/>
    <n v="0.13"/>
    <n v="1405"/>
    <s v="COD"/>
    <n v="10317.33"/>
    <s v="May"/>
    <n v="2024"/>
    <s v="Q2"/>
    <n v="0.13617864311793845"/>
    <n v="1541.67"/>
    <s v="High"/>
    <s v="Repeat"/>
    <s v="Below Avg"/>
    <s v="Profit"/>
    <n v="197"/>
  </r>
  <r>
    <n v="153"/>
    <d v="2024-06-01T00:00:00"/>
    <n v="1008"/>
    <s v="Customer_82"/>
    <s v="Corporate"/>
    <x v="3"/>
    <s v="Furniture"/>
    <s v="Product_C"/>
    <n v="3443"/>
    <n v="7"/>
    <n v="0.01"/>
    <n v="1505"/>
    <s v="Card"/>
    <n v="23859.99"/>
    <s v="Jun"/>
    <n v="2024"/>
    <s v="Q2"/>
    <n v="6.3076304726028806E-2"/>
    <n v="241.01"/>
    <s v="High"/>
    <s v="Repeat"/>
    <s v="Above Avg"/>
    <s v="Profit"/>
    <n v="52"/>
  </r>
  <r>
    <n v="154"/>
    <d v="2024-06-02T00:00:00"/>
    <n v="1078"/>
    <s v="Customer_154"/>
    <s v="Consumer"/>
    <x v="1"/>
    <s v="Furniture"/>
    <s v="Product_C"/>
    <n v="4783"/>
    <n v="8"/>
    <n v="0.09"/>
    <n v="605"/>
    <s v="COD"/>
    <n v="34820.239999999998"/>
    <s v="Jun"/>
    <n v="2024"/>
    <s v="Q2"/>
    <n v="1.7374952039388585E-2"/>
    <n v="3443.7599999999998"/>
    <s v="High"/>
    <s v="Repeat"/>
    <s v="Above Avg"/>
    <s v="Profit"/>
    <n v="12"/>
  </r>
  <r>
    <n v="155"/>
    <d v="2024-06-03T00:00:00"/>
    <n v="1006"/>
    <s v="Customer_100"/>
    <s v="Consumer"/>
    <x v="0"/>
    <s v="Furniture"/>
    <s v="Product_B"/>
    <n v="4252"/>
    <n v="7"/>
    <n v="0.28999999999999998"/>
    <n v="-483"/>
    <s v="Card"/>
    <n v="21132.44"/>
    <s v="Jun"/>
    <n v="2024"/>
    <s v="Q2"/>
    <n v="-2.2855855736488549E-2"/>
    <n v="8631.56"/>
    <s v="High"/>
    <s v="Repeat"/>
    <s v="Above Avg"/>
    <s v="Loss"/>
    <n v="74"/>
  </r>
  <r>
    <n v="156"/>
    <d v="2024-06-04T00:00:00"/>
    <n v="1065"/>
    <s v="Customer_41"/>
    <s v="Corporate"/>
    <x v="0"/>
    <s v="Furniture"/>
    <s v="Product_A"/>
    <n v="1868"/>
    <n v="5"/>
    <n v="0.03"/>
    <n v="200"/>
    <s v="Card"/>
    <n v="9059.7999999999993"/>
    <s v="Jun"/>
    <n v="2024"/>
    <s v="Q2"/>
    <n v="2.2075542506457099E-2"/>
    <n v="280.2"/>
    <s v="High"/>
    <s v="Repeat"/>
    <s v="Below Avg"/>
    <s v="Profit"/>
    <n v="230"/>
  </r>
  <r>
    <n v="157"/>
    <d v="2024-06-05T00:00:00"/>
    <n v="1094"/>
    <s v="Customer_196"/>
    <s v="Consumer"/>
    <x v="1"/>
    <s v="Clothing"/>
    <s v="Product_D"/>
    <n v="138"/>
    <n v="9"/>
    <n v="0.23"/>
    <n v="486"/>
    <s v="COD"/>
    <n v="956.34"/>
    <s v="Jun"/>
    <n v="2024"/>
    <s v="Q2"/>
    <n v="0.50818746470920384"/>
    <n v="285.66000000000003"/>
    <s v="Low"/>
    <s v="Repeat"/>
    <s v="Below Avg"/>
    <s v="Profit"/>
    <n v="481"/>
  </r>
  <r>
    <n v="158"/>
    <d v="2024-06-06T00:00:00"/>
    <n v="1070"/>
    <s v="Customer_182"/>
    <s v="Consumer"/>
    <x v="0"/>
    <s v="Electronics"/>
    <s v="Product_B"/>
    <n v="3662"/>
    <n v="1"/>
    <n v="0.22"/>
    <n v="-184"/>
    <s v="Card"/>
    <n v="2856.36"/>
    <s v="Jun"/>
    <n v="2024"/>
    <s v="Q2"/>
    <n v="-6.4417650436219526E-2"/>
    <n v="805.64"/>
    <s v="Medium"/>
    <s v="Repeat"/>
    <s v="Below Avg"/>
    <s v="Loss"/>
    <n v="397"/>
  </r>
  <r>
    <n v="159"/>
    <d v="2024-06-07T00:00:00"/>
    <n v="1040"/>
    <s v="Customer_60"/>
    <s v="Corporate"/>
    <x v="3"/>
    <s v="Furniture"/>
    <s v="Product_A"/>
    <n v="1929"/>
    <n v="6"/>
    <n v="0.18"/>
    <n v="1743"/>
    <s v="COD"/>
    <n v="9490.68"/>
    <s v="Jun"/>
    <n v="2024"/>
    <s v="Q2"/>
    <n v="0.18365385831152245"/>
    <n v="2083.3199999999997"/>
    <s v="High"/>
    <s v="Repeat"/>
    <s v="Below Avg"/>
    <s v="Profit"/>
    <n v="217"/>
  </r>
  <r>
    <n v="160"/>
    <d v="2024-06-08T00:00:00"/>
    <n v="1074"/>
    <s v="Customer_77"/>
    <s v="Consumer"/>
    <x v="0"/>
    <s v="Furniture"/>
    <s v="Product_C"/>
    <n v="2271"/>
    <n v="6"/>
    <n v="0.28000000000000003"/>
    <n v="1840"/>
    <s v="COD"/>
    <n v="9810.7199999999993"/>
    <s v="Jun"/>
    <n v="2024"/>
    <s v="Q2"/>
    <n v="0.18754994536588548"/>
    <n v="3815.28"/>
    <s v="High"/>
    <s v="Repeat"/>
    <s v="Below Avg"/>
    <s v="Profit"/>
    <n v="207"/>
  </r>
  <r>
    <n v="161"/>
    <d v="2024-06-09T00:00:00"/>
    <n v="1076"/>
    <s v="Customer_183"/>
    <s v="Consumer"/>
    <x v="1"/>
    <s v="Clothing"/>
    <s v="Product_C"/>
    <n v="208"/>
    <n v="7"/>
    <n v="0.19"/>
    <n v="1079"/>
    <s v="Card"/>
    <n v="1179.3599999999999"/>
    <s v="Jun"/>
    <n v="2024"/>
    <s v="Q2"/>
    <n v="0.9149029982363317"/>
    <n v="276.64"/>
    <s v="Low"/>
    <s v="Repeat"/>
    <s v="Below Avg"/>
    <s v="Profit"/>
    <n v="469"/>
  </r>
  <r>
    <n v="162"/>
    <d v="2024-06-10T00:00:00"/>
    <n v="1076"/>
    <s v="Customer_152"/>
    <s v="Consumer"/>
    <x v="0"/>
    <s v="Clothing"/>
    <s v="Product_C"/>
    <n v="4940"/>
    <n v="7"/>
    <n v="0.28999999999999998"/>
    <n v="-154"/>
    <s v="Card"/>
    <n v="24551.8"/>
    <s v="Jun"/>
    <n v="2024"/>
    <s v="Q2"/>
    <n v="-6.272452528938815E-3"/>
    <n v="10028.199999999999"/>
    <s v="High"/>
    <s v="Repeat"/>
    <s v="Above Avg"/>
    <s v="Loss"/>
    <n v="45"/>
  </r>
  <r>
    <n v="163"/>
    <d v="2024-06-11T00:00:00"/>
    <n v="1025"/>
    <s v="Customer_119"/>
    <s v="Consumer"/>
    <x v="2"/>
    <s v="Clothing"/>
    <s v="Product_B"/>
    <n v="4228"/>
    <n v="2"/>
    <n v="0.25"/>
    <n v="115"/>
    <s v="Card"/>
    <n v="6342"/>
    <s v="Jun"/>
    <n v="2024"/>
    <s v="Q2"/>
    <n v="1.8133081046988332E-2"/>
    <n v="2114"/>
    <s v="High"/>
    <s v="Repeat"/>
    <s v="Below Avg"/>
    <s v="Profit"/>
    <n v="287"/>
  </r>
  <r>
    <n v="164"/>
    <d v="2024-06-12T00:00:00"/>
    <n v="1007"/>
    <s v="Customer_95"/>
    <s v="Consumer"/>
    <x v="0"/>
    <s v="Electronics"/>
    <s v="Product_C"/>
    <n v="4335"/>
    <n v="5"/>
    <n v="0.24"/>
    <n v="1958"/>
    <s v="UPI"/>
    <n v="16473"/>
    <s v="Jun"/>
    <n v="2024"/>
    <s v="Q2"/>
    <n v="0.11886116675772476"/>
    <n v="5202"/>
    <s v="High"/>
    <s v="Repeat"/>
    <s v="Above Avg"/>
    <s v="Profit"/>
    <n v="116"/>
  </r>
  <r>
    <n v="165"/>
    <d v="2024-06-13T00:00:00"/>
    <n v="1013"/>
    <s v="Customer_127"/>
    <s v="Consumer"/>
    <x v="2"/>
    <s v="Clothing"/>
    <s v="Product_B"/>
    <n v="4277"/>
    <n v="6"/>
    <n v="0.28999999999999998"/>
    <n v="-94"/>
    <s v="COD"/>
    <n v="18220.02"/>
    <s v="Jun"/>
    <n v="2024"/>
    <s v="Q2"/>
    <n v="-5.1591600887375532E-3"/>
    <n v="7441.98"/>
    <s v="High"/>
    <s v="Repeat"/>
    <s v="Above Avg"/>
    <s v="Loss"/>
    <n v="89"/>
  </r>
  <r>
    <n v="166"/>
    <d v="2024-06-14T00:00:00"/>
    <n v="1044"/>
    <s v="Customer_168"/>
    <s v="Corporate"/>
    <x v="3"/>
    <s v="Electronics"/>
    <s v="Product_D"/>
    <n v="3206"/>
    <n v="2"/>
    <n v="0.19"/>
    <n v="1742"/>
    <s v="COD"/>
    <n v="5193.72"/>
    <s v="Jun"/>
    <n v="2024"/>
    <s v="Q2"/>
    <n v="0.33540506611831211"/>
    <n v="1218.28"/>
    <s v="High"/>
    <s v="Repeat"/>
    <s v="Below Avg"/>
    <s v="Profit"/>
    <n v="319"/>
  </r>
  <r>
    <n v="167"/>
    <d v="2024-06-15T00:00:00"/>
    <n v="1001"/>
    <s v="Customer_192"/>
    <s v="Consumer"/>
    <x v="3"/>
    <s v="Furniture"/>
    <s v="Product_C"/>
    <n v="236"/>
    <n v="9"/>
    <n v="0.1"/>
    <n v="-188"/>
    <s v="COD"/>
    <n v="1911.6"/>
    <s v="Jun"/>
    <n v="2024"/>
    <s v="Q2"/>
    <n v="-9.8346934505126604E-2"/>
    <n v="212.4"/>
    <s v="Low"/>
    <s v="Repeat"/>
    <s v="Below Avg"/>
    <s v="Loss"/>
    <n v="436"/>
  </r>
  <r>
    <n v="168"/>
    <d v="2024-06-16T00:00:00"/>
    <n v="1041"/>
    <s v="Customer_162"/>
    <s v="Corporate"/>
    <x v="3"/>
    <s v="Clothing"/>
    <s v="Product_C"/>
    <n v="3837"/>
    <n v="6"/>
    <n v="0.03"/>
    <n v="-151"/>
    <s v="COD"/>
    <n v="22331.34"/>
    <s v="Jun"/>
    <n v="2024"/>
    <s v="Q2"/>
    <n v="-6.7617975455122707E-3"/>
    <n v="690.66"/>
    <s v="High"/>
    <s v="Repeat"/>
    <s v="Above Avg"/>
    <s v="Loss"/>
    <n v="64"/>
  </r>
  <r>
    <n v="169"/>
    <d v="2024-06-17T00:00:00"/>
    <n v="1078"/>
    <s v="Customer_39"/>
    <s v="Consumer"/>
    <x v="3"/>
    <s v="Furniture"/>
    <s v="Product_C"/>
    <n v="3951"/>
    <n v="5"/>
    <n v="0.21"/>
    <n v="1112"/>
    <s v="COD"/>
    <n v="15606.45"/>
    <s v="Jun"/>
    <n v="2024"/>
    <s v="Q2"/>
    <n v="7.1252591076125568E-2"/>
    <n v="4148.55"/>
    <s v="High"/>
    <s v="Repeat"/>
    <s v="Above Avg"/>
    <s v="Profit"/>
    <n v="134"/>
  </r>
  <r>
    <n v="170"/>
    <d v="2024-06-18T00:00:00"/>
    <n v="1056"/>
    <s v="Customer_122"/>
    <s v="Corporate"/>
    <x v="2"/>
    <s v="Furniture"/>
    <s v="Product_C"/>
    <n v="430"/>
    <n v="8"/>
    <n v="0.16"/>
    <n v="403"/>
    <s v="Card"/>
    <n v="2889.6"/>
    <s v="Jun"/>
    <n v="2024"/>
    <s v="Q2"/>
    <n v="0.13946566998892582"/>
    <n v="550.4"/>
    <s v="Medium"/>
    <s v="Repeat"/>
    <s v="Below Avg"/>
    <s v="Profit"/>
    <n v="396"/>
  </r>
  <r>
    <n v="171"/>
    <d v="2024-06-19T00:00:00"/>
    <n v="1087"/>
    <s v="Customer_1"/>
    <s v="Consumer"/>
    <x v="2"/>
    <s v="Furniture"/>
    <s v="Product_D"/>
    <n v="296"/>
    <n v="8"/>
    <n v="0.12"/>
    <n v="-8"/>
    <s v="Card"/>
    <n v="2083.84"/>
    <s v="Jun"/>
    <n v="2024"/>
    <s v="Q2"/>
    <n v="-3.8390663390663387E-3"/>
    <n v="284.15999999999997"/>
    <s v="Medium"/>
    <s v="Repeat"/>
    <s v="Below Avg"/>
    <s v="Loss"/>
    <n v="424"/>
  </r>
  <r>
    <n v="172"/>
    <d v="2024-06-20T00:00:00"/>
    <n v="1063"/>
    <s v="Customer_123"/>
    <s v="Corporate"/>
    <x v="2"/>
    <s v="Furniture"/>
    <s v="Product_B"/>
    <n v="1515"/>
    <n v="1"/>
    <n v="0.28000000000000003"/>
    <n v="1470"/>
    <s v="UPI"/>
    <n v="1090.8"/>
    <s v="Jun"/>
    <n v="2024"/>
    <s v="Q2"/>
    <n v="1.3476347634763477"/>
    <n v="424.20000000000005"/>
    <s v="Low"/>
    <s v="Repeat"/>
    <s v="Below Avg"/>
    <s v="Profit"/>
    <n v="477"/>
  </r>
  <r>
    <n v="173"/>
    <d v="2024-06-21T00:00:00"/>
    <n v="1097"/>
    <s v="Customer_20"/>
    <s v="Consumer"/>
    <x v="0"/>
    <s v="Clothing"/>
    <s v="Product_D"/>
    <n v="3396"/>
    <n v="7"/>
    <n v="0.27"/>
    <n v="1252"/>
    <s v="COD"/>
    <n v="17353.560000000001"/>
    <s v="Jun"/>
    <n v="2024"/>
    <s v="Q2"/>
    <n v="7.2146579721970583E-2"/>
    <n v="6418.4400000000005"/>
    <s v="High"/>
    <s v="Repeat"/>
    <s v="Above Avg"/>
    <s v="Profit"/>
    <n v="99"/>
  </r>
  <r>
    <n v="174"/>
    <d v="2024-06-22T00:00:00"/>
    <n v="1003"/>
    <s v="Customer_111"/>
    <s v="Consumer"/>
    <x v="1"/>
    <s v="Electronics"/>
    <s v="Product_A"/>
    <n v="3120"/>
    <n v="6"/>
    <n v="0.11"/>
    <n v="-429"/>
    <s v="UPI"/>
    <n v="16660.8"/>
    <s v="Jun"/>
    <n v="2024"/>
    <s v="Q2"/>
    <n v="-2.5749063670411985E-2"/>
    <n v="2059.1999999999998"/>
    <s v="High"/>
    <s v="Repeat"/>
    <s v="Above Avg"/>
    <s v="Loss"/>
    <n v="110"/>
  </r>
  <r>
    <n v="175"/>
    <d v="2024-06-23T00:00:00"/>
    <n v="1017"/>
    <s v="Customer_153"/>
    <s v="Corporate"/>
    <x v="1"/>
    <s v="Clothing"/>
    <s v="Product_D"/>
    <n v="3469"/>
    <n v="3"/>
    <n v="0.28000000000000003"/>
    <n v="431"/>
    <s v="UPI"/>
    <n v="7493.04"/>
    <s v="Jun"/>
    <n v="2024"/>
    <s v="Q2"/>
    <n v="5.7520045268675997E-2"/>
    <n v="2913.9600000000005"/>
    <s v="High"/>
    <s v="Repeat"/>
    <s v="Below Avg"/>
    <s v="Profit"/>
    <n v="264"/>
  </r>
  <r>
    <n v="176"/>
    <d v="2024-06-24T00:00:00"/>
    <n v="1088"/>
    <s v="Customer_134"/>
    <s v="Corporate"/>
    <x v="1"/>
    <s v="Clothing"/>
    <s v="Product_B"/>
    <n v="4955"/>
    <n v="1"/>
    <n v="0.13"/>
    <n v="-182"/>
    <s v="Card"/>
    <n v="4310.8500000000004"/>
    <s v="Jun"/>
    <n v="2024"/>
    <s v="Q2"/>
    <n v="-4.2219051927114136E-2"/>
    <n v="644.15"/>
    <s v="Medium"/>
    <s v="Repeat"/>
    <s v="Below Avg"/>
    <s v="Loss"/>
    <n v="341"/>
  </r>
  <r>
    <n v="177"/>
    <d v="2024-06-25T00:00:00"/>
    <n v="1087"/>
    <s v="Customer_116"/>
    <s v="Corporate"/>
    <x v="0"/>
    <s v="Clothing"/>
    <s v="Product_A"/>
    <n v="940"/>
    <n v="2"/>
    <n v="0.06"/>
    <n v="1960"/>
    <s v="Card"/>
    <n v="1767.19999999999"/>
    <s v="Jun"/>
    <n v="2024"/>
    <s v="Q2"/>
    <n v="1.109099139882306"/>
    <n v="112.8"/>
    <s v="Low"/>
    <s v="Repeat"/>
    <s v="Below Avg"/>
    <s v="Profit"/>
    <n v="442"/>
  </r>
  <r>
    <n v="178"/>
    <d v="2024-06-26T00:00:00"/>
    <n v="1069"/>
    <s v="Customer_94"/>
    <s v="Consumer"/>
    <x v="2"/>
    <s v="Furniture"/>
    <s v="Product_C"/>
    <n v="3742"/>
    <n v="1"/>
    <n v="0.19"/>
    <n v="1388"/>
    <s v="Card"/>
    <n v="3031.02"/>
    <s v="Jun"/>
    <n v="2024"/>
    <s v="Q2"/>
    <n v="0.45793165337081249"/>
    <n v="710.98"/>
    <s v="Medium"/>
    <s v="Repeat"/>
    <s v="Below Avg"/>
    <s v="Profit"/>
    <n v="390"/>
  </r>
  <r>
    <n v="179"/>
    <d v="2024-06-27T00:00:00"/>
    <n v="1097"/>
    <s v="Customer_120"/>
    <s v="Corporate"/>
    <x v="0"/>
    <s v="Clothing"/>
    <s v="Product_C"/>
    <n v="2769"/>
    <n v="3"/>
    <n v="0.03"/>
    <n v="-283"/>
    <s v="Card"/>
    <n v="8057.79"/>
    <s v="Jun"/>
    <n v="2024"/>
    <s v="Q2"/>
    <n v="-3.512129256284912E-2"/>
    <n v="249.20999999999998"/>
    <s v="High"/>
    <s v="Repeat"/>
    <s v="Below Avg"/>
    <s v="Loss"/>
    <n v="251"/>
  </r>
  <r>
    <n v="180"/>
    <d v="2024-06-28T00:00:00"/>
    <n v="1050"/>
    <s v="Customer_113"/>
    <s v="Consumer"/>
    <x v="3"/>
    <s v="Furniture"/>
    <s v="Product_C"/>
    <n v="1277"/>
    <n v="6"/>
    <n v="0.05"/>
    <n v="-393"/>
    <s v="Card"/>
    <n v="7278.9"/>
    <s v="Jun"/>
    <n v="2024"/>
    <s v="Q2"/>
    <n v="-5.3991674566211928E-2"/>
    <n v="383.1"/>
    <s v="High"/>
    <s v="Repeat"/>
    <s v="Below Avg"/>
    <s v="Loss"/>
    <n v="269"/>
  </r>
  <r>
    <n v="181"/>
    <d v="2024-06-29T00:00:00"/>
    <n v="1002"/>
    <s v="Customer_3"/>
    <s v="Consumer"/>
    <x v="0"/>
    <s v="Furniture"/>
    <s v="Product_A"/>
    <n v="1043"/>
    <n v="2"/>
    <n v="0.24"/>
    <n v="1350"/>
    <s v="Card"/>
    <n v="1585.36"/>
    <s v="Jun"/>
    <n v="2024"/>
    <s v="Q2"/>
    <n v="0.85154160569208259"/>
    <n v="500.64"/>
    <s v="Low"/>
    <s v="Repeat"/>
    <s v="Below Avg"/>
    <s v="Profit"/>
    <n v="454"/>
  </r>
  <r>
    <n v="182"/>
    <d v="2024-06-30T00:00:00"/>
    <n v="1018"/>
    <s v="Customer_164"/>
    <s v="Consumer"/>
    <x v="0"/>
    <s v="Electronics"/>
    <s v="Product_B"/>
    <n v="3546"/>
    <n v="6"/>
    <n v="0.25"/>
    <n v="1825"/>
    <s v="UPI"/>
    <n v="15957"/>
    <s v="Jun"/>
    <n v="2024"/>
    <s v="Q2"/>
    <n v="0.11436986902299931"/>
    <n v="5319"/>
    <s v="High"/>
    <s v="Repeat"/>
    <s v="Above Avg"/>
    <s v="Profit"/>
    <n v="129"/>
  </r>
  <r>
    <n v="183"/>
    <d v="2024-07-01T00:00:00"/>
    <n v="1046"/>
    <s v="Customer_70"/>
    <s v="Corporate"/>
    <x v="0"/>
    <s v="Furniture"/>
    <s v="Product_A"/>
    <n v="951"/>
    <n v="8"/>
    <n v="7.0000000000000007E-2"/>
    <n v="1104"/>
    <s v="COD"/>
    <n v="7075.44"/>
    <s v="Jul"/>
    <n v="2024"/>
    <s v="Q3"/>
    <n v="0.15603269902649164"/>
    <n v="532.56000000000006"/>
    <s v="High"/>
    <s v="Repeat"/>
    <s v="Below Avg"/>
    <s v="Profit"/>
    <n v="274"/>
  </r>
  <r>
    <n v="184"/>
    <d v="2024-07-02T00:00:00"/>
    <n v="1045"/>
    <s v="Customer_166"/>
    <s v="Corporate"/>
    <x v="3"/>
    <s v="Furniture"/>
    <s v="Product_C"/>
    <n v="4700"/>
    <n v="3"/>
    <n v="0.22"/>
    <n v="140"/>
    <s v="COD"/>
    <n v="10998"/>
    <s v="Jul"/>
    <n v="2024"/>
    <s v="Q3"/>
    <n v="1.2729587197672304E-2"/>
    <n v="3102"/>
    <s v="High"/>
    <s v="Repeat"/>
    <s v="Above Avg"/>
    <s v="Profit"/>
    <n v="190"/>
  </r>
  <r>
    <n v="185"/>
    <d v="2024-07-03T00:00:00"/>
    <n v="1057"/>
    <s v="Customer_65"/>
    <s v="Consumer"/>
    <x v="1"/>
    <s v="Electronics"/>
    <s v="Product_C"/>
    <n v="1851"/>
    <n v="3"/>
    <n v="0.28999999999999998"/>
    <n v="589"/>
    <s v="Card"/>
    <n v="3942.6299999999901"/>
    <s v="Jul"/>
    <n v="2024"/>
    <s v="Q3"/>
    <n v="0.14939266428754447"/>
    <n v="1610.37"/>
    <s v="Medium"/>
    <s v="Repeat"/>
    <s v="Below Avg"/>
    <s v="Profit"/>
    <n v="356"/>
  </r>
  <r>
    <n v="186"/>
    <d v="2024-07-04T00:00:00"/>
    <n v="1035"/>
    <s v="Customer_83"/>
    <s v="Corporate"/>
    <x v="1"/>
    <s v="Furniture"/>
    <s v="Product_C"/>
    <n v="1945"/>
    <n v="1"/>
    <n v="0.28999999999999998"/>
    <n v="7"/>
    <s v="Card"/>
    <n v="1380.94999999999"/>
    <s v="Jul"/>
    <n v="2024"/>
    <s v="Q3"/>
    <n v="5.068974256852204E-3"/>
    <n v="564.04999999999995"/>
    <s v="Low"/>
    <s v="Repeat"/>
    <s v="Below Avg"/>
    <s v="Profit"/>
    <n v="462"/>
  </r>
  <r>
    <n v="187"/>
    <d v="2024-07-05T00:00:00"/>
    <n v="1018"/>
    <s v="Customer_38"/>
    <s v="Corporate"/>
    <x v="3"/>
    <s v="Clothing"/>
    <s v="Product_A"/>
    <n v="4924"/>
    <n v="3"/>
    <n v="0.13"/>
    <n v="1357"/>
    <s v="UPI"/>
    <n v="12851.64"/>
    <s v="Jul"/>
    <n v="2024"/>
    <s v="Q3"/>
    <n v="0.1055896368089987"/>
    <n v="1920.3600000000001"/>
    <s v="High"/>
    <s v="Repeat"/>
    <s v="Above Avg"/>
    <s v="Profit"/>
    <n v="160"/>
  </r>
  <r>
    <n v="188"/>
    <d v="2024-07-06T00:00:00"/>
    <n v="1091"/>
    <s v="Customer_28"/>
    <s v="Corporate"/>
    <x v="1"/>
    <s v="Furniture"/>
    <s v="Product_A"/>
    <n v="1821"/>
    <n v="7"/>
    <n v="0.26"/>
    <n v="-309"/>
    <s v="Card"/>
    <n v="9432.7800000000007"/>
    <s v="Jul"/>
    <n v="2024"/>
    <s v="Q3"/>
    <n v="-3.2758105245749396E-2"/>
    <n v="3314.2200000000003"/>
    <s v="High"/>
    <s v="Repeat"/>
    <s v="Below Avg"/>
    <s v="Loss"/>
    <n v="220"/>
  </r>
  <r>
    <n v="189"/>
    <d v="2024-07-07T00:00:00"/>
    <n v="1046"/>
    <s v="Customer_175"/>
    <s v="Corporate"/>
    <x v="1"/>
    <s v="Clothing"/>
    <s v="Product_B"/>
    <n v="1873"/>
    <n v="9"/>
    <n v="0.17"/>
    <n v="-234"/>
    <s v="UPI"/>
    <n v="13991.31"/>
    <s v="Jul"/>
    <n v="2024"/>
    <s v="Q3"/>
    <n v="-1.672466695398787E-2"/>
    <n v="2865.69"/>
    <s v="High"/>
    <s v="Repeat"/>
    <s v="Above Avg"/>
    <s v="Loss"/>
    <n v="147"/>
  </r>
  <r>
    <n v="190"/>
    <d v="2024-07-08T00:00:00"/>
    <n v="1054"/>
    <s v="Customer_47"/>
    <s v="Consumer"/>
    <x v="2"/>
    <s v="Furniture"/>
    <s v="Product_C"/>
    <n v="750"/>
    <n v="8"/>
    <n v="0.17"/>
    <n v="-108"/>
    <s v="Card"/>
    <n v="4980"/>
    <s v="Jul"/>
    <n v="2024"/>
    <s v="Q3"/>
    <n v="-2.1686746987951807E-2"/>
    <n v="1020.0000000000001"/>
    <s v="Medium"/>
    <s v="Repeat"/>
    <s v="Below Avg"/>
    <s v="Loss"/>
    <n v="324"/>
  </r>
  <r>
    <n v="191"/>
    <d v="2024-07-09T00:00:00"/>
    <n v="1073"/>
    <s v="Customer_10"/>
    <s v="Consumer"/>
    <x v="1"/>
    <s v="Furniture"/>
    <s v="Product_A"/>
    <n v="1461"/>
    <n v="3"/>
    <n v="7.0000000000000007E-2"/>
    <n v="-371"/>
    <s v="COD"/>
    <n v="4076.1899999999901"/>
    <s v="Jul"/>
    <n v="2024"/>
    <s v="Q3"/>
    <n v="-9.1016365772940144E-2"/>
    <n v="306.81"/>
    <s v="Medium"/>
    <s v="Repeat"/>
    <s v="Below Avg"/>
    <s v="Loss"/>
    <n v="351"/>
  </r>
  <r>
    <n v="192"/>
    <d v="2024-07-10T00:00:00"/>
    <n v="1081"/>
    <s v="Customer_88"/>
    <s v="Corporate"/>
    <x v="0"/>
    <s v="Clothing"/>
    <s v="Product_A"/>
    <n v="3609"/>
    <n v="5"/>
    <n v="0.12"/>
    <n v="514"/>
    <s v="COD"/>
    <n v="15879.6"/>
    <s v="Jul"/>
    <n v="2024"/>
    <s v="Q3"/>
    <n v="3.2368573515705684E-2"/>
    <n v="2165.4"/>
    <s v="High"/>
    <s v="Repeat"/>
    <s v="Above Avg"/>
    <s v="Profit"/>
    <n v="131"/>
  </r>
  <r>
    <n v="193"/>
    <d v="2024-07-11T00:00:00"/>
    <n v="1062"/>
    <s v="Customer_133"/>
    <s v="Corporate"/>
    <x v="0"/>
    <s v="Electronics"/>
    <s v="Product_D"/>
    <n v="1568"/>
    <n v="1"/>
    <n v="0.06"/>
    <n v="1807"/>
    <s v="UPI"/>
    <n v="1473.9199999999901"/>
    <s v="Jul"/>
    <n v="2024"/>
    <s v="Q3"/>
    <n v="1.225982414242301"/>
    <n v="94.08"/>
    <s v="Low"/>
    <s v="Repeat"/>
    <s v="Below Avg"/>
    <s v="Profit"/>
    <n v="459"/>
  </r>
  <r>
    <n v="194"/>
    <d v="2024-07-12T00:00:00"/>
    <n v="1067"/>
    <s v="Customer_141"/>
    <s v="Consumer"/>
    <x v="2"/>
    <s v="Furniture"/>
    <s v="Product_C"/>
    <n v="584"/>
    <n v="1"/>
    <n v="0.22"/>
    <n v="858"/>
    <s v="Card"/>
    <n v="455.52"/>
    <s v="Jul"/>
    <n v="2024"/>
    <s v="Q3"/>
    <n v="1.8835616438356164"/>
    <n v="128.47999999999999"/>
    <s v="Low"/>
    <s v="Repeat"/>
    <s v="Below Avg"/>
    <s v="Profit"/>
    <n v="494"/>
  </r>
  <r>
    <n v="195"/>
    <d v="2024-07-13T00:00:00"/>
    <n v="1011"/>
    <s v="Customer_86"/>
    <s v="Corporate"/>
    <x v="0"/>
    <s v="Furniture"/>
    <s v="Product_C"/>
    <n v="851"/>
    <n v="9"/>
    <n v="0.19"/>
    <n v="1126"/>
    <s v="Card"/>
    <n v="6203.79"/>
    <s v="Jul"/>
    <n v="2024"/>
    <s v="Q3"/>
    <n v="0.18150195283850679"/>
    <n v="1455.21"/>
    <s v="High"/>
    <s v="Repeat"/>
    <s v="Below Avg"/>
    <s v="Profit"/>
    <n v="292"/>
  </r>
  <r>
    <n v="196"/>
    <d v="2024-07-14T00:00:00"/>
    <n v="1026"/>
    <s v="Customer_34"/>
    <s v="Corporate"/>
    <x v="2"/>
    <s v="Electronics"/>
    <s v="Product_A"/>
    <n v="209"/>
    <n v="7"/>
    <n v="0.24"/>
    <n v="-125"/>
    <s v="UPI"/>
    <n v="1111.8800000000001"/>
    <s v="Jul"/>
    <n v="2024"/>
    <s v="Q3"/>
    <n v="-0.11242220383494621"/>
    <n v="351.12"/>
    <s v="Low"/>
    <s v="Repeat"/>
    <s v="Below Avg"/>
    <s v="Loss"/>
    <n v="476"/>
  </r>
  <r>
    <n v="197"/>
    <d v="2024-07-15T00:00:00"/>
    <n v="1092"/>
    <s v="Customer_153"/>
    <s v="Corporate"/>
    <x v="0"/>
    <s v="Electronics"/>
    <s v="Product_D"/>
    <n v="2452"/>
    <n v="4"/>
    <n v="0.19"/>
    <n v="1641"/>
    <s v="Card"/>
    <n v="7944.48"/>
    <s v="Jul"/>
    <n v="2024"/>
    <s v="Q3"/>
    <n v="0.20655851610174614"/>
    <n v="1863.52"/>
    <s v="High"/>
    <s v="Repeat"/>
    <s v="Below Avg"/>
    <s v="Profit"/>
    <n v="254"/>
  </r>
  <r>
    <n v="198"/>
    <d v="2024-07-16T00:00:00"/>
    <n v="1075"/>
    <s v="Customer_151"/>
    <s v="Consumer"/>
    <x v="1"/>
    <s v="Electronics"/>
    <s v="Product_C"/>
    <n v="4378"/>
    <n v="4"/>
    <n v="0.08"/>
    <n v="-266"/>
    <s v="COD"/>
    <n v="16111.04"/>
    <s v="Jul"/>
    <n v="2024"/>
    <s v="Q3"/>
    <n v="-1.6510417701153992E-2"/>
    <n v="1400.96"/>
    <s v="High"/>
    <s v="Repeat"/>
    <s v="Above Avg"/>
    <s v="Loss"/>
    <n v="125"/>
  </r>
  <r>
    <n v="199"/>
    <d v="2024-07-17T00:00:00"/>
    <n v="1010"/>
    <s v="Customer_112"/>
    <s v="Corporate"/>
    <x v="0"/>
    <s v="Furniture"/>
    <s v="Product_C"/>
    <n v="3624"/>
    <n v="3"/>
    <n v="0.28999999999999998"/>
    <n v="-429"/>
    <s v="COD"/>
    <n v="7719.12"/>
    <s v="Jul"/>
    <n v="2024"/>
    <s v="Q3"/>
    <n v="-5.557628330690545E-2"/>
    <n v="3152.8799999999997"/>
    <s v="High"/>
    <s v="Repeat"/>
    <s v="Below Avg"/>
    <s v="Loss"/>
    <n v="259"/>
  </r>
  <r>
    <n v="200"/>
    <d v="2024-07-18T00:00:00"/>
    <n v="1003"/>
    <s v="Customer_85"/>
    <s v="Corporate"/>
    <x v="0"/>
    <s v="Clothing"/>
    <s v="Product_C"/>
    <n v="1158"/>
    <n v="5"/>
    <n v="0.2"/>
    <n v="1597"/>
    <s v="COD"/>
    <n v="4632"/>
    <s v="Jul"/>
    <n v="2024"/>
    <s v="Q3"/>
    <n v="0.34477547495682209"/>
    <n v="1158"/>
    <s v="Medium"/>
    <s v="Repeat"/>
    <s v="Below Avg"/>
    <s v="Profit"/>
    <n v="335"/>
  </r>
  <r>
    <n v="201"/>
    <d v="2024-07-19T00:00:00"/>
    <n v="1045"/>
    <s v="Customer_3"/>
    <s v="Corporate"/>
    <x v="2"/>
    <s v="Furniture"/>
    <s v="Product_A"/>
    <n v="300"/>
    <n v="8"/>
    <n v="0.14000000000000001"/>
    <n v="1580"/>
    <s v="UPI"/>
    <n v="2064"/>
    <s v="Jul"/>
    <n v="2024"/>
    <s v="Q3"/>
    <n v="0.76550387596899228"/>
    <n v="336.00000000000006"/>
    <s v="Medium"/>
    <s v="Repeat"/>
    <s v="Below Avg"/>
    <s v="Profit"/>
    <n v="425"/>
  </r>
  <r>
    <n v="202"/>
    <d v="2024-07-20T00:00:00"/>
    <n v="1058"/>
    <s v="Customer_8"/>
    <s v="Consumer"/>
    <x v="2"/>
    <s v="Clothing"/>
    <s v="Product_A"/>
    <n v="4590"/>
    <n v="3"/>
    <n v="0.23"/>
    <n v="458"/>
    <s v="Card"/>
    <n v="10602.9"/>
    <s v="Jul"/>
    <n v="2024"/>
    <s v="Q3"/>
    <n v="4.3195729470239273E-2"/>
    <n v="3167.1000000000004"/>
    <s v="High"/>
    <s v="Repeat"/>
    <s v="Below Avg"/>
    <s v="Profit"/>
    <n v="195"/>
  </r>
  <r>
    <n v="203"/>
    <d v="2024-07-21T00:00:00"/>
    <n v="1059"/>
    <s v="Customer_174"/>
    <s v="Consumer"/>
    <x v="2"/>
    <s v="Electronics"/>
    <s v="Product_B"/>
    <n v="3815"/>
    <n v="6"/>
    <n v="0.08"/>
    <n v="971"/>
    <s v="Card"/>
    <n v="21058.799999999999"/>
    <s v="Jul"/>
    <n v="2024"/>
    <s v="Q3"/>
    <n v="4.6108990065910689E-2"/>
    <n v="1831.2"/>
    <s v="High"/>
    <s v="Repeat"/>
    <s v="Above Avg"/>
    <s v="Profit"/>
    <n v="76"/>
  </r>
  <r>
    <n v="204"/>
    <d v="2024-07-22T00:00:00"/>
    <n v="1023"/>
    <s v="Customer_190"/>
    <s v="Consumer"/>
    <x v="3"/>
    <s v="Furniture"/>
    <s v="Product_B"/>
    <n v="1315"/>
    <n v="4"/>
    <n v="0.24"/>
    <n v="-35"/>
    <s v="COD"/>
    <n v="3997.6"/>
    <s v="Jul"/>
    <n v="2024"/>
    <s v="Q3"/>
    <n v="-8.7552531518911344E-3"/>
    <n v="1262.3999999999999"/>
    <s v="Medium"/>
    <s v="Repeat"/>
    <s v="Below Avg"/>
    <s v="Loss"/>
    <n v="353"/>
  </r>
  <r>
    <n v="205"/>
    <d v="2024-07-23T00:00:00"/>
    <n v="1025"/>
    <s v="Customer_167"/>
    <s v="Consumer"/>
    <x v="1"/>
    <s v="Furniture"/>
    <s v="Product_C"/>
    <n v="831"/>
    <n v="3"/>
    <n v="0.1"/>
    <n v="1324"/>
    <s v="UPI"/>
    <n v="2243.6999999999998"/>
    <s v="Jul"/>
    <n v="2024"/>
    <s v="Q3"/>
    <n v="0.59009671524713647"/>
    <n v="249.3"/>
    <s v="Medium"/>
    <s v="Repeat"/>
    <s v="Below Avg"/>
    <s v="Profit"/>
    <n v="417"/>
  </r>
  <r>
    <n v="206"/>
    <d v="2024-07-24T00:00:00"/>
    <n v="1027"/>
    <s v="Customer_51"/>
    <s v="Consumer"/>
    <x v="3"/>
    <s v="Furniture"/>
    <s v="Product_D"/>
    <n v="473"/>
    <n v="1"/>
    <n v="0.02"/>
    <n v="-233"/>
    <s v="UPI"/>
    <n v="463.539999999999"/>
    <s v="Jul"/>
    <n v="2024"/>
    <s v="Q3"/>
    <n v="-0.50265349268671633"/>
    <n v="9.4600000000000009"/>
    <s v="Low"/>
    <s v="Repeat"/>
    <s v="Below Avg"/>
    <s v="Loss"/>
    <n v="493"/>
  </r>
  <r>
    <n v="207"/>
    <d v="2024-07-25T00:00:00"/>
    <n v="1057"/>
    <s v="Customer_22"/>
    <s v="Consumer"/>
    <x v="0"/>
    <s v="Furniture"/>
    <s v="Product_C"/>
    <n v="3249"/>
    <n v="8"/>
    <n v="0.23"/>
    <n v="1197"/>
    <s v="UPI"/>
    <n v="20013.84"/>
    <s v="Jul"/>
    <n v="2024"/>
    <s v="Q3"/>
    <n v="5.9808612440191387E-2"/>
    <n v="5978.16"/>
    <s v="High"/>
    <s v="Repeat"/>
    <s v="Above Avg"/>
    <s v="Profit"/>
    <n v="80"/>
  </r>
  <r>
    <n v="208"/>
    <d v="2024-07-26T00:00:00"/>
    <n v="1003"/>
    <s v="Customer_45"/>
    <s v="Corporate"/>
    <x v="0"/>
    <s v="Electronics"/>
    <s v="Product_D"/>
    <n v="3344"/>
    <n v="7"/>
    <n v="0.06"/>
    <n v="581"/>
    <s v="COD"/>
    <n v="22003.52"/>
    <s v="Jul"/>
    <n v="2024"/>
    <s v="Q3"/>
    <n v="2.6404866130510025E-2"/>
    <n v="1404.48"/>
    <s v="High"/>
    <s v="Repeat"/>
    <s v="Above Avg"/>
    <s v="Profit"/>
    <n v="67"/>
  </r>
  <r>
    <n v="209"/>
    <d v="2024-07-27T00:00:00"/>
    <n v="1099"/>
    <s v="Customer_151"/>
    <s v="Corporate"/>
    <x v="2"/>
    <s v="Electronics"/>
    <s v="Product_A"/>
    <n v="4041"/>
    <n v="7"/>
    <n v="0.19"/>
    <n v="1642"/>
    <s v="UPI"/>
    <n v="22912.47"/>
    <s v="Jul"/>
    <n v="2024"/>
    <s v="Q3"/>
    <n v="7.1664032729775534E-2"/>
    <n v="5374.53"/>
    <s v="High"/>
    <s v="Repeat"/>
    <s v="Above Avg"/>
    <s v="Profit"/>
    <n v="60"/>
  </r>
  <r>
    <n v="210"/>
    <d v="2024-07-28T00:00:00"/>
    <n v="1078"/>
    <s v="Customer_177"/>
    <s v="Consumer"/>
    <x v="2"/>
    <s v="Electronics"/>
    <s v="Product_B"/>
    <n v="4048"/>
    <n v="8"/>
    <n v="0.08"/>
    <n v="-375"/>
    <s v="COD"/>
    <n v="29793.279999999999"/>
    <s v="Jul"/>
    <n v="2024"/>
    <s v="Q3"/>
    <n v="-1.2586730967520193E-2"/>
    <n v="2590.7200000000003"/>
    <s v="High"/>
    <s v="Repeat"/>
    <s v="Above Avg"/>
    <s v="Loss"/>
    <n v="24"/>
  </r>
  <r>
    <n v="211"/>
    <d v="2024-07-29T00:00:00"/>
    <n v="1085"/>
    <s v="Customer_80"/>
    <s v="Consumer"/>
    <x v="0"/>
    <s v="Furniture"/>
    <s v="Product_A"/>
    <n v="745"/>
    <n v="9"/>
    <n v="0.21"/>
    <n v="515"/>
    <s v="Card"/>
    <n v="5296.95"/>
    <s v="Jul"/>
    <n v="2024"/>
    <s v="Q3"/>
    <n v="9.7225761995110391E-2"/>
    <n v="1408.05"/>
    <s v="High"/>
    <s v="Repeat"/>
    <s v="Below Avg"/>
    <s v="Profit"/>
    <n v="316"/>
  </r>
  <r>
    <n v="212"/>
    <d v="2024-07-30T00:00:00"/>
    <n v="1059"/>
    <s v="Customer_124"/>
    <s v="Consumer"/>
    <x v="3"/>
    <s v="Furniture"/>
    <s v="Product_D"/>
    <n v="3695"/>
    <n v="3"/>
    <n v="0.04"/>
    <n v="333"/>
    <s v="Card"/>
    <n v="10641.6"/>
    <s v="Jul"/>
    <n v="2024"/>
    <s v="Q3"/>
    <n v="3.1292286874154258E-2"/>
    <n v="443.40000000000003"/>
    <s v="High"/>
    <s v="Repeat"/>
    <s v="Above Avg"/>
    <s v="Profit"/>
    <n v="194"/>
  </r>
  <r>
    <n v="213"/>
    <d v="2024-07-31T00:00:00"/>
    <n v="1048"/>
    <s v="Customer_179"/>
    <s v="Corporate"/>
    <x v="2"/>
    <s v="Clothing"/>
    <s v="Product_D"/>
    <n v="4178"/>
    <n v="2"/>
    <n v="0.19"/>
    <n v="1860"/>
    <s v="Card"/>
    <n v="6768.36"/>
    <s v="Jul"/>
    <n v="2024"/>
    <s v="Q3"/>
    <n v="0.27480807758452563"/>
    <n v="1587.64"/>
    <s v="High"/>
    <s v="Repeat"/>
    <s v="Below Avg"/>
    <s v="Profit"/>
    <n v="280"/>
  </r>
  <r>
    <n v="214"/>
    <d v="2024-08-01T00:00:00"/>
    <n v="1056"/>
    <s v="Customer_28"/>
    <s v="Consumer"/>
    <x v="2"/>
    <s v="Clothing"/>
    <s v="Product_B"/>
    <n v="2035"/>
    <n v="4"/>
    <n v="0.06"/>
    <n v="1215"/>
    <s v="UPI"/>
    <n v="7651.5999999999904"/>
    <s v="Aug"/>
    <n v="2024"/>
    <s v="Q3"/>
    <n v="0.15879031836478666"/>
    <n v="488.4"/>
    <s v="High"/>
    <s v="Repeat"/>
    <s v="Below Avg"/>
    <s v="Profit"/>
    <n v="262"/>
  </r>
  <r>
    <n v="215"/>
    <d v="2024-08-02T00:00:00"/>
    <n v="1087"/>
    <s v="Customer_99"/>
    <s v="Consumer"/>
    <x v="0"/>
    <s v="Clothing"/>
    <s v="Product_A"/>
    <n v="2833"/>
    <n v="4"/>
    <n v="0.15"/>
    <n v="-499"/>
    <s v="COD"/>
    <n v="9632.1999999999898"/>
    <s v="Aug"/>
    <n v="2024"/>
    <s v="Q3"/>
    <n v="-5.1805402711737766E-2"/>
    <n v="1699.8"/>
    <s v="High"/>
    <s v="Repeat"/>
    <s v="Below Avg"/>
    <s v="Loss"/>
    <n v="211"/>
  </r>
  <r>
    <n v="216"/>
    <d v="2024-08-03T00:00:00"/>
    <n v="1087"/>
    <s v="Customer_106"/>
    <s v="Consumer"/>
    <x v="1"/>
    <s v="Furniture"/>
    <s v="Product_C"/>
    <n v="2661"/>
    <n v="8"/>
    <n v="0.26"/>
    <n v="-152"/>
    <s v="COD"/>
    <n v="15753.119999999901"/>
    <s v="Aug"/>
    <n v="2024"/>
    <s v="Q3"/>
    <n v="-9.6488822531664176E-3"/>
    <n v="5534.88"/>
    <s v="High"/>
    <s v="Repeat"/>
    <s v="Above Avg"/>
    <s v="Loss"/>
    <n v="133"/>
  </r>
  <r>
    <n v="217"/>
    <d v="2024-08-04T00:00:00"/>
    <n v="1004"/>
    <s v="Customer_29"/>
    <s v="Consumer"/>
    <x v="2"/>
    <s v="Furniture"/>
    <s v="Product_A"/>
    <n v="2152"/>
    <n v="8"/>
    <n v="0.14000000000000001"/>
    <n v="925"/>
    <s v="COD"/>
    <n v="14805.76"/>
    <s v="Aug"/>
    <n v="2024"/>
    <s v="Q3"/>
    <n v="6.2475685138756808E-2"/>
    <n v="2410.2400000000002"/>
    <s v="High"/>
    <s v="Repeat"/>
    <s v="Above Avg"/>
    <s v="Profit"/>
    <n v="142"/>
  </r>
  <r>
    <n v="218"/>
    <d v="2024-08-05T00:00:00"/>
    <n v="1069"/>
    <s v="Customer_187"/>
    <s v="Consumer"/>
    <x v="3"/>
    <s v="Clothing"/>
    <s v="Product_D"/>
    <n v="2039"/>
    <n v="7"/>
    <n v="0.23"/>
    <n v="-462"/>
    <s v="UPI"/>
    <n v="10990.21"/>
    <s v="Aug"/>
    <n v="2024"/>
    <s v="Q3"/>
    <n v="-4.2037413297835079E-2"/>
    <n v="3282.79"/>
    <s v="High"/>
    <s v="Repeat"/>
    <s v="Above Avg"/>
    <s v="Loss"/>
    <n v="192"/>
  </r>
  <r>
    <n v="219"/>
    <d v="2024-08-06T00:00:00"/>
    <n v="1056"/>
    <s v="Customer_102"/>
    <s v="Consumer"/>
    <x v="1"/>
    <s v="Clothing"/>
    <s v="Product_A"/>
    <n v="802"/>
    <n v="5"/>
    <n v="0.04"/>
    <n v="1193"/>
    <s v="COD"/>
    <n v="3849.6"/>
    <s v="Aug"/>
    <n v="2024"/>
    <s v="Q3"/>
    <n v="0.30990232751454699"/>
    <n v="160.4"/>
    <s v="Medium"/>
    <s v="Repeat"/>
    <s v="Below Avg"/>
    <s v="Profit"/>
    <n v="361"/>
  </r>
  <r>
    <n v="220"/>
    <d v="2024-08-07T00:00:00"/>
    <n v="1060"/>
    <s v="Customer_198"/>
    <s v="Corporate"/>
    <x v="0"/>
    <s v="Clothing"/>
    <s v="Product_B"/>
    <n v="2899"/>
    <n v="1"/>
    <n v="0.2"/>
    <n v="569"/>
    <s v="COD"/>
    <n v="2319.1999999999998"/>
    <s v="Aug"/>
    <n v="2024"/>
    <s v="Q3"/>
    <n v="0.24534322180062093"/>
    <n v="579.80000000000007"/>
    <s v="Medium"/>
    <s v="Repeat"/>
    <s v="Below Avg"/>
    <s v="Profit"/>
    <n v="415"/>
  </r>
  <r>
    <n v="221"/>
    <d v="2024-08-08T00:00:00"/>
    <n v="1009"/>
    <s v="Customer_78"/>
    <s v="Corporate"/>
    <x v="2"/>
    <s v="Electronics"/>
    <s v="Product_A"/>
    <n v="607"/>
    <n v="6"/>
    <n v="0.05"/>
    <n v="1509"/>
    <s v="Card"/>
    <n v="3459.8999999999901"/>
    <s v="Aug"/>
    <n v="2024"/>
    <s v="Q3"/>
    <n v="0.43613977282580546"/>
    <n v="182.10000000000002"/>
    <s v="Medium"/>
    <s v="Repeat"/>
    <s v="Below Avg"/>
    <s v="Profit"/>
    <n v="378"/>
  </r>
  <r>
    <n v="222"/>
    <d v="2024-08-09T00:00:00"/>
    <n v="1066"/>
    <s v="Customer_156"/>
    <s v="Corporate"/>
    <x v="1"/>
    <s v="Clothing"/>
    <s v="Product_A"/>
    <n v="1523"/>
    <n v="1"/>
    <n v="0.23"/>
    <n v="1244"/>
    <s v="COD"/>
    <n v="1172.71"/>
    <s v="Aug"/>
    <n v="2024"/>
    <s v="Q3"/>
    <n v="1.0607908178492551"/>
    <n v="350.29"/>
    <s v="Low"/>
    <s v="Repeat"/>
    <s v="Below Avg"/>
    <s v="Profit"/>
    <n v="471"/>
  </r>
  <r>
    <n v="223"/>
    <d v="2024-08-10T00:00:00"/>
    <n v="1033"/>
    <s v="Customer_110"/>
    <s v="Corporate"/>
    <x v="0"/>
    <s v="Furniture"/>
    <s v="Product_D"/>
    <n v="2167"/>
    <n v="2"/>
    <n v="0.21"/>
    <n v="1682"/>
    <s v="Card"/>
    <n v="3423.86"/>
    <s v="Aug"/>
    <n v="2024"/>
    <s v="Q3"/>
    <n v="0.49125840425718337"/>
    <n v="910.14"/>
    <s v="Medium"/>
    <s v="New"/>
    <s v="Below Avg"/>
    <s v="Profit"/>
    <n v="379"/>
  </r>
  <r>
    <n v="224"/>
    <d v="2024-08-11T00:00:00"/>
    <n v="1069"/>
    <s v="Customer_175"/>
    <s v="Corporate"/>
    <x v="3"/>
    <s v="Furniture"/>
    <s v="Product_C"/>
    <n v="4265"/>
    <n v="6"/>
    <n v="0.12"/>
    <n v="490"/>
    <s v="COD"/>
    <n v="22519.200000000001"/>
    <s v="Aug"/>
    <n v="2024"/>
    <s v="Q3"/>
    <n v="2.1759209918647198E-2"/>
    <n v="3070.7999999999997"/>
    <s v="High"/>
    <s v="Repeat"/>
    <s v="Above Avg"/>
    <s v="Profit"/>
    <n v="63"/>
  </r>
  <r>
    <n v="225"/>
    <d v="2024-08-12T00:00:00"/>
    <n v="1009"/>
    <s v="Customer_4"/>
    <s v="Consumer"/>
    <x v="2"/>
    <s v="Clothing"/>
    <s v="Product_C"/>
    <n v="851"/>
    <n v="1"/>
    <n v="0.14000000000000001"/>
    <n v="1419"/>
    <s v="UPI"/>
    <n v="731.86"/>
    <s v="Aug"/>
    <n v="2024"/>
    <s v="Q3"/>
    <n v="1.9388954171562867"/>
    <n v="119.14000000000001"/>
    <s v="Low"/>
    <s v="Repeat"/>
    <s v="Below Avg"/>
    <s v="Profit"/>
    <n v="484"/>
  </r>
  <r>
    <n v="226"/>
    <d v="2024-08-13T00:00:00"/>
    <n v="1079"/>
    <s v="Customer_130"/>
    <s v="Corporate"/>
    <x v="0"/>
    <s v="Furniture"/>
    <s v="Product_B"/>
    <n v="2116"/>
    <n v="6"/>
    <n v="0.05"/>
    <n v="1516"/>
    <s v="UPI"/>
    <n v="12061.199999999901"/>
    <s v="Aug"/>
    <n v="2024"/>
    <s v="Q3"/>
    <n v="0.12569230259012473"/>
    <n v="634.80000000000007"/>
    <s v="High"/>
    <s v="Repeat"/>
    <s v="Above Avg"/>
    <s v="Profit"/>
    <n v="167"/>
  </r>
  <r>
    <n v="227"/>
    <d v="2024-08-14T00:00:00"/>
    <n v="1028"/>
    <s v="Customer_110"/>
    <s v="Consumer"/>
    <x v="2"/>
    <s v="Furniture"/>
    <s v="Product_B"/>
    <n v="648"/>
    <n v="9"/>
    <n v="0.19"/>
    <n v="730"/>
    <s v="Card"/>
    <n v="4723.92"/>
    <s v="Aug"/>
    <n v="2024"/>
    <s v="Q3"/>
    <n v="0.15453267625192638"/>
    <n v="1108.08"/>
    <s v="Medium"/>
    <s v="Repeat"/>
    <s v="Below Avg"/>
    <s v="Profit"/>
    <n v="331"/>
  </r>
  <r>
    <n v="228"/>
    <d v="2024-08-15T00:00:00"/>
    <n v="1066"/>
    <s v="Customer_64"/>
    <s v="Consumer"/>
    <x v="2"/>
    <s v="Furniture"/>
    <s v="Product_A"/>
    <n v="2655"/>
    <n v="6"/>
    <n v="0.27"/>
    <n v="1403"/>
    <s v="COD"/>
    <n v="11628.9"/>
    <s v="Aug"/>
    <n v="2024"/>
    <s v="Q3"/>
    <n v="0.12064769668670296"/>
    <n v="4301.1000000000004"/>
    <s v="High"/>
    <s v="Repeat"/>
    <s v="Above Avg"/>
    <s v="Profit"/>
    <n v="179"/>
  </r>
  <r>
    <n v="229"/>
    <d v="2024-08-16T00:00:00"/>
    <n v="1010"/>
    <s v="Customer_29"/>
    <s v="Consumer"/>
    <x v="3"/>
    <s v="Clothing"/>
    <s v="Product_C"/>
    <n v="738"/>
    <n v="1"/>
    <n v="0.17"/>
    <n v="1581"/>
    <s v="UPI"/>
    <n v="612.54"/>
    <s v="Aug"/>
    <n v="2024"/>
    <s v="Q3"/>
    <n v="2.5810559310412384"/>
    <n v="125.46000000000001"/>
    <s v="Low"/>
    <s v="Repeat"/>
    <s v="Below Avg"/>
    <s v="Profit"/>
    <n v="486"/>
  </r>
  <r>
    <n v="230"/>
    <d v="2024-08-17T00:00:00"/>
    <n v="1003"/>
    <s v="Customer_89"/>
    <s v="Consumer"/>
    <x v="1"/>
    <s v="Furniture"/>
    <s v="Product_B"/>
    <n v="1820"/>
    <n v="9"/>
    <n v="0.09"/>
    <n v="631"/>
    <s v="UPI"/>
    <n v="14905.8"/>
    <s v="Aug"/>
    <n v="2024"/>
    <s v="Q3"/>
    <n v="4.2332514859987389E-2"/>
    <n v="1474.2"/>
    <s v="High"/>
    <s v="Repeat"/>
    <s v="Above Avg"/>
    <s v="Profit"/>
    <n v="141"/>
  </r>
  <r>
    <n v="231"/>
    <d v="2024-08-18T00:00:00"/>
    <n v="1048"/>
    <s v="Customer_95"/>
    <s v="Consumer"/>
    <x v="3"/>
    <s v="Electronics"/>
    <s v="Product_C"/>
    <n v="3916"/>
    <n v="7"/>
    <n v="0.12"/>
    <n v="1533"/>
    <s v="UPI"/>
    <n v="24122.560000000001"/>
    <s v="Aug"/>
    <n v="2024"/>
    <s v="Q3"/>
    <n v="6.3550468938620111E-2"/>
    <n v="3289.44"/>
    <s v="High"/>
    <s v="Repeat"/>
    <s v="Above Avg"/>
    <s v="Profit"/>
    <n v="51"/>
  </r>
  <r>
    <n v="232"/>
    <d v="2024-08-19T00:00:00"/>
    <n v="1003"/>
    <s v="Customer_175"/>
    <s v="Consumer"/>
    <x v="2"/>
    <s v="Clothing"/>
    <s v="Product_D"/>
    <n v="3888"/>
    <n v="5"/>
    <n v="7.0000000000000007E-2"/>
    <n v="1032"/>
    <s v="Card"/>
    <n v="18079.199999999899"/>
    <s v="Aug"/>
    <n v="2024"/>
    <s v="Q3"/>
    <n v="5.7082171777512597E-2"/>
    <n v="1360.8000000000002"/>
    <s v="High"/>
    <s v="Repeat"/>
    <s v="Above Avg"/>
    <s v="Profit"/>
    <n v="91"/>
  </r>
  <r>
    <n v="233"/>
    <d v="2024-08-20T00:00:00"/>
    <n v="1023"/>
    <s v="Customer_15"/>
    <s v="Consumer"/>
    <x v="3"/>
    <s v="Clothing"/>
    <s v="Product_B"/>
    <n v="1813"/>
    <n v="7"/>
    <n v="0.13"/>
    <n v="937"/>
    <s v="COD"/>
    <n v="11041.17"/>
    <s v="Aug"/>
    <n v="2024"/>
    <s v="Q3"/>
    <n v="8.4864194646038421E-2"/>
    <n v="1649.8300000000002"/>
    <s v="High"/>
    <s v="Repeat"/>
    <s v="Above Avg"/>
    <s v="Profit"/>
    <n v="189"/>
  </r>
  <r>
    <n v="234"/>
    <d v="2024-08-21T00:00:00"/>
    <n v="1091"/>
    <s v="Customer_166"/>
    <s v="Corporate"/>
    <x v="2"/>
    <s v="Furniture"/>
    <s v="Product_C"/>
    <n v="4283"/>
    <n v="6"/>
    <n v="0.15"/>
    <n v="436"/>
    <s v="COD"/>
    <n v="21843.3"/>
    <s v="Aug"/>
    <n v="2024"/>
    <s v="Q3"/>
    <n v="1.9960353975818673E-2"/>
    <n v="3854.7"/>
    <s v="High"/>
    <s v="Repeat"/>
    <s v="Above Avg"/>
    <s v="Profit"/>
    <n v="68"/>
  </r>
  <r>
    <n v="235"/>
    <d v="2024-08-22T00:00:00"/>
    <n v="1055"/>
    <s v="Customer_97"/>
    <s v="Corporate"/>
    <x v="3"/>
    <s v="Clothing"/>
    <s v="Product_C"/>
    <n v="4730"/>
    <n v="8"/>
    <n v="0.28000000000000003"/>
    <n v="1356"/>
    <s v="Card"/>
    <n v="27244.799999999999"/>
    <s v="Aug"/>
    <n v="2024"/>
    <s v="Q3"/>
    <n v="4.9770965468639891E-2"/>
    <n v="10595.2"/>
    <s v="High"/>
    <s v="Repeat"/>
    <s v="Above Avg"/>
    <s v="Profit"/>
    <n v="34"/>
  </r>
  <r>
    <n v="236"/>
    <d v="2024-08-23T00:00:00"/>
    <n v="1034"/>
    <s v="Customer_177"/>
    <s v="Consumer"/>
    <x v="2"/>
    <s v="Furniture"/>
    <s v="Product_C"/>
    <n v="4044"/>
    <n v="8"/>
    <n v="0.13"/>
    <n v="-288"/>
    <s v="UPI"/>
    <n v="28146.240000000002"/>
    <s v="Aug"/>
    <n v="2024"/>
    <s v="Q3"/>
    <n v="-1.0232272587741736E-2"/>
    <n v="4205.76"/>
    <s v="High"/>
    <s v="Repeat"/>
    <s v="Above Avg"/>
    <s v="Loss"/>
    <n v="29"/>
  </r>
  <r>
    <n v="237"/>
    <d v="2024-08-24T00:00:00"/>
    <n v="1037"/>
    <s v="Customer_40"/>
    <s v="Corporate"/>
    <x v="3"/>
    <s v="Electronics"/>
    <s v="Product_D"/>
    <n v="1901"/>
    <n v="8"/>
    <n v="0.26"/>
    <n v="1933"/>
    <s v="UPI"/>
    <n v="11253.92"/>
    <s v="Aug"/>
    <n v="2024"/>
    <s v="Q3"/>
    <n v="0.17176237257773291"/>
    <n v="3954.08"/>
    <s v="High"/>
    <s v="Repeat"/>
    <s v="Above Avg"/>
    <s v="Profit"/>
    <n v="186"/>
  </r>
  <r>
    <n v="238"/>
    <d v="2024-08-25T00:00:00"/>
    <n v="1049"/>
    <s v="Customer_144"/>
    <s v="Consumer"/>
    <x v="0"/>
    <s v="Electronics"/>
    <s v="Product_A"/>
    <n v="4270"/>
    <n v="6"/>
    <n v="0.05"/>
    <n v="1845"/>
    <s v="Card"/>
    <n v="24339"/>
    <s v="Aug"/>
    <n v="2024"/>
    <s v="Q3"/>
    <n v="7.5804264760261308E-2"/>
    <n v="1281"/>
    <s v="High"/>
    <s v="Repeat"/>
    <s v="Above Avg"/>
    <s v="Profit"/>
    <n v="48"/>
  </r>
  <r>
    <n v="239"/>
    <d v="2024-08-26T00:00:00"/>
    <n v="1087"/>
    <s v="Customer_102"/>
    <s v="Corporate"/>
    <x v="3"/>
    <s v="Furniture"/>
    <s v="Product_B"/>
    <n v="3460"/>
    <n v="2"/>
    <n v="0.16"/>
    <n v="898"/>
    <s v="UPI"/>
    <n v="5812.8"/>
    <s v="Aug"/>
    <n v="2024"/>
    <s v="Q3"/>
    <n v="0.15448665015139004"/>
    <n v="1107.2"/>
    <s v="High"/>
    <s v="Repeat"/>
    <s v="Below Avg"/>
    <s v="Profit"/>
    <n v="300"/>
  </r>
  <r>
    <n v="240"/>
    <d v="2024-08-27T00:00:00"/>
    <n v="1085"/>
    <s v="Customer_108"/>
    <s v="Consumer"/>
    <x v="1"/>
    <s v="Furniture"/>
    <s v="Product_C"/>
    <n v="4062"/>
    <n v="1"/>
    <n v="0.18"/>
    <n v="630"/>
    <s v="Card"/>
    <n v="3330.84"/>
    <s v="Aug"/>
    <n v="2024"/>
    <s v="Q3"/>
    <n v="0.18914147782541341"/>
    <n v="731.16"/>
    <s v="Medium"/>
    <s v="Repeat"/>
    <s v="Below Avg"/>
    <s v="Profit"/>
    <n v="385"/>
  </r>
  <r>
    <n v="241"/>
    <d v="2024-08-28T00:00:00"/>
    <n v="1025"/>
    <s v="Customer_34"/>
    <s v="Corporate"/>
    <x v="0"/>
    <s v="Furniture"/>
    <s v="Product_C"/>
    <n v="3312"/>
    <n v="6"/>
    <n v="0.18"/>
    <n v="1603"/>
    <s v="UPI"/>
    <n v="16295.04"/>
    <s v="Aug"/>
    <n v="2024"/>
    <s v="Q3"/>
    <n v="9.8373492792898934E-2"/>
    <n v="3576.96"/>
    <s v="High"/>
    <s v="Repeat"/>
    <s v="Above Avg"/>
    <s v="Profit"/>
    <n v="119"/>
  </r>
  <r>
    <n v="242"/>
    <d v="2024-08-29T00:00:00"/>
    <n v="1017"/>
    <s v="Customer_127"/>
    <s v="Corporate"/>
    <x v="0"/>
    <s v="Electronics"/>
    <s v="Product_B"/>
    <n v="2687"/>
    <n v="2"/>
    <n v="0.15"/>
    <n v="564"/>
    <s v="UPI"/>
    <n v="4567.8999999999996"/>
    <s v="Aug"/>
    <n v="2024"/>
    <s v="Q3"/>
    <n v="0.12347030364062261"/>
    <n v="806.1"/>
    <s v="Medium"/>
    <s v="Repeat"/>
    <s v="Below Avg"/>
    <s v="Profit"/>
    <n v="336"/>
  </r>
  <r>
    <n v="243"/>
    <d v="2024-08-30T00:00:00"/>
    <n v="1058"/>
    <s v="Customer_134"/>
    <s v="Corporate"/>
    <x v="3"/>
    <s v="Furniture"/>
    <s v="Product_B"/>
    <n v="4904"/>
    <n v="7"/>
    <n v="0.23"/>
    <n v="984"/>
    <s v="Card"/>
    <n v="26432.560000000001"/>
    <s v="Aug"/>
    <n v="2024"/>
    <s v="Q3"/>
    <n v="3.7226814201878289E-2"/>
    <n v="7895.4400000000005"/>
    <s v="High"/>
    <s v="Repeat"/>
    <s v="Above Avg"/>
    <s v="Profit"/>
    <n v="38"/>
  </r>
  <r>
    <n v="244"/>
    <d v="2024-08-31T00:00:00"/>
    <n v="1066"/>
    <s v="Customer_103"/>
    <s v="Consumer"/>
    <x v="3"/>
    <s v="Electronics"/>
    <s v="Product_D"/>
    <n v="1799"/>
    <n v="2"/>
    <n v="0.05"/>
    <n v="241"/>
    <s v="Card"/>
    <n v="3418.1"/>
    <s v="Aug"/>
    <n v="2024"/>
    <s v="Q3"/>
    <n v="7.0507006816652534E-2"/>
    <n v="179.9"/>
    <s v="Medium"/>
    <s v="Repeat"/>
    <s v="Below Avg"/>
    <s v="Profit"/>
    <n v="380"/>
  </r>
  <r>
    <n v="245"/>
    <d v="2024-09-01T00:00:00"/>
    <n v="1045"/>
    <s v="Customer_87"/>
    <s v="Consumer"/>
    <x v="2"/>
    <s v="Clothing"/>
    <s v="Product_A"/>
    <n v="247"/>
    <n v="7"/>
    <n v="0.02"/>
    <n v="452"/>
    <s v="UPI"/>
    <n v="1694.42"/>
    <s v="Sep"/>
    <n v="2024"/>
    <s v="Q3"/>
    <n v="0.26675794667201758"/>
    <n v="34.58"/>
    <s v="Low"/>
    <s v="Repeat"/>
    <s v="Below Avg"/>
    <s v="Profit"/>
    <n v="447"/>
  </r>
  <r>
    <n v="246"/>
    <d v="2024-09-02T00:00:00"/>
    <n v="1010"/>
    <s v="Customer_181"/>
    <s v="Corporate"/>
    <x v="1"/>
    <s v="Furniture"/>
    <s v="Product_C"/>
    <n v="3111"/>
    <n v="1"/>
    <n v="0.04"/>
    <n v="120"/>
    <s v="Card"/>
    <n v="2986.56"/>
    <s v="Sep"/>
    <n v="2024"/>
    <s v="Q3"/>
    <n v="4.0180006428801027E-2"/>
    <n v="124.44"/>
    <s v="Medium"/>
    <s v="Repeat"/>
    <s v="Below Avg"/>
    <s v="Profit"/>
    <n v="394"/>
  </r>
  <r>
    <n v="247"/>
    <d v="2024-09-03T00:00:00"/>
    <n v="1008"/>
    <s v="Customer_114"/>
    <s v="Corporate"/>
    <x v="3"/>
    <s v="Electronics"/>
    <s v="Product_B"/>
    <n v="1629"/>
    <n v="6"/>
    <n v="0.17"/>
    <n v="1561"/>
    <s v="UPI"/>
    <n v="8112.4199999999901"/>
    <s v="Sep"/>
    <n v="2024"/>
    <s v="Q3"/>
    <n v="0.19242100384348959"/>
    <n v="1661.5800000000002"/>
    <s v="High"/>
    <s v="Repeat"/>
    <s v="Below Avg"/>
    <s v="Profit"/>
    <n v="247"/>
  </r>
  <r>
    <n v="248"/>
    <d v="2024-09-04T00:00:00"/>
    <n v="1096"/>
    <s v="Customer_149"/>
    <s v="Corporate"/>
    <x v="1"/>
    <s v="Electronics"/>
    <s v="Product_A"/>
    <n v="4607"/>
    <n v="8"/>
    <n v="7.0000000000000007E-2"/>
    <n v="746"/>
    <s v="UPI"/>
    <n v="34276.0799999999"/>
    <s v="Sep"/>
    <n v="2024"/>
    <s v="Q3"/>
    <n v="2.1764449143542731E-2"/>
    <n v="2579.92"/>
    <s v="High"/>
    <s v="Repeat"/>
    <s v="Above Avg"/>
    <s v="Profit"/>
    <n v="13"/>
  </r>
  <r>
    <n v="249"/>
    <d v="2024-09-05T00:00:00"/>
    <n v="1025"/>
    <s v="Customer_99"/>
    <s v="Corporate"/>
    <x v="2"/>
    <s v="Clothing"/>
    <s v="Product_A"/>
    <n v="217"/>
    <n v="4"/>
    <n v="0.22"/>
    <n v="-1"/>
    <s v="COD"/>
    <n v="677.04"/>
    <s v="Sep"/>
    <n v="2024"/>
    <s v="Q3"/>
    <n v="-1.4770176060498641E-3"/>
    <n v="190.96"/>
    <s v="Low"/>
    <s v="Repeat"/>
    <s v="Below Avg"/>
    <s v="Loss"/>
    <n v="485"/>
  </r>
  <r>
    <n v="250"/>
    <d v="2024-09-06T00:00:00"/>
    <n v="1099"/>
    <s v="Customer_157"/>
    <s v="Corporate"/>
    <x v="1"/>
    <s v="Electronics"/>
    <s v="Product_A"/>
    <n v="4979"/>
    <n v="2"/>
    <n v="0.02"/>
    <n v="1538"/>
    <s v="COD"/>
    <n v="9758.84"/>
    <s v="Sep"/>
    <n v="2024"/>
    <s v="Q3"/>
    <n v="0.15760069844366748"/>
    <n v="199.16"/>
    <s v="High"/>
    <s v="Repeat"/>
    <s v="Below Avg"/>
    <s v="Profit"/>
    <n v="208"/>
  </r>
  <r>
    <n v="251"/>
    <d v="2024-09-07T00:00:00"/>
    <n v="1067"/>
    <s v="Customer_2"/>
    <s v="Consumer"/>
    <x v="0"/>
    <s v="Furniture"/>
    <s v="Product_A"/>
    <n v="586"/>
    <n v="9"/>
    <n v="0.27"/>
    <n v="781"/>
    <s v="COD"/>
    <n v="3850.02"/>
    <s v="Sep"/>
    <n v="2024"/>
    <s v="Q3"/>
    <n v="0.20285608905927763"/>
    <n v="1423.98"/>
    <s v="Medium"/>
    <s v="Repeat"/>
    <s v="Below Avg"/>
    <s v="Profit"/>
    <n v="360"/>
  </r>
  <r>
    <n v="252"/>
    <d v="2024-09-08T00:00:00"/>
    <n v="1065"/>
    <s v="Customer_97"/>
    <s v="Consumer"/>
    <x v="2"/>
    <s v="Furniture"/>
    <s v="Product_C"/>
    <n v="1335"/>
    <n v="6"/>
    <n v="0.28999999999999998"/>
    <n v="598"/>
    <s v="Card"/>
    <n v="5687.0999999999904"/>
    <s v="Sep"/>
    <n v="2024"/>
    <s v="Q3"/>
    <n v="0.10515025232543845"/>
    <n v="2322.8999999999996"/>
    <s v="High"/>
    <s v="Repeat"/>
    <s v="Below Avg"/>
    <s v="Profit"/>
    <n v="304"/>
  </r>
  <r>
    <n v="253"/>
    <d v="2024-09-09T00:00:00"/>
    <n v="1007"/>
    <s v="Customer_26"/>
    <s v="Consumer"/>
    <x v="0"/>
    <s v="Electronics"/>
    <s v="Product_A"/>
    <n v="2947"/>
    <n v="2"/>
    <n v="0.24"/>
    <n v="48"/>
    <s v="COD"/>
    <n v="4479.4399999999996"/>
    <s v="Sep"/>
    <n v="2024"/>
    <s v="Q3"/>
    <n v="1.0715625167431644E-2"/>
    <n v="1414.56"/>
    <s v="Medium"/>
    <s v="Repeat"/>
    <s v="Below Avg"/>
    <s v="Profit"/>
    <n v="339"/>
  </r>
  <r>
    <n v="254"/>
    <d v="2024-09-10T00:00:00"/>
    <n v="1070"/>
    <s v="Customer_44"/>
    <s v="Corporate"/>
    <x v="1"/>
    <s v="Electronics"/>
    <s v="Product_C"/>
    <n v="1121"/>
    <n v="5"/>
    <n v="0.26"/>
    <n v="1771"/>
    <s v="COD"/>
    <n v="4147.7"/>
    <s v="Sep"/>
    <n v="2024"/>
    <s v="Q3"/>
    <n v="0.42698362948139934"/>
    <n v="1457.3"/>
    <s v="Medium"/>
    <s v="Repeat"/>
    <s v="Below Avg"/>
    <s v="Profit"/>
    <n v="347"/>
  </r>
  <r>
    <n v="255"/>
    <d v="2024-09-11T00:00:00"/>
    <n v="1099"/>
    <s v="Customer_18"/>
    <s v="Consumer"/>
    <x v="0"/>
    <s v="Electronics"/>
    <s v="Product_B"/>
    <n v="2319"/>
    <n v="7"/>
    <n v="0.11"/>
    <n v="-105"/>
    <s v="UPI"/>
    <n v="14447.37"/>
    <s v="Sep"/>
    <n v="2024"/>
    <s v="Q3"/>
    <n v="-7.2677587685509538E-3"/>
    <n v="1785.63"/>
    <s v="High"/>
    <s v="Repeat"/>
    <s v="Above Avg"/>
    <s v="Loss"/>
    <n v="143"/>
  </r>
  <r>
    <n v="256"/>
    <d v="2024-09-12T00:00:00"/>
    <n v="1097"/>
    <s v="Customer_98"/>
    <s v="Corporate"/>
    <x v="0"/>
    <s v="Clothing"/>
    <s v="Product_C"/>
    <n v="3265"/>
    <n v="3"/>
    <n v="0.05"/>
    <n v="1937"/>
    <s v="Card"/>
    <n v="9305.25"/>
    <s v="Sep"/>
    <n v="2024"/>
    <s v="Q3"/>
    <n v="0.20816205905268531"/>
    <n v="489.75"/>
    <s v="High"/>
    <s v="Repeat"/>
    <s v="Below Avg"/>
    <s v="Profit"/>
    <n v="225"/>
  </r>
  <r>
    <n v="257"/>
    <d v="2024-09-13T00:00:00"/>
    <n v="1039"/>
    <s v="Customer_30"/>
    <s v="Corporate"/>
    <x v="2"/>
    <s v="Furniture"/>
    <s v="Product_A"/>
    <n v="3199"/>
    <n v="1"/>
    <n v="0.06"/>
    <n v="1657"/>
    <s v="Card"/>
    <n v="3007.06"/>
    <s v="Sep"/>
    <n v="2024"/>
    <s v="Q3"/>
    <n v="0.55103656062732376"/>
    <n v="191.94"/>
    <s v="Medium"/>
    <s v="Repeat"/>
    <s v="Below Avg"/>
    <s v="Profit"/>
    <n v="392"/>
  </r>
  <r>
    <n v="258"/>
    <d v="2024-09-14T00:00:00"/>
    <n v="1082"/>
    <s v="Customer_108"/>
    <s v="Corporate"/>
    <x v="0"/>
    <s v="Electronics"/>
    <s v="Product_B"/>
    <n v="316"/>
    <n v="5"/>
    <n v="0.15"/>
    <n v="897"/>
    <s v="UPI"/>
    <n v="1343"/>
    <s v="Sep"/>
    <n v="2024"/>
    <s v="Q3"/>
    <n v="0.66790766939687263"/>
    <n v="237"/>
    <s v="Low"/>
    <s v="Repeat"/>
    <s v="Below Avg"/>
    <s v="Profit"/>
    <n v="465"/>
  </r>
  <r>
    <n v="259"/>
    <d v="2024-09-15T00:00:00"/>
    <n v="1092"/>
    <s v="Customer_23"/>
    <s v="Consumer"/>
    <x v="0"/>
    <s v="Furniture"/>
    <s v="Product_C"/>
    <n v="4046"/>
    <n v="5"/>
    <n v="0.2"/>
    <n v="-246"/>
    <s v="COD"/>
    <n v="16184"/>
    <s v="Sep"/>
    <n v="2024"/>
    <s v="Q3"/>
    <n v="-1.5200197726149283E-2"/>
    <n v="4046"/>
    <s v="High"/>
    <s v="Repeat"/>
    <s v="Above Avg"/>
    <s v="Loss"/>
    <n v="122"/>
  </r>
  <r>
    <n v="260"/>
    <d v="2024-09-16T00:00:00"/>
    <n v="1038"/>
    <s v="Customer_48"/>
    <s v="Corporate"/>
    <x v="2"/>
    <s v="Clothing"/>
    <s v="Product_C"/>
    <n v="2805"/>
    <n v="7"/>
    <n v="0.17"/>
    <n v="1777"/>
    <s v="Card"/>
    <n v="16297.05"/>
    <s v="Sep"/>
    <n v="2024"/>
    <s v="Q3"/>
    <n v="0.10903813880426212"/>
    <n v="3337.9500000000003"/>
    <s v="High"/>
    <s v="Repeat"/>
    <s v="Above Avg"/>
    <s v="Profit"/>
    <n v="118"/>
  </r>
  <r>
    <n v="261"/>
    <d v="2024-09-17T00:00:00"/>
    <n v="1005"/>
    <s v="Customer_183"/>
    <s v="Corporate"/>
    <x v="0"/>
    <s v="Clothing"/>
    <s v="Product_B"/>
    <n v="1983"/>
    <n v="6"/>
    <n v="0.03"/>
    <n v="722"/>
    <s v="UPI"/>
    <n v="11541.06"/>
    <s v="Sep"/>
    <n v="2024"/>
    <s v="Q3"/>
    <n v="6.2559244991361285E-2"/>
    <n v="356.94"/>
    <s v="High"/>
    <s v="Repeat"/>
    <s v="Above Avg"/>
    <s v="Profit"/>
    <n v="180"/>
  </r>
  <r>
    <n v="262"/>
    <d v="2024-09-18T00:00:00"/>
    <n v="1009"/>
    <s v="Customer_127"/>
    <s v="Corporate"/>
    <x v="1"/>
    <s v="Furniture"/>
    <s v="Product_C"/>
    <n v="1606"/>
    <n v="1"/>
    <n v="0.22"/>
    <n v="1195"/>
    <s v="COD"/>
    <n v="1252.68"/>
    <s v="Sep"/>
    <n v="2024"/>
    <s v="Q3"/>
    <n v="0.95395472107800872"/>
    <n v="353.32"/>
    <s v="Low"/>
    <s v="Repeat"/>
    <s v="Below Avg"/>
    <s v="Profit"/>
    <n v="468"/>
  </r>
  <r>
    <n v="263"/>
    <d v="2024-09-19T00:00:00"/>
    <n v="1040"/>
    <s v="Customer_23"/>
    <s v="Corporate"/>
    <x v="0"/>
    <s v="Clothing"/>
    <s v="Product_D"/>
    <n v="4264"/>
    <n v="1"/>
    <n v="0.24"/>
    <n v="-20"/>
    <s v="UPI"/>
    <n v="3240.64"/>
    <s v="Sep"/>
    <n v="2024"/>
    <s v="Q3"/>
    <n v="-6.1716204206576485E-3"/>
    <n v="1023.36"/>
    <s v="Medium"/>
    <s v="Repeat"/>
    <s v="Below Avg"/>
    <s v="Loss"/>
    <n v="386"/>
  </r>
  <r>
    <n v="264"/>
    <d v="2024-09-20T00:00:00"/>
    <n v="1068"/>
    <s v="Customer_40"/>
    <s v="Corporate"/>
    <x v="1"/>
    <s v="Furniture"/>
    <s v="Product_A"/>
    <n v="2397"/>
    <n v="7"/>
    <n v="0.01"/>
    <n v="-217"/>
    <s v="COD"/>
    <n v="16611.21"/>
    <s v="Sep"/>
    <n v="2024"/>
    <s v="Q3"/>
    <n v="-1.3063467381364754E-2"/>
    <n v="167.79"/>
    <s v="High"/>
    <s v="Repeat"/>
    <s v="Above Avg"/>
    <s v="Loss"/>
    <n v="113"/>
  </r>
  <r>
    <n v="265"/>
    <d v="2024-09-21T00:00:00"/>
    <n v="1087"/>
    <s v="Customer_64"/>
    <s v="Corporate"/>
    <x v="2"/>
    <s v="Furniture"/>
    <s v="Product_B"/>
    <n v="1811"/>
    <n v="2"/>
    <n v="0.14000000000000001"/>
    <n v="1730"/>
    <s v="UPI"/>
    <n v="3114.92"/>
    <s v="Sep"/>
    <n v="2024"/>
    <s v="Q3"/>
    <n v="0.55539147072798012"/>
    <n v="507.08000000000004"/>
    <s v="Medium"/>
    <s v="Repeat"/>
    <s v="Below Avg"/>
    <s v="Profit"/>
    <n v="389"/>
  </r>
  <r>
    <n v="266"/>
    <d v="2024-09-22T00:00:00"/>
    <n v="1021"/>
    <s v="Customer_72"/>
    <s v="Corporate"/>
    <x v="2"/>
    <s v="Electronics"/>
    <s v="Product_A"/>
    <n v="1107"/>
    <n v="9"/>
    <n v="0.13"/>
    <n v="655"/>
    <s v="Card"/>
    <n v="8667.81"/>
    <s v="Sep"/>
    <n v="2024"/>
    <s v="Q3"/>
    <n v="7.5566954051830865E-2"/>
    <n v="1295.19"/>
    <s v="High"/>
    <s v="Repeat"/>
    <s v="Below Avg"/>
    <s v="Profit"/>
    <n v="235"/>
  </r>
  <r>
    <n v="267"/>
    <d v="2024-09-23T00:00:00"/>
    <n v="1089"/>
    <s v="Customer_142"/>
    <s v="Consumer"/>
    <x v="0"/>
    <s v="Electronics"/>
    <s v="Product_D"/>
    <n v="2696"/>
    <n v="9"/>
    <n v="0.02"/>
    <n v="445"/>
    <s v="Card"/>
    <n v="23778.720000000001"/>
    <s v="Sep"/>
    <n v="2024"/>
    <s v="Q3"/>
    <n v="1.8714211698527085E-2"/>
    <n v="485.28000000000003"/>
    <s v="High"/>
    <s v="Repeat"/>
    <s v="Above Avg"/>
    <s v="Profit"/>
    <n v="53"/>
  </r>
  <r>
    <n v="268"/>
    <d v="2024-09-24T00:00:00"/>
    <n v="1050"/>
    <s v="Customer_124"/>
    <s v="Corporate"/>
    <x v="2"/>
    <s v="Furniture"/>
    <s v="Product_B"/>
    <n v="3486"/>
    <n v="4"/>
    <n v="0.05"/>
    <n v="1943"/>
    <s v="COD"/>
    <n v="13246.8"/>
    <s v="Sep"/>
    <n v="2024"/>
    <s v="Q3"/>
    <n v="0.14667693329709819"/>
    <n v="697.2"/>
    <s v="High"/>
    <s v="Repeat"/>
    <s v="Above Avg"/>
    <s v="Profit"/>
    <n v="158"/>
  </r>
  <r>
    <n v="269"/>
    <d v="2024-09-25T00:00:00"/>
    <n v="1036"/>
    <s v="Customer_110"/>
    <s v="Corporate"/>
    <x v="2"/>
    <s v="Electronics"/>
    <s v="Product_A"/>
    <n v="1882"/>
    <n v="3"/>
    <n v="0.24"/>
    <n v="1096"/>
    <s v="COD"/>
    <n v="4290.96"/>
    <s v="Sep"/>
    <n v="2024"/>
    <s v="Q3"/>
    <n v="0.25542069839849357"/>
    <n v="1355.04"/>
    <s v="Medium"/>
    <s v="Repeat"/>
    <s v="Below Avg"/>
    <s v="Profit"/>
    <n v="342"/>
  </r>
  <r>
    <n v="270"/>
    <d v="2024-09-26T00:00:00"/>
    <n v="1044"/>
    <s v="Customer_78"/>
    <s v="Corporate"/>
    <x v="3"/>
    <s v="Furniture"/>
    <s v="Product_C"/>
    <n v="4244"/>
    <n v="8"/>
    <n v="0.18"/>
    <n v="1997"/>
    <s v="UPI"/>
    <n v="27840.639999999999"/>
    <s v="Sep"/>
    <n v="2024"/>
    <s v="Q3"/>
    <n v="7.1729672881083201E-2"/>
    <n v="6111.36"/>
    <s v="High"/>
    <s v="Repeat"/>
    <s v="Above Avg"/>
    <s v="Profit"/>
    <n v="33"/>
  </r>
  <r>
    <n v="271"/>
    <d v="2024-09-27T00:00:00"/>
    <n v="1092"/>
    <s v="Customer_2"/>
    <s v="Consumer"/>
    <x v="1"/>
    <s v="Clothing"/>
    <s v="Product_D"/>
    <n v="2461"/>
    <n v="4"/>
    <n v="7.0000000000000007E-2"/>
    <n v="1327"/>
    <s v="Card"/>
    <n v="9154.92"/>
    <s v="Sep"/>
    <n v="2024"/>
    <s v="Q3"/>
    <n v="0.14494938240858468"/>
    <n v="689.08"/>
    <s v="High"/>
    <s v="Repeat"/>
    <s v="Below Avg"/>
    <s v="Profit"/>
    <n v="228"/>
  </r>
  <r>
    <n v="272"/>
    <d v="2024-09-28T00:00:00"/>
    <n v="1099"/>
    <s v="Customer_122"/>
    <s v="Corporate"/>
    <x v="0"/>
    <s v="Electronics"/>
    <s v="Product_B"/>
    <n v="4549"/>
    <n v="3"/>
    <n v="0.14000000000000001"/>
    <n v="1353"/>
    <s v="COD"/>
    <n v="11736.42"/>
    <s v="Sep"/>
    <n v="2024"/>
    <s v="Q3"/>
    <n v="0.11528217292837169"/>
    <n v="1910.5800000000002"/>
    <s v="High"/>
    <s v="Repeat"/>
    <s v="Above Avg"/>
    <s v="Profit"/>
    <n v="176"/>
  </r>
  <r>
    <n v="273"/>
    <d v="2024-09-29T00:00:00"/>
    <n v="1083"/>
    <s v="Customer_4"/>
    <s v="Corporate"/>
    <x v="0"/>
    <s v="Furniture"/>
    <s v="Product_D"/>
    <n v="1134"/>
    <n v="3"/>
    <n v="0.26"/>
    <n v="1911"/>
    <s v="UPI"/>
    <n v="2517.48"/>
    <s v="Sep"/>
    <n v="2024"/>
    <s v="Q3"/>
    <n v="0.75909242575909242"/>
    <n v="884.52"/>
    <s v="Medium"/>
    <s v="Repeat"/>
    <s v="Below Avg"/>
    <s v="Profit"/>
    <n v="409"/>
  </r>
  <r>
    <n v="274"/>
    <d v="2024-09-30T00:00:00"/>
    <n v="1081"/>
    <s v="Customer_100"/>
    <s v="Consumer"/>
    <x v="2"/>
    <s v="Electronics"/>
    <s v="Product_C"/>
    <n v="3921"/>
    <n v="3"/>
    <n v="0.03"/>
    <n v="-471"/>
    <s v="COD"/>
    <n v="11410.11"/>
    <s v="Sep"/>
    <n v="2024"/>
    <s v="Q3"/>
    <n v="-4.1279181357585508E-2"/>
    <n v="352.89"/>
    <s v="High"/>
    <s v="Repeat"/>
    <s v="Above Avg"/>
    <s v="Loss"/>
    <n v="182"/>
  </r>
  <r>
    <n v="275"/>
    <d v="2024-10-01T00:00:00"/>
    <n v="1061"/>
    <s v="Customer_9"/>
    <s v="Consumer"/>
    <x v="3"/>
    <s v="Electronics"/>
    <s v="Product_C"/>
    <n v="3876"/>
    <n v="1"/>
    <n v="0.28999999999999998"/>
    <n v="71"/>
    <s v="UPI"/>
    <n v="2751.96"/>
    <s v="Oct"/>
    <n v="2024"/>
    <s v="Q4"/>
    <n v="2.5799793601651185E-2"/>
    <n v="1124.04"/>
    <s v="Medium"/>
    <s v="Repeat"/>
    <s v="Below Avg"/>
    <s v="Profit"/>
    <n v="401"/>
  </r>
  <r>
    <n v="276"/>
    <d v="2024-10-02T00:00:00"/>
    <n v="1014"/>
    <s v="Customer_16"/>
    <s v="Corporate"/>
    <x v="2"/>
    <s v="Furniture"/>
    <s v="Product_B"/>
    <n v="4808"/>
    <n v="5"/>
    <n v="0.04"/>
    <n v="860"/>
    <s v="COD"/>
    <n v="23078.3999999999"/>
    <s v="Oct"/>
    <n v="2024"/>
    <s v="Q4"/>
    <n v="3.7264281752634659E-2"/>
    <n v="961.6"/>
    <s v="High"/>
    <s v="Repeat"/>
    <s v="Above Avg"/>
    <s v="Profit"/>
    <n v="58"/>
  </r>
  <r>
    <n v="277"/>
    <d v="2024-10-03T00:00:00"/>
    <n v="1078"/>
    <s v="Customer_96"/>
    <s v="Consumer"/>
    <x v="0"/>
    <s v="Furniture"/>
    <s v="Product_B"/>
    <n v="1839"/>
    <n v="2"/>
    <n v="0.09"/>
    <n v="1136"/>
    <s v="COD"/>
    <n v="3346.98"/>
    <s v="Oct"/>
    <n v="2024"/>
    <s v="Q4"/>
    <n v="0.33941045360294952"/>
    <n v="331.02"/>
    <s v="Medium"/>
    <s v="Repeat"/>
    <s v="Below Avg"/>
    <s v="Profit"/>
    <n v="384"/>
  </r>
  <r>
    <n v="278"/>
    <d v="2024-10-04T00:00:00"/>
    <n v="1023"/>
    <s v="Customer_160"/>
    <s v="Consumer"/>
    <x v="2"/>
    <s v="Furniture"/>
    <s v="Product_D"/>
    <n v="535"/>
    <n v="7"/>
    <n v="0.05"/>
    <n v="-213"/>
    <s v="COD"/>
    <n v="3557.75"/>
    <s v="Oct"/>
    <n v="2024"/>
    <s v="Q4"/>
    <n v="-5.9869299416766213E-2"/>
    <n v="187.25"/>
    <s v="Medium"/>
    <s v="Repeat"/>
    <s v="Below Avg"/>
    <s v="Loss"/>
    <n v="374"/>
  </r>
  <r>
    <n v="279"/>
    <d v="2024-10-05T00:00:00"/>
    <n v="1062"/>
    <s v="Customer_27"/>
    <s v="Corporate"/>
    <x v="3"/>
    <s v="Electronics"/>
    <s v="Product_B"/>
    <n v="592"/>
    <n v="4"/>
    <n v="0.14000000000000001"/>
    <n v="549"/>
    <s v="COD"/>
    <n v="2036.48"/>
    <s v="Oct"/>
    <n v="2024"/>
    <s v="Q4"/>
    <n v="0.26958280955373981"/>
    <n v="331.52000000000004"/>
    <s v="Medium"/>
    <s v="Repeat"/>
    <s v="Below Avg"/>
    <s v="Profit"/>
    <n v="428"/>
  </r>
  <r>
    <n v="280"/>
    <d v="2024-10-06T00:00:00"/>
    <n v="1028"/>
    <s v="Customer_15"/>
    <s v="Consumer"/>
    <x v="2"/>
    <s v="Electronics"/>
    <s v="Product_A"/>
    <n v="4041"/>
    <n v="2"/>
    <n v="0.09"/>
    <n v="-358"/>
    <s v="UPI"/>
    <n v="7354.62"/>
    <s v="Oct"/>
    <n v="2024"/>
    <s v="Q4"/>
    <n v="-4.8676886093367164E-2"/>
    <n v="727.38"/>
    <s v="High"/>
    <s v="Repeat"/>
    <s v="Below Avg"/>
    <s v="Loss"/>
    <n v="267"/>
  </r>
  <r>
    <n v="281"/>
    <d v="2024-10-07T00:00:00"/>
    <n v="1080"/>
    <s v="Customer_68"/>
    <s v="Consumer"/>
    <x v="3"/>
    <s v="Furniture"/>
    <s v="Product_D"/>
    <n v="2216"/>
    <n v="8"/>
    <n v="0.3"/>
    <n v="618"/>
    <s v="COD"/>
    <n v="12409.5999999999"/>
    <s v="Oct"/>
    <n v="2024"/>
    <s v="Q4"/>
    <n v="4.9800154718927681E-2"/>
    <n v="5318.4"/>
    <s v="High"/>
    <s v="Repeat"/>
    <s v="Above Avg"/>
    <s v="Profit"/>
    <n v="164"/>
  </r>
  <r>
    <n v="282"/>
    <d v="2024-10-08T00:00:00"/>
    <n v="1024"/>
    <s v="Customer_25"/>
    <s v="Consumer"/>
    <x v="3"/>
    <s v="Furniture"/>
    <s v="Product_A"/>
    <n v="2168"/>
    <n v="8"/>
    <n v="0"/>
    <n v="853"/>
    <s v="Card"/>
    <n v="17344"/>
    <s v="Oct"/>
    <n v="2024"/>
    <s v="Q4"/>
    <n v="4.9181273062730631E-2"/>
    <n v="0"/>
    <s v="High"/>
    <s v="Repeat"/>
    <s v="Above Avg"/>
    <s v="Profit"/>
    <n v="101"/>
  </r>
  <r>
    <n v="283"/>
    <d v="2024-10-09T00:00:00"/>
    <n v="1015"/>
    <s v="Customer_15"/>
    <s v="Consumer"/>
    <x v="2"/>
    <s v="Clothing"/>
    <s v="Product_D"/>
    <n v="1828"/>
    <n v="1"/>
    <n v="0.1"/>
    <n v="892"/>
    <s v="COD"/>
    <n v="1645.2"/>
    <s v="Oct"/>
    <n v="2024"/>
    <s v="Q4"/>
    <n v="0.54218332117675661"/>
    <n v="182.8"/>
    <s v="Low"/>
    <s v="Repeat"/>
    <s v="Below Avg"/>
    <s v="Profit"/>
    <n v="450"/>
  </r>
  <r>
    <n v="284"/>
    <d v="2024-10-10T00:00:00"/>
    <n v="1049"/>
    <s v="Customer_12"/>
    <s v="Corporate"/>
    <x v="0"/>
    <s v="Electronics"/>
    <s v="Product_B"/>
    <n v="2743"/>
    <n v="5"/>
    <n v="0.18"/>
    <n v="-288"/>
    <s v="COD"/>
    <n v="11246.3"/>
    <s v="Oct"/>
    <n v="2024"/>
    <s v="Q4"/>
    <n v="-2.5608422325564855E-2"/>
    <n v="2468.6999999999998"/>
    <s v="High"/>
    <s v="Repeat"/>
    <s v="Above Avg"/>
    <s v="Loss"/>
    <n v="187"/>
  </r>
  <r>
    <n v="285"/>
    <d v="2024-10-11T00:00:00"/>
    <n v="1080"/>
    <s v="Customer_71"/>
    <s v="Corporate"/>
    <x v="3"/>
    <s v="Clothing"/>
    <s v="Product_C"/>
    <n v="3747"/>
    <n v="2"/>
    <n v="0.1"/>
    <n v="-334"/>
    <s v="Card"/>
    <n v="6744.6"/>
    <s v="Oct"/>
    <n v="2024"/>
    <s v="Q4"/>
    <n v="-4.9521098360169616E-2"/>
    <n v="749.40000000000009"/>
    <s v="High"/>
    <s v="Repeat"/>
    <s v="Below Avg"/>
    <s v="Loss"/>
    <n v="281"/>
  </r>
  <r>
    <n v="286"/>
    <d v="2024-10-12T00:00:00"/>
    <n v="1084"/>
    <s v="Customer_152"/>
    <s v="Corporate"/>
    <x v="0"/>
    <s v="Electronics"/>
    <s v="Product_C"/>
    <n v="3612"/>
    <n v="9"/>
    <n v="0.14000000000000001"/>
    <n v="74"/>
    <s v="COD"/>
    <n v="27956.880000000001"/>
    <s v="Oct"/>
    <n v="2024"/>
    <s v="Q4"/>
    <n v="2.6469334203244425E-3"/>
    <n v="4551.1200000000008"/>
    <s v="High"/>
    <s v="Repeat"/>
    <s v="Above Avg"/>
    <s v="Profit"/>
    <n v="31"/>
  </r>
  <r>
    <n v="287"/>
    <d v="2024-10-13T00:00:00"/>
    <n v="1090"/>
    <s v="Customer_70"/>
    <s v="Corporate"/>
    <x v="3"/>
    <s v="Electronics"/>
    <s v="Product_D"/>
    <n v="1459"/>
    <n v="2"/>
    <n v="0.13"/>
    <n v="-190"/>
    <s v="UPI"/>
    <n v="2538.66"/>
    <s v="Oct"/>
    <n v="2024"/>
    <s v="Q4"/>
    <n v="-7.4842633515319112E-2"/>
    <n v="379.34000000000003"/>
    <s v="Medium"/>
    <s v="Repeat"/>
    <s v="Below Avg"/>
    <s v="Loss"/>
    <n v="408"/>
  </r>
  <r>
    <n v="288"/>
    <d v="2024-10-14T00:00:00"/>
    <n v="1004"/>
    <s v="Customer_112"/>
    <s v="Corporate"/>
    <x v="0"/>
    <s v="Electronics"/>
    <s v="Product_A"/>
    <n v="2607"/>
    <n v="7"/>
    <n v="0.03"/>
    <n v="431"/>
    <s v="UPI"/>
    <n v="17701.53"/>
    <s v="Oct"/>
    <n v="2024"/>
    <s v="Q4"/>
    <n v="2.4348177812878322E-2"/>
    <n v="547.47"/>
    <s v="High"/>
    <s v="Repeat"/>
    <s v="Above Avg"/>
    <s v="Profit"/>
    <n v="93"/>
  </r>
  <r>
    <n v="289"/>
    <d v="2024-10-15T00:00:00"/>
    <n v="1021"/>
    <s v="Customer_169"/>
    <s v="Consumer"/>
    <x v="0"/>
    <s v="Furniture"/>
    <s v="Product_C"/>
    <n v="3261"/>
    <n v="2"/>
    <n v="0.19"/>
    <n v="1891"/>
    <s v="COD"/>
    <n v="5282.82"/>
    <s v="Oct"/>
    <n v="2024"/>
    <s v="Q4"/>
    <n v="0.35795276007889726"/>
    <n v="1239.18"/>
    <s v="High"/>
    <s v="Repeat"/>
    <s v="Below Avg"/>
    <s v="Profit"/>
    <n v="317"/>
  </r>
  <r>
    <n v="290"/>
    <d v="2024-10-16T00:00:00"/>
    <n v="1032"/>
    <s v="Customer_60"/>
    <s v="Corporate"/>
    <x v="2"/>
    <s v="Furniture"/>
    <s v="Product_D"/>
    <n v="3495"/>
    <n v="2"/>
    <n v="0.25"/>
    <n v="1055"/>
    <s v="UPI"/>
    <n v="5242.5"/>
    <s v="Oct"/>
    <n v="2024"/>
    <s v="Q4"/>
    <n v="0.20123986647591799"/>
    <n v="1747.5"/>
    <s v="High"/>
    <s v="Repeat"/>
    <s v="Below Avg"/>
    <s v="Profit"/>
    <n v="318"/>
  </r>
  <r>
    <n v="291"/>
    <d v="2024-10-17T00:00:00"/>
    <n v="1039"/>
    <s v="Customer_31"/>
    <s v="Consumer"/>
    <x v="2"/>
    <s v="Furniture"/>
    <s v="Product_D"/>
    <n v="3159"/>
    <n v="1"/>
    <n v="0.16"/>
    <n v="528"/>
    <s v="COD"/>
    <n v="2653.56"/>
    <s v="Oct"/>
    <n v="2024"/>
    <s v="Q4"/>
    <n v="0.19897797675575454"/>
    <n v="505.44"/>
    <s v="Medium"/>
    <s v="Repeat"/>
    <s v="Below Avg"/>
    <s v="Profit"/>
    <n v="406"/>
  </r>
  <r>
    <n v="292"/>
    <d v="2024-10-18T00:00:00"/>
    <n v="1001"/>
    <s v="Customer_149"/>
    <s v="Corporate"/>
    <x v="0"/>
    <s v="Furniture"/>
    <s v="Product_C"/>
    <n v="2792"/>
    <n v="1"/>
    <n v="0.04"/>
    <n v="1424"/>
    <s v="Card"/>
    <n v="2680.3199999999902"/>
    <s v="Oct"/>
    <n v="2024"/>
    <s v="Q4"/>
    <n v="0.53127984718242793"/>
    <n v="111.68"/>
    <s v="Medium"/>
    <s v="Repeat"/>
    <s v="Below Avg"/>
    <s v="Profit"/>
    <n v="404"/>
  </r>
  <r>
    <n v="293"/>
    <d v="2024-10-19T00:00:00"/>
    <n v="1098"/>
    <s v="Customer_60"/>
    <s v="Corporate"/>
    <x v="2"/>
    <s v="Furniture"/>
    <s v="Product_C"/>
    <n v="462"/>
    <n v="9"/>
    <n v="0.14000000000000001"/>
    <n v="448"/>
    <s v="UPI"/>
    <n v="3575.88"/>
    <s v="Oct"/>
    <n v="2024"/>
    <s v="Q4"/>
    <n v="0.12528384621407876"/>
    <n v="582.12"/>
    <s v="Medium"/>
    <s v="Repeat"/>
    <s v="Below Avg"/>
    <s v="Profit"/>
    <n v="372"/>
  </r>
  <r>
    <n v="294"/>
    <d v="2024-10-20T00:00:00"/>
    <n v="1082"/>
    <s v="Customer_75"/>
    <s v="Corporate"/>
    <x v="3"/>
    <s v="Electronics"/>
    <s v="Product_A"/>
    <n v="373"/>
    <n v="2"/>
    <n v="0"/>
    <n v="509"/>
    <s v="COD"/>
    <n v="746"/>
    <s v="Oct"/>
    <n v="2024"/>
    <s v="Q4"/>
    <n v="0.68230563002680966"/>
    <n v="0"/>
    <s v="Low"/>
    <s v="Repeat"/>
    <s v="Below Avg"/>
    <s v="Profit"/>
    <n v="483"/>
  </r>
  <r>
    <n v="295"/>
    <d v="2024-10-21T00:00:00"/>
    <n v="1090"/>
    <s v="Customer_14"/>
    <s v="Corporate"/>
    <x v="0"/>
    <s v="Clothing"/>
    <s v="Product_B"/>
    <n v="4106"/>
    <n v="3"/>
    <n v="0.27"/>
    <n v="1883"/>
    <s v="UPI"/>
    <n v="8992.14"/>
    <s v="Oct"/>
    <n v="2024"/>
    <s v="Q4"/>
    <n v="0.20940510267856152"/>
    <n v="3325.86"/>
    <s v="High"/>
    <s v="Repeat"/>
    <s v="Below Avg"/>
    <s v="Profit"/>
    <n v="231"/>
  </r>
  <r>
    <n v="296"/>
    <d v="2024-10-22T00:00:00"/>
    <n v="1035"/>
    <s v="Customer_102"/>
    <s v="Corporate"/>
    <x v="1"/>
    <s v="Clothing"/>
    <s v="Product_A"/>
    <n v="3188"/>
    <n v="9"/>
    <n v="7.0000000000000007E-2"/>
    <n v="956"/>
    <s v="COD"/>
    <n v="26683.559999999899"/>
    <s v="Oct"/>
    <n v="2024"/>
    <s v="Q4"/>
    <n v="3.5827303403294146E-2"/>
    <n v="2008.4400000000003"/>
    <s v="High"/>
    <s v="Repeat"/>
    <s v="Above Avg"/>
    <s v="Profit"/>
    <n v="35"/>
  </r>
  <r>
    <n v="297"/>
    <d v="2024-10-23T00:00:00"/>
    <n v="1058"/>
    <s v="Customer_82"/>
    <s v="Consumer"/>
    <x v="0"/>
    <s v="Clothing"/>
    <s v="Product_D"/>
    <n v="3427"/>
    <n v="6"/>
    <n v="0.27"/>
    <n v="803"/>
    <s v="Card"/>
    <n v="15010.26"/>
    <s v="Oct"/>
    <n v="2024"/>
    <s v="Q4"/>
    <n v="5.3496741562104856E-2"/>
    <n v="5551.7400000000007"/>
    <s v="High"/>
    <s v="Repeat"/>
    <s v="Above Avg"/>
    <s v="Profit"/>
    <n v="138"/>
  </r>
  <r>
    <n v="298"/>
    <d v="2024-10-24T00:00:00"/>
    <n v="1038"/>
    <s v="Customer_14"/>
    <s v="Consumer"/>
    <x v="3"/>
    <s v="Clothing"/>
    <s v="Product_D"/>
    <n v="227"/>
    <n v="6"/>
    <n v="0.18"/>
    <n v="1807"/>
    <s v="COD"/>
    <n v="1116.8399999999999"/>
    <s v="Oct"/>
    <n v="2024"/>
    <s v="Q4"/>
    <n v="1.6179578095340426"/>
    <n v="245.16"/>
    <s v="Low"/>
    <s v="Repeat"/>
    <s v="Below Avg"/>
    <s v="Profit"/>
    <n v="475"/>
  </r>
  <r>
    <n v="299"/>
    <d v="2024-10-25T00:00:00"/>
    <n v="1001"/>
    <s v="Customer_152"/>
    <s v="Corporate"/>
    <x v="3"/>
    <s v="Furniture"/>
    <s v="Product_B"/>
    <n v="3346"/>
    <n v="9"/>
    <n v="0.28999999999999998"/>
    <n v="784"/>
    <s v="UPI"/>
    <n v="21380.94"/>
    <s v="Oct"/>
    <n v="2024"/>
    <s v="Q4"/>
    <n v="3.6668172680901778E-2"/>
    <n v="8733.06"/>
    <s v="High"/>
    <s v="Repeat"/>
    <s v="Above Avg"/>
    <s v="Profit"/>
    <n v="72"/>
  </r>
  <r>
    <n v="300"/>
    <d v="2024-10-26T00:00:00"/>
    <n v="1052"/>
    <s v="Customer_25"/>
    <s v="Corporate"/>
    <x v="3"/>
    <s v="Clothing"/>
    <s v="Product_A"/>
    <n v="1300"/>
    <n v="7"/>
    <n v="0.25"/>
    <n v="-190"/>
    <s v="UPI"/>
    <n v="6825"/>
    <s v="Oct"/>
    <n v="2024"/>
    <s v="Q4"/>
    <n v="-2.7838827838827841E-2"/>
    <n v="2275"/>
    <s v="High"/>
    <s v="Repeat"/>
    <s v="Below Avg"/>
    <s v="Loss"/>
    <n v="276"/>
  </r>
  <r>
    <n v="301"/>
    <d v="2024-10-27T00:00:00"/>
    <n v="1017"/>
    <s v="Customer_109"/>
    <s v="Corporate"/>
    <x v="3"/>
    <s v="Clothing"/>
    <s v="Product_A"/>
    <n v="3165"/>
    <n v="3"/>
    <n v="0"/>
    <n v="286"/>
    <s v="Card"/>
    <n v="9495"/>
    <s v="Oct"/>
    <n v="2024"/>
    <s v="Q4"/>
    <n v="3.0121116377040548E-2"/>
    <n v="0"/>
    <s v="High"/>
    <s v="Repeat"/>
    <s v="Below Avg"/>
    <s v="Profit"/>
    <n v="216"/>
  </r>
  <r>
    <n v="302"/>
    <d v="2024-10-28T00:00:00"/>
    <n v="1045"/>
    <s v="Customer_108"/>
    <s v="Corporate"/>
    <x v="0"/>
    <s v="Clothing"/>
    <s v="Product_A"/>
    <n v="4359"/>
    <n v="9"/>
    <n v="0"/>
    <n v="198"/>
    <s v="Card"/>
    <n v="39231"/>
    <s v="Oct"/>
    <n v="2024"/>
    <s v="Q4"/>
    <n v="5.0470291351227348E-3"/>
    <n v="0"/>
    <s v="High"/>
    <s v="Repeat"/>
    <s v="Above Avg"/>
    <s v="Profit"/>
    <n v="3"/>
  </r>
  <r>
    <n v="303"/>
    <d v="2024-10-29T00:00:00"/>
    <n v="1022"/>
    <s v="Customer_156"/>
    <s v="Consumer"/>
    <x v="2"/>
    <s v="Electronics"/>
    <s v="Product_C"/>
    <n v="4615"/>
    <n v="4"/>
    <n v="0.22"/>
    <n v="247"/>
    <s v="COD"/>
    <n v="14398.8"/>
    <s v="Oct"/>
    <n v="2024"/>
    <s v="Q4"/>
    <n v="1.7154207295052366E-2"/>
    <n v="4061.2"/>
    <s v="High"/>
    <s v="Repeat"/>
    <s v="Above Avg"/>
    <s v="Profit"/>
    <n v="145"/>
  </r>
  <r>
    <n v="304"/>
    <d v="2024-10-30T00:00:00"/>
    <n v="1053"/>
    <s v="Customer_88"/>
    <s v="Consumer"/>
    <x v="3"/>
    <s v="Clothing"/>
    <s v="Product_D"/>
    <n v="3662"/>
    <n v="3"/>
    <n v="0.16"/>
    <n v="1555"/>
    <s v="COD"/>
    <n v="9228.24"/>
    <s v="Oct"/>
    <n v="2024"/>
    <s v="Q4"/>
    <n v="0.16850450356731078"/>
    <n v="1757.76"/>
    <s v="High"/>
    <s v="New"/>
    <s v="Below Avg"/>
    <s v="Profit"/>
    <n v="226"/>
  </r>
  <r>
    <n v="305"/>
    <d v="2024-10-31T00:00:00"/>
    <n v="1089"/>
    <s v="Customer_18"/>
    <s v="Corporate"/>
    <x v="0"/>
    <s v="Electronics"/>
    <s v="Product_A"/>
    <n v="170"/>
    <n v="9"/>
    <n v="0.23"/>
    <n v="291"/>
    <s v="COD"/>
    <n v="1178.0999999999999"/>
    <s v="Oct"/>
    <n v="2024"/>
    <s v="Q4"/>
    <n v="0.24700789406671761"/>
    <n v="351.90000000000003"/>
    <s v="Low"/>
    <s v="Repeat"/>
    <s v="Below Avg"/>
    <s v="Profit"/>
    <n v="470"/>
  </r>
  <r>
    <n v="306"/>
    <d v="2024-11-01T00:00:00"/>
    <n v="1074"/>
    <s v="Customer_57"/>
    <s v="Corporate"/>
    <x v="0"/>
    <s v="Electronics"/>
    <s v="Product_C"/>
    <n v="4005"/>
    <n v="3"/>
    <n v="0.18"/>
    <n v="940"/>
    <s v="COD"/>
    <n v="9852.2999999999993"/>
    <s v="Nov"/>
    <n v="2024"/>
    <s v="Q4"/>
    <n v="9.5409193792312469E-2"/>
    <n v="2162.6999999999998"/>
    <s v="High"/>
    <s v="Repeat"/>
    <s v="Below Avg"/>
    <s v="Profit"/>
    <n v="206"/>
  </r>
  <r>
    <n v="307"/>
    <d v="2024-11-02T00:00:00"/>
    <n v="1000"/>
    <s v="Customer_98"/>
    <s v="Consumer"/>
    <x v="0"/>
    <s v="Electronics"/>
    <s v="Product_C"/>
    <n v="568"/>
    <n v="1"/>
    <n v="7.0000000000000007E-2"/>
    <n v="1894"/>
    <s v="UPI"/>
    <n v="528.24"/>
    <s v="Nov"/>
    <n v="2024"/>
    <s v="Q4"/>
    <n v="3.585491443283356"/>
    <n v="39.760000000000005"/>
    <s v="Low"/>
    <s v="Repeat"/>
    <s v="Below Avg"/>
    <s v="Profit"/>
    <n v="490"/>
  </r>
  <r>
    <n v="308"/>
    <d v="2024-11-03T00:00:00"/>
    <n v="1035"/>
    <s v="Customer_170"/>
    <s v="Consumer"/>
    <x v="3"/>
    <s v="Clothing"/>
    <s v="Product_A"/>
    <n v="3660"/>
    <n v="3"/>
    <n v="0.24"/>
    <n v="1824"/>
    <s v="COD"/>
    <n v="8344.7999999999993"/>
    <s v="Nov"/>
    <n v="2024"/>
    <s v="Q4"/>
    <n v="0.21857923497267762"/>
    <n v="2635.2"/>
    <s v="High"/>
    <s v="Repeat"/>
    <s v="Below Avg"/>
    <s v="Profit"/>
    <n v="241"/>
  </r>
  <r>
    <n v="309"/>
    <d v="2024-11-04T00:00:00"/>
    <n v="1083"/>
    <s v="Customer_67"/>
    <s v="Corporate"/>
    <x v="1"/>
    <s v="Furniture"/>
    <s v="Product_D"/>
    <n v="2023"/>
    <n v="3"/>
    <n v="0.01"/>
    <n v="356"/>
    <s v="Card"/>
    <n v="6008.31"/>
    <s v="Nov"/>
    <n v="2024"/>
    <s v="Q4"/>
    <n v="5.9251270323934679E-2"/>
    <n v="60.69"/>
    <s v="High"/>
    <s v="Repeat"/>
    <s v="Below Avg"/>
    <s v="Profit"/>
    <n v="297"/>
  </r>
  <r>
    <n v="310"/>
    <d v="2024-11-05T00:00:00"/>
    <n v="1094"/>
    <s v="Customer_140"/>
    <s v="Consumer"/>
    <x v="3"/>
    <s v="Clothing"/>
    <s v="Product_B"/>
    <n v="3079"/>
    <n v="5"/>
    <n v="0.24"/>
    <n v="1522"/>
    <s v="UPI"/>
    <n v="11700.2"/>
    <s v="Nov"/>
    <n v="2024"/>
    <s v="Q4"/>
    <n v="0.13008324644023178"/>
    <n v="3694.7999999999997"/>
    <s v="High"/>
    <s v="Repeat"/>
    <s v="Above Avg"/>
    <s v="Profit"/>
    <n v="178"/>
  </r>
  <r>
    <n v="311"/>
    <d v="2024-11-06T00:00:00"/>
    <n v="1071"/>
    <s v="Customer_164"/>
    <s v="Corporate"/>
    <x v="0"/>
    <s v="Furniture"/>
    <s v="Product_B"/>
    <n v="4122"/>
    <n v="9"/>
    <n v="0.2"/>
    <n v="-297"/>
    <s v="Card"/>
    <n v="29678.400000000001"/>
    <s v="Nov"/>
    <n v="2024"/>
    <s v="Q4"/>
    <n v="-1.0007278020378457E-2"/>
    <n v="7419.6"/>
    <s v="High"/>
    <s v="Repeat"/>
    <s v="Above Avg"/>
    <s v="Loss"/>
    <n v="25"/>
  </r>
  <r>
    <n v="312"/>
    <d v="2024-11-07T00:00:00"/>
    <n v="1039"/>
    <s v="Customer_69"/>
    <s v="Corporate"/>
    <x v="3"/>
    <s v="Clothing"/>
    <s v="Product_A"/>
    <n v="4319"/>
    <n v="7"/>
    <n v="0.2"/>
    <n v="1668"/>
    <s v="UPI"/>
    <n v="24186.400000000001"/>
    <s v="Nov"/>
    <n v="2024"/>
    <s v="Q4"/>
    <n v="6.896437667449476E-2"/>
    <n v="6046.6"/>
    <s v="High"/>
    <s v="Repeat"/>
    <s v="Above Avg"/>
    <s v="Profit"/>
    <n v="50"/>
  </r>
  <r>
    <n v="313"/>
    <d v="2024-11-08T00:00:00"/>
    <n v="1087"/>
    <s v="Customer_83"/>
    <s v="Consumer"/>
    <x v="2"/>
    <s v="Clothing"/>
    <s v="Product_D"/>
    <n v="4618"/>
    <n v="3"/>
    <n v="0.01"/>
    <n v="1802"/>
    <s v="COD"/>
    <n v="13715.46"/>
    <s v="Nov"/>
    <n v="2024"/>
    <s v="Q4"/>
    <n v="0.13138458352836874"/>
    <n v="138.54"/>
    <s v="High"/>
    <s v="Repeat"/>
    <s v="Above Avg"/>
    <s v="Profit"/>
    <n v="150"/>
  </r>
  <r>
    <n v="314"/>
    <d v="2024-11-09T00:00:00"/>
    <n v="1083"/>
    <s v="Customer_76"/>
    <s v="Corporate"/>
    <x v="1"/>
    <s v="Furniture"/>
    <s v="Product_B"/>
    <n v="666"/>
    <n v="3"/>
    <n v="0.06"/>
    <n v="-107"/>
    <s v="UPI"/>
    <n v="1878.12"/>
    <s v="Nov"/>
    <n v="2024"/>
    <s v="Q4"/>
    <n v="-5.6971865482503783E-2"/>
    <n v="119.88"/>
    <s v="Low"/>
    <s v="Repeat"/>
    <s v="Below Avg"/>
    <s v="Loss"/>
    <n v="437"/>
  </r>
  <r>
    <n v="315"/>
    <d v="2024-11-10T00:00:00"/>
    <n v="1078"/>
    <s v="Customer_91"/>
    <s v="Corporate"/>
    <x v="1"/>
    <s v="Electronics"/>
    <s v="Product_D"/>
    <n v="3227"/>
    <n v="4"/>
    <n v="0.15"/>
    <n v="200"/>
    <s v="COD"/>
    <n v="10971.8"/>
    <s v="Nov"/>
    <n v="2024"/>
    <s v="Q4"/>
    <n v="1.8228549554311965E-2"/>
    <n v="1936.1999999999998"/>
    <s v="High"/>
    <s v="Repeat"/>
    <s v="Above Avg"/>
    <s v="Profit"/>
    <n v="193"/>
  </r>
  <r>
    <n v="316"/>
    <d v="2024-11-11T00:00:00"/>
    <n v="1029"/>
    <s v="Customer_17"/>
    <s v="Corporate"/>
    <x v="3"/>
    <s v="Electronics"/>
    <s v="Product_B"/>
    <n v="4116"/>
    <n v="7"/>
    <n v="0.13"/>
    <n v="1791"/>
    <s v="UPI"/>
    <n v="25066.44"/>
    <s v="Nov"/>
    <n v="2024"/>
    <s v="Q4"/>
    <n v="7.1450114176564369E-2"/>
    <n v="3745.56"/>
    <s v="High"/>
    <s v="Repeat"/>
    <s v="Above Avg"/>
    <s v="Profit"/>
    <n v="41"/>
  </r>
  <r>
    <n v="317"/>
    <d v="2024-11-12T00:00:00"/>
    <n v="1019"/>
    <s v="Customer_171"/>
    <s v="Corporate"/>
    <x v="1"/>
    <s v="Electronics"/>
    <s v="Product_C"/>
    <n v="1265"/>
    <n v="4"/>
    <n v="0.01"/>
    <n v="458"/>
    <s v="Card"/>
    <n v="5009.3999999999996"/>
    <s v="Nov"/>
    <n v="2024"/>
    <s v="Q4"/>
    <n v="9.1428115143530164E-2"/>
    <n v="50.6"/>
    <s v="High"/>
    <s v="Repeat"/>
    <s v="Below Avg"/>
    <s v="Profit"/>
    <n v="322"/>
  </r>
  <r>
    <n v="318"/>
    <d v="2024-11-13T00:00:00"/>
    <n v="1037"/>
    <s v="Customer_92"/>
    <s v="Corporate"/>
    <x v="1"/>
    <s v="Furniture"/>
    <s v="Product_D"/>
    <n v="4336"/>
    <n v="9"/>
    <n v="0.1"/>
    <n v="-99"/>
    <s v="COD"/>
    <n v="35121.599999999999"/>
    <s v="Nov"/>
    <n v="2024"/>
    <s v="Q4"/>
    <n v="-2.8187781877818778E-3"/>
    <n v="3902.4"/>
    <s v="High"/>
    <s v="Repeat"/>
    <s v="Above Avg"/>
    <s v="Loss"/>
    <n v="10"/>
  </r>
  <r>
    <n v="319"/>
    <d v="2024-11-14T00:00:00"/>
    <n v="1001"/>
    <s v="Customer_40"/>
    <s v="Corporate"/>
    <x v="0"/>
    <s v="Clothing"/>
    <s v="Product_B"/>
    <n v="1915"/>
    <n v="3"/>
    <n v="0.28999999999999998"/>
    <n v="1599"/>
    <s v="Card"/>
    <n v="4078.95"/>
    <s v="Nov"/>
    <n v="2024"/>
    <s v="Q4"/>
    <n v="0.39201265031441918"/>
    <n v="1666.05"/>
    <s v="Medium"/>
    <s v="Repeat"/>
    <s v="Below Avg"/>
    <s v="Profit"/>
    <n v="349"/>
  </r>
  <r>
    <n v="320"/>
    <d v="2024-11-15T00:00:00"/>
    <n v="1005"/>
    <s v="Customer_22"/>
    <s v="Corporate"/>
    <x v="0"/>
    <s v="Clothing"/>
    <s v="Product_A"/>
    <n v="4067"/>
    <n v="7"/>
    <n v="0.09"/>
    <n v="1720"/>
    <s v="UPI"/>
    <n v="25906.79"/>
    <s v="Nov"/>
    <n v="2024"/>
    <s v="Q4"/>
    <n v="6.6391860975443112E-2"/>
    <n v="2562.21"/>
    <s v="High"/>
    <s v="Repeat"/>
    <s v="Above Avg"/>
    <s v="Profit"/>
    <n v="40"/>
  </r>
  <r>
    <n v="321"/>
    <d v="2024-11-16T00:00:00"/>
    <n v="1081"/>
    <s v="Customer_192"/>
    <s v="Corporate"/>
    <x v="1"/>
    <s v="Furniture"/>
    <s v="Product_D"/>
    <n v="240"/>
    <n v="9"/>
    <n v="0.19"/>
    <n v="271"/>
    <s v="Card"/>
    <n v="1749.6"/>
    <s v="Nov"/>
    <n v="2024"/>
    <s v="Q4"/>
    <n v="0.15489254686785553"/>
    <n v="410.4"/>
    <s v="Low"/>
    <s v="Repeat"/>
    <s v="Below Avg"/>
    <s v="Profit"/>
    <n v="443"/>
  </r>
  <r>
    <n v="322"/>
    <d v="2024-11-17T00:00:00"/>
    <n v="1035"/>
    <s v="Customer_138"/>
    <s v="Consumer"/>
    <x v="3"/>
    <s v="Electronics"/>
    <s v="Product_D"/>
    <n v="3410"/>
    <n v="5"/>
    <n v="0.2"/>
    <n v="1549"/>
    <s v="Card"/>
    <n v="13640"/>
    <s v="Nov"/>
    <n v="2024"/>
    <s v="Q4"/>
    <n v="0.11356304985337243"/>
    <n v="3410"/>
    <s v="High"/>
    <s v="Repeat"/>
    <s v="Above Avg"/>
    <s v="Profit"/>
    <n v="151"/>
  </r>
  <r>
    <n v="323"/>
    <d v="2024-11-18T00:00:00"/>
    <n v="1077"/>
    <s v="Customer_105"/>
    <s v="Consumer"/>
    <x v="1"/>
    <s v="Clothing"/>
    <s v="Product_D"/>
    <n v="601"/>
    <n v="4"/>
    <n v="0.19"/>
    <n v="-310"/>
    <s v="COD"/>
    <n v="1947.24"/>
    <s v="Nov"/>
    <n v="2024"/>
    <s v="Q4"/>
    <n v="-0.15919968776319304"/>
    <n v="456.76"/>
    <s v="Low"/>
    <s v="Repeat"/>
    <s v="Below Avg"/>
    <s v="Loss"/>
    <n v="433"/>
  </r>
  <r>
    <n v="324"/>
    <d v="2024-11-19T00:00:00"/>
    <n v="1025"/>
    <s v="Customer_134"/>
    <s v="Corporate"/>
    <x v="0"/>
    <s v="Furniture"/>
    <s v="Product_B"/>
    <n v="1554"/>
    <n v="2"/>
    <n v="0.09"/>
    <n v="1816"/>
    <s v="COD"/>
    <n v="2828.28"/>
    <s v="Nov"/>
    <n v="2024"/>
    <s v="Q4"/>
    <n v="0.64208635637207057"/>
    <n v="279.71999999999997"/>
    <s v="Medium"/>
    <s v="Repeat"/>
    <s v="Below Avg"/>
    <s v="Profit"/>
    <n v="398"/>
  </r>
  <r>
    <n v="325"/>
    <d v="2024-11-20T00:00:00"/>
    <n v="1097"/>
    <s v="Customer_17"/>
    <s v="Consumer"/>
    <x v="0"/>
    <s v="Furniture"/>
    <s v="Product_C"/>
    <n v="4379"/>
    <n v="5"/>
    <n v="0.17"/>
    <n v="884"/>
    <s v="UPI"/>
    <n v="18172.849999999999"/>
    <s v="Nov"/>
    <n v="2024"/>
    <s v="Q4"/>
    <n v="4.8643993649867802E-2"/>
    <n v="3722.15"/>
    <s v="High"/>
    <s v="Repeat"/>
    <s v="Above Avg"/>
    <s v="Profit"/>
    <n v="90"/>
  </r>
  <r>
    <n v="326"/>
    <d v="2024-11-21T00:00:00"/>
    <n v="1093"/>
    <s v="Customer_76"/>
    <s v="Corporate"/>
    <x v="1"/>
    <s v="Clothing"/>
    <s v="Product_C"/>
    <n v="635"/>
    <n v="3"/>
    <n v="0.21"/>
    <n v="895"/>
    <s v="Card"/>
    <n v="1504.95"/>
    <s v="Nov"/>
    <n v="2024"/>
    <s v="Q4"/>
    <n v="0.59470414299478391"/>
    <n v="400.05"/>
    <s v="Low"/>
    <s v="Repeat"/>
    <s v="Below Avg"/>
    <s v="Profit"/>
    <n v="457"/>
  </r>
  <r>
    <n v="327"/>
    <d v="2024-11-22T00:00:00"/>
    <n v="1070"/>
    <s v="Customer_191"/>
    <s v="Consumer"/>
    <x v="1"/>
    <s v="Furniture"/>
    <s v="Product_B"/>
    <n v="2260"/>
    <n v="3"/>
    <n v="0.11"/>
    <n v="1691"/>
    <s v="UPI"/>
    <n v="6034.2"/>
    <s v="Nov"/>
    <n v="2024"/>
    <s v="Q4"/>
    <n v="0.28023598820058998"/>
    <n v="745.8"/>
    <s v="High"/>
    <s v="Repeat"/>
    <s v="Below Avg"/>
    <s v="Profit"/>
    <n v="295"/>
  </r>
  <r>
    <n v="328"/>
    <d v="2024-11-23T00:00:00"/>
    <n v="1058"/>
    <s v="Customer_198"/>
    <s v="Consumer"/>
    <x v="2"/>
    <s v="Furniture"/>
    <s v="Product_C"/>
    <n v="4341"/>
    <n v="7"/>
    <n v="0.08"/>
    <n v="-164"/>
    <s v="COD"/>
    <n v="27956.04"/>
    <s v="Nov"/>
    <n v="2024"/>
    <s v="Q4"/>
    <n v="-5.8663530314021581E-3"/>
    <n v="2430.96"/>
    <s v="High"/>
    <s v="Repeat"/>
    <s v="Above Avg"/>
    <s v="Loss"/>
    <n v="32"/>
  </r>
  <r>
    <n v="329"/>
    <d v="2024-11-24T00:00:00"/>
    <n v="1029"/>
    <s v="Customer_178"/>
    <s v="Consumer"/>
    <x v="2"/>
    <s v="Electronics"/>
    <s v="Product_C"/>
    <n v="2929"/>
    <n v="6"/>
    <n v="0.08"/>
    <n v="122"/>
    <s v="COD"/>
    <n v="16168.08"/>
    <s v="Nov"/>
    <n v="2024"/>
    <s v="Q4"/>
    <n v="7.5457320844528235E-3"/>
    <n v="1405.92"/>
    <s v="High"/>
    <s v="Repeat"/>
    <s v="Above Avg"/>
    <s v="Profit"/>
    <n v="123"/>
  </r>
  <r>
    <n v="330"/>
    <d v="2024-11-25T00:00:00"/>
    <n v="1081"/>
    <s v="Customer_80"/>
    <s v="Corporate"/>
    <x v="3"/>
    <s v="Furniture"/>
    <s v="Product_A"/>
    <n v="4483"/>
    <n v="3"/>
    <n v="0.28000000000000003"/>
    <n v="1527"/>
    <s v="Card"/>
    <n v="9683.2799999999897"/>
    <s v="Nov"/>
    <n v="2024"/>
    <s v="Q4"/>
    <n v="0.15769450021067258"/>
    <n v="3765.7200000000003"/>
    <s v="High"/>
    <s v="Repeat"/>
    <s v="Below Avg"/>
    <s v="Profit"/>
    <n v="209"/>
  </r>
  <r>
    <n v="331"/>
    <d v="2024-11-26T00:00:00"/>
    <n v="1021"/>
    <s v="Customer_196"/>
    <s v="Corporate"/>
    <x v="0"/>
    <s v="Electronics"/>
    <s v="Product_C"/>
    <n v="1725"/>
    <n v="9"/>
    <n v="0.19"/>
    <n v="508"/>
    <s v="COD"/>
    <n v="12575.25"/>
    <s v="Nov"/>
    <n v="2024"/>
    <s v="Q4"/>
    <n v="4.0396811196596487E-2"/>
    <n v="2949.75"/>
    <s v="High"/>
    <s v="Repeat"/>
    <s v="Above Avg"/>
    <s v="Profit"/>
    <n v="162"/>
  </r>
  <r>
    <n v="332"/>
    <d v="2024-11-27T00:00:00"/>
    <n v="1016"/>
    <s v="Customer_153"/>
    <s v="Consumer"/>
    <x v="0"/>
    <s v="Furniture"/>
    <s v="Product_B"/>
    <n v="4547"/>
    <n v="7"/>
    <n v="0.23"/>
    <n v="695"/>
    <s v="UPI"/>
    <n v="24508.33"/>
    <s v="Nov"/>
    <n v="2024"/>
    <s v="Q4"/>
    <n v="2.8357705318967058E-2"/>
    <n v="7320.67"/>
    <s v="High"/>
    <s v="Repeat"/>
    <s v="Above Avg"/>
    <s v="Profit"/>
    <n v="47"/>
  </r>
  <r>
    <n v="333"/>
    <d v="2024-11-28T00:00:00"/>
    <n v="1030"/>
    <s v="Customer_33"/>
    <s v="Consumer"/>
    <x v="0"/>
    <s v="Electronics"/>
    <s v="Product_B"/>
    <n v="2252"/>
    <n v="8"/>
    <n v="0.17"/>
    <n v="1739"/>
    <s v="Card"/>
    <n v="14953.279999999901"/>
    <s v="Nov"/>
    <n v="2024"/>
    <s v="Q4"/>
    <n v="0.11629555522266764"/>
    <n v="3062.7200000000003"/>
    <s v="High"/>
    <s v="Repeat"/>
    <s v="Above Avg"/>
    <s v="Profit"/>
    <n v="140"/>
  </r>
  <r>
    <n v="334"/>
    <d v="2024-11-29T00:00:00"/>
    <n v="1055"/>
    <s v="Customer_1"/>
    <s v="Corporate"/>
    <x v="2"/>
    <s v="Clothing"/>
    <s v="Product_B"/>
    <n v="3427"/>
    <n v="4"/>
    <n v="0.19"/>
    <n v="922"/>
    <s v="Card"/>
    <n v="11103.48"/>
    <s v="Nov"/>
    <n v="2024"/>
    <s v="Q4"/>
    <n v="8.3037029832088688E-2"/>
    <n v="2604.52"/>
    <s v="High"/>
    <s v="Repeat"/>
    <s v="Above Avg"/>
    <s v="Profit"/>
    <n v="188"/>
  </r>
  <r>
    <n v="335"/>
    <d v="2024-11-30T00:00:00"/>
    <n v="1080"/>
    <s v="Customer_79"/>
    <s v="Consumer"/>
    <x v="3"/>
    <s v="Clothing"/>
    <s v="Product_A"/>
    <n v="370"/>
    <n v="7"/>
    <n v="0.08"/>
    <n v="1381"/>
    <s v="Card"/>
    <n v="2382.8000000000002"/>
    <s v="Nov"/>
    <n v="2024"/>
    <s v="Q4"/>
    <n v="0.57957025348329694"/>
    <n v="207.20000000000002"/>
    <s v="Medium"/>
    <s v="Repeat"/>
    <s v="Below Avg"/>
    <s v="Profit"/>
    <n v="413"/>
  </r>
  <r>
    <n v="336"/>
    <d v="2024-12-01T00:00:00"/>
    <n v="1030"/>
    <s v="Customer_128"/>
    <s v="Consumer"/>
    <x v="0"/>
    <s v="Electronics"/>
    <s v="Product_D"/>
    <n v="4426"/>
    <n v="9"/>
    <n v="0.27"/>
    <n v="-447"/>
    <s v="Card"/>
    <n v="29078.82"/>
    <s v="Dec"/>
    <n v="2024"/>
    <s v="Q4"/>
    <n v="-1.537201303216568E-2"/>
    <n v="10755.18"/>
    <s v="High"/>
    <s v="Repeat"/>
    <s v="Above Avg"/>
    <s v="Loss"/>
    <n v="26"/>
  </r>
  <r>
    <n v="337"/>
    <d v="2024-12-02T00:00:00"/>
    <n v="1012"/>
    <s v="Customer_145"/>
    <s v="Corporate"/>
    <x v="2"/>
    <s v="Clothing"/>
    <s v="Product_C"/>
    <n v="3915"/>
    <n v="8"/>
    <n v="0.15"/>
    <n v="-47"/>
    <s v="Card"/>
    <n v="26622"/>
    <s v="Dec"/>
    <n v="2024"/>
    <s v="Q4"/>
    <n v="-1.7654571407106905E-3"/>
    <n v="4698"/>
    <s v="High"/>
    <s v="Repeat"/>
    <s v="Above Avg"/>
    <s v="Loss"/>
    <n v="36"/>
  </r>
  <r>
    <n v="338"/>
    <d v="2024-12-03T00:00:00"/>
    <n v="1090"/>
    <s v="Customer_171"/>
    <s v="Consumer"/>
    <x v="3"/>
    <s v="Furniture"/>
    <s v="Product_B"/>
    <n v="1456"/>
    <n v="7"/>
    <n v="0.24"/>
    <n v="-31"/>
    <s v="Card"/>
    <n v="7745.92"/>
    <s v="Dec"/>
    <n v="2024"/>
    <s v="Q4"/>
    <n v="-4.0021069156407499E-3"/>
    <n v="2446.08"/>
    <s v="High"/>
    <s v="Repeat"/>
    <s v="Below Avg"/>
    <s v="Loss"/>
    <n v="258"/>
  </r>
  <r>
    <n v="339"/>
    <d v="2024-12-04T00:00:00"/>
    <n v="1083"/>
    <s v="Customer_186"/>
    <s v="Corporate"/>
    <x v="1"/>
    <s v="Electronics"/>
    <s v="Product_A"/>
    <n v="4189"/>
    <n v="5"/>
    <n v="0.16"/>
    <n v="798"/>
    <s v="Card"/>
    <n v="17593.8"/>
    <s v="Dec"/>
    <n v="2024"/>
    <s v="Q4"/>
    <n v="4.5356887085223209E-2"/>
    <n v="3351.2000000000003"/>
    <s v="High"/>
    <s v="Repeat"/>
    <s v="Above Avg"/>
    <s v="Profit"/>
    <n v="95"/>
  </r>
  <r>
    <n v="340"/>
    <d v="2024-12-05T00:00:00"/>
    <n v="1016"/>
    <s v="Customer_147"/>
    <s v="Consumer"/>
    <x v="1"/>
    <s v="Electronics"/>
    <s v="Product_C"/>
    <n v="190"/>
    <n v="8"/>
    <n v="0.03"/>
    <n v="728"/>
    <s v="Card"/>
    <n v="1474.3999999999901"/>
    <s v="Dec"/>
    <n v="2024"/>
    <s v="Q4"/>
    <n v="0.4937601736299545"/>
    <n v="45.6"/>
    <s v="Low"/>
    <s v="Repeat"/>
    <s v="Below Avg"/>
    <s v="Profit"/>
    <n v="458"/>
  </r>
  <r>
    <n v="341"/>
    <d v="2024-12-06T00:00:00"/>
    <n v="1092"/>
    <s v="Customer_54"/>
    <s v="Corporate"/>
    <x v="1"/>
    <s v="Clothing"/>
    <s v="Product_D"/>
    <n v="2277"/>
    <n v="8"/>
    <n v="0.03"/>
    <n v="297"/>
    <s v="UPI"/>
    <n v="17669.52"/>
    <s v="Dec"/>
    <n v="2024"/>
    <s v="Q4"/>
    <n v="1.6808606006275213E-2"/>
    <n v="546.48"/>
    <s v="High"/>
    <s v="Repeat"/>
    <s v="Above Avg"/>
    <s v="Profit"/>
    <n v="94"/>
  </r>
  <r>
    <n v="342"/>
    <d v="2024-12-07T00:00:00"/>
    <n v="1038"/>
    <s v="Customer_114"/>
    <s v="Corporate"/>
    <x v="2"/>
    <s v="Electronics"/>
    <s v="Product_A"/>
    <n v="1830"/>
    <n v="4"/>
    <n v="0.14000000000000001"/>
    <n v="898"/>
    <s v="COD"/>
    <n v="6295.2"/>
    <s v="Dec"/>
    <n v="2024"/>
    <s v="Q4"/>
    <n v="0.14264836700978523"/>
    <n v="1024.8000000000002"/>
    <s v="High"/>
    <s v="Repeat"/>
    <s v="Below Avg"/>
    <s v="Profit"/>
    <n v="291"/>
  </r>
  <r>
    <n v="343"/>
    <d v="2024-12-08T00:00:00"/>
    <n v="1098"/>
    <s v="Customer_83"/>
    <s v="Corporate"/>
    <x v="1"/>
    <s v="Clothing"/>
    <s v="Product_B"/>
    <n v="2458"/>
    <n v="9"/>
    <n v="0.13"/>
    <n v="-443"/>
    <s v="COD"/>
    <n v="19246.14"/>
    <s v="Dec"/>
    <n v="2024"/>
    <s v="Q4"/>
    <n v="-2.3017602490681251E-2"/>
    <n v="2875.86"/>
    <s v="High"/>
    <s v="Repeat"/>
    <s v="Above Avg"/>
    <s v="Loss"/>
    <n v="83"/>
  </r>
  <r>
    <n v="344"/>
    <d v="2024-12-09T00:00:00"/>
    <n v="1007"/>
    <s v="Customer_84"/>
    <s v="Consumer"/>
    <x v="1"/>
    <s v="Electronics"/>
    <s v="Product_B"/>
    <n v="2809"/>
    <n v="1"/>
    <n v="0.27"/>
    <n v="-352"/>
    <s v="COD"/>
    <n v="2050.5700000000002"/>
    <s v="Dec"/>
    <n v="2024"/>
    <s v="Q4"/>
    <n v="-0.17165958733425338"/>
    <n v="758.43000000000006"/>
    <s v="Medium"/>
    <s v="Repeat"/>
    <s v="Below Avg"/>
    <s v="Loss"/>
    <n v="426"/>
  </r>
  <r>
    <n v="345"/>
    <d v="2024-12-10T00:00:00"/>
    <n v="1037"/>
    <s v="Customer_1"/>
    <s v="Consumer"/>
    <x v="3"/>
    <s v="Clothing"/>
    <s v="Product_D"/>
    <n v="448"/>
    <n v="9"/>
    <n v="0.04"/>
    <n v="1096"/>
    <s v="COD"/>
    <n v="3870.72"/>
    <s v="Dec"/>
    <n v="2024"/>
    <s v="Q4"/>
    <n v="0.28315145502645506"/>
    <n v="161.28"/>
    <s v="Medium"/>
    <s v="Repeat"/>
    <s v="Below Avg"/>
    <s v="Profit"/>
    <n v="358"/>
  </r>
  <r>
    <n v="346"/>
    <d v="2024-12-11T00:00:00"/>
    <n v="1014"/>
    <s v="Customer_144"/>
    <s v="Consumer"/>
    <x v="1"/>
    <s v="Clothing"/>
    <s v="Product_C"/>
    <n v="4977"/>
    <n v="1"/>
    <n v="0.21"/>
    <n v="294"/>
    <s v="Card"/>
    <n v="3931.83"/>
    <s v="Dec"/>
    <n v="2024"/>
    <s v="Q4"/>
    <n v="7.4774341718741658E-2"/>
    <n v="1045.17"/>
    <s v="Medium"/>
    <s v="Repeat"/>
    <s v="Below Avg"/>
    <s v="Profit"/>
    <n v="357"/>
  </r>
  <r>
    <n v="347"/>
    <d v="2024-12-12T00:00:00"/>
    <n v="1000"/>
    <s v="Customer_152"/>
    <s v="Consumer"/>
    <x v="1"/>
    <s v="Furniture"/>
    <s v="Product_A"/>
    <n v="4432"/>
    <n v="5"/>
    <n v="0.28000000000000003"/>
    <n v="1809"/>
    <s v="UPI"/>
    <n v="15955.199999999901"/>
    <s v="Dec"/>
    <n v="2024"/>
    <s v="Q4"/>
    <n v="0.11337996389891768"/>
    <n v="6204.8"/>
    <s v="High"/>
    <s v="Repeat"/>
    <s v="Above Avg"/>
    <s v="Profit"/>
    <n v="130"/>
  </r>
  <r>
    <n v="348"/>
    <d v="2024-12-13T00:00:00"/>
    <n v="1096"/>
    <s v="Customer_192"/>
    <s v="Corporate"/>
    <x v="2"/>
    <s v="Furniture"/>
    <s v="Product_A"/>
    <n v="1393"/>
    <n v="6"/>
    <n v="0.12"/>
    <n v="1693"/>
    <s v="Card"/>
    <n v="7355.04"/>
    <s v="Dec"/>
    <n v="2024"/>
    <s v="Q4"/>
    <n v="0.23018229676521135"/>
    <n v="1002.9599999999999"/>
    <s v="High"/>
    <s v="Repeat"/>
    <s v="Below Avg"/>
    <s v="Profit"/>
    <n v="266"/>
  </r>
  <r>
    <n v="349"/>
    <d v="2024-12-14T00:00:00"/>
    <n v="1002"/>
    <s v="Customer_186"/>
    <s v="Consumer"/>
    <x v="2"/>
    <s v="Electronics"/>
    <s v="Product_C"/>
    <n v="4564"/>
    <n v="5"/>
    <n v="0.27"/>
    <n v="710"/>
    <s v="UPI"/>
    <n v="16658.599999999999"/>
    <s v="Dec"/>
    <n v="2024"/>
    <s v="Q4"/>
    <n v="4.2620628384137924E-2"/>
    <n v="6161.4000000000005"/>
    <s v="High"/>
    <s v="Repeat"/>
    <s v="Above Avg"/>
    <s v="Profit"/>
    <n v="111"/>
  </r>
  <r>
    <n v="350"/>
    <d v="2024-12-15T00:00:00"/>
    <n v="1037"/>
    <s v="Customer_152"/>
    <s v="Consumer"/>
    <x v="2"/>
    <s v="Clothing"/>
    <s v="Product_B"/>
    <n v="2447"/>
    <n v="4"/>
    <n v="0.04"/>
    <n v="-339"/>
    <s v="UPI"/>
    <n v="9396.48"/>
    <s v="Dec"/>
    <n v="2024"/>
    <s v="Q4"/>
    <n v="-3.6077339599509609E-2"/>
    <n v="391.52"/>
    <s v="High"/>
    <s v="Repeat"/>
    <s v="Below Avg"/>
    <s v="Loss"/>
    <n v="221"/>
  </r>
  <r>
    <n v="351"/>
    <d v="2024-12-16T00:00:00"/>
    <n v="1047"/>
    <s v="Customer_186"/>
    <s v="Consumer"/>
    <x v="1"/>
    <s v="Furniture"/>
    <s v="Product_C"/>
    <n v="3091"/>
    <n v="5"/>
    <n v="0.03"/>
    <n v="644"/>
    <s v="UPI"/>
    <n v="14991.35"/>
    <s v="Dec"/>
    <n v="2024"/>
    <s v="Q4"/>
    <n v="4.2958105841034995E-2"/>
    <n v="463.65"/>
    <s v="High"/>
    <s v="Repeat"/>
    <s v="Above Avg"/>
    <s v="Profit"/>
    <n v="139"/>
  </r>
  <r>
    <n v="352"/>
    <d v="2024-12-17T00:00:00"/>
    <n v="1062"/>
    <s v="Customer_101"/>
    <s v="Consumer"/>
    <x v="3"/>
    <s v="Electronics"/>
    <s v="Product_C"/>
    <n v="2900"/>
    <n v="7"/>
    <n v="7.0000000000000007E-2"/>
    <n v="1932"/>
    <s v="UPI"/>
    <n v="18879"/>
    <s v="Dec"/>
    <n v="2024"/>
    <s v="Q4"/>
    <n v="0.10233592880978866"/>
    <n v="1421.0000000000002"/>
    <s v="High"/>
    <s v="Repeat"/>
    <s v="Above Avg"/>
    <s v="Profit"/>
    <n v="85"/>
  </r>
  <r>
    <n v="353"/>
    <d v="2024-12-18T00:00:00"/>
    <n v="1061"/>
    <s v="Customer_192"/>
    <s v="Consumer"/>
    <x v="0"/>
    <s v="Clothing"/>
    <s v="Product_C"/>
    <n v="4356"/>
    <n v="2"/>
    <n v="0.16"/>
    <n v="332"/>
    <s v="COD"/>
    <n v="7318.08"/>
    <s v="Dec"/>
    <n v="2024"/>
    <s v="Q4"/>
    <n v="4.5367090821636279E-2"/>
    <n v="1393.92"/>
    <s v="High"/>
    <s v="Repeat"/>
    <s v="Below Avg"/>
    <s v="Profit"/>
    <n v="268"/>
  </r>
  <r>
    <n v="354"/>
    <d v="2024-12-19T00:00:00"/>
    <n v="1014"/>
    <s v="Customer_169"/>
    <s v="Corporate"/>
    <x v="2"/>
    <s v="Furniture"/>
    <s v="Product_B"/>
    <n v="1224"/>
    <n v="7"/>
    <n v="0.19"/>
    <n v="210"/>
    <s v="COD"/>
    <n v="6940.08"/>
    <s v="Dec"/>
    <n v="2024"/>
    <s v="Q4"/>
    <n v="3.0259017187121762E-2"/>
    <n v="1627.92"/>
    <s v="High"/>
    <s v="Repeat"/>
    <s v="Below Avg"/>
    <s v="Profit"/>
    <n v="275"/>
  </r>
  <r>
    <n v="355"/>
    <d v="2024-12-20T00:00:00"/>
    <n v="1061"/>
    <s v="Customer_161"/>
    <s v="Consumer"/>
    <x v="3"/>
    <s v="Clothing"/>
    <s v="Product_B"/>
    <n v="673"/>
    <n v="9"/>
    <n v="0.23"/>
    <n v="944"/>
    <s v="UPI"/>
    <n v="4663.8900000000003"/>
    <s v="Dec"/>
    <n v="2024"/>
    <s v="Q4"/>
    <n v="0.20240614594255008"/>
    <n v="1393.1100000000001"/>
    <s v="Medium"/>
    <s v="Repeat"/>
    <s v="Below Avg"/>
    <s v="Profit"/>
    <n v="332"/>
  </r>
  <r>
    <n v="356"/>
    <d v="2024-12-21T00:00:00"/>
    <n v="1081"/>
    <s v="Customer_186"/>
    <s v="Corporate"/>
    <x v="1"/>
    <s v="Furniture"/>
    <s v="Product_A"/>
    <n v="4179"/>
    <n v="7"/>
    <n v="0.23"/>
    <n v="-144"/>
    <s v="UPI"/>
    <n v="22524.81"/>
    <s v="Dec"/>
    <n v="2024"/>
    <s v="Q4"/>
    <n v="-6.3929507063544598E-3"/>
    <n v="6728.1900000000005"/>
    <s v="High"/>
    <s v="Repeat"/>
    <s v="Above Avg"/>
    <s v="Loss"/>
    <n v="62"/>
  </r>
  <r>
    <n v="357"/>
    <d v="2024-12-22T00:00:00"/>
    <n v="1037"/>
    <s v="Customer_125"/>
    <s v="Consumer"/>
    <x v="2"/>
    <s v="Clothing"/>
    <s v="Product_C"/>
    <n v="928"/>
    <n v="4"/>
    <n v="0.03"/>
    <n v="182"/>
    <s v="Card"/>
    <n v="3600.64"/>
    <s v="Dec"/>
    <n v="2024"/>
    <s v="Q4"/>
    <n v="5.0546569498755779E-2"/>
    <n v="111.36"/>
    <s v="Medium"/>
    <s v="Repeat"/>
    <s v="Below Avg"/>
    <s v="Profit"/>
    <n v="368"/>
  </r>
  <r>
    <n v="358"/>
    <d v="2024-12-23T00:00:00"/>
    <n v="1094"/>
    <s v="Customer_184"/>
    <s v="Consumer"/>
    <x v="3"/>
    <s v="Electronics"/>
    <s v="Product_C"/>
    <n v="570"/>
    <n v="8"/>
    <n v="0.26"/>
    <n v="1134"/>
    <s v="UPI"/>
    <n v="3374.4"/>
    <s v="Dec"/>
    <n v="2024"/>
    <s v="Q4"/>
    <n v="0.33605974395448079"/>
    <n v="1185.6000000000001"/>
    <s v="Medium"/>
    <s v="Repeat"/>
    <s v="Below Avg"/>
    <s v="Profit"/>
    <n v="382"/>
  </r>
  <r>
    <n v="359"/>
    <d v="2024-12-24T00:00:00"/>
    <n v="1019"/>
    <s v="Customer_95"/>
    <s v="Corporate"/>
    <x v="0"/>
    <s v="Furniture"/>
    <s v="Product_B"/>
    <n v="4250"/>
    <n v="8"/>
    <n v="0.03"/>
    <n v="335"/>
    <s v="Card"/>
    <n v="32980"/>
    <s v="Dec"/>
    <n v="2024"/>
    <s v="Q4"/>
    <n v="1.015767131594906E-2"/>
    <n v="1020"/>
    <s v="High"/>
    <s v="Repeat"/>
    <s v="Above Avg"/>
    <s v="Profit"/>
    <n v="17"/>
  </r>
  <r>
    <n v="360"/>
    <d v="2024-12-25T00:00:00"/>
    <n v="1058"/>
    <s v="Customer_15"/>
    <s v="Corporate"/>
    <x v="3"/>
    <s v="Clothing"/>
    <s v="Product_B"/>
    <n v="2351"/>
    <n v="9"/>
    <n v="0.27"/>
    <n v="28"/>
    <s v="COD"/>
    <n v="15446.07"/>
    <s v="Dec"/>
    <n v="2024"/>
    <s v="Q4"/>
    <n v="1.8127588441590645E-3"/>
    <n v="5712.93"/>
    <s v="High"/>
    <s v="Repeat"/>
    <s v="Above Avg"/>
    <s v="Profit"/>
    <n v="135"/>
  </r>
  <r>
    <n v="361"/>
    <d v="2024-12-26T00:00:00"/>
    <n v="1006"/>
    <s v="Customer_65"/>
    <s v="Corporate"/>
    <x v="1"/>
    <s v="Furniture"/>
    <s v="Product_C"/>
    <n v="4067"/>
    <n v="6"/>
    <n v="0.28999999999999998"/>
    <n v="1213"/>
    <s v="UPI"/>
    <n v="17325.419999999998"/>
    <s v="Dec"/>
    <n v="2024"/>
    <s v="Q4"/>
    <n v="7.0012732736060665E-2"/>
    <n v="7076.58"/>
    <s v="High"/>
    <s v="Repeat"/>
    <s v="Above Avg"/>
    <s v="Profit"/>
    <n v="102"/>
  </r>
  <r>
    <n v="362"/>
    <d v="2024-12-27T00:00:00"/>
    <n v="1090"/>
    <s v="Customer_113"/>
    <s v="Corporate"/>
    <x v="2"/>
    <s v="Furniture"/>
    <s v="Product_D"/>
    <n v="2732"/>
    <n v="1"/>
    <n v="0.18"/>
    <n v="547"/>
    <s v="COD"/>
    <n v="2240.2399999999998"/>
    <s v="Dec"/>
    <n v="2024"/>
    <s v="Q4"/>
    <n v="0.24417026747134238"/>
    <n v="491.76"/>
    <s v="Medium"/>
    <s v="Repeat"/>
    <s v="Below Avg"/>
    <s v="Profit"/>
    <n v="418"/>
  </r>
  <r>
    <n v="363"/>
    <d v="2024-12-28T00:00:00"/>
    <n v="1071"/>
    <s v="Customer_140"/>
    <s v="Consumer"/>
    <x v="3"/>
    <s v="Clothing"/>
    <s v="Product_B"/>
    <n v="4332"/>
    <n v="9"/>
    <n v="0.21"/>
    <n v="1493"/>
    <s v="COD"/>
    <n v="30800.52"/>
    <s v="Dec"/>
    <n v="2024"/>
    <s v="Q4"/>
    <n v="4.8473207595196445E-2"/>
    <n v="8187.48"/>
    <s v="High"/>
    <s v="Repeat"/>
    <s v="Above Avg"/>
    <s v="Profit"/>
    <n v="22"/>
  </r>
  <r>
    <n v="364"/>
    <d v="2024-12-29T00:00:00"/>
    <n v="1077"/>
    <s v="Customer_163"/>
    <s v="Consumer"/>
    <x v="3"/>
    <s v="Electronics"/>
    <s v="Product_D"/>
    <n v="1198"/>
    <n v="9"/>
    <n v="0.11"/>
    <n v="-189"/>
    <s v="UPI"/>
    <n v="9595.98"/>
    <s v="Dec"/>
    <n v="2024"/>
    <s v="Q4"/>
    <n v="-1.9695747594305115E-2"/>
    <n v="1186.02"/>
    <s v="High"/>
    <s v="Repeat"/>
    <s v="Below Avg"/>
    <s v="Loss"/>
    <n v="212"/>
  </r>
  <r>
    <n v="365"/>
    <d v="2024-12-30T00:00:00"/>
    <n v="1078"/>
    <s v="Customer_37"/>
    <s v="Consumer"/>
    <x v="3"/>
    <s v="Furniture"/>
    <s v="Product_C"/>
    <n v="3189"/>
    <n v="1"/>
    <n v="0.17"/>
    <n v="159"/>
    <s v="UPI"/>
    <n v="2646.87"/>
    <s v="Dec"/>
    <n v="2024"/>
    <s v="Q4"/>
    <n v="6.0070951727889926E-2"/>
    <n v="542.13"/>
    <s v="Medium"/>
    <s v="Repeat"/>
    <s v="Below Avg"/>
    <s v="Profit"/>
    <n v="407"/>
  </r>
  <r>
    <n v="366"/>
    <d v="2024-12-31T00:00:00"/>
    <n v="1070"/>
    <s v="Customer_30"/>
    <s v="Corporate"/>
    <x v="2"/>
    <s v="Clothing"/>
    <s v="Product_C"/>
    <n v="531"/>
    <n v="9"/>
    <n v="0.25"/>
    <n v="1369"/>
    <s v="COD"/>
    <n v="3584.25"/>
    <s v="Dec"/>
    <n v="2024"/>
    <s v="Q4"/>
    <n v="0.38194880379437818"/>
    <n v="1194.75"/>
    <s v="Medium"/>
    <s v="Repeat"/>
    <s v="Below Avg"/>
    <s v="Profit"/>
    <n v="371"/>
  </r>
  <r>
    <n v="367"/>
    <d v="2025-01-01T00:00:00"/>
    <n v="1096"/>
    <s v="Customer_11"/>
    <s v="Corporate"/>
    <x v="3"/>
    <s v="Electronics"/>
    <s v="Product_D"/>
    <n v="1333"/>
    <n v="1"/>
    <n v="0.05"/>
    <n v="-123"/>
    <s v="UPI"/>
    <n v="1266.3499999999999"/>
    <s v="Jan"/>
    <n v="2025"/>
    <s v="Q1"/>
    <n v="-9.7129545544280813E-2"/>
    <n v="66.650000000000006"/>
    <s v="Low"/>
    <s v="Repeat"/>
    <s v="Below Avg"/>
    <s v="Loss"/>
    <n v="466"/>
  </r>
  <r>
    <n v="368"/>
    <d v="2025-01-02T00:00:00"/>
    <n v="1051"/>
    <s v="Customer_188"/>
    <s v="Consumer"/>
    <x v="1"/>
    <s v="Clothing"/>
    <s v="Product_D"/>
    <n v="1629"/>
    <n v="2"/>
    <n v="0.15"/>
    <n v="-281"/>
    <s v="Card"/>
    <n v="2769.2999999999902"/>
    <s v="Jan"/>
    <n v="2025"/>
    <s v="Q1"/>
    <n v="-0.10146968548008559"/>
    <n v="488.7"/>
    <s v="Medium"/>
    <s v="Repeat"/>
    <s v="Below Avg"/>
    <s v="Loss"/>
    <n v="400"/>
  </r>
  <r>
    <n v="369"/>
    <d v="2025-01-03T00:00:00"/>
    <n v="1097"/>
    <s v="Customer_32"/>
    <s v="Corporate"/>
    <x v="1"/>
    <s v="Clothing"/>
    <s v="Product_C"/>
    <n v="4451"/>
    <n v="6"/>
    <n v="0.12"/>
    <n v="978"/>
    <s v="UPI"/>
    <n v="23501.279999999999"/>
    <s v="Jan"/>
    <n v="2025"/>
    <s v="Q1"/>
    <n v="4.1614754600600483E-2"/>
    <n v="3204.72"/>
    <s v="High"/>
    <s v="Repeat"/>
    <s v="Above Avg"/>
    <s v="Profit"/>
    <n v="57"/>
  </r>
  <r>
    <n v="370"/>
    <d v="2025-01-04T00:00:00"/>
    <n v="1003"/>
    <s v="Customer_2"/>
    <s v="Consumer"/>
    <x v="0"/>
    <s v="Furniture"/>
    <s v="Product_D"/>
    <n v="1480"/>
    <n v="7"/>
    <n v="0.26"/>
    <n v="1989"/>
    <s v="UPI"/>
    <n v="7666.4"/>
    <s v="Jan"/>
    <n v="2025"/>
    <s v="Q1"/>
    <n v="0.25944380674110407"/>
    <n v="2693.6"/>
    <s v="High"/>
    <s v="Repeat"/>
    <s v="Below Avg"/>
    <s v="Profit"/>
    <n v="261"/>
  </r>
  <r>
    <n v="371"/>
    <d v="2025-01-05T00:00:00"/>
    <n v="1000"/>
    <s v="Customer_138"/>
    <s v="Corporate"/>
    <x v="0"/>
    <s v="Clothing"/>
    <s v="Product_C"/>
    <n v="241"/>
    <n v="7"/>
    <n v="0.04"/>
    <n v="967"/>
    <s v="COD"/>
    <n v="1619.52"/>
    <s v="Jan"/>
    <n v="2025"/>
    <s v="Q1"/>
    <n v="0.5970904959494171"/>
    <n v="67.48"/>
    <s v="Low"/>
    <s v="Repeat"/>
    <s v="Below Avg"/>
    <s v="Profit"/>
    <n v="452"/>
  </r>
  <r>
    <n v="372"/>
    <d v="2025-01-06T00:00:00"/>
    <n v="1077"/>
    <s v="Customer_124"/>
    <s v="Corporate"/>
    <x v="0"/>
    <s v="Clothing"/>
    <s v="Product_D"/>
    <n v="1316"/>
    <n v="6"/>
    <n v="0.27"/>
    <n v="-31"/>
    <s v="COD"/>
    <n v="5764.08"/>
    <s v="Jan"/>
    <n v="2025"/>
    <s v="Q1"/>
    <n v="-5.3781349322008024E-3"/>
    <n v="2131.92"/>
    <s v="High"/>
    <s v="Repeat"/>
    <s v="Below Avg"/>
    <s v="Loss"/>
    <n v="302"/>
  </r>
  <r>
    <n v="373"/>
    <d v="2025-01-07T00:00:00"/>
    <n v="1094"/>
    <s v="Customer_174"/>
    <s v="Consumer"/>
    <x v="2"/>
    <s v="Electronics"/>
    <s v="Product_C"/>
    <n v="3947"/>
    <n v="8"/>
    <n v="0.08"/>
    <n v="655"/>
    <s v="COD"/>
    <n v="29049.919999999998"/>
    <s v="Jan"/>
    <n v="2025"/>
    <s v="Q1"/>
    <n v="2.2547394278538462E-2"/>
    <n v="2526.08"/>
    <s v="High"/>
    <s v="Repeat"/>
    <s v="Above Avg"/>
    <s v="Profit"/>
    <n v="27"/>
  </r>
  <r>
    <n v="374"/>
    <d v="2025-01-08T00:00:00"/>
    <n v="1037"/>
    <s v="Customer_22"/>
    <s v="Consumer"/>
    <x v="1"/>
    <s v="Furniture"/>
    <s v="Product_B"/>
    <n v="4287"/>
    <n v="8"/>
    <n v="0.18"/>
    <n v="312"/>
    <s v="UPI"/>
    <n v="28122.720000000001"/>
    <s v="Jan"/>
    <n v="2025"/>
    <s v="Q1"/>
    <n v="1.1094232705798016E-2"/>
    <n v="6173.28"/>
    <s v="High"/>
    <s v="Repeat"/>
    <s v="Above Avg"/>
    <s v="Profit"/>
    <n v="30"/>
  </r>
  <r>
    <n v="375"/>
    <d v="2025-01-09T00:00:00"/>
    <n v="1052"/>
    <s v="Customer_73"/>
    <s v="Corporate"/>
    <x v="1"/>
    <s v="Clothing"/>
    <s v="Product_C"/>
    <n v="1876"/>
    <n v="1"/>
    <n v="0.11"/>
    <n v="486"/>
    <s v="Card"/>
    <n v="1669.64"/>
    <s v="Jan"/>
    <n v="2025"/>
    <s v="Q1"/>
    <n v="0.29108071200977453"/>
    <n v="206.36"/>
    <s v="Low"/>
    <s v="Repeat"/>
    <s v="Below Avg"/>
    <s v="Profit"/>
    <n v="448"/>
  </r>
  <r>
    <n v="376"/>
    <d v="2025-01-10T00:00:00"/>
    <n v="1083"/>
    <s v="Customer_118"/>
    <s v="Corporate"/>
    <x v="0"/>
    <s v="Furniture"/>
    <s v="Product_C"/>
    <n v="3751"/>
    <n v="9"/>
    <n v="0.28000000000000003"/>
    <n v="339"/>
    <s v="COD"/>
    <n v="24306.48"/>
    <s v="Jan"/>
    <n v="2025"/>
    <s v="Q1"/>
    <n v="1.3946898111120985E-2"/>
    <n v="9452.52"/>
    <s v="High"/>
    <s v="Repeat"/>
    <s v="Above Avg"/>
    <s v="Profit"/>
    <n v="49"/>
  </r>
  <r>
    <n v="377"/>
    <d v="2025-01-11T00:00:00"/>
    <n v="1002"/>
    <s v="Customer_55"/>
    <s v="Consumer"/>
    <x v="0"/>
    <s v="Electronics"/>
    <s v="Product_B"/>
    <n v="2552"/>
    <n v="4"/>
    <n v="0.06"/>
    <n v="-131"/>
    <s v="UPI"/>
    <n v="9595.5199999999895"/>
    <s v="Jan"/>
    <n v="2025"/>
    <s v="Q1"/>
    <n v="-1.3652204362035632E-2"/>
    <n v="612.48"/>
    <s v="High"/>
    <s v="Repeat"/>
    <s v="Below Avg"/>
    <s v="Loss"/>
    <n v="213"/>
  </r>
  <r>
    <n v="378"/>
    <d v="2025-01-12T00:00:00"/>
    <n v="1098"/>
    <s v="Customer_187"/>
    <s v="Corporate"/>
    <x v="3"/>
    <s v="Electronics"/>
    <s v="Product_C"/>
    <n v="817"/>
    <n v="4"/>
    <n v="0.15"/>
    <n v="514"/>
    <s v="UPI"/>
    <n v="2777.7999999999902"/>
    <s v="Jan"/>
    <n v="2025"/>
    <s v="Q1"/>
    <n v="0.18503851969184312"/>
    <n v="490.2"/>
    <s v="Medium"/>
    <s v="Repeat"/>
    <s v="Below Avg"/>
    <s v="Profit"/>
    <n v="399"/>
  </r>
  <r>
    <n v="379"/>
    <d v="2025-01-13T00:00:00"/>
    <n v="1096"/>
    <s v="Customer_30"/>
    <s v="Corporate"/>
    <x v="0"/>
    <s v="Clothing"/>
    <s v="Product_B"/>
    <n v="660"/>
    <n v="9"/>
    <n v="7.0000000000000007E-2"/>
    <n v="-250"/>
    <s v="UPI"/>
    <n v="5524.2"/>
    <s v="Jan"/>
    <n v="2025"/>
    <s v="Q1"/>
    <n v="-4.5255421599507621E-2"/>
    <n v="415.8"/>
    <s v="High"/>
    <s v="Repeat"/>
    <s v="Below Avg"/>
    <s v="Loss"/>
    <n v="308"/>
  </r>
  <r>
    <n v="380"/>
    <d v="2025-01-14T00:00:00"/>
    <n v="1014"/>
    <s v="Customer_181"/>
    <s v="Consumer"/>
    <x v="2"/>
    <s v="Furniture"/>
    <s v="Product_B"/>
    <n v="1004"/>
    <n v="2"/>
    <n v="0.24"/>
    <n v="-339"/>
    <s v="UPI"/>
    <n v="1526.08"/>
    <s v="Jan"/>
    <n v="2025"/>
    <s v="Q1"/>
    <n v="-0.2221377647305515"/>
    <n v="481.91999999999996"/>
    <s v="Low"/>
    <s v="Repeat"/>
    <s v="Below Avg"/>
    <s v="Loss"/>
    <n v="456"/>
  </r>
  <r>
    <n v="381"/>
    <d v="2025-01-15T00:00:00"/>
    <n v="1002"/>
    <s v="Customer_89"/>
    <s v="Consumer"/>
    <x v="0"/>
    <s v="Clothing"/>
    <s v="Product_D"/>
    <n v="1036"/>
    <n v="6"/>
    <n v="0.08"/>
    <n v="162"/>
    <s v="COD"/>
    <n v="5718.72"/>
    <s v="Jan"/>
    <n v="2025"/>
    <s v="Q1"/>
    <n v="2.8328017458452238E-2"/>
    <n v="497.28000000000003"/>
    <s v="High"/>
    <s v="Repeat"/>
    <s v="Below Avg"/>
    <s v="Profit"/>
    <n v="303"/>
  </r>
  <r>
    <n v="382"/>
    <d v="2025-01-16T00:00:00"/>
    <n v="1091"/>
    <s v="Customer_21"/>
    <s v="Consumer"/>
    <x v="1"/>
    <s v="Furniture"/>
    <s v="Product_C"/>
    <n v="396"/>
    <n v="2"/>
    <n v="0.28999999999999998"/>
    <n v="1960"/>
    <s v="Card"/>
    <n v="562.31999999999903"/>
    <s v="Jan"/>
    <n v="2025"/>
    <s v="Q1"/>
    <n v="3.4855598235879985"/>
    <n v="229.67999999999998"/>
    <s v="Low"/>
    <s v="Repeat"/>
    <s v="Below Avg"/>
    <s v="Profit"/>
    <n v="488"/>
  </r>
  <r>
    <n v="383"/>
    <d v="2025-01-17T00:00:00"/>
    <n v="1090"/>
    <s v="Customer_82"/>
    <s v="Consumer"/>
    <x v="2"/>
    <s v="Furniture"/>
    <s v="Product_B"/>
    <n v="4994"/>
    <n v="9"/>
    <n v="0.28000000000000003"/>
    <n v="992"/>
    <s v="COD"/>
    <n v="32361.119999999999"/>
    <s v="Jan"/>
    <n v="2025"/>
    <s v="Q1"/>
    <n v="3.0654068833217144E-2"/>
    <n v="12584.880000000001"/>
    <s v="High"/>
    <s v="Repeat"/>
    <s v="Above Avg"/>
    <s v="Profit"/>
    <n v="20"/>
  </r>
  <r>
    <n v="384"/>
    <d v="2025-01-18T00:00:00"/>
    <n v="1032"/>
    <s v="Customer_20"/>
    <s v="Corporate"/>
    <x v="3"/>
    <s v="Electronics"/>
    <s v="Product_A"/>
    <n v="1860"/>
    <n v="3"/>
    <n v="0.14000000000000001"/>
    <n v="1994"/>
    <s v="Card"/>
    <n v="4798.8"/>
    <s v="Jan"/>
    <n v="2025"/>
    <s v="Q1"/>
    <n v="0.41552054680336747"/>
    <n v="781.2"/>
    <s v="Medium"/>
    <s v="Repeat"/>
    <s v="Below Avg"/>
    <s v="Profit"/>
    <n v="330"/>
  </r>
  <r>
    <n v="385"/>
    <d v="2025-01-19T00:00:00"/>
    <n v="1082"/>
    <s v="Customer_113"/>
    <s v="Corporate"/>
    <x v="2"/>
    <s v="Clothing"/>
    <s v="Product_C"/>
    <n v="1299"/>
    <n v="6"/>
    <n v="0"/>
    <n v="92"/>
    <s v="UPI"/>
    <n v="7794"/>
    <s v="Jan"/>
    <n v="2025"/>
    <s v="Q1"/>
    <n v="1.1803951757762381E-2"/>
    <n v="0"/>
    <s v="High"/>
    <s v="Repeat"/>
    <s v="Below Avg"/>
    <s v="Profit"/>
    <n v="256"/>
  </r>
  <r>
    <n v="386"/>
    <d v="2025-01-20T00:00:00"/>
    <n v="1055"/>
    <s v="Customer_167"/>
    <s v="Consumer"/>
    <x v="3"/>
    <s v="Furniture"/>
    <s v="Product_C"/>
    <n v="4386"/>
    <n v="3"/>
    <n v="0.28999999999999998"/>
    <n v="838"/>
    <s v="COD"/>
    <n v="9342.18"/>
    <s v="Jan"/>
    <n v="2025"/>
    <s v="Q1"/>
    <n v="8.9700690845177455E-2"/>
    <n v="3815.8199999999997"/>
    <s v="High"/>
    <s v="Repeat"/>
    <s v="Below Avg"/>
    <s v="Profit"/>
    <n v="224"/>
  </r>
  <r>
    <n v="387"/>
    <d v="2025-01-21T00:00:00"/>
    <n v="1032"/>
    <s v="Customer_35"/>
    <s v="Consumer"/>
    <x v="3"/>
    <s v="Electronics"/>
    <s v="Product_A"/>
    <n v="3993"/>
    <n v="5"/>
    <n v="0.21"/>
    <n v="1730"/>
    <s v="COD"/>
    <n v="15772.35"/>
    <s v="Jan"/>
    <n v="2025"/>
    <s v="Q1"/>
    <n v="0.10968562072234005"/>
    <n v="4192.6499999999996"/>
    <s v="High"/>
    <s v="Repeat"/>
    <s v="Above Avg"/>
    <s v="Profit"/>
    <n v="132"/>
  </r>
  <r>
    <n v="388"/>
    <d v="2025-01-22T00:00:00"/>
    <n v="1030"/>
    <s v="Customer_29"/>
    <s v="Consumer"/>
    <x v="1"/>
    <s v="Electronics"/>
    <s v="Product_B"/>
    <n v="1045"/>
    <n v="3"/>
    <n v="0.15"/>
    <n v="1869"/>
    <s v="Card"/>
    <n v="2664.75"/>
    <s v="Jan"/>
    <n v="2025"/>
    <s v="Q1"/>
    <n v="0.70137911623979732"/>
    <n v="470.25"/>
    <s v="Medium"/>
    <s v="Repeat"/>
    <s v="Below Avg"/>
    <s v="Profit"/>
    <n v="405"/>
  </r>
  <r>
    <n v="389"/>
    <d v="2025-01-23T00:00:00"/>
    <n v="1003"/>
    <s v="Customer_110"/>
    <s v="Corporate"/>
    <x v="2"/>
    <s v="Furniture"/>
    <s v="Product_C"/>
    <n v="1736"/>
    <n v="8"/>
    <n v="0.18"/>
    <n v="492"/>
    <s v="COD"/>
    <n v="11388.16"/>
    <s v="Jan"/>
    <n v="2025"/>
    <s v="Q1"/>
    <n v="4.3202764976958526E-2"/>
    <n v="2499.8399999999997"/>
    <s v="High"/>
    <s v="Repeat"/>
    <s v="Above Avg"/>
    <s v="Profit"/>
    <n v="183"/>
  </r>
  <r>
    <n v="390"/>
    <d v="2025-01-24T00:00:00"/>
    <n v="1095"/>
    <s v="Customer_56"/>
    <s v="Consumer"/>
    <x v="3"/>
    <s v="Clothing"/>
    <s v="Product_A"/>
    <n v="2341"/>
    <n v="4"/>
    <n v="0.03"/>
    <n v="1730"/>
    <s v="Card"/>
    <n v="9083.08"/>
    <s v="Jan"/>
    <n v="2025"/>
    <s v="Q1"/>
    <n v="0.19046402762058684"/>
    <n v="280.92"/>
    <s v="High"/>
    <s v="Repeat"/>
    <s v="Below Avg"/>
    <s v="Profit"/>
    <n v="229"/>
  </r>
  <r>
    <n v="391"/>
    <d v="2025-01-25T00:00:00"/>
    <n v="1091"/>
    <s v="Customer_116"/>
    <s v="Consumer"/>
    <x v="2"/>
    <s v="Clothing"/>
    <s v="Product_C"/>
    <n v="3013"/>
    <n v="3"/>
    <n v="0.05"/>
    <n v="1502"/>
    <s v="COD"/>
    <n v="8587.0499999999993"/>
    <s v="Jan"/>
    <n v="2025"/>
    <s v="Q1"/>
    <n v="0.17491455156310959"/>
    <n v="451.95000000000005"/>
    <s v="High"/>
    <s v="Repeat"/>
    <s v="Below Avg"/>
    <s v="Profit"/>
    <n v="237"/>
  </r>
  <r>
    <n v="392"/>
    <d v="2025-01-26T00:00:00"/>
    <n v="1079"/>
    <s v="Customer_183"/>
    <s v="Corporate"/>
    <x v="3"/>
    <s v="Clothing"/>
    <s v="Product_D"/>
    <n v="3266"/>
    <n v="8"/>
    <n v="0.19"/>
    <n v="658"/>
    <s v="UPI"/>
    <n v="21163.68"/>
    <s v="Jan"/>
    <n v="2025"/>
    <s v="Q1"/>
    <n v="3.1091001186939134E-2"/>
    <n v="4964.32"/>
    <s v="High"/>
    <s v="Repeat"/>
    <s v="Above Avg"/>
    <s v="Profit"/>
    <n v="73"/>
  </r>
  <r>
    <n v="393"/>
    <d v="2025-01-27T00:00:00"/>
    <n v="1091"/>
    <s v="Customer_181"/>
    <s v="Consumer"/>
    <x v="0"/>
    <s v="Clothing"/>
    <s v="Product_C"/>
    <n v="4888"/>
    <n v="7"/>
    <n v="0.01"/>
    <n v="249"/>
    <s v="COD"/>
    <n v="33873.839999999997"/>
    <s v="Jan"/>
    <n v="2025"/>
    <s v="Q1"/>
    <n v="7.3508052231456497E-3"/>
    <n v="342.16"/>
    <s v="High"/>
    <s v="Repeat"/>
    <s v="Above Avg"/>
    <s v="Profit"/>
    <n v="15"/>
  </r>
  <r>
    <n v="394"/>
    <d v="2025-01-28T00:00:00"/>
    <n v="1078"/>
    <s v="Customer_176"/>
    <s v="Corporate"/>
    <x v="0"/>
    <s v="Electronics"/>
    <s v="Product_B"/>
    <n v="4543"/>
    <n v="1"/>
    <n v="0.21"/>
    <n v="62"/>
    <s v="UPI"/>
    <n v="3588.97"/>
    <s v="Jan"/>
    <n v="2025"/>
    <s v="Q1"/>
    <n v="1.7275151366548065E-2"/>
    <n v="954.03"/>
    <s v="Medium"/>
    <s v="Repeat"/>
    <s v="Below Avg"/>
    <s v="Profit"/>
    <n v="370"/>
  </r>
  <r>
    <n v="395"/>
    <d v="2025-01-29T00:00:00"/>
    <n v="1021"/>
    <s v="Customer_67"/>
    <s v="Corporate"/>
    <x v="2"/>
    <s v="Clothing"/>
    <s v="Product_B"/>
    <n v="2496"/>
    <n v="3"/>
    <n v="0.28000000000000003"/>
    <n v="455"/>
    <s v="Card"/>
    <n v="5391.36"/>
    <s v="Jan"/>
    <n v="2025"/>
    <s v="Q1"/>
    <n v="8.4394290123456797E-2"/>
    <n v="2096.6400000000003"/>
    <s v="High"/>
    <s v="Repeat"/>
    <s v="Below Avg"/>
    <s v="Profit"/>
    <n v="313"/>
  </r>
  <r>
    <n v="396"/>
    <d v="2025-01-30T00:00:00"/>
    <n v="1030"/>
    <s v="Customer_183"/>
    <s v="Consumer"/>
    <x v="2"/>
    <s v="Clothing"/>
    <s v="Product_C"/>
    <n v="1506"/>
    <n v="3"/>
    <n v="0.21"/>
    <n v="-309"/>
    <s v="UPI"/>
    <n v="3569.22"/>
    <s v="Jan"/>
    <n v="2025"/>
    <s v="Q1"/>
    <n v="-8.6573537075327389E-2"/>
    <n v="948.78"/>
    <s v="Medium"/>
    <s v="Repeat"/>
    <s v="Below Avg"/>
    <s v="Loss"/>
    <n v="373"/>
  </r>
  <r>
    <n v="397"/>
    <d v="2025-01-31T00:00:00"/>
    <n v="1059"/>
    <s v="Customer_32"/>
    <s v="Corporate"/>
    <x v="3"/>
    <s v="Furniture"/>
    <s v="Product_A"/>
    <n v="593"/>
    <n v="4"/>
    <n v="0.17"/>
    <n v="1059"/>
    <s v="Card"/>
    <n v="1968.76"/>
    <s v="Jan"/>
    <n v="2025"/>
    <s v="Q1"/>
    <n v="0.53790202970397616"/>
    <n v="403.24"/>
    <s v="Low"/>
    <s v="Repeat"/>
    <s v="Below Avg"/>
    <s v="Profit"/>
    <n v="432"/>
  </r>
  <r>
    <n v="398"/>
    <d v="2025-02-01T00:00:00"/>
    <n v="1084"/>
    <s v="Customer_58"/>
    <s v="Corporate"/>
    <x v="3"/>
    <s v="Furniture"/>
    <s v="Product_A"/>
    <n v="2132"/>
    <n v="1"/>
    <n v="0.24"/>
    <n v="1264"/>
    <s v="COD"/>
    <n v="1620.32"/>
    <s v="Feb"/>
    <n v="2025"/>
    <s v="Q1"/>
    <n v="0.78009282117112677"/>
    <n v="511.68"/>
    <s v="Low"/>
    <s v="Repeat"/>
    <s v="Below Avg"/>
    <s v="Profit"/>
    <n v="451"/>
  </r>
  <r>
    <n v="399"/>
    <d v="2025-02-02T00:00:00"/>
    <n v="1031"/>
    <s v="Customer_78"/>
    <s v="Consumer"/>
    <x v="3"/>
    <s v="Furniture"/>
    <s v="Product_A"/>
    <n v="160"/>
    <n v="9"/>
    <n v="0.22"/>
    <n v="121"/>
    <s v="UPI"/>
    <n v="1123.2"/>
    <s v="Feb"/>
    <n v="2025"/>
    <s v="Q1"/>
    <n v="0.10772792022792023"/>
    <n v="316.8"/>
    <s v="Low"/>
    <s v="New"/>
    <s v="Below Avg"/>
    <s v="Profit"/>
    <n v="473"/>
  </r>
  <r>
    <n v="400"/>
    <d v="2025-02-03T00:00:00"/>
    <n v="1070"/>
    <s v="Customer_69"/>
    <s v="Consumer"/>
    <x v="1"/>
    <s v="Furniture"/>
    <s v="Product_B"/>
    <n v="1845"/>
    <n v="2"/>
    <n v="0.18"/>
    <n v="-188"/>
    <s v="COD"/>
    <n v="3025.8"/>
    <s v="Feb"/>
    <n v="2025"/>
    <s v="Q1"/>
    <n v="-6.2132328640359571E-2"/>
    <n v="664.19999999999993"/>
    <s v="Medium"/>
    <s v="Repeat"/>
    <s v="Below Avg"/>
    <s v="Loss"/>
    <n v="391"/>
  </r>
  <r>
    <n v="401"/>
    <d v="2025-02-04T00:00:00"/>
    <n v="1096"/>
    <s v="Customer_28"/>
    <s v="Consumer"/>
    <x v="1"/>
    <s v="Electronics"/>
    <s v="Product_C"/>
    <n v="3601"/>
    <n v="7"/>
    <n v="0.06"/>
    <n v="774"/>
    <s v="Card"/>
    <n v="23694.5799999999"/>
    <s v="Feb"/>
    <n v="2025"/>
    <s v="Q1"/>
    <n v="3.2665698231410023E-2"/>
    <n v="1512.4199999999998"/>
    <s v="High"/>
    <s v="Repeat"/>
    <s v="Above Avg"/>
    <s v="Profit"/>
    <n v="54"/>
  </r>
  <r>
    <n v="402"/>
    <d v="2025-02-05T00:00:00"/>
    <n v="1007"/>
    <s v="Customer_72"/>
    <s v="Consumer"/>
    <x v="2"/>
    <s v="Clothing"/>
    <s v="Product_D"/>
    <n v="1056"/>
    <n v="2"/>
    <n v="0"/>
    <n v="1283"/>
    <s v="UPI"/>
    <n v="2112"/>
    <s v="Feb"/>
    <n v="2025"/>
    <s v="Q1"/>
    <n v="0.60748106060606055"/>
    <n v="0"/>
    <s v="Medium"/>
    <s v="Repeat"/>
    <s v="Below Avg"/>
    <s v="Profit"/>
    <n v="422"/>
  </r>
  <r>
    <n v="403"/>
    <d v="2025-02-06T00:00:00"/>
    <n v="1077"/>
    <s v="Customer_109"/>
    <s v="Consumer"/>
    <x v="2"/>
    <s v="Clothing"/>
    <s v="Product_D"/>
    <n v="4889"/>
    <n v="8"/>
    <n v="0.14000000000000001"/>
    <n v="517"/>
    <s v="UPI"/>
    <n v="33636.32"/>
    <s v="Feb"/>
    <n v="2025"/>
    <s v="Q1"/>
    <n v="1.5370290210106219E-2"/>
    <n v="5475.68"/>
    <s v="High"/>
    <s v="Repeat"/>
    <s v="Above Avg"/>
    <s v="Profit"/>
    <n v="16"/>
  </r>
  <r>
    <n v="404"/>
    <d v="2025-02-07T00:00:00"/>
    <n v="1061"/>
    <s v="Customer_60"/>
    <s v="Consumer"/>
    <x v="0"/>
    <s v="Electronics"/>
    <s v="Product_D"/>
    <n v="4231"/>
    <n v="3"/>
    <n v="7.0000000000000007E-2"/>
    <n v="-225"/>
    <s v="UPI"/>
    <n v="11804.49"/>
    <s v="Feb"/>
    <n v="2025"/>
    <s v="Q1"/>
    <n v="-1.9060543911681063E-2"/>
    <n v="888.5100000000001"/>
    <s v="High"/>
    <s v="Repeat"/>
    <s v="Above Avg"/>
    <s v="Loss"/>
    <n v="172"/>
  </r>
  <r>
    <n v="405"/>
    <d v="2025-02-08T00:00:00"/>
    <n v="1088"/>
    <s v="Customer_13"/>
    <s v="Corporate"/>
    <x v="0"/>
    <s v="Electronics"/>
    <s v="Product_B"/>
    <n v="2954"/>
    <n v="6"/>
    <n v="7.0000000000000007E-2"/>
    <n v="-111"/>
    <s v="COD"/>
    <n v="16483.32"/>
    <s v="Feb"/>
    <n v="2025"/>
    <s v="Q1"/>
    <n v="-6.7340802702368216E-3"/>
    <n v="1240.68"/>
    <s v="High"/>
    <s v="Repeat"/>
    <s v="Above Avg"/>
    <s v="Loss"/>
    <n v="115"/>
  </r>
  <r>
    <n v="406"/>
    <d v="2025-02-09T00:00:00"/>
    <n v="1095"/>
    <s v="Customer_18"/>
    <s v="Corporate"/>
    <x v="2"/>
    <s v="Electronics"/>
    <s v="Product_D"/>
    <n v="3263"/>
    <n v="8"/>
    <n v="0.15"/>
    <n v="562"/>
    <s v="COD"/>
    <n v="22188.3999999999"/>
    <s v="Feb"/>
    <n v="2025"/>
    <s v="Q1"/>
    <n v="2.5328550053181055E-2"/>
    <n v="3915.6"/>
    <s v="High"/>
    <s v="Repeat"/>
    <s v="Above Avg"/>
    <s v="Profit"/>
    <n v="65"/>
  </r>
  <r>
    <n v="407"/>
    <d v="2025-02-10T00:00:00"/>
    <n v="1027"/>
    <s v="Customer_179"/>
    <s v="Corporate"/>
    <x v="3"/>
    <s v="Electronics"/>
    <s v="Product_D"/>
    <n v="1024"/>
    <n v="5"/>
    <n v="0.11"/>
    <n v="538"/>
    <s v="COD"/>
    <n v="4556.8"/>
    <s v="Feb"/>
    <n v="2025"/>
    <s v="Q1"/>
    <n v="0.11806530898876404"/>
    <n v="563.20000000000005"/>
    <s v="Medium"/>
    <s v="Repeat"/>
    <s v="Below Avg"/>
    <s v="Profit"/>
    <n v="337"/>
  </r>
  <r>
    <n v="408"/>
    <d v="2025-02-11T00:00:00"/>
    <n v="1065"/>
    <s v="Customer_50"/>
    <s v="Consumer"/>
    <x v="1"/>
    <s v="Clothing"/>
    <s v="Product_A"/>
    <n v="2288"/>
    <n v="7"/>
    <n v="0.15"/>
    <n v="634"/>
    <s v="Card"/>
    <n v="13613.6"/>
    <s v="Feb"/>
    <n v="2025"/>
    <s v="Q1"/>
    <n v="4.6571075982840687E-2"/>
    <n v="2402.4"/>
    <s v="High"/>
    <s v="Repeat"/>
    <s v="Above Avg"/>
    <s v="Profit"/>
    <n v="152"/>
  </r>
  <r>
    <n v="409"/>
    <d v="2025-02-12T00:00:00"/>
    <n v="1016"/>
    <s v="Customer_43"/>
    <s v="Consumer"/>
    <x v="2"/>
    <s v="Electronics"/>
    <s v="Product_A"/>
    <n v="4617"/>
    <n v="9"/>
    <n v="0.08"/>
    <n v="1491"/>
    <s v="Card"/>
    <n v="38228.76"/>
    <s v="Feb"/>
    <n v="2025"/>
    <s v="Q1"/>
    <n v="3.9002049765673799E-2"/>
    <n v="3324.2400000000002"/>
    <s v="High"/>
    <s v="Repeat"/>
    <s v="Above Avg"/>
    <s v="Profit"/>
    <n v="5"/>
  </r>
  <r>
    <n v="410"/>
    <d v="2025-02-13T00:00:00"/>
    <n v="1090"/>
    <s v="Customer_85"/>
    <s v="Consumer"/>
    <x v="2"/>
    <s v="Clothing"/>
    <s v="Product_D"/>
    <n v="1303"/>
    <n v="5"/>
    <n v="0.18"/>
    <n v="826"/>
    <s v="Card"/>
    <n v="5342.3"/>
    <s v="Feb"/>
    <n v="2025"/>
    <s v="Q1"/>
    <n v="0.15461505344140164"/>
    <n v="1172.7"/>
    <s v="High"/>
    <s v="Repeat"/>
    <s v="Below Avg"/>
    <s v="Profit"/>
    <n v="315"/>
  </r>
  <r>
    <n v="411"/>
    <d v="2025-02-14T00:00:00"/>
    <n v="1001"/>
    <s v="Customer_46"/>
    <s v="Consumer"/>
    <x v="0"/>
    <s v="Furniture"/>
    <s v="Product_A"/>
    <n v="2942"/>
    <n v="7"/>
    <n v="0.19"/>
    <n v="90"/>
    <s v="UPI"/>
    <n v="16681.14"/>
    <s v="Feb"/>
    <n v="2025"/>
    <s v="Q1"/>
    <n v="5.3953147087069595E-3"/>
    <n v="3912.86"/>
    <s v="High"/>
    <s v="Repeat"/>
    <s v="Above Avg"/>
    <s v="Profit"/>
    <n v="109"/>
  </r>
  <r>
    <n v="412"/>
    <d v="2025-02-15T00:00:00"/>
    <n v="1007"/>
    <s v="Customer_24"/>
    <s v="Consumer"/>
    <x v="2"/>
    <s v="Furniture"/>
    <s v="Product_C"/>
    <n v="3138"/>
    <n v="8"/>
    <n v="0.06"/>
    <n v="281"/>
    <s v="COD"/>
    <n v="23597.759999999998"/>
    <s v="Feb"/>
    <n v="2025"/>
    <s v="Q1"/>
    <n v="1.1907909903312858E-2"/>
    <n v="1506.24"/>
    <s v="High"/>
    <s v="Repeat"/>
    <s v="Above Avg"/>
    <s v="Profit"/>
    <n v="55"/>
  </r>
  <r>
    <n v="413"/>
    <d v="2025-02-16T00:00:00"/>
    <n v="1037"/>
    <s v="Customer_5"/>
    <s v="Corporate"/>
    <x v="0"/>
    <s v="Electronics"/>
    <s v="Product_C"/>
    <n v="2851"/>
    <n v="4"/>
    <n v="0.17"/>
    <n v="385"/>
    <s v="Card"/>
    <n v="9465.32"/>
    <s v="Feb"/>
    <n v="2025"/>
    <s v="Q1"/>
    <n v="4.0674800218059193E-2"/>
    <n v="1938.68"/>
    <s v="High"/>
    <s v="Repeat"/>
    <s v="Below Avg"/>
    <s v="Profit"/>
    <n v="219"/>
  </r>
  <r>
    <n v="414"/>
    <d v="2025-02-17T00:00:00"/>
    <n v="1019"/>
    <s v="Customer_158"/>
    <s v="Consumer"/>
    <x v="1"/>
    <s v="Clothing"/>
    <s v="Product_A"/>
    <n v="1181"/>
    <n v="8"/>
    <n v="0.13"/>
    <n v="-134"/>
    <s v="COD"/>
    <n v="8219.76"/>
    <s v="Feb"/>
    <n v="2025"/>
    <s v="Q1"/>
    <n v="-1.6302179139050289E-2"/>
    <n v="1228.24"/>
    <s v="High"/>
    <s v="Repeat"/>
    <s v="Below Avg"/>
    <s v="Loss"/>
    <n v="243"/>
  </r>
  <r>
    <n v="415"/>
    <d v="2025-02-18T00:00:00"/>
    <n v="1063"/>
    <s v="Customer_43"/>
    <s v="Corporate"/>
    <x v="2"/>
    <s v="Furniture"/>
    <s v="Product_A"/>
    <n v="4382"/>
    <n v="8"/>
    <n v="0.28999999999999998"/>
    <n v="420"/>
    <s v="UPI"/>
    <n v="24889.759999999998"/>
    <s v="Feb"/>
    <n v="2025"/>
    <s v="Q1"/>
    <n v="1.6874409395671152E-2"/>
    <n v="10166.24"/>
    <s v="High"/>
    <s v="Repeat"/>
    <s v="Above Avg"/>
    <s v="Profit"/>
    <n v="43"/>
  </r>
  <r>
    <n v="416"/>
    <d v="2025-02-19T00:00:00"/>
    <n v="1020"/>
    <s v="Customer_53"/>
    <s v="Consumer"/>
    <x v="1"/>
    <s v="Furniture"/>
    <s v="Product_C"/>
    <n v="346"/>
    <n v="1"/>
    <n v="0.22"/>
    <n v="1283"/>
    <s v="COD"/>
    <n v="269.88"/>
    <s v="Feb"/>
    <n v="2025"/>
    <s v="Q1"/>
    <n v="4.7539647250629908"/>
    <n v="76.12"/>
    <s v="Low"/>
    <s v="Repeat"/>
    <s v="Below Avg"/>
    <s v="Profit"/>
    <n v="497"/>
  </r>
  <r>
    <n v="417"/>
    <d v="2025-02-20T00:00:00"/>
    <n v="1089"/>
    <s v="Customer_152"/>
    <s v="Consumer"/>
    <x v="0"/>
    <s v="Electronics"/>
    <s v="Product_B"/>
    <n v="895"/>
    <n v="7"/>
    <n v="0.05"/>
    <n v="305"/>
    <s v="Card"/>
    <n v="5951.75"/>
    <s v="Feb"/>
    <n v="2025"/>
    <s v="Q1"/>
    <n v="5.1245432015793672E-2"/>
    <n v="313.25"/>
    <s v="High"/>
    <s v="Repeat"/>
    <s v="Below Avg"/>
    <s v="Profit"/>
    <n v="299"/>
  </r>
  <r>
    <n v="418"/>
    <d v="2025-02-21T00:00:00"/>
    <n v="1030"/>
    <s v="Customer_103"/>
    <s v="Consumer"/>
    <x v="3"/>
    <s v="Clothing"/>
    <s v="Product_D"/>
    <n v="3786"/>
    <n v="6"/>
    <n v="0.26"/>
    <n v="1046"/>
    <s v="UPI"/>
    <n v="16809.84"/>
    <s v="Feb"/>
    <n v="2025"/>
    <s v="Q1"/>
    <n v="6.2225458421971892E-2"/>
    <n v="5906.16"/>
    <s v="High"/>
    <s v="Repeat"/>
    <s v="Above Avg"/>
    <s v="Profit"/>
    <n v="106"/>
  </r>
  <r>
    <n v="419"/>
    <d v="2025-02-22T00:00:00"/>
    <n v="1083"/>
    <s v="Customer_142"/>
    <s v="Corporate"/>
    <x v="3"/>
    <s v="Electronics"/>
    <s v="Product_A"/>
    <n v="1037"/>
    <n v="9"/>
    <n v="0.14000000000000001"/>
    <n v="1107"/>
    <s v="Card"/>
    <n v="8026.38"/>
    <s v="Feb"/>
    <n v="2025"/>
    <s v="Q1"/>
    <n v="0.13792020811374492"/>
    <n v="1306.6200000000001"/>
    <s v="High"/>
    <s v="Repeat"/>
    <s v="Below Avg"/>
    <s v="Profit"/>
    <n v="253"/>
  </r>
  <r>
    <n v="420"/>
    <d v="2025-02-23T00:00:00"/>
    <n v="1069"/>
    <s v="Customer_164"/>
    <s v="Corporate"/>
    <x v="1"/>
    <s v="Clothing"/>
    <s v="Product_B"/>
    <n v="2011"/>
    <n v="8"/>
    <n v="0.25"/>
    <n v="1506"/>
    <s v="Card"/>
    <n v="12066"/>
    <s v="Feb"/>
    <n v="2025"/>
    <s v="Q1"/>
    <n v="0.12481352560914968"/>
    <n v="4022"/>
    <s v="High"/>
    <s v="Repeat"/>
    <s v="Above Avg"/>
    <s v="Profit"/>
    <n v="166"/>
  </r>
  <r>
    <n v="421"/>
    <d v="2025-02-24T00:00:00"/>
    <n v="1014"/>
    <s v="Customer_154"/>
    <s v="Consumer"/>
    <x v="3"/>
    <s v="Clothing"/>
    <s v="Product_D"/>
    <n v="1278"/>
    <n v="4"/>
    <n v="0.25"/>
    <n v="-41"/>
    <s v="Card"/>
    <n v="3834"/>
    <s v="Feb"/>
    <n v="2025"/>
    <s v="Q1"/>
    <n v="-1.069379238393323E-2"/>
    <n v="1278"/>
    <s v="Medium"/>
    <s v="Repeat"/>
    <s v="Below Avg"/>
    <s v="Loss"/>
    <n v="362"/>
  </r>
  <r>
    <n v="422"/>
    <d v="2025-02-25T00:00:00"/>
    <n v="1056"/>
    <s v="Customer_13"/>
    <s v="Corporate"/>
    <x v="1"/>
    <s v="Clothing"/>
    <s v="Product_A"/>
    <n v="837"/>
    <n v="2"/>
    <n v="0.01"/>
    <n v="1937"/>
    <s v="COD"/>
    <n v="1657.26"/>
    <s v="Feb"/>
    <n v="2025"/>
    <s v="Q1"/>
    <n v="1.1687966885099501"/>
    <n v="16.740000000000002"/>
    <s v="Low"/>
    <s v="Repeat"/>
    <s v="Below Avg"/>
    <s v="Profit"/>
    <n v="449"/>
  </r>
  <r>
    <n v="423"/>
    <d v="2025-02-26T00:00:00"/>
    <n v="1000"/>
    <s v="Customer_21"/>
    <s v="Consumer"/>
    <x v="3"/>
    <s v="Clothing"/>
    <s v="Product_A"/>
    <n v="734"/>
    <n v="3"/>
    <n v="7.0000000000000007E-2"/>
    <n v="1682"/>
    <s v="UPI"/>
    <n v="2047.86"/>
    <s v="Feb"/>
    <n v="2025"/>
    <s v="Q1"/>
    <n v="0.82134520914515641"/>
    <n v="154.14000000000001"/>
    <s v="Medium"/>
    <s v="Repeat"/>
    <s v="Below Avg"/>
    <s v="Profit"/>
    <n v="427"/>
  </r>
  <r>
    <n v="424"/>
    <d v="2025-02-27T00:00:00"/>
    <n v="1089"/>
    <s v="Customer_90"/>
    <s v="Corporate"/>
    <x v="2"/>
    <s v="Electronics"/>
    <s v="Product_B"/>
    <n v="316"/>
    <n v="7"/>
    <n v="0.27"/>
    <n v="1139"/>
    <s v="Card"/>
    <n v="1614.76"/>
    <s v="Feb"/>
    <n v="2025"/>
    <s v="Q1"/>
    <n v="0.70536798038098536"/>
    <n v="597.24"/>
    <s v="Low"/>
    <s v="Repeat"/>
    <s v="Below Avg"/>
    <s v="Profit"/>
    <n v="453"/>
  </r>
  <r>
    <n v="425"/>
    <d v="2025-02-28T00:00:00"/>
    <n v="1028"/>
    <s v="Customer_98"/>
    <s v="Consumer"/>
    <x v="0"/>
    <s v="Furniture"/>
    <s v="Product_D"/>
    <n v="519"/>
    <n v="9"/>
    <n v="0.23"/>
    <n v="411"/>
    <s v="Card"/>
    <n v="3596.67"/>
    <s v="Feb"/>
    <n v="2025"/>
    <s v="Q1"/>
    <n v="0.11427236860762872"/>
    <n v="1074.3300000000002"/>
    <s v="Medium"/>
    <s v="Repeat"/>
    <s v="Below Avg"/>
    <s v="Profit"/>
    <n v="369"/>
  </r>
  <r>
    <n v="426"/>
    <d v="2025-03-01T00:00:00"/>
    <n v="1065"/>
    <s v="Customer_40"/>
    <s v="Consumer"/>
    <x v="3"/>
    <s v="Clothing"/>
    <s v="Product_A"/>
    <n v="2662"/>
    <n v="3"/>
    <n v="0.04"/>
    <n v="1264"/>
    <s v="UPI"/>
    <n v="7666.5599999999904"/>
    <s v="Mar"/>
    <n v="2025"/>
    <s v="Q1"/>
    <n v="0.16487185908673532"/>
    <n v="319.44"/>
    <s v="High"/>
    <s v="Repeat"/>
    <s v="Below Avg"/>
    <s v="Profit"/>
    <n v="260"/>
  </r>
  <r>
    <n v="427"/>
    <d v="2025-03-02T00:00:00"/>
    <n v="1021"/>
    <s v="Customer_43"/>
    <s v="Consumer"/>
    <x v="1"/>
    <s v="Clothing"/>
    <s v="Product_D"/>
    <n v="408"/>
    <n v="7"/>
    <n v="0.06"/>
    <n v="1876"/>
    <s v="Card"/>
    <n v="2684.64"/>
    <s v="Mar"/>
    <n v="2025"/>
    <s v="Q1"/>
    <n v="0.69879015435961622"/>
    <n v="171.35999999999999"/>
    <s v="Medium"/>
    <s v="Repeat"/>
    <s v="Below Avg"/>
    <s v="Profit"/>
    <n v="402"/>
  </r>
  <r>
    <n v="428"/>
    <d v="2025-03-03T00:00:00"/>
    <n v="1060"/>
    <s v="Customer_59"/>
    <s v="Consumer"/>
    <x v="0"/>
    <s v="Clothing"/>
    <s v="Product_D"/>
    <n v="4903"/>
    <n v="1"/>
    <n v="0.19"/>
    <n v="1541"/>
    <s v="UPI"/>
    <n v="3971.43"/>
    <s v="Mar"/>
    <n v="2025"/>
    <s v="Q1"/>
    <n v="0.38802144315775428"/>
    <n v="931.57"/>
    <s v="Medium"/>
    <s v="Repeat"/>
    <s v="Below Avg"/>
    <s v="Profit"/>
    <n v="355"/>
  </r>
  <r>
    <n v="429"/>
    <d v="2025-03-04T00:00:00"/>
    <n v="1028"/>
    <s v="Customer_49"/>
    <s v="Corporate"/>
    <x v="2"/>
    <s v="Electronics"/>
    <s v="Product_D"/>
    <n v="1966"/>
    <n v="3"/>
    <n v="0.08"/>
    <n v="919"/>
    <s v="Card"/>
    <n v="5426.16"/>
    <s v="Mar"/>
    <n v="2025"/>
    <s v="Q1"/>
    <n v="0.16936470726996625"/>
    <n v="471.84000000000003"/>
    <s v="High"/>
    <s v="Repeat"/>
    <s v="Below Avg"/>
    <s v="Profit"/>
    <n v="311"/>
  </r>
  <r>
    <n v="430"/>
    <d v="2025-03-05T00:00:00"/>
    <n v="1008"/>
    <s v="Customer_175"/>
    <s v="Corporate"/>
    <x v="2"/>
    <s v="Clothing"/>
    <s v="Product_B"/>
    <n v="1083"/>
    <n v="2"/>
    <n v="0.06"/>
    <n v="25"/>
    <s v="Card"/>
    <n v="2036.04"/>
    <s v="Mar"/>
    <n v="2025"/>
    <s v="Q1"/>
    <n v="1.2278737156440934E-2"/>
    <n v="129.96"/>
    <s v="Medium"/>
    <s v="Repeat"/>
    <s v="Below Avg"/>
    <s v="Profit"/>
    <n v="429"/>
  </r>
  <r>
    <n v="431"/>
    <d v="2025-03-06T00:00:00"/>
    <n v="1040"/>
    <s v="Customer_147"/>
    <s v="Corporate"/>
    <x v="1"/>
    <s v="Furniture"/>
    <s v="Product_D"/>
    <n v="3878"/>
    <n v="6"/>
    <n v="0.3"/>
    <n v="227"/>
    <s v="Card"/>
    <n v="16287.5999999999"/>
    <s v="Mar"/>
    <n v="2025"/>
    <s v="Q1"/>
    <n v="1.3936982735332485E-2"/>
    <n v="6980.4"/>
    <s v="High"/>
    <s v="Repeat"/>
    <s v="Above Avg"/>
    <s v="Profit"/>
    <n v="120"/>
  </r>
  <r>
    <n v="432"/>
    <d v="2025-03-07T00:00:00"/>
    <n v="1020"/>
    <s v="Customer_140"/>
    <s v="Consumer"/>
    <x v="3"/>
    <s v="Clothing"/>
    <s v="Product_C"/>
    <n v="2387"/>
    <n v="9"/>
    <n v="0.14000000000000001"/>
    <n v="-68"/>
    <s v="COD"/>
    <n v="18475.38"/>
    <s v="Mar"/>
    <n v="2025"/>
    <s v="Q1"/>
    <n v="-3.6805738231094568E-3"/>
    <n v="3007.6200000000003"/>
    <s v="High"/>
    <s v="Repeat"/>
    <s v="Above Avg"/>
    <s v="Loss"/>
    <n v="88"/>
  </r>
  <r>
    <n v="433"/>
    <d v="2025-03-08T00:00:00"/>
    <n v="1054"/>
    <s v="Customer_36"/>
    <s v="Consumer"/>
    <x v="3"/>
    <s v="Furniture"/>
    <s v="Product_A"/>
    <n v="3414"/>
    <n v="3"/>
    <n v="0.16"/>
    <n v="1361"/>
    <s v="UPI"/>
    <n v="8603.2799999999897"/>
    <s v="Mar"/>
    <n v="2025"/>
    <s v="Q1"/>
    <n v="0.15819547893361621"/>
    <n v="1638.72"/>
    <s v="High"/>
    <s v="Repeat"/>
    <s v="Below Avg"/>
    <s v="Profit"/>
    <n v="236"/>
  </r>
  <r>
    <n v="434"/>
    <d v="2025-03-09T00:00:00"/>
    <n v="1095"/>
    <s v="Customer_122"/>
    <s v="Consumer"/>
    <x v="0"/>
    <s v="Furniture"/>
    <s v="Product_D"/>
    <n v="661"/>
    <n v="8"/>
    <n v="0.2"/>
    <n v="31"/>
    <s v="COD"/>
    <n v="4230.3999999999996"/>
    <s v="Mar"/>
    <n v="2025"/>
    <s v="Q1"/>
    <n v="7.3279122541603636E-3"/>
    <n v="1057.6000000000001"/>
    <s v="Medium"/>
    <s v="Repeat"/>
    <s v="Below Avg"/>
    <s v="Profit"/>
    <n v="345"/>
  </r>
  <r>
    <n v="435"/>
    <d v="2025-03-10T00:00:00"/>
    <n v="1095"/>
    <s v="Customer_94"/>
    <s v="Consumer"/>
    <x v="1"/>
    <s v="Electronics"/>
    <s v="Product_A"/>
    <n v="3695"/>
    <n v="9"/>
    <n v="0.02"/>
    <n v="1064"/>
    <s v="COD"/>
    <n v="32589.8999999999"/>
    <s v="Mar"/>
    <n v="2025"/>
    <s v="Q1"/>
    <n v="3.2648151727989447E-2"/>
    <n v="665.1"/>
    <s v="High"/>
    <s v="Repeat"/>
    <s v="Above Avg"/>
    <s v="Profit"/>
    <n v="19"/>
  </r>
  <r>
    <n v="436"/>
    <d v="2025-03-11T00:00:00"/>
    <n v="1039"/>
    <s v="Customer_108"/>
    <s v="Corporate"/>
    <x v="1"/>
    <s v="Furniture"/>
    <s v="Product_C"/>
    <n v="4987"/>
    <n v="8"/>
    <n v="0.12"/>
    <n v="1901"/>
    <s v="UPI"/>
    <n v="35108.480000000003"/>
    <s v="Mar"/>
    <n v="2025"/>
    <s v="Q1"/>
    <n v="5.4146462620996406E-2"/>
    <n v="4787.5199999999995"/>
    <s v="High"/>
    <s v="Repeat"/>
    <s v="Above Avg"/>
    <s v="Profit"/>
    <n v="11"/>
  </r>
  <r>
    <n v="437"/>
    <d v="2025-03-12T00:00:00"/>
    <n v="1025"/>
    <s v="Customer_33"/>
    <s v="Corporate"/>
    <x v="0"/>
    <s v="Clothing"/>
    <s v="Product_C"/>
    <n v="1502"/>
    <n v="9"/>
    <n v="0.27"/>
    <n v="407"/>
    <s v="UPI"/>
    <n v="9868.14"/>
    <s v="Mar"/>
    <n v="2025"/>
    <s v="Q1"/>
    <n v="4.1243841291266646E-2"/>
    <n v="3649.86"/>
    <s v="High"/>
    <s v="Repeat"/>
    <s v="Below Avg"/>
    <s v="Profit"/>
    <n v="205"/>
  </r>
  <r>
    <n v="438"/>
    <d v="2025-03-13T00:00:00"/>
    <n v="1047"/>
    <s v="Customer_108"/>
    <s v="Corporate"/>
    <x v="0"/>
    <s v="Furniture"/>
    <s v="Product_C"/>
    <n v="2678"/>
    <n v="9"/>
    <n v="0.28000000000000003"/>
    <n v="-115"/>
    <s v="UPI"/>
    <n v="17353.439999999999"/>
    <s v="Mar"/>
    <n v="2025"/>
    <s v="Q1"/>
    <n v="-6.626928147963747E-3"/>
    <n v="6748.56"/>
    <s v="High"/>
    <s v="Repeat"/>
    <s v="Above Avg"/>
    <s v="Loss"/>
    <n v="100"/>
  </r>
  <r>
    <n v="439"/>
    <d v="2025-03-14T00:00:00"/>
    <n v="1076"/>
    <s v="Customer_127"/>
    <s v="Corporate"/>
    <x v="3"/>
    <s v="Clothing"/>
    <s v="Product_C"/>
    <n v="3044"/>
    <n v="3"/>
    <n v="0.15"/>
    <n v="151"/>
    <s v="UPI"/>
    <n v="7762.2"/>
    <s v="Mar"/>
    <n v="2025"/>
    <s v="Q1"/>
    <n v="1.9453247790574838E-2"/>
    <n v="1369.8"/>
    <s v="High"/>
    <s v="Repeat"/>
    <s v="Below Avg"/>
    <s v="Profit"/>
    <n v="257"/>
  </r>
  <r>
    <n v="440"/>
    <d v="2025-03-15T00:00:00"/>
    <n v="1002"/>
    <s v="Customer_87"/>
    <s v="Consumer"/>
    <x v="0"/>
    <s v="Furniture"/>
    <s v="Product_A"/>
    <n v="670"/>
    <n v="9"/>
    <n v="0.27"/>
    <n v="-290"/>
    <s v="Card"/>
    <n v="4401.8999999999996"/>
    <s v="Mar"/>
    <n v="2025"/>
    <s v="Q1"/>
    <n v="-6.5880642449851201E-2"/>
    <n v="1628.1000000000001"/>
    <s v="Medium"/>
    <s v="Repeat"/>
    <s v="Below Avg"/>
    <s v="Loss"/>
    <n v="340"/>
  </r>
  <r>
    <n v="441"/>
    <d v="2025-03-16T00:00:00"/>
    <n v="1095"/>
    <s v="Customer_62"/>
    <s v="Consumer"/>
    <x v="1"/>
    <s v="Clothing"/>
    <s v="Product_D"/>
    <n v="2551"/>
    <n v="1"/>
    <n v="0.15"/>
    <n v="453"/>
    <s v="COD"/>
    <n v="2168.35"/>
    <s v="Mar"/>
    <n v="2025"/>
    <s v="Q1"/>
    <n v="0.20891461249337054"/>
    <n v="382.65"/>
    <s v="Medium"/>
    <s v="Repeat"/>
    <s v="Below Avg"/>
    <s v="Profit"/>
    <n v="420"/>
  </r>
  <r>
    <n v="442"/>
    <d v="2025-03-17T00:00:00"/>
    <n v="1032"/>
    <s v="Customer_169"/>
    <s v="Corporate"/>
    <x v="2"/>
    <s v="Electronics"/>
    <s v="Product_B"/>
    <n v="1755"/>
    <n v="4"/>
    <n v="0.3"/>
    <n v="678"/>
    <s v="COD"/>
    <n v="4914"/>
    <s v="Mar"/>
    <n v="2025"/>
    <s v="Q1"/>
    <n v="0.13797313797313798"/>
    <n v="2106"/>
    <s v="Medium"/>
    <s v="Repeat"/>
    <s v="Below Avg"/>
    <s v="Profit"/>
    <n v="327"/>
  </r>
  <r>
    <n v="443"/>
    <d v="2025-03-18T00:00:00"/>
    <n v="1096"/>
    <s v="Customer_19"/>
    <s v="Corporate"/>
    <x v="2"/>
    <s v="Clothing"/>
    <s v="Product_D"/>
    <n v="4413"/>
    <n v="1"/>
    <n v="0.24"/>
    <n v="-325"/>
    <s v="Card"/>
    <n v="3353.88"/>
    <s v="Mar"/>
    <n v="2025"/>
    <s v="Q1"/>
    <n v="-9.6902691807697353E-2"/>
    <n v="1059.1199999999999"/>
    <s v="Medium"/>
    <s v="Repeat"/>
    <s v="Below Avg"/>
    <s v="Loss"/>
    <n v="383"/>
  </r>
  <r>
    <n v="444"/>
    <d v="2025-03-19T00:00:00"/>
    <n v="1041"/>
    <s v="Customer_101"/>
    <s v="Consumer"/>
    <x v="2"/>
    <s v="Electronics"/>
    <s v="Product_D"/>
    <n v="4983"/>
    <n v="2"/>
    <n v="0.25"/>
    <n v="159"/>
    <s v="COD"/>
    <n v="7474.5"/>
    <s v="Mar"/>
    <n v="2025"/>
    <s v="Q1"/>
    <n v="2.1272325908087499E-2"/>
    <n v="2491.5"/>
    <s v="High"/>
    <s v="Repeat"/>
    <s v="Below Avg"/>
    <s v="Profit"/>
    <n v="265"/>
  </r>
  <r>
    <n v="445"/>
    <d v="2025-03-20T00:00:00"/>
    <n v="1076"/>
    <s v="Customer_31"/>
    <s v="Consumer"/>
    <x v="2"/>
    <s v="Clothing"/>
    <s v="Product_A"/>
    <n v="2328"/>
    <n v="4"/>
    <n v="0.06"/>
    <n v="878"/>
    <s v="COD"/>
    <n v="8753.2799999999897"/>
    <s v="Mar"/>
    <n v="2025"/>
    <s v="Q1"/>
    <n v="0.10030525700080439"/>
    <n v="558.72"/>
    <s v="High"/>
    <s v="Repeat"/>
    <s v="Below Avg"/>
    <s v="Profit"/>
    <n v="234"/>
  </r>
  <r>
    <n v="446"/>
    <d v="2025-03-21T00:00:00"/>
    <n v="1042"/>
    <s v="Customer_50"/>
    <s v="Consumer"/>
    <x v="1"/>
    <s v="Furniture"/>
    <s v="Product_D"/>
    <n v="4886"/>
    <n v="8"/>
    <n v="0"/>
    <n v="-420"/>
    <s v="UPI"/>
    <n v="39088"/>
    <s v="Mar"/>
    <n v="2025"/>
    <s v="Q1"/>
    <n v="-1.0744985673352435E-2"/>
    <n v="0"/>
    <s v="High"/>
    <s v="New"/>
    <s v="Above Avg"/>
    <s v="Loss"/>
    <n v="4"/>
  </r>
  <r>
    <n v="447"/>
    <d v="2025-03-22T00:00:00"/>
    <n v="1069"/>
    <s v="Customer_170"/>
    <s v="Consumer"/>
    <x v="2"/>
    <s v="Clothing"/>
    <s v="Product_C"/>
    <n v="2947"/>
    <n v="6"/>
    <n v="0.15"/>
    <n v="963"/>
    <s v="Card"/>
    <n v="15029.699999999901"/>
    <s v="Mar"/>
    <n v="2025"/>
    <s v="Q1"/>
    <n v="6.4073135192319636E-2"/>
    <n v="2652.2999999999997"/>
    <s v="High"/>
    <s v="Repeat"/>
    <s v="Above Avg"/>
    <s v="Profit"/>
    <n v="137"/>
  </r>
  <r>
    <n v="448"/>
    <d v="2025-03-23T00:00:00"/>
    <n v="1003"/>
    <s v="Customer_103"/>
    <s v="Corporate"/>
    <x v="1"/>
    <s v="Furniture"/>
    <s v="Product_A"/>
    <n v="3985"/>
    <n v="4"/>
    <n v="0.28999999999999998"/>
    <n v="735"/>
    <s v="Card"/>
    <n v="11317.4"/>
    <s v="Mar"/>
    <n v="2025"/>
    <s v="Q1"/>
    <n v="6.494424514464453E-2"/>
    <n v="4622.5999999999995"/>
    <s v="High"/>
    <s v="Repeat"/>
    <s v="Above Avg"/>
    <s v="Profit"/>
    <n v="185"/>
  </r>
  <r>
    <n v="449"/>
    <d v="2025-03-24T00:00:00"/>
    <n v="1063"/>
    <s v="Customer_17"/>
    <s v="Consumer"/>
    <x v="3"/>
    <s v="Clothing"/>
    <s v="Product_B"/>
    <n v="444"/>
    <n v="4"/>
    <n v="0.28999999999999998"/>
    <n v="1226"/>
    <s v="Card"/>
    <n v="1260.96"/>
    <s v="Mar"/>
    <n v="2025"/>
    <s v="Q1"/>
    <n v="0.97227509199340179"/>
    <n v="515.04"/>
    <s v="Low"/>
    <s v="Repeat"/>
    <s v="Below Avg"/>
    <s v="Profit"/>
    <n v="467"/>
  </r>
  <r>
    <n v="450"/>
    <d v="2025-03-25T00:00:00"/>
    <n v="1069"/>
    <s v="Customer_196"/>
    <s v="Consumer"/>
    <x v="2"/>
    <s v="Clothing"/>
    <s v="Product_A"/>
    <n v="3283"/>
    <n v="6"/>
    <n v="0.18"/>
    <n v="-475"/>
    <s v="Card"/>
    <n v="16152.36"/>
    <s v="Mar"/>
    <n v="2025"/>
    <s v="Q1"/>
    <n v="-2.9407467391761945E-2"/>
    <n v="3545.64"/>
    <s v="High"/>
    <s v="Repeat"/>
    <s v="Above Avg"/>
    <s v="Loss"/>
    <n v="124"/>
  </r>
  <r>
    <n v="451"/>
    <d v="2025-03-26T00:00:00"/>
    <n v="1050"/>
    <s v="Customer_6"/>
    <s v="Consumer"/>
    <x v="1"/>
    <s v="Clothing"/>
    <s v="Product_A"/>
    <n v="3777"/>
    <n v="1"/>
    <n v="0.06"/>
    <n v="658"/>
    <s v="UPI"/>
    <n v="3550.3799999999901"/>
    <s v="Mar"/>
    <n v="2025"/>
    <s v="Q1"/>
    <n v="0.18533227429176646"/>
    <n v="226.62"/>
    <s v="Medium"/>
    <s v="Repeat"/>
    <s v="Below Avg"/>
    <s v="Profit"/>
    <n v="375"/>
  </r>
  <r>
    <n v="452"/>
    <d v="2025-03-27T00:00:00"/>
    <n v="1066"/>
    <s v="Customer_60"/>
    <s v="Corporate"/>
    <x v="3"/>
    <s v="Electronics"/>
    <s v="Product_B"/>
    <n v="4411"/>
    <n v="5"/>
    <n v="0"/>
    <n v="1052"/>
    <s v="COD"/>
    <n v="22055"/>
    <s v="Mar"/>
    <n v="2025"/>
    <s v="Q1"/>
    <n v="4.7698934481976873E-2"/>
    <n v="0"/>
    <s v="High"/>
    <s v="Repeat"/>
    <s v="Above Avg"/>
    <s v="Profit"/>
    <n v="66"/>
  </r>
  <r>
    <n v="453"/>
    <d v="2025-03-28T00:00:00"/>
    <n v="1090"/>
    <s v="Customer_19"/>
    <s v="Corporate"/>
    <x v="3"/>
    <s v="Furniture"/>
    <s v="Product_A"/>
    <n v="2976"/>
    <n v="4"/>
    <n v="0.15"/>
    <n v="1151"/>
    <s v="Card"/>
    <n v="10118.4"/>
    <s v="Mar"/>
    <n v="2025"/>
    <s v="Q1"/>
    <n v="0.11375316255534472"/>
    <n v="1785.6"/>
    <s v="High"/>
    <s v="Repeat"/>
    <s v="Below Avg"/>
    <s v="Profit"/>
    <n v="199"/>
  </r>
  <r>
    <n v="454"/>
    <d v="2025-03-29T00:00:00"/>
    <n v="1083"/>
    <s v="Customer_186"/>
    <s v="Corporate"/>
    <x v="3"/>
    <s v="Electronics"/>
    <s v="Product_C"/>
    <n v="504"/>
    <n v="8"/>
    <n v="0.09"/>
    <n v="1073"/>
    <s v="UPI"/>
    <n v="3669.12"/>
    <s v="Mar"/>
    <n v="2025"/>
    <s v="Q1"/>
    <n v="0.2924406942264085"/>
    <n v="362.88"/>
    <s v="Medium"/>
    <s v="Repeat"/>
    <s v="Below Avg"/>
    <s v="Profit"/>
    <n v="367"/>
  </r>
  <r>
    <n v="455"/>
    <d v="2025-03-30T00:00:00"/>
    <n v="1017"/>
    <s v="Customer_40"/>
    <s v="Corporate"/>
    <x v="2"/>
    <s v="Electronics"/>
    <s v="Product_D"/>
    <n v="2002"/>
    <n v="9"/>
    <n v="0.1"/>
    <n v="-460"/>
    <s v="UPI"/>
    <n v="16216.2"/>
    <s v="Mar"/>
    <n v="2025"/>
    <s v="Q1"/>
    <n v="-2.83666950333617E-2"/>
    <n v="1801.8000000000002"/>
    <s v="High"/>
    <s v="Repeat"/>
    <s v="Above Avg"/>
    <s v="Loss"/>
    <n v="121"/>
  </r>
  <r>
    <n v="456"/>
    <d v="2025-03-31T00:00:00"/>
    <n v="1019"/>
    <s v="Customer_124"/>
    <s v="Consumer"/>
    <x v="0"/>
    <s v="Electronics"/>
    <s v="Product_A"/>
    <n v="272"/>
    <n v="2"/>
    <n v="0.25"/>
    <n v="237"/>
    <s v="COD"/>
    <n v="408"/>
    <s v="Mar"/>
    <n v="2025"/>
    <s v="Q1"/>
    <n v="0.58088235294117652"/>
    <n v="136"/>
    <s v="Low"/>
    <s v="Repeat"/>
    <s v="Below Avg"/>
    <s v="Profit"/>
    <n v="495"/>
  </r>
  <r>
    <n v="457"/>
    <d v="2025-04-01T00:00:00"/>
    <n v="1029"/>
    <s v="Customer_45"/>
    <s v="Consumer"/>
    <x v="1"/>
    <s v="Electronics"/>
    <s v="Product_B"/>
    <n v="1217"/>
    <n v="2"/>
    <n v="0.03"/>
    <n v="1969"/>
    <s v="COD"/>
    <n v="2360.98"/>
    <s v="Apr"/>
    <n v="2025"/>
    <s v="Q2"/>
    <n v="0.83397572194597158"/>
    <n v="73.02"/>
    <s v="Medium"/>
    <s v="Repeat"/>
    <s v="Below Avg"/>
    <s v="Profit"/>
    <n v="414"/>
  </r>
  <r>
    <n v="458"/>
    <d v="2025-04-02T00:00:00"/>
    <n v="1073"/>
    <s v="Customer_42"/>
    <s v="Corporate"/>
    <x v="2"/>
    <s v="Clothing"/>
    <s v="Product_D"/>
    <n v="1801"/>
    <n v="8"/>
    <n v="0.03"/>
    <n v="1897"/>
    <s v="Card"/>
    <n v="13975.76"/>
    <s v="Apr"/>
    <n v="2025"/>
    <s v="Q2"/>
    <n v="0.13573501548395223"/>
    <n v="432.24"/>
    <s v="High"/>
    <s v="Repeat"/>
    <s v="Above Avg"/>
    <s v="Profit"/>
    <n v="148"/>
  </r>
  <r>
    <n v="459"/>
    <d v="2025-04-03T00:00:00"/>
    <n v="1051"/>
    <s v="Customer_70"/>
    <s v="Corporate"/>
    <x v="1"/>
    <s v="Clothing"/>
    <s v="Product_C"/>
    <n v="4044"/>
    <n v="6"/>
    <n v="0.13"/>
    <n v="-422"/>
    <s v="Card"/>
    <n v="21109.68"/>
    <s v="Apr"/>
    <n v="2025"/>
    <s v="Q2"/>
    <n v="-1.9990828851976911E-2"/>
    <n v="3154.32"/>
    <s v="High"/>
    <s v="Repeat"/>
    <s v="Above Avg"/>
    <s v="Loss"/>
    <n v="75"/>
  </r>
  <r>
    <n v="460"/>
    <d v="2025-04-04T00:00:00"/>
    <n v="1022"/>
    <s v="Customer_152"/>
    <s v="Corporate"/>
    <x v="1"/>
    <s v="Electronics"/>
    <s v="Product_D"/>
    <n v="1017"/>
    <n v="8"/>
    <n v="0.12"/>
    <n v="622"/>
    <s v="COD"/>
    <n v="7159.68"/>
    <s v="Apr"/>
    <n v="2025"/>
    <s v="Q2"/>
    <n v="8.68753910789309E-2"/>
    <n v="976.31999999999994"/>
    <s v="High"/>
    <s v="Repeat"/>
    <s v="Below Avg"/>
    <s v="Profit"/>
    <n v="272"/>
  </r>
  <r>
    <n v="461"/>
    <d v="2025-04-05T00:00:00"/>
    <n v="1046"/>
    <s v="Customer_150"/>
    <s v="Consumer"/>
    <x v="0"/>
    <s v="Electronics"/>
    <s v="Product_C"/>
    <n v="3058"/>
    <n v="1"/>
    <n v="0.02"/>
    <n v="1633"/>
    <s v="Card"/>
    <n v="2996.84"/>
    <s v="Apr"/>
    <n v="2025"/>
    <s v="Q2"/>
    <n v="0.54490730235848428"/>
    <n v="61.160000000000004"/>
    <s v="Medium"/>
    <s v="Repeat"/>
    <s v="Below Avg"/>
    <s v="Profit"/>
    <n v="393"/>
  </r>
  <r>
    <n v="462"/>
    <d v="2025-04-06T00:00:00"/>
    <n v="1002"/>
    <s v="Customer_53"/>
    <s v="Consumer"/>
    <x v="2"/>
    <s v="Electronics"/>
    <s v="Product_C"/>
    <n v="3212"/>
    <n v="3"/>
    <n v="0.16"/>
    <n v="-72"/>
    <s v="COD"/>
    <n v="8094.24"/>
    <s v="Apr"/>
    <n v="2025"/>
    <s v="Q2"/>
    <n v="-8.8952143746664301E-3"/>
    <n v="1541.76"/>
    <s v="High"/>
    <s v="Repeat"/>
    <s v="Below Avg"/>
    <s v="Loss"/>
    <n v="249"/>
  </r>
  <r>
    <n v="463"/>
    <d v="2025-04-07T00:00:00"/>
    <n v="1049"/>
    <s v="Customer_78"/>
    <s v="Consumer"/>
    <x v="0"/>
    <s v="Furniture"/>
    <s v="Product_C"/>
    <n v="1965"/>
    <n v="7"/>
    <n v="0.13"/>
    <n v="510"/>
    <s v="COD"/>
    <n v="11966.85"/>
    <s v="Apr"/>
    <n v="2025"/>
    <s v="Q2"/>
    <n v="4.2617731483222399E-2"/>
    <n v="1788.15"/>
    <s v="High"/>
    <s v="Repeat"/>
    <s v="Above Avg"/>
    <s v="Profit"/>
    <n v="168"/>
  </r>
  <r>
    <n v="464"/>
    <d v="2025-04-08T00:00:00"/>
    <n v="1008"/>
    <s v="Customer_152"/>
    <s v="Consumer"/>
    <x v="3"/>
    <s v="Furniture"/>
    <s v="Product_A"/>
    <n v="406"/>
    <n v="7"/>
    <n v="0.3"/>
    <n v="648"/>
    <s v="COD"/>
    <n v="1989.3999999999901"/>
    <s v="Apr"/>
    <n v="2025"/>
    <s v="Q2"/>
    <n v="0.32572634965316338"/>
    <n v="852.6"/>
    <s v="Low"/>
    <s v="Repeat"/>
    <s v="Below Avg"/>
    <s v="Profit"/>
    <n v="431"/>
  </r>
  <r>
    <n v="465"/>
    <d v="2025-04-09T00:00:00"/>
    <n v="1018"/>
    <s v="Customer_153"/>
    <s v="Consumer"/>
    <x v="2"/>
    <s v="Clothing"/>
    <s v="Product_C"/>
    <n v="1951"/>
    <n v="5"/>
    <n v="0.02"/>
    <n v="575"/>
    <s v="Card"/>
    <n v="9559.9"/>
    <s v="Apr"/>
    <n v="2025"/>
    <s v="Q2"/>
    <n v="6.0147072668124149E-2"/>
    <n v="195.1"/>
    <s v="High"/>
    <s v="Repeat"/>
    <s v="Below Avg"/>
    <s v="Profit"/>
    <n v="214"/>
  </r>
  <r>
    <n v="466"/>
    <d v="2025-04-10T00:00:00"/>
    <n v="1035"/>
    <s v="Customer_145"/>
    <s v="Consumer"/>
    <x v="3"/>
    <s v="Furniture"/>
    <s v="Product_D"/>
    <n v="930"/>
    <n v="9"/>
    <n v="0.04"/>
    <n v="-226"/>
    <s v="Card"/>
    <n v="8035.2"/>
    <s v="Apr"/>
    <n v="2025"/>
    <s v="Q2"/>
    <n v="-2.8126244524093989E-2"/>
    <n v="334.8"/>
    <s v="High"/>
    <s v="Repeat"/>
    <s v="Below Avg"/>
    <s v="Loss"/>
    <n v="252"/>
  </r>
  <r>
    <n v="467"/>
    <d v="2025-04-11T00:00:00"/>
    <n v="1039"/>
    <s v="Customer_123"/>
    <s v="Consumer"/>
    <x v="0"/>
    <s v="Electronics"/>
    <s v="Product_A"/>
    <n v="524"/>
    <n v="2"/>
    <n v="0.05"/>
    <n v="563"/>
    <s v="Card"/>
    <n v="995.599999999999"/>
    <s v="Apr"/>
    <n v="2025"/>
    <s v="Q2"/>
    <n v="0.56548814785054291"/>
    <n v="52.400000000000006"/>
    <s v="Low"/>
    <s v="Repeat"/>
    <s v="Below Avg"/>
    <s v="Profit"/>
    <n v="480"/>
  </r>
  <r>
    <n v="468"/>
    <d v="2025-04-12T00:00:00"/>
    <n v="1026"/>
    <s v="Customer_115"/>
    <s v="Corporate"/>
    <x v="3"/>
    <s v="Furniture"/>
    <s v="Product_B"/>
    <n v="3851"/>
    <n v="1"/>
    <n v="0.1"/>
    <n v="1436"/>
    <s v="UPI"/>
    <n v="3465.9"/>
    <s v="Apr"/>
    <n v="2025"/>
    <s v="Q2"/>
    <n v="0.41432239822268385"/>
    <n v="385.1"/>
    <s v="Medium"/>
    <s v="Repeat"/>
    <s v="Below Avg"/>
    <s v="Profit"/>
    <n v="377"/>
  </r>
  <r>
    <n v="469"/>
    <d v="2025-04-13T00:00:00"/>
    <n v="1091"/>
    <s v="Customer_110"/>
    <s v="Corporate"/>
    <x v="1"/>
    <s v="Electronics"/>
    <s v="Product_A"/>
    <n v="4972"/>
    <n v="3"/>
    <n v="0.2"/>
    <n v="1594"/>
    <s v="COD"/>
    <n v="11932.8"/>
    <s v="Apr"/>
    <n v="2025"/>
    <s v="Q2"/>
    <n v="0.13358138911236256"/>
    <n v="2983.2000000000003"/>
    <s v="High"/>
    <s v="Repeat"/>
    <s v="Above Avg"/>
    <s v="Profit"/>
    <n v="169"/>
  </r>
  <r>
    <n v="470"/>
    <d v="2025-04-14T00:00:00"/>
    <n v="1071"/>
    <s v="Customer_163"/>
    <s v="Consumer"/>
    <x v="0"/>
    <s v="Furniture"/>
    <s v="Product_C"/>
    <n v="1905"/>
    <n v="7"/>
    <n v="0.28999999999999998"/>
    <n v="-284"/>
    <s v="UPI"/>
    <n v="9467.85"/>
    <s v="Apr"/>
    <n v="2025"/>
    <s v="Q2"/>
    <n v="-2.9996250468691414E-2"/>
    <n v="3867.1499999999996"/>
    <s v="High"/>
    <s v="Repeat"/>
    <s v="Below Avg"/>
    <s v="Loss"/>
    <n v="218"/>
  </r>
  <r>
    <n v="471"/>
    <d v="2025-04-15T00:00:00"/>
    <n v="1071"/>
    <s v="Customer_56"/>
    <s v="Corporate"/>
    <x v="3"/>
    <s v="Furniture"/>
    <s v="Product_B"/>
    <n v="4820"/>
    <n v="8"/>
    <n v="0.27"/>
    <n v="148"/>
    <s v="COD"/>
    <n v="28148.799999999999"/>
    <s v="Apr"/>
    <n v="2025"/>
    <s v="Q2"/>
    <n v="5.257772977888933E-3"/>
    <n v="10411.200000000001"/>
    <s v="High"/>
    <s v="Repeat"/>
    <s v="Above Avg"/>
    <s v="Profit"/>
    <n v="28"/>
  </r>
  <r>
    <n v="472"/>
    <d v="2025-04-16T00:00:00"/>
    <n v="1081"/>
    <s v="Customer_28"/>
    <s v="Corporate"/>
    <x v="3"/>
    <s v="Furniture"/>
    <s v="Product_C"/>
    <n v="2519"/>
    <n v="8"/>
    <n v="0.13"/>
    <n v="1049"/>
    <s v="COD"/>
    <n v="17532.240000000002"/>
    <s v="Apr"/>
    <n v="2025"/>
    <s v="Q2"/>
    <n v="5.9832628346406388E-2"/>
    <n v="2619.7600000000002"/>
    <s v="High"/>
    <s v="Repeat"/>
    <s v="Above Avg"/>
    <s v="Profit"/>
    <n v="96"/>
  </r>
  <r>
    <n v="473"/>
    <d v="2025-04-17T00:00:00"/>
    <n v="1020"/>
    <s v="Customer_194"/>
    <s v="Corporate"/>
    <x v="3"/>
    <s v="Clothing"/>
    <s v="Product_B"/>
    <n v="191"/>
    <n v="2"/>
    <n v="0.02"/>
    <n v="453"/>
    <s v="Card"/>
    <n v="374.36"/>
    <s v="Apr"/>
    <n v="2025"/>
    <s v="Q2"/>
    <n v="1.2100651779036222"/>
    <n v="7.6400000000000006"/>
    <s v="Low"/>
    <s v="Repeat"/>
    <s v="Below Avg"/>
    <s v="Profit"/>
    <n v="496"/>
  </r>
  <r>
    <n v="474"/>
    <d v="2025-04-18T00:00:00"/>
    <n v="1012"/>
    <s v="Customer_34"/>
    <s v="Corporate"/>
    <x v="3"/>
    <s v="Furniture"/>
    <s v="Product_A"/>
    <n v="958"/>
    <n v="6"/>
    <n v="0.19"/>
    <n v="1374"/>
    <s v="Card"/>
    <n v="4655.88"/>
    <s v="Apr"/>
    <n v="2025"/>
    <s v="Q2"/>
    <n v="0.2951106987293487"/>
    <n v="1092.1200000000001"/>
    <s v="Medium"/>
    <s v="Repeat"/>
    <s v="Below Avg"/>
    <s v="Profit"/>
    <n v="333"/>
  </r>
  <r>
    <n v="475"/>
    <d v="2025-04-19T00:00:00"/>
    <n v="1026"/>
    <s v="Customer_65"/>
    <s v="Corporate"/>
    <x v="2"/>
    <s v="Clothing"/>
    <s v="Product_D"/>
    <n v="4109"/>
    <n v="5"/>
    <n v="0.13"/>
    <n v="630"/>
    <s v="UPI"/>
    <n v="17874.150000000001"/>
    <s v="Apr"/>
    <n v="2025"/>
    <s v="Q2"/>
    <n v="3.5246431298830989E-2"/>
    <n v="2670.85"/>
    <s v="High"/>
    <s v="Repeat"/>
    <s v="Above Avg"/>
    <s v="Profit"/>
    <n v="92"/>
  </r>
  <r>
    <n v="476"/>
    <d v="2025-04-20T00:00:00"/>
    <n v="1061"/>
    <s v="Customer_111"/>
    <s v="Corporate"/>
    <x v="3"/>
    <s v="Clothing"/>
    <s v="Product_A"/>
    <n v="911"/>
    <n v="2"/>
    <n v="0.01"/>
    <n v="61"/>
    <s v="UPI"/>
    <n v="1803.78"/>
    <s v="Apr"/>
    <n v="2025"/>
    <s v="Q2"/>
    <n v="3.3817871359034919E-2"/>
    <n v="18.22"/>
    <s v="Low"/>
    <s v="Repeat"/>
    <s v="Below Avg"/>
    <s v="Profit"/>
    <n v="440"/>
  </r>
  <r>
    <n v="477"/>
    <d v="2025-04-21T00:00:00"/>
    <n v="1039"/>
    <s v="Customer_128"/>
    <s v="Consumer"/>
    <x v="3"/>
    <s v="Furniture"/>
    <s v="Product_D"/>
    <n v="1853"/>
    <n v="1"/>
    <n v="0.25"/>
    <n v="1755"/>
    <s v="COD"/>
    <n v="1389.75"/>
    <s v="Apr"/>
    <n v="2025"/>
    <s v="Q2"/>
    <n v="1.2628170534268754"/>
    <n v="463.25"/>
    <s v="Low"/>
    <s v="Repeat"/>
    <s v="Below Avg"/>
    <s v="Profit"/>
    <n v="461"/>
  </r>
  <r>
    <n v="478"/>
    <d v="2025-04-22T00:00:00"/>
    <n v="1052"/>
    <s v="Customer_131"/>
    <s v="Corporate"/>
    <x v="2"/>
    <s v="Electronics"/>
    <s v="Product_C"/>
    <n v="3861"/>
    <n v="4"/>
    <n v="0.16"/>
    <n v="1739"/>
    <s v="Card"/>
    <n v="12972.96"/>
    <s v="Apr"/>
    <n v="2025"/>
    <s v="Q2"/>
    <n v="0.1340480507147174"/>
    <n v="2471.04"/>
    <s v="High"/>
    <s v="Repeat"/>
    <s v="Above Avg"/>
    <s v="Profit"/>
    <n v="159"/>
  </r>
  <r>
    <n v="479"/>
    <d v="2025-04-23T00:00:00"/>
    <n v="1079"/>
    <s v="Customer_187"/>
    <s v="Corporate"/>
    <x v="3"/>
    <s v="Electronics"/>
    <s v="Product_C"/>
    <n v="3679"/>
    <n v="6"/>
    <n v="0.13"/>
    <n v="1506"/>
    <s v="COD"/>
    <n v="19204.38"/>
    <s v="Apr"/>
    <n v="2025"/>
    <s v="Q2"/>
    <n v="7.8419610526348674E-2"/>
    <n v="2869.62"/>
    <s v="High"/>
    <s v="Repeat"/>
    <s v="Above Avg"/>
    <s v="Profit"/>
    <n v="84"/>
  </r>
  <r>
    <n v="480"/>
    <d v="2025-04-24T00:00:00"/>
    <n v="1039"/>
    <s v="Customer_56"/>
    <s v="Consumer"/>
    <x v="3"/>
    <s v="Electronics"/>
    <s v="Product_A"/>
    <n v="1431"/>
    <n v="9"/>
    <n v="0.22"/>
    <n v="822"/>
    <s v="UPI"/>
    <n v="10045.620000000001"/>
    <s v="Apr"/>
    <n v="2025"/>
    <s v="Q2"/>
    <n v="8.1826706564652046E-2"/>
    <n v="2833.38"/>
    <s v="High"/>
    <s v="Repeat"/>
    <s v="Below Avg"/>
    <s v="Profit"/>
    <n v="200"/>
  </r>
  <r>
    <n v="481"/>
    <d v="2025-04-25T00:00:00"/>
    <n v="1008"/>
    <s v="Customer_22"/>
    <s v="Consumer"/>
    <x v="3"/>
    <s v="Furniture"/>
    <s v="Product_C"/>
    <n v="2112"/>
    <n v="9"/>
    <n v="0.26"/>
    <n v="645"/>
    <s v="UPI"/>
    <n v="14065.92"/>
    <s v="Apr"/>
    <n v="2025"/>
    <s v="Q2"/>
    <n v="4.5855514605514604E-2"/>
    <n v="4942.08"/>
    <s v="High"/>
    <s v="Repeat"/>
    <s v="Above Avg"/>
    <s v="Profit"/>
    <n v="146"/>
  </r>
  <r>
    <n v="482"/>
    <d v="2025-04-26T00:00:00"/>
    <n v="1026"/>
    <s v="Customer_170"/>
    <s v="Consumer"/>
    <x v="2"/>
    <s v="Clothing"/>
    <s v="Product_D"/>
    <n v="3792"/>
    <n v="3"/>
    <n v="0.28000000000000003"/>
    <n v="1742"/>
    <s v="Card"/>
    <n v="8190.7199999999903"/>
    <s v="Apr"/>
    <n v="2025"/>
    <s v="Q2"/>
    <n v="0.2126797155805597"/>
    <n v="3185.28"/>
    <s v="High"/>
    <s v="Repeat"/>
    <s v="Below Avg"/>
    <s v="Profit"/>
    <n v="244"/>
  </r>
  <r>
    <n v="483"/>
    <d v="2025-04-27T00:00:00"/>
    <n v="1080"/>
    <s v="Customer_132"/>
    <s v="Consumer"/>
    <x v="1"/>
    <s v="Furniture"/>
    <s v="Product_C"/>
    <n v="2486"/>
    <n v="9"/>
    <n v="0.1"/>
    <n v="-143"/>
    <s v="UPI"/>
    <n v="20136.599999999999"/>
    <s v="Apr"/>
    <n v="2025"/>
    <s v="Q2"/>
    <n v="-7.1014967770130014E-3"/>
    <n v="2237.4"/>
    <s v="High"/>
    <s v="Repeat"/>
    <s v="Above Avg"/>
    <s v="Loss"/>
    <n v="78"/>
  </r>
  <r>
    <n v="484"/>
    <d v="2025-04-28T00:00:00"/>
    <n v="1002"/>
    <s v="Customer_100"/>
    <s v="Corporate"/>
    <x v="1"/>
    <s v="Clothing"/>
    <s v="Product_D"/>
    <n v="306"/>
    <n v="6"/>
    <n v="0.06"/>
    <n v="-483"/>
    <s v="Card"/>
    <n v="1725.84"/>
    <s v="Apr"/>
    <n v="2025"/>
    <s v="Q2"/>
    <n v="-0.27986371853706021"/>
    <n v="110.16"/>
    <s v="Low"/>
    <s v="Repeat"/>
    <s v="Below Avg"/>
    <s v="Loss"/>
    <n v="445"/>
  </r>
  <r>
    <n v="485"/>
    <d v="2025-04-29T00:00:00"/>
    <n v="1055"/>
    <s v="Customer_118"/>
    <s v="Consumer"/>
    <x v="2"/>
    <s v="Electronics"/>
    <s v="Product_B"/>
    <n v="3682"/>
    <n v="8"/>
    <n v="0.1"/>
    <n v="1715"/>
    <s v="Card"/>
    <n v="26510.400000000001"/>
    <s v="Apr"/>
    <n v="2025"/>
    <s v="Q2"/>
    <n v="6.4691592733417819E-2"/>
    <n v="2945.6000000000004"/>
    <s v="High"/>
    <s v="Repeat"/>
    <s v="Above Avg"/>
    <s v="Profit"/>
    <n v="37"/>
  </r>
  <r>
    <n v="486"/>
    <d v="2025-04-30T00:00:00"/>
    <n v="1052"/>
    <s v="Customer_12"/>
    <s v="Consumer"/>
    <x v="1"/>
    <s v="Furniture"/>
    <s v="Product_C"/>
    <n v="4317"/>
    <n v="8"/>
    <n v="0.28999999999999998"/>
    <n v="227"/>
    <s v="UPI"/>
    <n v="24520.559999999899"/>
    <s v="Apr"/>
    <n v="2025"/>
    <s v="Q2"/>
    <n v="9.2575373482498332E-3"/>
    <n v="10015.439999999999"/>
    <s v="High"/>
    <s v="Repeat"/>
    <s v="Above Avg"/>
    <s v="Profit"/>
    <n v="46"/>
  </r>
  <r>
    <n v="487"/>
    <d v="2025-05-01T00:00:00"/>
    <n v="1003"/>
    <s v="Customer_37"/>
    <s v="Corporate"/>
    <x v="1"/>
    <s v="Electronics"/>
    <s v="Product_D"/>
    <n v="1839"/>
    <n v="3"/>
    <n v="0.03"/>
    <n v="1247"/>
    <s v="UPI"/>
    <n v="5351.49"/>
    <s v="May"/>
    <n v="2025"/>
    <s v="Q2"/>
    <n v="0.23301921520922211"/>
    <n v="165.51"/>
    <s v="High"/>
    <s v="Repeat"/>
    <s v="Below Avg"/>
    <s v="Profit"/>
    <n v="314"/>
  </r>
  <r>
    <n v="488"/>
    <d v="2025-05-02T00:00:00"/>
    <n v="1039"/>
    <s v="Customer_41"/>
    <s v="Consumer"/>
    <x v="2"/>
    <s v="Furniture"/>
    <s v="Product_A"/>
    <n v="3996"/>
    <n v="3"/>
    <n v="0.28999999999999998"/>
    <n v="56"/>
    <s v="Card"/>
    <n v="8511.48"/>
    <s v="May"/>
    <n v="2025"/>
    <s v="Q2"/>
    <n v="6.5793493023539977E-3"/>
    <n v="3476.52"/>
    <s v="High"/>
    <s v="Repeat"/>
    <s v="Below Avg"/>
    <s v="Profit"/>
    <n v="238"/>
  </r>
  <r>
    <n v="489"/>
    <d v="2025-05-03T00:00:00"/>
    <n v="1051"/>
    <s v="Customer_58"/>
    <s v="Corporate"/>
    <x v="0"/>
    <s v="Electronics"/>
    <s v="Product_C"/>
    <n v="3116"/>
    <n v="9"/>
    <n v="0.19"/>
    <n v="942"/>
    <s v="COD"/>
    <n v="22715.64"/>
    <s v="May"/>
    <n v="2025"/>
    <s v="Q2"/>
    <n v="4.1469225608435425E-2"/>
    <n v="5328.36"/>
    <s v="High"/>
    <s v="Repeat"/>
    <s v="Above Avg"/>
    <s v="Profit"/>
    <n v="61"/>
  </r>
  <r>
    <n v="490"/>
    <d v="2025-05-04T00:00:00"/>
    <n v="1055"/>
    <s v="Customer_63"/>
    <s v="Consumer"/>
    <x v="2"/>
    <s v="Furniture"/>
    <s v="Product_D"/>
    <n v="2104"/>
    <n v="3"/>
    <n v="0"/>
    <n v="1145"/>
    <s v="UPI"/>
    <n v="6312"/>
    <s v="May"/>
    <n v="2025"/>
    <s v="Q2"/>
    <n v="0.18140050697084917"/>
    <n v="0"/>
    <s v="High"/>
    <s v="Repeat"/>
    <s v="Below Avg"/>
    <s v="Profit"/>
    <n v="289"/>
  </r>
  <r>
    <n v="491"/>
    <d v="2025-05-05T00:00:00"/>
    <n v="1064"/>
    <s v="Customer_71"/>
    <s v="Corporate"/>
    <x v="1"/>
    <s v="Clothing"/>
    <s v="Product_B"/>
    <n v="1692"/>
    <n v="4"/>
    <n v="0.26"/>
    <n v="-81"/>
    <s v="COD"/>
    <n v="5008.32"/>
    <s v="May"/>
    <n v="2025"/>
    <s v="Q2"/>
    <n v="-1.6173087981598621E-2"/>
    <n v="1759.68"/>
    <s v="High"/>
    <s v="Repeat"/>
    <s v="Below Avg"/>
    <s v="Loss"/>
    <n v="323"/>
  </r>
  <r>
    <n v="492"/>
    <d v="2025-05-06T00:00:00"/>
    <n v="1077"/>
    <s v="Customer_133"/>
    <s v="Consumer"/>
    <x v="1"/>
    <s v="Clothing"/>
    <s v="Product_B"/>
    <n v="2103"/>
    <n v="7"/>
    <n v="0.2"/>
    <n v="439"/>
    <s v="COD"/>
    <n v="11776.8"/>
    <s v="May"/>
    <n v="2025"/>
    <s v="Q2"/>
    <n v="3.7276679573398551E-2"/>
    <n v="2944.2000000000003"/>
    <s v="High"/>
    <s v="Repeat"/>
    <s v="Above Avg"/>
    <s v="Profit"/>
    <n v="173"/>
  </r>
  <r>
    <n v="493"/>
    <d v="2025-05-07T00:00:00"/>
    <n v="1071"/>
    <s v="Customer_91"/>
    <s v="Corporate"/>
    <x v="3"/>
    <s v="Electronics"/>
    <s v="Product_C"/>
    <n v="3019"/>
    <n v="9"/>
    <n v="0.04"/>
    <n v="660"/>
    <s v="COD"/>
    <n v="26084.16"/>
    <s v="May"/>
    <n v="2025"/>
    <s v="Q2"/>
    <n v="2.5302712450774725E-2"/>
    <n v="1086.8399999999999"/>
    <s v="High"/>
    <s v="Repeat"/>
    <s v="Above Avg"/>
    <s v="Profit"/>
    <n v="39"/>
  </r>
  <r>
    <n v="494"/>
    <d v="2025-05-08T00:00:00"/>
    <n v="1070"/>
    <s v="Customer_89"/>
    <s v="Consumer"/>
    <x v="0"/>
    <s v="Clothing"/>
    <s v="Product_D"/>
    <n v="208"/>
    <n v="3"/>
    <n v="0.1"/>
    <n v="1549"/>
    <s v="Card"/>
    <n v="561.6"/>
    <s v="May"/>
    <n v="2025"/>
    <s v="Q2"/>
    <n v="2.758190883190883"/>
    <n v="62.400000000000006"/>
    <s v="Low"/>
    <s v="Repeat"/>
    <s v="Below Avg"/>
    <s v="Profit"/>
    <n v="489"/>
  </r>
  <r>
    <n v="495"/>
    <d v="2025-05-09T00:00:00"/>
    <n v="1029"/>
    <s v="Customer_17"/>
    <s v="Corporate"/>
    <x v="1"/>
    <s v="Furniture"/>
    <s v="Product_B"/>
    <n v="3081"/>
    <n v="1"/>
    <n v="0.26"/>
    <n v="606"/>
    <s v="Card"/>
    <n v="2279.94"/>
    <s v="May"/>
    <n v="2025"/>
    <s v="Q2"/>
    <n v="0.26579646832811388"/>
    <n v="801.06000000000006"/>
    <s v="Medium"/>
    <s v="Repeat"/>
    <s v="Below Avg"/>
    <s v="Profit"/>
    <n v="416"/>
  </r>
  <r>
    <n v="496"/>
    <d v="2025-05-10T00:00:00"/>
    <n v="1024"/>
    <s v="Customer_156"/>
    <s v="Consumer"/>
    <x v="3"/>
    <s v="Clothing"/>
    <s v="Product_A"/>
    <n v="2595"/>
    <n v="2"/>
    <n v="0.22"/>
    <n v="1965"/>
    <s v="Card"/>
    <n v="4048.2"/>
    <s v="May"/>
    <n v="2025"/>
    <s v="Q2"/>
    <n v="0.48540091892693049"/>
    <n v="1141.8"/>
    <s v="Medium"/>
    <s v="Repeat"/>
    <s v="Below Avg"/>
    <s v="Profit"/>
    <n v="352"/>
  </r>
  <r>
    <n v="497"/>
    <d v="2025-05-11T00:00:00"/>
    <n v="1038"/>
    <s v="Customer_119"/>
    <s v="Corporate"/>
    <x v="0"/>
    <s v="Electronics"/>
    <s v="Product_A"/>
    <n v="1791"/>
    <n v="4"/>
    <n v="0.1"/>
    <n v="-437"/>
    <s v="UPI"/>
    <n v="6447.6"/>
    <s v="May"/>
    <n v="2025"/>
    <s v="Q2"/>
    <n v="-6.7777157391897755E-2"/>
    <n v="716.40000000000009"/>
    <s v="High"/>
    <s v="Repeat"/>
    <s v="Below Avg"/>
    <s v="Loss"/>
    <n v="286"/>
  </r>
  <r>
    <n v="498"/>
    <d v="2025-05-12T00:00:00"/>
    <n v="1079"/>
    <s v="Customer_155"/>
    <s v="Consumer"/>
    <x v="1"/>
    <s v="Electronics"/>
    <s v="Product_D"/>
    <n v="4085"/>
    <n v="7"/>
    <n v="0.24"/>
    <n v="1108"/>
    <s v="UPI"/>
    <n v="21732.2"/>
    <s v="May"/>
    <n v="2025"/>
    <s v="Q2"/>
    <n v="5.0984253780105099E-2"/>
    <n v="6862.8"/>
    <s v="High"/>
    <s v="Repeat"/>
    <s v="Above Avg"/>
    <s v="Profit"/>
    <n v="70"/>
  </r>
  <r>
    <n v="499"/>
    <d v="2025-05-13T00:00:00"/>
    <n v="1074"/>
    <s v="Customer_181"/>
    <s v="Corporate"/>
    <x v="0"/>
    <s v="Electronics"/>
    <s v="Product_A"/>
    <n v="4431"/>
    <n v="1"/>
    <n v="0.08"/>
    <n v="394"/>
    <s v="Card"/>
    <n v="4076.52"/>
    <s v="May"/>
    <n v="2025"/>
    <s v="Q2"/>
    <n v="9.665106512417454E-2"/>
    <n v="354.48"/>
    <s v="Medium"/>
    <s v="Repeat"/>
    <s v="Below Avg"/>
    <s v="Profit"/>
    <n v="350"/>
  </r>
  <r>
    <n v="500"/>
    <d v="2025-05-14T00:00:00"/>
    <n v="1024"/>
    <s v="Customer_26"/>
    <s v="Consumer"/>
    <x v="3"/>
    <s v="Furniture"/>
    <s v="Product_B"/>
    <n v="1822"/>
    <n v="4"/>
    <n v="0.16"/>
    <n v="1668"/>
    <s v="Card"/>
    <n v="6121.92"/>
    <s v="May"/>
    <n v="2025"/>
    <s v="Q2"/>
    <n v="0.27246354084992941"/>
    <n v="1166.08"/>
    <s v="High"/>
    <s v="Repeat"/>
    <s v="Below Avg"/>
    <s v="Profit"/>
    <n v="2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4-01-01T00:00:00"/>
    <n v="1066"/>
    <s v="Customer_33"/>
    <x v="0"/>
    <x v="0"/>
    <s v="Electronics"/>
    <s v="Product_A"/>
    <n v="2755"/>
    <n v="3"/>
    <n v="0.25"/>
    <n v="559"/>
    <s v="UPI"/>
    <n v="6198.75"/>
    <s v="Jan"/>
    <n v="2024"/>
    <s v="Q1"/>
    <n v="9.017947166767494E-2"/>
    <n v="2066.25"/>
    <s v="High"/>
    <s v="Repeat"/>
    <s v="Below Avg"/>
    <s v="Profit"/>
    <n v="293"/>
  </r>
  <r>
    <n v="2"/>
    <d v="2024-01-02T00:00:00"/>
    <n v="1092"/>
    <s v="Customer_191"/>
    <x v="0"/>
    <x v="1"/>
    <s v="Clothing"/>
    <s v="Product_A"/>
    <n v="1709"/>
    <n v="3"/>
    <n v="0.04"/>
    <n v="1735"/>
    <s v="UPI"/>
    <n v="4921.92"/>
    <s v="Jan"/>
    <n v="2024"/>
    <s v="Q1"/>
    <n v="0.35250471360769781"/>
    <n v="205.08"/>
    <s v="Medium"/>
    <s v="Repeat"/>
    <s v="Below Avg"/>
    <s v="Profit"/>
    <n v="326"/>
  </r>
  <r>
    <n v="3"/>
    <d v="2024-01-03T00:00:00"/>
    <n v="1098"/>
    <s v="Customer_54"/>
    <x v="1"/>
    <x v="1"/>
    <s v="Clothing"/>
    <s v="Product_D"/>
    <n v="3914"/>
    <n v="7"/>
    <n v="0.16"/>
    <n v="-225"/>
    <s v="Card"/>
    <n v="23014.32"/>
    <s v="Jan"/>
    <n v="2024"/>
    <s v="Q1"/>
    <n v="-9.7765217481985134E-3"/>
    <n v="4383.68"/>
    <s v="High"/>
    <s v="Repeat"/>
    <s v="Above Avg"/>
    <s v="Loss"/>
    <n v="59"/>
  </r>
  <r>
    <n v="4"/>
    <d v="2024-01-04T00:00:00"/>
    <n v="1017"/>
    <s v="Customer_116"/>
    <x v="0"/>
    <x v="2"/>
    <s v="Electronics"/>
    <s v="Product_B"/>
    <n v="759"/>
    <n v="5"/>
    <n v="0.01"/>
    <n v="-75"/>
    <s v="UPI"/>
    <n v="3757.05"/>
    <s v="Jan"/>
    <n v="2024"/>
    <s v="Q1"/>
    <n v="-1.9962470555355931E-2"/>
    <n v="37.950000000000003"/>
    <s v="Medium"/>
    <s v="Repeat"/>
    <s v="Below Avg"/>
    <s v="Loss"/>
    <n v="365"/>
  </r>
  <r>
    <n v="5"/>
    <d v="2024-01-05T00:00:00"/>
    <n v="1083"/>
    <s v="Customer_179"/>
    <x v="0"/>
    <x v="2"/>
    <s v="Electronics"/>
    <s v="Product_B"/>
    <n v="243"/>
    <n v="1"/>
    <n v="0.17"/>
    <n v="-482"/>
    <s v="COD"/>
    <n v="201.69"/>
    <s v="Jan"/>
    <n v="2024"/>
    <s v="Q1"/>
    <n v="-2.3898061381327782"/>
    <n v="41.31"/>
    <s v="Low"/>
    <s v="Repeat"/>
    <s v="Below Avg"/>
    <s v="Loss"/>
    <n v="499"/>
  </r>
  <r>
    <n v="6"/>
    <d v="2024-01-06T00:00:00"/>
    <n v="1057"/>
    <s v="Customer_112"/>
    <x v="0"/>
    <x v="3"/>
    <s v="Furniture"/>
    <s v="Product_D"/>
    <n v="2090"/>
    <n v="8"/>
    <n v="0.04"/>
    <n v="1271"/>
    <s v="UPI"/>
    <n v="16051.199999999901"/>
    <s v="Jan"/>
    <n v="2024"/>
    <s v="Q1"/>
    <n v="7.9184110845295544E-2"/>
    <n v="668.80000000000007"/>
    <s v="High"/>
    <s v="Repeat"/>
    <s v="Above Avg"/>
    <s v="Profit"/>
    <n v="127"/>
  </r>
  <r>
    <n v="7"/>
    <d v="2024-01-07T00:00:00"/>
    <n v="1086"/>
    <s v="Customer_180"/>
    <x v="1"/>
    <x v="3"/>
    <s v="Furniture"/>
    <s v="Product_D"/>
    <n v="550"/>
    <n v="5"/>
    <n v="0.24"/>
    <n v="1300"/>
    <s v="COD"/>
    <n v="2090"/>
    <s v="Jan"/>
    <n v="2024"/>
    <s v="Q1"/>
    <n v="0.62200956937799046"/>
    <n v="660"/>
    <s v="Medium"/>
    <s v="Repeat"/>
    <s v="Below Avg"/>
    <s v="Profit"/>
    <n v="423"/>
  </r>
  <r>
    <n v="8"/>
    <d v="2024-01-08T00:00:00"/>
    <n v="1097"/>
    <s v="Customer_180"/>
    <x v="1"/>
    <x v="0"/>
    <s v="Furniture"/>
    <s v="Product_A"/>
    <n v="1291"/>
    <n v="4"/>
    <n v="7.0000000000000007E-2"/>
    <n v="829"/>
    <s v="COD"/>
    <n v="4802.5199999999904"/>
    <s v="Jan"/>
    <n v="2024"/>
    <s v="Q1"/>
    <n v="0.17261770903608972"/>
    <n v="361.48"/>
    <s v="Medium"/>
    <s v="Repeat"/>
    <s v="Below Avg"/>
    <s v="Profit"/>
    <n v="329"/>
  </r>
  <r>
    <n v="9"/>
    <d v="2024-01-09T00:00:00"/>
    <n v="1096"/>
    <s v="Customer_184"/>
    <x v="0"/>
    <x v="2"/>
    <s v="Electronics"/>
    <s v="Product_C"/>
    <n v="4121"/>
    <n v="4"/>
    <n v="0.03"/>
    <n v="-169"/>
    <s v="Card"/>
    <n v="15989.48"/>
    <s v="Jan"/>
    <n v="2024"/>
    <s v="Q1"/>
    <n v="-1.056944941298904E-2"/>
    <n v="494.52"/>
    <s v="High"/>
    <s v="Repeat"/>
    <s v="Above Avg"/>
    <s v="Loss"/>
    <n v="128"/>
  </r>
  <r>
    <n v="10"/>
    <d v="2024-01-10T00:00:00"/>
    <n v="1047"/>
    <s v="Customer_114"/>
    <x v="1"/>
    <x v="2"/>
    <s v="Electronics"/>
    <s v="Product_B"/>
    <n v="735"/>
    <n v="2"/>
    <n v="0.01"/>
    <n v="-250"/>
    <s v="COD"/>
    <n v="1455.3"/>
    <s v="Jan"/>
    <n v="2024"/>
    <s v="Q1"/>
    <n v="-0.17178588607160036"/>
    <n v="14.700000000000001"/>
    <s v="Low"/>
    <s v="Repeat"/>
    <s v="Below Avg"/>
    <s v="Loss"/>
    <n v="460"/>
  </r>
  <r>
    <n v="11"/>
    <d v="2024-01-11T00:00:00"/>
    <n v="1073"/>
    <s v="Customer_73"/>
    <x v="0"/>
    <x v="2"/>
    <s v="Clothing"/>
    <s v="Product_A"/>
    <n v="2257"/>
    <n v="1"/>
    <n v="0.17"/>
    <n v="960"/>
    <s v="Card"/>
    <n v="1873.31"/>
    <s v="Jan"/>
    <n v="2024"/>
    <s v="Q1"/>
    <n v="0.51246189899162442"/>
    <n v="383.69000000000005"/>
    <s v="Low"/>
    <s v="Repeat"/>
    <s v="Below Avg"/>
    <s v="Profit"/>
    <n v="438"/>
  </r>
  <r>
    <n v="12"/>
    <d v="2024-01-12T00:00:00"/>
    <n v="1032"/>
    <s v="Customer_1"/>
    <x v="0"/>
    <x v="2"/>
    <s v="Electronics"/>
    <s v="Product_C"/>
    <n v="3851"/>
    <n v="6"/>
    <n v="0.2"/>
    <n v="-7"/>
    <s v="UPI"/>
    <n v="18484.8"/>
    <s v="Jan"/>
    <n v="2024"/>
    <s v="Q1"/>
    <n v="-3.7868951787414524E-4"/>
    <n v="4621.2"/>
    <s v="High"/>
    <s v="Repeat"/>
    <s v="Above Avg"/>
    <s v="Loss"/>
    <n v="87"/>
  </r>
  <r>
    <n v="13"/>
    <d v="2024-01-13T00:00:00"/>
    <n v="1046"/>
    <s v="Customer_31"/>
    <x v="1"/>
    <x v="1"/>
    <s v="Clothing"/>
    <s v="Product_B"/>
    <n v="999"/>
    <n v="3"/>
    <n v="0.27"/>
    <n v="-134"/>
    <s v="Card"/>
    <n v="2187.81"/>
    <s v="Jan"/>
    <n v="2024"/>
    <s v="Q1"/>
    <n v="-6.1248463074947093E-2"/>
    <n v="809.19"/>
    <s v="Medium"/>
    <s v="Repeat"/>
    <s v="Below Avg"/>
    <s v="Loss"/>
    <n v="419"/>
  </r>
  <r>
    <n v="14"/>
    <d v="2024-01-14T00:00:00"/>
    <n v="1096"/>
    <s v="Customer_21"/>
    <x v="0"/>
    <x v="3"/>
    <s v="Clothing"/>
    <s v="Product_A"/>
    <n v="4554"/>
    <n v="9"/>
    <n v="0.02"/>
    <n v="1529"/>
    <s v="Card"/>
    <n v="40166.28"/>
    <s v="Jan"/>
    <n v="2024"/>
    <s v="Q1"/>
    <n v="3.8066756493257532E-2"/>
    <n v="819.72"/>
    <s v="High"/>
    <s v="Repeat"/>
    <s v="Above Avg"/>
    <s v="Profit"/>
    <n v="2"/>
  </r>
  <r>
    <n v="15"/>
    <d v="2024-01-15T00:00:00"/>
    <n v="1025"/>
    <s v="Customer_24"/>
    <x v="1"/>
    <x v="0"/>
    <s v="Clothing"/>
    <s v="Product_A"/>
    <n v="2930"/>
    <n v="4"/>
    <n v="0.12"/>
    <n v="1243"/>
    <s v="Card"/>
    <n v="10313.6"/>
    <s v="Jan"/>
    <n v="2024"/>
    <s v="Q1"/>
    <n v="0.12052047781569965"/>
    <n v="1406.3999999999999"/>
    <s v="High"/>
    <s v="Repeat"/>
    <s v="Below Avg"/>
    <s v="Profit"/>
    <n v="198"/>
  </r>
  <r>
    <n v="16"/>
    <d v="2024-01-16T00:00:00"/>
    <n v="1083"/>
    <s v="Customer_19"/>
    <x v="0"/>
    <x v="3"/>
    <s v="Furniture"/>
    <s v="Product_D"/>
    <n v="2870"/>
    <n v="2"/>
    <n v="0.05"/>
    <n v="1714"/>
    <s v="Card"/>
    <n v="5453"/>
    <s v="Jan"/>
    <n v="2024"/>
    <s v="Q1"/>
    <n v="0.31432239134421419"/>
    <n v="287"/>
    <s v="High"/>
    <s v="Repeat"/>
    <s v="Below Avg"/>
    <s v="Profit"/>
    <n v="310"/>
  </r>
  <r>
    <n v="17"/>
    <d v="2024-01-17T00:00:00"/>
    <n v="1078"/>
    <s v="Customer_61"/>
    <x v="1"/>
    <x v="3"/>
    <s v="Clothing"/>
    <s v="Product_C"/>
    <n v="1320"/>
    <n v="4"/>
    <n v="0.15"/>
    <n v="644"/>
    <s v="UPI"/>
    <n v="4488"/>
    <s v="Jan"/>
    <n v="2024"/>
    <s v="Q1"/>
    <n v="0.14349376114081996"/>
    <n v="792"/>
    <s v="Medium"/>
    <s v="Repeat"/>
    <s v="Below Avg"/>
    <s v="Profit"/>
    <n v="338"/>
  </r>
  <r>
    <n v="18"/>
    <d v="2024-01-18T00:00:00"/>
    <n v="1036"/>
    <s v="Customer_112"/>
    <x v="0"/>
    <x v="3"/>
    <s v="Furniture"/>
    <s v="Product_A"/>
    <n v="4545"/>
    <n v="4"/>
    <n v="7.0000000000000007E-2"/>
    <n v="1171"/>
    <s v="UPI"/>
    <n v="16907.3999999999"/>
    <s v="Jan"/>
    <n v="2024"/>
    <s v="Q1"/>
    <n v="6.9259614133456771E-2"/>
    <n v="1272.6000000000001"/>
    <s v="High"/>
    <s v="Repeat"/>
    <s v="Above Avg"/>
    <s v="Profit"/>
    <n v="105"/>
  </r>
  <r>
    <n v="19"/>
    <d v="2024-01-19T00:00:00"/>
    <n v="1096"/>
    <s v="Customer_188"/>
    <x v="0"/>
    <x v="3"/>
    <s v="Electronics"/>
    <s v="Product_A"/>
    <n v="4690"/>
    <n v="1"/>
    <n v="0.12"/>
    <n v="-18"/>
    <s v="COD"/>
    <n v="4127.2"/>
    <s v="Jan"/>
    <n v="2024"/>
    <s v="Q1"/>
    <n v="-4.3613103314595857E-3"/>
    <n v="562.79999999999995"/>
    <s v="Medium"/>
    <s v="Repeat"/>
    <s v="Below Avg"/>
    <s v="Loss"/>
    <n v="348"/>
  </r>
  <r>
    <n v="20"/>
    <d v="2024-01-20T00:00:00"/>
    <n v="1080"/>
    <s v="Customer_124"/>
    <x v="1"/>
    <x v="1"/>
    <s v="Furniture"/>
    <s v="Product_A"/>
    <n v="1487"/>
    <n v="8"/>
    <n v="0.11"/>
    <n v="992"/>
    <s v="Card"/>
    <n v="10587.44"/>
    <s v="Jan"/>
    <n v="2024"/>
    <s v="Q1"/>
    <n v="9.3695926494034437E-2"/>
    <n v="1308.56"/>
    <s v="High"/>
    <s v="Repeat"/>
    <s v="Below Avg"/>
    <s v="Profit"/>
    <n v="196"/>
  </r>
  <r>
    <n v="21"/>
    <d v="2024-01-21T00:00:00"/>
    <n v="1068"/>
    <s v="Customer_153"/>
    <x v="0"/>
    <x v="0"/>
    <s v="Clothing"/>
    <s v="Product_B"/>
    <n v="2066"/>
    <n v="4"/>
    <n v="0.21"/>
    <n v="-488"/>
    <s v="UPI"/>
    <n v="6528.56"/>
    <s v="Jan"/>
    <n v="2024"/>
    <s v="Q1"/>
    <n v="-7.4748489712892274E-2"/>
    <n v="1735.4399999999998"/>
    <s v="High"/>
    <s v="Repeat"/>
    <s v="Below Avg"/>
    <s v="Loss"/>
    <n v="285"/>
  </r>
  <r>
    <n v="22"/>
    <d v="2024-01-22T00:00:00"/>
    <n v="1049"/>
    <s v="Customer_20"/>
    <x v="1"/>
    <x v="1"/>
    <s v="Clothing"/>
    <s v="Product_D"/>
    <n v="4415"/>
    <n v="4"/>
    <n v="0.22"/>
    <n v="316"/>
    <s v="COD"/>
    <n v="13774.8"/>
    <s v="Jan"/>
    <n v="2024"/>
    <s v="Q1"/>
    <n v="2.2940441966489533E-2"/>
    <n v="3885.2"/>
    <s v="High"/>
    <s v="Repeat"/>
    <s v="Above Avg"/>
    <s v="Profit"/>
    <n v="149"/>
  </r>
  <r>
    <n v="23"/>
    <d v="2024-01-23T00:00:00"/>
    <n v="1055"/>
    <s v="Customer_117"/>
    <x v="0"/>
    <x v="2"/>
    <s v="Furniture"/>
    <s v="Product_A"/>
    <n v="790"/>
    <n v="7"/>
    <n v="0.13"/>
    <n v="1889"/>
    <s v="COD"/>
    <n v="4811.1000000000004"/>
    <s v="Jan"/>
    <n v="2024"/>
    <s v="Q1"/>
    <n v="0.3926337012325663"/>
    <n v="718.9"/>
    <s v="Medium"/>
    <s v="Repeat"/>
    <s v="Below Avg"/>
    <s v="Profit"/>
    <n v="328"/>
  </r>
  <r>
    <n v="24"/>
    <d v="2024-01-24T00:00:00"/>
    <n v="1067"/>
    <s v="Customer_154"/>
    <x v="1"/>
    <x v="3"/>
    <s v="Clothing"/>
    <s v="Product_A"/>
    <n v="4346"/>
    <n v="2"/>
    <n v="7.0000000000000007E-2"/>
    <n v="-8"/>
    <s v="Card"/>
    <n v="8083.5599999999904"/>
    <s v="Jan"/>
    <n v="2024"/>
    <s v="Q1"/>
    <n v="-9.8966297027547378E-4"/>
    <n v="608.44000000000005"/>
    <s v="High"/>
    <s v="Repeat"/>
    <s v="Below Avg"/>
    <s v="Loss"/>
    <n v="250"/>
  </r>
  <r>
    <n v="25"/>
    <d v="2024-01-25T00:00:00"/>
    <n v="1002"/>
    <s v="Customer_127"/>
    <x v="0"/>
    <x v="0"/>
    <s v="Furniture"/>
    <s v="Product_D"/>
    <n v="2176"/>
    <n v="6"/>
    <n v="0.24"/>
    <n v="337"/>
    <s v="UPI"/>
    <n v="9922.56"/>
    <s v="Jan"/>
    <n v="2024"/>
    <s v="Q1"/>
    <n v="3.3963009545923635E-2"/>
    <n v="3133.44"/>
    <s v="High"/>
    <s v="Repeat"/>
    <s v="Below Avg"/>
    <s v="Profit"/>
    <n v="201"/>
  </r>
  <r>
    <n v="26"/>
    <d v="2024-01-26T00:00:00"/>
    <n v="1084"/>
    <s v="Customer_7"/>
    <x v="1"/>
    <x v="3"/>
    <s v="Clothing"/>
    <s v="Product_C"/>
    <n v="1857"/>
    <n v="6"/>
    <n v="0.25"/>
    <n v="1296"/>
    <s v="Card"/>
    <n v="8356.5"/>
    <s v="Jan"/>
    <n v="2024"/>
    <s v="Q1"/>
    <n v="0.15508885298869143"/>
    <n v="2785.5"/>
    <s v="High"/>
    <s v="Repeat"/>
    <s v="Below Avg"/>
    <s v="Profit"/>
    <n v="240"/>
  </r>
  <r>
    <n v="27"/>
    <d v="2024-01-27T00:00:00"/>
    <n v="1039"/>
    <s v="Customer_195"/>
    <x v="0"/>
    <x v="1"/>
    <s v="Furniture"/>
    <s v="Product_D"/>
    <n v="4258"/>
    <n v="7"/>
    <n v="0.16"/>
    <n v="1331"/>
    <s v="COD"/>
    <n v="25037.040000000001"/>
    <s v="Jan"/>
    <n v="2024"/>
    <s v="Q1"/>
    <n v="5.3161236312279724E-2"/>
    <n v="4768.96"/>
    <s v="High"/>
    <s v="Repeat"/>
    <s v="Above Avg"/>
    <s v="Profit"/>
    <n v="42"/>
  </r>
  <r>
    <n v="28"/>
    <d v="2024-01-28T00:00:00"/>
    <n v="1066"/>
    <s v="Customer_56"/>
    <x v="0"/>
    <x v="0"/>
    <s v="Furniture"/>
    <s v="Product_D"/>
    <n v="270"/>
    <n v="2"/>
    <n v="7.0000000000000007E-2"/>
    <n v="1695"/>
    <s v="Card"/>
    <n v="502.2"/>
    <s v="Jan"/>
    <n v="2024"/>
    <s v="Q1"/>
    <n v="3.3751493428912784"/>
    <n v="37.800000000000004"/>
    <s v="Low"/>
    <s v="Repeat"/>
    <s v="Below Avg"/>
    <s v="Profit"/>
    <n v="491"/>
  </r>
  <r>
    <n v="29"/>
    <d v="2024-01-29T00:00:00"/>
    <n v="1084"/>
    <s v="Customer_72"/>
    <x v="1"/>
    <x v="3"/>
    <s v="Furniture"/>
    <s v="Product_A"/>
    <n v="1757"/>
    <n v="7"/>
    <n v="0.24"/>
    <n v="1198"/>
    <s v="Card"/>
    <n v="9347.24"/>
    <s v="Jan"/>
    <n v="2024"/>
    <s v="Q1"/>
    <n v="0.1281661752560114"/>
    <n v="2951.7599999999998"/>
    <s v="High"/>
    <s v="Repeat"/>
    <s v="Below Avg"/>
    <s v="Profit"/>
    <n v="223"/>
  </r>
  <r>
    <n v="30"/>
    <d v="2024-01-30T00:00:00"/>
    <n v="1047"/>
    <s v="Customer_94"/>
    <x v="1"/>
    <x v="2"/>
    <s v="Electronics"/>
    <s v="Product_A"/>
    <n v="2171"/>
    <n v="2"/>
    <n v="0.11"/>
    <n v="1464"/>
    <s v="UPI"/>
    <n v="3864.38"/>
    <s v="Jan"/>
    <n v="2024"/>
    <s v="Q1"/>
    <n v="0.37884473059067691"/>
    <n v="477.62"/>
    <s v="Medium"/>
    <s v="Repeat"/>
    <s v="Below Avg"/>
    <s v="Profit"/>
    <n v="359"/>
  </r>
  <r>
    <n v="31"/>
    <d v="2024-01-31T00:00:00"/>
    <n v="1061"/>
    <s v="Customer_11"/>
    <x v="0"/>
    <x v="3"/>
    <s v="Furniture"/>
    <s v="Product_D"/>
    <n v="4589"/>
    <n v="2"/>
    <n v="0.28000000000000003"/>
    <n v="1849"/>
    <s v="COD"/>
    <n v="6608.16"/>
    <s v="Jan"/>
    <n v="2024"/>
    <s v="Q1"/>
    <n v="0.27980557371492215"/>
    <n v="2569.84"/>
    <s v="High"/>
    <s v="Repeat"/>
    <s v="Below Avg"/>
    <s v="Profit"/>
    <n v="284"/>
  </r>
  <r>
    <n v="32"/>
    <d v="2024-02-01T00:00:00"/>
    <n v="1048"/>
    <s v="Customer_145"/>
    <x v="0"/>
    <x v="3"/>
    <s v="Furniture"/>
    <s v="Product_A"/>
    <n v="1491"/>
    <n v="1"/>
    <n v="0.08"/>
    <n v="-440"/>
    <s v="UPI"/>
    <n v="1371.72"/>
    <s v="Feb"/>
    <n v="2024"/>
    <s v="Q1"/>
    <n v="-0.32076517073455224"/>
    <n v="119.28"/>
    <s v="Low"/>
    <s v="Repeat"/>
    <s v="Below Avg"/>
    <s v="Loss"/>
    <n v="464"/>
  </r>
  <r>
    <n v="33"/>
    <d v="2024-02-02T00:00:00"/>
    <n v="1007"/>
    <s v="Customer_72"/>
    <x v="1"/>
    <x v="3"/>
    <s v="Electronics"/>
    <s v="Product_D"/>
    <n v="4961"/>
    <n v="9"/>
    <n v="0.28000000000000003"/>
    <n v="1103"/>
    <s v="Card"/>
    <n v="32147.279999999999"/>
    <s v="Feb"/>
    <n v="2024"/>
    <s v="Q1"/>
    <n v="3.4310834384744214E-2"/>
    <n v="12501.720000000001"/>
    <s v="High"/>
    <s v="Repeat"/>
    <s v="Above Avg"/>
    <s v="Profit"/>
    <n v="21"/>
  </r>
  <r>
    <n v="34"/>
    <d v="2024-02-03T00:00:00"/>
    <n v="1099"/>
    <s v="Customer_175"/>
    <x v="0"/>
    <x v="2"/>
    <s v="Electronics"/>
    <s v="Product_A"/>
    <n v="2141"/>
    <n v="9"/>
    <n v="0.13"/>
    <n v="191"/>
    <s v="COD"/>
    <n v="16764.03"/>
    <s v="Feb"/>
    <n v="2024"/>
    <s v="Q1"/>
    <n v="1.1393441791741009E-2"/>
    <n v="2504.9700000000003"/>
    <s v="High"/>
    <s v="Repeat"/>
    <s v="Above Avg"/>
    <s v="Profit"/>
    <n v="108"/>
  </r>
  <r>
    <n v="35"/>
    <d v="2024-02-04T00:00:00"/>
    <n v="1092"/>
    <s v="Customer_172"/>
    <x v="0"/>
    <x v="2"/>
    <s v="Furniture"/>
    <s v="Product_B"/>
    <n v="4536"/>
    <n v="5"/>
    <n v="0.23"/>
    <n v="954"/>
    <s v="UPI"/>
    <n v="17463.599999999999"/>
    <s v="Feb"/>
    <n v="2024"/>
    <s v="Q1"/>
    <n v="5.4627911770768915E-2"/>
    <n v="5216.4000000000005"/>
    <s v="High"/>
    <s v="Repeat"/>
    <s v="Above Avg"/>
    <s v="Profit"/>
    <n v="98"/>
  </r>
  <r>
    <n v="36"/>
    <d v="2024-02-05T00:00:00"/>
    <n v="1052"/>
    <s v="Customer_192"/>
    <x v="1"/>
    <x v="0"/>
    <s v="Electronics"/>
    <s v="Product_A"/>
    <n v="2529"/>
    <n v="7"/>
    <n v="0.06"/>
    <n v="-454"/>
    <s v="Card"/>
    <n v="16640.82"/>
    <s v="Feb"/>
    <n v="2024"/>
    <s v="Q1"/>
    <n v="-2.7282309405425934E-2"/>
    <n v="1062.18"/>
    <s v="High"/>
    <s v="Repeat"/>
    <s v="Above Avg"/>
    <s v="Loss"/>
    <n v="112"/>
  </r>
  <r>
    <n v="37"/>
    <d v="2024-02-06T00:00:00"/>
    <n v="1097"/>
    <s v="Customer_158"/>
    <x v="0"/>
    <x v="1"/>
    <s v="Clothing"/>
    <s v="Product_C"/>
    <n v="3484"/>
    <n v="7"/>
    <n v="0.19"/>
    <n v="-398"/>
    <s v="UPI"/>
    <n v="19754.28"/>
    <s v="Feb"/>
    <n v="2024"/>
    <s v="Q1"/>
    <n v="-2.0147532585343533E-2"/>
    <n v="4633.72"/>
    <s v="High"/>
    <s v="Repeat"/>
    <s v="Above Avg"/>
    <s v="Loss"/>
    <n v="81"/>
  </r>
  <r>
    <n v="38"/>
    <d v="2024-02-07T00:00:00"/>
    <n v="1085"/>
    <s v="Customer_43"/>
    <x v="0"/>
    <x v="3"/>
    <s v="Furniture"/>
    <s v="Product_B"/>
    <n v="100"/>
    <n v="3"/>
    <n v="0.17"/>
    <n v="-325"/>
    <s v="COD"/>
    <n v="249"/>
    <s v="Feb"/>
    <n v="2024"/>
    <s v="Q1"/>
    <n v="-1.3052208835341366"/>
    <n v="51.000000000000007"/>
    <s v="Low"/>
    <s v="Repeat"/>
    <s v="Below Avg"/>
    <s v="Loss"/>
    <n v="498"/>
  </r>
  <r>
    <n v="39"/>
    <d v="2024-02-08T00:00:00"/>
    <n v="1094"/>
    <s v="Customer_16"/>
    <x v="0"/>
    <x v="1"/>
    <s v="Electronics"/>
    <s v="Product_D"/>
    <n v="1152"/>
    <n v="2"/>
    <n v="0.13"/>
    <n v="-297"/>
    <s v="UPI"/>
    <n v="2004.48"/>
    <s v="Feb"/>
    <n v="2024"/>
    <s v="Q1"/>
    <n v="-0.14816810344827586"/>
    <n v="299.52"/>
    <s v="Medium"/>
    <s v="Repeat"/>
    <s v="Below Avg"/>
    <s v="Loss"/>
    <n v="430"/>
  </r>
  <r>
    <n v="40"/>
    <d v="2024-02-09T00:00:00"/>
    <n v="1027"/>
    <s v="Customer_119"/>
    <x v="1"/>
    <x v="0"/>
    <s v="Electronics"/>
    <s v="Product_A"/>
    <n v="1345"/>
    <n v="4"/>
    <n v="0.22"/>
    <n v="1624"/>
    <s v="COD"/>
    <n v="4196.3999999999996"/>
    <s v="Feb"/>
    <n v="2024"/>
    <s v="Q1"/>
    <n v="0.38699837956343536"/>
    <n v="1183.5999999999999"/>
    <s v="Medium"/>
    <s v="Repeat"/>
    <s v="Below Avg"/>
    <s v="Profit"/>
    <n v="346"/>
  </r>
  <r>
    <n v="41"/>
    <d v="2024-02-10T00:00:00"/>
    <n v="1034"/>
    <s v="Customer_4"/>
    <x v="1"/>
    <x v="2"/>
    <s v="Furniture"/>
    <s v="Product_D"/>
    <n v="3274"/>
    <n v="8"/>
    <n v="0.25"/>
    <n v="578"/>
    <s v="Card"/>
    <n v="19644"/>
    <s v="Feb"/>
    <n v="2024"/>
    <s v="Q1"/>
    <n v="2.942374261861128E-2"/>
    <n v="6548"/>
    <s v="High"/>
    <s v="Repeat"/>
    <s v="Above Avg"/>
    <s v="Profit"/>
    <n v="82"/>
  </r>
  <r>
    <n v="42"/>
    <d v="2024-02-11T00:00:00"/>
    <n v="1097"/>
    <s v="Customer_85"/>
    <x v="1"/>
    <x v="0"/>
    <s v="Furniture"/>
    <s v="Product_C"/>
    <n v="2350"/>
    <n v="1"/>
    <n v="0.22"/>
    <n v="1840"/>
    <s v="UPI"/>
    <n v="1833"/>
    <s v="Feb"/>
    <n v="2024"/>
    <s v="Q1"/>
    <n v="1.0038188761593017"/>
    <n v="517"/>
    <s v="Low"/>
    <s v="Repeat"/>
    <s v="Below Avg"/>
    <s v="Profit"/>
    <n v="439"/>
  </r>
  <r>
    <n v="43"/>
    <d v="2024-02-12T00:00:00"/>
    <n v="1076"/>
    <s v="Customer_50"/>
    <x v="0"/>
    <x v="2"/>
    <s v="Electronics"/>
    <s v="Product_D"/>
    <n v="1934"/>
    <n v="8"/>
    <n v="0.24"/>
    <n v="1168"/>
    <s v="Card"/>
    <n v="11758.72"/>
    <s v="Feb"/>
    <n v="2024"/>
    <s v="Q1"/>
    <n v="9.933053937843575E-2"/>
    <n v="3713.2799999999997"/>
    <s v="High"/>
    <s v="Repeat"/>
    <s v="Above Avg"/>
    <s v="Profit"/>
    <n v="175"/>
  </r>
  <r>
    <n v="44"/>
    <d v="2024-02-13T00:00:00"/>
    <n v="1040"/>
    <s v="Customer_34"/>
    <x v="1"/>
    <x v="3"/>
    <s v="Electronics"/>
    <s v="Product_C"/>
    <n v="3605"/>
    <n v="2"/>
    <n v="0.22"/>
    <n v="1510"/>
    <s v="Card"/>
    <n v="5623.8"/>
    <s v="Feb"/>
    <n v="2024"/>
    <s v="Q1"/>
    <n v="0.26850172481240442"/>
    <n v="1586.2"/>
    <s v="High"/>
    <s v="Repeat"/>
    <s v="Below Avg"/>
    <s v="Profit"/>
    <n v="305"/>
  </r>
  <r>
    <n v="45"/>
    <d v="2024-02-14T00:00:00"/>
    <n v="1003"/>
    <s v="Customer_35"/>
    <x v="1"/>
    <x v="1"/>
    <s v="Furniture"/>
    <s v="Product_B"/>
    <n v="4693"/>
    <n v="8"/>
    <n v="0.04"/>
    <n v="1809"/>
    <s v="UPI"/>
    <n v="36042.239999999998"/>
    <s v="Feb"/>
    <n v="2024"/>
    <s v="Q1"/>
    <n v="5.019110909865758E-2"/>
    <n v="1501.76"/>
    <s v="High"/>
    <s v="Repeat"/>
    <s v="Above Avg"/>
    <s v="Profit"/>
    <n v="7"/>
  </r>
  <r>
    <n v="46"/>
    <d v="2024-02-15T00:00:00"/>
    <n v="1069"/>
    <s v="Customer_64"/>
    <x v="0"/>
    <x v="0"/>
    <s v="Furniture"/>
    <s v="Product_C"/>
    <n v="4092"/>
    <n v="2"/>
    <n v="0.23"/>
    <n v="779"/>
    <s v="Card"/>
    <n v="6301.68"/>
    <s v="Feb"/>
    <n v="2024"/>
    <s v="Q1"/>
    <n v="0.12361782889642127"/>
    <n v="1882.3200000000002"/>
    <s v="High"/>
    <s v="Repeat"/>
    <s v="Below Avg"/>
    <s v="Profit"/>
    <n v="290"/>
  </r>
  <r>
    <n v="47"/>
    <d v="2024-02-16T00:00:00"/>
    <n v="1064"/>
    <s v="Customer_13"/>
    <x v="1"/>
    <x v="2"/>
    <s v="Electronics"/>
    <s v="Product_B"/>
    <n v="1788"/>
    <n v="7"/>
    <n v="0.06"/>
    <n v="-196"/>
    <s v="Card"/>
    <n v="11765.039999999901"/>
    <s v="Feb"/>
    <n v="2024"/>
    <s v="Q1"/>
    <n v="-1.6659526869437048E-2"/>
    <n v="750.95999999999992"/>
    <s v="High"/>
    <s v="Repeat"/>
    <s v="Above Avg"/>
    <s v="Loss"/>
    <n v="174"/>
  </r>
  <r>
    <n v="48"/>
    <d v="2024-02-17T00:00:00"/>
    <n v="1075"/>
    <s v="Customer_107"/>
    <x v="1"/>
    <x v="2"/>
    <s v="Clothing"/>
    <s v="Product_C"/>
    <n v="343"/>
    <n v="3"/>
    <n v="0.03"/>
    <n v="1062"/>
    <s v="UPI"/>
    <n v="998.13"/>
    <s v="Feb"/>
    <n v="2024"/>
    <s v="Q1"/>
    <n v="1.0639896606654444"/>
    <n v="30.869999999999997"/>
    <s v="Low"/>
    <s v="Repeat"/>
    <s v="Below Avg"/>
    <s v="Profit"/>
    <n v="479"/>
  </r>
  <r>
    <n v="49"/>
    <d v="2024-02-18T00:00:00"/>
    <n v="1034"/>
    <s v="Customer_27"/>
    <x v="0"/>
    <x v="0"/>
    <s v="Electronics"/>
    <s v="Product_B"/>
    <n v="1734"/>
    <n v="6"/>
    <n v="0.27"/>
    <n v="318"/>
    <s v="UPI"/>
    <n v="7594.92"/>
    <s v="Feb"/>
    <n v="2024"/>
    <s v="Q1"/>
    <n v="4.1870092114202652E-2"/>
    <n v="2809.0800000000004"/>
    <s v="High"/>
    <s v="Repeat"/>
    <s v="Below Avg"/>
    <s v="Profit"/>
    <n v="263"/>
  </r>
  <r>
    <n v="50"/>
    <d v="2024-02-19T00:00:00"/>
    <n v="1058"/>
    <s v="Customer_169"/>
    <x v="0"/>
    <x v="1"/>
    <s v="Furniture"/>
    <s v="Product_C"/>
    <n v="2310"/>
    <n v="7"/>
    <n v="0.18"/>
    <n v="-22"/>
    <s v="COD"/>
    <n v="13259.4"/>
    <s v="Feb"/>
    <n v="2024"/>
    <s v="Q1"/>
    <n v="-1.6592002654720426E-3"/>
    <n v="2910.6"/>
    <s v="High"/>
    <s v="Repeat"/>
    <s v="Above Avg"/>
    <s v="Loss"/>
    <n v="157"/>
  </r>
  <r>
    <n v="51"/>
    <d v="2024-02-20T00:00:00"/>
    <n v="1010"/>
    <s v="Customer_42"/>
    <x v="0"/>
    <x v="1"/>
    <s v="Clothing"/>
    <s v="Product_B"/>
    <n v="274"/>
    <n v="6"/>
    <n v="0.05"/>
    <n v="-327"/>
    <s v="COD"/>
    <n v="1561.8"/>
    <s v="Feb"/>
    <n v="2024"/>
    <s v="Q1"/>
    <n v="-0.20937379946215906"/>
    <n v="82.2"/>
    <s v="Low"/>
    <s v="Repeat"/>
    <s v="Below Avg"/>
    <s v="Loss"/>
    <n v="455"/>
  </r>
  <r>
    <n v="52"/>
    <d v="2024-02-21T00:00:00"/>
    <n v="1022"/>
    <s v="Customer_157"/>
    <x v="1"/>
    <x v="2"/>
    <s v="Clothing"/>
    <s v="Product_A"/>
    <n v="2319"/>
    <n v="5"/>
    <n v="0.19"/>
    <n v="51"/>
    <s v="COD"/>
    <n v="9391.9500000000007"/>
    <s v="Feb"/>
    <n v="2024"/>
    <s v="Q1"/>
    <n v="5.4301822305272062E-3"/>
    <n v="2203.0500000000002"/>
    <s v="High"/>
    <s v="Repeat"/>
    <s v="Below Avg"/>
    <s v="Profit"/>
    <n v="222"/>
  </r>
  <r>
    <n v="53"/>
    <d v="2024-02-22T00:00:00"/>
    <n v="1077"/>
    <s v="Customer_144"/>
    <x v="1"/>
    <x v="3"/>
    <s v="Electronics"/>
    <s v="Product_B"/>
    <n v="3756"/>
    <n v="9"/>
    <n v="0.1"/>
    <n v="1822"/>
    <s v="Card"/>
    <n v="30423.599999999999"/>
    <s v="Feb"/>
    <n v="2024"/>
    <s v="Q1"/>
    <n v="5.9887718744658758E-2"/>
    <n v="3380.4"/>
    <s v="High"/>
    <s v="Repeat"/>
    <s v="Above Avg"/>
    <s v="Profit"/>
    <n v="23"/>
  </r>
  <r>
    <n v="54"/>
    <d v="2024-02-23T00:00:00"/>
    <n v="1018"/>
    <s v="Customer_181"/>
    <x v="1"/>
    <x v="3"/>
    <s v="Furniture"/>
    <s v="Product_D"/>
    <n v="366"/>
    <n v="9"/>
    <n v="0.04"/>
    <n v="-461"/>
    <s v="UPI"/>
    <n v="3162.24"/>
    <s v="Feb"/>
    <n v="2024"/>
    <s v="Q1"/>
    <n v="-0.14578273628820079"/>
    <n v="131.76"/>
    <s v="Medium"/>
    <s v="Repeat"/>
    <s v="Below Avg"/>
    <s v="Loss"/>
    <n v="388"/>
  </r>
  <r>
    <n v="55"/>
    <d v="2024-02-24T00:00:00"/>
    <n v="1015"/>
    <s v="Customer_46"/>
    <x v="1"/>
    <x v="3"/>
    <s v="Clothing"/>
    <s v="Product_A"/>
    <n v="1482"/>
    <n v="3"/>
    <n v="0.24"/>
    <n v="1102"/>
    <s v="COD"/>
    <n v="3378.96"/>
    <s v="Feb"/>
    <n v="2024"/>
    <s v="Q1"/>
    <n v="0.32613585245164189"/>
    <n v="1067.04"/>
    <s v="Medium"/>
    <s v="Repeat"/>
    <s v="Below Avg"/>
    <s v="Profit"/>
    <n v="381"/>
  </r>
  <r>
    <n v="56"/>
    <d v="2024-02-25T00:00:00"/>
    <n v="1027"/>
    <s v="Customer_197"/>
    <x v="1"/>
    <x v="3"/>
    <s v="Electronics"/>
    <s v="Product_C"/>
    <n v="879"/>
    <n v="7"/>
    <n v="0.03"/>
    <n v="1934"/>
    <s v="Card"/>
    <n v="5968.41"/>
    <s v="Feb"/>
    <n v="2024"/>
    <s v="Q1"/>
    <n v="0.3240394007784318"/>
    <n v="184.59"/>
    <s v="High"/>
    <s v="Repeat"/>
    <s v="Below Avg"/>
    <s v="Profit"/>
    <n v="298"/>
  </r>
  <r>
    <n v="57"/>
    <d v="2024-02-26T00:00:00"/>
    <n v="1030"/>
    <s v="Customer_37"/>
    <x v="1"/>
    <x v="1"/>
    <s v="Furniture"/>
    <s v="Product_B"/>
    <n v="4731"/>
    <n v="2"/>
    <n v="0.28999999999999998"/>
    <n v="1177"/>
    <s v="COD"/>
    <n v="6718.0199999999904"/>
    <s v="Feb"/>
    <n v="2024"/>
    <s v="Q1"/>
    <n v="0.17520043107939567"/>
    <n v="2743.98"/>
    <s v="High"/>
    <s v="Repeat"/>
    <s v="Below Avg"/>
    <s v="Profit"/>
    <n v="282"/>
  </r>
  <r>
    <n v="58"/>
    <d v="2024-02-27T00:00:00"/>
    <n v="1052"/>
    <s v="Customer_104"/>
    <x v="0"/>
    <x v="2"/>
    <s v="Furniture"/>
    <s v="Product_B"/>
    <n v="766"/>
    <n v="1"/>
    <n v="0.23"/>
    <n v="993"/>
    <s v="COD"/>
    <n v="589.82000000000005"/>
    <s v="Feb"/>
    <n v="2024"/>
    <s v="Q1"/>
    <n v="1.6835644772981586"/>
    <n v="176.18"/>
    <s v="Low"/>
    <s v="Repeat"/>
    <s v="Below Avg"/>
    <s v="Profit"/>
    <n v="487"/>
  </r>
  <r>
    <n v="59"/>
    <d v="2024-02-28T00:00:00"/>
    <n v="1070"/>
    <s v="Customer_188"/>
    <x v="0"/>
    <x v="2"/>
    <s v="Furniture"/>
    <s v="Product_B"/>
    <n v="1257"/>
    <n v="4"/>
    <n v="0.21"/>
    <n v="-182"/>
    <s v="UPI"/>
    <n v="3972.12"/>
    <s v="Feb"/>
    <n v="2024"/>
    <s v="Q1"/>
    <n v="-4.581936094579217E-2"/>
    <n v="1055.8799999999999"/>
    <s v="Medium"/>
    <s v="Repeat"/>
    <s v="Below Avg"/>
    <s v="Loss"/>
    <n v="354"/>
  </r>
  <r>
    <n v="60"/>
    <d v="2024-02-29T00:00:00"/>
    <n v="1026"/>
    <s v="Customer_143"/>
    <x v="0"/>
    <x v="3"/>
    <s v="Electronics"/>
    <s v="Product_C"/>
    <n v="4776"/>
    <n v="3"/>
    <n v="7.0000000000000007E-2"/>
    <n v="1297"/>
    <s v="UPI"/>
    <n v="13325.039999999901"/>
    <s v="Feb"/>
    <n v="2024"/>
    <s v="Q1"/>
    <n v="9.7335542707564823E-2"/>
    <n v="1002.9600000000002"/>
    <s v="High"/>
    <s v="Repeat"/>
    <s v="Above Avg"/>
    <s v="Profit"/>
    <n v="156"/>
  </r>
  <r>
    <n v="61"/>
    <d v="2024-03-01T00:00:00"/>
    <n v="1080"/>
    <s v="Customer_149"/>
    <x v="0"/>
    <x v="2"/>
    <s v="Furniture"/>
    <s v="Product_D"/>
    <n v="963"/>
    <n v="4"/>
    <n v="0.23"/>
    <n v="-271"/>
    <s v="Card"/>
    <n v="2966.04"/>
    <s v="Mar"/>
    <n v="2024"/>
    <s v="Q1"/>
    <n v="-9.1367614732100713E-2"/>
    <n v="885.96"/>
    <s v="Medium"/>
    <s v="Repeat"/>
    <s v="Below Avg"/>
    <s v="Loss"/>
    <n v="395"/>
  </r>
  <r>
    <n v="62"/>
    <d v="2024-03-02T00:00:00"/>
    <n v="1006"/>
    <s v="Customer_34"/>
    <x v="1"/>
    <x v="1"/>
    <s v="Clothing"/>
    <s v="Product_C"/>
    <n v="4000"/>
    <n v="3"/>
    <n v="0.01"/>
    <n v="1902"/>
    <s v="COD"/>
    <n v="11880"/>
    <s v="Mar"/>
    <n v="2024"/>
    <s v="Q1"/>
    <n v="0.1601010101010101"/>
    <n v="120"/>
    <s v="High"/>
    <s v="Repeat"/>
    <s v="Above Avg"/>
    <s v="Profit"/>
    <n v="171"/>
  </r>
  <r>
    <n v="63"/>
    <d v="2024-03-03T00:00:00"/>
    <n v="1014"/>
    <s v="Customer_9"/>
    <x v="0"/>
    <x v="0"/>
    <s v="Electronics"/>
    <s v="Product_B"/>
    <n v="156"/>
    <n v="9"/>
    <n v="0.17"/>
    <n v="325"/>
    <s v="COD"/>
    <n v="1165.32"/>
    <s v="Mar"/>
    <n v="2024"/>
    <s v="Q1"/>
    <n v="0.2788933511825078"/>
    <n v="238.68"/>
    <s v="Low"/>
    <s v="Repeat"/>
    <s v="Below Avg"/>
    <s v="Profit"/>
    <n v="472"/>
  </r>
  <r>
    <n v="64"/>
    <d v="2024-03-04T00:00:00"/>
    <n v="1075"/>
    <s v="Customer_154"/>
    <x v="0"/>
    <x v="0"/>
    <s v="Electronics"/>
    <s v="Product_A"/>
    <n v="3350"/>
    <n v="4"/>
    <n v="0.09"/>
    <n v="1332"/>
    <s v="COD"/>
    <n v="12194"/>
    <s v="Mar"/>
    <n v="2024"/>
    <s v="Q1"/>
    <n v="0.109234049532557"/>
    <n v="1206"/>
    <s v="High"/>
    <s v="Repeat"/>
    <s v="Above Avg"/>
    <s v="Profit"/>
    <n v="165"/>
  </r>
  <r>
    <n v="65"/>
    <d v="2024-03-05T00:00:00"/>
    <n v="1054"/>
    <s v="Customer_77"/>
    <x v="0"/>
    <x v="2"/>
    <s v="Electronics"/>
    <s v="Product_B"/>
    <n v="642"/>
    <n v="4"/>
    <n v="0.25"/>
    <n v="30"/>
    <s v="UPI"/>
    <n v="1926"/>
    <s v="Mar"/>
    <n v="2024"/>
    <s v="Q1"/>
    <n v="1.5576323987538941E-2"/>
    <n v="642"/>
    <s v="Low"/>
    <s v="Repeat"/>
    <s v="Below Avg"/>
    <s v="Profit"/>
    <n v="434"/>
  </r>
  <r>
    <n v="66"/>
    <d v="2024-03-06T00:00:00"/>
    <n v="1071"/>
    <s v="Customer_146"/>
    <x v="1"/>
    <x v="2"/>
    <s v="Electronics"/>
    <s v="Product_A"/>
    <n v="1032"/>
    <n v="7"/>
    <n v="0.23"/>
    <n v="-33"/>
    <s v="UPI"/>
    <n v="5562.48"/>
    <s v="Mar"/>
    <n v="2024"/>
    <s v="Q1"/>
    <n v="-5.9326056003796875E-3"/>
    <n v="1661.52"/>
    <s v="High"/>
    <s v="Repeat"/>
    <s v="Below Avg"/>
    <s v="Loss"/>
    <n v="307"/>
  </r>
  <r>
    <n v="67"/>
    <d v="2024-03-07T00:00:00"/>
    <n v="1001"/>
    <s v="Customer_1"/>
    <x v="0"/>
    <x v="2"/>
    <s v="Furniture"/>
    <s v="Product_B"/>
    <n v="950"/>
    <n v="4"/>
    <n v="0.15"/>
    <n v="1734"/>
    <s v="COD"/>
    <n v="3230"/>
    <s v="Mar"/>
    <n v="2024"/>
    <s v="Q1"/>
    <n v="0.5368421052631579"/>
    <n v="570"/>
    <s v="Medium"/>
    <s v="Repeat"/>
    <s v="Below Avg"/>
    <s v="Profit"/>
    <n v="387"/>
  </r>
  <r>
    <n v="68"/>
    <d v="2024-03-08T00:00:00"/>
    <n v="1043"/>
    <s v="Customer_23"/>
    <x v="1"/>
    <x v="3"/>
    <s v="Electronics"/>
    <s v="Product_D"/>
    <n v="1275"/>
    <n v="9"/>
    <n v="0.14000000000000001"/>
    <n v="1604"/>
    <s v="Card"/>
    <n v="9868.5"/>
    <s v="Mar"/>
    <n v="2024"/>
    <s v="Q1"/>
    <n v="0.16253736636773572"/>
    <n v="1606.5000000000002"/>
    <s v="High"/>
    <s v="New"/>
    <s v="Below Avg"/>
    <s v="Profit"/>
    <n v="204"/>
  </r>
  <r>
    <n v="69"/>
    <d v="2024-03-09T00:00:00"/>
    <n v="1058"/>
    <s v="Customer_33"/>
    <x v="0"/>
    <x v="3"/>
    <s v="Clothing"/>
    <s v="Product_D"/>
    <n v="622"/>
    <n v="9"/>
    <n v="0.02"/>
    <n v="442"/>
    <s v="Card"/>
    <n v="5486.04"/>
    <s v="Mar"/>
    <n v="2024"/>
    <s v="Q1"/>
    <n v="8.0568132933773726E-2"/>
    <n v="111.96000000000001"/>
    <s v="High"/>
    <s v="Repeat"/>
    <s v="Below Avg"/>
    <s v="Profit"/>
    <n v="309"/>
  </r>
  <r>
    <n v="70"/>
    <d v="2024-03-10T00:00:00"/>
    <n v="1055"/>
    <s v="Customer_175"/>
    <x v="0"/>
    <x v="2"/>
    <s v="Clothing"/>
    <s v="Product_C"/>
    <n v="209"/>
    <n v="9"/>
    <n v="7.0000000000000007E-2"/>
    <n v="79"/>
    <s v="Card"/>
    <n v="1749.33"/>
    <s v="Mar"/>
    <n v="2024"/>
    <s v="Q1"/>
    <n v="4.5160147027719186E-2"/>
    <n v="131.67000000000002"/>
    <s v="Low"/>
    <s v="Repeat"/>
    <s v="Below Avg"/>
    <s v="Profit"/>
    <n v="444"/>
  </r>
  <r>
    <n v="71"/>
    <d v="2024-03-11T00:00:00"/>
    <n v="1025"/>
    <s v="Customer_95"/>
    <x v="0"/>
    <x v="0"/>
    <s v="Clothing"/>
    <s v="Product_D"/>
    <n v="3545"/>
    <n v="6"/>
    <n v="0.21"/>
    <n v="706"/>
    <s v="Card"/>
    <n v="16803.3"/>
    <s v="Mar"/>
    <n v="2024"/>
    <s v="Q1"/>
    <n v="4.2015556468074727E-2"/>
    <n v="4466.7"/>
    <s v="High"/>
    <s v="Repeat"/>
    <s v="Above Avg"/>
    <s v="Profit"/>
    <n v="107"/>
  </r>
  <r>
    <n v="72"/>
    <d v="2024-03-12T00:00:00"/>
    <n v="1050"/>
    <s v="Customer_122"/>
    <x v="1"/>
    <x v="1"/>
    <s v="Clothing"/>
    <s v="Product_A"/>
    <n v="156"/>
    <n v="9"/>
    <n v="0.02"/>
    <n v="56"/>
    <s v="COD"/>
    <n v="1375.92"/>
    <s v="Mar"/>
    <n v="2024"/>
    <s v="Q1"/>
    <n v="4.0700040700040699E-2"/>
    <n v="28.080000000000002"/>
    <s v="Low"/>
    <s v="Repeat"/>
    <s v="Below Avg"/>
    <s v="Profit"/>
    <n v="463"/>
  </r>
  <r>
    <n v="73"/>
    <d v="2024-03-13T00:00:00"/>
    <n v="1084"/>
    <s v="Customer_21"/>
    <x v="0"/>
    <x v="2"/>
    <s v="Clothing"/>
    <s v="Product_C"/>
    <n v="3923"/>
    <n v="3"/>
    <n v="0.24"/>
    <n v="1141"/>
    <s v="UPI"/>
    <n v="8944.44"/>
    <s v="Mar"/>
    <n v="2024"/>
    <s v="Q1"/>
    <n v="0.12756528077777926"/>
    <n v="2824.56"/>
    <s v="High"/>
    <s v="Repeat"/>
    <s v="Below Avg"/>
    <s v="Profit"/>
    <n v="232"/>
  </r>
  <r>
    <n v="74"/>
    <d v="2024-03-14T00:00:00"/>
    <n v="1056"/>
    <s v="Customer_61"/>
    <x v="1"/>
    <x v="1"/>
    <s v="Electronics"/>
    <s v="Product_D"/>
    <n v="1766"/>
    <n v="2"/>
    <n v="0.28999999999999998"/>
    <n v="620"/>
    <s v="Card"/>
    <n v="2507.7199999999998"/>
    <s v="Mar"/>
    <n v="2024"/>
    <s v="Q1"/>
    <n v="0.24723653358429173"/>
    <n v="1024.28"/>
    <s v="Medium"/>
    <s v="Repeat"/>
    <s v="Below Avg"/>
    <s v="Profit"/>
    <n v="410"/>
  </r>
  <r>
    <n v="75"/>
    <d v="2024-03-15T00:00:00"/>
    <n v="1049"/>
    <s v="Customer_27"/>
    <x v="0"/>
    <x v="1"/>
    <s v="Furniture"/>
    <s v="Product_B"/>
    <n v="4017"/>
    <n v="2"/>
    <n v="0.02"/>
    <n v="755"/>
    <s v="COD"/>
    <n v="7873.32"/>
    <s v="Mar"/>
    <n v="2024"/>
    <s v="Q1"/>
    <n v="9.58934731472873E-2"/>
    <n v="160.68"/>
    <s v="High"/>
    <s v="Repeat"/>
    <s v="Below Avg"/>
    <s v="Profit"/>
    <n v="255"/>
  </r>
  <r>
    <n v="76"/>
    <d v="2024-03-16T00:00:00"/>
    <n v="1012"/>
    <s v="Customer_191"/>
    <x v="0"/>
    <x v="1"/>
    <s v="Clothing"/>
    <s v="Product_D"/>
    <n v="1527"/>
    <n v="7"/>
    <n v="0.14000000000000001"/>
    <n v="-113"/>
    <s v="COD"/>
    <n v="9192.53999999999"/>
    <s v="Mar"/>
    <n v="2024"/>
    <s v="Q1"/>
    <n v="-1.2292576371710117E-2"/>
    <n v="1496.46"/>
    <s v="High"/>
    <s v="Repeat"/>
    <s v="Below Avg"/>
    <s v="Loss"/>
    <n v="227"/>
  </r>
  <r>
    <n v="77"/>
    <d v="2024-03-17T00:00:00"/>
    <n v="1018"/>
    <s v="Customer_102"/>
    <x v="0"/>
    <x v="1"/>
    <s v="Furniture"/>
    <s v="Product_C"/>
    <n v="604"/>
    <n v="5"/>
    <n v="0.17"/>
    <n v="213"/>
    <s v="COD"/>
    <n v="2506.6"/>
    <s v="Mar"/>
    <n v="2024"/>
    <s v="Q1"/>
    <n v="8.497566424638954E-2"/>
    <n v="513.40000000000009"/>
    <s v="Medium"/>
    <s v="Repeat"/>
    <s v="Below Avg"/>
    <s v="Profit"/>
    <n v="411"/>
  </r>
  <r>
    <n v="78"/>
    <d v="2024-03-18T00:00:00"/>
    <n v="1081"/>
    <s v="Customer_180"/>
    <x v="0"/>
    <x v="3"/>
    <s v="Clothing"/>
    <s v="Product_D"/>
    <n v="3795"/>
    <n v="4"/>
    <n v="0.24"/>
    <n v="842"/>
    <s v="UPI"/>
    <n v="11536.8"/>
    <s v="Mar"/>
    <n v="2024"/>
    <s v="Q1"/>
    <n v="7.2983843006726307E-2"/>
    <n v="3643.2"/>
    <s v="High"/>
    <s v="Repeat"/>
    <s v="Above Avg"/>
    <s v="Profit"/>
    <n v="181"/>
  </r>
  <r>
    <n v="79"/>
    <d v="2024-03-19T00:00:00"/>
    <n v="1001"/>
    <s v="Customer_192"/>
    <x v="0"/>
    <x v="2"/>
    <s v="Clothing"/>
    <s v="Product_A"/>
    <n v="4704"/>
    <n v="2"/>
    <n v="0.05"/>
    <n v="-31"/>
    <s v="Card"/>
    <n v="8937.6"/>
    <s v="Mar"/>
    <n v="2024"/>
    <s v="Q1"/>
    <n v="-3.4684926602219835E-3"/>
    <n v="470.40000000000003"/>
    <s v="High"/>
    <s v="Repeat"/>
    <s v="Below Avg"/>
    <s v="Loss"/>
    <n v="233"/>
  </r>
  <r>
    <n v="80"/>
    <d v="2024-03-20T00:00:00"/>
    <n v="1051"/>
    <s v="Customer_142"/>
    <x v="1"/>
    <x v="1"/>
    <s v="Clothing"/>
    <s v="Product_A"/>
    <n v="1428"/>
    <n v="4"/>
    <n v="0.11"/>
    <n v="361"/>
    <s v="UPI"/>
    <n v="5083.68"/>
    <s v="Mar"/>
    <n v="2024"/>
    <s v="Q1"/>
    <n v="7.10115506876908E-2"/>
    <n v="628.32000000000005"/>
    <s v="High"/>
    <s v="Repeat"/>
    <s v="Below Avg"/>
    <s v="Profit"/>
    <n v="320"/>
  </r>
  <r>
    <n v="81"/>
    <d v="2024-03-21T00:00:00"/>
    <n v="1044"/>
    <s v="Customer_101"/>
    <x v="1"/>
    <x v="1"/>
    <s v="Furniture"/>
    <s v="Product_A"/>
    <n v="783"/>
    <n v="6"/>
    <n v="0.25"/>
    <n v="-54"/>
    <s v="COD"/>
    <n v="3523.5"/>
    <s v="Mar"/>
    <n v="2024"/>
    <s v="Q1"/>
    <n v="-1.532567049808429E-2"/>
    <n v="1174.5"/>
    <s v="Medium"/>
    <s v="Repeat"/>
    <s v="Below Avg"/>
    <s v="Loss"/>
    <n v="376"/>
  </r>
  <r>
    <n v="82"/>
    <d v="2024-03-22T00:00:00"/>
    <n v="1048"/>
    <s v="Customer_175"/>
    <x v="0"/>
    <x v="0"/>
    <s v="Electronics"/>
    <s v="Product_A"/>
    <n v="222"/>
    <n v="6"/>
    <n v="0.16"/>
    <n v="9"/>
    <s v="UPI"/>
    <n v="1118.8799999999901"/>
    <s v="Mar"/>
    <n v="2024"/>
    <s v="Q1"/>
    <n v="8.043758043758115E-3"/>
    <n v="213.12"/>
    <s v="Low"/>
    <s v="Repeat"/>
    <s v="Below Avg"/>
    <s v="Profit"/>
    <n v="474"/>
  </r>
  <r>
    <n v="83"/>
    <d v="2024-03-23T00:00:00"/>
    <n v="1056"/>
    <s v="Customer_7"/>
    <x v="1"/>
    <x v="2"/>
    <s v="Clothing"/>
    <s v="Product_A"/>
    <n v="1447"/>
    <n v="8"/>
    <n v="0.05"/>
    <n v="1686"/>
    <s v="UPI"/>
    <n v="10997.199999999901"/>
    <s v="Mar"/>
    <n v="2024"/>
    <s v="Q1"/>
    <n v="0.15331175208234962"/>
    <n v="578.80000000000007"/>
    <s v="High"/>
    <s v="Repeat"/>
    <s v="Above Avg"/>
    <s v="Profit"/>
    <n v="191"/>
  </r>
  <r>
    <n v="84"/>
    <d v="2024-03-24T00:00:00"/>
    <n v="1091"/>
    <s v="Customer_76"/>
    <x v="1"/>
    <x v="1"/>
    <s v="Electronics"/>
    <s v="Product_C"/>
    <n v="4171"/>
    <n v="6"/>
    <n v="0.26"/>
    <n v="1941"/>
    <s v="UPI"/>
    <n v="18519.2399999999"/>
    <s v="Mar"/>
    <n v="2024"/>
    <s v="Q1"/>
    <n v="0.10480991660564962"/>
    <n v="6506.76"/>
    <s v="High"/>
    <s v="Repeat"/>
    <s v="Above Avg"/>
    <s v="Profit"/>
    <n v="86"/>
  </r>
  <r>
    <n v="85"/>
    <d v="2024-03-25T00:00:00"/>
    <n v="1049"/>
    <s v="Customer_156"/>
    <x v="1"/>
    <x v="3"/>
    <s v="Clothing"/>
    <s v="Product_D"/>
    <n v="2001"/>
    <n v="5"/>
    <n v="0.28000000000000003"/>
    <n v="832"/>
    <s v="UPI"/>
    <n v="7203.5999999999904"/>
    <s v="Mar"/>
    <n v="2024"/>
    <s v="Q1"/>
    <n v="0.1154978066522296"/>
    <n v="2801.4"/>
    <s v="High"/>
    <s v="Repeat"/>
    <s v="Below Avg"/>
    <s v="Profit"/>
    <n v="271"/>
  </r>
  <r>
    <n v="86"/>
    <d v="2024-03-26T00:00:00"/>
    <n v="1086"/>
    <s v="Customer_131"/>
    <x v="0"/>
    <x v="0"/>
    <s v="Electronics"/>
    <s v="Product_C"/>
    <n v="1745"/>
    <n v="7"/>
    <n v="0.22"/>
    <n v="1411"/>
    <s v="UPI"/>
    <n v="9527.7000000000007"/>
    <s v="Mar"/>
    <n v="2024"/>
    <s v="Q1"/>
    <n v="0.14809450339536298"/>
    <n v="2687.3"/>
    <s v="High"/>
    <s v="Repeat"/>
    <s v="Below Avg"/>
    <s v="Profit"/>
    <n v="215"/>
  </r>
  <r>
    <n v="87"/>
    <d v="2024-03-27T00:00:00"/>
    <n v="1003"/>
    <s v="Customer_150"/>
    <x v="1"/>
    <x v="0"/>
    <s v="Electronics"/>
    <s v="Product_D"/>
    <n v="2969"/>
    <n v="3"/>
    <n v="0.28999999999999998"/>
    <n v="735"/>
    <s v="UPI"/>
    <n v="6323.9699999999903"/>
    <s v="Mar"/>
    <n v="2024"/>
    <s v="Q1"/>
    <n v="0.11622446026783827"/>
    <n v="2583.0299999999997"/>
    <s v="High"/>
    <s v="Repeat"/>
    <s v="Below Avg"/>
    <s v="Profit"/>
    <n v="288"/>
  </r>
  <r>
    <n v="88"/>
    <d v="2024-03-28T00:00:00"/>
    <n v="1067"/>
    <s v="Customer_85"/>
    <x v="1"/>
    <x v="0"/>
    <s v="Clothing"/>
    <s v="Product_A"/>
    <n v="1478"/>
    <n v="4"/>
    <n v="0.28000000000000003"/>
    <n v="-370"/>
    <s v="COD"/>
    <n v="4256.6399999999903"/>
    <s v="Mar"/>
    <n v="2024"/>
    <s v="Q1"/>
    <n v="-8.6923019094873155E-2"/>
    <n v="1655.3600000000001"/>
    <s v="Medium"/>
    <s v="Repeat"/>
    <s v="Below Avg"/>
    <s v="Loss"/>
    <n v="343"/>
  </r>
  <r>
    <n v="89"/>
    <d v="2024-03-29T00:00:00"/>
    <n v="1011"/>
    <s v="Customer_191"/>
    <x v="1"/>
    <x v="0"/>
    <s v="Electronics"/>
    <s v="Product_B"/>
    <n v="2972"/>
    <n v="6"/>
    <n v="0.04"/>
    <n v="64"/>
    <s v="UPI"/>
    <n v="17118.72"/>
    <s v="Mar"/>
    <n v="2024"/>
    <s v="Q1"/>
    <n v="3.7385972783011813E-3"/>
    <n v="713.28"/>
    <s v="High"/>
    <s v="Repeat"/>
    <s v="Above Avg"/>
    <s v="Profit"/>
    <n v="104"/>
  </r>
  <r>
    <n v="90"/>
    <d v="2024-03-30T00:00:00"/>
    <n v="1021"/>
    <s v="Customer_29"/>
    <x v="0"/>
    <x v="1"/>
    <s v="Furniture"/>
    <s v="Product_B"/>
    <n v="1596"/>
    <n v="9"/>
    <n v="0.12"/>
    <n v="1887"/>
    <s v="UPI"/>
    <n v="12640.32"/>
    <s v="Mar"/>
    <n v="2024"/>
    <s v="Q1"/>
    <n v="0.14928419533682691"/>
    <n v="1723.6799999999998"/>
    <s v="High"/>
    <s v="Repeat"/>
    <s v="Above Avg"/>
    <s v="Profit"/>
    <n v="161"/>
  </r>
  <r>
    <n v="91"/>
    <d v="2024-03-31T00:00:00"/>
    <n v="1089"/>
    <s v="Customer_148"/>
    <x v="1"/>
    <x v="3"/>
    <s v="Electronics"/>
    <s v="Product_B"/>
    <n v="775"/>
    <n v="6"/>
    <n v="0.18"/>
    <n v="1459"/>
    <s v="UPI"/>
    <n v="3813"/>
    <s v="Mar"/>
    <n v="2024"/>
    <s v="Q1"/>
    <n v="0.38263834251245737"/>
    <n v="837"/>
    <s v="Medium"/>
    <s v="Repeat"/>
    <s v="Below Avg"/>
    <s v="Profit"/>
    <n v="364"/>
  </r>
  <r>
    <n v="92"/>
    <d v="2024-04-01T00:00:00"/>
    <n v="1098"/>
    <s v="Customer_67"/>
    <x v="1"/>
    <x v="0"/>
    <s v="Furniture"/>
    <s v="Product_D"/>
    <n v="2608"/>
    <n v="4"/>
    <n v="0.22"/>
    <n v="1774"/>
    <s v="UPI"/>
    <n v="8136.96"/>
    <s v="Apr"/>
    <n v="2024"/>
    <s v="Q2"/>
    <n v="0.21801753971999371"/>
    <n v="2295.04"/>
    <s v="High"/>
    <s v="Repeat"/>
    <s v="Below Avg"/>
    <s v="Profit"/>
    <n v="246"/>
  </r>
  <r>
    <n v="93"/>
    <d v="2024-04-02T00:00:00"/>
    <n v="1003"/>
    <s v="Customer_105"/>
    <x v="1"/>
    <x v="3"/>
    <s v="Electronics"/>
    <s v="Product_D"/>
    <n v="2396"/>
    <n v="8"/>
    <n v="0.16"/>
    <n v="943"/>
    <s v="Card"/>
    <n v="16101.119999999901"/>
    <s v="Apr"/>
    <n v="2024"/>
    <s v="Q2"/>
    <n v="5.8567354320693578E-2"/>
    <n v="3066.88"/>
    <s v="High"/>
    <s v="Repeat"/>
    <s v="Above Avg"/>
    <s v="Profit"/>
    <n v="126"/>
  </r>
  <r>
    <n v="94"/>
    <d v="2024-04-03T00:00:00"/>
    <n v="1011"/>
    <s v="Customer_161"/>
    <x v="0"/>
    <x v="1"/>
    <s v="Furniture"/>
    <s v="Product_C"/>
    <n v="662"/>
    <n v="5"/>
    <n v="0.19"/>
    <n v="-45"/>
    <s v="COD"/>
    <n v="2681.1"/>
    <s v="Apr"/>
    <n v="2024"/>
    <s v="Q2"/>
    <n v="-1.6784155756965426E-2"/>
    <n v="628.9"/>
    <s v="Medium"/>
    <s v="Repeat"/>
    <s v="Below Avg"/>
    <s v="Loss"/>
    <n v="403"/>
  </r>
  <r>
    <n v="95"/>
    <d v="2024-04-04T00:00:00"/>
    <n v="1003"/>
    <s v="Customer_94"/>
    <x v="0"/>
    <x v="2"/>
    <s v="Clothing"/>
    <s v="Product_C"/>
    <n v="4372"/>
    <n v="5"/>
    <n v="0.04"/>
    <n v="1771"/>
    <s v="UPI"/>
    <n v="20985.599999999999"/>
    <s v="Apr"/>
    <n v="2024"/>
    <s v="Q2"/>
    <n v="8.4391201585849354E-2"/>
    <n v="874.4"/>
    <s v="High"/>
    <s v="Repeat"/>
    <s v="Above Avg"/>
    <s v="Profit"/>
    <n v="77"/>
  </r>
  <r>
    <n v="96"/>
    <d v="2024-04-05T00:00:00"/>
    <n v="1094"/>
    <s v="Customer_48"/>
    <x v="0"/>
    <x v="3"/>
    <s v="Furniture"/>
    <s v="Product_D"/>
    <n v="301"/>
    <n v="8"/>
    <n v="0.12"/>
    <n v="1297"/>
    <s v="UPI"/>
    <n v="2119.04"/>
    <s v="Apr"/>
    <n v="2024"/>
    <s v="Q2"/>
    <n v="0.61206961643008151"/>
    <n v="288.95999999999998"/>
    <s v="Medium"/>
    <s v="Repeat"/>
    <s v="Below Avg"/>
    <s v="Profit"/>
    <n v="421"/>
  </r>
  <r>
    <n v="97"/>
    <d v="2024-04-06T00:00:00"/>
    <n v="1006"/>
    <s v="Customer_103"/>
    <x v="1"/>
    <x v="1"/>
    <s v="Furniture"/>
    <s v="Product_A"/>
    <n v="4572"/>
    <n v="9"/>
    <n v="0"/>
    <n v="519"/>
    <s v="UPI"/>
    <n v="41148"/>
    <s v="Apr"/>
    <n v="2024"/>
    <s v="Q2"/>
    <n v="1.2613006707494897E-2"/>
    <n v="0"/>
    <s v="High"/>
    <s v="Repeat"/>
    <s v="Above Avg"/>
    <s v="Profit"/>
    <n v="1"/>
  </r>
  <r>
    <n v="98"/>
    <d v="2024-04-07T00:00:00"/>
    <n v="1009"/>
    <s v="Customer_41"/>
    <x v="0"/>
    <x v="0"/>
    <s v="Electronics"/>
    <s v="Product_A"/>
    <n v="3094"/>
    <n v="4"/>
    <n v="0.2"/>
    <n v="236"/>
    <s v="Card"/>
    <n v="9900.7999999999993"/>
    <s v="Apr"/>
    <n v="2024"/>
    <s v="Q2"/>
    <n v="2.3836457659987074E-2"/>
    <n v="2475.2000000000003"/>
    <s v="High"/>
    <s v="Repeat"/>
    <s v="Below Avg"/>
    <s v="Profit"/>
    <n v="203"/>
  </r>
  <r>
    <n v="99"/>
    <d v="2024-04-08T00:00:00"/>
    <n v="1087"/>
    <s v="Customer_123"/>
    <x v="0"/>
    <x v="2"/>
    <s v="Electronics"/>
    <s v="Product_A"/>
    <n v="4656"/>
    <n v="8"/>
    <n v="0.05"/>
    <n v="115"/>
    <s v="Card"/>
    <n v="35385.599999999999"/>
    <s v="Apr"/>
    <n v="2024"/>
    <s v="Q2"/>
    <n v="3.2499095677337676E-3"/>
    <n v="1862.4"/>
    <s v="High"/>
    <s v="Repeat"/>
    <s v="Above Avg"/>
    <s v="Profit"/>
    <n v="9"/>
  </r>
  <r>
    <n v="100"/>
    <d v="2024-04-09T00:00:00"/>
    <n v="1014"/>
    <s v="Customer_137"/>
    <x v="1"/>
    <x v="3"/>
    <s v="Clothing"/>
    <s v="Product_B"/>
    <n v="4815"/>
    <n v="8"/>
    <n v="0.12"/>
    <n v="271"/>
    <s v="UPI"/>
    <n v="33897.599999999999"/>
    <s v="Apr"/>
    <n v="2024"/>
    <s v="Q2"/>
    <n v="7.9946662890588126E-3"/>
    <n v="4622.3999999999996"/>
    <s v="High"/>
    <s v="Repeat"/>
    <s v="Above Avg"/>
    <s v="Profit"/>
    <n v="14"/>
  </r>
  <r>
    <n v="101"/>
    <d v="2024-04-10T00:00:00"/>
    <n v="1083"/>
    <s v="Customer_176"/>
    <x v="0"/>
    <x v="0"/>
    <s v="Furniture"/>
    <s v="Product_C"/>
    <n v="4598"/>
    <n v="3"/>
    <n v="0.15"/>
    <n v="93"/>
    <s v="Card"/>
    <n v="11724.9"/>
    <s v="Apr"/>
    <n v="2024"/>
    <s v="Q2"/>
    <n v="7.9318373717473072E-3"/>
    <n v="2069.1"/>
    <s v="High"/>
    <s v="Repeat"/>
    <s v="Above Avg"/>
    <s v="Profit"/>
    <n v="177"/>
  </r>
  <r>
    <n v="102"/>
    <d v="2024-04-11T00:00:00"/>
    <n v="1070"/>
    <s v="Customer_182"/>
    <x v="0"/>
    <x v="1"/>
    <s v="Electronics"/>
    <s v="Product_B"/>
    <n v="4505"/>
    <n v="4"/>
    <n v="0.2"/>
    <n v="-150"/>
    <s v="UPI"/>
    <n v="14416"/>
    <s v="Apr"/>
    <n v="2024"/>
    <s v="Q2"/>
    <n v="-1.0405105438401776E-2"/>
    <n v="3604"/>
    <s v="High"/>
    <s v="Repeat"/>
    <s v="Above Avg"/>
    <s v="Loss"/>
    <n v="144"/>
  </r>
  <r>
    <n v="103"/>
    <d v="2024-04-12T00:00:00"/>
    <n v="1012"/>
    <s v="Customer_23"/>
    <x v="0"/>
    <x v="1"/>
    <s v="Electronics"/>
    <s v="Product_C"/>
    <n v="3765"/>
    <n v="2"/>
    <n v="0.23"/>
    <n v="820"/>
    <s v="COD"/>
    <n v="5798.1"/>
    <s v="Apr"/>
    <n v="2024"/>
    <s v="Q2"/>
    <n v="0.14142563943360756"/>
    <n v="1731.9"/>
    <s v="High"/>
    <s v="Repeat"/>
    <s v="Below Avg"/>
    <s v="Profit"/>
    <n v="301"/>
  </r>
  <r>
    <n v="104"/>
    <d v="2024-04-13T00:00:00"/>
    <n v="1054"/>
    <s v="Customer_193"/>
    <x v="1"/>
    <x v="1"/>
    <s v="Furniture"/>
    <s v="Product_A"/>
    <n v="4195"/>
    <n v="5"/>
    <n v="0.21"/>
    <n v="-479"/>
    <s v="Card"/>
    <n v="16570.25"/>
    <s v="Apr"/>
    <n v="2024"/>
    <s v="Q2"/>
    <n v="-2.8907228315806943E-2"/>
    <n v="4404.75"/>
    <s v="High"/>
    <s v="Repeat"/>
    <s v="Above Avg"/>
    <s v="Loss"/>
    <n v="114"/>
  </r>
  <r>
    <n v="105"/>
    <d v="2024-04-14T00:00:00"/>
    <n v="1027"/>
    <s v="Customer_149"/>
    <x v="1"/>
    <x v="0"/>
    <s v="Furniture"/>
    <s v="Product_A"/>
    <n v="1628"/>
    <n v="6"/>
    <n v="0.17"/>
    <n v="1224"/>
    <s v="Card"/>
    <n v="8107.44"/>
    <s v="Apr"/>
    <n v="2024"/>
    <s v="Q2"/>
    <n v="0.15097244012906663"/>
    <n v="1660.5600000000002"/>
    <s v="High"/>
    <s v="Repeat"/>
    <s v="Below Avg"/>
    <s v="Profit"/>
    <n v="248"/>
  </r>
  <r>
    <n v="106"/>
    <d v="2024-04-15T00:00:00"/>
    <n v="1038"/>
    <s v="Customer_160"/>
    <x v="1"/>
    <x v="3"/>
    <s v="Clothing"/>
    <s v="Product_A"/>
    <n v="759"/>
    <n v="6"/>
    <n v="0.16"/>
    <n v="879"/>
    <s v="UPI"/>
    <n v="3825.3599999999901"/>
    <s v="Apr"/>
    <n v="2024"/>
    <s v="Q2"/>
    <n v="0.22978229499968689"/>
    <n v="728.64"/>
    <s v="Medium"/>
    <s v="Repeat"/>
    <s v="Below Avg"/>
    <s v="Profit"/>
    <n v="363"/>
  </r>
  <r>
    <n v="107"/>
    <d v="2024-04-16T00:00:00"/>
    <n v="1017"/>
    <s v="Customer_109"/>
    <x v="0"/>
    <x v="1"/>
    <s v="Electronics"/>
    <s v="Product_B"/>
    <n v="101"/>
    <n v="2"/>
    <n v="0.26"/>
    <n v="1747"/>
    <s v="COD"/>
    <n v="149.47999999999999"/>
    <s v="Apr"/>
    <n v="2024"/>
    <s v="Q2"/>
    <n v="11.687182231736688"/>
    <n v="52.52"/>
    <s v="Low"/>
    <s v="Repeat"/>
    <s v="Below Avg"/>
    <s v="Profit"/>
    <n v="500"/>
  </r>
  <r>
    <n v="108"/>
    <d v="2024-04-17T00:00:00"/>
    <n v="1061"/>
    <s v="Customer_154"/>
    <x v="1"/>
    <x v="1"/>
    <s v="Furniture"/>
    <s v="Product_A"/>
    <n v="608"/>
    <n v="4"/>
    <n v="0.26"/>
    <n v="1152"/>
    <s v="UPI"/>
    <n v="1799.68"/>
    <s v="Apr"/>
    <n v="2024"/>
    <s v="Q2"/>
    <n v="0.64011379800853485"/>
    <n v="632.32000000000005"/>
    <s v="Low"/>
    <s v="Repeat"/>
    <s v="Below Avg"/>
    <s v="Profit"/>
    <n v="441"/>
  </r>
  <r>
    <n v="109"/>
    <d v="2024-04-18T00:00:00"/>
    <n v="1074"/>
    <s v="Customer_33"/>
    <x v="0"/>
    <x v="2"/>
    <s v="Clothing"/>
    <s v="Product_A"/>
    <n v="239"/>
    <n v="2"/>
    <n v="0.02"/>
    <n v="1292"/>
    <s v="COD"/>
    <n v="468.44"/>
    <s v="Apr"/>
    <n v="2024"/>
    <s v="Q2"/>
    <n v="2.7580906839723336"/>
    <n v="9.56"/>
    <s v="Low"/>
    <s v="Repeat"/>
    <s v="Below Avg"/>
    <s v="Profit"/>
    <n v="492"/>
  </r>
  <r>
    <n v="110"/>
    <d v="2024-04-19T00:00:00"/>
    <n v="1099"/>
    <s v="Customer_188"/>
    <x v="1"/>
    <x v="3"/>
    <s v="Furniture"/>
    <s v="Product_B"/>
    <n v="3354"/>
    <n v="5"/>
    <n v="0.08"/>
    <n v="556"/>
    <s v="Card"/>
    <n v="15428.4"/>
    <s v="Apr"/>
    <n v="2024"/>
    <s v="Q2"/>
    <n v="3.603743745300874E-2"/>
    <n v="1341.6000000000001"/>
    <s v="High"/>
    <s v="Repeat"/>
    <s v="Above Avg"/>
    <s v="Profit"/>
    <n v="136"/>
  </r>
  <r>
    <n v="111"/>
    <d v="2024-04-20T00:00:00"/>
    <n v="1099"/>
    <s v="Customer_137"/>
    <x v="1"/>
    <x v="1"/>
    <s v="Furniture"/>
    <s v="Product_A"/>
    <n v="3754"/>
    <n v="2"/>
    <n v="0.28000000000000003"/>
    <n v="853"/>
    <s v="Card"/>
    <n v="5405.76"/>
    <s v="Apr"/>
    <n v="2024"/>
    <s v="Q2"/>
    <n v="0.15779464867104717"/>
    <n v="2102.2400000000002"/>
    <s v="High"/>
    <s v="Repeat"/>
    <s v="Below Avg"/>
    <s v="Profit"/>
    <n v="312"/>
  </r>
  <r>
    <n v="112"/>
    <d v="2024-04-21T00:00:00"/>
    <n v="1065"/>
    <s v="Customer_81"/>
    <x v="0"/>
    <x v="3"/>
    <s v="Clothing"/>
    <s v="Product_A"/>
    <n v="1685"/>
    <n v="9"/>
    <n v="0.18"/>
    <n v="1489"/>
    <s v="COD"/>
    <n v="12435.3"/>
    <s v="Apr"/>
    <n v="2024"/>
    <s v="Q2"/>
    <n v="0.11973977306538645"/>
    <n v="2729.7"/>
    <s v="High"/>
    <s v="Repeat"/>
    <s v="Above Avg"/>
    <s v="Profit"/>
    <n v="163"/>
  </r>
  <r>
    <n v="113"/>
    <d v="2024-04-22T00:00:00"/>
    <n v="1047"/>
    <s v="Customer_70"/>
    <x v="1"/>
    <x v="1"/>
    <s v="Furniture"/>
    <s v="Product_B"/>
    <n v="4837"/>
    <n v="1"/>
    <n v="0.04"/>
    <n v="216"/>
    <s v="Card"/>
    <n v="4643.5199999999904"/>
    <s v="Apr"/>
    <n v="2024"/>
    <s v="Q2"/>
    <n v="4.6516435807318679E-2"/>
    <n v="193.48000000000002"/>
    <s v="Medium"/>
    <s v="Repeat"/>
    <s v="Below Avg"/>
    <s v="Profit"/>
    <n v="334"/>
  </r>
  <r>
    <n v="114"/>
    <d v="2024-04-23T00:00:00"/>
    <n v="1016"/>
    <s v="Customer_174"/>
    <x v="1"/>
    <x v="0"/>
    <s v="Electronics"/>
    <s v="Product_D"/>
    <n v="327"/>
    <n v="6"/>
    <n v="0.02"/>
    <n v="-476"/>
    <s v="UPI"/>
    <n v="1922.76"/>
    <s v="Apr"/>
    <n v="2024"/>
    <s v="Q2"/>
    <n v="-0.24756079801951361"/>
    <n v="39.24"/>
    <s v="Low"/>
    <s v="Repeat"/>
    <s v="Below Avg"/>
    <s v="Loss"/>
    <n v="435"/>
  </r>
  <r>
    <n v="115"/>
    <d v="2024-04-24T00:00:00"/>
    <n v="1005"/>
    <s v="Customer_7"/>
    <x v="1"/>
    <x v="1"/>
    <s v="Clothing"/>
    <s v="Product_C"/>
    <n v="2697"/>
    <n v="9"/>
    <n v="0.03"/>
    <n v="196"/>
    <s v="Card"/>
    <n v="23544.809999999899"/>
    <s v="Apr"/>
    <n v="2024"/>
    <s v="Q2"/>
    <n v="8.324552204923329E-3"/>
    <n v="728.18999999999994"/>
    <s v="High"/>
    <s v="Repeat"/>
    <s v="Above Avg"/>
    <s v="Profit"/>
    <n v="56"/>
  </r>
  <r>
    <n v="116"/>
    <d v="2024-04-25T00:00:00"/>
    <n v="1086"/>
    <s v="Customer_128"/>
    <x v="0"/>
    <x v="2"/>
    <s v="Clothing"/>
    <s v="Product_A"/>
    <n v="2905"/>
    <n v="3"/>
    <n v="0.23"/>
    <n v="1412"/>
    <s v="Card"/>
    <n v="6710.55"/>
    <s v="Apr"/>
    <n v="2024"/>
    <s v="Q2"/>
    <n v="0.21041494363353228"/>
    <n v="2004.45"/>
    <s v="High"/>
    <s v="Repeat"/>
    <s v="Below Avg"/>
    <s v="Profit"/>
    <n v="283"/>
  </r>
  <r>
    <n v="117"/>
    <d v="2024-04-26T00:00:00"/>
    <n v="1046"/>
    <s v="Customer_7"/>
    <x v="1"/>
    <x v="1"/>
    <s v="Furniture"/>
    <s v="Product_A"/>
    <n v="4460"/>
    <n v="9"/>
    <n v="7.0000000000000007E-2"/>
    <n v="683"/>
    <s v="UPI"/>
    <n v="37330.199999999997"/>
    <s v="Apr"/>
    <n v="2024"/>
    <s v="Q2"/>
    <n v="1.8296178429261029E-2"/>
    <n v="2809.8"/>
    <s v="High"/>
    <s v="Repeat"/>
    <s v="Above Avg"/>
    <s v="Profit"/>
    <n v="6"/>
  </r>
  <r>
    <n v="118"/>
    <d v="2024-04-27T00:00:00"/>
    <n v="1015"/>
    <s v="Customer_121"/>
    <x v="0"/>
    <x v="1"/>
    <s v="Clothing"/>
    <s v="Product_B"/>
    <n v="3646"/>
    <n v="2"/>
    <n v="7.0000000000000007E-2"/>
    <n v="1559"/>
    <s v="COD"/>
    <n v="6781.5599999999904"/>
    <s v="Apr"/>
    <n v="2024"/>
    <s v="Q2"/>
    <n v="0.22988810834085405"/>
    <n v="510.44000000000005"/>
    <s v="High"/>
    <s v="Repeat"/>
    <s v="Below Avg"/>
    <s v="Profit"/>
    <n v="278"/>
  </r>
  <r>
    <n v="119"/>
    <d v="2024-04-28T00:00:00"/>
    <n v="1059"/>
    <s v="Customer_197"/>
    <x v="1"/>
    <x v="2"/>
    <s v="Furniture"/>
    <s v="Product_D"/>
    <n v="3772"/>
    <n v="2"/>
    <n v="0.04"/>
    <n v="189"/>
    <s v="Card"/>
    <n v="7242.24"/>
    <s v="Apr"/>
    <n v="2024"/>
    <s v="Q2"/>
    <n v="2.6096898197242844E-2"/>
    <n v="301.76"/>
    <s v="High"/>
    <s v="Repeat"/>
    <s v="Below Avg"/>
    <s v="Profit"/>
    <n v="270"/>
  </r>
  <r>
    <n v="120"/>
    <d v="2024-04-29T00:00:00"/>
    <n v="1040"/>
    <s v="Customer_161"/>
    <x v="1"/>
    <x v="1"/>
    <s v="Clothing"/>
    <s v="Product_B"/>
    <n v="4990"/>
    <n v="2"/>
    <n v="0.18"/>
    <n v="829"/>
    <s v="UPI"/>
    <n v="8183.6"/>
    <s v="Apr"/>
    <n v="2024"/>
    <s v="Q2"/>
    <n v="0.10130016129820617"/>
    <n v="1796.3999999999999"/>
    <s v="High"/>
    <s v="Repeat"/>
    <s v="Below Avg"/>
    <s v="Profit"/>
    <n v="245"/>
  </r>
  <r>
    <n v="121"/>
    <d v="2024-04-30T00:00:00"/>
    <n v="1025"/>
    <s v="Customer_114"/>
    <x v="1"/>
    <x v="0"/>
    <s v="Clothing"/>
    <s v="Product_D"/>
    <n v="4660"/>
    <n v="3"/>
    <n v="0.15"/>
    <n v="697"/>
    <s v="UPI"/>
    <n v="11883"/>
    <s v="Apr"/>
    <n v="2024"/>
    <s v="Q2"/>
    <n v="5.8655221745350504E-2"/>
    <n v="2097"/>
    <s v="High"/>
    <s v="Repeat"/>
    <s v="Above Avg"/>
    <s v="Profit"/>
    <n v="170"/>
  </r>
  <r>
    <n v="122"/>
    <d v="2024-05-01T00:00:00"/>
    <n v="1045"/>
    <s v="Customer_138"/>
    <x v="1"/>
    <x v="1"/>
    <s v="Furniture"/>
    <s v="Product_B"/>
    <n v="2622"/>
    <n v="4"/>
    <n v="0.08"/>
    <n v="-69"/>
    <s v="COD"/>
    <n v="9648.9599999999991"/>
    <s v="May"/>
    <n v="2024"/>
    <s v="Q2"/>
    <n v="-7.1510297482837533E-3"/>
    <n v="839.04"/>
    <s v="High"/>
    <s v="Repeat"/>
    <s v="Below Avg"/>
    <s v="Loss"/>
    <n v="210"/>
  </r>
  <r>
    <n v="123"/>
    <d v="2024-05-02T00:00:00"/>
    <n v="1049"/>
    <s v="Customer_104"/>
    <x v="0"/>
    <x v="2"/>
    <s v="Furniture"/>
    <s v="Product_B"/>
    <n v="438"/>
    <n v="3"/>
    <n v="0.2"/>
    <n v="1254"/>
    <s v="UPI"/>
    <n v="1051.2"/>
    <s v="May"/>
    <n v="2024"/>
    <s v="Q2"/>
    <n v="1.1929223744292237"/>
    <n v="262.8"/>
    <s v="Low"/>
    <s v="Repeat"/>
    <s v="Below Avg"/>
    <s v="Profit"/>
    <n v="478"/>
  </r>
  <r>
    <n v="124"/>
    <d v="2024-05-03T00:00:00"/>
    <n v="1000"/>
    <s v="Customer_28"/>
    <x v="0"/>
    <x v="1"/>
    <s v="Clothing"/>
    <s v="Product_D"/>
    <n v="918"/>
    <n v="6"/>
    <n v="0.23"/>
    <n v="-299"/>
    <s v="UPI"/>
    <n v="4241.16"/>
    <s v="May"/>
    <n v="2024"/>
    <s v="Q2"/>
    <n v="-7.0499580303501869E-2"/>
    <n v="1266.8400000000001"/>
    <s v="Medium"/>
    <s v="Repeat"/>
    <s v="Below Avg"/>
    <s v="Loss"/>
    <n v="344"/>
  </r>
  <r>
    <n v="125"/>
    <d v="2024-05-04T00:00:00"/>
    <n v="1035"/>
    <s v="Customer_175"/>
    <x v="1"/>
    <x v="2"/>
    <s v="Furniture"/>
    <s v="Product_D"/>
    <n v="2666"/>
    <n v="6"/>
    <n v="0.28999999999999998"/>
    <n v="1830"/>
    <s v="Card"/>
    <n v="11357.16"/>
    <s v="May"/>
    <n v="2024"/>
    <s v="Q2"/>
    <n v="0.16113183225383812"/>
    <n v="4638.8399999999992"/>
    <s v="High"/>
    <s v="Repeat"/>
    <s v="Above Avg"/>
    <s v="Profit"/>
    <n v="184"/>
  </r>
  <r>
    <n v="126"/>
    <d v="2024-05-05T00:00:00"/>
    <n v="1029"/>
    <s v="Customer_46"/>
    <x v="0"/>
    <x v="3"/>
    <s v="Electronics"/>
    <s v="Product_C"/>
    <n v="3817"/>
    <n v="5"/>
    <n v="0.14000000000000001"/>
    <n v="381"/>
    <s v="COD"/>
    <n v="16413.099999999999"/>
    <s v="May"/>
    <n v="2024"/>
    <s v="Q2"/>
    <n v="2.3213165093736103E-2"/>
    <n v="2671.9"/>
    <s v="High"/>
    <s v="Repeat"/>
    <s v="Above Avg"/>
    <s v="Profit"/>
    <n v="117"/>
  </r>
  <r>
    <n v="127"/>
    <d v="2024-05-06T00:00:00"/>
    <n v="1001"/>
    <s v="Customer_22"/>
    <x v="0"/>
    <x v="2"/>
    <s v="Furniture"/>
    <s v="Product_B"/>
    <n v="3162"/>
    <n v="2"/>
    <n v="0.12"/>
    <n v="1730"/>
    <s v="UPI"/>
    <n v="5565.12"/>
    <s v="May"/>
    <n v="2024"/>
    <s v="Q2"/>
    <n v="0.31086481513426484"/>
    <n v="758.88"/>
    <s v="High"/>
    <s v="Repeat"/>
    <s v="Below Avg"/>
    <s v="Profit"/>
    <n v="306"/>
  </r>
  <r>
    <n v="128"/>
    <d v="2024-05-07T00:00:00"/>
    <n v="1083"/>
    <s v="Customer_21"/>
    <x v="1"/>
    <x v="2"/>
    <s v="Furniture"/>
    <s v="Product_A"/>
    <n v="1353"/>
    <n v="4"/>
    <n v="0.09"/>
    <n v="558"/>
    <s v="Card"/>
    <n v="4924.92"/>
    <s v="May"/>
    <n v="2024"/>
    <s v="Q2"/>
    <n v="0.11330133281352793"/>
    <n v="487.08"/>
    <s v="Medium"/>
    <s v="Repeat"/>
    <s v="Below Avg"/>
    <s v="Profit"/>
    <n v="325"/>
  </r>
  <r>
    <n v="129"/>
    <d v="2024-05-08T00:00:00"/>
    <n v="1068"/>
    <s v="Customer_111"/>
    <x v="0"/>
    <x v="0"/>
    <s v="Electronics"/>
    <s v="Product_A"/>
    <n v="3250"/>
    <n v="7"/>
    <n v="0.24"/>
    <n v="170"/>
    <s v="COD"/>
    <n v="17290"/>
    <s v="May"/>
    <n v="2024"/>
    <s v="Q2"/>
    <n v="9.8322729901677269E-3"/>
    <n v="5460"/>
    <s v="High"/>
    <s v="Repeat"/>
    <s v="Above Avg"/>
    <s v="Profit"/>
    <n v="103"/>
  </r>
  <r>
    <n v="130"/>
    <d v="2024-05-09T00:00:00"/>
    <n v="1030"/>
    <s v="Customer_184"/>
    <x v="1"/>
    <x v="1"/>
    <s v="Furniture"/>
    <s v="Product_D"/>
    <n v="2350"/>
    <n v="8"/>
    <n v="0.28999999999999998"/>
    <n v="188"/>
    <s v="Card"/>
    <n v="13348"/>
    <s v="May"/>
    <n v="2024"/>
    <s v="Q2"/>
    <n v="1.4084507042253521E-2"/>
    <n v="5452"/>
    <s v="High"/>
    <s v="Repeat"/>
    <s v="Above Avg"/>
    <s v="Profit"/>
    <n v="155"/>
  </r>
  <r>
    <n v="131"/>
    <d v="2024-05-10T00:00:00"/>
    <n v="1007"/>
    <s v="Customer_32"/>
    <x v="0"/>
    <x v="0"/>
    <s v="Electronics"/>
    <s v="Product_C"/>
    <n v="4420"/>
    <n v="9"/>
    <n v="0.18"/>
    <n v="-333"/>
    <s v="UPI"/>
    <n v="32619.599999999999"/>
    <s v="May"/>
    <n v="2024"/>
    <s v="Q2"/>
    <n v="-1.0208586248758415E-2"/>
    <n v="7160.4"/>
    <s v="High"/>
    <s v="Repeat"/>
    <s v="Above Avg"/>
    <s v="Loss"/>
    <n v="18"/>
  </r>
  <r>
    <n v="132"/>
    <d v="2024-05-11T00:00:00"/>
    <n v="1093"/>
    <s v="Customer_160"/>
    <x v="0"/>
    <x v="3"/>
    <s v="Furniture"/>
    <s v="Product_B"/>
    <n v="3715"/>
    <n v="2"/>
    <n v="0.19"/>
    <n v="931"/>
    <s v="COD"/>
    <n v="6018.3"/>
    <s v="May"/>
    <n v="2024"/>
    <s v="Q2"/>
    <n v="0.15469484738215111"/>
    <n v="1411.7"/>
    <s v="High"/>
    <s v="Repeat"/>
    <s v="Below Avg"/>
    <s v="Profit"/>
    <n v="296"/>
  </r>
  <r>
    <n v="133"/>
    <d v="2024-05-12T00:00:00"/>
    <n v="1060"/>
    <s v="Customer_115"/>
    <x v="1"/>
    <x v="1"/>
    <s v="Clothing"/>
    <s v="Product_C"/>
    <n v="1879"/>
    <n v="9"/>
    <n v="0.21"/>
    <n v="738"/>
    <s v="UPI"/>
    <n v="13359.69"/>
    <s v="May"/>
    <n v="2024"/>
    <s v="Q2"/>
    <n v="5.5240802743177421E-2"/>
    <n v="3551.31"/>
    <s v="High"/>
    <s v="Repeat"/>
    <s v="Above Avg"/>
    <s v="Profit"/>
    <n v="154"/>
  </r>
  <r>
    <n v="134"/>
    <d v="2024-05-13T00:00:00"/>
    <n v="1065"/>
    <s v="Customer_164"/>
    <x v="0"/>
    <x v="0"/>
    <s v="Electronics"/>
    <s v="Product_D"/>
    <n v="1391"/>
    <n v="7"/>
    <n v="0.13"/>
    <n v="1496"/>
    <s v="COD"/>
    <n v="8471.19"/>
    <s v="May"/>
    <n v="2024"/>
    <s v="Q2"/>
    <n v="0.17659856525470446"/>
    <n v="1265.81"/>
    <s v="High"/>
    <s v="Repeat"/>
    <s v="Below Avg"/>
    <s v="Profit"/>
    <n v="239"/>
  </r>
  <r>
    <n v="135"/>
    <d v="2024-05-14T00:00:00"/>
    <n v="1076"/>
    <s v="Customer_159"/>
    <x v="0"/>
    <x v="1"/>
    <s v="Furniture"/>
    <s v="Product_D"/>
    <n v="778"/>
    <n v="7"/>
    <n v="7.0000000000000007E-2"/>
    <n v="1345"/>
    <s v="UPI"/>
    <n v="5064.78"/>
    <s v="May"/>
    <n v="2024"/>
    <s v="Q2"/>
    <n v="0.26555941225482649"/>
    <n v="381.22"/>
    <s v="High"/>
    <s v="Repeat"/>
    <s v="Below Avg"/>
    <s v="Profit"/>
    <n v="321"/>
  </r>
  <r>
    <n v="136"/>
    <d v="2024-05-15T00:00:00"/>
    <n v="1067"/>
    <s v="Customer_70"/>
    <x v="0"/>
    <x v="1"/>
    <s v="Electronics"/>
    <s v="Product_D"/>
    <n v="2652"/>
    <n v="1"/>
    <n v="0.08"/>
    <n v="-241"/>
    <s v="Card"/>
    <n v="2439.84"/>
    <s v="May"/>
    <n v="2024"/>
    <s v="Q2"/>
    <n v="-9.8776968981572552E-2"/>
    <n v="212.16"/>
    <s v="Medium"/>
    <s v="Repeat"/>
    <s v="Below Avg"/>
    <s v="Loss"/>
    <n v="412"/>
  </r>
  <r>
    <n v="137"/>
    <d v="2024-05-16T00:00:00"/>
    <n v="1044"/>
    <s v="Customer_54"/>
    <x v="1"/>
    <x v="1"/>
    <s v="Clothing"/>
    <s v="Product_C"/>
    <n v="3324"/>
    <n v="8"/>
    <n v="0.19"/>
    <n v="1450"/>
    <s v="UPI"/>
    <n v="21539.52"/>
    <s v="May"/>
    <n v="2024"/>
    <s v="Q2"/>
    <n v="6.731812036665627E-2"/>
    <n v="5052.4800000000005"/>
    <s v="High"/>
    <s v="Repeat"/>
    <s v="Above Avg"/>
    <s v="Profit"/>
    <n v="71"/>
  </r>
  <r>
    <n v="138"/>
    <d v="2024-05-17T00:00:00"/>
    <n v="1051"/>
    <s v="Customer_21"/>
    <x v="1"/>
    <x v="0"/>
    <s v="Electronics"/>
    <s v="Product_A"/>
    <n v="314"/>
    <n v="3"/>
    <n v="0.19"/>
    <n v="1084"/>
    <s v="COD"/>
    <n v="763.02"/>
    <s v="May"/>
    <n v="2024"/>
    <s v="Q2"/>
    <n v="1.4206704935650443"/>
    <n v="178.98"/>
    <s v="Low"/>
    <s v="Repeat"/>
    <s v="Below Avg"/>
    <s v="Profit"/>
    <n v="482"/>
  </r>
  <r>
    <n v="139"/>
    <d v="2024-05-18T00:00:00"/>
    <n v="1007"/>
    <s v="Customer_35"/>
    <x v="0"/>
    <x v="1"/>
    <s v="Clothing"/>
    <s v="Product_A"/>
    <n v="1085"/>
    <n v="4"/>
    <n v="0.14000000000000001"/>
    <n v="1745"/>
    <s v="Card"/>
    <n v="3732.4"/>
    <s v="May"/>
    <n v="2024"/>
    <s v="Q2"/>
    <n v="0.46752759618476047"/>
    <n v="607.6"/>
    <s v="Medium"/>
    <s v="Repeat"/>
    <s v="Below Avg"/>
    <s v="Profit"/>
    <n v="366"/>
  </r>
  <r>
    <n v="140"/>
    <d v="2024-05-19T00:00:00"/>
    <n v="1088"/>
    <s v="Customer_23"/>
    <x v="1"/>
    <x v="3"/>
    <s v="Furniture"/>
    <s v="Product_A"/>
    <n v="3383"/>
    <n v="4"/>
    <n v="0.01"/>
    <n v="1826"/>
    <s v="COD"/>
    <n v="13396.68"/>
    <s v="May"/>
    <n v="2024"/>
    <s v="Q2"/>
    <n v="0.13630242716852234"/>
    <n v="135.32"/>
    <s v="High"/>
    <s v="Repeat"/>
    <s v="Above Avg"/>
    <s v="Profit"/>
    <n v="153"/>
  </r>
  <r>
    <n v="141"/>
    <d v="2024-05-20T00:00:00"/>
    <n v="1070"/>
    <s v="Customer_170"/>
    <x v="0"/>
    <x v="0"/>
    <s v="Clothing"/>
    <s v="Product_C"/>
    <n v="4806"/>
    <n v="2"/>
    <n v="0.26"/>
    <n v="126"/>
    <s v="UPI"/>
    <n v="7112.88"/>
    <s v="May"/>
    <n v="2024"/>
    <s v="Q2"/>
    <n v="1.7714343557040185E-2"/>
    <n v="2499.12"/>
    <s v="High"/>
    <s v="Repeat"/>
    <s v="Below Avg"/>
    <s v="Profit"/>
    <n v="273"/>
  </r>
  <r>
    <n v="142"/>
    <d v="2024-05-21T00:00:00"/>
    <n v="1013"/>
    <s v="Customer_24"/>
    <x v="1"/>
    <x v="2"/>
    <s v="Electronics"/>
    <s v="Product_B"/>
    <n v="2445"/>
    <n v="3"/>
    <n v="7.0000000000000007E-2"/>
    <n v="834"/>
    <s v="COD"/>
    <n v="6821.5499999999902"/>
    <s v="May"/>
    <n v="2024"/>
    <s v="Q2"/>
    <n v="0.12225960375574484"/>
    <n v="513.45000000000005"/>
    <s v="High"/>
    <s v="Repeat"/>
    <s v="Below Avg"/>
    <s v="Profit"/>
    <n v="277"/>
  </r>
  <r>
    <n v="143"/>
    <d v="2024-05-22T00:00:00"/>
    <n v="1028"/>
    <s v="Customer_94"/>
    <x v="0"/>
    <x v="3"/>
    <s v="Furniture"/>
    <s v="Product_C"/>
    <n v="4838"/>
    <n v="5"/>
    <n v="0.17"/>
    <n v="-431"/>
    <s v="UPI"/>
    <n v="20077.7"/>
    <s v="May"/>
    <n v="2024"/>
    <s v="Q2"/>
    <n v="-2.1466602250257746E-2"/>
    <n v="4112.3"/>
    <s v="High"/>
    <s v="Repeat"/>
    <s v="Above Avg"/>
    <s v="Loss"/>
    <n v="79"/>
  </r>
  <r>
    <n v="144"/>
    <d v="2024-05-23T00:00:00"/>
    <n v="1063"/>
    <s v="Customer_74"/>
    <x v="0"/>
    <x v="2"/>
    <s v="Furniture"/>
    <s v="Product_A"/>
    <n v="3533"/>
    <n v="3"/>
    <n v="0.22"/>
    <n v="1071"/>
    <s v="UPI"/>
    <n v="8267.2199999999993"/>
    <s v="May"/>
    <n v="2024"/>
    <s v="Q2"/>
    <n v="0.1295477802695465"/>
    <n v="2331.7800000000002"/>
    <s v="High"/>
    <s v="Repeat"/>
    <s v="Below Avg"/>
    <s v="Profit"/>
    <n v="242"/>
  </r>
  <r>
    <n v="145"/>
    <d v="2024-05-24T00:00:00"/>
    <n v="1084"/>
    <s v="Customer_69"/>
    <x v="1"/>
    <x v="2"/>
    <s v="Furniture"/>
    <s v="Product_D"/>
    <n v="3727"/>
    <n v="5"/>
    <n v="0.06"/>
    <n v="1304"/>
    <s v="COD"/>
    <n v="17516.8999999999"/>
    <s v="May"/>
    <n v="2024"/>
    <s v="Q2"/>
    <n v="7.4442395629364069E-2"/>
    <n v="1118.0999999999999"/>
    <s v="High"/>
    <s v="Repeat"/>
    <s v="Above Avg"/>
    <s v="Profit"/>
    <n v="97"/>
  </r>
  <r>
    <n v="146"/>
    <d v="2024-05-25T00:00:00"/>
    <n v="1036"/>
    <s v="Customer_127"/>
    <x v="0"/>
    <x v="3"/>
    <s v="Clothing"/>
    <s v="Product_D"/>
    <n v="3173"/>
    <n v="8"/>
    <n v="0.14000000000000001"/>
    <n v="1176"/>
    <s v="Card"/>
    <n v="21830.2399999999"/>
    <s v="May"/>
    <n v="2024"/>
    <s v="Q2"/>
    <n v="5.3870227720813214E-2"/>
    <n v="3553.76"/>
    <s v="High"/>
    <s v="Repeat"/>
    <s v="Above Avg"/>
    <s v="Profit"/>
    <n v="69"/>
  </r>
  <r>
    <n v="147"/>
    <d v="2024-05-26T00:00:00"/>
    <n v="1096"/>
    <s v="Customer_125"/>
    <x v="0"/>
    <x v="1"/>
    <s v="Furniture"/>
    <s v="Product_A"/>
    <n v="4473"/>
    <n v="8"/>
    <n v="0"/>
    <n v="126"/>
    <s v="Card"/>
    <n v="35784"/>
    <s v="May"/>
    <n v="2024"/>
    <s v="Q2"/>
    <n v="3.5211267605633804E-3"/>
    <n v="0"/>
    <s v="High"/>
    <s v="Repeat"/>
    <s v="Above Avg"/>
    <s v="Profit"/>
    <n v="8"/>
  </r>
  <r>
    <n v="148"/>
    <d v="2024-05-27T00:00:00"/>
    <n v="1040"/>
    <s v="Customer_170"/>
    <x v="0"/>
    <x v="3"/>
    <s v="Clothing"/>
    <s v="Product_B"/>
    <n v="3339"/>
    <n v="3"/>
    <n v="0.01"/>
    <n v="-386"/>
    <s v="Card"/>
    <n v="9916.83"/>
    <s v="May"/>
    <n v="2024"/>
    <s v="Q2"/>
    <n v="-3.8923728651191966E-2"/>
    <n v="100.17"/>
    <s v="High"/>
    <s v="Repeat"/>
    <s v="Below Avg"/>
    <s v="Loss"/>
    <n v="202"/>
  </r>
  <r>
    <n v="149"/>
    <d v="2024-05-28T00:00:00"/>
    <n v="1088"/>
    <s v="Customer_158"/>
    <x v="1"/>
    <x v="0"/>
    <s v="Clothing"/>
    <s v="Product_D"/>
    <n v="1472"/>
    <n v="5"/>
    <n v="0.08"/>
    <n v="788"/>
    <s v="UPI"/>
    <n v="6771.2"/>
    <s v="May"/>
    <n v="2024"/>
    <s v="Q2"/>
    <n v="0.11637523629489603"/>
    <n v="588.80000000000007"/>
    <s v="High"/>
    <s v="Repeat"/>
    <s v="Below Avg"/>
    <s v="Profit"/>
    <n v="279"/>
  </r>
  <r>
    <n v="150"/>
    <d v="2024-05-29T00:00:00"/>
    <n v="1063"/>
    <s v="Customer_199"/>
    <x v="1"/>
    <x v="1"/>
    <s v="Clothing"/>
    <s v="Product_B"/>
    <n v="2138"/>
    <n v="1"/>
    <n v="0.2"/>
    <n v="725"/>
    <s v="Card"/>
    <n v="1710.4"/>
    <s v="May"/>
    <n v="2024"/>
    <s v="Q2"/>
    <n v="0.42387745556594947"/>
    <n v="427.6"/>
    <s v="Low"/>
    <s v="Repeat"/>
    <s v="Below Avg"/>
    <s v="Profit"/>
    <n v="446"/>
  </r>
  <r>
    <n v="151"/>
    <d v="2024-05-30T00:00:00"/>
    <n v="1058"/>
    <s v="Customer_134"/>
    <x v="0"/>
    <x v="1"/>
    <s v="Furniture"/>
    <s v="Product_D"/>
    <n v="4818"/>
    <n v="7"/>
    <n v="0.27"/>
    <n v="841"/>
    <s v="Card"/>
    <n v="24619.98"/>
    <s v="May"/>
    <n v="2024"/>
    <s v="Q2"/>
    <n v="3.4159247895408529E-2"/>
    <n v="9106.02"/>
    <s v="High"/>
    <s v="Repeat"/>
    <s v="Above Avg"/>
    <s v="Profit"/>
    <n v="44"/>
  </r>
  <r>
    <n v="152"/>
    <d v="2024-05-31T00:00:00"/>
    <n v="1077"/>
    <s v="Customer_52"/>
    <x v="0"/>
    <x v="2"/>
    <s v="Electronics"/>
    <s v="Product_A"/>
    <n v="3953"/>
    <n v="3"/>
    <n v="0.13"/>
    <n v="1405"/>
    <s v="COD"/>
    <n v="10317.33"/>
    <s v="May"/>
    <n v="2024"/>
    <s v="Q2"/>
    <n v="0.13617864311793845"/>
    <n v="1541.67"/>
    <s v="High"/>
    <s v="Repeat"/>
    <s v="Below Avg"/>
    <s v="Profit"/>
    <n v="197"/>
  </r>
  <r>
    <n v="153"/>
    <d v="2024-06-01T00:00:00"/>
    <n v="1008"/>
    <s v="Customer_82"/>
    <x v="1"/>
    <x v="3"/>
    <s v="Furniture"/>
    <s v="Product_C"/>
    <n v="3443"/>
    <n v="7"/>
    <n v="0.01"/>
    <n v="1505"/>
    <s v="Card"/>
    <n v="23859.99"/>
    <s v="Jun"/>
    <n v="2024"/>
    <s v="Q2"/>
    <n v="6.3076304726028806E-2"/>
    <n v="241.01"/>
    <s v="High"/>
    <s v="Repeat"/>
    <s v="Above Avg"/>
    <s v="Profit"/>
    <n v="52"/>
  </r>
  <r>
    <n v="154"/>
    <d v="2024-06-02T00:00:00"/>
    <n v="1078"/>
    <s v="Customer_154"/>
    <x v="0"/>
    <x v="1"/>
    <s v="Furniture"/>
    <s v="Product_C"/>
    <n v="4783"/>
    <n v="8"/>
    <n v="0.09"/>
    <n v="605"/>
    <s v="COD"/>
    <n v="34820.239999999998"/>
    <s v="Jun"/>
    <n v="2024"/>
    <s v="Q2"/>
    <n v="1.7374952039388585E-2"/>
    <n v="3443.7599999999998"/>
    <s v="High"/>
    <s v="Repeat"/>
    <s v="Above Avg"/>
    <s v="Profit"/>
    <n v="12"/>
  </r>
  <r>
    <n v="155"/>
    <d v="2024-06-03T00:00:00"/>
    <n v="1006"/>
    <s v="Customer_100"/>
    <x v="0"/>
    <x v="0"/>
    <s v="Furniture"/>
    <s v="Product_B"/>
    <n v="4252"/>
    <n v="7"/>
    <n v="0.28999999999999998"/>
    <n v="-483"/>
    <s v="Card"/>
    <n v="21132.44"/>
    <s v="Jun"/>
    <n v="2024"/>
    <s v="Q2"/>
    <n v="-2.2855855736488549E-2"/>
    <n v="8631.56"/>
    <s v="High"/>
    <s v="Repeat"/>
    <s v="Above Avg"/>
    <s v="Loss"/>
    <n v="74"/>
  </r>
  <r>
    <n v="156"/>
    <d v="2024-06-04T00:00:00"/>
    <n v="1065"/>
    <s v="Customer_41"/>
    <x v="1"/>
    <x v="0"/>
    <s v="Furniture"/>
    <s v="Product_A"/>
    <n v="1868"/>
    <n v="5"/>
    <n v="0.03"/>
    <n v="200"/>
    <s v="Card"/>
    <n v="9059.7999999999993"/>
    <s v="Jun"/>
    <n v="2024"/>
    <s v="Q2"/>
    <n v="2.2075542506457099E-2"/>
    <n v="280.2"/>
    <s v="High"/>
    <s v="Repeat"/>
    <s v="Below Avg"/>
    <s v="Profit"/>
    <n v="230"/>
  </r>
  <r>
    <n v="157"/>
    <d v="2024-06-05T00:00:00"/>
    <n v="1094"/>
    <s v="Customer_196"/>
    <x v="0"/>
    <x v="1"/>
    <s v="Clothing"/>
    <s v="Product_D"/>
    <n v="138"/>
    <n v="9"/>
    <n v="0.23"/>
    <n v="486"/>
    <s v="COD"/>
    <n v="956.34"/>
    <s v="Jun"/>
    <n v="2024"/>
    <s v="Q2"/>
    <n v="0.50818746470920384"/>
    <n v="285.66000000000003"/>
    <s v="Low"/>
    <s v="Repeat"/>
    <s v="Below Avg"/>
    <s v="Profit"/>
    <n v="481"/>
  </r>
  <r>
    <n v="158"/>
    <d v="2024-06-06T00:00:00"/>
    <n v="1070"/>
    <s v="Customer_182"/>
    <x v="0"/>
    <x v="0"/>
    <s v="Electronics"/>
    <s v="Product_B"/>
    <n v="3662"/>
    <n v="1"/>
    <n v="0.22"/>
    <n v="-184"/>
    <s v="Card"/>
    <n v="2856.36"/>
    <s v="Jun"/>
    <n v="2024"/>
    <s v="Q2"/>
    <n v="-6.4417650436219526E-2"/>
    <n v="805.64"/>
    <s v="Medium"/>
    <s v="Repeat"/>
    <s v="Below Avg"/>
    <s v="Loss"/>
    <n v="397"/>
  </r>
  <r>
    <n v="159"/>
    <d v="2024-06-07T00:00:00"/>
    <n v="1040"/>
    <s v="Customer_60"/>
    <x v="1"/>
    <x v="3"/>
    <s v="Furniture"/>
    <s v="Product_A"/>
    <n v="1929"/>
    <n v="6"/>
    <n v="0.18"/>
    <n v="1743"/>
    <s v="COD"/>
    <n v="9490.68"/>
    <s v="Jun"/>
    <n v="2024"/>
    <s v="Q2"/>
    <n v="0.18365385831152245"/>
    <n v="2083.3199999999997"/>
    <s v="High"/>
    <s v="Repeat"/>
    <s v="Below Avg"/>
    <s v="Profit"/>
    <n v="217"/>
  </r>
  <r>
    <n v="160"/>
    <d v="2024-06-08T00:00:00"/>
    <n v="1074"/>
    <s v="Customer_77"/>
    <x v="0"/>
    <x v="0"/>
    <s v="Furniture"/>
    <s v="Product_C"/>
    <n v="2271"/>
    <n v="6"/>
    <n v="0.28000000000000003"/>
    <n v="1840"/>
    <s v="COD"/>
    <n v="9810.7199999999993"/>
    <s v="Jun"/>
    <n v="2024"/>
    <s v="Q2"/>
    <n v="0.18754994536588548"/>
    <n v="3815.28"/>
    <s v="High"/>
    <s v="Repeat"/>
    <s v="Below Avg"/>
    <s v="Profit"/>
    <n v="207"/>
  </r>
  <r>
    <n v="161"/>
    <d v="2024-06-09T00:00:00"/>
    <n v="1076"/>
    <s v="Customer_183"/>
    <x v="0"/>
    <x v="1"/>
    <s v="Clothing"/>
    <s v="Product_C"/>
    <n v="208"/>
    <n v="7"/>
    <n v="0.19"/>
    <n v="1079"/>
    <s v="Card"/>
    <n v="1179.3599999999999"/>
    <s v="Jun"/>
    <n v="2024"/>
    <s v="Q2"/>
    <n v="0.9149029982363317"/>
    <n v="276.64"/>
    <s v="Low"/>
    <s v="Repeat"/>
    <s v="Below Avg"/>
    <s v="Profit"/>
    <n v="469"/>
  </r>
  <r>
    <n v="162"/>
    <d v="2024-06-10T00:00:00"/>
    <n v="1076"/>
    <s v="Customer_152"/>
    <x v="0"/>
    <x v="0"/>
    <s v="Clothing"/>
    <s v="Product_C"/>
    <n v="4940"/>
    <n v="7"/>
    <n v="0.28999999999999998"/>
    <n v="-154"/>
    <s v="Card"/>
    <n v="24551.8"/>
    <s v="Jun"/>
    <n v="2024"/>
    <s v="Q2"/>
    <n v="-6.272452528938815E-3"/>
    <n v="10028.199999999999"/>
    <s v="High"/>
    <s v="Repeat"/>
    <s v="Above Avg"/>
    <s v="Loss"/>
    <n v="45"/>
  </r>
  <r>
    <n v="163"/>
    <d v="2024-06-11T00:00:00"/>
    <n v="1025"/>
    <s v="Customer_119"/>
    <x v="0"/>
    <x v="2"/>
    <s v="Clothing"/>
    <s v="Product_B"/>
    <n v="4228"/>
    <n v="2"/>
    <n v="0.25"/>
    <n v="115"/>
    <s v="Card"/>
    <n v="6342"/>
    <s v="Jun"/>
    <n v="2024"/>
    <s v="Q2"/>
    <n v="1.8133081046988332E-2"/>
    <n v="2114"/>
    <s v="High"/>
    <s v="Repeat"/>
    <s v="Below Avg"/>
    <s v="Profit"/>
    <n v="287"/>
  </r>
  <r>
    <n v="164"/>
    <d v="2024-06-12T00:00:00"/>
    <n v="1007"/>
    <s v="Customer_95"/>
    <x v="0"/>
    <x v="0"/>
    <s v="Electronics"/>
    <s v="Product_C"/>
    <n v="4335"/>
    <n v="5"/>
    <n v="0.24"/>
    <n v="1958"/>
    <s v="UPI"/>
    <n v="16473"/>
    <s v="Jun"/>
    <n v="2024"/>
    <s v="Q2"/>
    <n v="0.11886116675772476"/>
    <n v="5202"/>
    <s v="High"/>
    <s v="Repeat"/>
    <s v="Above Avg"/>
    <s v="Profit"/>
    <n v="116"/>
  </r>
  <r>
    <n v="165"/>
    <d v="2024-06-13T00:00:00"/>
    <n v="1013"/>
    <s v="Customer_127"/>
    <x v="0"/>
    <x v="2"/>
    <s v="Clothing"/>
    <s v="Product_B"/>
    <n v="4277"/>
    <n v="6"/>
    <n v="0.28999999999999998"/>
    <n v="-94"/>
    <s v="COD"/>
    <n v="18220.02"/>
    <s v="Jun"/>
    <n v="2024"/>
    <s v="Q2"/>
    <n v="-5.1591600887375532E-3"/>
    <n v="7441.98"/>
    <s v="High"/>
    <s v="Repeat"/>
    <s v="Above Avg"/>
    <s v="Loss"/>
    <n v="89"/>
  </r>
  <r>
    <n v="166"/>
    <d v="2024-06-14T00:00:00"/>
    <n v="1044"/>
    <s v="Customer_168"/>
    <x v="1"/>
    <x v="3"/>
    <s v="Electronics"/>
    <s v="Product_D"/>
    <n v="3206"/>
    <n v="2"/>
    <n v="0.19"/>
    <n v="1742"/>
    <s v="COD"/>
    <n v="5193.72"/>
    <s v="Jun"/>
    <n v="2024"/>
    <s v="Q2"/>
    <n v="0.33540506611831211"/>
    <n v="1218.28"/>
    <s v="High"/>
    <s v="Repeat"/>
    <s v="Below Avg"/>
    <s v="Profit"/>
    <n v="319"/>
  </r>
  <r>
    <n v="167"/>
    <d v="2024-06-15T00:00:00"/>
    <n v="1001"/>
    <s v="Customer_192"/>
    <x v="0"/>
    <x v="3"/>
    <s v="Furniture"/>
    <s v="Product_C"/>
    <n v="236"/>
    <n v="9"/>
    <n v="0.1"/>
    <n v="-188"/>
    <s v="COD"/>
    <n v="1911.6"/>
    <s v="Jun"/>
    <n v="2024"/>
    <s v="Q2"/>
    <n v="-9.8346934505126604E-2"/>
    <n v="212.4"/>
    <s v="Low"/>
    <s v="Repeat"/>
    <s v="Below Avg"/>
    <s v="Loss"/>
    <n v="436"/>
  </r>
  <r>
    <n v="168"/>
    <d v="2024-06-16T00:00:00"/>
    <n v="1041"/>
    <s v="Customer_162"/>
    <x v="1"/>
    <x v="3"/>
    <s v="Clothing"/>
    <s v="Product_C"/>
    <n v="3837"/>
    <n v="6"/>
    <n v="0.03"/>
    <n v="-151"/>
    <s v="COD"/>
    <n v="22331.34"/>
    <s v="Jun"/>
    <n v="2024"/>
    <s v="Q2"/>
    <n v="-6.7617975455122707E-3"/>
    <n v="690.66"/>
    <s v="High"/>
    <s v="Repeat"/>
    <s v="Above Avg"/>
    <s v="Loss"/>
    <n v="64"/>
  </r>
  <r>
    <n v="169"/>
    <d v="2024-06-17T00:00:00"/>
    <n v="1078"/>
    <s v="Customer_39"/>
    <x v="0"/>
    <x v="3"/>
    <s v="Furniture"/>
    <s v="Product_C"/>
    <n v="3951"/>
    <n v="5"/>
    <n v="0.21"/>
    <n v="1112"/>
    <s v="COD"/>
    <n v="15606.45"/>
    <s v="Jun"/>
    <n v="2024"/>
    <s v="Q2"/>
    <n v="7.1252591076125568E-2"/>
    <n v="4148.55"/>
    <s v="High"/>
    <s v="Repeat"/>
    <s v="Above Avg"/>
    <s v="Profit"/>
    <n v="134"/>
  </r>
  <r>
    <n v="170"/>
    <d v="2024-06-18T00:00:00"/>
    <n v="1056"/>
    <s v="Customer_122"/>
    <x v="1"/>
    <x v="2"/>
    <s v="Furniture"/>
    <s v="Product_C"/>
    <n v="430"/>
    <n v="8"/>
    <n v="0.16"/>
    <n v="403"/>
    <s v="Card"/>
    <n v="2889.6"/>
    <s v="Jun"/>
    <n v="2024"/>
    <s v="Q2"/>
    <n v="0.13946566998892582"/>
    <n v="550.4"/>
    <s v="Medium"/>
    <s v="Repeat"/>
    <s v="Below Avg"/>
    <s v="Profit"/>
    <n v="396"/>
  </r>
  <r>
    <n v="171"/>
    <d v="2024-06-19T00:00:00"/>
    <n v="1087"/>
    <s v="Customer_1"/>
    <x v="0"/>
    <x v="2"/>
    <s v="Furniture"/>
    <s v="Product_D"/>
    <n v="296"/>
    <n v="8"/>
    <n v="0.12"/>
    <n v="-8"/>
    <s v="Card"/>
    <n v="2083.84"/>
    <s v="Jun"/>
    <n v="2024"/>
    <s v="Q2"/>
    <n v="-3.8390663390663387E-3"/>
    <n v="284.15999999999997"/>
    <s v="Medium"/>
    <s v="Repeat"/>
    <s v="Below Avg"/>
    <s v="Loss"/>
    <n v="424"/>
  </r>
  <r>
    <n v="172"/>
    <d v="2024-06-20T00:00:00"/>
    <n v="1063"/>
    <s v="Customer_123"/>
    <x v="1"/>
    <x v="2"/>
    <s v="Furniture"/>
    <s v="Product_B"/>
    <n v="1515"/>
    <n v="1"/>
    <n v="0.28000000000000003"/>
    <n v="1470"/>
    <s v="UPI"/>
    <n v="1090.8"/>
    <s v="Jun"/>
    <n v="2024"/>
    <s v="Q2"/>
    <n v="1.3476347634763477"/>
    <n v="424.20000000000005"/>
    <s v="Low"/>
    <s v="Repeat"/>
    <s v="Below Avg"/>
    <s v="Profit"/>
    <n v="477"/>
  </r>
  <r>
    <n v="173"/>
    <d v="2024-06-21T00:00:00"/>
    <n v="1097"/>
    <s v="Customer_20"/>
    <x v="0"/>
    <x v="0"/>
    <s v="Clothing"/>
    <s v="Product_D"/>
    <n v="3396"/>
    <n v="7"/>
    <n v="0.27"/>
    <n v="1252"/>
    <s v="COD"/>
    <n v="17353.560000000001"/>
    <s v="Jun"/>
    <n v="2024"/>
    <s v="Q2"/>
    <n v="7.2146579721970583E-2"/>
    <n v="6418.4400000000005"/>
    <s v="High"/>
    <s v="Repeat"/>
    <s v="Above Avg"/>
    <s v="Profit"/>
    <n v="99"/>
  </r>
  <r>
    <n v="174"/>
    <d v="2024-06-22T00:00:00"/>
    <n v="1003"/>
    <s v="Customer_111"/>
    <x v="0"/>
    <x v="1"/>
    <s v="Electronics"/>
    <s v="Product_A"/>
    <n v="3120"/>
    <n v="6"/>
    <n v="0.11"/>
    <n v="-429"/>
    <s v="UPI"/>
    <n v="16660.8"/>
    <s v="Jun"/>
    <n v="2024"/>
    <s v="Q2"/>
    <n v="-2.5749063670411985E-2"/>
    <n v="2059.1999999999998"/>
    <s v="High"/>
    <s v="Repeat"/>
    <s v="Above Avg"/>
    <s v="Loss"/>
    <n v="110"/>
  </r>
  <r>
    <n v="175"/>
    <d v="2024-06-23T00:00:00"/>
    <n v="1017"/>
    <s v="Customer_153"/>
    <x v="1"/>
    <x v="1"/>
    <s v="Clothing"/>
    <s v="Product_D"/>
    <n v="3469"/>
    <n v="3"/>
    <n v="0.28000000000000003"/>
    <n v="431"/>
    <s v="UPI"/>
    <n v="7493.04"/>
    <s v="Jun"/>
    <n v="2024"/>
    <s v="Q2"/>
    <n v="5.7520045268675997E-2"/>
    <n v="2913.9600000000005"/>
    <s v="High"/>
    <s v="Repeat"/>
    <s v="Below Avg"/>
    <s v="Profit"/>
    <n v="264"/>
  </r>
  <r>
    <n v="176"/>
    <d v="2024-06-24T00:00:00"/>
    <n v="1088"/>
    <s v="Customer_134"/>
    <x v="1"/>
    <x v="1"/>
    <s v="Clothing"/>
    <s v="Product_B"/>
    <n v="4955"/>
    <n v="1"/>
    <n v="0.13"/>
    <n v="-182"/>
    <s v="Card"/>
    <n v="4310.8500000000004"/>
    <s v="Jun"/>
    <n v="2024"/>
    <s v="Q2"/>
    <n v="-4.2219051927114136E-2"/>
    <n v="644.15"/>
    <s v="Medium"/>
    <s v="Repeat"/>
    <s v="Below Avg"/>
    <s v="Loss"/>
    <n v="341"/>
  </r>
  <r>
    <n v="177"/>
    <d v="2024-06-25T00:00:00"/>
    <n v="1087"/>
    <s v="Customer_116"/>
    <x v="1"/>
    <x v="0"/>
    <s v="Clothing"/>
    <s v="Product_A"/>
    <n v="940"/>
    <n v="2"/>
    <n v="0.06"/>
    <n v="1960"/>
    <s v="Card"/>
    <n v="1767.19999999999"/>
    <s v="Jun"/>
    <n v="2024"/>
    <s v="Q2"/>
    <n v="1.109099139882306"/>
    <n v="112.8"/>
    <s v="Low"/>
    <s v="Repeat"/>
    <s v="Below Avg"/>
    <s v="Profit"/>
    <n v="442"/>
  </r>
  <r>
    <n v="178"/>
    <d v="2024-06-26T00:00:00"/>
    <n v="1069"/>
    <s v="Customer_94"/>
    <x v="0"/>
    <x v="2"/>
    <s v="Furniture"/>
    <s v="Product_C"/>
    <n v="3742"/>
    <n v="1"/>
    <n v="0.19"/>
    <n v="1388"/>
    <s v="Card"/>
    <n v="3031.02"/>
    <s v="Jun"/>
    <n v="2024"/>
    <s v="Q2"/>
    <n v="0.45793165337081249"/>
    <n v="710.98"/>
    <s v="Medium"/>
    <s v="Repeat"/>
    <s v="Below Avg"/>
    <s v="Profit"/>
    <n v="390"/>
  </r>
  <r>
    <n v="179"/>
    <d v="2024-06-27T00:00:00"/>
    <n v="1097"/>
    <s v="Customer_120"/>
    <x v="1"/>
    <x v="0"/>
    <s v="Clothing"/>
    <s v="Product_C"/>
    <n v="2769"/>
    <n v="3"/>
    <n v="0.03"/>
    <n v="-283"/>
    <s v="Card"/>
    <n v="8057.79"/>
    <s v="Jun"/>
    <n v="2024"/>
    <s v="Q2"/>
    <n v="-3.512129256284912E-2"/>
    <n v="249.20999999999998"/>
    <s v="High"/>
    <s v="Repeat"/>
    <s v="Below Avg"/>
    <s v="Loss"/>
    <n v="251"/>
  </r>
  <r>
    <n v="180"/>
    <d v="2024-06-28T00:00:00"/>
    <n v="1050"/>
    <s v="Customer_113"/>
    <x v="0"/>
    <x v="3"/>
    <s v="Furniture"/>
    <s v="Product_C"/>
    <n v="1277"/>
    <n v="6"/>
    <n v="0.05"/>
    <n v="-393"/>
    <s v="Card"/>
    <n v="7278.9"/>
    <s v="Jun"/>
    <n v="2024"/>
    <s v="Q2"/>
    <n v="-5.3991674566211928E-2"/>
    <n v="383.1"/>
    <s v="High"/>
    <s v="Repeat"/>
    <s v="Below Avg"/>
    <s v="Loss"/>
    <n v="269"/>
  </r>
  <r>
    <n v="181"/>
    <d v="2024-06-29T00:00:00"/>
    <n v="1002"/>
    <s v="Customer_3"/>
    <x v="0"/>
    <x v="0"/>
    <s v="Furniture"/>
    <s v="Product_A"/>
    <n v="1043"/>
    <n v="2"/>
    <n v="0.24"/>
    <n v="1350"/>
    <s v="Card"/>
    <n v="1585.36"/>
    <s v="Jun"/>
    <n v="2024"/>
    <s v="Q2"/>
    <n v="0.85154160569208259"/>
    <n v="500.64"/>
    <s v="Low"/>
    <s v="Repeat"/>
    <s v="Below Avg"/>
    <s v="Profit"/>
    <n v="454"/>
  </r>
  <r>
    <n v="182"/>
    <d v="2024-06-30T00:00:00"/>
    <n v="1018"/>
    <s v="Customer_164"/>
    <x v="0"/>
    <x v="0"/>
    <s v="Electronics"/>
    <s v="Product_B"/>
    <n v="3546"/>
    <n v="6"/>
    <n v="0.25"/>
    <n v="1825"/>
    <s v="UPI"/>
    <n v="15957"/>
    <s v="Jun"/>
    <n v="2024"/>
    <s v="Q2"/>
    <n v="0.11436986902299931"/>
    <n v="5319"/>
    <s v="High"/>
    <s v="Repeat"/>
    <s v="Above Avg"/>
    <s v="Profit"/>
    <n v="129"/>
  </r>
  <r>
    <n v="183"/>
    <d v="2024-07-01T00:00:00"/>
    <n v="1046"/>
    <s v="Customer_70"/>
    <x v="1"/>
    <x v="0"/>
    <s v="Furniture"/>
    <s v="Product_A"/>
    <n v="951"/>
    <n v="8"/>
    <n v="7.0000000000000007E-2"/>
    <n v="1104"/>
    <s v="COD"/>
    <n v="7075.44"/>
    <s v="Jul"/>
    <n v="2024"/>
    <s v="Q3"/>
    <n v="0.15603269902649164"/>
    <n v="532.56000000000006"/>
    <s v="High"/>
    <s v="Repeat"/>
    <s v="Below Avg"/>
    <s v="Profit"/>
    <n v="274"/>
  </r>
  <r>
    <n v="184"/>
    <d v="2024-07-02T00:00:00"/>
    <n v="1045"/>
    <s v="Customer_166"/>
    <x v="1"/>
    <x v="3"/>
    <s v="Furniture"/>
    <s v="Product_C"/>
    <n v="4700"/>
    <n v="3"/>
    <n v="0.22"/>
    <n v="140"/>
    <s v="COD"/>
    <n v="10998"/>
    <s v="Jul"/>
    <n v="2024"/>
    <s v="Q3"/>
    <n v="1.2729587197672304E-2"/>
    <n v="3102"/>
    <s v="High"/>
    <s v="Repeat"/>
    <s v="Above Avg"/>
    <s v="Profit"/>
    <n v="190"/>
  </r>
  <r>
    <n v="185"/>
    <d v="2024-07-03T00:00:00"/>
    <n v="1057"/>
    <s v="Customer_65"/>
    <x v="0"/>
    <x v="1"/>
    <s v="Electronics"/>
    <s v="Product_C"/>
    <n v="1851"/>
    <n v="3"/>
    <n v="0.28999999999999998"/>
    <n v="589"/>
    <s v="Card"/>
    <n v="3942.6299999999901"/>
    <s v="Jul"/>
    <n v="2024"/>
    <s v="Q3"/>
    <n v="0.14939266428754447"/>
    <n v="1610.37"/>
    <s v="Medium"/>
    <s v="Repeat"/>
    <s v="Below Avg"/>
    <s v="Profit"/>
    <n v="356"/>
  </r>
  <r>
    <n v="186"/>
    <d v="2024-07-04T00:00:00"/>
    <n v="1035"/>
    <s v="Customer_83"/>
    <x v="1"/>
    <x v="1"/>
    <s v="Furniture"/>
    <s v="Product_C"/>
    <n v="1945"/>
    <n v="1"/>
    <n v="0.28999999999999998"/>
    <n v="7"/>
    <s v="Card"/>
    <n v="1380.94999999999"/>
    <s v="Jul"/>
    <n v="2024"/>
    <s v="Q3"/>
    <n v="5.068974256852204E-3"/>
    <n v="564.04999999999995"/>
    <s v="Low"/>
    <s v="Repeat"/>
    <s v="Below Avg"/>
    <s v="Profit"/>
    <n v="462"/>
  </r>
  <r>
    <n v="187"/>
    <d v="2024-07-05T00:00:00"/>
    <n v="1018"/>
    <s v="Customer_38"/>
    <x v="1"/>
    <x v="3"/>
    <s v="Clothing"/>
    <s v="Product_A"/>
    <n v="4924"/>
    <n v="3"/>
    <n v="0.13"/>
    <n v="1357"/>
    <s v="UPI"/>
    <n v="12851.64"/>
    <s v="Jul"/>
    <n v="2024"/>
    <s v="Q3"/>
    <n v="0.1055896368089987"/>
    <n v="1920.3600000000001"/>
    <s v="High"/>
    <s v="Repeat"/>
    <s v="Above Avg"/>
    <s v="Profit"/>
    <n v="160"/>
  </r>
  <r>
    <n v="188"/>
    <d v="2024-07-06T00:00:00"/>
    <n v="1091"/>
    <s v="Customer_28"/>
    <x v="1"/>
    <x v="1"/>
    <s v="Furniture"/>
    <s v="Product_A"/>
    <n v="1821"/>
    <n v="7"/>
    <n v="0.26"/>
    <n v="-309"/>
    <s v="Card"/>
    <n v="9432.7800000000007"/>
    <s v="Jul"/>
    <n v="2024"/>
    <s v="Q3"/>
    <n v="-3.2758105245749396E-2"/>
    <n v="3314.2200000000003"/>
    <s v="High"/>
    <s v="Repeat"/>
    <s v="Below Avg"/>
    <s v="Loss"/>
    <n v="220"/>
  </r>
  <r>
    <n v="189"/>
    <d v="2024-07-07T00:00:00"/>
    <n v="1046"/>
    <s v="Customer_175"/>
    <x v="1"/>
    <x v="1"/>
    <s v="Clothing"/>
    <s v="Product_B"/>
    <n v="1873"/>
    <n v="9"/>
    <n v="0.17"/>
    <n v="-234"/>
    <s v="UPI"/>
    <n v="13991.31"/>
    <s v="Jul"/>
    <n v="2024"/>
    <s v="Q3"/>
    <n v="-1.672466695398787E-2"/>
    <n v="2865.69"/>
    <s v="High"/>
    <s v="Repeat"/>
    <s v="Above Avg"/>
    <s v="Loss"/>
    <n v="147"/>
  </r>
  <r>
    <n v="190"/>
    <d v="2024-07-08T00:00:00"/>
    <n v="1054"/>
    <s v="Customer_47"/>
    <x v="0"/>
    <x v="2"/>
    <s v="Furniture"/>
    <s v="Product_C"/>
    <n v="750"/>
    <n v="8"/>
    <n v="0.17"/>
    <n v="-108"/>
    <s v="Card"/>
    <n v="4980"/>
    <s v="Jul"/>
    <n v="2024"/>
    <s v="Q3"/>
    <n v="-2.1686746987951807E-2"/>
    <n v="1020.0000000000001"/>
    <s v="Medium"/>
    <s v="Repeat"/>
    <s v="Below Avg"/>
    <s v="Loss"/>
    <n v="324"/>
  </r>
  <r>
    <n v="191"/>
    <d v="2024-07-09T00:00:00"/>
    <n v="1073"/>
    <s v="Customer_10"/>
    <x v="0"/>
    <x v="1"/>
    <s v="Furniture"/>
    <s v="Product_A"/>
    <n v="1461"/>
    <n v="3"/>
    <n v="7.0000000000000007E-2"/>
    <n v="-371"/>
    <s v="COD"/>
    <n v="4076.1899999999901"/>
    <s v="Jul"/>
    <n v="2024"/>
    <s v="Q3"/>
    <n v="-9.1016365772940144E-2"/>
    <n v="306.81"/>
    <s v="Medium"/>
    <s v="Repeat"/>
    <s v="Below Avg"/>
    <s v="Loss"/>
    <n v="351"/>
  </r>
  <r>
    <n v="192"/>
    <d v="2024-07-10T00:00:00"/>
    <n v="1081"/>
    <s v="Customer_88"/>
    <x v="1"/>
    <x v="0"/>
    <s v="Clothing"/>
    <s v="Product_A"/>
    <n v="3609"/>
    <n v="5"/>
    <n v="0.12"/>
    <n v="514"/>
    <s v="COD"/>
    <n v="15879.6"/>
    <s v="Jul"/>
    <n v="2024"/>
    <s v="Q3"/>
    <n v="3.2368573515705684E-2"/>
    <n v="2165.4"/>
    <s v="High"/>
    <s v="Repeat"/>
    <s v="Above Avg"/>
    <s v="Profit"/>
    <n v="131"/>
  </r>
  <r>
    <n v="193"/>
    <d v="2024-07-11T00:00:00"/>
    <n v="1062"/>
    <s v="Customer_133"/>
    <x v="1"/>
    <x v="0"/>
    <s v="Electronics"/>
    <s v="Product_D"/>
    <n v="1568"/>
    <n v="1"/>
    <n v="0.06"/>
    <n v="1807"/>
    <s v="UPI"/>
    <n v="1473.9199999999901"/>
    <s v="Jul"/>
    <n v="2024"/>
    <s v="Q3"/>
    <n v="1.225982414242301"/>
    <n v="94.08"/>
    <s v="Low"/>
    <s v="Repeat"/>
    <s v="Below Avg"/>
    <s v="Profit"/>
    <n v="459"/>
  </r>
  <r>
    <n v="194"/>
    <d v="2024-07-12T00:00:00"/>
    <n v="1067"/>
    <s v="Customer_141"/>
    <x v="0"/>
    <x v="2"/>
    <s v="Furniture"/>
    <s v="Product_C"/>
    <n v="584"/>
    <n v="1"/>
    <n v="0.22"/>
    <n v="858"/>
    <s v="Card"/>
    <n v="455.52"/>
    <s v="Jul"/>
    <n v="2024"/>
    <s v="Q3"/>
    <n v="1.8835616438356164"/>
    <n v="128.47999999999999"/>
    <s v="Low"/>
    <s v="Repeat"/>
    <s v="Below Avg"/>
    <s v="Profit"/>
    <n v="494"/>
  </r>
  <r>
    <n v="195"/>
    <d v="2024-07-13T00:00:00"/>
    <n v="1011"/>
    <s v="Customer_86"/>
    <x v="1"/>
    <x v="0"/>
    <s v="Furniture"/>
    <s v="Product_C"/>
    <n v="851"/>
    <n v="9"/>
    <n v="0.19"/>
    <n v="1126"/>
    <s v="Card"/>
    <n v="6203.79"/>
    <s v="Jul"/>
    <n v="2024"/>
    <s v="Q3"/>
    <n v="0.18150195283850679"/>
    <n v="1455.21"/>
    <s v="High"/>
    <s v="Repeat"/>
    <s v="Below Avg"/>
    <s v="Profit"/>
    <n v="292"/>
  </r>
  <r>
    <n v="196"/>
    <d v="2024-07-14T00:00:00"/>
    <n v="1026"/>
    <s v="Customer_34"/>
    <x v="1"/>
    <x v="2"/>
    <s v="Electronics"/>
    <s v="Product_A"/>
    <n v="209"/>
    <n v="7"/>
    <n v="0.24"/>
    <n v="-125"/>
    <s v="UPI"/>
    <n v="1111.8800000000001"/>
    <s v="Jul"/>
    <n v="2024"/>
    <s v="Q3"/>
    <n v="-0.11242220383494621"/>
    <n v="351.12"/>
    <s v="Low"/>
    <s v="Repeat"/>
    <s v="Below Avg"/>
    <s v="Loss"/>
    <n v="476"/>
  </r>
  <r>
    <n v="197"/>
    <d v="2024-07-15T00:00:00"/>
    <n v="1092"/>
    <s v="Customer_153"/>
    <x v="1"/>
    <x v="0"/>
    <s v="Electronics"/>
    <s v="Product_D"/>
    <n v="2452"/>
    <n v="4"/>
    <n v="0.19"/>
    <n v="1641"/>
    <s v="Card"/>
    <n v="7944.48"/>
    <s v="Jul"/>
    <n v="2024"/>
    <s v="Q3"/>
    <n v="0.20655851610174614"/>
    <n v="1863.52"/>
    <s v="High"/>
    <s v="Repeat"/>
    <s v="Below Avg"/>
    <s v="Profit"/>
    <n v="254"/>
  </r>
  <r>
    <n v="198"/>
    <d v="2024-07-16T00:00:00"/>
    <n v="1075"/>
    <s v="Customer_151"/>
    <x v="0"/>
    <x v="1"/>
    <s v="Electronics"/>
    <s v="Product_C"/>
    <n v="4378"/>
    <n v="4"/>
    <n v="0.08"/>
    <n v="-266"/>
    <s v="COD"/>
    <n v="16111.04"/>
    <s v="Jul"/>
    <n v="2024"/>
    <s v="Q3"/>
    <n v="-1.6510417701153992E-2"/>
    <n v="1400.96"/>
    <s v="High"/>
    <s v="Repeat"/>
    <s v="Above Avg"/>
    <s v="Loss"/>
    <n v="125"/>
  </r>
  <r>
    <n v="199"/>
    <d v="2024-07-17T00:00:00"/>
    <n v="1010"/>
    <s v="Customer_112"/>
    <x v="1"/>
    <x v="0"/>
    <s v="Furniture"/>
    <s v="Product_C"/>
    <n v="3624"/>
    <n v="3"/>
    <n v="0.28999999999999998"/>
    <n v="-429"/>
    <s v="COD"/>
    <n v="7719.12"/>
    <s v="Jul"/>
    <n v="2024"/>
    <s v="Q3"/>
    <n v="-5.557628330690545E-2"/>
    <n v="3152.8799999999997"/>
    <s v="High"/>
    <s v="Repeat"/>
    <s v="Below Avg"/>
    <s v="Loss"/>
    <n v="259"/>
  </r>
  <r>
    <n v="200"/>
    <d v="2024-07-18T00:00:00"/>
    <n v="1003"/>
    <s v="Customer_85"/>
    <x v="1"/>
    <x v="0"/>
    <s v="Clothing"/>
    <s v="Product_C"/>
    <n v="1158"/>
    <n v="5"/>
    <n v="0.2"/>
    <n v="1597"/>
    <s v="COD"/>
    <n v="4632"/>
    <s v="Jul"/>
    <n v="2024"/>
    <s v="Q3"/>
    <n v="0.34477547495682209"/>
    <n v="1158"/>
    <s v="Medium"/>
    <s v="Repeat"/>
    <s v="Below Avg"/>
    <s v="Profit"/>
    <n v="335"/>
  </r>
  <r>
    <n v="201"/>
    <d v="2024-07-19T00:00:00"/>
    <n v="1045"/>
    <s v="Customer_3"/>
    <x v="1"/>
    <x v="2"/>
    <s v="Furniture"/>
    <s v="Product_A"/>
    <n v="300"/>
    <n v="8"/>
    <n v="0.14000000000000001"/>
    <n v="1580"/>
    <s v="UPI"/>
    <n v="2064"/>
    <s v="Jul"/>
    <n v="2024"/>
    <s v="Q3"/>
    <n v="0.76550387596899228"/>
    <n v="336.00000000000006"/>
    <s v="Medium"/>
    <s v="Repeat"/>
    <s v="Below Avg"/>
    <s v="Profit"/>
    <n v="425"/>
  </r>
  <r>
    <n v="202"/>
    <d v="2024-07-20T00:00:00"/>
    <n v="1058"/>
    <s v="Customer_8"/>
    <x v="0"/>
    <x v="2"/>
    <s v="Clothing"/>
    <s v="Product_A"/>
    <n v="4590"/>
    <n v="3"/>
    <n v="0.23"/>
    <n v="458"/>
    <s v="Card"/>
    <n v="10602.9"/>
    <s v="Jul"/>
    <n v="2024"/>
    <s v="Q3"/>
    <n v="4.3195729470239273E-2"/>
    <n v="3167.1000000000004"/>
    <s v="High"/>
    <s v="Repeat"/>
    <s v="Below Avg"/>
    <s v="Profit"/>
    <n v="195"/>
  </r>
  <r>
    <n v="203"/>
    <d v="2024-07-21T00:00:00"/>
    <n v="1059"/>
    <s v="Customer_174"/>
    <x v="0"/>
    <x v="2"/>
    <s v="Electronics"/>
    <s v="Product_B"/>
    <n v="3815"/>
    <n v="6"/>
    <n v="0.08"/>
    <n v="971"/>
    <s v="Card"/>
    <n v="21058.799999999999"/>
    <s v="Jul"/>
    <n v="2024"/>
    <s v="Q3"/>
    <n v="4.6108990065910689E-2"/>
    <n v="1831.2"/>
    <s v="High"/>
    <s v="Repeat"/>
    <s v="Above Avg"/>
    <s v="Profit"/>
    <n v="76"/>
  </r>
  <r>
    <n v="204"/>
    <d v="2024-07-22T00:00:00"/>
    <n v="1023"/>
    <s v="Customer_190"/>
    <x v="0"/>
    <x v="3"/>
    <s v="Furniture"/>
    <s v="Product_B"/>
    <n v="1315"/>
    <n v="4"/>
    <n v="0.24"/>
    <n v="-35"/>
    <s v="COD"/>
    <n v="3997.6"/>
    <s v="Jul"/>
    <n v="2024"/>
    <s v="Q3"/>
    <n v="-8.7552531518911344E-3"/>
    <n v="1262.3999999999999"/>
    <s v="Medium"/>
    <s v="Repeat"/>
    <s v="Below Avg"/>
    <s v="Loss"/>
    <n v="353"/>
  </r>
  <r>
    <n v="205"/>
    <d v="2024-07-23T00:00:00"/>
    <n v="1025"/>
    <s v="Customer_167"/>
    <x v="0"/>
    <x v="1"/>
    <s v="Furniture"/>
    <s v="Product_C"/>
    <n v="831"/>
    <n v="3"/>
    <n v="0.1"/>
    <n v="1324"/>
    <s v="UPI"/>
    <n v="2243.6999999999998"/>
    <s v="Jul"/>
    <n v="2024"/>
    <s v="Q3"/>
    <n v="0.59009671524713647"/>
    <n v="249.3"/>
    <s v="Medium"/>
    <s v="Repeat"/>
    <s v="Below Avg"/>
    <s v="Profit"/>
    <n v="417"/>
  </r>
  <r>
    <n v="206"/>
    <d v="2024-07-24T00:00:00"/>
    <n v="1027"/>
    <s v="Customer_51"/>
    <x v="0"/>
    <x v="3"/>
    <s v="Furniture"/>
    <s v="Product_D"/>
    <n v="473"/>
    <n v="1"/>
    <n v="0.02"/>
    <n v="-233"/>
    <s v="UPI"/>
    <n v="463.539999999999"/>
    <s v="Jul"/>
    <n v="2024"/>
    <s v="Q3"/>
    <n v="-0.50265349268671633"/>
    <n v="9.4600000000000009"/>
    <s v="Low"/>
    <s v="Repeat"/>
    <s v="Below Avg"/>
    <s v="Loss"/>
    <n v="493"/>
  </r>
  <r>
    <n v="207"/>
    <d v="2024-07-25T00:00:00"/>
    <n v="1057"/>
    <s v="Customer_22"/>
    <x v="0"/>
    <x v="0"/>
    <s v="Furniture"/>
    <s v="Product_C"/>
    <n v="3249"/>
    <n v="8"/>
    <n v="0.23"/>
    <n v="1197"/>
    <s v="UPI"/>
    <n v="20013.84"/>
    <s v="Jul"/>
    <n v="2024"/>
    <s v="Q3"/>
    <n v="5.9808612440191387E-2"/>
    <n v="5978.16"/>
    <s v="High"/>
    <s v="Repeat"/>
    <s v="Above Avg"/>
    <s v="Profit"/>
    <n v="80"/>
  </r>
  <r>
    <n v="208"/>
    <d v="2024-07-26T00:00:00"/>
    <n v="1003"/>
    <s v="Customer_45"/>
    <x v="1"/>
    <x v="0"/>
    <s v="Electronics"/>
    <s v="Product_D"/>
    <n v="3344"/>
    <n v="7"/>
    <n v="0.06"/>
    <n v="581"/>
    <s v="COD"/>
    <n v="22003.52"/>
    <s v="Jul"/>
    <n v="2024"/>
    <s v="Q3"/>
    <n v="2.6404866130510025E-2"/>
    <n v="1404.48"/>
    <s v="High"/>
    <s v="Repeat"/>
    <s v="Above Avg"/>
    <s v="Profit"/>
    <n v="67"/>
  </r>
  <r>
    <n v="209"/>
    <d v="2024-07-27T00:00:00"/>
    <n v="1099"/>
    <s v="Customer_151"/>
    <x v="1"/>
    <x v="2"/>
    <s v="Electronics"/>
    <s v="Product_A"/>
    <n v="4041"/>
    <n v="7"/>
    <n v="0.19"/>
    <n v="1642"/>
    <s v="UPI"/>
    <n v="22912.47"/>
    <s v="Jul"/>
    <n v="2024"/>
    <s v="Q3"/>
    <n v="7.1664032729775534E-2"/>
    <n v="5374.53"/>
    <s v="High"/>
    <s v="Repeat"/>
    <s v="Above Avg"/>
    <s v="Profit"/>
    <n v="60"/>
  </r>
  <r>
    <n v="210"/>
    <d v="2024-07-28T00:00:00"/>
    <n v="1078"/>
    <s v="Customer_177"/>
    <x v="0"/>
    <x v="2"/>
    <s v="Electronics"/>
    <s v="Product_B"/>
    <n v="4048"/>
    <n v="8"/>
    <n v="0.08"/>
    <n v="-375"/>
    <s v="COD"/>
    <n v="29793.279999999999"/>
    <s v="Jul"/>
    <n v="2024"/>
    <s v="Q3"/>
    <n v="-1.2586730967520193E-2"/>
    <n v="2590.7200000000003"/>
    <s v="High"/>
    <s v="Repeat"/>
    <s v="Above Avg"/>
    <s v="Loss"/>
    <n v="24"/>
  </r>
  <r>
    <n v="211"/>
    <d v="2024-07-29T00:00:00"/>
    <n v="1085"/>
    <s v="Customer_80"/>
    <x v="0"/>
    <x v="0"/>
    <s v="Furniture"/>
    <s v="Product_A"/>
    <n v="745"/>
    <n v="9"/>
    <n v="0.21"/>
    <n v="515"/>
    <s v="Card"/>
    <n v="5296.95"/>
    <s v="Jul"/>
    <n v="2024"/>
    <s v="Q3"/>
    <n v="9.7225761995110391E-2"/>
    <n v="1408.05"/>
    <s v="High"/>
    <s v="Repeat"/>
    <s v="Below Avg"/>
    <s v="Profit"/>
    <n v="316"/>
  </r>
  <r>
    <n v="212"/>
    <d v="2024-07-30T00:00:00"/>
    <n v="1059"/>
    <s v="Customer_124"/>
    <x v="0"/>
    <x v="3"/>
    <s v="Furniture"/>
    <s v="Product_D"/>
    <n v="3695"/>
    <n v="3"/>
    <n v="0.04"/>
    <n v="333"/>
    <s v="Card"/>
    <n v="10641.6"/>
    <s v="Jul"/>
    <n v="2024"/>
    <s v="Q3"/>
    <n v="3.1292286874154258E-2"/>
    <n v="443.40000000000003"/>
    <s v="High"/>
    <s v="Repeat"/>
    <s v="Above Avg"/>
    <s v="Profit"/>
    <n v="194"/>
  </r>
  <r>
    <n v="213"/>
    <d v="2024-07-31T00:00:00"/>
    <n v="1048"/>
    <s v="Customer_179"/>
    <x v="1"/>
    <x v="2"/>
    <s v="Clothing"/>
    <s v="Product_D"/>
    <n v="4178"/>
    <n v="2"/>
    <n v="0.19"/>
    <n v="1860"/>
    <s v="Card"/>
    <n v="6768.36"/>
    <s v="Jul"/>
    <n v="2024"/>
    <s v="Q3"/>
    <n v="0.27480807758452563"/>
    <n v="1587.64"/>
    <s v="High"/>
    <s v="Repeat"/>
    <s v="Below Avg"/>
    <s v="Profit"/>
    <n v="280"/>
  </r>
  <r>
    <n v="214"/>
    <d v="2024-08-01T00:00:00"/>
    <n v="1056"/>
    <s v="Customer_28"/>
    <x v="0"/>
    <x v="2"/>
    <s v="Clothing"/>
    <s v="Product_B"/>
    <n v="2035"/>
    <n v="4"/>
    <n v="0.06"/>
    <n v="1215"/>
    <s v="UPI"/>
    <n v="7651.5999999999904"/>
    <s v="Aug"/>
    <n v="2024"/>
    <s v="Q3"/>
    <n v="0.15879031836478666"/>
    <n v="488.4"/>
    <s v="High"/>
    <s v="Repeat"/>
    <s v="Below Avg"/>
    <s v="Profit"/>
    <n v="262"/>
  </r>
  <r>
    <n v="215"/>
    <d v="2024-08-02T00:00:00"/>
    <n v="1087"/>
    <s v="Customer_99"/>
    <x v="0"/>
    <x v="0"/>
    <s v="Clothing"/>
    <s v="Product_A"/>
    <n v="2833"/>
    <n v="4"/>
    <n v="0.15"/>
    <n v="-499"/>
    <s v="COD"/>
    <n v="9632.1999999999898"/>
    <s v="Aug"/>
    <n v="2024"/>
    <s v="Q3"/>
    <n v="-5.1805402711737766E-2"/>
    <n v="1699.8"/>
    <s v="High"/>
    <s v="Repeat"/>
    <s v="Below Avg"/>
    <s v="Loss"/>
    <n v="211"/>
  </r>
  <r>
    <n v="216"/>
    <d v="2024-08-03T00:00:00"/>
    <n v="1087"/>
    <s v="Customer_106"/>
    <x v="0"/>
    <x v="1"/>
    <s v="Furniture"/>
    <s v="Product_C"/>
    <n v="2661"/>
    <n v="8"/>
    <n v="0.26"/>
    <n v="-152"/>
    <s v="COD"/>
    <n v="15753.119999999901"/>
    <s v="Aug"/>
    <n v="2024"/>
    <s v="Q3"/>
    <n v="-9.6488822531664176E-3"/>
    <n v="5534.88"/>
    <s v="High"/>
    <s v="Repeat"/>
    <s v="Above Avg"/>
    <s v="Loss"/>
    <n v="133"/>
  </r>
  <r>
    <n v="217"/>
    <d v="2024-08-04T00:00:00"/>
    <n v="1004"/>
    <s v="Customer_29"/>
    <x v="0"/>
    <x v="2"/>
    <s v="Furniture"/>
    <s v="Product_A"/>
    <n v="2152"/>
    <n v="8"/>
    <n v="0.14000000000000001"/>
    <n v="925"/>
    <s v="COD"/>
    <n v="14805.76"/>
    <s v="Aug"/>
    <n v="2024"/>
    <s v="Q3"/>
    <n v="6.2475685138756808E-2"/>
    <n v="2410.2400000000002"/>
    <s v="High"/>
    <s v="Repeat"/>
    <s v="Above Avg"/>
    <s v="Profit"/>
    <n v="142"/>
  </r>
  <r>
    <n v="218"/>
    <d v="2024-08-05T00:00:00"/>
    <n v="1069"/>
    <s v="Customer_187"/>
    <x v="0"/>
    <x v="3"/>
    <s v="Clothing"/>
    <s v="Product_D"/>
    <n v="2039"/>
    <n v="7"/>
    <n v="0.23"/>
    <n v="-462"/>
    <s v="UPI"/>
    <n v="10990.21"/>
    <s v="Aug"/>
    <n v="2024"/>
    <s v="Q3"/>
    <n v="-4.2037413297835079E-2"/>
    <n v="3282.79"/>
    <s v="High"/>
    <s v="Repeat"/>
    <s v="Above Avg"/>
    <s v="Loss"/>
    <n v="192"/>
  </r>
  <r>
    <n v="219"/>
    <d v="2024-08-06T00:00:00"/>
    <n v="1056"/>
    <s v="Customer_102"/>
    <x v="0"/>
    <x v="1"/>
    <s v="Clothing"/>
    <s v="Product_A"/>
    <n v="802"/>
    <n v="5"/>
    <n v="0.04"/>
    <n v="1193"/>
    <s v="COD"/>
    <n v="3849.6"/>
    <s v="Aug"/>
    <n v="2024"/>
    <s v="Q3"/>
    <n v="0.30990232751454699"/>
    <n v="160.4"/>
    <s v="Medium"/>
    <s v="Repeat"/>
    <s v="Below Avg"/>
    <s v="Profit"/>
    <n v="361"/>
  </r>
  <r>
    <n v="220"/>
    <d v="2024-08-07T00:00:00"/>
    <n v="1060"/>
    <s v="Customer_198"/>
    <x v="1"/>
    <x v="0"/>
    <s v="Clothing"/>
    <s v="Product_B"/>
    <n v="2899"/>
    <n v="1"/>
    <n v="0.2"/>
    <n v="569"/>
    <s v="COD"/>
    <n v="2319.1999999999998"/>
    <s v="Aug"/>
    <n v="2024"/>
    <s v="Q3"/>
    <n v="0.24534322180062093"/>
    <n v="579.80000000000007"/>
    <s v="Medium"/>
    <s v="Repeat"/>
    <s v="Below Avg"/>
    <s v="Profit"/>
    <n v="415"/>
  </r>
  <r>
    <n v="221"/>
    <d v="2024-08-08T00:00:00"/>
    <n v="1009"/>
    <s v="Customer_78"/>
    <x v="1"/>
    <x v="2"/>
    <s v="Electronics"/>
    <s v="Product_A"/>
    <n v="607"/>
    <n v="6"/>
    <n v="0.05"/>
    <n v="1509"/>
    <s v="Card"/>
    <n v="3459.8999999999901"/>
    <s v="Aug"/>
    <n v="2024"/>
    <s v="Q3"/>
    <n v="0.43613977282580546"/>
    <n v="182.10000000000002"/>
    <s v="Medium"/>
    <s v="Repeat"/>
    <s v="Below Avg"/>
    <s v="Profit"/>
    <n v="378"/>
  </r>
  <r>
    <n v="222"/>
    <d v="2024-08-09T00:00:00"/>
    <n v="1066"/>
    <s v="Customer_156"/>
    <x v="1"/>
    <x v="1"/>
    <s v="Clothing"/>
    <s v="Product_A"/>
    <n v="1523"/>
    <n v="1"/>
    <n v="0.23"/>
    <n v="1244"/>
    <s v="COD"/>
    <n v="1172.71"/>
    <s v="Aug"/>
    <n v="2024"/>
    <s v="Q3"/>
    <n v="1.0607908178492551"/>
    <n v="350.29"/>
    <s v="Low"/>
    <s v="Repeat"/>
    <s v="Below Avg"/>
    <s v="Profit"/>
    <n v="471"/>
  </r>
  <r>
    <n v="223"/>
    <d v="2024-08-10T00:00:00"/>
    <n v="1033"/>
    <s v="Customer_110"/>
    <x v="1"/>
    <x v="0"/>
    <s v="Furniture"/>
    <s v="Product_D"/>
    <n v="2167"/>
    <n v="2"/>
    <n v="0.21"/>
    <n v="1682"/>
    <s v="Card"/>
    <n v="3423.86"/>
    <s v="Aug"/>
    <n v="2024"/>
    <s v="Q3"/>
    <n v="0.49125840425718337"/>
    <n v="910.14"/>
    <s v="Medium"/>
    <s v="New"/>
    <s v="Below Avg"/>
    <s v="Profit"/>
    <n v="379"/>
  </r>
  <r>
    <n v="224"/>
    <d v="2024-08-11T00:00:00"/>
    <n v="1069"/>
    <s v="Customer_175"/>
    <x v="1"/>
    <x v="3"/>
    <s v="Furniture"/>
    <s v="Product_C"/>
    <n v="4265"/>
    <n v="6"/>
    <n v="0.12"/>
    <n v="490"/>
    <s v="COD"/>
    <n v="22519.200000000001"/>
    <s v="Aug"/>
    <n v="2024"/>
    <s v="Q3"/>
    <n v="2.1759209918647198E-2"/>
    <n v="3070.7999999999997"/>
    <s v="High"/>
    <s v="Repeat"/>
    <s v="Above Avg"/>
    <s v="Profit"/>
    <n v="63"/>
  </r>
  <r>
    <n v="225"/>
    <d v="2024-08-12T00:00:00"/>
    <n v="1009"/>
    <s v="Customer_4"/>
    <x v="0"/>
    <x v="2"/>
    <s v="Clothing"/>
    <s v="Product_C"/>
    <n v="851"/>
    <n v="1"/>
    <n v="0.14000000000000001"/>
    <n v="1419"/>
    <s v="UPI"/>
    <n v="731.86"/>
    <s v="Aug"/>
    <n v="2024"/>
    <s v="Q3"/>
    <n v="1.9388954171562867"/>
    <n v="119.14000000000001"/>
    <s v="Low"/>
    <s v="Repeat"/>
    <s v="Below Avg"/>
    <s v="Profit"/>
    <n v="484"/>
  </r>
  <r>
    <n v="226"/>
    <d v="2024-08-13T00:00:00"/>
    <n v="1079"/>
    <s v="Customer_130"/>
    <x v="1"/>
    <x v="0"/>
    <s v="Furniture"/>
    <s v="Product_B"/>
    <n v="2116"/>
    <n v="6"/>
    <n v="0.05"/>
    <n v="1516"/>
    <s v="UPI"/>
    <n v="12061.199999999901"/>
    <s v="Aug"/>
    <n v="2024"/>
    <s v="Q3"/>
    <n v="0.12569230259012473"/>
    <n v="634.80000000000007"/>
    <s v="High"/>
    <s v="Repeat"/>
    <s v="Above Avg"/>
    <s v="Profit"/>
    <n v="167"/>
  </r>
  <r>
    <n v="227"/>
    <d v="2024-08-14T00:00:00"/>
    <n v="1028"/>
    <s v="Customer_110"/>
    <x v="0"/>
    <x v="2"/>
    <s v="Furniture"/>
    <s v="Product_B"/>
    <n v="648"/>
    <n v="9"/>
    <n v="0.19"/>
    <n v="730"/>
    <s v="Card"/>
    <n v="4723.92"/>
    <s v="Aug"/>
    <n v="2024"/>
    <s v="Q3"/>
    <n v="0.15453267625192638"/>
    <n v="1108.08"/>
    <s v="Medium"/>
    <s v="Repeat"/>
    <s v="Below Avg"/>
    <s v="Profit"/>
    <n v="331"/>
  </r>
  <r>
    <n v="228"/>
    <d v="2024-08-15T00:00:00"/>
    <n v="1066"/>
    <s v="Customer_64"/>
    <x v="0"/>
    <x v="2"/>
    <s v="Furniture"/>
    <s v="Product_A"/>
    <n v="2655"/>
    <n v="6"/>
    <n v="0.27"/>
    <n v="1403"/>
    <s v="COD"/>
    <n v="11628.9"/>
    <s v="Aug"/>
    <n v="2024"/>
    <s v="Q3"/>
    <n v="0.12064769668670296"/>
    <n v="4301.1000000000004"/>
    <s v="High"/>
    <s v="Repeat"/>
    <s v="Above Avg"/>
    <s v="Profit"/>
    <n v="179"/>
  </r>
  <r>
    <n v="229"/>
    <d v="2024-08-16T00:00:00"/>
    <n v="1010"/>
    <s v="Customer_29"/>
    <x v="0"/>
    <x v="3"/>
    <s v="Clothing"/>
    <s v="Product_C"/>
    <n v="738"/>
    <n v="1"/>
    <n v="0.17"/>
    <n v="1581"/>
    <s v="UPI"/>
    <n v="612.54"/>
    <s v="Aug"/>
    <n v="2024"/>
    <s v="Q3"/>
    <n v="2.5810559310412384"/>
    <n v="125.46000000000001"/>
    <s v="Low"/>
    <s v="Repeat"/>
    <s v="Below Avg"/>
    <s v="Profit"/>
    <n v="486"/>
  </r>
  <r>
    <n v="230"/>
    <d v="2024-08-17T00:00:00"/>
    <n v="1003"/>
    <s v="Customer_89"/>
    <x v="0"/>
    <x v="1"/>
    <s v="Furniture"/>
    <s v="Product_B"/>
    <n v="1820"/>
    <n v="9"/>
    <n v="0.09"/>
    <n v="631"/>
    <s v="UPI"/>
    <n v="14905.8"/>
    <s v="Aug"/>
    <n v="2024"/>
    <s v="Q3"/>
    <n v="4.2332514859987389E-2"/>
    <n v="1474.2"/>
    <s v="High"/>
    <s v="Repeat"/>
    <s v="Above Avg"/>
    <s v="Profit"/>
    <n v="141"/>
  </r>
  <r>
    <n v="231"/>
    <d v="2024-08-18T00:00:00"/>
    <n v="1048"/>
    <s v="Customer_95"/>
    <x v="0"/>
    <x v="3"/>
    <s v="Electronics"/>
    <s v="Product_C"/>
    <n v="3916"/>
    <n v="7"/>
    <n v="0.12"/>
    <n v="1533"/>
    <s v="UPI"/>
    <n v="24122.560000000001"/>
    <s v="Aug"/>
    <n v="2024"/>
    <s v="Q3"/>
    <n v="6.3550468938620111E-2"/>
    <n v="3289.44"/>
    <s v="High"/>
    <s v="Repeat"/>
    <s v="Above Avg"/>
    <s v="Profit"/>
    <n v="51"/>
  </r>
  <r>
    <n v="232"/>
    <d v="2024-08-19T00:00:00"/>
    <n v="1003"/>
    <s v="Customer_175"/>
    <x v="0"/>
    <x v="2"/>
    <s v="Clothing"/>
    <s v="Product_D"/>
    <n v="3888"/>
    <n v="5"/>
    <n v="7.0000000000000007E-2"/>
    <n v="1032"/>
    <s v="Card"/>
    <n v="18079.199999999899"/>
    <s v="Aug"/>
    <n v="2024"/>
    <s v="Q3"/>
    <n v="5.7082171777512597E-2"/>
    <n v="1360.8000000000002"/>
    <s v="High"/>
    <s v="Repeat"/>
    <s v="Above Avg"/>
    <s v="Profit"/>
    <n v="91"/>
  </r>
  <r>
    <n v="233"/>
    <d v="2024-08-20T00:00:00"/>
    <n v="1023"/>
    <s v="Customer_15"/>
    <x v="0"/>
    <x v="3"/>
    <s v="Clothing"/>
    <s v="Product_B"/>
    <n v="1813"/>
    <n v="7"/>
    <n v="0.13"/>
    <n v="937"/>
    <s v="COD"/>
    <n v="11041.17"/>
    <s v="Aug"/>
    <n v="2024"/>
    <s v="Q3"/>
    <n v="8.4864194646038421E-2"/>
    <n v="1649.8300000000002"/>
    <s v="High"/>
    <s v="Repeat"/>
    <s v="Above Avg"/>
    <s v="Profit"/>
    <n v="189"/>
  </r>
  <r>
    <n v="234"/>
    <d v="2024-08-21T00:00:00"/>
    <n v="1091"/>
    <s v="Customer_166"/>
    <x v="1"/>
    <x v="2"/>
    <s v="Furniture"/>
    <s v="Product_C"/>
    <n v="4283"/>
    <n v="6"/>
    <n v="0.15"/>
    <n v="436"/>
    <s v="COD"/>
    <n v="21843.3"/>
    <s v="Aug"/>
    <n v="2024"/>
    <s v="Q3"/>
    <n v="1.9960353975818673E-2"/>
    <n v="3854.7"/>
    <s v="High"/>
    <s v="Repeat"/>
    <s v="Above Avg"/>
    <s v="Profit"/>
    <n v="68"/>
  </r>
  <r>
    <n v="235"/>
    <d v="2024-08-22T00:00:00"/>
    <n v="1055"/>
    <s v="Customer_97"/>
    <x v="1"/>
    <x v="3"/>
    <s v="Clothing"/>
    <s v="Product_C"/>
    <n v="4730"/>
    <n v="8"/>
    <n v="0.28000000000000003"/>
    <n v="1356"/>
    <s v="Card"/>
    <n v="27244.799999999999"/>
    <s v="Aug"/>
    <n v="2024"/>
    <s v="Q3"/>
    <n v="4.9770965468639891E-2"/>
    <n v="10595.2"/>
    <s v="High"/>
    <s v="Repeat"/>
    <s v="Above Avg"/>
    <s v="Profit"/>
    <n v="34"/>
  </r>
  <r>
    <n v="236"/>
    <d v="2024-08-23T00:00:00"/>
    <n v="1034"/>
    <s v="Customer_177"/>
    <x v="0"/>
    <x v="2"/>
    <s v="Furniture"/>
    <s v="Product_C"/>
    <n v="4044"/>
    <n v="8"/>
    <n v="0.13"/>
    <n v="-288"/>
    <s v="UPI"/>
    <n v="28146.240000000002"/>
    <s v="Aug"/>
    <n v="2024"/>
    <s v="Q3"/>
    <n v="-1.0232272587741736E-2"/>
    <n v="4205.76"/>
    <s v="High"/>
    <s v="Repeat"/>
    <s v="Above Avg"/>
    <s v="Loss"/>
    <n v="29"/>
  </r>
  <r>
    <n v="237"/>
    <d v="2024-08-24T00:00:00"/>
    <n v="1037"/>
    <s v="Customer_40"/>
    <x v="1"/>
    <x v="3"/>
    <s v="Electronics"/>
    <s v="Product_D"/>
    <n v="1901"/>
    <n v="8"/>
    <n v="0.26"/>
    <n v="1933"/>
    <s v="UPI"/>
    <n v="11253.92"/>
    <s v="Aug"/>
    <n v="2024"/>
    <s v="Q3"/>
    <n v="0.17176237257773291"/>
    <n v="3954.08"/>
    <s v="High"/>
    <s v="Repeat"/>
    <s v="Above Avg"/>
    <s v="Profit"/>
    <n v="186"/>
  </r>
  <r>
    <n v="238"/>
    <d v="2024-08-25T00:00:00"/>
    <n v="1049"/>
    <s v="Customer_144"/>
    <x v="0"/>
    <x v="0"/>
    <s v="Electronics"/>
    <s v="Product_A"/>
    <n v="4270"/>
    <n v="6"/>
    <n v="0.05"/>
    <n v="1845"/>
    <s v="Card"/>
    <n v="24339"/>
    <s v="Aug"/>
    <n v="2024"/>
    <s v="Q3"/>
    <n v="7.5804264760261308E-2"/>
    <n v="1281"/>
    <s v="High"/>
    <s v="Repeat"/>
    <s v="Above Avg"/>
    <s v="Profit"/>
    <n v="48"/>
  </r>
  <r>
    <n v="239"/>
    <d v="2024-08-26T00:00:00"/>
    <n v="1087"/>
    <s v="Customer_102"/>
    <x v="1"/>
    <x v="3"/>
    <s v="Furniture"/>
    <s v="Product_B"/>
    <n v="3460"/>
    <n v="2"/>
    <n v="0.16"/>
    <n v="898"/>
    <s v="UPI"/>
    <n v="5812.8"/>
    <s v="Aug"/>
    <n v="2024"/>
    <s v="Q3"/>
    <n v="0.15448665015139004"/>
    <n v="1107.2"/>
    <s v="High"/>
    <s v="Repeat"/>
    <s v="Below Avg"/>
    <s v="Profit"/>
    <n v="300"/>
  </r>
  <r>
    <n v="240"/>
    <d v="2024-08-27T00:00:00"/>
    <n v="1085"/>
    <s v="Customer_108"/>
    <x v="0"/>
    <x v="1"/>
    <s v="Furniture"/>
    <s v="Product_C"/>
    <n v="4062"/>
    <n v="1"/>
    <n v="0.18"/>
    <n v="630"/>
    <s v="Card"/>
    <n v="3330.84"/>
    <s v="Aug"/>
    <n v="2024"/>
    <s v="Q3"/>
    <n v="0.18914147782541341"/>
    <n v="731.16"/>
    <s v="Medium"/>
    <s v="Repeat"/>
    <s v="Below Avg"/>
    <s v="Profit"/>
    <n v="385"/>
  </r>
  <r>
    <n v="241"/>
    <d v="2024-08-28T00:00:00"/>
    <n v="1025"/>
    <s v="Customer_34"/>
    <x v="1"/>
    <x v="0"/>
    <s v="Furniture"/>
    <s v="Product_C"/>
    <n v="3312"/>
    <n v="6"/>
    <n v="0.18"/>
    <n v="1603"/>
    <s v="UPI"/>
    <n v="16295.04"/>
    <s v="Aug"/>
    <n v="2024"/>
    <s v="Q3"/>
    <n v="9.8373492792898934E-2"/>
    <n v="3576.96"/>
    <s v="High"/>
    <s v="Repeat"/>
    <s v="Above Avg"/>
    <s v="Profit"/>
    <n v="119"/>
  </r>
  <r>
    <n v="242"/>
    <d v="2024-08-29T00:00:00"/>
    <n v="1017"/>
    <s v="Customer_127"/>
    <x v="1"/>
    <x v="0"/>
    <s v="Electronics"/>
    <s v="Product_B"/>
    <n v="2687"/>
    <n v="2"/>
    <n v="0.15"/>
    <n v="564"/>
    <s v="UPI"/>
    <n v="4567.8999999999996"/>
    <s v="Aug"/>
    <n v="2024"/>
    <s v="Q3"/>
    <n v="0.12347030364062261"/>
    <n v="806.1"/>
    <s v="Medium"/>
    <s v="Repeat"/>
    <s v="Below Avg"/>
    <s v="Profit"/>
    <n v="336"/>
  </r>
  <r>
    <n v="243"/>
    <d v="2024-08-30T00:00:00"/>
    <n v="1058"/>
    <s v="Customer_134"/>
    <x v="1"/>
    <x v="3"/>
    <s v="Furniture"/>
    <s v="Product_B"/>
    <n v="4904"/>
    <n v="7"/>
    <n v="0.23"/>
    <n v="984"/>
    <s v="Card"/>
    <n v="26432.560000000001"/>
    <s v="Aug"/>
    <n v="2024"/>
    <s v="Q3"/>
    <n v="3.7226814201878289E-2"/>
    <n v="7895.4400000000005"/>
    <s v="High"/>
    <s v="Repeat"/>
    <s v="Above Avg"/>
    <s v="Profit"/>
    <n v="38"/>
  </r>
  <r>
    <n v="244"/>
    <d v="2024-08-31T00:00:00"/>
    <n v="1066"/>
    <s v="Customer_103"/>
    <x v="0"/>
    <x v="3"/>
    <s v="Electronics"/>
    <s v="Product_D"/>
    <n v="1799"/>
    <n v="2"/>
    <n v="0.05"/>
    <n v="241"/>
    <s v="Card"/>
    <n v="3418.1"/>
    <s v="Aug"/>
    <n v="2024"/>
    <s v="Q3"/>
    <n v="7.0507006816652534E-2"/>
    <n v="179.9"/>
    <s v="Medium"/>
    <s v="Repeat"/>
    <s v="Below Avg"/>
    <s v="Profit"/>
    <n v="380"/>
  </r>
  <r>
    <n v="245"/>
    <d v="2024-09-01T00:00:00"/>
    <n v="1045"/>
    <s v="Customer_87"/>
    <x v="0"/>
    <x v="2"/>
    <s v="Clothing"/>
    <s v="Product_A"/>
    <n v="247"/>
    <n v="7"/>
    <n v="0.02"/>
    <n v="452"/>
    <s v="UPI"/>
    <n v="1694.42"/>
    <s v="Sep"/>
    <n v="2024"/>
    <s v="Q3"/>
    <n v="0.26675794667201758"/>
    <n v="34.58"/>
    <s v="Low"/>
    <s v="Repeat"/>
    <s v="Below Avg"/>
    <s v="Profit"/>
    <n v="447"/>
  </r>
  <r>
    <n v="246"/>
    <d v="2024-09-02T00:00:00"/>
    <n v="1010"/>
    <s v="Customer_181"/>
    <x v="1"/>
    <x v="1"/>
    <s v="Furniture"/>
    <s v="Product_C"/>
    <n v="3111"/>
    <n v="1"/>
    <n v="0.04"/>
    <n v="120"/>
    <s v="Card"/>
    <n v="2986.56"/>
    <s v="Sep"/>
    <n v="2024"/>
    <s v="Q3"/>
    <n v="4.0180006428801027E-2"/>
    <n v="124.44"/>
    <s v="Medium"/>
    <s v="Repeat"/>
    <s v="Below Avg"/>
    <s v="Profit"/>
    <n v="394"/>
  </r>
  <r>
    <n v="247"/>
    <d v="2024-09-03T00:00:00"/>
    <n v="1008"/>
    <s v="Customer_114"/>
    <x v="1"/>
    <x v="3"/>
    <s v="Electronics"/>
    <s v="Product_B"/>
    <n v="1629"/>
    <n v="6"/>
    <n v="0.17"/>
    <n v="1561"/>
    <s v="UPI"/>
    <n v="8112.4199999999901"/>
    <s v="Sep"/>
    <n v="2024"/>
    <s v="Q3"/>
    <n v="0.19242100384348959"/>
    <n v="1661.5800000000002"/>
    <s v="High"/>
    <s v="Repeat"/>
    <s v="Below Avg"/>
    <s v="Profit"/>
    <n v="247"/>
  </r>
  <r>
    <n v="248"/>
    <d v="2024-09-04T00:00:00"/>
    <n v="1096"/>
    <s v="Customer_149"/>
    <x v="1"/>
    <x v="1"/>
    <s v="Electronics"/>
    <s v="Product_A"/>
    <n v="4607"/>
    <n v="8"/>
    <n v="7.0000000000000007E-2"/>
    <n v="746"/>
    <s v="UPI"/>
    <n v="34276.0799999999"/>
    <s v="Sep"/>
    <n v="2024"/>
    <s v="Q3"/>
    <n v="2.1764449143542731E-2"/>
    <n v="2579.92"/>
    <s v="High"/>
    <s v="Repeat"/>
    <s v="Above Avg"/>
    <s v="Profit"/>
    <n v="13"/>
  </r>
  <r>
    <n v="249"/>
    <d v="2024-09-05T00:00:00"/>
    <n v="1025"/>
    <s v="Customer_99"/>
    <x v="1"/>
    <x v="2"/>
    <s v="Clothing"/>
    <s v="Product_A"/>
    <n v="217"/>
    <n v="4"/>
    <n v="0.22"/>
    <n v="-1"/>
    <s v="COD"/>
    <n v="677.04"/>
    <s v="Sep"/>
    <n v="2024"/>
    <s v="Q3"/>
    <n v="-1.4770176060498641E-3"/>
    <n v="190.96"/>
    <s v="Low"/>
    <s v="Repeat"/>
    <s v="Below Avg"/>
    <s v="Loss"/>
    <n v="485"/>
  </r>
  <r>
    <n v="250"/>
    <d v="2024-09-06T00:00:00"/>
    <n v="1099"/>
    <s v="Customer_157"/>
    <x v="1"/>
    <x v="1"/>
    <s v="Electronics"/>
    <s v="Product_A"/>
    <n v="4979"/>
    <n v="2"/>
    <n v="0.02"/>
    <n v="1538"/>
    <s v="COD"/>
    <n v="9758.84"/>
    <s v="Sep"/>
    <n v="2024"/>
    <s v="Q3"/>
    <n v="0.15760069844366748"/>
    <n v="199.16"/>
    <s v="High"/>
    <s v="Repeat"/>
    <s v="Below Avg"/>
    <s v="Profit"/>
    <n v="208"/>
  </r>
  <r>
    <n v="251"/>
    <d v="2024-09-07T00:00:00"/>
    <n v="1067"/>
    <s v="Customer_2"/>
    <x v="0"/>
    <x v="0"/>
    <s v="Furniture"/>
    <s v="Product_A"/>
    <n v="586"/>
    <n v="9"/>
    <n v="0.27"/>
    <n v="781"/>
    <s v="COD"/>
    <n v="3850.02"/>
    <s v="Sep"/>
    <n v="2024"/>
    <s v="Q3"/>
    <n v="0.20285608905927763"/>
    <n v="1423.98"/>
    <s v="Medium"/>
    <s v="Repeat"/>
    <s v="Below Avg"/>
    <s v="Profit"/>
    <n v="360"/>
  </r>
  <r>
    <n v="252"/>
    <d v="2024-09-08T00:00:00"/>
    <n v="1065"/>
    <s v="Customer_97"/>
    <x v="0"/>
    <x v="2"/>
    <s v="Furniture"/>
    <s v="Product_C"/>
    <n v="1335"/>
    <n v="6"/>
    <n v="0.28999999999999998"/>
    <n v="598"/>
    <s v="Card"/>
    <n v="5687.0999999999904"/>
    <s v="Sep"/>
    <n v="2024"/>
    <s v="Q3"/>
    <n v="0.10515025232543845"/>
    <n v="2322.8999999999996"/>
    <s v="High"/>
    <s v="Repeat"/>
    <s v="Below Avg"/>
    <s v="Profit"/>
    <n v="304"/>
  </r>
  <r>
    <n v="253"/>
    <d v="2024-09-09T00:00:00"/>
    <n v="1007"/>
    <s v="Customer_26"/>
    <x v="0"/>
    <x v="0"/>
    <s v="Electronics"/>
    <s v="Product_A"/>
    <n v="2947"/>
    <n v="2"/>
    <n v="0.24"/>
    <n v="48"/>
    <s v="COD"/>
    <n v="4479.4399999999996"/>
    <s v="Sep"/>
    <n v="2024"/>
    <s v="Q3"/>
    <n v="1.0715625167431644E-2"/>
    <n v="1414.56"/>
    <s v="Medium"/>
    <s v="Repeat"/>
    <s v="Below Avg"/>
    <s v="Profit"/>
    <n v="339"/>
  </r>
  <r>
    <n v="254"/>
    <d v="2024-09-10T00:00:00"/>
    <n v="1070"/>
    <s v="Customer_44"/>
    <x v="1"/>
    <x v="1"/>
    <s v="Electronics"/>
    <s v="Product_C"/>
    <n v="1121"/>
    <n v="5"/>
    <n v="0.26"/>
    <n v="1771"/>
    <s v="COD"/>
    <n v="4147.7"/>
    <s v="Sep"/>
    <n v="2024"/>
    <s v="Q3"/>
    <n v="0.42698362948139934"/>
    <n v="1457.3"/>
    <s v="Medium"/>
    <s v="Repeat"/>
    <s v="Below Avg"/>
    <s v="Profit"/>
    <n v="347"/>
  </r>
  <r>
    <n v="255"/>
    <d v="2024-09-11T00:00:00"/>
    <n v="1099"/>
    <s v="Customer_18"/>
    <x v="0"/>
    <x v="0"/>
    <s v="Electronics"/>
    <s v="Product_B"/>
    <n v="2319"/>
    <n v="7"/>
    <n v="0.11"/>
    <n v="-105"/>
    <s v="UPI"/>
    <n v="14447.37"/>
    <s v="Sep"/>
    <n v="2024"/>
    <s v="Q3"/>
    <n v="-7.2677587685509538E-3"/>
    <n v="1785.63"/>
    <s v="High"/>
    <s v="Repeat"/>
    <s v="Above Avg"/>
    <s v="Loss"/>
    <n v="143"/>
  </r>
  <r>
    <n v="256"/>
    <d v="2024-09-12T00:00:00"/>
    <n v="1097"/>
    <s v="Customer_98"/>
    <x v="1"/>
    <x v="0"/>
    <s v="Clothing"/>
    <s v="Product_C"/>
    <n v="3265"/>
    <n v="3"/>
    <n v="0.05"/>
    <n v="1937"/>
    <s v="Card"/>
    <n v="9305.25"/>
    <s v="Sep"/>
    <n v="2024"/>
    <s v="Q3"/>
    <n v="0.20816205905268531"/>
    <n v="489.75"/>
    <s v="High"/>
    <s v="Repeat"/>
    <s v="Below Avg"/>
    <s v="Profit"/>
    <n v="225"/>
  </r>
  <r>
    <n v="257"/>
    <d v="2024-09-13T00:00:00"/>
    <n v="1039"/>
    <s v="Customer_30"/>
    <x v="1"/>
    <x v="2"/>
    <s v="Furniture"/>
    <s v="Product_A"/>
    <n v="3199"/>
    <n v="1"/>
    <n v="0.06"/>
    <n v="1657"/>
    <s v="Card"/>
    <n v="3007.06"/>
    <s v="Sep"/>
    <n v="2024"/>
    <s v="Q3"/>
    <n v="0.55103656062732376"/>
    <n v="191.94"/>
    <s v="Medium"/>
    <s v="Repeat"/>
    <s v="Below Avg"/>
    <s v="Profit"/>
    <n v="392"/>
  </r>
  <r>
    <n v="258"/>
    <d v="2024-09-14T00:00:00"/>
    <n v="1082"/>
    <s v="Customer_108"/>
    <x v="1"/>
    <x v="0"/>
    <s v="Electronics"/>
    <s v="Product_B"/>
    <n v="316"/>
    <n v="5"/>
    <n v="0.15"/>
    <n v="897"/>
    <s v="UPI"/>
    <n v="1343"/>
    <s v="Sep"/>
    <n v="2024"/>
    <s v="Q3"/>
    <n v="0.66790766939687263"/>
    <n v="237"/>
    <s v="Low"/>
    <s v="Repeat"/>
    <s v="Below Avg"/>
    <s v="Profit"/>
    <n v="465"/>
  </r>
  <r>
    <n v="259"/>
    <d v="2024-09-15T00:00:00"/>
    <n v="1092"/>
    <s v="Customer_23"/>
    <x v="0"/>
    <x v="0"/>
    <s v="Furniture"/>
    <s v="Product_C"/>
    <n v="4046"/>
    <n v="5"/>
    <n v="0.2"/>
    <n v="-246"/>
    <s v="COD"/>
    <n v="16184"/>
    <s v="Sep"/>
    <n v="2024"/>
    <s v="Q3"/>
    <n v="-1.5200197726149283E-2"/>
    <n v="4046"/>
    <s v="High"/>
    <s v="Repeat"/>
    <s v="Above Avg"/>
    <s v="Loss"/>
    <n v="122"/>
  </r>
  <r>
    <n v="260"/>
    <d v="2024-09-16T00:00:00"/>
    <n v="1038"/>
    <s v="Customer_48"/>
    <x v="1"/>
    <x v="2"/>
    <s v="Clothing"/>
    <s v="Product_C"/>
    <n v="2805"/>
    <n v="7"/>
    <n v="0.17"/>
    <n v="1777"/>
    <s v="Card"/>
    <n v="16297.05"/>
    <s v="Sep"/>
    <n v="2024"/>
    <s v="Q3"/>
    <n v="0.10903813880426212"/>
    <n v="3337.9500000000003"/>
    <s v="High"/>
    <s v="Repeat"/>
    <s v="Above Avg"/>
    <s v="Profit"/>
    <n v="118"/>
  </r>
  <r>
    <n v="261"/>
    <d v="2024-09-17T00:00:00"/>
    <n v="1005"/>
    <s v="Customer_183"/>
    <x v="1"/>
    <x v="0"/>
    <s v="Clothing"/>
    <s v="Product_B"/>
    <n v="1983"/>
    <n v="6"/>
    <n v="0.03"/>
    <n v="722"/>
    <s v="UPI"/>
    <n v="11541.06"/>
    <s v="Sep"/>
    <n v="2024"/>
    <s v="Q3"/>
    <n v="6.2559244991361285E-2"/>
    <n v="356.94"/>
    <s v="High"/>
    <s v="Repeat"/>
    <s v="Above Avg"/>
    <s v="Profit"/>
    <n v="180"/>
  </r>
  <r>
    <n v="262"/>
    <d v="2024-09-18T00:00:00"/>
    <n v="1009"/>
    <s v="Customer_127"/>
    <x v="1"/>
    <x v="1"/>
    <s v="Furniture"/>
    <s v="Product_C"/>
    <n v="1606"/>
    <n v="1"/>
    <n v="0.22"/>
    <n v="1195"/>
    <s v="COD"/>
    <n v="1252.68"/>
    <s v="Sep"/>
    <n v="2024"/>
    <s v="Q3"/>
    <n v="0.95395472107800872"/>
    <n v="353.32"/>
    <s v="Low"/>
    <s v="Repeat"/>
    <s v="Below Avg"/>
    <s v="Profit"/>
    <n v="468"/>
  </r>
  <r>
    <n v="263"/>
    <d v="2024-09-19T00:00:00"/>
    <n v="1040"/>
    <s v="Customer_23"/>
    <x v="1"/>
    <x v="0"/>
    <s v="Clothing"/>
    <s v="Product_D"/>
    <n v="4264"/>
    <n v="1"/>
    <n v="0.24"/>
    <n v="-20"/>
    <s v="UPI"/>
    <n v="3240.64"/>
    <s v="Sep"/>
    <n v="2024"/>
    <s v="Q3"/>
    <n v="-6.1716204206576485E-3"/>
    <n v="1023.36"/>
    <s v="Medium"/>
    <s v="Repeat"/>
    <s v="Below Avg"/>
    <s v="Loss"/>
    <n v="386"/>
  </r>
  <r>
    <n v="264"/>
    <d v="2024-09-20T00:00:00"/>
    <n v="1068"/>
    <s v="Customer_40"/>
    <x v="1"/>
    <x v="1"/>
    <s v="Furniture"/>
    <s v="Product_A"/>
    <n v="2397"/>
    <n v="7"/>
    <n v="0.01"/>
    <n v="-217"/>
    <s v="COD"/>
    <n v="16611.21"/>
    <s v="Sep"/>
    <n v="2024"/>
    <s v="Q3"/>
    <n v="-1.3063467381364754E-2"/>
    <n v="167.79"/>
    <s v="High"/>
    <s v="Repeat"/>
    <s v="Above Avg"/>
    <s v="Loss"/>
    <n v="113"/>
  </r>
  <r>
    <n v="265"/>
    <d v="2024-09-21T00:00:00"/>
    <n v="1087"/>
    <s v="Customer_64"/>
    <x v="1"/>
    <x v="2"/>
    <s v="Furniture"/>
    <s v="Product_B"/>
    <n v="1811"/>
    <n v="2"/>
    <n v="0.14000000000000001"/>
    <n v="1730"/>
    <s v="UPI"/>
    <n v="3114.92"/>
    <s v="Sep"/>
    <n v="2024"/>
    <s v="Q3"/>
    <n v="0.55539147072798012"/>
    <n v="507.08000000000004"/>
    <s v="Medium"/>
    <s v="Repeat"/>
    <s v="Below Avg"/>
    <s v="Profit"/>
    <n v="389"/>
  </r>
  <r>
    <n v="266"/>
    <d v="2024-09-22T00:00:00"/>
    <n v="1021"/>
    <s v="Customer_72"/>
    <x v="1"/>
    <x v="2"/>
    <s v="Electronics"/>
    <s v="Product_A"/>
    <n v="1107"/>
    <n v="9"/>
    <n v="0.13"/>
    <n v="655"/>
    <s v="Card"/>
    <n v="8667.81"/>
    <s v="Sep"/>
    <n v="2024"/>
    <s v="Q3"/>
    <n v="7.5566954051830865E-2"/>
    <n v="1295.19"/>
    <s v="High"/>
    <s v="Repeat"/>
    <s v="Below Avg"/>
    <s v="Profit"/>
    <n v="235"/>
  </r>
  <r>
    <n v="267"/>
    <d v="2024-09-23T00:00:00"/>
    <n v="1089"/>
    <s v="Customer_142"/>
    <x v="0"/>
    <x v="0"/>
    <s v="Electronics"/>
    <s v="Product_D"/>
    <n v="2696"/>
    <n v="9"/>
    <n v="0.02"/>
    <n v="445"/>
    <s v="Card"/>
    <n v="23778.720000000001"/>
    <s v="Sep"/>
    <n v="2024"/>
    <s v="Q3"/>
    <n v="1.8714211698527085E-2"/>
    <n v="485.28000000000003"/>
    <s v="High"/>
    <s v="Repeat"/>
    <s v="Above Avg"/>
    <s v="Profit"/>
    <n v="53"/>
  </r>
  <r>
    <n v="268"/>
    <d v="2024-09-24T00:00:00"/>
    <n v="1050"/>
    <s v="Customer_124"/>
    <x v="1"/>
    <x v="2"/>
    <s v="Furniture"/>
    <s v="Product_B"/>
    <n v="3486"/>
    <n v="4"/>
    <n v="0.05"/>
    <n v="1943"/>
    <s v="COD"/>
    <n v="13246.8"/>
    <s v="Sep"/>
    <n v="2024"/>
    <s v="Q3"/>
    <n v="0.14667693329709819"/>
    <n v="697.2"/>
    <s v="High"/>
    <s v="Repeat"/>
    <s v="Above Avg"/>
    <s v="Profit"/>
    <n v="158"/>
  </r>
  <r>
    <n v="269"/>
    <d v="2024-09-25T00:00:00"/>
    <n v="1036"/>
    <s v="Customer_110"/>
    <x v="1"/>
    <x v="2"/>
    <s v="Electronics"/>
    <s v="Product_A"/>
    <n v="1882"/>
    <n v="3"/>
    <n v="0.24"/>
    <n v="1096"/>
    <s v="COD"/>
    <n v="4290.96"/>
    <s v="Sep"/>
    <n v="2024"/>
    <s v="Q3"/>
    <n v="0.25542069839849357"/>
    <n v="1355.04"/>
    <s v="Medium"/>
    <s v="Repeat"/>
    <s v="Below Avg"/>
    <s v="Profit"/>
    <n v="342"/>
  </r>
  <r>
    <n v="270"/>
    <d v="2024-09-26T00:00:00"/>
    <n v="1044"/>
    <s v="Customer_78"/>
    <x v="1"/>
    <x v="3"/>
    <s v="Furniture"/>
    <s v="Product_C"/>
    <n v="4244"/>
    <n v="8"/>
    <n v="0.18"/>
    <n v="1997"/>
    <s v="UPI"/>
    <n v="27840.639999999999"/>
    <s v="Sep"/>
    <n v="2024"/>
    <s v="Q3"/>
    <n v="7.1729672881083201E-2"/>
    <n v="6111.36"/>
    <s v="High"/>
    <s v="Repeat"/>
    <s v="Above Avg"/>
    <s v="Profit"/>
    <n v="33"/>
  </r>
  <r>
    <n v="271"/>
    <d v="2024-09-27T00:00:00"/>
    <n v="1092"/>
    <s v="Customer_2"/>
    <x v="0"/>
    <x v="1"/>
    <s v="Clothing"/>
    <s v="Product_D"/>
    <n v="2461"/>
    <n v="4"/>
    <n v="7.0000000000000007E-2"/>
    <n v="1327"/>
    <s v="Card"/>
    <n v="9154.92"/>
    <s v="Sep"/>
    <n v="2024"/>
    <s v="Q3"/>
    <n v="0.14494938240858468"/>
    <n v="689.08"/>
    <s v="High"/>
    <s v="Repeat"/>
    <s v="Below Avg"/>
    <s v="Profit"/>
    <n v="228"/>
  </r>
  <r>
    <n v="272"/>
    <d v="2024-09-28T00:00:00"/>
    <n v="1099"/>
    <s v="Customer_122"/>
    <x v="1"/>
    <x v="0"/>
    <s v="Electronics"/>
    <s v="Product_B"/>
    <n v="4549"/>
    <n v="3"/>
    <n v="0.14000000000000001"/>
    <n v="1353"/>
    <s v="COD"/>
    <n v="11736.42"/>
    <s v="Sep"/>
    <n v="2024"/>
    <s v="Q3"/>
    <n v="0.11528217292837169"/>
    <n v="1910.5800000000002"/>
    <s v="High"/>
    <s v="Repeat"/>
    <s v="Above Avg"/>
    <s v="Profit"/>
    <n v="176"/>
  </r>
  <r>
    <n v="273"/>
    <d v="2024-09-29T00:00:00"/>
    <n v="1083"/>
    <s v="Customer_4"/>
    <x v="1"/>
    <x v="0"/>
    <s v="Furniture"/>
    <s v="Product_D"/>
    <n v="1134"/>
    <n v="3"/>
    <n v="0.26"/>
    <n v="1911"/>
    <s v="UPI"/>
    <n v="2517.48"/>
    <s v="Sep"/>
    <n v="2024"/>
    <s v="Q3"/>
    <n v="0.75909242575909242"/>
    <n v="884.52"/>
    <s v="Medium"/>
    <s v="Repeat"/>
    <s v="Below Avg"/>
    <s v="Profit"/>
    <n v="409"/>
  </r>
  <r>
    <n v="274"/>
    <d v="2024-09-30T00:00:00"/>
    <n v="1081"/>
    <s v="Customer_100"/>
    <x v="0"/>
    <x v="2"/>
    <s v="Electronics"/>
    <s v="Product_C"/>
    <n v="3921"/>
    <n v="3"/>
    <n v="0.03"/>
    <n v="-471"/>
    <s v="COD"/>
    <n v="11410.11"/>
    <s v="Sep"/>
    <n v="2024"/>
    <s v="Q3"/>
    <n v="-4.1279181357585508E-2"/>
    <n v="352.89"/>
    <s v="High"/>
    <s v="Repeat"/>
    <s v="Above Avg"/>
    <s v="Loss"/>
    <n v="182"/>
  </r>
  <r>
    <n v="275"/>
    <d v="2024-10-01T00:00:00"/>
    <n v="1061"/>
    <s v="Customer_9"/>
    <x v="0"/>
    <x v="3"/>
    <s v="Electronics"/>
    <s v="Product_C"/>
    <n v="3876"/>
    <n v="1"/>
    <n v="0.28999999999999998"/>
    <n v="71"/>
    <s v="UPI"/>
    <n v="2751.96"/>
    <s v="Oct"/>
    <n v="2024"/>
    <s v="Q4"/>
    <n v="2.5799793601651185E-2"/>
    <n v="1124.04"/>
    <s v="Medium"/>
    <s v="Repeat"/>
    <s v="Below Avg"/>
    <s v="Profit"/>
    <n v="401"/>
  </r>
  <r>
    <n v="276"/>
    <d v="2024-10-02T00:00:00"/>
    <n v="1014"/>
    <s v="Customer_16"/>
    <x v="1"/>
    <x v="2"/>
    <s v="Furniture"/>
    <s v="Product_B"/>
    <n v="4808"/>
    <n v="5"/>
    <n v="0.04"/>
    <n v="860"/>
    <s v="COD"/>
    <n v="23078.3999999999"/>
    <s v="Oct"/>
    <n v="2024"/>
    <s v="Q4"/>
    <n v="3.7264281752634659E-2"/>
    <n v="961.6"/>
    <s v="High"/>
    <s v="Repeat"/>
    <s v="Above Avg"/>
    <s v="Profit"/>
    <n v="58"/>
  </r>
  <r>
    <n v="277"/>
    <d v="2024-10-03T00:00:00"/>
    <n v="1078"/>
    <s v="Customer_96"/>
    <x v="0"/>
    <x v="0"/>
    <s v="Furniture"/>
    <s v="Product_B"/>
    <n v="1839"/>
    <n v="2"/>
    <n v="0.09"/>
    <n v="1136"/>
    <s v="COD"/>
    <n v="3346.98"/>
    <s v="Oct"/>
    <n v="2024"/>
    <s v="Q4"/>
    <n v="0.33941045360294952"/>
    <n v="331.02"/>
    <s v="Medium"/>
    <s v="Repeat"/>
    <s v="Below Avg"/>
    <s v="Profit"/>
    <n v="384"/>
  </r>
  <r>
    <n v="278"/>
    <d v="2024-10-04T00:00:00"/>
    <n v="1023"/>
    <s v="Customer_160"/>
    <x v="0"/>
    <x v="2"/>
    <s v="Furniture"/>
    <s v="Product_D"/>
    <n v="535"/>
    <n v="7"/>
    <n v="0.05"/>
    <n v="-213"/>
    <s v="COD"/>
    <n v="3557.75"/>
    <s v="Oct"/>
    <n v="2024"/>
    <s v="Q4"/>
    <n v="-5.9869299416766213E-2"/>
    <n v="187.25"/>
    <s v="Medium"/>
    <s v="Repeat"/>
    <s v="Below Avg"/>
    <s v="Loss"/>
    <n v="374"/>
  </r>
  <r>
    <n v="279"/>
    <d v="2024-10-05T00:00:00"/>
    <n v="1062"/>
    <s v="Customer_27"/>
    <x v="1"/>
    <x v="3"/>
    <s v="Electronics"/>
    <s v="Product_B"/>
    <n v="592"/>
    <n v="4"/>
    <n v="0.14000000000000001"/>
    <n v="549"/>
    <s v="COD"/>
    <n v="2036.48"/>
    <s v="Oct"/>
    <n v="2024"/>
    <s v="Q4"/>
    <n v="0.26958280955373981"/>
    <n v="331.52000000000004"/>
    <s v="Medium"/>
    <s v="Repeat"/>
    <s v="Below Avg"/>
    <s v="Profit"/>
    <n v="428"/>
  </r>
  <r>
    <n v="280"/>
    <d v="2024-10-06T00:00:00"/>
    <n v="1028"/>
    <s v="Customer_15"/>
    <x v="0"/>
    <x v="2"/>
    <s v="Electronics"/>
    <s v="Product_A"/>
    <n v="4041"/>
    <n v="2"/>
    <n v="0.09"/>
    <n v="-358"/>
    <s v="UPI"/>
    <n v="7354.62"/>
    <s v="Oct"/>
    <n v="2024"/>
    <s v="Q4"/>
    <n v="-4.8676886093367164E-2"/>
    <n v="727.38"/>
    <s v="High"/>
    <s v="Repeat"/>
    <s v="Below Avg"/>
    <s v="Loss"/>
    <n v="267"/>
  </r>
  <r>
    <n v="281"/>
    <d v="2024-10-07T00:00:00"/>
    <n v="1080"/>
    <s v="Customer_68"/>
    <x v="0"/>
    <x v="3"/>
    <s v="Furniture"/>
    <s v="Product_D"/>
    <n v="2216"/>
    <n v="8"/>
    <n v="0.3"/>
    <n v="618"/>
    <s v="COD"/>
    <n v="12409.5999999999"/>
    <s v="Oct"/>
    <n v="2024"/>
    <s v="Q4"/>
    <n v="4.9800154718927681E-2"/>
    <n v="5318.4"/>
    <s v="High"/>
    <s v="Repeat"/>
    <s v="Above Avg"/>
    <s v="Profit"/>
    <n v="164"/>
  </r>
  <r>
    <n v="282"/>
    <d v="2024-10-08T00:00:00"/>
    <n v="1024"/>
    <s v="Customer_25"/>
    <x v="0"/>
    <x v="3"/>
    <s v="Furniture"/>
    <s v="Product_A"/>
    <n v="2168"/>
    <n v="8"/>
    <n v="0"/>
    <n v="853"/>
    <s v="Card"/>
    <n v="17344"/>
    <s v="Oct"/>
    <n v="2024"/>
    <s v="Q4"/>
    <n v="4.9181273062730631E-2"/>
    <n v="0"/>
    <s v="High"/>
    <s v="Repeat"/>
    <s v="Above Avg"/>
    <s v="Profit"/>
    <n v="101"/>
  </r>
  <r>
    <n v="283"/>
    <d v="2024-10-09T00:00:00"/>
    <n v="1015"/>
    <s v="Customer_15"/>
    <x v="0"/>
    <x v="2"/>
    <s v="Clothing"/>
    <s v="Product_D"/>
    <n v="1828"/>
    <n v="1"/>
    <n v="0.1"/>
    <n v="892"/>
    <s v="COD"/>
    <n v="1645.2"/>
    <s v="Oct"/>
    <n v="2024"/>
    <s v="Q4"/>
    <n v="0.54218332117675661"/>
    <n v="182.8"/>
    <s v="Low"/>
    <s v="Repeat"/>
    <s v="Below Avg"/>
    <s v="Profit"/>
    <n v="450"/>
  </r>
  <r>
    <n v="284"/>
    <d v="2024-10-10T00:00:00"/>
    <n v="1049"/>
    <s v="Customer_12"/>
    <x v="1"/>
    <x v="0"/>
    <s v="Electronics"/>
    <s v="Product_B"/>
    <n v="2743"/>
    <n v="5"/>
    <n v="0.18"/>
    <n v="-288"/>
    <s v="COD"/>
    <n v="11246.3"/>
    <s v="Oct"/>
    <n v="2024"/>
    <s v="Q4"/>
    <n v="-2.5608422325564855E-2"/>
    <n v="2468.6999999999998"/>
    <s v="High"/>
    <s v="Repeat"/>
    <s v="Above Avg"/>
    <s v="Loss"/>
    <n v="187"/>
  </r>
  <r>
    <n v="285"/>
    <d v="2024-10-11T00:00:00"/>
    <n v="1080"/>
    <s v="Customer_71"/>
    <x v="1"/>
    <x v="3"/>
    <s v="Clothing"/>
    <s v="Product_C"/>
    <n v="3747"/>
    <n v="2"/>
    <n v="0.1"/>
    <n v="-334"/>
    <s v="Card"/>
    <n v="6744.6"/>
    <s v="Oct"/>
    <n v="2024"/>
    <s v="Q4"/>
    <n v="-4.9521098360169616E-2"/>
    <n v="749.40000000000009"/>
    <s v="High"/>
    <s v="Repeat"/>
    <s v="Below Avg"/>
    <s v="Loss"/>
    <n v="281"/>
  </r>
  <r>
    <n v="286"/>
    <d v="2024-10-12T00:00:00"/>
    <n v="1084"/>
    <s v="Customer_152"/>
    <x v="1"/>
    <x v="0"/>
    <s v="Electronics"/>
    <s v="Product_C"/>
    <n v="3612"/>
    <n v="9"/>
    <n v="0.14000000000000001"/>
    <n v="74"/>
    <s v="COD"/>
    <n v="27956.880000000001"/>
    <s v="Oct"/>
    <n v="2024"/>
    <s v="Q4"/>
    <n v="2.6469334203244425E-3"/>
    <n v="4551.1200000000008"/>
    <s v="High"/>
    <s v="Repeat"/>
    <s v="Above Avg"/>
    <s v="Profit"/>
    <n v="31"/>
  </r>
  <r>
    <n v="287"/>
    <d v="2024-10-13T00:00:00"/>
    <n v="1090"/>
    <s v="Customer_70"/>
    <x v="1"/>
    <x v="3"/>
    <s v="Electronics"/>
    <s v="Product_D"/>
    <n v="1459"/>
    <n v="2"/>
    <n v="0.13"/>
    <n v="-190"/>
    <s v="UPI"/>
    <n v="2538.66"/>
    <s v="Oct"/>
    <n v="2024"/>
    <s v="Q4"/>
    <n v="-7.4842633515319112E-2"/>
    <n v="379.34000000000003"/>
    <s v="Medium"/>
    <s v="Repeat"/>
    <s v="Below Avg"/>
    <s v="Loss"/>
    <n v="408"/>
  </r>
  <r>
    <n v="288"/>
    <d v="2024-10-14T00:00:00"/>
    <n v="1004"/>
    <s v="Customer_112"/>
    <x v="1"/>
    <x v="0"/>
    <s v="Electronics"/>
    <s v="Product_A"/>
    <n v="2607"/>
    <n v="7"/>
    <n v="0.03"/>
    <n v="431"/>
    <s v="UPI"/>
    <n v="17701.53"/>
    <s v="Oct"/>
    <n v="2024"/>
    <s v="Q4"/>
    <n v="2.4348177812878322E-2"/>
    <n v="547.47"/>
    <s v="High"/>
    <s v="Repeat"/>
    <s v="Above Avg"/>
    <s v="Profit"/>
    <n v="93"/>
  </r>
  <r>
    <n v="289"/>
    <d v="2024-10-15T00:00:00"/>
    <n v="1021"/>
    <s v="Customer_169"/>
    <x v="0"/>
    <x v="0"/>
    <s v="Furniture"/>
    <s v="Product_C"/>
    <n v="3261"/>
    <n v="2"/>
    <n v="0.19"/>
    <n v="1891"/>
    <s v="COD"/>
    <n v="5282.82"/>
    <s v="Oct"/>
    <n v="2024"/>
    <s v="Q4"/>
    <n v="0.35795276007889726"/>
    <n v="1239.18"/>
    <s v="High"/>
    <s v="Repeat"/>
    <s v="Below Avg"/>
    <s v="Profit"/>
    <n v="317"/>
  </r>
  <r>
    <n v="290"/>
    <d v="2024-10-16T00:00:00"/>
    <n v="1032"/>
    <s v="Customer_60"/>
    <x v="1"/>
    <x v="2"/>
    <s v="Furniture"/>
    <s v="Product_D"/>
    <n v="3495"/>
    <n v="2"/>
    <n v="0.25"/>
    <n v="1055"/>
    <s v="UPI"/>
    <n v="5242.5"/>
    <s v="Oct"/>
    <n v="2024"/>
    <s v="Q4"/>
    <n v="0.20123986647591799"/>
    <n v="1747.5"/>
    <s v="High"/>
    <s v="Repeat"/>
    <s v="Below Avg"/>
    <s v="Profit"/>
    <n v="318"/>
  </r>
  <r>
    <n v="291"/>
    <d v="2024-10-17T00:00:00"/>
    <n v="1039"/>
    <s v="Customer_31"/>
    <x v="0"/>
    <x v="2"/>
    <s v="Furniture"/>
    <s v="Product_D"/>
    <n v="3159"/>
    <n v="1"/>
    <n v="0.16"/>
    <n v="528"/>
    <s v="COD"/>
    <n v="2653.56"/>
    <s v="Oct"/>
    <n v="2024"/>
    <s v="Q4"/>
    <n v="0.19897797675575454"/>
    <n v="505.44"/>
    <s v="Medium"/>
    <s v="Repeat"/>
    <s v="Below Avg"/>
    <s v="Profit"/>
    <n v="406"/>
  </r>
  <r>
    <n v="292"/>
    <d v="2024-10-18T00:00:00"/>
    <n v="1001"/>
    <s v="Customer_149"/>
    <x v="1"/>
    <x v="0"/>
    <s v="Furniture"/>
    <s v="Product_C"/>
    <n v="2792"/>
    <n v="1"/>
    <n v="0.04"/>
    <n v="1424"/>
    <s v="Card"/>
    <n v="2680.3199999999902"/>
    <s v="Oct"/>
    <n v="2024"/>
    <s v="Q4"/>
    <n v="0.53127984718242793"/>
    <n v="111.68"/>
    <s v="Medium"/>
    <s v="Repeat"/>
    <s v="Below Avg"/>
    <s v="Profit"/>
    <n v="404"/>
  </r>
  <r>
    <n v="293"/>
    <d v="2024-10-19T00:00:00"/>
    <n v="1098"/>
    <s v="Customer_60"/>
    <x v="1"/>
    <x v="2"/>
    <s v="Furniture"/>
    <s v="Product_C"/>
    <n v="462"/>
    <n v="9"/>
    <n v="0.14000000000000001"/>
    <n v="448"/>
    <s v="UPI"/>
    <n v="3575.88"/>
    <s v="Oct"/>
    <n v="2024"/>
    <s v="Q4"/>
    <n v="0.12528384621407876"/>
    <n v="582.12"/>
    <s v="Medium"/>
    <s v="Repeat"/>
    <s v="Below Avg"/>
    <s v="Profit"/>
    <n v="372"/>
  </r>
  <r>
    <n v="294"/>
    <d v="2024-10-20T00:00:00"/>
    <n v="1082"/>
    <s v="Customer_75"/>
    <x v="1"/>
    <x v="3"/>
    <s v="Electronics"/>
    <s v="Product_A"/>
    <n v="373"/>
    <n v="2"/>
    <n v="0"/>
    <n v="509"/>
    <s v="COD"/>
    <n v="746"/>
    <s v="Oct"/>
    <n v="2024"/>
    <s v="Q4"/>
    <n v="0.68230563002680966"/>
    <n v="0"/>
    <s v="Low"/>
    <s v="Repeat"/>
    <s v="Below Avg"/>
    <s v="Profit"/>
    <n v="483"/>
  </r>
  <r>
    <n v="295"/>
    <d v="2024-10-21T00:00:00"/>
    <n v="1090"/>
    <s v="Customer_14"/>
    <x v="1"/>
    <x v="0"/>
    <s v="Clothing"/>
    <s v="Product_B"/>
    <n v="4106"/>
    <n v="3"/>
    <n v="0.27"/>
    <n v="1883"/>
    <s v="UPI"/>
    <n v="8992.14"/>
    <s v="Oct"/>
    <n v="2024"/>
    <s v="Q4"/>
    <n v="0.20940510267856152"/>
    <n v="3325.86"/>
    <s v="High"/>
    <s v="Repeat"/>
    <s v="Below Avg"/>
    <s v="Profit"/>
    <n v="231"/>
  </r>
  <r>
    <n v="296"/>
    <d v="2024-10-22T00:00:00"/>
    <n v="1035"/>
    <s v="Customer_102"/>
    <x v="1"/>
    <x v="1"/>
    <s v="Clothing"/>
    <s v="Product_A"/>
    <n v="3188"/>
    <n v="9"/>
    <n v="7.0000000000000007E-2"/>
    <n v="956"/>
    <s v="COD"/>
    <n v="26683.559999999899"/>
    <s v="Oct"/>
    <n v="2024"/>
    <s v="Q4"/>
    <n v="3.5827303403294146E-2"/>
    <n v="2008.4400000000003"/>
    <s v="High"/>
    <s v="Repeat"/>
    <s v="Above Avg"/>
    <s v="Profit"/>
    <n v="35"/>
  </r>
  <r>
    <n v="297"/>
    <d v="2024-10-23T00:00:00"/>
    <n v="1058"/>
    <s v="Customer_82"/>
    <x v="0"/>
    <x v="0"/>
    <s v="Clothing"/>
    <s v="Product_D"/>
    <n v="3427"/>
    <n v="6"/>
    <n v="0.27"/>
    <n v="803"/>
    <s v="Card"/>
    <n v="15010.26"/>
    <s v="Oct"/>
    <n v="2024"/>
    <s v="Q4"/>
    <n v="5.3496741562104856E-2"/>
    <n v="5551.7400000000007"/>
    <s v="High"/>
    <s v="Repeat"/>
    <s v="Above Avg"/>
    <s v="Profit"/>
    <n v="138"/>
  </r>
  <r>
    <n v="298"/>
    <d v="2024-10-24T00:00:00"/>
    <n v="1038"/>
    <s v="Customer_14"/>
    <x v="0"/>
    <x v="3"/>
    <s v="Clothing"/>
    <s v="Product_D"/>
    <n v="227"/>
    <n v="6"/>
    <n v="0.18"/>
    <n v="1807"/>
    <s v="COD"/>
    <n v="1116.8399999999999"/>
    <s v="Oct"/>
    <n v="2024"/>
    <s v="Q4"/>
    <n v="1.6179578095340426"/>
    <n v="245.16"/>
    <s v="Low"/>
    <s v="Repeat"/>
    <s v="Below Avg"/>
    <s v="Profit"/>
    <n v="475"/>
  </r>
  <r>
    <n v="299"/>
    <d v="2024-10-25T00:00:00"/>
    <n v="1001"/>
    <s v="Customer_152"/>
    <x v="1"/>
    <x v="3"/>
    <s v="Furniture"/>
    <s v="Product_B"/>
    <n v="3346"/>
    <n v="9"/>
    <n v="0.28999999999999998"/>
    <n v="784"/>
    <s v="UPI"/>
    <n v="21380.94"/>
    <s v="Oct"/>
    <n v="2024"/>
    <s v="Q4"/>
    <n v="3.6668172680901778E-2"/>
    <n v="8733.06"/>
    <s v="High"/>
    <s v="Repeat"/>
    <s v="Above Avg"/>
    <s v="Profit"/>
    <n v="72"/>
  </r>
  <r>
    <n v="300"/>
    <d v="2024-10-26T00:00:00"/>
    <n v="1052"/>
    <s v="Customer_25"/>
    <x v="1"/>
    <x v="3"/>
    <s v="Clothing"/>
    <s v="Product_A"/>
    <n v="1300"/>
    <n v="7"/>
    <n v="0.25"/>
    <n v="-190"/>
    <s v="UPI"/>
    <n v="6825"/>
    <s v="Oct"/>
    <n v="2024"/>
    <s v="Q4"/>
    <n v="-2.7838827838827841E-2"/>
    <n v="2275"/>
    <s v="High"/>
    <s v="Repeat"/>
    <s v="Below Avg"/>
    <s v="Loss"/>
    <n v="276"/>
  </r>
  <r>
    <n v="301"/>
    <d v="2024-10-27T00:00:00"/>
    <n v="1017"/>
    <s v="Customer_109"/>
    <x v="1"/>
    <x v="3"/>
    <s v="Clothing"/>
    <s v="Product_A"/>
    <n v="3165"/>
    <n v="3"/>
    <n v="0"/>
    <n v="286"/>
    <s v="Card"/>
    <n v="9495"/>
    <s v="Oct"/>
    <n v="2024"/>
    <s v="Q4"/>
    <n v="3.0121116377040548E-2"/>
    <n v="0"/>
    <s v="High"/>
    <s v="Repeat"/>
    <s v="Below Avg"/>
    <s v="Profit"/>
    <n v="216"/>
  </r>
  <r>
    <n v="302"/>
    <d v="2024-10-28T00:00:00"/>
    <n v="1045"/>
    <s v="Customer_108"/>
    <x v="1"/>
    <x v="0"/>
    <s v="Clothing"/>
    <s v="Product_A"/>
    <n v="4359"/>
    <n v="9"/>
    <n v="0"/>
    <n v="198"/>
    <s v="Card"/>
    <n v="39231"/>
    <s v="Oct"/>
    <n v="2024"/>
    <s v="Q4"/>
    <n v="5.0470291351227348E-3"/>
    <n v="0"/>
    <s v="High"/>
    <s v="Repeat"/>
    <s v="Above Avg"/>
    <s v="Profit"/>
    <n v="3"/>
  </r>
  <r>
    <n v="303"/>
    <d v="2024-10-29T00:00:00"/>
    <n v="1022"/>
    <s v="Customer_156"/>
    <x v="0"/>
    <x v="2"/>
    <s v="Electronics"/>
    <s v="Product_C"/>
    <n v="4615"/>
    <n v="4"/>
    <n v="0.22"/>
    <n v="247"/>
    <s v="COD"/>
    <n v="14398.8"/>
    <s v="Oct"/>
    <n v="2024"/>
    <s v="Q4"/>
    <n v="1.7154207295052366E-2"/>
    <n v="4061.2"/>
    <s v="High"/>
    <s v="Repeat"/>
    <s v="Above Avg"/>
    <s v="Profit"/>
    <n v="145"/>
  </r>
  <r>
    <n v="304"/>
    <d v="2024-10-30T00:00:00"/>
    <n v="1053"/>
    <s v="Customer_88"/>
    <x v="0"/>
    <x v="3"/>
    <s v="Clothing"/>
    <s v="Product_D"/>
    <n v="3662"/>
    <n v="3"/>
    <n v="0.16"/>
    <n v="1555"/>
    <s v="COD"/>
    <n v="9228.24"/>
    <s v="Oct"/>
    <n v="2024"/>
    <s v="Q4"/>
    <n v="0.16850450356731078"/>
    <n v="1757.76"/>
    <s v="High"/>
    <s v="New"/>
    <s v="Below Avg"/>
    <s v="Profit"/>
    <n v="226"/>
  </r>
  <r>
    <n v="305"/>
    <d v="2024-10-31T00:00:00"/>
    <n v="1089"/>
    <s v="Customer_18"/>
    <x v="1"/>
    <x v="0"/>
    <s v="Electronics"/>
    <s v="Product_A"/>
    <n v="170"/>
    <n v="9"/>
    <n v="0.23"/>
    <n v="291"/>
    <s v="COD"/>
    <n v="1178.0999999999999"/>
    <s v="Oct"/>
    <n v="2024"/>
    <s v="Q4"/>
    <n v="0.24700789406671761"/>
    <n v="351.90000000000003"/>
    <s v="Low"/>
    <s v="Repeat"/>
    <s v="Below Avg"/>
    <s v="Profit"/>
    <n v="470"/>
  </r>
  <r>
    <n v="306"/>
    <d v="2024-11-01T00:00:00"/>
    <n v="1074"/>
    <s v="Customer_57"/>
    <x v="1"/>
    <x v="0"/>
    <s v="Electronics"/>
    <s v="Product_C"/>
    <n v="4005"/>
    <n v="3"/>
    <n v="0.18"/>
    <n v="940"/>
    <s v="COD"/>
    <n v="9852.2999999999993"/>
    <s v="Nov"/>
    <n v="2024"/>
    <s v="Q4"/>
    <n v="9.5409193792312469E-2"/>
    <n v="2162.6999999999998"/>
    <s v="High"/>
    <s v="Repeat"/>
    <s v="Below Avg"/>
    <s v="Profit"/>
    <n v="206"/>
  </r>
  <r>
    <n v="307"/>
    <d v="2024-11-02T00:00:00"/>
    <n v="1000"/>
    <s v="Customer_98"/>
    <x v="0"/>
    <x v="0"/>
    <s v="Electronics"/>
    <s v="Product_C"/>
    <n v="568"/>
    <n v="1"/>
    <n v="7.0000000000000007E-2"/>
    <n v="1894"/>
    <s v="UPI"/>
    <n v="528.24"/>
    <s v="Nov"/>
    <n v="2024"/>
    <s v="Q4"/>
    <n v="3.585491443283356"/>
    <n v="39.760000000000005"/>
    <s v="Low"/>
    <s v="Repeat"/>
    <s v="Below Avg"/>
    <s v="Profit"/>
    <n v="490"/>
  </r>
  <r>
    <n v="308"/>
    <d v="2024-11-03T00:00:00"/>
    <n v="1035"/>
    <s v="Customer_170"/>
    <x v="0"/>
    <x v="3"/>
    <s v="Clothing"/>
    <s v="Product_A"/>
    <n v="3660"/>
    <n v="3"/>
    <n v="0.24"/>
    <n v="1824"/>
    <s v="COD"/>
    <n v="8344.7999999999993"/>
    <s v="Nov"/>
    <n v="2024"/>
    <s v="Q4"/>
    <n v="0.21857923497267762"/>
    <n v="2635.2"/>
    <s v="High"/>
    <s v="Repeat"/>
    <s v="Below Avg"/>
    <s v="Profit"/>
    <n v="241"/>
  </r>
  <r>
    <n v="309"/>
    <d v="2024-11-04T00:00:00"/>
    <n v="1083"/>
    <s v="Customer_67"/>
    <x v="1"/>
    <x v="1"/>
    <s v="Furniture"/>
    <s v="Product_D"/>
    <n v="2023"/>
    <n v="3"/>
    <n v="0.01"/>
    <n v="356"/>
    <s v="Card"/>
    <n v="6008.31"/>
    <s v="Nov"/>
    <n v="2024"/>
    <s v="Q4"/>
    <n v="5.9251270323934679E-2"/>
    <n v="60.69"/>
    <s v="High"/>
    <s v="Repeat"/>
    <s v="Below Avg"/>
    <s v="Profit"/>
    <n v="297"/>
  </r>
  <r>
    <n v="310"/>
    <d v="2024-11-05T00:00:00"/>
    <n v="1094"/>
    <s v="Customer_140"/>
    <x v="0"/>
    <x v="3"/>
    <s v="Clothing"/>
    <s v="Product_B"/>
    <n v="3079"/>
    <n v="5"/>
    <n v="0.24"/>
    <n v="1522"/>
    <s v="UPI"/>
    <n v="11700.2"/>
    <s v="Nov"/>
    <n v="2024"/>
    <s v="Q4"/>
    <n v="0.13008324644023178"/>
    <n v="3694.7999999999997"/>
    <s v="High"/>
    <s v="Repeat"/>
    <s v="Above Avg"/>
    <s v="Profit"/>
    <n v="178"/>
  </r>
  <r>
    <n v="311"/>
    <d v="2024-11-06T00:00:00"/>
    <n v="1071"/>
    <s v="Customer_164"/>
    <x v="1"/>
    <x v="0"/>
    <s v="Furniture"/>
    <s v="Product_B"/>
    <n v="4122"/>
    <n v="9"/>
    <n v="0.2"/>
    <n v="-297"/>
    <s v="Card"/>
    <n v="29678.400000000001"/>
    <s v="Nov"/>
    <n v="2024"/>
    <s v="Q4"/>
    <n v="-1.0007278020378457E-2"/>
    <n v="7419.6"/>
    <s v="High"/>
    <s v="Repeat"/>
    <s v="Above Avg"/>
    <s v="Loss"/>
    <n v="25"/>
  </r>
  <r>
    <n v="312"/>
    <d v="2024-11-07T00:00:00"/>
    <n v="1039"/>
    <s v="Customer_69"/>
    <x v="1"/>
    <x v="3"/>
    <s v="Clothing"/>
    <s v="Product_A"/>
    <n v="4319"/>
    <n v="7"/>
    <n v="0.2"/>
    <n v="1668"/>
    <s v="UPI"/>
    <n v="24186.400000000001"/>
    <s v="Nov"/>
    <n v="2024"/>
    <s v="Q4"/>
    <n v="6.896437667449476E-2"/>
    <n v="6046.6"/>
    <s v="High"/>
    <s v="Repeat"/>
    <s v="Above Avg"/>
    <s v="Profit"/>
    <n v="50"/>
  </r>
  <r>
    <n v="313"/>
    <d v="2024-11-08T00:00:00"/>
    <n v="1087"/>
    <s v="Customer_83"/>
    <x v="0"/>
    <x v="2"/>
    <s v="Clothing"/>
    <s v="Product_D"/>
    <n v="4618"/>
    <n v="3"/>
    <n v="0.01"/>
    <n v="1802"/>
    <s v="COD"/>
    <n v="13715.46"/>
    <s v="Nov"/>
    <n v="2024"/>
    <s v="Q4"/>
    <n v="0.13138458352836874"/>
    <n v="138.54"/>
    <s v="High"/>
    <s v="Repeat"/>
    <s v="Above Avg"/>
    <s v="Profit"/>
    <n v="150"/>
  </r>
  <r>
    <n v="314"/>
    <d v="2024-11-09T00:00:00"/>
    <n v="1083"/>
    <s v="Customer_76"/>
    <x v="1"/>
    <x v="1"/>
    <s v="Furniture"/>
    <s v="Product_B"/>
    <n v="666"/>
    <n v="3"/>
    <n v="0.06"/>
    <n v="-107"/>
    <s v="UPI"/>
    <n v="1878.12"/>
    <s v="Nov"/>
    <n v="2024"/>
    <s v="Q4"/>
    <n v="-5.6971865482503783E-2"/>
    <n v="119.88"/>
    <s v="Low"/>
    <s v="Repeat"/>
    <s v="Below Avg"/>
    <s v="Loss"/>
    <n v="437"/>
  </r>
  <r>
    <n v="315"/>
    <d v="2024-11-10T00:00:00"/>
    <n v="1078"/>
    <s v="Customer_91"/>
    <x v="1"/>
    <x v="1"/>
    <s v="Electronics"/>
    <s v="Product_D"/>
    <n v="3227"/>
    <n v="4"/>
    <n v="0.15"/>
    <n v="200"/>
    <s v="COD"/>
    <n v="10971.8"/>
    <s v="Nov"/>
    <n v="2024"/>
    <s v="Q4"/>
    <n v="1.8228549554311965E-2"/>
    <n v="1936.1999999999998"/>
    <s v="High"/>
    <s v="Repeat"/>
    <s v="Above Avg"/>
    <s v="Profit"/>
    <n v="193"/>
  </r>
  <r>
    <n v="316"/>
    <d v="2024-11-11T00:00:00"/>
    <n v="1029"/>
    <s v="Customer_17"/>
    <x v="1"/>
    <x v="3"/>
    <s v="Electronics"/>
    <s v="Product_B"/>
    <n v="4116"/>
    <n v="7"/>
    <n v="0.13"/>
    <n v="1791"/>
    <s v="UPI"/>
    <n v="25066.44"/>
    <s v="Nov"/>
    <n v="2024"/>
    <s v="Q4"/>
    <n v="7.1450114176564369E-2"/>
    <n v="3745.56"/>
    <s v="High"/>
    <s v="Repeat"/>
    <s v="Above Avg"/>
    <s v="Profit"/>
    <n v="41"/>
  </r>
  <r>
    <n v="317"/>
    <d v="2024-11-12T00:00:00"/>
    <n v="1019"/>
    <s v="Customer_171"/>
    <x v="1"/>
    <x v="1"/>
    <s v="Electronics"/>
    <s v="Product_C"/>
    <n v="1265"/>
    <n v="4"/>
    <n v="0.01"/>
    <n v="458"/>
    <s v="Card"/>
    <n v="5009.3999999999996"/>
    <s v="Nov"/>
    <n v="2024"/>
    <s v="Q4"/>
    <n v="9.1428115143530164E-2"/>
    <n v="50.6"/>
    <s v="High"/>
    <s v="Repeat"/>
    <s v="Below Avg"/>
    <s v="Profit"/>
    <n v="322"/>
  </r>
  <r>
    <n v="318"/>
    <d v="2024-11-13T00:00:00"/>
    <n v="1037"/>
    <s v="Customer_92"/>
    <x v="1"/>
    <x v="1"/>
    <s v="Furniture"/>
    <s v="Product_D"/>
    <n v="4336"/>
    <n v="9"/>
    <n v="0.1"/>
    <n v="-99"/>
    <s v="COD"/>
    <n v="35121.599999999999"/>
    <s v="Nov"/>
    <n v="2024"/>
    <s v="Q4"/>
    <n v="-2.8187781877818778E-3"/>
    <n v="3902.4"/>
    <s v="High"/>
    <s v="Repeat"/>
    <s v="Above Avg"/>
    <s v="Loss"/>
    <n v="10"/>
  </r>
  <r>
    <n v="319"/>
    <d v="2024-11-14T00:00:00"/>
    <n v="1001"/>
    <s v="Customer_40"/>
    <x v="1"/>
    <x v="0"/>
    <s v="Clothing"/>
    <s v="Product_B"/>
    <n v="1915"/>
    <n v="3"/>
    <n v="0.28999999999999998"/>
    <n v="1599"/>
    <s v="Card"/>
    <n v="4078.95"/>
    <s v="Nov"/>
    <n v="2024"/>
    <s v="Q4"/>
    <n v="0.39201265031441918"/>
    <n v="1666.05"/>
    <s v="Medium"/>
    <s v="Repeat"/>
    <s v="Below Avg"/>
    <s v="Profit"/>
    <n v="349"/>
  </r>
  <r>
    <n v="320"/>
    <d v="2024-11-15T00:00:00"/>
    <n v="1005"/>
    <s v="Customer_22"/>
    <x v="1"/>
    <x v="0"/>
    <s v="Clothing"/>
    <s v="Product_A"/>
    <n v="4067"/>
    <n v="7"/>
    <n v="0.09"/>
    <n v="1720"/>
    <s v="UPI"/>
    <n v="25906.79"/>
    <s v="Nov"/>
    <n v="2024"/>
    <s v="Q4"/>
    <n v="6.6391860975443112E-2"/>
    <n v="2562.21"/>
    <s v="High"/>
    <s v="Repeat"/>
    <s v="Above Avg"/>
    <s v="Profit"/>
    <n v="40"/>
  </r>
  <r>
    <n v="321"/>
    <d v="2024-11-16T00:00:00"/>
    <n v="1081"/>
    <s v="Customer_192"/>
    <x v="1"/>
    <x v="1"/>
    <s v="Furniture"/>
    <s v="Product_D"/>
    <n v="240"/>
    <n v="9"/>
    <n v="0.19"/>
    <n v="271"/>
    <s v="Card"/>
    <n v="1749.6"/>
    <s v="Nov"/>
    <n v="2024"/>
    <s v="Q4"/>
    <n v="0.15489254686785553"/>
    <n v="410.4"/>
    <s v="Low"/>
    <s v="Repeat"/>
    <s v="Below Avg"/>
    <s v="Profit"/>
    <n v="443"/>
  </r>
  <r>
    <n v="322"/>
    <d v="2024-11-17T00:00:00"/>
    <n v="1035"/>
    <s v="Customer_138"/>
    <x v="0"/>
    <x v="3"/>
    <s v="Electronics"/>
    <s v="Product_D"/>
    <n v="3410"/>
    <n v="5"/>
    <n v="0.2"/>
    <n v="1549"/>
    <s v="Card"/>
    <n v="13640"/>
    <s v="Nov"/>
    <n v="2024"/>
    <s v="Q4"/>
    <n v="0.11356304985337243"/>
    <n v="3410"/>
    <s v="High"/>
    <s v="Repeat"/>
    <s v="Above Avg"/>
    <s v="Profit"/>
    <n v="151"/>
  </r>
  <r>
    <n v="323"/>
    <d v="2024-11-18T00:00:00"/>
    <n v="1077"/>
    <s v="Customer_105"/>
    <x v="0"/>
    <x v="1"/>
    <s v="Clothing"/>
    <s v="Product_D"/>
    <n v="601"/>
    <n v="4"/>
    <n v="0.19"/>
    <n v="-310"/>
    <s v="COD"/>
    <n v="1947.24"/>
    <s v="Nov"/>
    <n v="2024"/>
    <s v="Q4"/>
    <n v="-0.15919968776319304"/>
    <n v="456.76"/>
    <s v="Low"/>
    <s v="Repeat"/>
    <s v="Below Avg"/>
    <s v="Loss"/>
    <n v="433"/>
  </r>
  <r>
    <n v="324"/>
    <d v="2024-11-19T00:00:00"/>
    <n v="1025"/>
    <s v="Customer_134"/>
    <x v="1"/>
    <x v="0"/>
    <s v="Furniture"/>
    <s v="Product_B"/>
    <n v="1554"/>
    <n v="2"/>
    <n v="0.09"/>
    <n v="1816"/>
    <s v="COD"/>
    <n v="2828.28"/>
    <s v="Nov"/>
    <n v="2024"/>
    <s v="Q4"/>
    <n v="0.64208635637207057"/>
    <n v="279.71999999999997"/>
    <s v="Medium"/>
    <s v="Repeat"/>
    <s v="Below Avg"/>
    <s v="Profit"/>
    <n v="398"/>
  </r>
  <r>
    <n v="325"/>
    <d v="2024-11-20T00:00:00"/>
    <n v="1097"/>
    <s v="Customer_17"/>
    <x v="0"/>
    <x v="0"/>
    <s v="Furniture"/>
    <s v="Product_C"/>
    <n v="4379"/>
    <n v="5"/>
    <n v="0.17"/>
    <n v="884"/>
    <s v="UPI"/>
    <n v="18172.849999999999"/>
    <s v="Nov"/>
    <n v="2024"/>
    <s v="Q4"/>
    <n v="4.8643993649867802E-2"/>
    <n v="3722.15"/>
    <s v="High"/>
    <s v="Repeat"/>
    <s v="Above Avg"/>
    <s v="Profit"/>
    <n v="90"/>
  </r>
  <r>
    <n v="326"/>
    <d v="2024-11-21T00:00:00"/>
    <n v="1093"/>
    <s v="Customer_76"/>
    <x v="1"/>
    <x v="1"/>
    <s v="Clothing"/>
    <s v="Product_C"/>
    <n v="635"/>
    <n v="3"/>
    <n v="0.21"/>
    <n v="895"/>
    <s v="Card"/>
    <n v="1504.95"/>
    <s v="Nov"/>
    <n v="2024"/>
    <s v="Q4"/>
    <n v="0.59470414299478391"/>
    <n v="400.05"/>
    <s v="Low"/>
    <s v="Repeat"/>
    <s v="Below Avg"/>
    <s v="Profit"/>
    <n v="457"/>
  </r>
  <r>
    <n v="327"/>
    <d v="2024-11-22T00:00:00"/>
    <n v="1070"/>
    <s v="Customer_191"/>
    <x v="0"/>
    <x v="1"/>
    <s v="Furniture"/>
    <s v="Product_B"/>
    <n v="2260"/>
    <n v="3"/>
    <n v="0.11"/>
    <n v="1691"/>
    <s v="UPI"/>
    <n v="6034.2"/>
    <s v="Nov"/>
    <n v="2024"/>
    <s v="Q4"/>
    <n v="0.28023598820058998"/>
    <n v="745.8"/>
    <s v="High"/>
    <s v="Repeat"/>
    <s v="Below Avg"/>
    <s v="Profit"/>
    <n v="295"/>
  </r>
  <r>
    <n v="328"/>
    <d v="2024-11-23T00:00:00"/>
    <n v="1058"/>
    <s v="Customer_198"/>
    <x v="0"/>
    <x v="2"/>
    <s v="Furniture"/>
    <s v="Product_C"/>
    <n v="4341"/>
    <n v="7"/>
    <n v="0.08"/>
    <n v="-164"/>
    <s v="COD"/>
    <n v="27956.04"/>
    <s v="Nov"/>
    <n v="2024"/>
    <s v="Q4"/>
    <n v="-5.8663530314021581E-3"/>
    <n v="2430.96"/>
    <s v="High"/>
    <s v="Repeat"/>
    <s v="Above Avg"/>
    <s v="Loss"/>
    <n v="32"/>
  </r>
  <r>
    <n v="329"/>
    <d v="2024-11-24T00:00:00"/>
    <n v="1029"/>
    <s v="Customer_178"/>
    <x v="0"/>
    <x v="2"/>
    <s v="Electronics"/>
    <s v="Product_C"/>
    <n v="2929"/>
    <n v="6"/>
    <n v="0.08"/>
    <n v="122"/>
    <s v="COD"/>
    <n v="16168.08"/>
    <s v="Nov"/>
    <n v="2024"/>
    <s v="Q4"/>
    <n v="7.5457320844528235E-3"/>
    <n v="1405.92"/>
    <s v="High"/>
    <s v="Repeat"/>
    <s v="Above Avg"/>
    <s v="Profit"/>
    <n v="123"/>
  </r>
  <r>
    <n v="330"/>
    <d v="2024-11-25T00:00:00"/>
    <n v="1081"/>
    <s v="Customer_80"/>
    <x v="1"/>
    <x v="3"/>
    <s v="Furniture"/>
    <s v="Product_A"/>
    <n v="4483"/>
    <n v="3"/>
    <n v="0.28000000000000003"/>
    <n v="1527"/>
    <s v="Card"/>
    <n v="9683.2799999999897"/>
    <s v="Nov"/>
    <n v="2024"/>
    <s v="Q4"/>
    <n v="0.15769450021067258"/>
    <n v="3765.7200000000003"/>
    <s v="High"/>
    <s v="Repeat"/>
    <s v="Below Avg"/>
    <s v="Profit"/>
    <n v="209"/>
  </r>
  <r>
    <n v="331"/>
    <d v="2024-11-26T00:00:00"/>
    <n v="1021"/>
    <s v="Customer_196"/>
    <x v="1"/>
    <x v="0"/>
    <s v="Electronics"/>
    <s v="Product_C"/>
    <n v="1725"/>
    <n v="9"/>
    <n v="0.19"/>
    <n v="508"/>
    <s v="COD"/>
    <n v="12575.25"/>
    <s v="Nov"/>
    <n v="2024"/>
    <s v="Q4"/>
    <n v="4.0396811196596487E-2"/>
    <n v="2949.75"/>
    <s v="High"/>
    <s v="Repeat"/>
    <s v="Above Avg"/>
    <s v="Profit"/>
    <n v="162"/>
  </r>
  <r>
    <n v="332"/>
    <d v="2024-11-27T00:00:00"/>
    <n v="1016"/>
    <s v="Customer_153"/>
    <x v="0"/>
    <x v="0"/>
    <s v="Furniture"/>
    <s v="Product_B"/>
    <n v="4547"/>
    <n v="7"/>
    <n v="0.23"/>
    <n v="695"/>
    <s v="UPI"/>
    <n v="24508.33"/>
    <s v="Nov"/>
    <n v="2024"/>
    <s v="Q4"/>
    <n v="2.8357705318967058E-2"/>
    <n v="7320.67"/>
    <s v="High"/>
    <s v="Repeat"/>
    <s v="Above Avg"/>
    <s v="Profit"/>
    <n v="47"/>
  </r>
  <r>
    <n v="333"/>
    <d v="2024-11-28T00:00:00"/>
    <n v="1030"/>
    <s v="Customer_33"/>
    <x v="0"/>
    <x v="0"/>
    <s v="Electronics"/>
    <s v="Product_B"/>
    <n v="2252"/>
    <n v="8"/>
    <n v="0.17"/>
    <n v="1739"/>
    <s v="Card"/>
    <n v="14953.279999999901"/>
    <s v="Nov"/>
    <n v="2024"/>
    <s v="Q4"/>
    <n v="0.11629555522266764"/>
    <n v="3062.7200000000003"/>
    <s v="High"/>
    <s v="Repeat"/>
    <s v="Above Avg"/>
    <s v="Profit"/>
    <n v="140"/>
  </r>
  <r>
    <n v="334"/>
    <d v="2024-11-29T00:00:00"/>
    <n v="1055"/>
    <s v="Customer_1"/>
    <x v="1"/>
    <x v="2"/>
    <s v="Clothing"/>
    <s v="Product_B"/>
    <n v="3427"/>
    <n v="4"/>
    <n v="0.19"/>
    <n v="922"/>
    <s v="Card"/>
    <n v="11103.48"/>
    <s v="Nov"/>
    <n v="2024"/>
    <s v="Q4"/>
    <n v="8.3037029832088688E-2"/>
    <n v="2604.52"/>
    <s v="High"/>
    <s v="Repeat"/>
    <s v="Above Avg"/>
    <s v="Profit"/>
    <n v="188"/>
  </r>
  <r>
    <n v="335"/>
    <d v="2024-11-30T00:00:00"/>
    <n v="1080"/>
    <s v="Customer_79"/>
    <x v="0"/>
    <x v="3"/>
    <s v="Clothing"/>
    <s v="Product_A"/>
    <n v="370"/>
    <n v="7"/>
    <n v="0.08"/>
    <n v="1381"/>
    <s v="Card"/>
    <n v="2382.8000000000002"/>
    <s v="Nov"/>
    <n v="2024"/>
    <s v="Q4"/>
    <n v="0.57957025348329694"/>
    <n v="207.20000000000002"/>
    <s v="Medium"/>
    <s v="Repeat"/>
    <s v="Below Avg"/>
    <s v="Profit"/>
    <n v="413"/>
  </r>
  <r>
    <n v="336"/>
    <d v="2024-12-01T00:00:00"/>
    <n v="1030"/>
    <s v="Customer_128"/>
    <x v="0"/>
    <x v="0"/>
    <s v="Electronics"/>
    <s v="Product_D"/>
    <n v="4426"/>
    <n v="9"/>
    <n v="0.27"/>
    <n v="-447"/>
    <s v="Card"/>
    <n v="29078.82"/>
    <s v="Dec"/>
    <n v="2024"/>
    <s v="Q4"/>
    <n v="-1.537201303216568E-2"/>
    <n v="10755.18"/>
    <s v="High"/>
    <s v="Repeat"/>
    <s v="Above Avg"/>
    <s v="Loss"/>
    <n v="26"/>
  </r>
  <r>
    <n v="337"/>
    <d v="2024-12-02T00:00:00"/>
    <n v="1012"/>
    <s v="Customer_145"/>
    <x v="1"/>
    <x v="2"/>
    <s v="Clothing"/>
    <s v="Product_C"/>
    <n v="3915"/>
    <n v="8"/>
    <n v="0.15"/>
    <n v="-47"/>
    <s v="Card"/>
    <n v="26622"/>
    <s v="Dec"/>
    <n v="2024"/>
    <s v="Q4"/>
    <n v="-1.7654571407106905E-3"/>
    <n v="4698"/>
    <s v="High"/>
    <s v="Repeat"/>
    <s v="Above Avg"/>
    <s v="Loss"/>
    <n v="36"/>
  </r>
  <r>
    <n v="338"/>
    <d v="2024-12-03T00:00:00"/>
    <n v="1090"/>
    <s v="Customer_171"/>
    <x v="0"/>
    <x v="3"/>
    <s v="Furniture"/>
    <s v="Product_B"/>
    <n v="1456"/>
    <n v="7"/>
    <n v="0.24"/>
    <n v="-31"/>
    <s v="Card"/>
    <n v="7745.92"/>
    <s v="Dec"/>
    <n v="2024"/>
    <s v="Q4"/>
    <n v="-4.0021069156407499E-3"/>
    <n v="2446.08"/>
    <s v="High"/>
    <s v="Repeat"/>
    <s v="Below Avg"/>
    <s v="Loss"/>
    <n v="258"/>
  </r>
  <r>
    <n v="339"/>
    <d v="2024-12-04T00:00:00"/>
    <n v="1083"/>
    <s v="Customer_186"/>
    <x v="1"/>
    <x v="1"/>
    <s v="Electronics"/>
    <s v="Product_A"/>
    <n v="4189"/>
    <n v="5"/>
    <n v="0.16"/>
    <n v="798"/>
    <s v="Card"/>
    <n v="17593.8"/>
    <s v="Dec"/>
    <n v="2024"/>
    <s v="Q4"/>
    <n v="4.5356887085223209E-2"/>
    <n v="3351.2000000000003"/>
    <s v="High"/>
    <s v="Repeat"/>
    <s v="Above Avg"/>
    <s v="Profit"/>
    <n v="95"/>
  </r>
  <r>
    <n v="340"/>
    <d v="2024-12-05T00:00:00"/>
    <n v="1016"/>
    <s v="Customer_147"/>
    <x v="0"/>
    <x v="1"/>
    <s v="Electronics"/>
    <s v="Product_C"/>
    <n v="190"/>
    <n v="8"/>
    <n v="0.03"/>
    <n v="728"/>
    <s v="Card"/>
    <n v="1474.3999999999901"/>
    <s v="Dec"/>
    <n v="2024"/>
    <s v="Q4"/>
    <n v="0.4937601736299545"/>
    <n v="45.6"/>
    <s v="Low"/>
    <s v="Repeat"/>
    <s v="Below Avg"/>
    <s v="Profit"/>
    <n v="458"/>
  </r>
  <r>
    <n v="341"/>
    <d v="2024-12-06T00:00:00"/>
    <n v="1092"/>
    <s v="Customer_54"/>
    <x v="1"/>
    <x v="1"/>
    <s v="Clothing"/>
    <s v="Product_D"/>
    <n v="2277"/>
    <n v="8"/>
    <n v="0.03"/>
    <n v="297"/>
    <s v="UPI"/>
    <n v="17669.52"/>
    <s v="Dec"/>
    <n v="2024"/>
    <s v="Q4"/>
    <n v="1.6808606006275213E-2"/>
    <n v="546.48"/>
    <s v="High"/>
    <s v="Repeat"/>
    <s v="Above Avg"/>
    <s v="Profit"/>
    <n v="94"/>
  </r>
  <r>
    <n v="342"/>
    <d v="2024-12-07T00:00:00"/>
    <n v="1038"/>
    <s v="Customer_114"/>
    <x v="1"/>
    <x v="2"/>
    <s v="Electronics"/>
    <s v="Product_A"/>
    <n v="1830"/>
    <n v="4"/>
    <n v="0.14000000000000001"/>
    <n v="898"/>
    <s v="COD"/>
    <n v="6295.2"/>
    <s v="Dec"/>
    <n v="2024"/>
    <s v="Q4"/>
    <n v="0.14264836700978523"/>
    <n v="1024.8000000000002"/>
    <s v="High"/>
    <s v="Repeat"/>
    <s v="Below Avg"/>
    <s v="Profit"/>
    <n v="291"/>
  </r>
  <r>
    <n v="343"/>
    <d v="2024-12-08T00:00:00"/>
    <n v="1098"/>
    <s v="Customer_83"/>
    <x v="1"/>
    <x v="1"/>
    <s v="Clothing"/>
    <s v="Product_B"/>
    <n v="2458"/>
    <n v="9"/>
    <n v="0.13"/>
    <n v="-443"/>
    <s v="COD"/>
    <n v="19246.14"/>
    <s v="Dec"/>
    <n v="2024"/>
    <s v="Q4"/>
    <n v="-2.3017602490681251E-2"/>
    <n v="2875.86"/>
    <s v="High"/>
    <s v="Repeat"/>
    <s v="Above Avg"/>
    <s v="Loss"/>
    <n v="83"/>
  </r>
  <r>
    <n v="344"/>
    <d v="2024-12-09T00:00:00"/>
    <n v="1007"/>
    <s v="Customer_84"/>
    <x v="0"/>
    <x v="1"/>
    <s v="Electronics"/>
    <s v="Product_B"/>
    <n v="2809"/>
    <n v="1"/>
    <n v="0.27"/>
    <n v="-352"/>
    <s v="COD"/>
    <n v="2050.5700000000002"/>
    <s v="Dec"/>
    <n v="2024"/>
    <s v="Q4"/>
    <n v="-0.17165958733425338"/>
    <n v="758.43000000000006"/>
    <s v="Medium"/>
    <s v="Repeat"/>
    <s v="Below Avg"/>
    <s v="Loss"/>
    <n v="426"/>
  </r>
  <r>
    <n v="345"/>
    <d v="2024-12-10T00:00:00"/>
    <n v="1037"/>
    <s v="Customer_1"/>
    <x v="0"/>
    <x v="3"/>
    <s v="Clothing"/>
    <s v="Product_D"/>
    <n v="448"/>
    <n v="9"/>
    <n v="0.04"/>
    <n v="1096"/>
    <s v="COD"/>
    <n v="3870.72"/>
    <s v="Dec"/>
    <n v="2024"/>
    <s v="Q4"/>
    <n v="0.28315145502645506"/>
    <n v="161.28"/>
    <s v="Medium"/>
    <s v="Repeat"/>
    <s v="Below Avg"/>
    <s v="Profit"/>
    <n v="358"/>
  </r>
  <r>
    <n v="346"/>
    <d v="2024-12-11T00:00:00"/>
    <n v="1014"/>
    <s v="Customer_144"/>
    <x v="0"/>
    <x v="1"/>
    <s v="Clothing"/>
    <s v="Product_C"/>
    <n v="4977"/>
    <n v="1"/>
    <n v="0.21"/>
    <n v="294"/>
    <s v="Card"/>
    <n v="3931.83"/>
    <s v="Dec"/>
    <n v="2024"/>
    <s v="Q4"/>
    <n v="7.4774341718741658E-2"/>
    <n v="1045.17"/>
    <s v="Medium"/>
    <s v="Repeat"/>
    <s v="Below Avg"/>
    <s v="Profit"/>
    <n v="357"/>
  </r>
  <r>
    <n v="347"/>
    <d v="2024-12-12T00:00:00"/>
    <n v="1000"/>
    <s v="Customer_152"/>
    <x v="0"/>
    <x v="1"/>
    <s v="Furniture"/>
    <s v="Product_A"/>
    <n v="4432"/>
    <n v="5"/>
    <n v="0.28000000000000003"/>
    <n v="1809"/>
    <s v="UPI"/>
    <n v="15955.199999999901"/>
    <s v="Dec"/>
    <n v="2024"/>
    <s v="Q4"/>
    <n v="0.11337996389891768"/>
    <n v="6204.8"/>
    <s v="High"/>
    <s v="Repeat"/>
    <s v="Above Avg"/>
    <s v="Profit"/>
    <n v="130"/>
  </r>
  <r>
    <n v="348"/>
    <d v="2024-12-13T00:00:00"/>
    <n v="1096"/>
    <s v="Customer_192"/>
    <x v="1"/>
    <x v="2"/>
    <s v="Furniture"/>
    <s v="Product_A"/>
    <n v="1393"/>
    <n v="6"/>
    <n v="0.12"/>
    <n v="1693"/>
    <s v="Card"/>
    <n v="7355.04"/>
    <s v="Dec"/>
    <n v="2024"/>
    <s v="Q4"/>
    <n v="0.23018229676521135"/>
    <n v="1002.9599999999999"/>
    <s v="High"/>
    <s v="Repeat"/>
    <s v="Below Avg"/>
    <s v="Profit"/>
    <n v="266"/>
  </r>
  <r>
    <n v="349"/>
    <d v="2024-12-14T00:00:00"/>
    <n v="1002"/>
    <s v="Customer_186"/>
    <x v="0"/>
    <x v="2"/>
    <s v="Electronics"/>
    <s v="Product_C"/>
    <n v="4564"/>
    <n v="5"/>
    <n v="0.27"/>
    <n v="710"/>
    <s v="UPI"/>
    <n v="16658.599999999999"/>
    <s v="Dec"/>
    <n v="2024"/>
    <s v="Q4"/>
    <n v="4.2620628384137924E-2"/>
    <n v="6161.4000000000005"/>
    <s v="High"/>
    <s v="Repeat"/>
    <s v="Above Avg"/>
    <s v="Profit"/>
    <n v="111"/>
  </r>
  <r>
    <n v="350"/>
    <d v="2024-12-15T00:00:00"/>
    <n v="1037"/>
    <s v="Customer_152"/>
    <x v="0"/>
    <x v="2"/>
    <s v="Clothing"/>
    <s v="Product_B"/>
    <n v="2447"/>
    <n v="4"/>
    <n v="0.04"/>
    <n v="-339"/>
    <s v="UPI"/>
    <n v="9396.48"/>
    <s v="Dec"/>
    <n v="2024"/>
    <s v="Q4"/>
    <n v="-3.6077339599509609E-2"/>
    <n v="391.52"/>
    <s v="High"/>
    <s v="Repeat"/>
    <s v="Below Avg"/>
    <s v="Loss"/>
    <n v="221"/>
  </r>
  <r>
    <n v="351"/>
    <d v="2024-12-16T00:00:00"/>
    <n v="1047"/>
    <s v="Customer_186"/>
    <x v="0"/>
    <x v="1"/>
    <s v="Furniture"/>
    <s v="Product_C"/>
    <n v="3091"/>
    <n v="5"/>
    <n v="0.03"/>
    <n v="644"/>
    <s v="UPI"/>
    <n v="14991.35"/>
    <s v="Dec"/>
    <n v="2024"/>
    <s v="Q4"/>
    <n v="4.2958105841034995E-2"/>
    <n v="463.65"/>
    <s v="High"/>
    <s v="Repeat"/>
    <s v="Above Avg"/>
    <s v="Profit"/>
    <n v="139"/>
  </r>
  <r>
    <n v="352"/>
    <d v="2024-12-17T00:00:00"/>
    <n v="1062"/>
    <s v="Customer_101"/>
    <x v="0"/>
    <x v="3"/>
    <s v="Electronics"/>
    <s v="Product_C"/>
    <n v="2900"/>
    <n v="7"/>
    <n v="7.0000000000000007E-2"/>
    <n v="1932"/>
    <s v="UPI"/>
    <n v="18879"/>
    <s v="Dec"/>
    <n v="2024"/>
    <s v="Q4"/>
    <n v="0.10233592880978866"/>
    <n v="1421.0000000000002"/>
    <s v="High"/>
    <s v="Repeat"/>
    <s v="Above Avg"/>
    <s v="Profit"/>
    <n v="85"/>
  </r>
  <r>
    <n v="353"/>
    <d v="2024-12-18T00:00:00"/>
    <n v="1061"/>
    <s v="Customer_192"/>
    <x v="0"/>
    <x v="0"/>
    <s v="Clothing"/>
    <s v="Product_C"/>
    <n v="4356"/>
    <n v="2"/>
    <n v="0.16"/>
    <n v="332"/>
    <s v="COD"/>
    <n v="7318.08"/>
    <s v="Dec"/>
    <n v="2024"/>
    <s v="Q4"/>
    <n v="4.5367090821636279E-2"/>
    <n v="1393.92"/>
    <s v="High"/>
    <s v="Repeat"/>
    <s v="Below Avg"/>
    <s v="Profit"/>
    <n v="268"/>
  </r>
  <r>
    <n v="354"/>
    <d v="2024-12-19T00:00:00"/>
    <n v="1014"/>
    <s v="Customer_169"/>
    <x v="1"/>
    <x v="2"/>
    <s v="Furniture"/>
    <s v="Product_B"/>
    <n v="1224"/>
    <n v="7"/>
    <n v="0.19"/>
    <n v="210"/>
    <s v="COD"/>
    <n v="6940.08"/>
    <s v="Dec"/>
    <n v="2024"/>
    <s v="Q4"/>
    <n v="3.0259017187121762E-2"/>
    <n v="1627.92"/>
    <s v="High"/>
    <s v="Repeat"/>
    <s v="Below Avg"/>
    <s v="Profit"/>
    <n v="275"/>
  </r>
  <r>
    <n v="355"/>
    <d v="2024-12-20T00:00:00"/>
    <n v="1061"/>
    <s v="Customer_161"/>
    <x v="0"/>
    <x v="3"/>
    <s v="Clothing"/>
    <s v="Product_B"/>
    <n v="673"/>
    <n v="9"/>
    <n v="0.23"/>
    <n v="944"/>
    <s v="UPI"/>
    <n v="4663.8900000000003"/>
    <s v="Dec"/>
    <n v="2024"/>
    <s v="Q4"/>
    <n v="0.20240614594255008"/>
    <n v="1393.1100000000001"/>
    <s v="Medium"/>
    <s v="Repeat"/>
    <s v="Below Avg"/>
    <s v="Profit"/>
    <n v="332"/>
  </r>
  <r>
    <n v="356"/>
    <d v="2024-12-21T00:00:00"/>
    <n v="1081"/>
    <s v="Customer_186"/>
    <x v="1"/>
    <x v="1"/>
    <s v="Furniture"/>
    <s v="Product_A"/>
    <n v="4179"/>
    <n v="7"/>
    <n v="0.23"/>
    <n v="-144"/>
    <s v="UPI"/>
    <n v="22524.81"/>
    <s v="Dec"/>
    <n v="2024"/>
    <s v="Q4"/>
    <n v="-6.3929507063544598E-3"/>
    <n v="6728.1900000000005"/>
    <s v="High"/>
    <s v="Repeat"/>
    <s v="Above Avg"/>
    <s v="Loss"/>
    <n v="62"/>
  </r>
  <r>
    <n v="357"/>
    <d v="2024-12-22T00:00:00"/>
    <n v="1037"/>
    <s v="Customer_125"/>
    <x v="0"/>
    <x v="2"/>
    <s v="Clothing"/>
    <s v="Product_C"/>
    <n v="928"/>
    <n v="4"/>
    <n v="0.03"/>
    <n v="182"/>
    <s v="Card"/>
    <n v="3600.64"/>
    <s v="Dec"/>
    <n v="2024"/>
    <s v="Q4"/>
    <n v="5.0546569498755779E-2"/>
    <n v="111.36"/>
    <s v="Medium"/>
    <s v="Repeat"/>
    <s v="Below Avg"/>
    <s v="Profit"/>
    <n v="368"/>
  </r>
  <r>
    <n v="358"/>
    <d v="2024-12-23T00:00:00"/>
    <n v="1094"/>
    <s v="Customer_184"/>
    <x v="0"/>
    <x v="3"/>
    <s v="Electronics"/>
    <s v="Product_C"/>
    <n v="570"/>
    <n v="8"/>
    <n v="0.26"/>
    <n v="1134"/>
    <s v="UPI"/>
    <n v="3374.4"/>
    <s v="Dec"/>
    <n v="2024"/>
    <s v="Q4"/>
    <n v="0.33605974395448079"/>
    <n v="1185.6000000000001"/>
    <s v="Medium"/>
    <s v="Repeat"/>
    <s v="Below Avg"/>
    <s v="Profit"/>
    <n v="382"/>
  </r>
  <r>
    <n v="359"/>
    <d v="2024-12-24T00:00:00"/>
    <n v="1019"/>
    <s v="Customer_95"/>
    <x v="1"/>
    <x v="0"/>
    <s v="Furniture"/>
    <s v="Product_B"/>
    <n v="4250"/>
    <n v="8"/>
    <n v="0.03"/>
    <n v="335"/>
    <s v="Card"/>
    <n v="32980"/>
    <s v="Dec"/>
    <n v="2024"/>
    <s v="Q4"/>
    <n v="1.015767131594906E-2"/>
    <n v="1020"/>
    <s v="High"/>
    <s v="Repeat"/>
    <s v="Above Avg"/>
    <s v="Profit"/>
    <n v="17"/>
  </r>
  <r>
    <n v="360"/>
    <d v="2024-12-25T00:00:00"/>
    <n v="1058"/>
    <s v="Customer_15"/>
    <x v="1"/>
    <x v="3"/>
    <s v="Clothing"/>
    <s v="Product_B"/>
    <n v="2351"/>
    <n v="9"/>
    <n v="0.27"/>
    <n v="28"/>
    <s v="COD"/>
    <n v="15446.07"/>
    <s v="Dec"/>
    <n v="2024"/>
    <s v="Q4"/>
    <n v="1.8127588441590645E-3"/>
    <n v="5712.93"/>
    <s v="High"/>
    <s v="Repeat"/>
    <s v="Above Avg"/>
    <s v="Profit"/>
    <n v="135"/>
  </r>
  <r>
    <n v="361"/>
    <d v="2024-12-26T00:00:00"/>
    <n v="1006"/>
    <s v="Customer_65"/>
    <x v="1"/>
    <x v="1"/>
    <s v="Furniture"/>
    <s v="Product_C"/>
    <n v="4067"/>
    <n v="6"/>
    <n v="0.28999999999999998"/>
    <n v="1213"/>
    <s v="UPI"/>
    <n v="17325.419999999998"/>
    <s v="Dec"/>
    <n v="2024"/>
    <s v="Q4"/>
    <n v="7.0012732736060665E-2"/>
    <n v="7076.58"/>
    <s v="High"/>
    <s v="Repeat"/>
    <s v="Above Avg"/>
    <s v="Profit"/>
    <n v="102"/>
  </r>
  <r>
    <n v="362"/>
    <d v="2024-12-27T00:00:00"/>
    <n v="1090"/>
    <s v="Customer_113"/>
    <x v="1"/>
    <x v="2"/>
    <s v="Furniture"/>
    <s v="Product_D"/>
    <n v="2732"/>
    <n v="1"/>
    <n v="0.18"/>
    <n v="547"/>
    <s v="COD"/>
    <n v="2240.2399999999998"/>
    <s v="Dec"/>
    <n v="2024"/>
    <s v="Q4"/>
    <n v="0.24417026747134238"/>
    <n v="491.76"/>
    <s v="Medium"/>
    <s v="Repeat"/>
    <s v="Below Avg"/>
    <s v="Profit"/>
    <n v="418"/>
  </r>
  <r>
    <n v="363"/>
    <d v="2024-12-28T00:00:00"/>
    <n v="1071"/>
    <s v="Customer_140"/>
    <x v="0"/>
    <x v="3"/>
    <s v="Clothing"/>
    <s v="Product_B"/>
    <n v="4332"/>
    <n v="9"/>
    <n v="0.21"/>
    <n v="1493"/>
    <s v="COD"/>
    <n v="30800.52"/>
    <s v="Dec"/>
    <n v="2024"/>
    <s v="Q4"/>
    <n v="4.8473207595196445E-2"/>
    <n v="8187.48"/>
    <s v="High"/>
    <s v="Repeat"/>
    <s v="Above Avg"/>
    <s v="Profit"/>
    <n v="22"/>
  </r>
  <r>
    <n v="364"/>
    <d v="2024-12-29T00:00:00"/>
    <n v="1077"/>
    <s v="Customer_163"/>
    <x v="0"/>
    <x v="3"/>
    <s v="Electronics"/>
    <s v="Product_D"/>
    <n v="1198"/>
    <n v="9"/>
    <n v="0.11"/>
    <n v="-189"/>
    <s v="UPI"/>
    <n v="9595.98"/>
    <s v="Dec"/>
    <n v="2024"/>
    <s v="Q4"/>
    <n v="-1.9695747594305115E-2"/>
    <n v="1186.02"/>
    <s v="High"/>
    <s v="Repeat"/>
    <s v="Below Avg"/>
    <s v="Loss"/>
    <n v="212"/>
  </r>
  <r>
    <n v="365"/>
    <d v="2024-12-30T00:00:00"/>
    <n v="1078"/>
    <s v="Customer_37"/>
    <x v="0"/>
    <x v="3"/>
    <s v="Furniture"/>
    <s v="Product_C"/>
    <n v="3189"/>
    <n v="1"/>
    <n v="0.17"/>
    <n v="159"/>
    <s v="UPI"/>
    <n v="2646.87"/>
    <s v="Dec"/>
    <n v="2024"/>
    <s v="Q4"/>
    <n v="6.0070951727889926E-2"/>
    <n v="542.13"/>
    <s v="Medium"/>
    <s v="Repeat"/>
    <s v="Below Avg"/>
    <s v="Profit"/>
    <n v="407"/>
  </r>
  <r>
    <n v="366"/>
    <d v="2024-12-31T00:00:00"/>
    <n v="1070"/>
    <s v="Customer_30"/>
    <x v="1"/>
    <x v="2"/>
    <s v="Clothing"/>
    <s v="Product_C"/>
    <n v="531"/>
    <n v="9"/>
    <n v="0.25"/>
    <n v="1369"/>
    <s v="COD"/>
    <n v="3584.25"/>
    <s v="Dec"/>
    <n v="2024"/>
    <s v="Q4"/>
    <n v="0.38194880379437818"/>
    <n v="1194.75"/>
    <s v="Medium"/>
    <s v="Repeat"/>
    <s v="Below Avg"/>
    <s v="Profit"/>
    <n v="371"/>
  </r>
  <r>
    <n v="367"/>
    <d v="2025-01-01T00:00:00"/>
    <n v="1096"/>
    <s v="Customer_11"/>
    <x v="1"/>
    <x v="3"/>
    <s v="Electronics"/>
    <s v="Product_D"/>
    <n v="1333"/>
    <n v="1"/>
    <n v="0.05"/>
    <n v="-123"/>
    <s v="UPI"/>
    <n v="1266.3499999999999"/>
    <s v="Jan"/>
    <n v="2025"/>
    <s v="Q1"/>
    <n v="-9.7129545544280813E-2"/>
    <n v="66.650000000000006"/>
    <s v="Low"/>
    <s v="Repeat"/>
    <s v="Below Avg"/>
    <s v="Loss"/>
    <n v="466"/>
  </r>
  <r>
    <n v="368"/>
    <d v="2025-01-02T00:00:00"/>
    <n v="1051"/>
    <s v="Customer_188"/>
    <x v="0"/>
    <x v="1"/>
    <s v="Clothing"/>
    <s v="Product_D"/>
    <n v="1629"/>
    <n v="2"/>
    <n v="0.15"/>
    <n v="-281"/>
    <s v="Card"/>
    <n v="2769.2999999999902"/>
    <s v="Jan"/>
    <n v="2025"/>
    <s v="Q1"/>
    <n v="-0.10146968548008559"/>
    <n v="488.7"/>
    <s v="Medium"/>
    <s v="Repeat"/>
    <s v="Below Avg"/>
    <s v="Loss"/>
    <n v="400"/>
  </r>
  <r>
    <n v="369"/>
    <d v="2025-01-03T00:00:00"/>
    <n v="1097"/>
    <s v="Customer_32"/>
    <x v="1"/>
    <x v="1"/>
    <s v="Clothing"/>
    <s v="Product_C"/>
    <n v="4451"/>
    <n v="6"/>
    <n v="0.12"/>
    <n v="978"/>
    <s v="UPI"/>
    <n v="23501.279999999999"/>
    <s v="Jan"/>
    <n v="2025"/>
    <s v="Q1"/>
    <n v="4.1614754600600483E-2"/>
    <n v="3204.72"/>
    <s v="High"/>
    <s v="Repeat"/>
    <s v="Above Avg"/>
    <s v="Profit"/>
    <n v="57"/>
  </r>
  <r>
    <n v="370"/>
    <d v="2025-01-04T00:00:00"/>
    <n v="1003"/>
    <s v="Customer_2"/>
    <x v="0"/>
    <x v="0"/>
    <s v="Furniture"/>
    <s v="Product_D"/>
    <n v="1480"/>
    <n v="7"/>
    <n v="0.26"/>
    <n v="1989"/>
    <s v="UPI"/>
    <n v="7666.4"/>
    <s v="Jan"/>
    <n v="2025"/>
    <s v="Q1"/>
    <n v="0.25944380674110407"/>
    <n v="2693.6"/>
    <s v="High"/>
    <s v="Repeat"/>
    <s v="Below Avg"/>
    <s v="Profit"/>
    <n v="261"/>
  </r>
  <r>
    <n v="371"/>
    <d v="2025-01-05T00:00:00"/>
    <n v="1000"/>
    <s v="Customer_138"/>
    <x v="1"/>
    <x v="0"/>
    <s v="Clothing"/>
    <s v="Product_C"/>
    <n v="241"/>
    <n v="7"/>
    <n v="0.04"/>
    <n v="967"/>
    <s v="COD"/>
    <n v="1619.52"/>
    <s v="Jan"/>
    <n v="2025"/>
    <s v="Q1"/>
    <n v="0.5970904959494171"/>
    <n v="67.48"/>
    <s v="Low"/>
    <s v="Repeat"/>
    <s v="Below Avg"/>
    <s v="Profit"/>
    <n v="452"/>
  </r>
  <r>
    <n v="372"/>
    <d v="2025-01-06T00:00:00"/>
    <n v="1077"/>
    <s v="Customer_124"/>
    <x v="1"/>
    <x v="0"/>
    <s v="Clothing"/>
    <s v="Product_D"/>
    <n v="1316"/>
    <n v="6"/>
    <n v="0.27"/>
    <n v="-31"/>
    <s v="COD"/>
    <n v="5764.08"/>
    <s v="Jan"/>
    <n v="2025"/>
    <s v="Q1"/>
    <n v="-5.3781349322008024E-3"/>
    <n v="2131.92"/>
    <s v="High"/>
    <s v="Repeat"/>
    <s v="Below Avg"/>
    <s v="Loss"/>
    <n v="302"/>
  </r>
  <r>
    <n v="373"/>
    <d v="2025-01-07T00:00:00"/>
    <n v="1094"/>
    <s v="Customer_174"/>
    <x v="0"/>
    <x v="2"/>
    <s v="Electronics"/>
    <s v="Product_C"/>
    <n v="3947"/>
    <n v="8"/>
    <n v="0.08"/>
    <n v="655"/>
    <s v="COD"/>
    <n v="29049.919999999998"/>
    <s v="Jan"/>
    <n v="2025"/>
    <s v="Q1"/>
    <n v="2.2547394278538462E-2"/>
    <n v="2526.08"/>
    <s v="High"/>
    <s v="Repeat"/>
    <s v="Above Avg"/>
    <s v="Profit"/>
    <n v="27"/>
  </r>
  <r>
    <n v="374"/>
    <d v="2025-01-08T00:00:00"/>
    <n v="1037"/>
    <s v="Customer_22"/>
    <x v="0"/>
    <x v="1"/>
    <s v="Furniture"/>
    <s v="Product_B"/>
    <n v="4287"/>
    <n v="8"/>
    <n v="0.18"/>
    <n v="312"/>
    <s v="UPI"/>
    <n v="28122.720000000001"/>
    <s v="Jan"/>
    <n v="2025"/>
    <s v="Q1"/>
    <n v="1.1094232705798016E-2"/>
    <n v="6173.28"/>
    <s v="High"/>
    <s v="Repeat"/>
    <s v="Above Avg"/>
    <s v="Profit"/>
    <n v="30"/>
  </r>
  <r>
    <n v="375"/>
    <d v="2025-01-09T00:00:00"/>
    <n v="1052"/>
    <s v="Customer_73"/>
    <x v="1"/>
    <x v="1"/>
    <s v="Clothing"/>
    <s v="Product_C"/>
    <n v="1876"/>
    <n v="1"/>
    <n v="0.11"/>
    <n v="486"/>
    <s v="Card"/>
    <n v="1669.64"/>
    <s v="Jan"/>
    <n v="2025"/>
    <s v="Q1"/>
    <n v="0.29108071200977453"/>
    <n v="206.36"/>
    <s v="Low"/>
    <s v="Repeat"/>
    <s v="Below Avg"/>
    <s v="Profit"/>
    <n v="448"/>
  </r>
  <r>
    <n v="376"/>
    <d v="2025-01-10T00:00:00"/>
    <n v="1083"/>
    <s v="Customer_118"/>
    <x v="1"/>
    <x v="0"/>
    <s v="Furniture"/>
    <s v="Product_C"/>
    <n v="3751"/>
    <n v="9"/>
    <n v="0.28000000000000003"/>
    <n v="339"/>
    <s v="COD"/>
    <n v="24306.48"/>
    <s v="Jan"/>
    <n v="2025"/>
    <s v="Q1"/>
    <n v="1.3946898111120985E-2"/>
    <n v="9452.52"/>
    <s v="High"/>
    <s v="Repeat"/>
    <s v="Above Avg"/>
    <s v="Profit"/>
    <n v="49"/>
  </r>
  <r>
    <n v="377"/>
    <d v="2025-01-11T00:00:00"/>
    <n v="1002"/>
    <s v="Customer_55"/>
    <x v="0"/>
    <x v="0"/>
    <s v="Electronics"/>
    <s v="Product_B"/>
    <n v="2552"/>
    <n v="4"/>
    <n v="0.06"/>
    <n v="-131"/>
    <s v="UPI"/>
    <n v="9595.5199999999895"/>
    <s v="Jan"/>
    <n v="2025"/>
    <s v="Q1"/>
    <n v="-1.3652204362035632E-2"/>
    <n v="612.48"/>
    <s v="High"/>
    <s v="Repeat"/>
    <s v="Below Avg"/>
    <s v="Loss"/>
    <n v="213"/>
  </r>
  <r>
    <n v="378"/>
    <d v="2025-01-12T00:00:00"/>
    <n v="1098"/>
    <s v="Customer_187"/>
    <x v="1"/>
    <x v="3"/>
    <s v="Electronics"/>
    <s v="Product_C"/>
    <n v="817"/>
    <n v="4"/>
    <n v="0.15"/>
    <n v="514"/>
    <s v="UPI"/>
    <n v="2777.7999999999902"/>
    <s v="Jan"/>
    <n v="2025"/>
    <s v="Q1"/>
    <n v="0.18503851969184312"/>
    <n v="490.2"/>
    <s v="Medium"/>
    <s v="Repeat"/>
    <s v="Below Avg"/>
    <s v="Profit"/>
    <n v="399"/>
  </r>
  <r>
    <n v="379"/>
    <d v="2025-01-13T00:00:00"/>
    <n v="1096"/>
    <s v="Customer_30"/>
    <x v="1"/>
    <x v="0"/>
    <s v="Clothing"/>
    <s v="Product_B"/>
    <n v="660"/>
    <n v="9"/>
    <n v="7.0000000000000007E-2"/>
    <n v="-250"/>
    <s v="UPI"/>
    <n v="5524.2"/>
    <s v="Jan"/>
    <n v="2025"/>
    <s v="Q1"/>
    <n v="-4.5255421599507621E-2"/>
    <n v="415.8"/>
    <s v="High"/>
    <s v="Repeat"/>
    <s v="Below Avg"/>
    <s v="Loss"/>
    <n v="308"/>
  </r>
  <r>
    <n v="380"/>
    <d v="2025-01-14T00:00:00"/>
    <n v="1014"/>
    <s v="Customer_181"/>
    <x v="0"/>
    <x v="2"/>
    <s v="Furniture"/>
    <s v="Product_B"/>
    <n v="1004"/>
    <n v="2"/>
    <n v="0.24"/>
    <n v="-339"/>
    <s v="UPI"/>
    <n v="1526.08"/>
    <s v="Jan"/>
    <n v="2025"/>
    <s v="Q1"/>
    <n v="-0.2221377647305515"/>
    <n v="481.91999999999996"/>
    <s v="Low"/>
    <s v="Repeat"/>
    <s v="Below Avg"/>
    <s v="Loss"/>
    <n v="456"/>
  </r>
  <r>
    <n v="381"/>
    <d v="2025-01-15T00:00:00"/>
    <n v="1002"/>
    <s v="Customer_89"/>
    <x v="0"/>
    <x v="0"/>
    <s v="Clothing"/>
    <s v="Product_D"/>
    <n v="1036"/>
    <n v="6"/>
    <n v="0.08"/>
    <n v="162"/>
    <s v="COD"/>
    <n v="5718.72"/>
    <s v="Jan"/>
    <n v="2025"/>
    <s v="Q1"/>
    <n v="2.8328017458452238E-2"/>
    <n v="497.28000000000003"/>
    <s v="High"/>
    <s v="Repeat"/>
    <s v="Below Avg"/>
    <s v="Profit"/>
    <n v="303"/>
  </r>
  <r>
    <n v="382"/>
    <d v="2025-01-16T00:00:00"/>
    <n v="1091"/>
    <s v="Customer_21"/>
    <x v="0"/>
    <x v="1"/>
    <s v="Furniture"/>
    <s v="Product_C"/>
    <n v="396"/>
    <n v="2"/>
    <n v="0.28999999999999998"/>
    <n v="1960"/>
    <s v="Card"/>
    <n v="562.31999999999903"/>
    <s v="Jan"/>
    <n v="2025"/>
    <s v="Q1"/>
    <n v="3.4855598235879985"/>
    <n v="229.67999999999998"/>
    <s v="Low"/>
    <s v="Repeat"/>
    <s v="Below Avg"/>
    <s v="Profit"/>
    <n v="488"/>
  </r>
  <r>
    <n v="383"/>
    <d v="2025-01-17T00:00:00"/>
    <n v="1090"/>
    <s v="Customer_82"/>
    <x v="0"/>
    <x v="2"/>
    <s v="Furniture"/>
    <s v="Product_B"/>
    <n v="4994"/>
    <n v="9"/>
    <n v="0.28000000000000003"/>
    <n v="992"/>
    <s v="COD"/>
    <n v="32361.119999999999"/>
    <s v="Jan"/>
    <n v="2025"/>
    <s v="Q1"/>
    <n v="3.0654068833217144E-2"/>
    <n v="12584.880000000001"/>
    <s v="High"/>
    <s v="Repeat"/>
    <s v="Above Avg"/>
    <s v="Profit"/>
    <n v="20"/>
  </r>
  <r>
    <n v="384"/>
    <d v="2025-01-18T00:00:00"/>
    <n v="1032"/>
    <s v="Customer_20"/>
    <x v="1"/>
    <x v="3"/>
    <s v="Electronics"/>
    <s v="Product_A"/>
    <n v="1860"/>
    <n v="3"/>
    <n v="0.14000000000000001"/>
    <n v="1994"/>
    <s v="Card"/>
    <n v="4798.8"/>
    <s v="Jan"/>
    <n v="2025"/>
    <s v="Q1"/>
    <n v="0.41552054680336747"/>
    <n v="781.2"/>
    <s v="Medium"/>
    <s v="Repeat"/>
    <s v="Below Avg"/>
    <s v="Profit"/>
    <n v="330"/>
  </r>
  <r>
    <n v="385"/>
    <d v="2025-01-19T00:00:00"/>
    <n v="1082"/>
    <s v="Customer_113"/>
    <x v="1"/>
    <x v="2"/>
    <s v="Clothing"/>
    <s v="Product_C"/>
    <n v="1299"/>
    <n v="6"/>
    <n v="0"/>
    <n v="92"/>
    <s v="UPI"/>
    <n v="7794"/>
    <s v="Jan"/>
    <n v="2025"/>
    <s v="Q1"/>
    <n v="1.1803951757762381E-2"/>
    <n v="0"/>
    <s v="High"/>
    <s v="Repeat"/>
    <s v="Below Avg"/>
    <s v="Profit"/>
    <n v="256"/>
  </r>
  <r>
    <n v="386"/>
    <d v="2025-01-20T00:00:00"/>
    <n v="1055"/>
    <s v="Customer_167"/>
    <x v="0"/>
    <x v="3"/>
    <s v="Furniture"/>
    <s v="Product_C"/>
    <n v="4386"/>
    <n v="3"/>
    <n v="0.28999999999999998"/>
    <n v="838"/>
    <s v="COD"/>
    <n v="9342.18"/>
    <s v="Jan"/>
    <n v="2025"/>
    <s v="Q1"/>
    <n v="8.9700690845177455E-2"/>
    <n v="3815.8199999999997"/>
    <s v="High"/>
    <s v="Repeat"/>
    <s v="Below Avg"/>
    <s v="Profit"/>
    <n v="224"/>
  </r>
  <r>
    <n v="387"/>
    <d v="2025-01-21T00:00:00"/>
    <n v="1032"/>
    <s v="Customer_35"/>
    <x v="0"/>
    <x v="3"/>
    <s v="Electronics"/>
    <s v="Product_A"/>
    <n v="3993"/>
    <n v="5"/>
    <n v="0.21"/>
    <n v="1730"/>
    <s v="COD"/>
    <n v="15772.35"/>
    <s v="Jan"/>
    <n v="2025"/>
    <s v="Q1"/>
    <n v="0.10968562072234005"/>
    <n v="4192.6499999999996"/>
    <s v="High"/>
    <s v="Repeat"/>
    <s v="Above Avg"/>
    <s v="Profit"/>
    <n v="132"/>
  </r>
  <r>
    <n v="388"/>
    <d v="2025-01-22T00:00:00"/>
    <n v="1030"/>
    <s v="Customer_29"/>
    <x v="0"/>
    <x v="1"/>
    <s v="Electronics"/>
    <s v="Product_B"/>
    <n v="1045"/>
    <n v="3"/>
    <n v="0.15"/>
    <n v="1869"/>
    <s v="Card"/>
    <n v="2664.75"/>
    <s v="Jan"/>
    <n v="2025"/>
    <s v="Q1"/>
    <n v="0.70137911623979732"/>
    <n v="470.25"/>
    <s v="Medium"/>
    <s v="Repeat"/>
    <s v="Below Avg"/>
    <s v="Profit"/>
    <n v="405"/>
  </r>
  <r>
    <n v="389"/>
    <d v="2025-01-23T00:00:00"/>
    <n v="1003"/>
    <s v="Customer_110"/>
    <x v="1"/>
    <x v="2"/>
    <s v="Furniture"/>
    <s v="Product_C"/>
    <n v="1736"/>
    <n v="8"/>
    <n v="0.18"/>
    <n v="492"/>
    <s v="COD"/>
    <n v="11388.16"/>
    <s v="Jan"/>
    <n v="2025"/>
    <s v="Q1"/>
    <n v="4.3202764976958526E-2"/>
    <n v="2499.8399999999997"/>
    <s v="High"/>
    <s v="Repeat"/>
    <s v="Above Avg"/>
    <s v="Profit"/>
    <n v="183"/>
  </r>
  <r>
    <n v="390"/>
    <d v="2025-01-24T00:00:00"/>
    <n v="1095"/>
    <s v="Customer_56"/>
    <x v="0"/>
    <x v="3"/>
    <s v="Clothing"/>
    <s v="Product_A"/>
    <n v="2341"/>
    <n v="4"/>
    <n v="0.03"/>
    <n v="1730"/>
    <s v="Card"/>
    <n v="9083.08"/>
    <s v="Jan"/>
    <n v="2025"/>
    <s v="Q1"/>
    <n v="0.19046402762058684"/>
    <n v="280.92"/>
    <s v="High"/>
    <s v="Repeat"/>
    <s v="Below Avg"/>
    <s v="Profit"/>
    <n v="229"/>
  </r>
  <r>
    <n v="391"/>
    <d v="2025-01-25T00:00:00"/>
    <n v="1091"/>
    <s v="Customer_116"/>
    <x v="0"/>
    <x v="2"/>
    <s v="Clothing"/>
    <s v="Product_C"/>
    <n v="3013"/>
    <n v="3"/>
    <n v="0.05"/>
    <n v="1502"/>
    <s v="COD"/>
    <n v="8587.0499999999993"/>
    <s v="Jan"/>
    <n v="2025"/>
    <s v="Q1"/>
    <n v="0.17491455156310959"/>
    <n v="451.95000000000005"/>
    <s v="High"/>
    <s v="Repeat"/>
    <s v="Below Avg"/>
    <s v="Profit"/>
    <n v="237"/>
  </r>
  <r>
    <n v="392"/>
    <d v="2025-01-26T00:00:00"/>
    <n v="1079"/>
    <s v="Customer_183"/>
    <x v="1"/>
    <x v="3"/>
    <s v="Clothing"/>
    <s v="Product_D"/>
    <n v="3266"/>
    <n v="8"/>
    <n v="0.19"/>
    <n v="658"/>
    <s v="UPI"/>
    <n v="21163.68"/>
    <s v="Jan"/>
    <n v="2025"/>
    <s v="Q1"/>
    <n v="3.1091001186939134E-2"/>
    <n v="4964.32"/>
    <s v="High"/>
    <s v="Repeat"/>
    <s v="Above Avg"/>
    <s v="Profit"/>
    <n v="73"/>
  </r>
  <r>
    <n v="393"/>
    <d v="2025-01-27T00:00:00"/>
    <n v="1091"/>
    <s v="Customer_181"/>
    <x v="0"/>
    <x v="0"/>
    <s v="Clothing"/>
    <s v="Product_C"/>
    <n v="4888"/>
    <n v="7"/>
    <n v="0.01"/>
    <n v="249"/>
    <s v="COD"/>
    <n v="33873.839999999997"/>
    <s v="Jan"/>
    <n v="2025"/>
    <s v="Q1"/>
    <n v="7.3508052231456497E-3"/>
    <n v="342.16"/>
    <s v="High"/>
    <s v="Repeat"/>
    <s v="Above Avg"/>
    <s v="Profit"/>
    <n v="15"/>
  </r>
  <r>
    <n v="394"/>
    <d v="2025-01-28T00:00:00"/>
    <n v="1078"/>
    <s v="Customer_176"/>
    <x v="1"/>
    <x v="0"/>
    <s v="Electronics"/>
    <s v="Product_B"/>
    <n v="4543"/>
    <n v="1"/>
    <n v="0.21"/>
    <n v="62"/>
    <s v="UPI"/>
    <n v="3588.97"/>
    <s v="Jan"/>
    <n v="2025"/>
    <s v="Q1"/>
    <n v="1.7275151366548065E-2"/>
    <n v="954.03"/>
    <s v="Medium"/>
    <s v="Repeat"/>
    <s v="Below Avg"/>
    <s v="Profit"/>
    <n v="370"/>
  </r>
  <r>
    <n v="395"/>
    <d v="2025-01-29T00:00:00"/>
    <n v="1021"/>
    <s v="Customer_67"/>
    <x v="1"/>
    <x v="2"/>
    <s v="Clothing"/>
    <s v="Product_B"/>
    <n v="2496"/>
    <n v="3"/>
    <n v="0.28000000000000003"/>
    <n v="455"/>
    <s v="Card"/>
    <n v="5391.36"/>
    <s v="Jan"/>
    <n v="2025"/>
    <s v="Q1"/>
    <n v="8.4394290123456797E-2"/>
    <n v="2096.6400000000003"/>
    <s v="High"/>
    <s v="Repeat"/>
    <s v="Below Avg"/>
    <s v="Profit"/>
    <n v="313"/>
  </r>
  <r>
    <n v="396"/>
    <d v="2025-01-30T00:00:00"/>
    <n v="1030"/>
    <s v="Customer_183"/>
    <x v="0"/>
    <x v="2"/>
    <s v="Clothing"/>
    <s v="Product_C"/>
    <n v="1506"/>
    <n v="3"/>
    <n v="0.21"/>
    <n v="-309"/>
    <s v="UPI"/>
    <n v="3569.22"/>
    <s v="Jan"/>
    <n v="2025"/>
    <s v="Q1"/>
    <n v="-8.6573537075327389E-2"/>
    <n v="948.78"/>
    <s v="Medium"/>
    <s v="Repeat"/>
    <s v="Below Avg"/>
    <s v="Loss"/>
    <n v="373"/>
  </r>
  <r>
    <n v="397"/>
    <d v="2025-01-31T00:00:00"/>
    <n v="1059"/>
    <s v="Customer_32"/>
    <x v="1"/>
    <x v="3"/>
    <s v="Furniture"/>
    <s v="Product_A"/>
    <n v="593"/>
    <n v="4"/>
    <n v="0.17"/>
    <n v="1059"/>
    <s v="Card"/>
    <n v="1968.76"/>
    <s v="Jan"/>
    <n v="2025"/>
    <s v="Q1"/>
    <n v="0.53790202970397616"/>
    <n v="403.24"/>
    <s v="Low"/>
    <s v="Repeat"/>
    <s v="Below Avg"/>
    <s v="Profit"/>
    <n v="432"/>
  </r>
  <r>
    <n v="398"/>
    <d v="2025-02-01T00:00:00"/>
    <n v="1084"/>
    <s v="Customer_58"/>
    <x v="1"/>
    <x v="3"/>
    <s v="Furniture"/>
    <s v="Product_A"/>
    <n v="2132"/>
    <n v="1"/>
    <n v="0.24"/>
    <n v="1264"/>
    <s v="COD"/>
    <n v="1620.32"/>
    <s v="Feb"/>
    <n v="2025"/>
    <s v="Q1"/>
    <n v="0.78009282117112677"/>
    <n v="511.68"/>
    <s v="Low"/>
    <s v="Repeat"/>
    <s v="Below Avg"/>
    <s v="Profit"/>
    <n v="451"/>
  </r>
  <r>
    <n v="399"/>
    <d v="2025-02-02T00:00:00"/>
    <n v="1031"/>
    <s v="Customer_78"/>
    <x v="0"/>
    <x v="3"/>
    <s v="Furniture"/>
    <s v="Product_A"/>
    <n v="160"/>
    <n v="9"/>
    <n v="0.22"/>
    <n v="121"/>
    <s v="UPI"/>
    <n v="1123.2"/>
    <s v="Feb"/>
    <n v="2025"/>
    <s v="Q1"/>
    <n v="0.10772792022792023"/>
    <n v="316.8"/>
    <s v="Low"/>
    <s v="New"/>
    <s v="Below Avg"/>
    <s v="Profit"/>
    <n v="473"/>
  </r>
  <r>
    <n v="400"/>
    <d v="2025-02-03T00:00:00"/>
    <n v="1070"/>
    <s v="Customer_69"/>
    <x v="0"/>
    <x v="1"/>
    <s v="Furniture"/>
    <s v="Product_B"/>
    <n v="1845"/>
    <n v="2"/>
    <n v="0.18"/>
    <n v="-188"/>
    <s v="COD"/>
    <n v="3025.8"/>
    <s v="Feb"/>
    <n v="2025"/>
    <s v="Q1"/>
    <n v="-6.2132328640359571E-2"/>
    <n v="664.19999999999993"/>
    <s v="Medium"/>
    <s v="Repeat"/>
    <s v="Below Avg"/>
    <s v="Loss"/>
    <n v="391"/>
  </r>
  <r>
    <n v="401"/>
    <d v="2025-02-04T00:00:00"/>
    <n v="1096"/>
    <s v="Customer_28"/>
    <x v="0"/>
    <x v="1"/>
    <s v="Electronics"/>
    <s v="Product_C"/>
    <n v="3601"/>
    <n v="7"/>
    <n v="0.06"/>
    <n v="774"/>
    <s v="Card"/>
    <n v="23694.5799999999"/>
    <s v="Feb"/>
    <n v="2025"/>
    <s v="Q1"/>
    <n v="3.2665698231410023E-2"/>
    <n v="1512.4199999999998"/>
    <s v="High"/>
    <s v="Repeat"/>
    <s v="Above Avg"/>
    <s v="Profit"/>
    <n v="54"/>
  </r>
  <r>
    <n v="402"/>
    <d v="2025-02-05T00:00:00"/>
    <n v="1007"/>
    <s v="Customer_72"/>
    <x v="0"/>
    <x v="2"/>
    <s v="Clothing"/>
    <s v="Product_D"/>
    <n v="1056"/>
    <n v="2"/>
    <n v="0"/>
    <n v="1283"/>
    <s v="UPI"/>
    <n v="2112"/>
    <s v="Feb"/>
    <n v="2025"/>
    <s v="Q1"/>
    <n v="0.60748106060606055"/>
    <n v="0"/>
    <s v="Medium"/>
    <s v="Repeat"/>
    <s v="Below Avg"/>
    <s v="Profit"/>
    <n v="422"/>
  </r>
  <r>
    <n v="403"/>
    <d v="2025-02-06T00:00:00"/>
    <n v="1077"/>
    <s v="Customer_109"/>
    <x v="0"/>
    <x v="2"/>
    <s v="Clothing"/>
    <s v="Product_D"/>
    <n v="4889"/>
    <n v="8"/>
    <n v="0.14000000000000001"/>
    <n v="517"/>
    <s v="UPI"/>
    <n v="33636.32"/>
    <s v="Feb"/>
    <n v="2025"/>
    <s v="Q1"/>
    <n v="1.5370290210106219E-2"/>
    <n v="5475.68"/>
    <s v="High"/>
    <s v="Repeat"/>
    <s v="Above Avg"/>
    <s v="Profit"/>
    <n v="16"/>
  </r>
  <r>
    <n v="404"/>
    <d v="2025-02-07T00:00:00"/>
    <n v="1061"/>
    <s v="Customer_60"/>
    <x v="0"/>
    <x v="0"/>
    <s v="Electronics"/>
    <s v="Product_D"/>
    <n v="4231"/>
    <n v="3"/>
    <n v="7.0000000000000007E-2"/>
    <n v="-225"/>
    <s v="UPI"/>
    <n v="11804.49"/>
    <s v="Feb"/>
    <n v="2025"/>
    <s v="Q1"/>
    <n v="-1.9060543911681063E-2"/>
    <n v="888.5100000000001"/>
    <s v="High"/>
    <s v="Repeat"/>
    <s v="Above Avg"/>
    <s v="Loss"/>
    <n v="172"/>
  </r>
  <r>
    <n v="405"/>
    <d v="2025-02-08T00:00:00"/>
    <n v="1088"/>
    <s v="Customer_13"/>
    <x v="1"/>
    <x v="0"/>
    <s v="Electronics"/>
    <s v="Product_B"/>
    <n v="2954"/>
    <n v="6"/>
    <n v="7.0000000000000007E-2"/>
    <n v="-111"/>
    <s v="COD"/>
    <n v="16483.32"/>
    <s v="Feb"/>
    <n v="2025"/>
    <s v="Q1"/>
    <n v="-6.7340802702368216E-3"/>
    <n v="1240.68"/>
    <s v="High"/>
    <s v="Repeat"/>
    <s v="Above Avg"/>
    <s v="Loss"/>
    <n v="115"/>
  </r>
  <r>
    <n v="406"/>
    <d v="2025-02-09T00:00:00"/>
    <n v="1095"/>
    <s v="Customer_18"/>
    <x v="1"/>
    <x v="2"/>
    <s v="Electronics"/>
    <s v="Product_D"/>
    <n v="3263"/>
    <n v="8"/>
    <n v="0.15"/>
    <n v="562"/>
    <s v="COD"/>
    <n v="22188.3999999999"/>
    <s v="Feb"/>
    <n v="2025"/>
    <s v="Q1"/>
    <n v="2.5328550053181055E-2"/>
    <n v="3915.6"/>
    <s v="High"/>
    <s v="Repeat"/>
    <s v="Above Avg"/>
    <s v="Profit"/>
    <n v="65"/>
  </r>
  <r>
    <n v="407"/>
    <d v="2025-02-10T00:00:00"/>
    <n v="1027"/>
    <s v="Customer_179"/>
    <x v="1"/>
    <x v="3"/>
    <s v="Electronics"/>
    <s v="Product_D"/>
    <n v="1024"/>
    <n v="5"/>
    <n v="0.11"/>
    <n v="538"/>
    <s v="COD"/>
    <n v="4556.8"/>
    <s v="Feb"/>
    <n v="2025"/>
    <s v="Q1"/>
    <n v="0.11806530898876404"/>
    <n v="563.20000000000005"/>
    <s v="Medium"/>
    <s v="Repeat"/>
    <s v="Below Avg"/>
    <s v="Profit"/>
    <n v="337"/>
  </r>
  <r>
    <n v="408"/>
    <d v="2025-02-11T00:00:00"/>
    <n v="1065"/>
    <s v="Customer_50"/>
    <x v="0"/>
    <x v="1"/>
    <s v="Clothing"/>
    <s v="Product_A"/>
    <n v="2288"/>
    <n v="7"/>
    <n v="0.15"/>
    <n v="634"/>
    <s v="Card"/>
    <n v="13613.6"/>
    <s v="Feb"/>
    <n v="2025"/>
    <s v="Q1"/>
    <n v="4.6571075982840687E-2"/>
    <n v="2402.4"/>
    <s v="High"/>
    <s v="Repeat"/>
    <s v="Above Avg"/>
    <s v="Profit"/>
    <n v="152"/>
  </r>
  <r>
    <n v="409"/>
    <d v="2025-02-12T00:00:00"/>
    <n v="1016"/>
    <s v="Customer_43"/>
    <x v="0"/>
    <x v="2"/>
    <s v="Electronics"/>
    <s v="Product_A"/>
    <n v="4617"/>
    <n v="9"/>
    <n v="0.08"/>
    <n v="1491"/>
    <s v="Card"/>
    <n v="38228.76"/>
    <s v="Feb"/>
    <n v="2025"/>
    <s v="Q1"/>
    <n v="3.9002049765673799E-2"/>
    <n v="3324.2400000000002"/>
    <s v="High"/>
    <s v="Repeat"/>
    <s v="Above Avg"/>
    <s v="Profit"/>
    <n v="5"/>
  </r>
  <r>
    <n v="410"/>
    <d v="2025-02-13T00:00:00"/>
    <n v="1090"/>
    <s v="Customer_85"/>
    <x v="0"/>
    <x v="2"/>
    <s v="Clothing"/>
    <s v="Product_D"/>
    <n v="1303"/>
    <n v="5"/>
    <n v="0.18"/>
    <n v="826"/>
    <s v="Card"/>
    <n v="5342.3"/>
    <s v="Feb"/>
    <n v="2025"/>
    <s v="Q1"/>
    <n v="0.15461505344140164"/>
    <n v="1172.7"/>
    <s v="High"/>
    <s v="Repeat"/>
    <s v="Below Avg"/>
    <s v="Profit"/>
    <n v="315"/>
  </r>
  <r>
    <n v="411"/>
    <d v="2025-02-14T00:00:00"/>
    <n v="1001"/>
    <s v="Customer_46"/>
    <x v="0"/>
    <x v="0"/>
    <s v="Furniture"/>
    <s v="Product_A"/>
    <n v="2942"/>
    <n v="7"/>
    <n v="0.19"/>
    <n v="90"/>
    <s v="UPI"/>
    <n v="16681.14"/>
    <s v="Feb"/>
    <n v="2025"/>
    <s v="Q1"/>
    <n v="5.3953147087069595E-3"/>
    <n v="3912.86"/>
    <s v="High"/>
    <s v="Repeat"/>
    <s v="Above Avg"/>
    <s v="Profit"/>
    <n v="109"/>
  </r>
  <r>
    <n v="412"/>
    <d v="2025-02-15T00:00:00"/>
    <n v="1007"/>
    <s v="Customer_24"/>
    <x v="0"/>
    <x v="2"/>
    <s v="Furniture"/>
    <s v="Product_C"/>
    <n v="3138"/>
    <n v="8"/>
    <n v="0.06"/>
    <n v="281"/>
    <s v="COD"/>
    <n v="23597.759999999998"/>
    <s v="Feb"/>
    <n v="2025"/>
    <s v="Q1"/>
    <n v="1.1907909903312858E-2"/>
    <n v="1506.24"/>
    <s v="High"/>
    <s v="Repeat"/>
    <s v="Above Avg"/>
    <s v="Profit"/>
    <n v="55"/>
  </r>
  <r>
    <n v="413"/>
    <d v="2025-02-16T00:00:00"/>
    <n v="1037"/>
    <s v="Customer_5"/>
    <x v="1"/>
    <x v="0"/>
    <s v="Electronics"/>
    <s v="Product_C"/>
    <n v="2851"/>
    <n v="4"/>
    <n v="0.17"/>
    <n v="385"/>
    <s v="Card"/>
    <n v="9465.32"/>
    <s v="Feb"/>
    <n v="2025"/>
    <s v="Q1"/>
    <n v="4.0674800218059193E-2"/>
    <n v="1938.68"/>
    <s v="High"/>
    <s v="Repeat"/>
    <s v="Below Avg"/>
    <s v="Profit"/>
    <n v="219"/>
  </r>
  <r>
    <n v="414"/>
    <d v="2025-02-17T00:00:00"/>
    <n v="1019"/>
    <s v="Customer_158"/>
    <x v="0"/>
    <x v="1"/>
    <s v="Clothing"/>
    <s v="Product_A"/>
    <n v="1181"/>
    <n v="8"/>
    <n v="0.13"/>
    <n v="-134"/>
    <s v="COD"/>
    <n v="8219.76"/>
    <s v="Feb"/>
    <n v="2025"/>
    <s v="Q1"/>
    <n v="-1.6302179139050289E-2"/>
    <n v="1228.24"/>
    <s v="High"/>
    <s v="Repeat"/>
    <s v="Below Avg"/>
    <s v="Loss"/>
    <n v="243"/>
  </r>
  <r>
    <n v="415"/>
    <d v="2025-02-18T00:00:00"/>
    <n v="1063"/>
    <s v="Customer_43"/>
    <x v="1"/>
    <x v="2"/>
    <s v="Furniture"/>
    <s v="Product_A"/>
    <n v="4382"/>
    <n v="8"/>
    <n v="0.28999999999999998"/>
    <n v="420"/>
    <s v="UPI"/>
    <n v="24889.759999999998"/>
    <s v="Feb"/>
    <n v="2025"/>
    <s v="Q1"/>
    <n v="1.6874409395671152E-2"/>
    <n v="10166.24"/>
    <s v="High"/>
    <s v="Repeat"/>
    <s v="Above Avg"/>
    <s v="Profit"/>
    <n v="43"/>
  </r>
  <r>
    <n v="416"/>
    <d v="2025-02-19T00:00:00"/>
    <n v="1020"/>
    <s v="Customer_53"/>
    <x v="0"/>
    <x v="1"/>
    <s v="Furniture"/>
    <s v="Product_C"/>
    <n v="346"/>
    <n v="1"/>
    <n v="0.22"/>
    <n v="1283"/>
    <s v="COD"/>
    <n v="269.88"/>
    <s v="Feb"/>
    <n v="2025"/>
    <s v="Q1"/>
    <n v="4.7539647250629908"/>
    <n v="76.12"/>
    <s v="Low"/>
    <s v="Repeat"/>
    <s v="Below Avg"/>
    <s v="Profit"/>
    <n v="497"/>
  </r>
  <r>
    <n v="417"/>
    <d v="2025-02-20T00:00:00"/>
    <n v="1089"/>
    <s v="Customer_152"/>
    <x v="0"/>
    <x v="0"/>
    <s v="Electronics"/>
    <s v="Product_B"/>
    <n v="895"/>
    <n v="7"/>
    <n v="0.05"/>
    <n v="305"/>
    <s v="Card"/>
    <n v="5951.75"/>
    <s v="Feb"/>
    <n v="2025"/>
    <s v="Q1"/>
    <n v="5.1245432015793672E-2"/>
    <n v="313.25"/>
    <s v="High"/>
    <s v="Repeat"/>
    <s v="Below Avg"/>
    <s v="Profit"/>
    <n v="299"/>
  </r>
  <r>
    <n v="418"/>
    <d v="2025-02-21T00:00:00"/>
    <n v="1030"/>
    <s v="Customer_103"/>
    <x v="0"/>
    <x v="3"/>
    <s v="Clothing"/>
    <s v="Product_D"/>
    <n v="3786"/>
    <n v="6"/>
    <n v="0.26"/>
    <n v="1046"/>
    <s v="UPI"/>
    <n v="16809.84"/>
    <s v="Feb"/>
    <n v="2025"/>
    <s v="Q1"/>
    <n v="6.2225458421971892E-2"/>
    <n v="5906.16"/>
    <s v="High"/>
    <s v="Repeat"/>
    <s v="Above Avg"/>
    <s v="Profit"/>
    <n v="106"/>
  </r>
  <r>
    <n v="419"/>
    <d v="2025-02-22T00:00:00"/>
    <n v="1083"/>
    <s v="Customer_142"/>
    <x v="1"/>
    <x v="3"/>
    <s v="Electronics"/>
    <s v="Product_A"/>
    <n v="1037"/>
    <n v="9"/>
    <n v="0.14000000000000001"/>
    <n v="1107"/>
    <s v="Card"/>
    <n v="8026.38"/>
    <s v="Feb"/>
    <n v="2025"/>
    <s v="Q1"/>
    <n v="0.13792020811374492"/>
    <n v="1306.6200000000001"/>
    <s v="High"/>
    <s v="Repeat"/>
    <s v="Below Avg"/>
    <s v="Profit"/>
    <n v="253"/>
  </r>
  <r>
    <n v="420"/>
    <d v="2025-02-23T00:00:00"/>
    <n v="1069"/>
    <s v="Customer_164"/>
    <x v="1"/>
    <x v="1"/>
    <s v="Clothing"/>
    <s v="Product_B"/>
    <n v="2011"/>
    <n v="8"/>
    <n v="0.25"/>
    <n v="1506"/>
    <s v="Card"/>
    <n v="12066"/>
    <s v="Feb"/>
    <n v="2025"/>
    <s v="Q1"/>
    <n v="0.12481352560914968"/>
    <n v="4022"/>
    <s v="High"/>
    <s v="Repeat"/>
    <s v="Above Avg"/>
    <s v="Profit"/>
    <n v="166"/>
  </r>
  <r>
    <n v="421"/>
    <d v="2025-02-24T00:00:00"/>
    <n v="1014"/>
    <s v="Customer_154"/>
    <x v="0"/>
    <x v="3"/>
    <s v="Clothing"/>
    <s v="Product_D"/>
    <n v="1278"/>
    <n v="4"/>
    <n v="0.25"/>
    <n v="-41"/>
    <s v="Card"/>
    <n v="3834"/>
    <s v="Feb"/>
    <n v="2025"/>
    <s v="Q1"/>
    <n v="-1.069379238393323E-2"/>
    <n v="1278"/>
    <s v="Medium"/>
    <s v="Repeat"/>
    <s v="Below Avg"/>
    <s v="Loss"/>
    <n v="362"/>
  </r>
  <r>
    <n v="422"/>
    <d v="2025-02-25T00:00:00"/>
    <n v="1056"/>
    <s v="Customer_13"/>
    <x v="1"/>
    <x v="1"/>
    <s v="Clothing"/>
    <s v="Product_A"/>
    <n v="837"/>
    <n v="2"/>
    <n v="0.01"/>
    <n v="1937"/>
    <s v="COD"/>
    <n v="1657.26"/>
    <s v="Feb"/>
    <n v="2025"/>
    <s v="Q1"/>
    <n v="1.1687966885099501"/>
    <n v="16.740000000000002"/>
    <s v="Low"/>
    <s v="Repeat"/>
    <s v="Below Avg"/>
    <s v="Profit"/>
    <n v="449"/>
  </r>
  <r>
    <n v="423"/>
    <d v="2025-02-26T00:00:00"/>
    <n v="1000"/>
    <s v="Customer_21"/>
    <x v="0"/>
    <x v="3"/>
    <s v="Clothing"/>
    <s v="Product_A"/>
    <n v="734"/>
    <n v="3"/>
    <n v="7.0000000000000007E-2"/>
    <n v="1682"/>
    <s v="UPI"/>
    <n v="2047.86"/>
    <s v="Feb"/>
    <n v="2025"/>
    <s v="Q1"/>
    <n v="0.82134520914515641"/>
    <n v="154.14000000000001"/>
    <s v="Medium"/>
    <s v="Repeat"/>
    <s v="Below Avg"/>
    <s v="Profit"/>
    <n v="427"/>
  </r>
  <r>
    <n v="424"/>
    <d v="2025-02-27T00:00:00"/>
    <n v="1089"/>
    <s v="Customer_90"/>
    <x v="1"/>
    <x v="2"/>
    <s v="Electronics"/>
    <s v="Product_B"/>
    <n v="316"/>
    <n v="7"/>
    <n v="0.27"/>
    <n v="1139"/>
    <s v="Card"/>
    <n v="1614.76"/>
    <s v="Feb"/>
    <n v="2025"/>
    <s v="Q1"/>
    <n v="0.70536798038098536"/>
    <n v="597.24"/>
    <s v="Low"/>
    <s v="Repeat"/>
    <s v="Below Avg"/>
    <s v="Profit"/>
    <n v="453"/>
  </r>
  <r>
    <n v="425"/>
    <d v="2025-02-28T00:00:00"/>
    <n v="1028"/>
    <s v="Customer_98"/>
    <x v="0"/>
    <x v="0"/>
    <s v="Furniture"/>
    <s v="Product_D"/>
    <n v="519"/>
    <n v="9"/>
    <n v="0.23"/>
    <n v="411"/>
    <s v="Card"/>
    <n v="3596.67"/>
    <s v="Feb"/>
    <n v="2025"/>
    <s v="Q1"/>
    <n v="0.11427236860762872"/>
    <n v="1074.3300000000002"/>
    <s v="Medium"/>
    <s v="Repeat"/>
    <s v="Below Avg"/>
    <s v="Profit"/>
    <n v="369"/>
  </r>
  <r>
    <n v="426"/>
    <d v="2025-03-01T00:00:00"/>
    <n v="1065"/>
    <s v="Customer_40"/>
    <x v="0"/>
    <x v="3"/>
    <s v="Clothing"/>
    <s v="Product_A"/>
    <n v="2662"/>
    <n v="3"/>
    <n v="0.04"/>
    <n v="1264"/>
    <s v="UPI"/>
    <n v="7666.5599999999904"/>
    <s v="Mar"/>
    <n v="2025"/>
    <s v="Q1"/>
    <n v="0.16487185908673532"/>
    <n v="319.44"/>
    <s v="High"/>
    <s v="Repeat"/>
    <s v="Below Avg"/>
    <s v="Profit"/>
    <n v="260"/>
  </r>
  <r>
    <n v="427"/>
    <d v="2025-03-02T00:00:00"/>
    <n v="1021"/>
    <s v="Customer_43"/>
    <x v="0"/>
    <x v="1"/>
    <s v="Clothing"/>
    <s v="Product_D"/>
    <n v="408"/>
    <n v="7"/>
    <n v="0.06"/>
    <n v="1876"/>
    <s v="Card"/>
    <n v="2684.64"/>
    <s v="Mar"/>
    <n v="2025"/>
    <s v="Q1"/>
    <n v="0.69879015435961622"/>
    <n v="171.35999999999999"/>
    <s v="Medium"/>
    <s v="Repeat"/>
    <s v="Below Avg"/>
    <s v="Profit"/>
    <n v="402"/>
  </r>
  <r>
    <n v="428"/>
    <d v="2025-03-03T00:00:00"/>
    <n v="1060"/>
    <s v="Customer_59"/>
    <x v="0"/>
    <x v="0"/>
    <s v="Clothing"/>
    <s v="Product_D"/>
    <n v="4903"/>
    <n v="1"/>
    <n v="0.19"/>
    <n v="1541"/>
    <s v="UPI"/>
    <n v="3971.43"/>
    <s v="Mar"/>
    <n v="2025"/>
    <s v="Q1"/>
    <n v="0.38802144315775428"/>
    <n v="931.57"/>
    <s v="Medium"/>
    <s v="Repeat"/>
    <s v="Below Avg"/>
    <s v="Profit"/>
    <n v="355"/>
  </r>
  <r>
    <n v="429"/>
    <d v="2025-03-04T00:00:00"/>
    <n v="1028"/>
    <s v="Customer_49"/>
    <x v="1"/>
    <x v="2"/>
    <s v="Electronics"/>
    <s v="Product_D"/>
    <n v="1966"/>
    <n v="3"/>
    <n v="0.08"/>
    <n v="919"/>
    <s v="Card"/>
    <n v="5426.16"/>
    <s v="Mar"/>
    <n v="2025"/>
    <s v="Q1"/>
    <n v="0.16936470726996625"/>
    <n v="471.84000000000003"/>
    <s v="High"/>
    <s v="Repeat"/>
    <s v="Below Avg"/>
    <s v="Profit"/>
    <n v="311"/>
  </r>
  <r>
    <n v="430"/>
    <d v="2025-03-05T00:00:00"/>
    <n v="1008"/>
    <s v="Customer_175"/>
    <x v="1"/>
    <x v="2"/>
    <s v="Clothing"/>
    <s v="Product_B"/>
    <n v="1083"/>
    <n v="2"/>
    <n v="0.06"/>
    <n v="25"/>
    <s v="Card"/>
    <n v="2036.04"/>
    <s v="Mar"/>
    <n v="2025"/>
    <s v="Q1"/>
    <n v="1.2278737156440934E-2"/>
    <n v="129.96"/>
    <s v="Medium"/>
    <s v="Repeat"/>
    <s v="Below Avg"/>
    <s v="Profit"/>
    <n v="429"/>
  </r>
  <r>
    <n v="431"/>
    <d v="2025-03-06T00:00:00"/>
    <n v="1040"/>
    <s v="Customer_147"/>
    <x v="1"/>
    <x v="1"/>
    <s v="Furniture"/>
    <s v="Product_D"/>
    <n v="3878"/>
    <n v="6"/>
    <n v="0.3"/>
    <n v="227"/>
    <s v="Card"/>
    <n v="16287.5999999999"/>
    <s v="Mar"/>
    <n v="2025"/>
    <s v="Q1"/>
    <n v="1.3936982735332485E-2"/>
    <n v="6980.4"/>
    <s v="High"/>
    <s v="Repeat"/>
    <s v="Above Avg"/>
    <s v="Profit"/>
    <n v="120"/>
  </r>
  <r>
    <n v="432"/>
    <d v="2025-03-07T00:00:00"/>
    <n v="1020"/>
    <s v="Customer_140"/>
    <x v="0"/>
    <x v="3"/>
    <s v="Clothing"/>
    <s v="Product_C"/>
    <n v="2387"/>
    <n v="9"/>
    <n v="0.14000000000000001"/>
    <n v="-68"/>
    <s v="COD"/>
    <n v="18475.38"/>
    <s v="Mar"/>
    <n v="2025"/>
    <s v="Q1"/>
    <n v="-3.6805738231094568E-3"/>
    <n v="3007.6200000000003"/>
    <s v="High"/>
    <s v="Repeat"/>
    <s v="Above Avg"/>
    <s v="Loss"/>
    <n v="88"/>
  </r>
  <r>
    <n v="433"/>
    <d v="2025-03-08T00:00:00"/>
    <n v="1054"/>
    <s v="Customer_36"/>
    <x v="0"/>
    <x v="3"/>
    <s v="Furniture"/>
    <s v="Product_A"/>
    <n v="3414"/>
    <n v="3"/>
    <n v="0.16"/>
    <n v="1361"/>
    <s v="UPI"/>
    <n v="8603.2799999999897"/>
    <s v="Mar"/>
    <n v="2025"/>
    <s v="Q1"/>
    <n v="0.15819547893361621"/>
    <n v="1638.72"/>
    <s v="High"/>
    <s v="Repeat"/>
    <s v="Below Avg"/>
    <s v="Profit"/>
    <n v="236"/>
  </r>
  <r>
    <n v="434"/>
    <d v="2025-03-09T00:00:00"/>
    <n v="1095"/>
    <s v="Customer_122"/>
    <x v="0"/>
    <x v="0"/>
    <s v="Furniture"/>
    <s v="Product_D"/>
    <n v="661"/>
    <n v="8"/>
    <n v="0.2"/>
    <n v="31"/>
    <s v="COD"/>
    <n v="4230.3999999999996"/>
    <s v="Mar"/>
    <n v="2025"/>
    <s v="Q1"/>
    <n v="7.3279122541603636E-3"/>
    <n v="1057.6000000000001"/>
    <s v="Medium"/>
    <s v="Repeat"/>
    <s v="Below Avg"/>
    <s v="Profit"/>
    <n v="345"/>
  </r>
  <r>
    <n v="435"/>
    <d v="2025-03-10T00:00:00"/>
    <n v="1095"/>
    <s v="Customer_94"/>
    <x v="0"/>
    <x v="1"/>
    <s v="Electronics"/>
    <s v="Product_A"/>
    <n v="3695"/>
    <n v="9"/>
    <n v="0.02"/>
    <n v="1064"/>
    <s v="COD"/>
    <n v="32589.8999999999"/>
    <s v="Mar"/>
    <n v="2025"/>
    <s v="Q1"/>
    <n v="3.2648151727989447E-2"/>
    <n v="665.1"/>
    <s v="High"/>
    <s v="Repeat"/>
    <s v="Above Avg"/>
    <s v="Profit"/>
    <n v="19"/>
  </r>
  <r>
    <n v="436"/>
    <d v="2025-03-11T00:00:00"/>
    <n v="1039"/>
    <s v="Customer_108"/>
    <x v="1"/>
    <x v="1"/>
    <s v="Furniture"/>
    <s v="Product_C"/>
    <n v="4987"/>
    <n v="8"/>
    <n v="0.12"/>
    <n v="1901"/>
    <s v="UPI"/>
    <n v="35108.480000000003"/>
    <s v="Mar"/>
    <n v="2025"/>
    <s v="Q1"/>
    <n v="5.4146462620996406E-2"/>
    <n v="4787.5199999999995"/>
    <s v="High"/>
    <s v="Repeat"/>
    <s v="Above Avg"/>
    <s v="Profit"/>
    <n v="11"/>
  </r>
  <r>
    <n v="437"/>
    <d v="2025-03-12T00:00:00"/>
    <n v="1025"/>
    <s v="Customer_33"/>
    <x v="1"/>
    <x v="0"/>
    <s v="Clothing"/>
    <s v="Product_C"/>
    <n v="1502"/>
    <n v="9"/>
    <n v="0.27"/>
    <n v="407"/>
    <s v="UPI"/>
    <n v="9868.14"/>
    <s v="Mar"/>
    <n v="2025"/>
    <s v="Q1"/>
    <n v="4.1243841291266646E-2"/>
    <n v="3649.86"/>
    <s v="High"/>
    <s v="Repeat"/>
    <s v="Below Avg"/>
    <s v="Profit"/>
    <n v="205"/>
  </r>
  <r>
    <n v="438"/>
    <d v="2025-03-13T00:00:00"/>
    <n v="1047"/>
    <s v="Customer_108"/>
    <x v="1"/>
    <x v="0"/>
    <s v="Furniture"/>
    <s v="Product_C"/>
    <n v="2678"/>
    <n v="9"/>
    <n v="0.28000000000000003"/>
    <n v="-115"/>
    <s v="UPI"/>
    <n v="17353.439999999999"/>
    <s v="Mar"/>
    <n v="2025"/>
    <s v="Q1"/>
    <n v="-6.626928147963747E-3"/>
    <n v="6748.56"/>
    <s v="High"/>
    <s v="Repeat"/>
    <s v="Above Avg"/>
    <s v="Loss"/>
    <n v="100"/>
  </r>
  <r>
    <n v="439"/>
    <d v="2025-03-14T00:00:00"/>
    <n v="1076"/>
    <s v="Customer_127"/>
    <x v="1"/>
    <x v="3"/>
    <s v="Clothing"/>
    <s v="Product_C"/>
    <n v="3044"/>
    <n v="3"/>
    <n v="0.15"/>
    <n v="151"/>
    <s v="UPI"/>
    <n v="7762.2"/>
    <s v="Mar"/>
    <n v="2025"/>
    <s v="Q1"/>
    <n v="1.9453247790574838E-2"/>
    <n v="1369.8"/>
    <s v="High"/>
    <s v="Repeat"/>
    <s v="Below Avg"/>
    <s v="Profit"/>
    <n v="257"/>
  </r>
  <r>
    <n v="440"/>
    <d v="2025-03-15T00:00:00"/>
    <n v="1002"/>
    <s v="Customer_87"/>
    <x v="0"/>
    <x v="0"/>
    <s v="Furniture"/>
    <s v="Product_A"/>
    <n v="670"/>
    <n v="9"/>
    <n v="0.27"/>
    <n v="-290"/>
    <s v="Card"/>
    <n v="4401.8999999999996"/>
    <s v="Mar"/>
    <n v="2025"/>
    <s v="Q1"/>
    <n v="-6.5880642449851201E-2"/>
    <n v="1628.1000000000001"/>
    <s v="Medium"/>
    <s v="Repeat"/>
    <s v="Below Avg"/>
    <s v="Loss"/>
    <n v="340"/>
  </r>
  <r>
    <n v="441"/>
    <d v="2025-03-16T00:00:00"/>
    <n v="1095"/>
    <s v="Customer_62"/>
    <x v="0"/>
    <x v="1"/>
    <s v="Clothing"/>
    <s v="Product_D"/>
    <n v="2551"/>
    <n v="1"/>
    <n v="0.15"/>
    <n v="453"/>
    <s v="COD"/>
    <n v="2168.35"/>
    <s v="Mar"/>
    <n v="2025"/>
    <s v="Q1"/>
    <n v="0.20891461249337054"/>
    <n v="382.65"/>
    <s v="Medium"/>
    <s v="Repeat"/>
    <s v="Below Avg"/>
    <s v="Profit"/>
    <n v="420"/>
  </r>
  <r>
    <n v="442"/>
    <d v="2025-03-17T00:00:00"/>
    <n v="1032"/>
    <s v="Customer_169"/>
    <x v="1"/>
    <x v="2"/>
    <s v="Electronics"/>
    <s v="Product_B"/>
    <n v="1755"/>
    <n v="4"/>
    <n v="0.3"/>
    <n v="678"/>
    <s v="COD"/>
    <n v="4914"/>
    <s v="Mar"/>
    <n v="2025"/>
    <s v="Q1"/>
    <n v="0.13797313797313798"/>
    <n v="2106"/>
    <s v="Medium"/>
    <s v="Repeat"/>
    <s v="Below Avg"/>
    <s v="Profit"/>
    <n v="327"/>
  </r>
  <r>
    <n v="443"/>
    <d v="2025-03-18T00:00:00"/>
    <n v="1096"/>
    <s v="Customer_19"/>
    <x v="1"/>
    <x v="2"/>
    <s v="Clothing"/>
    <s v="Product_D"/>
    <n v="4413"/>
    <n v="1"/>
    <n v="0.24"/>
    <n v="-325"/>
    <s v="Card"/>
    <n v="3353.88"/>
    <s v="Mar"/>
    <n v="2025"/>
    <s v="Q1"/>
    <n v="-9.6902691807697353E-2"/>
    <n v="1059.1199999999999"/>
    <s v="Medium"/>
    <s v="Repeat"/>
    <s v="Below Avg"/>
    <s v="Loss"/>
    <n v="383"/>
  </r>
  <r>
    <n v="444"/>
    <d v="2025-03-19T00:00:00"/>
    <n v="1041"/>
    <s v="Customer_101"/>
    <x v="0"/>
    <x v="2"/>
    <s v="Electronics"/>
    <s v="Product_D"/>
    <n v="4983"/>
    <n v="2"/>
    <n v="0.25"/>
    <n v="159"/>
    <s v="COD"/>
    <n v="7474.5"/>
    <s v="Mar"/>
    <n v="2025"/>
    <s v="Q1"/>
    <n v="2.1272325908087499E-2"/>
    <n v="2491.5"/>
    <s v="High"/>
    <s v="Repeat"/>
    <s v="Below Avg"/>
    <s v="Profit"/>
    <n v="265"/>
  </r>
  <r>
    <n v="445"/>
    <d v="2025-03-20T00:00:00"/>
    <n v="1076"/>
    <s v="Customer_31"/>
    <x v="0"/>
    <x v="2"/>
    <s v="Clothing"/>
    <s v="Product_A"/>
    <n v="2328"/>
    <n v="4"/>
    <n v="0.06"/>
    <n v="878"/>
    <s v="COD"/>
    <n v="8753.2799999999897"/>
    <s v="Mar"/>
    <n v="2025"/>
    <s v="Q1"/>
    <n v="0.10030525700080439"/>
    <n v="558.72"/>
    <s v="High"/>
    <s v="Repeat"/>
    <s v="Below Avg"/>
    <s v="Profit"/>
    <n v="234"/>
  </r>
  <r>
    <n v="446"/>
    <d v="2025-03-21T00:00:00"/>
    <n v="1042"/>
    <s v="Customer_50"/>
    <x v="0"/>
    <x v="1"/>
    <s v="Furniture"/>
    <s v="Product_D"/>
    <n v="4886"/>
    <n v="8"/>
    <n v="0"/>
    <n v="-420"/>
    <s v="UPI"/>
    <n v="39088"/>
    <s v="Mar"/>
    <n v="2025"/>
    <s v="Q1"/>
    <n v="-1.0744985673352435E-2"/>
    <n v="0"/>
    <s v="High"/>
    <s v="New"/>
    <s v="Above Avg"/>
    <s v="Loss"/>
    <n v="4"/>
  </r>
  <r>
    <n v="447"/>
    <d v="2025-03-22T00:00:00"/>
    <n v="1069"/>
    <s v="Customer_170"/>
    <x v="0"/>
    <x v="2"/>
    <s v="Clothing"/>
    <s v="Product_C"/>
    <n v="2947"/>
    <n v="6"/>
    <n v="0.15"/>
    <n v="963"/>
    <s v="Card"/>
    <n v="15029.699999999901"/>
    <s v="Mar"/>
    <n v="2025"/>
    <s v="Q1"/>
    <n v="6.4073135192319636E-2"/>
    <n v="2652.2999999999997"/>
    <s v="High"/>
    <s v="Repeat"/>
    <s v="Above Avg"/>
    <s v="Profit"/>
    <n v="137"/>
  </r>
  <r>
    <n v="448"/>
    <d v="2025-03-23T00:00:00"/>
    <n v="1003"/>
    <s v="Customer_103"/>
    <x v="1"/>
    <x v="1"/>
    <s v="Furniture"/>
    <s v="Product_A"/>
    <n v="3985"/>
    <n v="4"/>
    <n v="0.28999999999999998"/>
    <n v="735"/>
    <s v="Card"/>
    <n v="11317.4"/>
    <s v="Mar"/>
    <n v="2025"/>
    <s v="Q1"/>
    <n v="6.494424514464453E-2"/>
    <n v="4622.5999999999995"/>
    <s v="High"/>
    <s v="Repeat"/>
    <s v="Above Avg"/>
    <s v="Profit"/>
    <n v="185"/>
  </r>
  <r>
    <n v="449"/>
    <d v="2025-03-24T00:00:00"/>
    <n v="1063"/>
    <s v="Customer_17"/>
    <x v="0"/>
    <x v="3"/>
    <s v="Clothing"/>
    <s v="Product_B"/>
    <n v="444"/>
    <n v="4"/>
    <n v="0.28999999999999998"/>
    <n v="1226"/>
    <s v="Card"/>
    <n v="1260.96"/>
    <s v="Mar"/>
    <n v="2025"/>
    <s v="Q1"/>
    <n v="0.97227509199340179"/>
    <n v="515.04"/>
    <s v="Low"/>
    <s v="Repeat"/>
    <s v="Below Avg"/>
    <s v="Profit"/>
    <n v="467"/>
  </r>
  <r>
    <n v="450"/>
    <d v="2025-03-25T00:00:00"/>
    <n v="1069"/>
    <s v="Customer_196"/>
    <x v="0"/>
    <x v="2"/>
    <s v="Clothing"/>
    <s v="Product_A"/>
    <n v="3283"/>
    <n v="6"/>
    <n v="0.18"/>
    <n v="-475"/>
    <s v="Card"/>
    <n v="16152.36"/>
    <s v="Mar"/>
    <n v="2025"/>
    <s v="Q1"/>
    <n v="-2.9407467391761945E-2"/>
    <n v="3545.64"/>
    <s v="High"/>
    <s v="Repeat"/>
    <s v="Above Avg"/>
    <s v="Loss"/>
    <n v="124"/>
  </r>
  <r>
    <n v="451"/>
    <d v="2025-03-26T00:00:00"/>
    <n v="1050"/>
    <s v="Customer_6"/>
    <x v="0"/>
    <x v="1"/>
    <s v="Clothing"/>
    <s v="Product_A"/>
    <n v="3777"/>
    <n v="1"/>
    <n v="0.06"/>
    <n v="658"/>
    <s v="UPI"/>
    <n v="3550.3799999999901"/>
    <s v="Mar"/>
    <n v="2025"/>
    <s v="Q1"/>
    <n v="0.18533227429176646"/>
    <n v="226.62"/>
    <s v="Medium"/>
    <s v="Repeat"/>
    <s v="Below Avg"/>
    <s v="Profit"/>
    <n v="375"/>
  </r>
  <r>
    <n v="452"/>
    <d v="2025-03-27T00:00:00"/>
    <n v="1066"/>
    <s v="Customer_60"/>
    <x v="1"/>
    <x v="3"/>
    <s v="Electronics"/>
    <s v="Product_B"/>
    <n v="4411"/>
    <n v="5"/>
    <n v="0"/>
    <n v="1052"/>
    <s v="COD"/>
    <n v="22055"/>
    <s v="Mar"/>
    <n v="2025"/>
    <s v="Q1"/>
    <n v="4.7698934481976873E-2"/>
    <n v="0"/>
    <s v="High"/>
    <s v="Repeat"/>
    <s v="Above Avg"/>
    <s v="Profit"/>
    <n v="66"/>
  </r>
  <r>
    <n v="453"/>
    <d v="2025-03-28T00:00:00"/>
    <n v="1090"/>
    <s v="Customer_19"/>
    <x v="1"/>
    <x v="3"/>
    <s v="Furniture"/>
    <s v="Product_A"/>
    <n v="2976"/>
    <n v="4"/>
    <n v="0.15"/>
    <n v="1151"/>
    <s v="Card"/>
    <n v="10118.4"/>
    <s v="Mar"/>
    <n v="2025"/>
    <s v="Q1"/>
    <n v="0.11375316255534472"/>
    <n v="1785.6"/>
    <s v="High"/>
    <s v="Repeat"/>
    <s v="Below Avg"/>
    <s v="Profit"/>
    <n v="199"/>
  </r>
  <r>
    <n v="454"/>
    <d v="2025-03-29T00:00:00"/>
    <n v="1083"/>
    <s v="Customer_186"/>
    <x v="1"/>
    <x v="3"/>
    <s v="Electronics"/>
    <s v="Product_C"/>
    <n v="504"/>
    <n v="8"/>
    <n v="0.09"/>
    <n v="1073"/>
    <s v="UPI"/>
    <n v="3669.12"/>
    <s v="Mar"/>
    <n v="2025"/>
    <s v="Q1"/>
    <n v="0.2924406942264085"/>
    <n v="362.88"/>
    <s v="Medium"/>
    <s v="Repeat"/>
    <s v="Below Avg"/>
    <s v="Profit"/>
    <n v="367"/>
  </r>
  <r>
    <n v="455"/>
    <d v="2025-03-30T00:00:00"/>
    <n v="1017"/>
    <s v="Customer_40"/>
    <x v="1"/>
    <x v="2"/>
    <s v="Electronics"/>
    <s v="Product_D"/>
    <n v="2002"/>
    <n v="9"/>
    <n v="0.1"/>
    <n v="-460"/>
    <s v="UPI"/>
    <n v="16216.2"/>
    <s v="Mar"/>
    <n v="2025"/>
    <s v="Q1"/>
    <n v="-2.83666950333617E-2"/>
    <n v="1801.8000000000002"/>
    <s v="High"/>
    <s v="Repeat"/>
    <s v="Above Avg"/>
    <s v="Loss"/>
    <n v="121"/>
  </r>
  <r>
    <n v="456"/>
    <d v="2025-03-31T00:00:00"/>
    <n v="1019"/>
    <s v="Customer_124"/>
    <x v="0"/>
    <x v="0"/>
    <s v="Electronics"/>
    <s v="Product_A"/>
    <n v="272"/>
    <n v="2"/>
    <n v="0.25"/>
    <n v="237"/>
    <s v="COD"/>
    <n v="408"/>
    <s v="Mar"/>
    <n v="2025"/>
    <s v="Q1"/>
    <n v="0.58088235294117652"/>
    <n v="136"/>
    <s v="Low"/>
    <s v="Repeat"/>
    <s v="Below Avg"/>
    <s v="Profit"/>
    <n v="495"/>
  </r>
  <r>
    <n v="457"/>
    <d v="2025-04-01T00:00:00"/>
    <n v="1029"/>
    <s v="Customer_45"/>
    <x v="0"/>
    <x v="1"/>
    <s v="Electronics"/>
    <s v="Product_B"/>
    <n v="1217"/>
    <n v="2"/>
    <n v="0.03"/>
    <n v="1969"/>
    <s v="COD"/>
    <n v="2360.98"/>
    <s v="Apr"/>
    <n v="2025"/>
    <s v="Q2"/>
    <n v="0.83397572194597158"/>
    <n v="73.02"/>
    <s v="Medium"/>
    <s v="Repeat"/>
    <s v="Below Avg"/>
    <s v="Profit"/>
    <n v="414"/>
  </r>
  <r>
    <n v="458"/>
    <d v="2025-04-02T00:00:00"/>
    <n v="1073"/>
    <s v="Customer_42"/>
    <x v="1"/>
    <x v="2"/>
    <s v="Clothing"/>
    <s v="Product_D"/>
    <n v="1801"/>
    <n v="8"/>
    <n v="0.03"/>
    <n v="1897"/>
    <s v="Card"/>
    <n v="13975.76"/>
    <s v="Apr"/>
    <n v="2025"/>
    <s v="Q2"/>
    <n v="0.13573501548395223"/>
    <n v="432.24"/>
    <s v="High"/>
    <s v="Repeat"/>
    <s v="Above Avg"/>
    <s v="Profit"/>
    <n v="148"/>
  </r>
  <r>
    <n v="459"/>
    <d v="2025-04-03T00:00:00"/>
    <n v="1051"/>
    <s v="Customer_70"/>
    <x v="1"/>
    <x v="1"/>
    <s v="Clothing"/>
    <s v="Product_C"/>
    <n v="4044"/>
    <n v="6"/>
    <n v="0.13"/>
    <n v="-422"/>
    <s v="Card"/>
    <n v="21109.68"/>
    <s v="Apr"/>
    <n v="2025"/>
    <s v="Q2"/>
    <n v="-1.9990828851976911E-2"/>
    <n v="3154.32"/>
    <s v="High"/>
    <s v="Repeat"/>
    <s v="Above Avg"/>
    <s v="Loss"/>
    <n v="75"/>
  </r>
  <r>
    <n v="460"/>
    <d v="2025-04-04T00:00:00"/>
    <n v="1022"/>
    <s v="Customer_152"/>
    <x v="1"/>
    <x v="1"/>
    <s v="Electronics"/>
    <s v="Product_D"/>
    <n v="1017"/>
    <n v="8"/>
    <n v="0.12"/>
    <n v="622"/>
    <s v="COD"/>
    <n v="7159.68"/>
    <s v="Apr"/>
    <n v="2025"/>
    <s v="Q2"/>
    <n v="8.68753910789309E-2"/>
    <n v="976.31999999999994"/>
    <s v="High"/>
    <s v="Repeat"/>
    <s v="Below Avg"/>
    <s v="Profit"/>
    <n v="272"/>
  </r>
  <r>
    <n v="461"/>
    <d v="2025-04-05T00:00:00"/>
    <n v="1046"/>
    <s v="Customer_150"/>
    <x v="0"/>
    <x v="0"/>
    <s v="Electronics"/>
    <s v="Product_C"/>
    <n v="3058"/>
    <n v="1"/>
    <n v="0.02"/>
    <n v="1633"/>
    <s v="Card"/>
    <n v="2996.84"/>
    <s v="Apr"/>
    <n v="2025"/>
    <s v="Q2"/>
    <n v="0.54490730235848428"/>
    <n v="61.160000000000004"/>
    <s v="Medium"/>
    <s v="Repeat"/>
    <s v="Below Avg"/>
    <s v="Profit"/>
    <n v="393"/>
  </r>
  <r>
    <n v="462"/>
    <d v="2025-04-06T00:00:00"/>
    <n v="1002"/>
    <s v="Customer_53"/>
    <x v="0"/>
    <x v="2"/>
    <s v="Electronics"/>
    <s v="Product_C"/>
    <n v="3212"/>
    <n v="3"/>
    <n v="0.16"/>
    <n v="-72"/>
    <s v="COD"/>
    <n v="8094.24"/>
    <s v="Apr"/>
    <n v="2025"/>
    <s v="Q2"/>
    <n v="-8.8952143746664301E-3"/>
    <n v="1541.76"/>
    <s v="High"/>
    <s v="Repeat"/>
    <s v="Below Avg"/>
    <s v="Loss"/>
    <n v="249"/>
  </r>
  <r>
    <n v="463"/>
    <d v="2025-04-07T00:00:00"/>
    <n v="1049"/>
    <s v="Customer_78"/>
    <x v="0"/>
    <x v="0"/>
    <s v="Furniture"/>
    <s v="Product_C"/>
    <n v="1965"/>
    <n v="7"/>
    <n v="0.13"/>
    <n v="510"/>
    <s v="COD"/>
    <n v="11966.85"/>
    <s v="Apr"/>
    <n v="2025"/>
    <s v="Q2"/>
    <n v="4.2617731483222399E-2"/>
    <n v="1788.15"/>
    <s v="High"/>
    <s v="Repeat"/>
    <s v="Above Avg"/>
    <s v="Profit"/>
    <n v="168"/>
  </r>
  <r>
    <n v="464"/>
    <d v="2025-04-08T00:00:00"/>
    <n v="1008"/>
    <s v="Customer_152"/>
    <x v="0"/>
    <x v="3"/>
    <s v="Furniture"/>
    <s v="Product_A"/>
    <n v="406"/>
    <n v="7"/>
    <n v="0.3"/>
    <n v="648"/>
    <s v="COD"/>
    <n v="1989.3999999999901"/>
    <s v="Apr"/>
    <n v="2025"/>
    <s v="Q2"/>
    <n v="0.32572634965316338"/>
    <n v="852.6"/>
    <s v="Low"/>
    <s v="Repeat"/>
    <s v="Below Avg"/>
    <s v="Profit"/>
    <n v="431"/>
  </r>
  <r>
    <n v="465"/>
    <d v="2025-04-09T00:00:00"/>
    <n v="1018"/>
    <s v="Customer_153"/>
    <x v="0"/>
    <x v="2"/>
    <s v="Clothing"/>
    <s v="Product_C"/>
    <n v="1951"/>
    <n v="5"/>
    <n v="0.02"/>
    <n v="575"/>
    <s v="Card"/>
    <n v="9559.9"/>
    <s v="Apr"/>
    <n v="2025"/>
    <s v="Q2"/>
    <n v="6.0147072668124149E-2"/>
    <n v="195.1"/>
    <s v="High"/>
    <s v="Repeat"/>
    <s v="Below Avg"/>
    <s v="Profit"/>
    <n v="214"/>
  </r>
  <r>
    <n v="466"/>
    <d v="2025-04-10T00:00:00"/>
    <n v="1035"/>
    <s v="Customer_145"/>
    <x v="0"/>
    <x v="3"/>
    <s v="Furniture"/>
    <s v="Product_D"/>
    <n v="930"/>
    <n v="9"/>
    <n v="0.04"/>
    <n v="-226"/>
    <s v="Card"/>
    <n v="8035.2"/>
    <s v="Apr"/>
    <n v="2025"/>
    <s v="Q2"/>
    <n v="-2.8126244524093989E-2"/>
    <n v="334.8"/>
    <s v="High"/>
    <s v="Repeat"/>
    <s v="Below Avg"/>
    <s v="Loss"/>
    <n v="252"/>
  </r>
  <r>
    <n v="467"/>
    <d v="2025-04-11T00:00:00"/>
    <n v="1039"/>
    <s v="Customer_123"/>
    <x v="0"/>
    <x v="0"/>
    <s v="Electronics"/>
    <s v="Product_A"/>
    <n v="524"/>
    <n v="2"/>
    <n v="0.05"/>
    <n v="563"/>
    <s v="Card"/>
    <n v="995.599999999999"/>
    <s v="Apr"/>
    <n v="2025"/>
    <s v="Q2"/>
    <n v="0.56548814785054291"/>
    <n v="52.400000000000006"/>
    <s v="Low"/>
    <s v="Repeat"/>
    <s v="Below Avg"/>
    <s v="Profit"/>
    <n v="480"/>
  </r>
  <r>
    <n v="468"/>
    <d v="2025-04-12T00:00:00"/>
    <n v="1026"/>
    <s v="Customer_115"/>
    <x v="1"/>
    <x v="3"/>
    <s v="Furniture"/>
    <s v="Product_B"/>
    <n v="3851"/>
    <n v="1"/>
    <n v="0.1"/>
    <n v="1436"/>
    <s v="UPI"/>
    <n v="3465.9"/>
    <s v="Apr"/>
    <n v="2025"/>
    <s v="Q2"/>
    <n v="0.41432239822268385"/>
    <n v="385.1"/>
    <s v="Medium"/>
    <s v="Repeat"/>
    <s v="Below Avg"/>
    <s v="Profit"/>
    <n v="377"/>
  </r>
  <r>
    <n v="469"/>
    <d v="2025-04-13T00:00:00"/>
    <n v="1091"/>
    <s v="Customer_110"/>
    <x v="1"/>
    <x v="1"/>
    <s v="Electronics"/>
    <s v="Product_A"/>
    <n v="4972"/>
    <n v="3"/>
    <n v="0.2"/>
    <n v="1594"/>
    <s v="COD"/>
    <n v="11932.8"/>
    <s v="Apr"/>
    <n v="2025"/>
    <s v="Q2"/>
    <n v="0.13358138911236256"/>
    <n v="2983.2000000000003"/>
    <s v="High"/>
    <s v="Repeat"/>
    <s v="Above Avg"/>
    <s v="Profit"/>
    <n v="169"/>
  </r>
  <r>
    <n v="470"/>
    <d v="2025-04-14T00:00:00"/>
    <n v="1071"/>
    <s v="Customer_163"/>
    <x v="0"/>
    <x v="0"/>
    <s v="Furniture"/>
    <s v="Product_C"/>
    <n v="1905"/>
    <n v="7"/>
    <n v="0.28999999999999998"/>
    <n v="-284"/>
    <s v="UPI"/>
    <n v="9467.85"/>
    <s v="Apr"/>
    <n v="2025"/>
    <s v="Q2"/>
    <n v="-2.9996250468691414E-2"/>
    <n v="3867.1499999999996"/>
    <s v="High"/>
    <s v="Repeat"/>
    <s v="Below Avg"/>
    <s v="Loss"/>
    <n v="218"/>
  </r>
  <r>
    <n v="471"/>
    <d v="2025-04-15T00:00:00"/>
    <n v="1071"/>
    <s v="Customer_56"/>
    <x v="1"/>
    <x v="3"/>
    <s v="Furniture"/>
    <s v="Product_B"/>
    <n v="4820"/>
    <n v="8"/>
    <n v="0.27"/>
    <n v="148"/>
    <s v="COD"/>
    <n v="28148.799999999999"/>
    <s v="Apr"/>
    <n v="2025"/>
    <s v="Q2"/>
    <n v="5.257772977888933E-3"/>
    <n v="10411.200000000001"/>
    <s v="High"/>
    <s v="Repeat"/>
    <s v="Above Avg"/>
    <s v="Profit"/>
    <n v="28"/>
  </r>
  <r>
    <n v="472"/>
    <d v="2025-04-16T00:00:00"/>
    <n v="1081"/>
    <s v="Customer_28"/>
    <x v="1"/>
    <x v="3"/>
    <s v="Furniture"/>
    <s v="Product_C"/>
    <n v="2519"/>
    <n v="8"/>
    <n v="0.13"/>
    <n v="1049"/>
    <s v="COD"/>
    <n v="17532.240000000002"/>
    <s v="Apr"/>
    <n v="2025"/>
    <s v="Q2"/>
    <n v="5.9832628346406388E-2"/>
    <n v="2619.7600000000002"/>
    <s v="High"/>
    <s v="Repeat"/>
    <s v="Above Avg"/>
    <s v="Profit"/>
    <n v="96"/>
  </r>
  <r>
    <n v="473"/>
    <d v="2025-04-17T00:00:00"/>
    <n v="1020"/>
    <s v="Customer_194"/>
    <x v="1"/>
    <x v="3"/>
    <s v="Clothing"/>
    <s v="Product_B"/>
    <n v="191"/>
    <n v="2"/>
    <n v="0.02"/>
    <n v="453"/>
    <s v="Card"/>
    <n v="374.36"/>
    <s v="Apr"/>
    <n v="2025"/>
    <s v="Q2"/>
    <n v="1.2100651779036222"/>
    <n v="7.6400000000000006"/>
    <s v="Low"/>
    <s v="Repeat"/>
    <s v="Below Avg"/>
    <s v="Profit"/>
    <n v="496"/>
  </r>
  <r>
    <n v="474"/>
    <d v="2025-04-18T00:00:00"/>
    <n v="1012"/>
    <s v="Customer_34"/>
    <x v="1"/>
    <x v="3"/>
    <s v="Furniture"/>
    <s v="Product_A"/>
    <n v="958"/>
    <n v="6"/>
    <n v="0.19"/>
    <n v="1374"/>
    <s v="Card"/>
    <n v="4655.88"/>
    <s v="Apr"/>
    <n v="2025"/>
    <s v="Q2"/>
    <n v="0.2951106987293487"/>
    <n v="1092.1200000000001"/>
    <s v="Medium"/>
    <s v="Repeat"/>
    <s v="Below Avg"/>
    <s v="Profit"/>
    <n v="333"/>
  </r>
  <r>
    <n v="475"/>
    <d v="2025-04-19T00:00:00"/>
    <n v="1026"/>
    <s v="Customer_65"/>
    <x v="1"/>
    <x v="2"/>
    <s v="Clothing"/>
    <s v="Product_D"/>
    <n v="4109"/>
    <n v="5"/>
    <n v="0.13"/>
    <n v="630"/>
    <s v="UPI"/>
    <n v="17874.150000000001"/>
    <s v="Apr"/>
    <n v="2025"/>
    <s v="Q2"/>
    <n v="3.5246431298830989E-2"/>
    <n v="2670.85"/>
    <s v="High"/>
    <s v="Repeat"/>
    <s v="Above Avg"/>
    <s v="Profit"/>
    <n v="92"/>
  </r>
  <r>
    <n v="476"/>
    <d v="2025-04-20T00:00:00"/>
    <n v="1061"/>
    <s v="Customer_111"/>
    <x v="1"/>
    <x v="3"/>
    <s v="Clothing"/>
    <s v="Product_A"/>
    <n v="911"/>
    <n v="2"/>
    <n v="0.01"/>
    <n v="61"/>
    <s v="UPI"/>
    <n v="1803.78"/>
    <s v="Apr"/>
    <n v="2025"/>
    <s v="Q2"/>
    <n v="3.3817871359034919E-2"/>
    <n v="18.22"/>
    <s v="Low"/>
    <s v="Repeat"/>
    <s v="Below Avg"/>
    <s v="Profit"/>
    <n v="440"/>
  </r>
  <r>
    <n v="477"/>
    <d v="2025-04-21T00:00:00"/>
    <n v="1039"/>
    <s v="Customer_128"/>
    <x v="0"/>
    <x v="3"/>
    <s v="Furniture"/>
    <s v="Product_D"/>
    <n v="1853"/>
    <n v="1"/>
    <n v="0.25"/>
    <n v="1755"/>
    <s v="COD"/>
    <n v="1389.75"/>
    <s v="Apr"/>
    <n v="2025"/>
    <s v="Q2"/>
    <n v="1.2628170534268754"/>
    <n v="463.25"/>
    <s v="Low"/>
    <s v="Repeat"/>
    <s v="Below Avg"/>
    <s v="Profit"/>
    <n v="461"/>
  </r>
  <r>
    <n v="478"/>
    <d v="2025-04-22T00:00:00"/>
    <n v="1052"/>
    <s v="Customer_131"/>
    <x v="1"/>
    <x v="2"/>
    <s v="Electronics"/>
    <s v="Product_C"/>
    <n v="3861"/>
    <n v="4"/>
    <n v="0.16"/>
    <n v="1739"/>
    <s v="Card"/>
    <n v="12972.96"/>
    <s v="Apr"/>
    <n v="2025"/>
    <s v="Q2"/>
    <n v="0.1340480507147174"/>
    <n v="2471.04"/>
    <s v="High"/>
    <s v="Repeat"/>
    <s v="Above Avg"/>
    <s v="Profit"/>
    <n v="159"/>
  </r>
  <r>
    <n v="479"/>
    <d v="2025-04-23T00:00:00"/>
    <n v="1079"/>
    <s v="Customer_187"/>
    <x v="1"/>
    <x v="3"/>
    <s v="Electronics"/>
    <s v="Product_C"/>
    <n v="3679"/>
    <n v="6"/>
    <n v="0.13"/>
    <n v="1506"/>
    <s v="COD"/>
    <n v="19204.38"/>
    <s v="Apr"/>
    <n v="2025"/>
    <s v="Q2"/>
    <n v="7.8419610526348674E-2"/>
    <n v="2869.62"/>
    <s v="High"/>
    <s v="Repeat"/>
    <s v="Above Avg"/>
    <s v="Profit"/>
    <n v="84"/>
  </r>
  <r>
    <n v="480"/>
    <d v="2025-04-24T00:00:00"/>
    <n v="1039"/>
    <s v="Customer_56"/>
    <x v="0"/>
    <x v="3"/>
    <s v="Electronics"/>
    <s v="Product_A"/>
    <n v="1431"/>
    <n v="9"/>
    <n v="0.22"/>
    <n v="822"/>
    <s v="UPI"/>
    <n v="10045.620000000001"/>
    <s v="Apr"/>
    <n v="2025"/>
    <s v="Q2"/>
    <n v="8.1826706564652046E-2"/>
    <n v="2833.38"/>
    <s v="High"/>
    <s v="Repeat"/>
    <s v="Below Avg"/>
    <s v="Profit"/>
    <n v="200"/>
  </r>
  <r>
    <n v="481"/>
    <d v="2025-04-25T00:00:00"/>
    <n v="1008"/>
    <s v="Customer_22"/>
    <x v="0"/>
    <x v="3"/>
    <s v="Furniture"/>
    <s v="Product_C"/>
    <n v="2112"/>
    <n v="9"/>
    <n v="0.26"/>
    <n v="645"/>
    <s v="UPI"/>
    <n v="14065.92"/>
    <s v="Apr"/>
    <n v="2025"/>
    <s v="Q2"/>
    <n v="4.5855514605514604E-2"/>
    <n v="4942.08"/>
    <s v="High"/>
    <s v="Repeat"/>
    <s v="Above Avg"/>
    <s v="Profit"/>
    <n v="146"/>
  </r>
  <r>
    <n v="482"/>
    <d v="2025-04-26T00:00:00"/>
    <n v="1026"/>
    <s v="Customer_170"/>
    <x v="0"/>
    <x v="2"/>
    <s v="Clothing"/>
    <s v="Product_D"/>
    <n v="3792"/>
    <n v="3"/>
    <n v="0.28000000000000003"/>
    <n v="1742"/>
    <s v="Card"/>
    <n v="8190.7199999999903"/>
    <s v="Apr"/>
    <n v="2025"/>
    <s v="Q2"/>
    <n v="0.2126797155805597"/>
    <n v="3185.28"/>
    <s v="High"/>
    <s v="Repeat"/>
    <s v="Below Avg"/>
    <s v="Profit"/>
    <n v="244"/>
  </r>
  <r>
    <n v="483"/>
    <d v="2025-04-27T00:00:00"/>
    <n v="1080"/>
    <s v="Customer_132"/>
    <x v="0"/>
    <x v="1"/>
    <s v="Furniture"/>
    <s v="Product_C"/>
    <n v="2486"/>
    <n v="9"/>
    <n v="0.1"/>
    <n v="-143"/>
    <s v="UPI"/>
    <n v="20136.599999999999"/>
    <s v="Apr"/>
    <n v="2025"/>
    <s v="Q2"/>
    <n v="-7.1014967770130014E-3"/>
    <n v="2237.4"/>
    <s v="High"/>
    <s v="Repeat"/>
    <s v="Above Avg"/>
    <s v="Loss"/>
    <n v="78"/>
  </r>
  <r>
    <n v="484"/>
    <d v="2025-04-28T00:00:00"/>
    <n v="1002"/>
    <s v="Customer_100"/>
    <x v="1"/>
    <x v="1"/>
    <s v="Clothing"/>
    <s v="Product_D"/>
    <n v="306"/>
    <n v="6"/>
    <n v="0.06"/>
    <n v="-483"/>
    <s v="Card"/>
    <n v="1725.84"/>
    <s v="Apr"/>
    <n v="2025"/>
    <s v="Q2"/>
    <n v="-0.27986371853706021"/>
    <n v="110.16"/>
    <s v="Low"/>
    <s v="Repeat"/>
    <s v="Below Avg"/>
    <s v="Loss"/>
    <n v="445"/>
  </r>
  <r>
    <n v="485"/>
    <d v="2025-04-29T00:00:00"/>
    <n v="1055"/>
    <s v="Customer_118"/>
    <x v="0"/>
    <x v="2"/>
    <s v="Electronics"/>
    <s v="Product_B"/>
    <n v="3682"/>
    <n v="8"/>
    <n v="0.1"/>
    <n v="1715"/>
    <s v="Card"/>
    <n v="26510.400000000001"/>
    <s v="Apr"/>
    <n v="2025"/>
    <s v="Q2"/>
    <n v="6.4691592733417819E-2"/>
    <n v="2945.6000000000004"/>
    <s v="High"/>
    <s v="Repeat"/>
    <s v="Above Avg"/>
    <s v="Profit"/>
    <n v="37"/>
  </r>
  <r>
    <n v="486"/>
    <d v="2025-04-30T00:00:00"/>
    <n v="1052"/>
    <s v="Customer_12"/>
    <x v="0"/>
    <x v="1"/>
    <s v="Furniture"/>
    <s v="Product_C"/>
    <n v="4317"/>
    <n v="8"/>
    <n v="0.28999999999999998"/>
    <n v="227"/>
    <s v="UPI"/>
    <n v="24520.559999999899"/>
    <s v="Apr"/>
    <n v="2025"/>
    <s v="Q2"/>
    <n v="9.2575373482498332E-3"/>
    <n v="10015.439999999999"/>
    <s v="High"/>
    <s v="Repeat"/>
    <s v="Above Avg"/>
    <s v="Profit"/>
    <n v="46"/>
  </r>
  <r>
    <n v="487"/>
    <d v="2025-05-01T00:00:00"/>
    <n v="1003"/>
    <s v="Customer_37"/>
    <x v="1"/>
    <x v="1"/>
    <s v="Electronics"/>
    <s v="Product_D"/>
    <n v="1839"/>
    <n v="3"/>
    <n v="0.03"/>
    <n v="1247"/>
    <s v="UPI"/>
    <n v="5351.49"/>
    <s v="May"/>
    <n v="2025"/>
    <s v="Q2"/>
    <n v="0.23301921520922211"/>
    <n v="165.51"/>
    <s v="High"/>
    <s v="Repeat"/>
    <s v="Below Avg"/>
    <s v="Profit"/>
    <n v="314"/>
  </r>
  <r>
    <n v="488"/>
    <d v="2025-05-02T00:00:00"/>
    <n v="1039"/>
    <s v="Customer_41"/>
    <x v="0"/>
    <x v="2"/>
    <s v="Furniture"/>
    <s v="Product_A"/>
    <n v="3996"/>
    <n v="3"/>
    <n v="0.28999999999999998"/>
    <n v="56"/>
    <s v="Card"/>
    <n v="8511.48"/>
    <s v="May"/>
    <n v="2025"/>
    <s v="Q2"/>
    <n v="6.5793493023539977E-3"/>
    <n v="3476.52"/>
    <s v="High"/>
    <s v="Repeat"/>
    <s v="Below Avg"/>
    <s v="Profit"/>
    <n v="238"/>
  </r>
  <r>
    <n v="489"/>
    <d v="2025-05-03T00:00:00"/>
    <n v="1051"/>
    <s v="Customer_58"/>
    <x v="1"/>
    <x v="0"/>
    <s v="Electronics"/>
    <s v="Product_C"/>
    <n v="3116"/>
    <n v="9"/>
    <n v="0.19"/>
    <n v="942"/>
    <s v="COD"/>
    <n v="22715.64"/>
    <s v="May"/>
    <n v="2025"/>
    <s v="Q2"/>
    <n v="4.1469225608435425E-2"/>
    <n v="5328.36"/>
    <s v="High"/>
    <s v="Repeat"/>
    <s v="Above Avg"/>
    <s v="Profit"/>
    <n v="61"/>
  </r>
  <r>
    <n v="490"/>
    <d v="2025-05-04T00:00:00"/>
    <n v="1055"/>
    <s v="Customer_63"/>
    <x v="0"/>
    <x v="2"/>
    <s v="Furniture"/>
    <s v="Product_D"/>
    <n v="2104"/>
    <n v="3"/>
    <n v="0"/>
    <n v="1145"/>
    <s v="UPI"/>
    <n v="6312"/>
    <s v="May"/>
    <n v="2025"/>
    <s v="Q2"/>
    <n v="0.18140050697084917"/>
    <n v="0"/>
    <s v="High"/>
    <s v="Repeat"/>
    <s v="Below Avg"/>
    <s v="Profit"/>
    <n v="289"/>
  </r>
  <r>
    <n v="491"/>
    <d v="2025-05-05T00:00:00"/>
    <n v="1064"/>
    <s v="Customer_71"/>
    <x v="1"/>
    <x v="1"/>
    <s v="Clothing"/>
    <s v="Product_B"/>
    <n v="1692"/>
    <n v="4"/>
    <n v="0.26"/>
    <n v="-81"/>
    <s v="COD"/>
    <n v="5008.32"/>
    <s v="May"/>
    <n v="2025"/>
    <s v="Q2"/>
    <n v="-1.6173087981598621E-2"/>
    <n v="1759.68"/>
    <s v="High"/>
    <s v="Repeat"/>
    <s v="Below Avg"/>
    <s v="Loss"/>
    <n v="323"/>
  </r>
  <r>
    <n v="492"/>
    <d v="2025-05-06T00:00:00"/>
    <n v="1077"/>
    <s v="Customer_133"/>
    <x v="0"/>
    <x v="1"/>
    <s v="Clothing"/>
    <s v="Product_B"/>
    <n v="2103"/>
    <n v="7"/>
    <n v="0.2"/>
    <n v="439"/>
    <s v="COD"/>
    <n v="11776.8"/>
    <s v="May"/>
    <n v="2025"/>
    <s v="Q2"/>
    <n v="3.7276679573398551E-2"/>
    <n v="2944.2000000000003"/>
    <s v="High"/>
    <s v="Repeat"/>
    <s v="Above Avg"/>
    <s v="Profit"/>
    <n v="173"/>
  </r>
  <r>
    <n v="493"/>
    <d v="2025-05-07T00:00:00"/>
    <n v="1071"/>
    <s v="Customer_91"/>
    <x v="1"/>
    <x v="3"/>
    <s v="Electronics"/>
    <s v="Product_C"/>
    <n v="3019"/>
    <n v="9"/>
    <n v="0.04"/>
    <n v="660"/>
    <s v="COD"/>
    <n v="26084.16"/>
    <s v="May"/>
    <n v="2025"/>
    <s v="Q2"/>
    <n v="2.5302712450774725E-2"/>
    <n v="1086.8399999999999"/>
    <s v="High"/>
    <s v="Repeat"/>
    <s v="Above Avg"/>
    <s v="Profit"/>
    <n v="39"/>
  </r>
  <r>
    <n v="494"/>
    <d v="2025-05-08T00:00:00"/>
    <n v="1070"/>
    <s v="Customer_89"/>
    <x v="0"/>
    <x v="0"/>
    <s v="Clothing"/>
    <s v="Product_D"/>
    <n v="208"/>
    <n v="3"/>
    <n v="0.1"/>
    <n v="1549"/>
    <s v="Card"/>
    <n v="561.6"/>
    <s v="May"/>
    <n v="2025"/>
    <s v="Q2"/>
    <n v="2.758190883190883"/>
    <n v="62.400000000000006"/>
    <s v="Low"/>
    <s v="Repeat"/>
    <s v="Below Avg"/>
    <s v="Profit"/>
    <n v="489"/>
  </r>
  <r>
    <n v="495"/>
    <d v="2025-05-09T00:00:00"/>
    <n v="1029"/>
    <s v="Customer_17"/>
    <x v="1"/>
    <x v="1"/>
    <s v="Furniture"/>
    <s v="Product_B"/>
    <n v="3081"/>
    <n v="1"/>
    <n v="0.26"/>
    <n v="606"/>
    <s v="Card"/>
    <n v="2279.94"/>
    <s v="May"/>
    <n v="2025"/>
    <s v="Q2"/>
    <n v="0.26579646832811388"/>
    <n v="801.06000000000006"/>
    <s v="Medium"/>
    <s v="Repeat"/>
    <s v="Below Avg"/>
    <s v="Profit"/>
    <n v="416"/>
  </r>
  <r>
    <n v="496"/>
    <d v="2025-05-10T00:00:00"/>
    <n v="1024"/>
    <s v="Customer_156"/>
    <x v="0"/>
    <x v="3"/>
    <s v="Clothing"/>
    <s v="Product_A"/>
    <n v="2595"/>
    <n v="2"/>
    <n v="0.22"/>
    <n v="1965"/>
    <s v="Card"/>
    <n v="4048.2"/>
    <s v="May"/>
    <n v="2025"/>
    <s v="Q2"/>
    <n v="0.48540091892693049"/>
    <n v="1141.8"/>
    <s v="Medium"/>
    <s v="Repeat"/>
    <s v="Below Avg"/>
    <s v="Profit"/>
    <n v="352"/>
  </r>
  <r>
    <n v="497"/>
    <d v="2025-05-11T00:00:00"/>
    <n v="1038"/>
    <s v="Customer_119"/>
    <x v="1"/>
    <x v="0"/>
    <s v="Electronics"/>
    <s v="Product_A"/>
    <n v="1791"/>
    <n v="4"/>
    <n v="0.1"/>
    <n v="-437"/>
    <s v="UPI"/>
    <n v="6447.6"/>
    <s v="May"/>
    <n v="2025"/>
    <s v="Q2"/>
    <n v="-6.7777157391897755E-2"/>
    <n v="716.40000000000009"/>
    <s v="High"/>
    <s v="Repeat"/>
    <s v="Below Avg"/>
    <s v="Loss"/>
    <n v="286"/>
  </r>
  <r>
    <n v="498"/>
    <d v="2025-05-12T00:00:00"/>
    <n v="1079"/>
    <s v="Customer_155"/>
    <x v="0"/>
    <x v="1"/>
    <s v="Electronics"/>
    <s v="Product_D"/>
    <n v="4085"/>
    <n v="7"/>
    <n v="0.24"/>
    <n v="1108"/>
    <s v="UPI"/>
    <n v="21732.2"/>
    <s v="May"/>
    <n v="2025"/>
    <s v="Q2"/>
    <n v="5.0984253780105099E-2"/>
    <n v="6862.8"/>
    <s v="High"/>
    <s v="Repeat"/>
    <s v="Above Avg"/>
    <s v="Profit"/>
    <n v="70"/>
  </r>
  <r>
    <n v="499"/>
    <d v="2025-05-13T00:00:00"/>
    <n v="1074"/>
    <s v="Customer_181"/>
    <x v="1"/>
    <x v="0"/>
    <s v="Electronics"/>
    <s v="Product_A"/>
    <n v="4431"/>
    <n v="1"/>
    <n v="0.08"/>
    <n v="394"/>
    <s v="Card"/>
    <n v="4076.52"/>
    <s v="May"/>
    <n v="2025"/>
    <s v="Q2"/>
    <n v="9.665106512417454E-2"/>
    <n v="354.48"/>
    <s v="Medium"/>
    <s v="Repeat"/>
    <s v="Below Avg"/>
    <s v="Profit"/>
    <n v="350"/>
  </r>
  <r>
    <n v="500"/>
    <d v="2025-05-14T00:00:00"/>
    <n v="1024"/>
    <s v="Customer_26"/>
    <x v="0"/>
    <x v="3"/>
    <s v="Furniture"/>
    <s v="Product_B"/>
    <n v="1822"/>
    <n v="4"/>
    <n v="0.16"/>
    <n v="1668"/>
    <s v="Card"/>
    <n v="6121.92"/>
    <s v="May"/>
    <n v="2025"/>
    <s v="Q2"/>
    <n v="0.27246354084992941"/>
    <n v="1166.08"/>
    <s v="High"/>
    <s v="Repeat"/>
    <s v="Below Avg"/>
    <s v="Profit"/>
    <n v="29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066"/>
    <s v="Customer_33"/>
    <s v="Consumer"/>
    <s v="South"/>
    <s v="Electronics"/>
    <x v="0"/>
    <n v="2755"/>
    <n v="3"/>
    <n v="0.25"/>
    <n v="559"/>
    <s v="UPI"/>
    <n v="6198.75"/>
    <s v="Jan"/>
    <n v="2024"/>
    <s v="Q1"/>
    <n v="9.017947166767494E-2"/>
    <n v="2066.25"/>
    <s v="High"/>
    <s v="Repeat"/>
    <s v="Below Avg"/>
    <s v="Profit"/>
    <n v="293"/>
  </r>
  <r>
    <n v="2"/>
    <x v="1"/>
    <n v="1092"/>
    <s v="Customer_191"/>
    <s v="Consumer"/>
    <s v="East"/>
    <s v="Clothing"/>
    <x v="0"/>
    <n v="1709"/>
    <n v="3"/>
    <n v="0.04"/>
    <n v="1735"/>
    <s v="UPI"/>
    <n v="4921.92"/>
    <s v="Jan"/>
    <n v="2024"/>
    <s v="Q1"/>
    <n v="0.35250471360769781"/>
    <n v="205.08"/>
    <s v="Medium"/>
    <s v="Repeat"/>
    <s v="Below Avg"/>
    <s v="Profit"/>
    <n v="326"/>
  </r>
  <r>
    <n v="3"/>
    <x v="2"/>
    <n v="1098"/>
    <s v="Customer_54"/>
    <s v="Corporate"/>
    <s v="East"/>
    <s v="Clothing"/>
    <x v="1"/>
    <n v="3914"/>
    <n v="7"/>
    <n v="0.16"/>
    <n v="-225"/>
    <s v="Card"/>
    <n v="23014.32"/>
    <s v="Jan"/>
    <n v="2024"/>
    <s v="Q1"/>
    <n v="-9.7765217481985134E-3"/>
    <n v="4383.68"/>
    <s v="High"/>
    <s v="Repeat"/>
    <s v="Above Avg"/>
    <s v="Loss"/>
    <n v="59"/>
  </r>
  <r>
    <n v="4"/>
    <x v="3"/>
    <n v="1017"/>
    <s v="Customer_116"/>
    <s v="Consumer"/>
    <s v="West"/>
    <s v="Electronics"/>
    <x v="2"/>
    <n v="759"/>
    <n v="5"/>
    <n v="0.01"/>
    <n v="-75"/>
    <s v="UPI"/>
    <n v="3757.05"/>
    <s v="Jan"/>
    <n v="2024"/>
    <s v="Q1"/>
    <n v="-1.9962470555355931E-2"/>
    <n v="37.950000000000003"/>
    <s v="Medium"/>
    <s v="Repeat"/>
    <s v="Below Avg"/>
    <s v="Loss"/>
    <n v="365"/>
  </r>
  <r>
    <n v="5"/>
    <x v="4"/>
    <n v="1083"/>
    <s v="Customer_179"/>
    <s v="Consumer"/>
    <s v="West"/>
    <s v="Electronics"/>
    <x v="2"/>
    <n v="243"/>
    <n v="1"/>
    <n v="0.17"/>
    <n v="-482"/>
    <s v="COD"/>
    <n v="201.69"/>
    <s v="Jan"/>
    <n v="2024"/>
    <s v="Q1"/>
    <n v="-2.3898061381327782"/>
    <n v="41.31"/>
    <s v="Low"/>
    <s v="Repeat"/>
    <s v="Below Avg"/>
    <s v="Loss"/>
    <n v="499"/>
  </r>
  <r>
    <n v="6"/>
    <x v="5"/>
    <n v="1057"/>
    <s v="Customer_112"/>
    <s v="Consumer"/>
    <s v="North"/>
    <s v="Furniture"/>
    <x v="1"/>
    <n v="2090"/>
    <n v="8"/>
    <n v="0.04"/>
    <n v="1271"/>
    <s v="UPI"/>
    <n v="16051.199999999901"/>
    <s v="Jan"/>
    <n v="2024"/>
    <s v="Q1"/>
    <n v="7.9184110845295544E-2"/>
    <n v="668.80000000000007"/>
    <s v="High"/>
    <s v="Repeat"/>
    <s v="Above Avg"/>
    <s v="Profit"/>
    <n v="127"/>
  </r>
  <r>
    <n v="7"/>
    <x v="6"/>
    <n v="1086"/>
    <s v="Customer_180"/>
    <s v="Corporate"/>
    <s v="North"/>
    <s v="Furniture"/>
    <x v="1"/>
    <n v="550"/>
    <n v="5"/>
    <n v="0.24"/>
    <n v="1300"/>
    <s v="COD"/>
    <n v="2090"/>
    <s v="Jan"/>
    <n v="2024"/>
    <s v="Q1"/>
    <n v="0.62200956937799046"/>
    <n v="660"/>
    <s v="Medium"/>
    <s v="Repeat"/>
    <s v="Below Avg"/>
    <s v="Profit"/>
    <n v="423"/>
  </r>
  <r>
    <n v="8"/>
    <x v="7"/>
    <n v="1097"/>
    <s v="Customer_180"/>
    <s v="Corporate"/>
    <s v="South"/>
    <s v="Furniture"/>
    <x v="0"/>
    <n v="1291"/>
    <n v="4"/>
    <n v="7.0000000000000007E-2"/>
    <n v="829"/>
    <s v="COD"/>
    <n v="4802.5199999999904"/>
    <s v="Jan"/>
    <n v="2024"/>
    <s v="Q1"/>
    <n v="0.17261770903608972"/>
    <n v="361.48"/>
    <s v="Medium"/>
    <s v="Repeat"/>
    <s v="Below Avg"/>
    <s v="Profit"/>
    <n v="329"/>
  </r>
  <r>
    <n v="9"/>
    <x v="8"/>
    <n v="1096"/>
    <s v="Customer_184"/>
    <s v="Consumer"/>
    <s v="West"/>
    <s v="Electronics"/>
    <x v="3"/>
    <n v="4121"/>
    <n v="4"/>
    <n v="0.03"/>
    <n v="-169"/>
    <s v="Card"/>
    <n v="15989.48"/>
    <s v="Jan"/>
    <n v="2024"/>
    <s v="Q1"/>
    <n v="-1.056944941298904E-2"/>
    <n v="494.52"/>
    <s v="High"/>
    <s v="Repeat"/>
    <s v="Above Avg"/>
    <s v="Loss"/>
    <n v="128"/>
  </r>
  <r>
    <n v="10"/>
    <x v="9"/>
    <n v="1047"/>
    <s v="Customer_114"/>
    <s v="Corporate"/>
    <s v="West"/>
    <s v="Electronics"/>
    <x v="2"/>
    <n v="735"/>
    <n v="2"/>
    <n v="0.01"/>
    <n v="-250"/>
    <s v="COD"/>
    <n v="1455.3"/>
    <s v="Jan"/>
    <n v="2024"/>
    <s v="Q1"/>
    <n v="-0.17178588607160036"/>
    <n v="14.700000000000001"/>
    <s v="Low"/>
    <s v="Repeat"/>
    <s v="Below Avg"/>
    <s v="Loss"/>
    <n v="460"/>
  </r>
  <r>
    <n v="11"/>
    <x v="10"/>
    <n v="1073"/>
    <s v="Customer_73"/>
    <s v="Consumer"/>
    <s v="West"/>
    <s v="Clothing"/>
    <x v="0"/>
    <n v="2257"/>
    <n v="1"/>
    <n v="0.17"/>
    <n v="960"/>
    <s v="Card"/>
    <n v="1873.31"/>
    <s v="Jan"/>
    <n v="2024"/>
    <s v="Q1"/>
    <n v="0.51246189899162442"/>
    <n v="383.69000000000005"/>
    <s v="Low"/>
    <s v="Repeat"/>
    <s v="Below Avg"/>
    <s v="Profit"/>
    <n v="438"/>
  </r>
  <r>
    <n v="12"/>
    <x v="11"/>
    <n v="1032"/>
    <s v="Customer_1"/>
    <s v="Consumer"/>
    <s v="West"/>
    <s v="Electronics"/>
    <x v="3"/>
    <n v="3851"/>
    <n v="6"/>
    <n v="0.2"/>
    <n v="-7"/>
    <s v="UPI"/>
    <n v="18484.8"/>
    <s v="Jan"/>
    <n v="2024"/>
    <s v="Q1"/>
    <n v="-3.7868951787414524E-4"/>
    <n v="4621.2"/>
    <s v="High"/>
    <s v="Repeat"/>
    <s v="Above Avg"/>
    <s v="Loss"/>
    <n v="87"/>
  </r>
  <r>
    <n v="13"/>
    <x v="12"/>
    <n v="1046"/>
    <s v="Customer_31"/>
    <s v="Corporate"/>
    <s v="East"/>
    <s v="Clothing"/>
    <x v="2"/>
    <n v="999"/>
    <n v="3"/>
    <n v="0.27"/>
    <n v="-134"/>
    <s v="Card"/>
    <n v="2187.81"/>
    <s v="Jan"/>
    <n v="2024"/>
    <s v="Q1"/>
    <n v="-6.1248463074947093E-2"/>
    <n v="809.19"/>
    <s v="Medium"/>
    <s v="Repeat"/>
    <s v="Below Avg"/>
    <s v="Loss"/>
    <n v="419"/>
  </r>
  <r>
    <n v="14"/>
    <x v="13"/>
    <n v="1096"/>
    <s v="Customer_21"/>
    <s v="Consumer"/>
    <s v="North"/>
    <s v="Clothing"/>
    <x v="0"/>
    <n v="4554"/>
    <n v="9"/>
    <n v="0.02"/>
    <n v="1529"/>
    <s v="Card"/>
    <n v="40166.28"/>
    <s v="Jan"/>
    <n v="2024"/>
    <s v="Q1"/>
    <n v="3.8066756493257532E-2"/>
    <n v="819.72"/>
    <s v="High"/>
    <s v="Repeat"/>
    <s v="Above Avg"/>
    <s v="Profit"/>
    <n v="2"/>
  </r>
  <r>
    <n v="15"/>
    <x v="14"/>
    <n v="1025"/>
    <s v="Customer_24"/>
    <s v="Corporate"/>
    <s v="South"/>
    <s v="Clothing"/>
    <x v="0"/>
    <n v="2930"/>
    <n v="4"/>
    <n v="0.12"/>
    <n v="1243"/>
    <s v="Card"/>
    <n v="10313.6"/>
    <s v="Jan"/>
    <n v="2024"/>
    <s v="Q1"/>
    <n v="0.12052047781569965"/>
    <n v="1406.3999999999999"/>
    <s v="High"/>
    <s v="Repeat"/>
    <s v="Below Avg"/>
    <s v="Profit"/>
    <n v="198"/>
  </r>
  <r>
    <n v="16"/>
    <x v="15"/>
    <n v="1083"/>
    <s v="Customer_19"/>
    <s v="Consumer"/>
    <s v="North"/>
    <s v="Furniture"/>
    <x v="1"/>
    <n v="2870"/>
    <n v="2"/>
    <n v="0.05"/>
    <n v="1714"/>
    <s v="Card"/>
    <n v="5453"/>
    <s v="Jan"/>
    <n v="2024"/>
    <s v="Q1"/>
    <n v="0.31432239134421419"/>
    <n v="287"/>
    <s v="High"/>
    <s v="Repeat"/>
    <s v="Below Avg"/>
    <s v="Profit"/>
    <n v="310"/>
  </r>
  <r>
    <n v="17"/>
    <x v="16"/>
    <n v="1078"/>
    <s v="Customer_61"/>
    <s v="Corporate"/>
    <s v="North"/>
    <s v="Clothing"/>
    <x v="3"/>
    <n v="1320"/>
    <n v="4"/>
    <n v="0.15"/>
    <n v="644"/>
    <s v="UPI"/>
    <n v="4488"/>
    <s v="Jan"/>
    <n v="2024"/>
    <s v="Q1"/>
    <n v="0.14349376114081996"/>
    <n v="792"/>
    <s v="Medium"/>
    <s v="Repeat"/>
    <s v="Below Avg"/>
    <s v="Profit"/>
    <n v="338"/>
  </r>
  <r>
    <n v="18"/>
    <x v="17"/>
    <n v="1036"/>
    <s v="Customer_112"/>
    <s v="Consumer"/>
    <s v="North"/>
    <s v="Furniture"/>
    <x v="0"/>
    <n v="4545"/>
    <n v="4"/>
    <n v="7.0000000000000007E-2"/>
    <n v="1171"/>
    <s v="UPI"/>
    <n v="16907.3999999999"/>
    <s v="Jan"/>
    <n v="2024"/>
    <s v="Q1"/>
    <n v="6.9259614133456771E-2"/>
    <n v="1272.6000000000001"/>
    <s v="High"/>
    <s v="Repeat"/>
    <s v="Above Avg"/>
    <s v="Profit"/>
    <n v="105"/>
  </r>
  <r>
    <n v="19"/>
    <x v="18"/>
    <n v="1096"/>
    <s v="Customer_188"/>
    <s v="Consumer"/>
    <s v="North"/>
    <s v="Electronics"/>
    <x v="0"/>
    <n v="4690"/>
    <n v="1"/>
    <n v="0.12"/>
    <n v="-18"/>
    <s v="COD"/>
    <n v="4127.2"/>
    <s v="Jan"/>
    <n v="2024"/>
    <s v="Q1"/>
    <n v="-4.3613103314595857E-3"/>
    <n v="562.79999999999995"/>
    <s v="Medium"/>
    <s v="Repeat"/>
    <s v="Below Avg"/>
    <s v="Loss"/>
    <n v="348"/>
  </r>
  <r>
    <n v="20"/>
    <x v="19"/>
    <n v="1080"/>
    <s v="Customer_124"/>
    <s v="Corporate"/>
    <s v="East"/>
    <s v="Furniture"/>
    <x v="0"/>
    <n v="1487"/>
    <n v="8"/>
    <n v="0.11"/>
    <n v="992"/>
    <s v="Card"/>
    <n v="10587.44"/>
    <s v="Jan"/>
    <n v="2024"/>
    <s v="Q1"/>
    <n v="9.3695926494034437E-2"/>
    <n v="1308.56"/>
    <s v="High"/>
    <s v="Repeat"/>
    <s v="Below Avg"/>
    <s v="Profit"/>
    <n v="196"/>
  </r>
  <r>
    <n v="21"/>
    <x v="20"/>
    <n v="1068"/>
    <s v="Customer_153"/>
    <s v="Consumer"/>
    <s v="South"/>
    <s v="Clothing"/>
    <x v="2"/>
    <n v="2066"/>
    <n v="4"/>
    <n v="0.21"/>
    <n v="-488"/>
    <s v="UPI"/>
    <n v="6528.56"/>
    <s v="Jan"/>
    <n v="2024"/>
    <s v="Q1"/>
    <n v="-7.4748489712892274E-2"/>
    <n v="1735.4399999999998"/>
    <s v="High"/>
    <s v="Repeat"/>
    <s v="Below Avg"/>
    <s v="Loss"/>
    <n v="285"/>
  </r>
  <r>
    <n v="22"/>
    <x v="21"/>
    <n v="1049"/>
    <s v="Customer_20"/>
    <s v="Corporate"/>
    <s v="East"/>
    <s v="Clothing"/>
    <x v="1"/>
    <n v="4415"/>
    <n v="4"/>
    <n v="0.22"/>
    <n v="316"/>
    <s v="COD"/>
    <n v="13774.8"/>
    <s v="Jan"/>
    <n v="2024"/>
    <s v="Q1"/>
    <n v="2.2940441966489533E-2"/>
    <n v="3885.2"/>
    <s v="High"/>
    <s v="Repeat"/>
    <s v="Above Avg"/>
    <s v="Profit"/>
    <n v="149"/>
  </r>
  <r>
    <n v="23"/>
    <x v="22"/>
    <n v="1055"/>
    <s v="Customer_117"/>
    <s v="Consumer"/>
    <s v="West"/>
    <s v="Furniture"/>
    <x v="0"/>
    <n v="790"/>
    <n v="7"/>
    <n v="0.13"/>
    <n v="1889"/>
    <s v="COD"/>
    <n v="4811.1000000000004"/>
    <s v="Jan"/>
    <n v="2024"/>
    <s v="Q1"/>
    <n v="0.3926337012325663"/>
    <n v="718.9"/>
    <s v="Medium"/>
    <s v="Repeat"/>
    <s v="Below Avg"/>
    <s v="Profit"/>
    <n v="328"/>
  </r>
  <r>
    <n v="24"/>
    <x v="23"/>
    <n v="1067"/>
    <s v="Customer_154"/>
    <s v="Corporate"/>
    <s v="North"/>
    <s v="Clothing"/>
    <x v="0"/>
    <n v="4346"/>
    <n v="2"/>
    <n v="7.0000000000000007E-2"/>
    <n v="-8"/>
    <s v="Card"/>
    <n v="8083.5599999999904"/>
    <s v="Jan"/>
    <n v="2024"/>
    <s v="Q1"/>
    <n v="-9.8966297027547378E-4"/>
    <n v="608.44000000000005"/>
    <s v="High"/>
    <s v="Repeat"/>
    <s v="Below Avg"/>
    <s v="Loss"/>
    <n v="250"/>
  </r>
  <r>
    <n v="25"/>
    <x v="24"/>
    <n v="1002"/>
    <s v="Customer_127"/>
    <s v="Consumer"/>
    <s v="South"/>
    <s v="Furniture"/>
    <x v="1"/>
    <n v="2176"/>
    <n v="6"/>
    <n v="0.24"/>
    <n v="337"/>
    <s v="UPI"/>
    <n v="9922.56"/>
    <s v="Jan"/>
    <n v="2024"/>
    <s v="Q1"/>
    <n v="3.3963009545923635E-2"/>
    <n v="3133.44"/>
    <s v="High"/>
    <s v="Repeat"/>
    <s v="Below Avg"/>
    <s v="Profit"/>
    <n v="201"/>
  </r>
  <r>
    <n v="26"/>
    <x v="25"/>
    <n v="1084"/>
    <s v="Customer_7"/>
    <s v="Corporate"/>
    <s v="North"/>
    <s v="Clothing"/>
    <x v="3"/>
    <n v="1857"/>
    <n v="6"/>
    <n v="0.25"/>
    <n v="1296"/>
    <s v="Card"/>
    <n v="8356.5"/>
    <s v="Jan"/>
    <n v="2024"/>
    <s v="Q1"/>
    <n v="0.15508885298869143"/>
    <n v="2785.5"/>
    <s v="High"/>
    <s v="Repeat"/>
    <s v="Below Avg"/>
    <s v="Profit"/>
    <n v="240"/>
  </r>
  <r>
    <n v="27"/>
    <x v="26"/>
    <n v="1039"/>
    <s v="Customer_195"/>
    <s v="Consumer"/>
    <s v="East"/>
    <s v="Furniture"/>
    <x v="1"/>
    <n v="4258"/>
    <n v="7"/>
    <n v="0.16"/>
    <n v="1331"/>
    <s v="COD"/>
    <n v="25037.040000000001"/>
    <s v="Jan"/>
    <n v="2024"/>
    <s v="Q1"/>
    <n v="5.3161236312279724E-2"/>
    <n v="4768.96"/>
    <s v="High"/>
    <s v="Repeat"/>
    <s v="Above Avg"/>
    <s v="Profit"/>
    <n v="42"/>
  </r>
  <r>
    <n v="28"/>
    <x v="27"/>
    <n v="1066"/>
    <s v="Customer_56"/>
    <s v="Consumer"/>
    <s v="South"/>
    <s v="Furniture"/>
    <x v="1"/>
    <n v="270"/>
    <n v="2"/>
    <n v="7.0000000000000007E-2"/>
    <n v="1695"/>
    <s v="Card"/>
    <n v="502.2"/>
    <s v="Jan"/>
    <n v="2024"/>
    <s v="Q1"/>
    <n v="3.3751493428912784"/>
    <n v="37.800000000000004"/>
    <s v="Low"/>
    <s v="Repeat"/>
    <s v="Below Avg"/>
    <s v="Profit"/>
    <n v="491"/>
  </r>
  <r>
    <n v="29"/>
    <x v="28"/>
    <n v="1084"/>
    <s v="Customer_72"/>
    <s v="Corporate"/>
    <s v="North"/>
    <s v="Furniture"/>
    <x v="0"/>
    <n v="1757"/>
    <n v="7"/>
    <n v="0.24"/>
    <n v="1198"/>
    <s v="Card"/>
    <n v="9347.24"/>
    <s v="Jan"/>
    <n v="2024"/>
    <s v="Q1"/>
    <n v="0.1281661752560114"/>
    <n v="2951.7599999999998"/>
    <s v="High"/>
    <s v="Repeat"/>
    <s v="Below Avg"/>
    <s v="Profit"/>
    <n v="223"/>
  </r>
  <r>
    <n v="30"/>
    <x v="29"/>
    <n v="1047"/>
    <s v="Customer_94"/>
    <s v="Corporate"/>
    <s v="West"/>
    <s v="Electronics"/>
    <x v="0"/>
    <n v="2171"/>
    <n v="2"/>
    <n v="0.11"/>
    <n v="1464"/>
    <s v="UPI"/>
    <n v="3864.38"/>
    <s v="Jan"/>
    <n v="2024"/>
    <s v="Q1"/>
    <n v="0.37884473059067691"/>
    <n v="477.62"/>
    <s v="Medium"/>
    <s v="Repeat"/>
    <s v="Below Avg"/>
    <s v="Profit"/>
    <n v="359"/>
  </r>
  <r>
    <n v="31"/>
    <x v="30"/>
    <n v="1061"/>
    <s v="Customer_11"/>
    <s v="Consumer"/>
    <s v="North"/>
    <s v="Furniture"/>
    <x v="1"/>
    <n v="4589"/>
    <n v="2"/>
    <n v="0.28000000000000003"/>
    <n v="1849"/>
    <s v="COD"/>
    <n v="6608.16"/>
    <s v="Jan"/>
    <n v="2024"/>
    <s v="Q1"/>
    <n v="0.27980557371492215"/>
    <n v="2569.84"/>
    <s v="High"/>
    <s v="Repeat"/>
    <s v="Below Avg"/>
    <s v="Profit"/>
    <n v="284"/>
  </r>
  <r>
    <n v="32"/>
    <x v="31"/>
    <n v="1048"/>
    <s v="Customer_145"/>
    <s v="Consumer"/>
    <s v="North"/>
    <s v="Furniture"/>
    <x v="0"/>
    <n v="1491"/>
    <n v="1"/>
    <n v="0.08"/>
    <n v="-440"/>
    <s v="UPI"/>
    <n v="1371.72"/>
    <s v="Feb"/>
    <n v="2024"/>
    <s v="Q1"/>
    <n v="-0.32076517073455224"/>
    <n v="119.28"/>
    <s v="Low"/>
    <s v="Repeat"/>
    <s v="Below Avg"/>
    <s v="Loss"/>
    <n v="464"/>
  </r>
  <r>
    <n v="33"/>
    <x v="32"/>
    <n v="1007"/>
    <s v="Customer_72"/>
    <s v="Corporate"/>
    <s v="North"/>
    <s v="Electronics"/>
    <x v="1"/>
    <n v="4961"/>
    <n v="9"/>
    <n v="0.28000000000000003"/>
    <n v="1103"/>
    <s v="Card"/>
    <n v="32147.279999999999"/>
    <s v="Feb"/>
    <n v="2024"/>
    <s v="Q1"/>
    <n v="3.4310834384744214E-2"/>
    <n v="12501.720000000001"/>
    <s v="High"/>
    <s v="Repeat"/>
    <s v="Above Avg"/>
    <s v="Profit"/>
    <n v="21"/>
  </r>
  <r>
    <n v="34"/>
    <x v="33"/>
    <n v="1099"/>
    <s v="Customer_175"/>
    <s v="Consumer"/>
    <s v="West"/>
    <s v="Electronics"/>
    <x v="0"/>
    <n v="2141"/>
    <n v="9"/>
    <n v="0.13"/>
    <n v="191"/>
    <s v="COD"/>
    <n v="16764.03"/>
    <s v="Feb"/>
    <n v="2024"/>
    <s v="Q1"/>
    <n v="1.1393441791741009E-2"/>
    <n v="2504.9700000000003"/>
    <s v="High"/>
    <s v="Repeat"/>
    <s v="Above Avg"/>
    <s v="Profit"/>
    <n v="108"/>
  </r>
  <r>
    <n v="35"/>
    <x v="34"/>
    <n v="1092"/>
    <s v="Customer_172"/>
    <s v="Consumer"/>
    <s v="West"/>
    <s v="Furniture"/>
    <x v="2"/>
    <n v="4536"/>
    <n v="5"/>
    <n v="0.23"/>
    <n v="954"/>
    <s v="UPI"/>
    <n v="17463.599999999999"/>
    <s v="Feb"/>
    <n v="2024"/>
    <s v="Q1"/>
    <n v="5.4627911770768915E-2"/>
    <n v="5216.4000000000005"/>
    <s v="High"/>
    <s v="Repeat"/>
    <s v="Above Avg"/>
    <s v="Profit"/>
    <n v="98"/>
  </r>
  <r>
    <n v="36"/>
    <x v="35"/>
    <n v="1052"/>
    <s v="Customer_192"/>
    <s v="Corporate"/>
    <s v="South"/>
    <s v="Electronics"/>
    <x v="0"/>
    <n v="2529"/>
    <n v="7"/>
    <n v="0.06"/>
    <n v="-454"/>
    <s v="Card"/>
    <n v="16640.82"/>
    <s v="Feb"/>
    <n v="2024"/>
    <s v="Q1"/>
    <n v="-2.7282309405425934E-2"/>
    <n v="1062.18"/>
    <s v="High"/>
    <s v="Repeat"/>
    <s v="Above Avg"/>
    <s v="Loss"/>
    <n v="112"/>
  </r>
  <r>
    <n v="37"/>
    <x v="36"/>
    <n v="1097"/>
    <s v="Customer_158"/>
    <s v="Consumer"/>
    <s v="East"/>
    <s v="Clothing"/>
    <x v="3"/>
    <n v="3484"/>
    <n v="7"/>
    <n v="0.19"/>
    <n v="-398"/>
    <s v="UPI"/>
    <n v="19754.28"/>
    <s v="Feb"/>
    <n v="2024"/>
    <s v="Q1"/>
    <n v="-2.0147532585343533E-2"/>
    <n v="4633.72"/>
    <s v="High"/>
    <s v="Repeat"/>
    <s v="Above Avg"/>
    <s v="Loss"/>
    <n v="81"/>
  </r>
  <r>
    <n v="38"/>
    <x v="37"/>
    <n v="1085"/>
    <s v="Customer_43"/>
    <s v="Consumer"/>
    <s v="North"/>
    <s v="Furniture"/>
    <x v="2"/>
    <n v="100"/>
    <n v="3"/>
    <n v="0.17"/>
    <n v="-325"/>
    <s v="COD"/>
    <n v="249"/>
    <s v="Feb"/>
    <n v="2024"/>
    <s v="Q1"/>
    <n v="-1.3052208835341366"/>
    <n v="51.000000000000007"/>
    <s v="Low"/>
    <s v="Repeat"/>
    <s v="Below Avg"/>
    <s v="Loss"/>
    <n v="498"/>
  </r>
  <r>
    <n v="39"/>
    <x v="38"/>
    <n v="1094"/>
    <s v="Customer_16"/>
    <s v="Consumer"/>
    <s v="East"/>
    <s v="Electronics"/>
    <x v="1"/>
    <n v="1152"/>
    <n v="2"/>
    <n v="0.13"/>
    <n v="-297"/>
    <s v="UPI"/>
    <n v="2004.48"/>
    <s v="Feb"/>
    <n v="2024"/>
    <s v="Q1"/>
    <n v="-0.14816810344827586"/>
    <n v="299.52"/>
    <s v="Medium"/>
    <s v="Repeat"/>
    <s v="Below Avg"/>
    <s v="Loss"/>
    <n v="430"/>
  </r>
  <r>
    <n v="40"/>
    <x v="39"/>
    <n v="1027"/>
    <s v="Customer_119"/>
    <s v="Corporate"/>
    <s v="South"/>
    <s v="Electronics"/>
    <x v="0"/>
    <n v="1345"/>
    <n v="4"/>
    <n v="0.22"/>
    <n v="1624"/>
    <s v="COD"/>
    <n v="4196.3999999999996"/>
    <s v="Feb"/>
    <n v="2024"/>
    <s v="Q1"/>
    <n v="0.38699837956343536"/>
    <n v="1183.5999999999999"/>
    <s v="Medium"/>
    <s v="Repeat"/>
    <s v="Below Avg"/>
    <s v="Profit"/>
    <n v="346"/>
  </r>
  <r>
    <n v="41"/>
    <x v="40"/>
    <n v="1034"/>
    <s v="Customer_4"/>
    <s v="Corporate"/>
    <s v="West"/>
    <s v="Furniture"/>
    <x v="1"/>
    <n v="3274"/>
    <n v="8"/>
    <n v="0.25"/>
    <n v="578"/>
    <s v="Card"/>
    <n v="19644"/>
    <s v="Feb"/>
    <n v="2024"/>
    <s v="Q1"/>
    <n v="2.942374261861128E-2"/>
    <n v="6548"/>
    <s v="High"/>
    <s v="Repeat"/>
    <s v="Above Avg"/>
    <s v="Profit"/>
    <n v="82"/>
  </r>
  <r>
    <n v="42"/>
    <x v="41"/>
    <n v="1097"/>
    <s v="Customer_85"/>
    <s v="Corporate"/>
    <s v="South"/>
    <s v="Furniture"/>
    <x v="3"/>
    <n v="2350"/>
    <n v="1"/>
    <n v="0.22"/>
    <n v="1840"/>
    <s v="UPI"/>
    <n v="1833"/>
    <s v="Feb"/>
    <n v="2024"/>
    <s v="Q1"/>
    <n v="1.0038188761593017"/>
    <n v="517"/>
    <s v="Low"/>
    <s v="Repeat"/>
    <s v="Below Avg"/>
    <s v="Profit"/>
    <n v="439"/>
  </r>
  <r>
    <n v="43"/>
    <x v="42"/>
    <n v="1076"/>
    <s v="Customer_50"/>
    <s v="Consumer"/>
    <s v="West"/>
    <s v="Electronics"/>
    <x v="1"/>
    <n v="1934"/>
    <n v="8"/>
    <n v="0.24"/>
    <n v="1168"/>
    <s v="Card"/>
    <n v="11758.72"/>
    <s v="Feb"/>
    <n v="2024"/>
    <s v="Q1"/>
    <n v="9.933053937843575E-2"/>
    <n v="3713.2799999999997"/>
    <s v="High"/>
    <s v="Repeat"/>
    <s v="Above Avg"/>
    <s v="Profit"/>
    <n v="175"/>
  </r>
  <r>
    <n v="44"/>
    <x v="43"/>
    <n v="1040"/>
    <s v="Customer_34"/>
    <s v="Corporate"/>
    <s v="North"/>
    <s v="Electronics"/>
    <x v="3"/>
    <n v="3605"/>
    <n v="2"/>
    <n v="0.22"/>
    <n v="1510"/>
    <s v="Card"/>
    <n v="5623.8"/>
    <s v="Feb"/>
    <n v="2024"/>
    <s v="Q1"/>
    <n v="0.26850172481240442"/>
    <n v="1586.2"/>
    <s v="High"/>
    <s v="Repeat"/>
    <s v="Below Avg"/>
    <s v="Profit"/>
    <n v="305"/>
  </r>
  <r>
    <n v="45"/>
    <x v="44"/>
    <n v="1003"/>
    <s v="Customer_35"/>
    <s v="Corporate"/>
    <s v="East"/>
    <s v="Furniture"/>
    <x v="2"/>
    <n v="4693"/>
    <n v="8"/>
    <n v="0.04"/>
    <n v="1809"/>
    <s v="UPI"/>
    <n v="36042.239999999998"/>
    <s v="Feb"/>
    <n v="2024"/>
    <s v="Q1"/>
    <n v="5.019110909865758E-2"/>
    <n v="1501.76"/>
    <s v="High"/>
    <s v="Repeat"/>
    <s v="Above Avg"/>
    <s v="Profit"/>
    <n v="7"/>
  </r>
  <r>
    <n v="46"/>
    <x v="45"/>
    <n v="1069"/>
    <s v="Customer_64"/>
    <s v="Consumer"/>
    <s v="South"/>
    <s v="Furniture"/>
    <x v="3"/>
    <n v="4092"/>
    <n v="2"/>
    <n v="0.23"/>
    <n v="779"/>
    <s v="Card"/>
    <n v="6301.68"/>
    <s v="Feb"/>
    <n v="2024"/>
    <s v="Q1"/>
    <n v="0.12361782889642127"/>
    <n v="1882.3200000000002"/>
    <s v="High"/>
    <s v="Repeat"/>
    <s v="Below Avg"/>
    <s v="Profit"/>
    <n v="290"/>
  </r>
  <r>
    <n v="47"/>
    <x v="46"/>
    <n v="1064"/>
    <s v="Customer_13"/>
    <s v="Corporate"/>
    <s v="West"/>
    <s v="Electronics"/>
    <x v="2"/>
    <n v="1788"/>
    <n v="7"/>
    <n v="0.06"/>
    <n v="-196"/>
    <s v="Card"/>
    <n v="11765.039999999901"/>
    <s v="Feb"/>
    <n v="2024"/>
    <s v="Q1"/>
    <n v="-1.6659526869437048E-2"/>
    <n v="750.95999999999992"/>
    <s v="High"/>
    <s v="Repeat"/>
    <s v="Above Avg"/>
    <s v="Loss"/>
    <n v="174"/>
  </r>
  <r>
    <n v="48"/>
    <x v="47"/>
    <n v="1075"/>
    <s v="Customer_107"/>
    <s v="Corporate"/>
    <s v="West"/>
    <s v="Clothing"/>
    <x v="3"/>
    <n v="343"/>
    <n v="3"/>
    <n v="0.03"/>
    <n v="1062"/>
    <s v="UPI"/>
    <n v="998.13"/>
    <s v="Feb"/>
    <n v="2024"/>
    <s v="Q1"/>
    <n v="1.0639896606654444"/>
    <n v="30.869999999999997"/>
    <s v="Low"/>
    <s v="Repeat"/>
    <s v="Below Avg"/>
    <s v="Profit"/>
    <n v="479"/>
  </r>
  <r>
    <n v="49"/>
    <x v="48"/>
    <n v="1034"/>
    <s v="Customer_27"/>
    <s v="Consumer"/>
    <s v="South"/>
    <s v="Electronics"/>
    <x v="2"/>
    <n v="1734"/>
    <n v="6"/>
    <n v="0.27"/>
    <n v="318"/>
    <s v="UPI"/>
    <n v="7594.92"/>
    <s v="Feb"/>
    <n v="2024"/>
    <s v="Q1"/>
    <n v="4.1870092114202652E-2"/>
    <n v="2809.0800000000004"/>
    <s v="High"/>
    <s v="Repeat"/>
    <s v="Below Avg"/>
    <s v="Profit"/>
    <n v="263"/>
  </r>
  <r>
    <n v="50"/>
    <x v="49"/>
    <n v="1058"/>
    <s v="Customer_169"/>
    <s v="Consumer"/>
    <s v="East"/>
    <s v="Furniture"/>
    <x v="3"/>
    <n v="2310"/>
    <n v="7"/>
    <n v="0.18"/>
    <n v="-22"/>
    <s v="COD"/>
    <n v="13259.4"/>
    <s v="Feb"/>
    <n v="2024"/>
    <s v="Q1"/>
    <n v="-1.6592002654720426E-3"/>
    <n v="2910.6"/>
    <s v="High"/>
    <s v="Repeat"/>
    <s v="Above Avg"/>
    <s v="Loss"/>
    <n v="157"/>
  </r>
  <r>
    <n v="51"/>
    <x v="50"/>
    <n v="1010"/>
    <s v="Customer_42"/>
    <s v="Consumer"/>
    <s v="East"/>
    <s v="Clothing"/>
    <x v="2"/>
    <n v="274"/>
    <n v="6"/>
    <n v="0.05"/>
    <n v="-327"/>
    <s v="COD"/>
    <n v="1561.8"/>
    <s v="Feb"/>
    <n v="2024"/>
    <s v="Q1"/>
    <n v="-0.20937379946215906"/>
    <n v="82.2"/>
    <s v="Low"/>
    <s v="Repeat"/>
    <s v="Below Avg"/>
    <s v="Loss"/>
    <n v="455"/>
  </r>
  <r>
    <n v="52"/>
    <x v="51"/>
    <n v="1022"/>
    <s v="Customer_157"/>
    <s v="Corporate"/>
    <s v="West"/>
    <s v="Clothing"/>
    <x v="0"/>
    <n v="2319"/>
    <n v="5"/>
    <n v="0.19"/>
    <n v="51"/>
    <s v="COD"/>
    <n v="9391.9500000000007"/>
    <s v="Feb"/>
    <n v="2024"/>
    <s v="Q1"/>
    <n v="5.4301822305272062E-3"/>
    <n v="2203.0500000000002"/>
    <s v="High"/>
    <s v="Repeat"/>
    <s v="Below Avg"/>
    <s v="Profit"/>
    <n v="222"/>
  </r>
  <r>
    <n v="53"/>
    <x v="52"/>
    <n v="1077"/>
    <s v="Customer_144"/>
    <s v="Corporate"/>
    <s v="North"/>
    <s v="Electronics"/>
    <x v="2"/>
    <n v="3756"/>
    <n v="9"/>
    <n v="0.1"/>
    <n v="1822"/>
    <s v="Card"/>
    <n v="30423.599999999999"/>
    <s v="Feb"/>
    <n v="2024"/>
    <s v="Q1"/>
    <n v="5.9887718744658758E-2"/>
    <n v="3380.4"/>
    <s v="High"/>
    <s v="Repeat"/>
    <s v="Above Avg"/>
    <s v="Profit"/>
    <n v="23"/>
  </r>
  <r>
    <n v="54"/>
    <x v="53"/>
    <n v="1018"/>
    <s v="Customer_181"/>
    <s v="Corporate"/>
    <s v="North"/>
    <s v="Furniture"/>
    <x v="1"/>
    <n v="366"/>
    <n v="9"/>
    <n v="0.04"/>
    <n v="-461"/>
    <s v="UPI"/>
    <n v="3162.24"/>
    <s v="Feb"/>
    <n v="2024"/>
    <s v="Q1"/>
    <n v="-0.14578273628820079"/>
    <n v="131.76"/>
    <s v="Medium"/>
    <s v="Repeat"/>
    <s v="Below Avg"/>
    <s v="Loss"/>
    <n v="388"/>
  </r>
  <r>
    <n v="55"/>
    <x v="54"/>
    <n v="1015"/>
    <s v="Customer_46"/>
    <s v="Corporate"/>
    <s v="North"/>
    <s v="Clothing"/>
    <x v="0"/>
    <n v="1482"/>
    <n v="3"/>
    <n v="0.24"/>
    <n v="1102"/>
    <s v="COD"/>
    <n v="3378.96"/>
    <s v="Feb"/>
    <n v="2024"/>
    <s v="Q1"/>
    <n v="0.32613585245164189"/>
    <n v="1067.04"/>
    <s v="Medium"/>
    <s v="Repeat"/>
    <s v="Below Avg"/>
    <s v="Profit"/>
    <n v="381"/>
  </r>
  <r>
    <n v="56"/>
    <x v="55"/>
    <n v="1027"/>
    <s v="Customer_197"/>
    <s v="Corporate"/>
    <s v="North"/>
    <s v="Electronics"/>
    <x v="3"/>
    <n v="879"/>
    <n v="7"/>
    <n v="0.03"/>
    <n v="1934"/>
    <s v="Card"/>
    <n v="5968.41"/>
    <s v="Feb"/>
    <n v="2024"/>
    <s v="Q1"/>
    <n v="0.3240394007784318"/>
    <n v="184.59"/>
    <s v="High"/>
    <s v="Repeat"/>
    <s v="Below Avg"/>
    <s v="Profit"/>
    <n v="298"/>
  </r>
  <r>
    <n v="57"/>
    <x v="56"/>
    <n v="1030"/>
    <s v="Customer_37"/>
    <s v="Corporate"/>
    <s v="East"/>
    <s v="Furniture"/>
    <x v="2"/>
    <n v="4731"/>
    <n v="2"/>
    <n v="0.28999999999999998"/>
    <n v="1177"/>
    <s v="COD"/>
    <n v="6718.0199999999904"/>
    <s v="Feb"/>
    <n v="2024"/>
    <s v="Q1"/>
    <n v="0.17520043107939567"/>
    <n v="2743.98"/>
    <s v="High"/>
    <s v="Repeat"/>
    <s v="Below Avg"/>
    <s v="Profit"/>
    <n v="282"/>
  </r>
  <r>
    <n v="58"/>
    <x v="57"/>
    <n v="1052"/>
    <s v="Customer_104"/>
    <s v="Consumer"/>
    <s v="West"/>
    <s v="Furniture"/>
    <x v="2"/>
    <n v="766"/>
    <n v="1"/>
    <n v="0.23"/>
    <n v="993"/>
    <s v="COD"/>
    <n v="589.82000000000005"/>
    <s v="Feb"/>
    <n v="2024"/>
    <s v="Q1"/>
    <n v="1.6835644772981586"/>
    <n v="176.18"/>
    <s v="Low"/>
    <s v="Repeat"/>
    <s v="Below Avg"/>
    <s v="Profit"/>
    <n v="487"/>
  </r>
  <r>
    <n v="59"/>
    <x v="58"/>
    <n v="1070"/>
    <s v="Customer_188"/>
    <s v="Consumer"/>
    <s v="West"/>
    <s v="Furniture"/>
    <x v="2"/>
    <n v="1257"/>
    <n v="4"/>
    <n v="0.21"/>
    <n v="-182"/>
    <s v="UPI"/>
    <n v="3972.12"/>
    <s v="Feb"/>
    <n v="2024"/>
    <s v="Q1"/>
    <n v="-4.581936094579217E-2"/>
    <n v="1055.8799999999999"/>
    <s v="Medium"/>
    <s v="Repeat"/>
    <s v="Below Avg"/>
    <s v="Loss"/>
    <n v="354"/>
  </r>
  <r>
    <n v="60"/>
    <x v="59"/>
    <n v="1026"/>
    <s v="Customer_143"/>
    <s v="Consumer"/>
    <s v="North"/>
    <s v="Electronics"/>
    <x v="3"/>
    <n v="4776"/>
    <n v="3"/>
    <n v="7.0000000000000007E-2"/>
    <n v="1297"/>
    <s v="UPI"/>
    <n v="13325.039999999901"/>
    <s v="Feb"/>
    <n v="2024"/>
    <s v="Q1"/>
    <n v="9.7335542707564823E-2"/>
    <n v="1002.9600000000002"/>
    <s v="High"/>
    <s v="Repeat"/>
    <s v="Above Avg"/>
    <s v="Profit"/>
    <n v="156"/>
  </r>
  <r>
    <n v="61"/>
    <x v="60"/>
    <n v="1080"/>
    <s v="Customer_149"/>
    <s v="Consumer"/>
    <s v="West"/>
    <s v="Furniture"/>
    <x v="1"/>
    <n v="963"/>
    <n v="4"/>
    <n v="0.23"/>
    <n v="-271"/>
    <s v="Card"/>
    <n v="2966.04"/>
    <s v="Mar"/>
    <n v="2024"/>
    <s v="Q1"/>
    <n v="-9.1367614732100713E-2"/>
    <n v="885.96"/>
    <s v="Medium"/>
    <s v="Repeat"/>
    <s v="Below Avg"/>
    <s v="Loss"/>
    <n v="395"/>
  </r>
  <r>
    <n v="62"/>
    <x v="61"/>
    <n v="1006"/>
    <s v="Customer_34"/>
    <s v="Corporate"/>
    <s v="East"/>
    <s v="Clothing"/>
    <x v="3"/>
    <n v="4000"/>
    <n v="3"/>
    <n v="0.01"/>
    <n v="1902"/>
    <s v="COD"/>
    <n v="11880"/>
    <s v="Mar"/>
    <n v="2024"/>
    <s v="Q1"/>
    <n v="0.1601010101010101"/>
    <n v="120"/>
    <s v="High"/>
    <s v="Repeat"/>
    <s v="Above Avg"/>
    <s v="Profit"/>
    <n v="171"/>
  </r>
  <r>
    <n v="63"/>
    <x v="62"/>
    <n v="1014"/>
    <s v="Customer_9"/>
    <s v="Consumer"/>
    <s v="South"/>
    <s v="Electronics"/>
    <x v="2"/>
    <n v="156"/>
    <n v="9"/>
    <n v="0.17"/>
    <n v="325"/>
    <s v="COD"/>
    <n v="1165.32"/>
    <s v="Mar"/>
    <n v="2024"/>
    <s v="Q1"/>
    <n v="0.2788933511825078"/>
    <n v="238.68"/>
    <s v="Low"/>
    <s v="Repeat"/>
    <s v="Below Avg"/>
    <s v="Profit"/>
    <n v="472"/>
  </r>
  <r>
    <n v="64"/>
    <x v="63"/>
    <n v="1075"/>
    <s v="Customer_154"/>
    <s v="Consumer"/>
    <s v="South"/>
    <s v="Electronics"/>
    <x v="0"/>
    <n v="3350"/>
    <n v="4"/>
    <n v="0.09"/>
    <n v="1332"/>
    <s v="COD"/>
    <n v="12194"/>
    <s v="Mar"/>
    <n v="2024"/>
    <s v="Q1"/>
    <n v="0.109234049532557"/>
    <n v="1206"/>
    <s v="High"/>
    <s v="Repeat"/>
    <s v="Above Avg"/>
    <s v="Profit"/>
    <n v="165"/>
  </r>
  <r>
    <n v="65"/>
    <x v="64"/>
    <n v="1054"/>
    <s v="Customer_77"/>
    <s v="Consumer"/>
    <s v="West"/>
    <s v="Electronics"/>
    <x v="2"/>
    <n v="642"/>
    <n v="4"/>
    <n v="0.25"/>
    <n v="30"/>
    <s v="UPI"/>
    <n v="1926"/>
    <s v="Mar"/>
    <n v="2024"/>
    <s v="Q1"/>
    <n v="1.5576323987538941E-2"/>
    <n v="642"/>
    <s v="Low"/>
    <s v="Repeat"/>
    <s v="Below Avg"/>
    <s v="Profit"/>
    <n v="434"/>
  </r>
  <r>
    <n v="66"/>
    <x v="65"/>
    <n v="1071"/>
    <s v="Customer_146"/>
    <s v="Corporate"/>
    <s v="West"/>
    <s v="Electronics"/>
    <x v="0"/>
    <n v="1032"/>
    <n v="7"/>
    <n v="0.23"/>
    <n v="-33"/>
    <s v="UPI"/>
    <n v="5562.48"/>
    <s v="Mar"/>
    <n v="2024"/>
    <s v="Q1"/>
    <n v="-5.9326056003796875E-3"/>
    <n v="1661.52"/>
    <s v="High"/>
    <s v="Repeat"/>
    <s v="Below Avg"/>
    <s v="Loss"/>
    <n v="307"/>
  </r>
  <r>
    <n v="67"/>
    <x v="66"/>
    <n v="1001"/>
    <s v="Customer_1"/>
    <s v="Consumer"/>
    <s v="West"/>
    <s v="Furniture"/>
    <x v="2"/>
    <n v="950"/>
    <n v="4"/>
    <n v="0.15"/>
    <n v="1734"/>
    <s v="COD"/>
    <n v="3230"/>
    <s v="Mar"/>
    <n v="2024"/>
    <s v="Q1"/>
    <n v="0.5368421052631579"/>
    <n v="570"/>
    <s v="Medium"/>
    <s v="Repeat"/>
    <s v="Below Avg"/>
    <s v="Profit"/>
    <n v="387"/>
  </r>
  <r>
    <n v="68"/>
    <x v="67"/>
    <n v="1043"/>
    <s v="Customer_23"/>
    <s v="Corporate"/>
    <s v="North"/>
    <s v="Electronics"/>
    <x v="1"/>
    <n v="1275"/>
    <n v="9"/>
    <n v="0.14000000000000001"/>
    <n v="1604"/>
    <s v="Card"/>
    <n v="9868.5"/>
    <s v="Mar"/>
    <n v="2024"/>
    <s v="Q1"/>
    <n v="0.16253736636773572"/>
    <n v="1606.5000000000002"/>
    <s v="High"/>
    <s v="New"/>
    <s v="Below Avg"/>
    <s v="Profit"/>
    <n v="204"/>
  </r>
  <r>
    <n v="69"/>
    <x v="68"/>
    <n v="1058"/>
    <s v="Customer_33"/>
    <s v="Consumer"/>
    <s v="North"/>
    <s v="Clothing"/>
    <x v="1"/>
    <n v="622"/>
    <n v="9"/>
    <n v="0.02"/>
    <n v="442"/>
    <s v="Card"/>
    <n v="5486.04"/>
    <s v="Mar"/>
    <n v="2024"/>
    <s v="Q1"/>
    <n v="8.0568132933773726E-2"/>
    <n v="111.96000000000001"/>
    <s v="High"/>
    <s v="Repeat"/>
    <s v="Below Avg"/>
    <s v="Profit"/>
    <n v="309"/>
  </r>
  <r>
    <n v="70"/>
    <x v="69"/>
    <n v="1055"/>
    <s v="Customer_175"/>
    <s v="Consumer"/>
    <s v="West"/>
    <s v="Clothing"/>
    <x v="3"/>
    <n v="209"/>
    <n v="9"/>
    <n v="7.0000000000000007E-2"/>
    <n v="79"/>
    <s v="Card"/>
    <n v="1749.33"/>
    <s v="Mar"/>
    <n v="2024"/>
    <s v="Q1"/>
    <n v="4.5160147027719186E-2"/>
    <n v="131.67000000000002"/>
    <s v="Low"/>
    <s v="Repeat"/>
    <s v="Below Avg"/>
    <s v="Profit"/>
    <n v="444"/>
  </r>
  <r>
    <n v="71"/>
    <x v="70"/>
    <n v="1025"/>
    <s v="Customer_95"/>
    <s v="Consumer"/>
    <s v="South"/>
    <s v="Clothing"/>
    <x v="1"/>
    <n v="3545"/>
    <n v="6"/>
    <n v="0.21"/>
    <n v="706"/>
    <s v="Card"/>
    <n v="16803.3"/>
    <s v="Mar"/>
    <n v="2024"/>
    <s v="Q1"/>
    <n v="4.2015556468074727E-2"/>
    <n v="4466.7"/>
    <s v="High"/>
    <s v="Repeat"/>
    <s v="Above Avg"/>
    <s v="Profit"/>
    <n v="107"/>
  </r>
  <r>
    <n v="72"/>
    <x v="71"/>
    <n v="1050"/>
    <s v="Customer_122"/>
    <s v="Corporate"/>
    <s v="East"/>
    <s v="Clothing"/>
    <x v="0"/>
    <n v="156"/>
    <n v="9"/>
    <n v="0.02"/>
    <n v="56"/>
    <s v="COD"/>
    <n v="1375.92"/>
    <s v="Mar"/>
    <n v="2024"/>
    <s v="Q1"/>
    <n v="4.0700040700040699E-2"/>
    <n v="28.080000000000002"/>
    <s v="Low"/>
    <s v="Repeat"/>
    <s v="Below Avg"/>
    <s v="Profit"/>
    <n v="463"/>
  </r>
  <r>
    <n v="73"/>
    <x v="72"/>
    <n v="1084"/>
    <s v="Customer_21"/>
    <s v="Consumer"/>
    <s v="West"/>
    <s v="Clothing"/>
    <x v="3"/>
    <n v="3923"/>
    <n v="3"/>
    <n v="0.24"/>
    <n v="1141"/>
    <s v="UPI"/>
    <n v="8944.44"/>
    <s v="Mar"/>
    <n v="2024"/>
    <s v="Q1"/>
    <n v="0.12756528077777926"/>
    <n v="2824.56"/>
    <s v="High"/>
    <s v="Repeat"/>
    <s v="Below Avg"/>
    <s v="Profit"/>
    <n v="232"/>
  </r>
  <r>
    <n v="74"/>
    <x v="73"/>
    <n v="1056"/>
    <s v="Customer_61"/>
    <s v="Corporate"/>
    <s v="East"/>
    <s v="Electronics"/>
    <x v="1"/>
    <n v="1766"/>
    <n v="2"/>
    <n v="0.28999999999999998"/>
    <n v="620"/>
    <s v="Card"/>
    <n v="2507.7199999999998"/>
    <s v="Mar"/>
    <n v="2024"/>
    <s v="Q1"/>
    <n v="0.24723653358429173"/>
    <n v="1024.28"/>
    <s v="Medium"/>
    <s v="Repeat"/>
    <s v="Below Avg"/>
    <s v="Profit"/>
    <n v="410"/>
  </r>
  <r>
    <n v="75"/>
    <x v="74"/>
    <n v="1049"/>
    <s v="Customer_27"/>
    <s v="Consumer"/>
    <s v="East"/>
    <s v="Furniture"/>
    <x v="2"/>
    <n v="4017"/>
    <n v="2"/>
    <n v="0.02"/>
    <n v="755"/>
    <s v="COD"/>
    <n v="7873.32"/>
    <s v="Mar"/>
    <n v="2024"/>
    <s v="Q1"/>
    <n v="9.58934731472873E-2"/>
    <n v="160.68"/>
    <s v="High"/>
    <s v="Repeat"/>
    <s v="Below Avg"/>
    <s v="Profit"/>
    <n v="255"/>
  </r>
  <r>
    <n v="76"/>
    <x v="75"/>
    <n v="1012"/>
    <s v="Customer_191"/>
    <s v="Consumer"/>
    <s v="East"/>
    <s v="Clothing"/>
    <x v="1"/>
    <n v="1527"/>
    <n v="7"/>
    <n v="0.14000000000000001"/>
    <n v="-113"/>
    <s v="COD"/>
    <n v="9192.53999999999"/>
    <s v="Mar"/>
    <n v="2024"/>
    <s v="Q1"/>
    <n v="-1.2292576371710117E-2"/>
    <n v="1496.46"/>
    <s v="High"/>
    <s v="Repeat"/>
    <s v="Below Avg"/>
    <s v="Loss"/>
    <n v="227"/>
  </r>
  <r>
    <n v="77"/>
    <x v="76"/>
    <n v="1018"/>
    <s v="Customer_102"/>
    <s v="Consumer"/>
    <s v="East"/>
    <s v="Furniture"/>
    <x v="3"/>
    <n v="604"/>
    <n v="5"/>
    <n v="0.17"/>
    <n v="213"/>
    <s v="COD"/>
    <n v="2506.6"/>
    <s v="Mar"/>
    <n v="2024"/>
    <s v="Q1"/>
    <n v="8.497566424638954E-2"/>
    <n v="513.40000000000009"/>
    <s v="Medium"/>
    <s v="Repeat"/>
    <s v="Below Avg"/>
    <s v="Profit"/>
    <n v="411"/>
  </r>
  <r>
    <n v="78"/>
    <x v="77"/>
    <n v="1081"/>
    <s v="Customer_180"/>
    <s v="Consumer"/>
    <s v="North"/>
    <s v="Clothing"/>
    <x v="1"/>
    <n v="3795"/>
    <n v="4"/>
    <n v="0.24"/>
    <n v="842"/>
    <s v="UPI"/>
    <n v="11536.8"/>
    <s v="Mar"/>
    <n v="2024"/>
    <s v="Q1"/>
    <n v="7.2983843006726307E-2"/>
    <n v="3643.2"/>
    <s v="High"/>
    <s v="Repeat"/>
    <s v="Above Avg"/>
    <s v="Profit"/>
    <n v="181"/>
  </r>
  <r>
    <n v="79"/>
    <x v="78"/>
    <n v="1001"/>
    <s v="Customer_192"/>
    <s v="Consumer"/>
    <s v="West"/>
    <s v="Clothing"/>
    <x v="0"/>
    <n v="4704"/>
    <n v="2"/>
    <n v="0.05"/>
    <n v="-31"/>
    <s v="Card"/>
    <n v="8937.6"/>
    <s v="Mar"/>
    <n v="2024"/>
    <s v="Q1"/>
    <n v="-3.4684926602219835E-3"/>
    <n v="470.40000000000003"/>
    <s v="High"/>
    <s v="Repeat"/>
    <s v="Below Avg"/>
    <s v="Loss"/>
    <n v="233"/>
  </r>
  <r>
    <n v="80"/>
    <x v="79"/>
    <n v="1051"/>
    <s v="Customer_142"/>
    <s v="Corporate"/>
    <s v="East"/>
    <s v="Clothing"/>
    <x v="0"/>
    <n v="1428"/>
    <n v="4"/>
    <n v="0.11"/>
    <n v="361"/>
    <s v="UPI"/>
    <n v="5083.68"/>
    <s v="Mar"/>
    <n v="2024"/>
    <s v="Q1"/>
    <n v="7.10115506876908E-2"/>
    <n v="628.32000000000005"/>
    <s v="High"/>
    <s v="Repeat"/>
    <s v="Below Avg"/>
    <s v="Profit"/>
    <n v="320"/>
  </r>
  <r>
    <n v="81"/>
    <x v="80"/>
    <n v="1044"/>
    <s v="Customer_101"/>
    <s v="Corporate"/>
    <s v="East"/>
    <s v="Furniture"/>
    <x v="0"/>
    <n v="783"/>
    <n v="6"/>
    <n v="0.25"/>
    <n v="-54"/>
    <s v="COD"/>
    <n v="3523.5"/>
    <s v="Mar"/>
    <n v="2024"/>
    <s v="Q1"/>
    <n v="-1.532567049808429E-2"/>
    <n v="1174.5"/>
    <s v="Medium"/>
    <s v="Repeat"/>
    <s v="Below Avg"/>
    <s v="Loss"/>
    <n v="376"/>
  </r>
  <r>
    <n v="82"/>
    <x v="81"/>
    <n v="1048"/>
    <s v="Customer_175"/>
    <s v="Consumer"/>
    <s v="South"/>
    <s v="Electronics"/>
    <x v="0"/>
    <n v="222"/>
    <n v="6"/>
    <n v="0.16"/>
    <n v="9"/>
    <s v="UPI"/>
    <n v="1118.8799999999901"/>
    <s v="Mar"/>
    <n v="2024"/>
    <s v="Q1"/>
    <n v="8.043758043758115E-3"/>
    <n v="213.12"/>
    <s v="Low"/>
    <s v="Repeat"/>
    <s v="Below Avg"/>
    <s v="Profit"/>
    <n v="474"/>
  </r>
  <r>
    <n v="83"/>
    <x v="82"/>
    <n v="1056"/>
    <s v="Customer_7"/>
    <s v="Corporate"/>
    <s v="West"/>
    <s v="Clothing"/>
    <x v="0"/>
    <n v="1447"/>
    <n v="8"/>
    <n v="0.05"/>
    <n v="1686"/>
    <s v="UPI"/>
    <n v="10997.199999999901"/>
    <s v="Mar"/>
    <n v="2024"/>
    <s v="Q1"/>
    <n v="0.15331175208234962"/>
    <n v="578.80000000000007"/>
    <s v="High"/>
    <s v="Repeat"/>
    <s v="Above Avg"/>
    <s v="Profit"/>
    <n v="191"/>
  </r>
  <r>
    <n v="84"/>
    <x v="83"/>
    <n v="1091"/>
    <s v="Customer_76"/>
    <s v="Corporate"/>
    <s v="East"/>
    <s v="Electronics"/>
    <x v="3"/>
    <n v="4171"/>
    <n v="6"/>
    <n v="0.26"/>
    <n v="1941"/>
    <s v="UPI"/>
    <n v="18519.2399999999"/>
    <s v="Mar"/>
    <n v="2024"/>
    <s v="Q1"/>
    <n v="0.10480991660564962"/>
    <n v="6506.76"/>
    <s v="High"/>
    <s v="Repeat"/>
    <s v="Above Avg"/>
    <s v="Profit"/>
    <n v="86"/>
  </r>
  <r>
    <n v="85"/>
    <x v="84"/>
    <n v="1049"/>
    <s v="Customer_156"/>
    <s v="Corporate"/>
    <s v="North"/>
    <s v="Clothing"/>
    <x v="1"/>
    <n v="2001"/>
    <n v="5"/>
    <n v="0.28000000000000003"/>
    <n v="832"/>
    <s v="UPI"/>
    <n v="7203.5999999999904"/>
    <s v="Mar"/>
    <n v="2024"/>
    <s v="Q1"/>
    <n v="0.1154978066522296"/>
    <n v="2801.4"/>
    <s v="High"/>
    <s v="Repeat"/>
    <s v="Below Avg"/>
    <s v="Profit"/>
    <n v="271"/>
  </r>
  <r>
    <n v="86"/>
    <x v="85"/>
    <n v="1086"/>
    <s v="Customer_131"/>
    <s v="Consumer"/>
    <s v="South"/>
    <s v="Electronics"/>
    <x v="3"/>
    <n v="1745"/>
    <n v="7"/>
    <n v="0.22"/>
    <n v="1411"/>
    <s v="UPI"/>
    <n v="9527.7000000000007"/>
    <s v="Mar"/>
    <n v="2024"/>
    <s v="Q1"/>
    <n v="0.14809450339536298"/>
    <n v="2687.3"/>
    <s v="High"/>
    <s v="Repeat"/>
    <s v="Below Avg"/>
    <s v="Profit"/>
    <n v="215"/>
  </r>
  <r>
    <n v="87"/>
    <x v="86"/>
    <n v="1003"/>
    <s v="Customer_150"/>
    <s v="Corporate"/>
    <s v="South"/>
    <s v="Electronics"/>
    <x v="1"/>
    <n v="2969"/>
    <n v="3"/>
    <n v="0.28999999999999998"/>
    <n v="735"/>
    <s v="UPI"/>
    <n v="6323.9699999999903"/>
    <s v="Mar"/>
    <n v="2024"/>
    <s v="Q1"/>
    <n v="0.11622446026783827"/>
    <n v="2583.0299999999997"/>
    <s v="High"/>
    <s v="Repeat"/>
    <s v="Below Avg"/>
    <s v="Profit"/>
    <n v="288"/>
  </r>
  <r>
    <n v="88"/>
    <x v="87"/>
    <n v="1067"/>
    <s v="Customer_85"/>
    <s v="Corporate"/>
    <s v="South"/>
    <s v="Clothing"/>
    <x v="0"/>
    <n v="1478"/>
    <n v="4"/>
    <n v="0.28000000000000003"/>
    <n v="-370"/>
    <s v="COD"/>
    <n v="4256.6399999999903"/>
    <s v="Mar"/>
    <n v="2024"/>
    <s v="Q1"/>
    <n v="-8.6923019094873155E-2"/>
    <n v="1655.3600000000001"/>
    <s v="Medium"/>
    <s v="Repeat"/>
    <s v="Below Avg"/>
    <s v="Loss"/>
    <n v="343"/>
  </r>
  <r>
    <n v="89"/>
    <x v="88"/>
    <n v="1011"/>
    <s v="Customer_191"/>
    <s v="Corporate"/>
    <s v="South"/>
    <s v="Electronics"/>
    <x v="2"/>
    <n v="2972"/>
    <n v="6"/>
    <n v="0.04"/>
    <n v="64"/>
    <s v="UPI"/>
    <n v="17118.72"/>
    <s v="Mar"/>
    <n v="2024"/>
    <s v="Q1"/>
    <n v="3.7385972783011813E-3"/>
    <n v="713.28"/>
    <s v="High"/>
    <s v="Repeat"/>
    <s v="Above Avg"/>
    <s v="Profit"/>
    <n v="104"/>
  </r>
  <r>
    <n v="90"/>
    <x v="89"/>
    <n v="1021"/>
    <s v="Customer_29"/>
    <s v="Consumer"/>
    <s v="East"/>
    <s v="Furniture"/>
    <x v="2"/>
    <n v="1596"/>
    <n v="9"/>
    <n v="0.12"/>
    <n v="1887"/>
    <s v="UPI"/>
    <n v="12640.32"/>
    <s v="Mar"/>
    <n v="2024"/>
    <s v="Q1"/>
    <n v="0.14928419533682691"/>
    <n v="1723.6799999999998"/>
    <s v="High"/>
    <s v="Repeat"/>
    <s v="Above Avg"/>
    <s v="Profit"/>
    <n v="161"/>
  </r>
  <r>
    <n v="91"/>
    <x v="90"/>
    <n v="1089"/>
    <s v="Customer_148"/>
    <s v="Corporate"/>
    <s v="North"/>
    <s v="Electronics"/>
    <x v="2"/>
    <n v="775"/>
    <n v="6"/>
    <n v="0.18"/>
    <n v="1459"/>
    <s v="UPI"/>
    <n v="3813"/>
    <s v="Mar"/>
    <n v="2024"/>
    <s v="Q1"/>
    <n v="0.38263834251245737"/>
    <n v="837"/>
    <s v="Medium"/>
    <s v="Repeat"/>
    <s v="Below Avg"/>
    <s v="Profit"/>
    <n v="364"/>
  </r>
  <r>
    <n v="92"/>
    <x v="91"/>
    <n v="1098"/>
    <s v="Customer_67"/>
    <s v="Corporate"/>
    <s v="South"/>
    <s v="Furniture"/>
    <x v="1"/>
    <n v="2608"/>
    <n v="4"/>
    <n v="0.22"/>
    <n v="1774"/>
    <s v="UPI"/>
    <n v="8136.96"/>
    <s v="Apr"/>
    <n v="2024"/>
    <s v="Q2"/>
    <n v="0.21801753971999371"/>
    <n v="2295.04"/>
    <s v="High"/>
    <s v="Repeat"/>
    <s v="Below Avg"/>
    <s v="Profit"/>
    <n v="246"/>
  </r>
  <r>
    <n v="93"/>
    <x v="92"/>
    <n v="1003"/>
    <s v="Customer_105"/>
    <s v="Corporate"/>
    <s v="North"/>
    <s v="Electronics"/>
    <x v="1"/>
    <n v="2396"/>
    <n v="8"/>
    <n v="0.16"/>
    <n v="943"/>
    <s v="Card"/>
    <n v="16101.119999999901"/>
    <s v="Apr"/>
    <n v="2024"/>
    <s v="Q2"/>
    <n v="5.8567354320693578E-2"/>
    <n v="3066.88"/>
    <s v="High"/>
    <s v="Repeat"/>
    <s v="Above Avg"/>
    <s v="Profit"/>
    <n v="126"/>
  </r>
  <r>
    <n v="94"/>
    <x v="93"/>
    <n v="1011"/>
    <s v="Customer_161"/>
    <s v="Consumer"/>
    <s v="East"/>
    <s v="Furniture"/>
    <x v="3"/>
    <n v="662"/>
    <n v="5"/>
    <n v="0.19"/>
    <n v="-45"/>
    <s v="COD"/>
    <n v="2681.1"/>
    <s v="Apr"/>
    <n v="2024"/>
    <s v="Q2"/>
    <n v="-1.6784155756965426E-2"/>
    <n v="628.9"/>
    <s v="Medium"/>
    <s v="Repeat"/>
    <s v="Below Avg"/>
    <s v="Loss"/>
    <n v="403"/>
  </r>
  <r>
    <n v="95"/>
    <x v="94"/>
    <n v="1003"/>
    <s v="Customer_94"/>
    <s v="Consumer"/>
    <s v="West"/>
    <s v="Clothing"/>
    <x v="3"/>
    <n v="4372"/>
    <n v="5"/>
    <n v="0.04"/>
    <n v="1771"/>
    <s v="UPI"/>
    <n v="20985.599999999999"/>
    <s v="Apr"/>
    <n v="2024"/>
    <s v="Q2"/>
    <n v="8.4391201585849354E-2"/>
    <n v="874.4"/>
    <s v="High"/>
    <s v="Repeat"/>
    <s v="Above Avg"/>
    <s v="Profit"/>
    <n v="77"/>
  </r>
  <r>
    <n v="96"/>
    <x v="95"/>
    <n v="1094"/>
    <s v="Customer_48"/>
    <s v="Consumer"/>
    <s v="North"/>
    <s v="Furniture"/>
    <x v="1"/>
    <n v="301"/>
    <n v="8"/>
    <n v="0.12"/>
    <n v="1297"/>
    <s v="UPI"/>
    <n v="2119.04"/>
    <s v="Apr"/>
    <n v="2024"/>
    <s v="Q2"/>
    <n v="0.61206961643008151"/>
    <n v="288.95999999999998"/>
    <s v="Medium"/>
    <s v="Repeat"/>
    <s v="Below Avg"/>
    <s v="Profit"/>
    <n v="421"/>
  </r>
  <r>
    <n v="97"/>
    <x v="96"/>
    <n v="1006"/>
    <s v="Customer_103"/>
    <s v="Corporate"/>
    <s v="East"/>
    <s v="Furniture"/>
    <x v="0"/>
    <n v="4572"/>
    <n v="9"/>
    <n v="0"/>
    <n v="519"/>
    <s v="UPI"/>
    <n v="41148"/>
    <s v="Apr"/>
    <n v="2024"/>
    <s v="Q2"/>
    <n v="1.2613006707494897E-2"/>
    <n v="0"/>
    <s v="High"/>
    <s v="Repeat"/>
    <s v="Above Avg"/>
    <s v="Profit"/>
    <n v="1"/>
  </r>
  <r>
    <n v="98"/>
    <x v="97"/>
    <n v="1009"/>
    <s v="Customer_41"/>
    <s v="Consumer"/>
    <s v="South"/>
    <s v="Electronics"/>
    <x v="0"/>
    <n v="3094"/>
    <n v="4"/>
    <n v="0.2"/>
    <n v="236"/>
    <s v="Card"/>
    <n v="9900.7999999999993"/>
    <s v="Apr"/>
    <n v="2024"/>
    <s v="Q2"/>
    <n v="2.3836457659987074E-2"/>
    <n v="2475.2000000000003"/>
    <s v="High"/>
    <s v="Repeat"/>
    <s v="Below Avg"/>
    <s v="Profit"/>
    <n v="203"/>
  </r>
  <r>
    <n v="99"/>
    <x v="98"/>
    <n v="1087"/>
    <s v="Customer_123"/>
    <s v="Consumer"/>
    <s v="West"/>
    <s v="Electronics"/>
    <x v="0"/>
    <n v="4656"/>
    <n v="8"/>
    <n v="0.05"/>
    <n v="115"/>
    <s v="Card"/>
    <n v="35385.599999999999"/>
    <s v="Apr"/>
    <n v="2024"/>
    <s v="Q2"/>
    <n v="3.2499095677337676E-3"/>
    <n v="1862.4"/>
    <s v="High"/>
    <s v="Repeat"/>
    <s v="Above Avg"/>
    <s v="Profit"/>
    <n v="9"/>
  </r>
  <r>
    <n v="100"/>
    <x v="99"/>
    <n v="1014"/>
    <s v="Customer_137"/>
    <s v="Corporate"/>
    <s v="North"/>
    <s v="Clothing"/>
    <x v="2"/>
    <n v="4815"/>
    <n v="8"/>
    <n v="0.12"/>
    <n v="271"/>
    <s v="UPI"/>
    <n v="33897.599999999999"/>
    <s v="Apr"/>
    <n v="2024"/>
    <s v="Q2"/>
    <n v="7.9946662890588126E-3"/>
    <n v="4622.3999999999996"/>
    <s v="High"/>
    <s v="Repeat"/>
    <s v="Above Avg"/>
    <s v="Profit"/>
    <n v="14"/>
  </r>
  <r>
    <n v="101"/>
    <x v="100"/>
    <n v="1083"/>
    <s v="Customer_176"/>
    <s v="Consumer"/>
    <s v="South"/>
    <s v="Furniture"/>
    <x v="3"/>
    <n v="4598"/>
    <n v="3"/>
    <n v="0.15"/>
    <n v="93"/>
    <s v="Card"/>
    <n v="11724.9"/>
    <s v="Apr"/>
    <n v="2024"/>
    <s v="Q2"/>
    <n v="7.9318373717473072E-3"/>
    <n v="2069.1"/>
    <s v="High"/>
    <s v="Repeat"/>
    <s v="Above Avg"/>
    <s v="Profit"/>
    <n v="177"/>
  </r>
  <r>
    <n v="102"/>
    <x v="101"/>
    <n v="1070"/>
    <s v="Customer_182"/>
    <s v="Consumer"/>
    <s v="East"/>
    <s v="Electronics"/>
    <x v="2"/>
    <n v="4505"/>
    <n v="4"/>
    <n v="0.2"/>
    <n v="-150"/>
    <s v="UPI"/>
    <n v="14416"/>
    <s v="Apr"/>
    <n v="2024"/>
    <s v="Q2"/>
    <n v="-1.0405105438401776E-2"/>
    <n v="3604"/>
    <s v="High"/>
    <s v="Repeat"/>
    <s v="Above Avg"/>
    <s v="Loss"/>
    <n v="144"/>
  </r>
  <r>
    <n v="103"/>
    <x v="102"/>
    <n v="1012"/>
    <s v="Customer_23"/>
    <s v="Consumer"/>
    <s v="East"/>
    <s v="Electronics"/>
    <x v="3"/>
    <n v="3765"/>
    <n v="2"/>
    <n v="0.23"/>
    <n v="820"/>
    <s v="COD"/>
    <n v="5798.1"/>
    <s v="Apr"/>
    <n v="2024"/>
    <s v="Q2"/>
    <n v="0.14142563943360756"/>
    <n v="1731.9"/>
    <s v="High"/>
    <s v="Repeat"/>
    <s v="Below Avg"/>
    <s v="Profit"/>
    <n v="301"/>
  </r>
  <r>
    <n v="104"/>
    <x v="103"/>
    <n v="1054"/>
    <s v="Customer_193"/>
    <s v="Corporate"/>
    <s v="East"/>
    <s v="Furniture"/>
    <x v="0"/>
    <n v="4195"/>
    <n v="5"/>
    <n v="0.21"/>
    <n v="-479"/>
    <s v="Card"/>
    <n v="16570.25"/>
    <s v="Apr"/>
    <n v="2024"/>
    <s v="Q2"/>
    <n v="-2.8907228315806943E-2"/>
    <n v="4404.75"/>
    <s v="High"/>
    <s v="Repeat"/>
    <s v="Above Avg"/>
    <s v="Loss"/>
    <n v="114"/>
  </r>
  <r>
    <n v="105"/>
    <x v="104"/>
    <n v="1027"/>
    <s v="Customer_149"/>
    <s v="Corporate"/>
    <s v="South"/>
    <s v="Furniture"/>
    <x v="0"/>
    <n v="1628"/>
    <n v="6"/>
    <n v="0.17"/>
    <n v="1224"/>
    <s v="Card"/>
    <n v="8107.44"/>
    <s v="Apr"/>
    <n v="2024"/>
    <s v="Q2"/>
    <n v="0.15097244012906663"/>
    <n v="1660.5600000000002"/>
    <s v="High"/>
    <s v="Repeat"/>
    <s v="Below Avg"/>
    <s v="Profit"/>
    <n v="248"/>
  </r>
  <r>
    <n v="106"/>
    <x v="105"/>
    <n v="1038"/>
    <s v="Customer_160"/>
    <s v="Corporate"/>
    <s v="North"/>
    <s v="Clothing"/>
    <x v="0"/>
    <n v="759"/>
    <n v="6"/>
    <n v="0.16"/>
    <n v="879"/>
    <s v="UPI"/>
    <n v="3825.3599999999901"/>
    <s v="Apr"/>
    <n v="2024"/>
    <s v="Q2"/>
    <n v="0.22978229499968689"/>
    <n v="728.64"/>
    <s v="Medium"/>
    <s v="Repeat"/>
    <s v="Below Avg"/>
    <s v="Profit"/>
    <n v="363"/>
  </r>
  <r>
    <n v="107"/>
    <x v="106"/>
    <n v="1017"/>
    <s v="Customer_109"/>
    <s v="Consumer"/>
    <s v="East"/>
    <s v="Electronics"/>
    <x v="2"/>
    <n v="101"/>
    <n v="2"/>
    <n v="0.26"/>
    <n v="1747"/>
    <s v="COD"/>
    <n v="149.47999999999999"/>
    <s v="Apr"/>
    <n v="2024"/>
    <s v="Q2"/>
    <n v="11.687182231736688"/>
    <n v="52.52"/>
    <s v="Low"/>
    <s v="Repeat"/>
    <s v="Below Avg"/>
    <s v="Profit"/>
    <n v="500"/>
  </r>
  <r>
    <n v="108"/>
    <x v="107"/>
    <n v="1061"/>
    <s v="Customer_154"/>
    <s v="Corporate"/>
    <s v="East"/>
    <s v="Furniture"/>
    <x v="0"/>
    <n v="608"/>
    <n v="4"/>
    <n v="0.26"/>
    <n v="1152"/>
    <s v="UPI"/>
    <n v="1799.68"/>
    <s v="Apr"/>
    <n v="2024"/>
    <s v="Q2"/>
    <n v="0.64011379800853485"/>
    <n v="632.32000000000005"/>
    <s v="Low"/>
    <s v="Repeat"/>
    <s v="Below Avg"/>
    <s v="Profit"/>
    <n v="441"/>
  </r>
  <r>
    <n v="109"/>
    <x v="108"/>
    <n v="1074"/>
    <s v="Customer_33"/>
    <s v="Consumer"/>
    <s v="West"/>
    <s v="Clothing"/>
    <x v="0"/>
    <n v="239"/>
    <n v="2"/>
    <n v="0.02"/>
    <n v="1292"/>
    <s v="COD"/>
    <n v="468.44"/>
    <s v="Apr"/>
    <n v="2024"/>
    <s v="Q2"/>
    <n v="2.7580906839723336"/>
    <n v="9.56"/>
    <s v="Low"/>
    <s v="Repeat"/>
    <s v="Below Avg"/>
    <s v="Profit"/>
    <n v="492"/>
  </r>
  <r>
    <n v="110"/>
    <x v="109"/>
    <n v="1099"/>
    <s v="Customer_188"/>
    <s v="Corporate"/>
    <s v="North"/>
    <s v="Furniture"/>
    <x v="2"/>
    <n v="3354"/>
    <n v="5"/>
    <n v="0.08"/>
    <n v="556"/>
    <s v="Card"/>
    <n v="15428.4"/>
    <s v="Apr"/>
    <n v="2024"/>
    <s v="Q2"/>
    <n v="3.603743745300874E-2"/>
    <n v="1341.6000000000001"/>
    <s v="High"/>
    <s v="Repeat"/>
    <s v="Above Avg"/>
    <s v="Profit"/>
    <n v="136"/>
  </r>
  <r>
    <n v="111"/>
    <x v="110"/>
    <n v="1099"/>
    <s v="Customer_137"/>
    <s v="Corporate"/>
    <s v="East"/>
    <s v="Furniture"/>
    <x v="0"/>
    <n v="3754"/>
    <n v="2"/>
    <n v="0.28000000000000003"/>
    <n v="853"/>
    <s v="Card"/>
    <n v="5405.76"/>
    <s v="Apr"/>
    <n v="2024"/>
    <s v="Q2"/>
    <n v="0.15779464867104717"/>
    <n v="2102.2400000000002"/>
    <s v="High"/>
    <s v="Repeat"/>
    <s v="Below Avg"/>
    <s v="Profit"/>
    <n v="312"/>
  </r>
  <r>
    <n v="112"/>
    <x v="111"/>
    <n v="1065"/>
    <s v="Customer_81"/>
    <s v="Consumer"/>
    <s v="North"/>
    <s v="Clothing"/>
    <x v="0"/>
    <n v="1685"/>
    <n v="9"/>
    <n v="0.18"/>
    <n v="1489"/>
    <s v="COD"/>
    <n v="12435.3"/>
    <s v="Apr"/>
    <n v="2024"/>
    <s v="Q2"/>
    <n v="0.11973977306538645"/>
    <n v="2729.7"/>
    <s v="High"/>
    <s v="Repeat"/>
    <s v="Above Avg"/>
    <s v="Profit"/>
    <n v="163"/>
  </r>
  <r>
    <n v="113"/>
    <x v="112"/>
    <n v="1047"/>
    <s v="Customer_70"/>
    <s v="Corporate"/>
    <s v="East"/>
    <s v="Furniture"/>
    <x v="2"/>
    <n v="4837"/>
    <n v="1"/>
    <n v="0.04"/>
    <n v="216"/>
    <s v="Card"/>
    <n v="4643.5199999999904"/>
    <s v="Apr"/>
    <n v="2024"/>
    <s v="Q2"/>
    <n v="4.6516435807318679E-2"/>
    <n v="193.48000000000002"/>
    <s v="Medium"/>
    <s v="Repeat"/>
    <s v="Below Avg"/>
    <s v="Profit"/>
    <n v="334"/>
  </r>
  <r>
    <n v="114"/>
    <x v="113"/>
    <n v="1016"/>
    <s v="Customer_174"/>
    <s v="Corporate"/>
    <s v="South"/>
    <s v="Electronics"/>
    <x v="1"/>
    <n v="327"/>
    <n v="6"/>
    <n v="0.02"/>
    <n v="-476"/>
    <s v="UPI"/>
    <n v="1922.76"/>
    <s v="Apr"/>
    <n v="2024"/>
    <s v="Q2"/>
    <n v="-0.24756079801951361"/>
    <n v="39.24"/>
    <s v="Low"/>
    <s v="Repeat"/>
    <s v="Below Avg"/>
    <s v="Loss"/>
    <n v="435"/>
  </r>
  <r>
    <n v="115"/>
    <x v="114"/>
    <n v="1005"/>
    <s v="Customer_7"/>
    <s v="Corporate"/>
    <s v="East"/>
    <s v="Clothing"/>
    <x v="3"/>
    <n v="2697"/>
    <n v="9"/>
    <n v="0.03"/>
    <n v="196"/>
    <s v="Card"/>
    <n v="23544.809999999899"/>
    <s v="Apr"/>
    <n v="2024"/>
    <s v="Q2"/>
    <n v="8.324552204923329E-3"/>
    <n v="728.18999999999994"/>
    <s v="High"/>
    <s v="Repeat"/>
    <s v="Above Avg"/>
    <s v="Profit"/>
    <n v="56"/>
  </r>
  <r>
    <n v="116"/>
    <x v="115"/>
    <n v="1086"/>
    <s v="Customer_128"/>
    <s v="Consumer"/>
    <s v="West"/>
    <s v="Clothing"/>
    <x v="0"/>
    <n v="2905"/>
    <n v="3"/>
    <n v="0.23"/>
    <n v="1412"/>
    <s v="Card"/>
    <n v="6710.55"/>
    <s v="Apr"/>
    <n v="2024"/>
    <s v="Q2"/>
    <n v="0.21041494363353228"/>
    <n v="2004.45"/>
    <s v="High"/>
    <s v="Repeat"/>
    <s v="Below Avg"/>
    <s v="Profit"/>
    <n v="283"/>
  </r>
  <r>
    <n v="117"/>
    <x v="116"/>
    <n v="1046"/>
    <s v="Customer_7"/>
    <s v="Corporate"/>
    <s v="East"/>
    <s v="Furniture"/>
    <x v="0"/>
    <n v="4460"/>
    <n v="9"/>
    <n v="7.0000000000000007E-2"/>
    <n v="683"/>
    <s v="UPI"/>
    <n v="37330.199999999997"/>
    <s v="Apr"/>
    <n v="2024"/>
    <s v="Q2"/>
    <n v="1.8296178429261029E-2"/>
    <n v="2809.8"/>
    <s v="High"/>
    <s v="Repeat"/>
    <s v="Above Avg"/>
    <s v="Profit"/>
    <n v="6"/>
  </r>
  <r>
    <n v="118"/>
    <x v="117"/>
    <n v="1015"/>
    <s v="Customer_121"/>
    <s v="Consumer"/>
    <s v="East"/>
    <s v="Clothing"/>
    <x v="2"/>
    <n v="3646"/>
    <n v="2"/>
    <n v="7.0000000000000007E-2"/>
    <n v="1559"/>
    <s v="COD"/>
    <n v="6781.5599999999904"/>
    <s v="Apr"/>
    <n v="2024"/>
    <s v="Q2"/>
    <n v="0.22988810834085405"/>
    <n v="510.44000000000005"/>
    <s v="High"/>
    <s v="Repeat"/>
    <s v="Below Avg"/>
    <s v="Profit"/>
    <n v="278"/>
  </r>
  <r>
    <n v="119"/>
    <x v="118"/>
    <n v="1059"/>
    <s v="Customer_197"/>
    <s v="Corporate"/>
    <s v="West"/>
    <s v="Furniture"/>
    <x v="1"/>
    <n v="3772"/>
    <n v="2"/>
    <n v="0.04"/>
    <n v="189"/>
    <s v="Card"/>
    <n v="7242.24"/>
    <s v="Apr"/>
    <n v="2024"/>
    <s v="Q2"/>
    <n v="2.6096898197242844E-2"/>
    <n v="301.76"/>
    <s v="High"/>
    <s v="Repeat"/>
    <s v="Below Avg"/>
    <s v="Profit"/>
    <n v="270"/>
  </r>
  <r>
    <n v="120"/>
    <x v="119"/>
    <n v="1040"/>
    <s v="Customer_161"/>
    <s v="Corporate"/>
    <s v="East"/>
    <s v="Clothing"/>
    <x v="2"/>
    <n v="4990"/>
    <n v="2"/>
    <n v="0.18"/>
    <n v="829"/>
    <s v="UPI"/>
    <n v="8183.6"/>
    <s v="Apr"/>
    <n v="2024"/>
    <s v="Q2"/>
    <n v="0.10130016129820617"/>
    <n v="1796.3999999999999"/>
    <s v="High"/>
    <s v="Repeat"/>
    <s v="Below Avg"/>
    <s v="Profit"/>
    <n v="245"/>
  </r>
  <r>
    <n v="121"/>
    <x v="120"/>
    <n v="1025"/>
    <s v="Customer_114"/>
    <s v="Corporate"/>
    <s v="South"/>
    <s v="Clothing"/>
    <x v="1"/>
    <n v="4660"/>
    <n v="3"/>
    <n v="0.15"/>
    <n v="697"/>
    <s v="UPI"/>
    <n v="11883"/>
    <s v="Apr"/>
    <n v="2024"/>
    <s v="Q2"/>
    <n v="5.8655221745350504E-2"/>
    <n v="2097"/>
    <s v="High"/>
    <s v="Repeat"/>
    <s v="Above Avg"/>
    <s v="Profit"/>
    <n v="170"/>
  </r>
  <r>
    <n v="122"/>
    <x v="121"/>
    <n v="1045"/>
    <s v="Customer_138"/>
    <s v="Corporate"/>
    <s v="East"/>
    <s v="Furniture"/>
    <x v="2"/>
    <n v="2622"/>
    <n v="4"/>
    <n v="0.08"/>
    <n v="-69"/>
    <s v="COD"/>
    <n v="9648.9599999999991"/>
    <s v="May"/>
    <n v="2024"/>
    <s v="Q2"/>
    <n v="-7.1510297482837533E-3"/>
    <n v="839.04"/>
    <s v="High"/>
    <s v="Repeat"/>
    <s v="Below Avg"/>
    <s v="Loss"/>
    <n v="210"/>
  </r>
  <r>
    <n v="123"/>
    <x v="122"/>
    <n v="1049"/>
    <s v="Customer_104"/>
    <s v="Consumer"/>
    <s v="West"/>
    <s v="Furniture"/>
    <x v="2"/>
    <n v="438"/>
    <n v="3"/>
    <n v="0.2"/>
    <n v="1254"/>
    <s v="UPI"/>
    <n v="1051.2"/>
    <s v="May"/>
    <n v="2024"/>
    <s v="Q2"/>
    <n v="1.1929223744292237"/>
    <n v="262.8"/>
    <s v="Low"/>
    <s v="Repeat"/>
    <s v="Below Avg"/>
    <s v="Profit"/>
    <n v="478"/>
  </r>
  <r>
    <n v="124"/>
    <x v="123"/>
    <n v="1000"/>
    <s v="Customer_28"/>
    <s v="Consumer"/>
    <s v="East"/>
    <s v="Clothing"/>
    <x v="1"/>
    <n v="918"/>
    <n v="6"/>
    <n v="0.23"/>
    <n v="-299"/>
    <s v="UPI"/>
    <n v="4241.16"/>
    <s v="May"/>
    <n v="2024"/>
    <s v="Q2"/>
    <n v="-7.0499580303501869E-2"/>
    <n v="1266.8400000000001"/>
    <s v="Medium"/>
    <s v="Repeat"/>
    <s v="Below Avg"/>
    <s v="Loss"/>
    <n v="344"/>
  </r>
  <r>
    <n v="125"/>
    <x v="124"/>
    <n v="1035"/>
    <s v="Customer_175"/>
    <s v="Corporate"/>
    <s v="West"/>
    <s v="Furniture"/>
    <x v="1"/>
    <n v="2666"/>
    <n v="6"/>
    <n v="0.28999999999999998"/>
    <n v="1830"/>
    <s v="Card"/>
    <n v="11357.16"/>
    <s v="May"/>
    <n v="2024"/>
    <s v="Q2"/>
    <n v="0.16113183225383812"/>
    <n v="4638.8399999999992"/>
    <s v="High"/>
    <s v="Repeat"/>
    <s v="Above Avg"/>
    <s v="Profit"/>
    <n v="184"/>
  </r>
  <r>
    <n v="126"/>
    <x v="125"/>
    <n v="1029"/>
    <s v="Customer_46"/>
    <s v="Consumer"/>
    <s v="North"/>
    <s v="Electronics"/>
    <x v="3"/>
    <n v="3817"/>
    <n v="5"/>
    <n v="0.14000000000000001"/>
    <n v="381"/>
    <s v="COD"/>
    <n v="16413.099999999999"/>
    <s v="May"/>
    <n v="2024"/>
    <s v="Q2"/>
    <n v="2.3213165093736103E-2"/>
    <n v="2671.9"/>
    <s v="High"/>
    <s v="Repeat"/>
    <s v="Above Avg"/>
    <s v="Profit"/>
    <n v="117"/>
  </r>
  <r>
    <n v="127"/>
    <x v="126"/>
    <n v="1001"/>
    <s v="Customer_22"/>
    <s v="Consumer"/>
    <s v="West"/>
    <s v="Furniture"/>
    <x v="2"/>
    <n v="3162"/>
    <n v="2"/>
    <n v="0.12"/>
    <n v="1730"/>
    <s v="UPI"/>
    <n v="5565.12"/>
    <s v="May"/>
    <n v="2024"/>
    <s v="Q2"/>
    <n v="0.31086481513426484"/>
    <n v="758.88"/>
    <s v="High"/>
    <s v="Repeat"/>
    <s v="Below Avg"/>
    <s v="Profit"/>
    <n v="306"/>
  </r>
  <r>
    <n v="128"/>
    <x v="127"/>
    <n v="1083"/>
    <s v="Customer_21"/>
    <s v="Corporate"/>
    <s v="West"/>
    <s v="Furniture"/>
    <x v="0"/>
    <n v="1353"/>
    <n v="4"/>
    <n v="0.09"/>
    <n v="558"/>
    <s v="Card"/>
    <n v="4924.92"/>
    <s v="May"/>
    <n v="2024"/>
    <s v="Q2"/>
    <n v="0.11330133281352793"/>
    <n v="487.08"/>
    <s v="Medium"/>
    <s v="Repeat"/>
    <s v="Below Avg"/>
    <s v="Profit"/>
    <n v="325"/>
  </r>
  <r>
    <n v="129"/>
    <x v="128"/>
    <n v="1068"/>
    <s v="Customer_111"/>
    <s v="Consumer"/>
    <s v="South"/>
    <s v="Electronics"/>
    <x v="0"/>
    <n v="3250"/>
    <n v="7"/>
    <n v="0.24"/>
    <n v="170"/>
    <s v="COD"/>
    <n v="17290"/>
    <s v="May"/>
    <n v="2024"/>
    <s v="Q2"/>
    <n v="9.8322729901677269E-3"/>
    <n v="5460"/>
    <s v="High"/>
    <s v="Repeat"/>
    <s v="Above Avg"/>
    <s v="Profit"/>
    <n v="103"/>
  </r>
  <r>
    <n v="130"/>
    <x v="129"/>
    <n v="1030"/>
    <s v="Customer_184"/>
    <s v="Corporate"/>
    <s v="East"/>
    <s v="Furniture"/>
    <x v="1"/>
    <n v="2350"/>
    <n v="8"/>
    <n v="0.28999999999999998"/>
    <n v="188"/>
    <s v="Card"/>
    <n v="13348"/>
    <s v="May"/>
    <n v="2024"/>
    <s v="Q2"/>
    <n v="1.4084507042253521E-2"/>
    <n v="5452"/>
    <s v="High"/>
    <s v="Repeat"/>
    <s v="Above Avg"/>
    <s v="Profit"/>
    <n v="155"/>
  </r>
  <r>
    <n v="131"/>
    <x v="130"/>
    <n v="1007"/>
    <s v="Customer_32"/>
    <s v="Consumer"/>
    <s v="South"/>
    <s v="Electronics"/>
    <x v="3"/>
    <n v="4420"/>
    <n v="9"/>
    <n v="0.18"/>
    <n v="-333"/>
    <s v="UPI"/>
    <n v="32619.599999999999"/>
    <s v="May"/>
    <n v="2024"/>
    <s v="Q2"/>
    <n v="-1.0208586248758415E-2"/>
    <n v="7160.4"/>
    <s v="High"/>
    <s v="Repeat"/>
    <s v="Above Avg"/>
    <s v="Loss"/>
    <n v="18"/>
  </r>
  <r>
    <n v="132"/>
    <x v="131"/>
    <n v="1093"/>
    <s v="Customer_160"/>
    <s v="Consumer"/>
    <s v="North"/>
    <s v="Furniture"/>
    <x v="2"/>
    <n v="3715"/>
    <n v="2"/>
    <n v="0.19"/>
    <n v="931"/>
    <s v="COD"/>
    <n v="6018.3"/>
    <s v="May"/>
    <n v="2024"/>
    <s v="Q2"/>
    <n v="0.15469484738215111"/>
    <n v="1411.7"/>
    <s v="High"/>
    <s v="Repeat"/>
    <s v="Below Avg"/>
    <s v="Profit"/>
    <n v="296"/>
  </r>
  <r>
    <n v="133"/>
    <x v="132"/>
    <n v="1060"/>
    <s v="Customer_115"/>
    <s v="Corporate"/>
    <s v="East"/>
    <s v="Clothing"/>
    <x v="3"/>
    <n v="1879"/>
    <n v="9"/>
    <n v="0.21"/>
    <n v="738"/>
    <s v="UPI"/>
    <n v="13359.69"/>
    <s v="May"/>
    <n v="2024"/>
    <s v="Q2"/>
    <n v="5.5240802743177421E-2"/>
    <n v="3551.31"/>
    <s v="High"/>
    <s v="Repeat"/>
    <s v="Above Avg"/>
    <s v="Profit"/>
    <n v="154"/>
  </r>
  <r>
    <n v="134"/>
    <x v="133"/>
    <n v="1065"/>
    <s v="Customer_164"/>
    <s v="Consumer"/>
    <s v="South"/>
    <s v="Electronics"/>
    <x v="1"/>
    <n v="1391"/>
    <n v="7"/>
    <n v="0.13"/>
    <n v="1496"/>
    <s v="COD"/>
    <n v="8471.19"/>
    <s v="May"/>
    <n v="2024"/>
    <s v="Q2"/>
    <n v="0.17659856525470446"/>
    <n v="1265.81"/>
    <s v="High"/>
    <s v="Repeat"/>
    <s v="Below Avg"/>
    <s v="Profit"/>
    <n v="239"/>
  </r>
  <r>
    <n v="135"/>
    <x v="134"/>
    <n v="1076"/>
    <s v="Customer_159"/>
    <s v="Consumer"/>
    <s v="East"/>
    <s v="Furniture"/>
    <x v="1"/>
    <n v="778"/>
    <n v="7"/>
    <n v="7.0000000000000007E-2"/>
    <n v="1345"/>
    <s v="UPI"/>
    <n v="5064.78"/>
    <s v="May"/>
    <n v="2024"/>
    <s v="Q2"/>
    <n v="0.26555941225482649"/>
    <n v="381.22"/>
    <s v="High"/>
    <s v="Repeat"/>
    <s v="Below Avg"/>
    <s v="Profit"/>
    <n v="321"/>
  </r>
  <r>
    <n v="136"/>
    <x v="135"/>
    <n v="1067"/>
    <s v="Customer_70"/>
    <s v="Consumer"/>
    <s v="East"/>
    <s v="Electronics"/>
    <x v="1"/>
    <n v="2652"/>
    <n v="1"/>
    <n v="0.08"/>
    <n v="-241"/>
    <s v="Card"/>
    <n v="2439.84"/>
    <s v="May"/>
    <n v="2024"/>
    <s v="Q2"/>
    <n v="-9.8776968981572552E-2"/>
    <n v="212.16"/>
    <s v="Medium"/>
    <s v="Repeat"/>
    <s v="Below Avg"/>
    <s v="Loss"/>
    <n v="412"/>
  </r>
  <r>
    <n v="137"/>
    <x v="136"/>
    <n v="1044"/>
    <s v="Customer_54"/>
    <s v="Corporate"/>
    <s v="East"/>
    <s v="Clothing"/>
    <x v="3"/>
    <n v="3324"/>
    <n v="8"/>
    <n v="0.19"/>
    <n v="1450"/>
    <s v="UPI"/>
    <n v="21539.52"/>
    <s v="May"/>
    <n v="2024"/>
    <s v="Q2"/>
    <n v="6.731812036665627E-2"/>
    <n v="5052.4800000000005"/>
    <s v="High"/>
    <s v="Repeat"/>
    <s v="Above Avg"/>
    <s v="Profit"/>
    <n v="71"/>
  </r>
  <r>
    <n v="138"/>
    <x v="137"/>
    <n v="1051"/>
    <s v="Customer_21"/>
    <s v="Corporate"/>
    <s v="South"/>
    <s v="Electronics"/>
    <x v="0"/>
    <n v="314"/>
    <n v="3"/>
    <n v="0.19"/>
    <n v="1084"/>
    <s v="COD"/>
    <n v="763.02"/>
    <s v="May"/>
    <n v="2024"/>
    <s v="Q2"/>
    <n v="1.4206704935650443"/>
    <n v="178.98"/>
    <s v="Low"/>
    <s v="Repeat"/>
    <s v="Below Avg"/>
    <s v="Profit"/>
    <n v="482"/>
  </r>
  <r>
    <n v="139"/>
    <x v="138"/>
    <n v="1007"/>
    <s v="Customer_35"/>
    <s v="Consumer"/>
    <s v="East"/>
    <s v="Clothing"/>
    <x v="0"/>
    <n v="1085"/>
    <n v="4"/>
    <n v="0.14000000000000001"/>
    <n v="1745"/>
    <s v="Card"/>
    <n v="3732.4"/>
    <s v="May"/>
    <n v="2024"/>
    <s v="Q2"/>
    <n v="0.46752759618476047"/>
    <n v="607.6"/>
    <s v="Medium"/>
    <s v="Repeat"/>
    <s v="Below Avg"/>
    <s v="Profit"/>
    <n v="366"/>
  </r>
  <r>
    <n v="140"/>
    <x v="139"/>
    <n v="1088"/>
    <s v="Customer_23"/>
    <s v="Corporate"/>
    <s v="North"/>
    <s v="Furniture"/>
    <x v="0"/>
    <n v="3383"/>
    <n v="4"/>
    <n v="0.01"/>
    <n v="1826"/>
    <s v="COD"/>
    <n v="13396.68"/>
    <s v="May"/>
    <n v="2024"/>
    <s v="Q2"/>
    <n v="0.13630242716852234"/>
    <n v="135.32"/>
    <s v="High"/>
    <s v="Repeat"/>
    <s v="Above Avg"/>
    <s v="Profit"/>
    <n v="153"/>
  </r>
  <r>
    <n v="141"/>
    <x v="140"/>
    <n v="1070"/>
    <s v="Customer_170"/>
    <s v="Consumer"/>
    <s v="South"/>
    <s v="Clothing"/>
    <x v="3"/>
    <n v="4806"/>
    <n v="2"/>
    <n v="0.26"/>
    <n v="126"/>
    <s v="UPI"/>
    <n v="7112.88"/>
    <s v="May"/>
    <n v="2024"/>
    <s v="Q2"/>
    <n v="1.7714343557040185E-2"/>
    <n v="2499.12"/>
    <s v="High"/>
    <s v="Repeat"/>
    <s v="Below Avg"/>
    <s v="Profit"/>
    <n v="273"/>
  </r>
  <r>
    <n v="142"/>
    <x v="141"/>
    <n v="1013"/>
    <s v="Customer_24"/>
    <s v="Corporate"/>
    <s v="West"/>
    <s v="Electronics"/>
    <x v="2"/>
    <n v="2445"/>
    <n v="3"/>
    <n v="7.0000000000000007E-2"/>
    <n v="834"/>
    <s v="COD"/>
    <n v="6821.5499999999902"/>
    <s v="May"/>
    <n v="2024"/>
    <s v="Q2"/>
    <n v="0.12225960375574484"/>
    <n v="513.45000000000005"/>
    <s v="High"/>
    <s v="Repeat"/>
    <s v="Below Avg"/>
    <s v="Profit"/>
    <n v="277"/>
  </r>
  <r>
    <n v="143"/>
    <x v="142"/>
    <n v="1028"/>
    <s v="Customer_94"/>
    <s v="Consumer"/>
    <s v="North"/>
    <s v="Furniture"/>
    <x v="3"/>
    <n v="4838"/>
    <n v="5"/>
    <n v="0.17"/>
    <n v="-431"/>
    <s v="UPI"/>
    <n v="20077.7"/>
    <s v="May"/>
    <n v="2024"/>
    <s v="Q2"/>
    <n v="-2.1466602250257746E-2"/>
    <n v="4112.3"/>
    <s v="High"/>
    <s v="Repeat"/>
    <s v="Above Avg"/>
    <s v="Loss"/>
    <n v="79"/>
  </r>
  <r>
    <n v="144"/>
    <x v="143"/>
    <n v="1063"/>
    <s v="Customer_74"/>
    <s v="Consumer"/>
    <s v="West"/>
    <s v="Furniture"/>
    <x v="0"/>
    <n v="3533"/>
    <n v="3"/>
    <n v="0.22"/>
    <n v="1071"/>
    <s v="UPI"/>
    <n v="8267.2199999999993"/>
    <s v="May"/>
    <n v="2024"/>
    <s v="Q2"/>
    <n v="0.1295477802695465"/>
    <n v="2331.7800000000002"/>
    <s v="High"/>
    <s v="Repeat"/>
    <s v="Below Avg"/>
    <s v="Profit"/>
    <n v="242"/>
  </r>
  <r>
    <n v="145"/>
    <x v="144"/>
    <n v="1084"/>
    <s v="Customer_69"/>
    <s v="Corporate"/>
    <s v="West"/>
    <s v="Furniture"/>
    <x v="1"/>
    <n v="3727"/>
    <n v="5"/>
    <n v="0.06"/>
    <n v="1304"/>
    <s v="COD"/>
    <n v="17516.8999999999"/>
    <s v="May"/>
    <n v="2024"/>
    <s v="Q2"/>
    <n v="7.4442395629364069E-2"/>
    <n v="1118.0999999999999"/>
    <s v="High"/>
    <s v="Repeat"/>
    <s v="Above Avg"/>
    <s v="Profit"/>
    <n v="97"/>
  </r>
  <r>
    <n v="146"/>
    <x v="145"/>
    <n v="1036"/>
    <s v="Customer_127"/>
    <s v="Consumer"/>
    <s v="North"/>
    <s v="Clothing"/>
    <x v="1"/>
    <n v="3173"/>
    <n v="8"/>
    <n v="0.14000000000000001"/>
    <n v="1176"/>
    <s v="Card"/>
    <n v="21830.2399999999"/>
    <s v="May"/>
    <n v="2024"/>
    <s v="Q2"/>
    <n v="5.3870227720813214E-2"/>
    <n v="3553.76"/>
    <s v="High"/>
    <s v="Repeat"/>
    <s v="Above Avg"/>
    <s v="Profit"/>
    <n v="69"/>
  </r>
  <r>
    <n v="147"/>
    <x v="146"/>
    <n v="1096"/>
    <s v="Customer_125"/>
    <s v="Consumer"/>
    <s v="East"/>
    <s v="Furniture"/>
    <x v="0"/>
    <n v="4473"/>
    <n v="8"/>
    <n v="0"/>
    <n v="126"/>
    <s v="Card"/>
    <n v="35784"/>
    <s v="May"/>
    <n v="2024"/>
    <s v="Q2"/>
    <n v="3.5211267605633804E-3"/>
    <n v="0"/>
    <s v="High"/>
    <s v="Repeat"/>
    <s v="Above Avg"/>
    <s v="Profit"/>
    <n v="8"/>
  </r>
  <r>
    <n v="148"/>
    <x v="147"/>
    <n v="1040"/>
    <s v="Customer_170"/>
    <s v="Consumer"/>
    <s v="North"/>
    <s v="Clothing"/>
    <x v="2"/>
    <n v="3339"/>
    <n v="3"/>
    <n v="0.01"/>
    <n v="-386"/>
    <s v="Card"/>
    <n v="9916.83"/>
    <s v="May"/>
    <n v="2024"/>
    <s v="Q2"/>
    <n v="-3.8923728651191966E-2"/>
    <n v="100.17"/>
    <s v="High"/>
    <s v="Repeat"/>
    <s v="Below Avg"/>
    <s v="Loss"/>
    <n v="202"/>
  </r>
  <r>
    <n v="149"/>
    <x v="148"/>
    <n v="1088"/>
    <s v="Customer_158"/>
    <s v="Corporate"/>
    <s v="South"/>
    <s v="Clothing"/>
    <x v="1"/>
    <n v="1472"/>
    <n v="5"/>
    <n v="0.08"/>
    <n v="788"/>
    <s v="UPI"/>
    <n v="6771.2"/>
    <s v="May"/>
    <n v="2024"/>
    <s v="Q2"/>
    <n v="0.11637523629489603"/>
    <n v="588.80000000000007"/>
    <s v="High"/>
    <s v="Repeat"/>
    <s v="Below Avg"/>
    <s v="Profit"/>
    <n v="279"/>
  </r>
  <r>
    <n v="150"/>
    <x v="149"/>
    <n v="1063"/>
    <s v="Customer_199"/>
    <s v="Corporate"/>
    <s v="East"/>
    <s v="Clothing"/>
    <x v="2"/>
    <n v="2138"/>
    <n v="1"/>
    <n v="0.2"/>
    <n v="725"/>
    <s v="Card"/>
    <n v="1710.4"/>
    <s v="May"/>
    <n v="2024"/>
    <s v="Q2"/>
    <n v="0.42387745556594947"/>
    <n v="427.6"/>
    <s v="Low"/>
    <s v="Repeat"/>
    <s v="Below Avg"/>
    <s v="Profit"/>
    <n v="446"/>
  </r>
  <r>
    <n v="151"/>
    <x v="150"/>
    <n v="1058"/>
    <s v="Customer_134"/>
    <s v="Consumer"/>
    <s v="East"/>
    <s v="Furniture"/>
    <x v="1"/>
    <n v="4818"/>
    <n v="7"/>
    <n v="0.27"/>
    <n v="841"/>
    <s v="Card"/>
    <n v="24619.98"/>
    <s v="May"/>
    <n v="2024"/>
    <s v="Q2"/>
    <n v="3.4159247895408529E-2"/>
    <n v="9106.02"/>
    <s v="High"/>
    <s v="Repeat"/>
    <s v="Above Avg"/>
    <s v="Profit"/>
    <n v="44"/>
  </r>
  <r>
    <n v="152"/>
    <x v="151"/>
    <n v="1077"/>
    <s v="Customer_52"/>
    <s v="Consumer"/>
    <s v="West"/>
    <s v="Electronics"/>
    <x v="0"/>
    <n v="3953"/>
    <n v="3"/>
    <n v="0.13"/>
    <n v="1405"/>
    <s v="COD"/>
    <n v="10317.33"/>
    <s v="May"/>
    <n v="2024"/>
    <s v="Q2"/>
    <n v="0.13617864311793845"/>
    <n v="1541.67"/>
    <s v="High"/>
    <s v="Repeat"/>
    <s v="Below Avg"/>
    <s v="Profit"/>
    <n v="197"/>
  </r>
  <r>
    <n v="153"/>
    <x v="152"/>
    <n v="1008"/>
    <s v="Customer_82"/>
    <s v="Corporate"/>
    <s v="North"/>
    <s v="Furniture"/>
    <x v="3"/>
    <n v="3443"/>
    <n v="7"/>
    <n v="0.01"/>
    <n v="1505"/>
    <s v="Card"/>
    <n v="23859.99"/>
    <s v="Jun"/>
    <n v="2024"/>
    <s v="Q2"/>
    <n v="6.3076304726028806E-2"/>
    <n v="241.01"/>
    <s v="High"/>
    <s v="Repeat"/>
    <s v="Above Avg"/>
    <s v="Profit"/>
    <n v="52"/>
  </r>
  <r>
    <n v="154"/>
    <x v="153"/>
    <n v="1078"/>
    <s v="Customer_154"/>
    <s v="Consumer"/>
    <s v="East"/>
    <s v="Furniture"/>
    <x v="3"/>
    <n v="4783"/>
    <n v="8"/>
    <n v="0.09"/>
    <n v="605"/>
    <s v="COD"/>
    <n v="34820.239999999998"/>
    <s v="Jun"/>
    <n v="2024"/>
    <s v="Q2"/>
    <n v="1.7374952039388585E-2"/>
    <n v="3443.7599999999998"/>
    <s v="High"/>
    <s v="Repeat"/>
    <s v="Above Avg"/>
    <s v="Profit"/>
    <n v="12"/>
  </r>
  <r>
    <n v="155"/>
    <x v="154"/>
    <n v="1006"/>
    <s v="Customer_100"/>
    <s v="Consumer"/>
    <s v="South"/>
    <s v="Furniture"/>
    <x v="2"/>
    <n v="4252"/>
    <n v="7"/>
    <n v="0.28999999999999998"/>
    <n v="-483"/>
    <s v="Card"/>
    <n v="21132.44"/>
    <s v="Jun"/>
    <n v="2024"/>
    <s v="Q2"/>
    <n v="-2.2855855736488549E-2"/>
    <n v="8631.56"/>
    <s v="High"/>
    <s v="Repeat"/>
    <s v="Above Avg"/>
    <s v="Loss"/>
    <n v="74"/>
  </r>
  <r>
    <n v="156"/>
    <x v="155"/>
    <n v="1065"/>
    <s v="Customer_41"/>
    <s v="Corporate"/>
    <s v="South"/>
    <s v="Furniture"/>
    <x v="0"/>
    <n v="1868"/>
    <n v="5"/>
    <n v="0.03"/>
    <n v="200"/>
    <s v="Card"/>
    <n v="9059.7999999999993"/>
    <s v="Jun"/>
    <n v="2024"/>
    <s v="Q2"/>
    <n v="2.2075542506457099E-2"/>
    <n v="280.2"/>
    <s v="High"/>
    <s v="Repeat"/>
    <s v="Below Avg"/>
    <s v="Profit"/>
    <n v="230"/>
  </r>
  <r>
    <n v="157"/>
    <x v="156"/>
    <n v="1094"/>
    <s v="Customer_196"/>
    <s v="Consumer"/>
    <s v="East"/>
    <s v="Clothing"/>
    <x v="1"/>
    <n v="138"/>
    <n v="9"/>
    <n v="0.23"/>
    <n v="486"/>
    <s v="COD"/>
    <n v="956.34"/>
    <s v="Jun"/>
    <n v="2024"/>
    <s v="Q2"/>
    <n v="0.50818746470920384"/>
    <n v="285.66000000000003"/>
    <s v="Low"/>
    <s v="Repeat"/>
    <s v="Below Avg"/>
    <s v="Profit"/>
    <n v="481"/>
  </r>
  <r>
    <n v="158"/>
    <x v="157"/>
    <n v="1070"/>
    <s v="Customer_182"/>
    <s v="Consumer"/>
    <s v="South"/>
    <s v="Electronics"/>
    <x v="2"/>
    <n v="3662"/>
    <n v="1"/>
    <n v="0.22"/>
    <n v="-184"/>
    <s v="Card"/>
    <n v="2856.36"/>
    <s v="Jun"/>
    <n v="2024"/>
    <s v="Q2"/>
    <n v="-6.4417650436219526E-2"/>
    <n v="805.64"/>
    <s v="Medium"/>
    <s v="Repeat"/>
    <s v="Below Avg"/>
    <s v="Loss"/>
    <n v="397"/>
  </r>
  <r>
    <n v="159"/>
    <x v="158"/>
    <n v="1040"/>
    <s v="Customer_60"/>
    <s v="Corporate"/>
    <s v="North"/>
    <s v="Furniture"/>
    <x v="0"/>
    <n v="1929"/>
    <n v="6"/>
    <n v="0.18"/>
    <n v="1743"/>
    <s v="COD"/>
    <n v="9490.68"/>
    <s v="Jun"/>
    <n v="2024"/>
    <s v="Q2"/>
    <n v="0.18365385831152245"/>
    <n v="2083.3199999999997"/>
    <s v="High"/>
    <s v="Repeat"/>
    <s v="Below Avg"/>
    <s v="Profit"/>
    <n v="217"/>
  </r>
  <r>
    <n v="160"/>
    <x v="159"/>
    <n v="1074"/>
    <s v="Customer_77"/>
    <s v="Consumer"/>
    <s v="South"/>
    <s v="Furniture"/>
    <x v="3"/>
    <n v="2271"/>
    <n v="6"/>
    <n v="0.28000000000000003"/>
    <n v="1840"/>
    <s v="COD"/>
    <n v="9810.7199999999993"/>
    <s v="Jun"/>
    <n v="2024"/>
    <s v="Q2"/>
    <n v="0.18754994536588548"/>
    <n v="3815.28"/>
    <s v="High"/>
    <s v="Repeat"/>
    <s v="Below Avg"/>
    <s v="Profit"/>
    <n v="207"/>
  </r>
  <r>
    <n v="161"/>
    <x v="160"/>
    <n v="1076"/>
    <s v="Customer_183"/>
    <s v="Consumer"/>
    <s v="East"/>
    <s v="Clothing"/>
    <x v="3"/>
    <n v="208"/>
    <n v="7"/>
    <n v="0.19"/>
    <n v="1079"/>
    <s v="Card"/>
    <n v="1179.3599999999999"/>
    <s v="Jun"/>
    <n v="2024"/>
    <s v="Q2"/>
    <n v="0.9149029982363317"/>
    <n v="276.64"/>
    <s v="Low"/>
    <s v="Repeat"/>
    <s v="Below Avg"/>
    <s v="Profit"/>
    <n v="469"/>
  </r>
  <r>
    <n v="162"/>
    <x v="161"/>
    <n v="1076"/>
    <s v="Customer_152"/>
    <s v="Consumer"/>
    <s v="South"/>
    <s v="Clothing"/>
    <x v="3"/>
    <n v="4940"/>
    <n v="7"/>
    <n v="0.28999999999999998"/>
    <n v="-154"/>
    <s v="Card"/>
    <n v="24551.8"/>
    <s v="Jun"/>
    <n v="2024"/>
    <s v="Q2"/>
    <n v="-6.272452528938815E-3"/>
    <n v="10028.199999999999"/>
    <s v="High"/>
    <s v="Repeat"/>
    <s v="Above Avg"/>
    <s v="Loss"/>
    <n v="45"/>
  </r>
  <r>
    <n v="163"/>
    <x v="162"/>
    <n v="1025"/>
    <s v="Customer_119"/>
    <s v="Consumer"/>
    <s v="West"/>
    <s v="Clothing"/>
    <x v="2"/>
    <n v="4228"/>
    <n v="2"/>
    <n v="0.25"/>
    <n v="115"/>
    <s v="Card"/>
    <n v="6342"/>
    <s v="Jun"/>
    <n v="2024"/>
    <s v="Q2"/>
    <n v="1.8133081046988332E-2"/>
    <n v="2114"/>
    <s v="High"/>
    <s v="Repeat"/>
    <s v="Below Avg"/>
    <s v="Profit"/>
    <n v="287"/>
  </r>
  <r>
    <n v="164"/>
    <x v="163"/>
    <n v="1007"/>
    <s v="Customer_95"/>
    <s v="Consumer"/>
    <s v="South"/>
    <s v="Electronics"/>
    <x v="3"/>
    <n v="4335"/>
    <n v="5"/>
    <n v="0.24"/>
    <n v="1958"/>
    <s v="UPI"/>
    <n v="16473"/>
    <s v="Jun"/>
    <n v="2024"/>
    <s v="Q2"/>
    <n v="0.11886116675772476"/>
    <n v="5202"/>
    <s v="High"/>
    <s v="Repeat"/>
    <s v="Above Avg"/>
    <s v="Profit"/>
    <n v="116"/>
  </r>
  <r>
    <n v="165"/>
    <x v="164"/>
    <n v="1013"/>
    <s v="Customer_127"/>
    <s v="Consumer"/>
    <s v="West"/>
    <s v="Clothing"/>
    <x v="2"/>
    <n v="4277"/>
    <n v="6"/>
    <n v="0.28999999999999998"/>
    <n v="-94"/>
    <s v="COD"/>
    <n v="18220.02"/>
    <s v="Jun"/>
    <n v="2024"/>
    <s v="Q2"/>
    <n v="-5.1591600887375532E-3"/>
    <n v="7441.98"/>
    <s v="High"/>
    <s v="Repeat"/>
    <s v="Above Avg"/>
    <s v="Loss"/>
    <n v="89"/>
  </r>
  <r>
    <n v="166"/>
    <x v="165"/>
    <n v="1044"/>
    <s v="Customer_168"/>
    <s v="Corporate"/>
    <s v="North"/>
    <s v="Electronics"/>
    <x v="1"/>
    <n v="3206"/>
    <n v="2"/>
    <n v="0.19"/>
    <n v="1742"/>
    <s v="COD"/>
    <n v="5193.72"/>
    <s v="Jun"/>
    <n v="2024"/>
    <s v="Q2"/>
    <n v="0.33540506611831211"/>
    <n v="1218.28"/>
    <s v="High"/>
    <s v="Repeat"/>
    <s v="Below Avg"/>
    <s v="Profit"/>
    <n v="319"/>
  </r>
  <r>
    <n v="167"/>
    <x v="166"/>
    <n v="1001"/>
    <s v="Customer_192"/>
    <s v="Consumer"/>
    <s v="North"/>
    <s v="Furniture"/>
    <x v="3"/>
    <n v="236"/>
    <n v="9"/>
    <n v="0.1"/>
    <n v="-188"/>
    <s v="COD"/>
    <n v="1911.6"/>
    <s v="Jun"/>
    <n v="2024"/>
    <s v="Q2"/>
    <n v="-9.8346934505126604E-2"/>
    <n v="212.4"/>
    <s v="Low"/>
    <s v="Repeat"/>
    <s v="Below Avg"/>
    <s v="Loss"/>
    <n v="436"/>
  </r>
  <r>
    <n v="168"/>
    <x v="167"/>
    <n v="1041"/>
    <s v="Customer_162"/>
    <s v="Corporate"/>
    <s v="North"/>
    <s v="Clothing"/>
    <x v="3"/>
    <n v="3837"/>
    <n v="6"/>
    <n v="0.03"/>
    <n v="-151"/>
    <s v="COD"/>
    <n v="22331.34"/>
    <s v="Jun"/>
    <n v="2024"/>
    <s v="Q2"/>
    <n v="-6.7617975455122707E-3"/>
    <n v="690.66"/>
    <s v="High"/>
    <s v="Repeat"/>
    <s v="Above Avg"/>
    <s v="Loss"/>
    <n v="64"/>
  </r>
  <r>
    <n v="169"/>
    <x v="168"/>
    <n v="1078"/>
    <s v="Customer_39"/>
    <s v="Consumer"/>
    <s v="North"/>
    <s v="Furniture"/>
    <x v="3"/>
    <n v="3951"/>
    <n v="5"/>
    <n v="0.21"/>
    <n v="1112"/>
    <s v="COD"/>
    <n v="15606.45"/>
    <s v="Jun"/>
    <n v="2024"/>
    <s v="Q2"/>
    <n v="7.1252591076125568E-2"/>
    <n v="4148.55"/>
    <s v="High"/>
    <s v="Repeat"/>
    <s v="Above Avg"/>
    <s v="Profit"/>
    <n v="134"/>
  </r>
  <r>
    <n v="170"/>
    <x v="169"/>
    <n v="1056"/>
    <s v="Customer_122"/>
    <s v="Corporate"/>
    <s v="West"/>
    <s v="Furniture"/>
    <x v="3"/>
    <n v="430"/>
    <n v="8"/>
    <n v="0.16"/>
    <n v="403"/>
    <s v="Card"/>
    <n v="2889.6"/>
    <s v="Jun"/>
    <n v="2024"/>
    <s v="Q2"/>
    <n v="0.13946566998892582"/>
    <n v="550.4"/>
    <s v="Medium"/>
    <s v="Repeat"/>
    <s v="Below Avg"/>
    <s v="Profit"/>
    <n v="396"/>
  </r>
  <r>
    <n v="171"/>
    <x v="170"/>
    <n v="1087"/>
    <s v="Customer_1"/>
    <s v="Consumer"/>
    <s v="West"/>
    <s v="Furniture"/>
    <x v="1"/>
    <n v="296"/>
    <n v="8"/>
    <n v="0.12"/>
    <n v="-8"/>
    <s v="Card"/>
    <n v="2083.84"/>
    <s v="Jun"/>
    <n v="2024"/>
    <s v="Q2"/>
    <n v="-3.8390663390663387E-3"/>
    <n v="284.15999999999997"/>
    <s v="Medium"/>
    <s v="Repeat"/>
    <s v="Below Avg"/>
    <s v="Loss"/>
    <n v="424"/>
  </r>
  <r>
    <n v="172"/>
    <x v="171"/>
    <n v="1063"/>
    <s v="Customer_123"/>
    <s v="Corporate"/>
    <s v="West"/>
    <s v="Furniture"/>
    <x v="2"/>
    <n v="1515"/>
    <n v="1"/>
    <n v="0.28000000000000003"/>
    <n v="1470"/>
    <s v="UPI"/>
    <n v="1090.8"/>
    <s v="Jun"/>
    <n v="2024"/>
    <s v="Q2"/>
    <n v="1.3476347634763477"/>
    <n v="424.20000000000005"/>
    <s v="Low"/>
    <s v="Repeat"/>
    <s v="Below Avg"/>
    <s v="Profit"/>
    <n v="477"/>
  </r>
  <r>
    <n v="173"/>
    <x v="172"/>
    <n v="1097"/>
    <s v="Customer_20"/>
    <s v="Consumer"/>
    <s v="South"/>
    <s v="Clothing"/>
    <x v="1"/>
    <n v="3396"/>
    <n v="7"/>
    <n v="0.27"/>
    <n v="1252"/>
    <s v="COD"/>
    <n v="17353.560000000001"/>
    <s v="Jun"/>
    <n v="2024"/>
    <s v="Q2"/>
    <n v="7.2146579721970583E-2"/>
    <n v="6418.4400000000005"/>
    <s v="High"/>
    <s v="Repeat"/>
    <s v="Above Avg"/>
    <s v="Profit"/>
    <n v="99"/>
  </r>
  <r>
    <n v="174"/>
    <x v="173"/>
    <n v="1003"/>
    <s v="Customer_111"/>
    <s v="Consumer"/>
    <s v="East"/>
    <s v="Electronics"/>
    <x v="0"/>
    <n v="3120"/>
    <n v="6"/>
    <n v="0.11"/>
    <n v="-429"/>
    <s v="UPI"/>
    <n v="16660.8"/>
    <s v="Jun"/>
    <n v="2024"/>
    <s v="Q2"/>
    <n v="-2.5749063670411985E-2"/>
    <n v="2059.1999999999998"/>
    <s v="High"/>
    <s v="Repeat"/>
    <s v="Above Avg"/>
    <s v="Loss"/>
    <n v="110"/>
  </r>
  <r>
    <n v="175"/>
    <x v="174"/>
    <n v="1017"/>
    <s v="Customer_153"/>
    <s v="Corporate"/>
    <s v="East"/>
    <s v="Clothing"/>
    <x v="1"/>
    <n v="3469"/>
    <n v="3"/>
    <n v="0.28000000000000003"/>
    <n v="431"/>
    <s v="UPI"/>
    <n v="7493.04"/>
    <s v="Jun"/>
    <n v="2024"/>
    <s v="Q2"/>
    <n v="5.7520045268675997E-2"/>
    <n v="2913.9600000000005"/>
    <s v="High"/>
    <s v="Repeat"/>
    <s v="Below Avg"/>
    <s v="Profit"/>
    <n v="264"/>
  </r>
  <r>
    <n v="176"/>
    <x v="175"/>
    <n v="1088"/>
    <s v="Customer_134"/>
    <s v="Corporate"/>
    <s v="East"/>
    <s v="Clothing"/>
    <x v="2"/>
    <n v="4955"/>
    <n v="1"/>
    <n v="0.13"/>
    <n v="-182"/>
    <s v="Card"/>
    <n v="4310.8500000000004"/>
    <s v="Jun"/>
    <n v="2024"/>
    <s v="Q2"/>
    <n v="-4.2219051927114136E-2"/>
    <n v="644.15"/>
    <s v="Medium"/>
    <s v="Repeat"/>
    <s v="Below Avg"/>
    <s v="Loss"/>
    <n v="341"/>
  </r>
  <r>
    <n v="177"/>
    <x v="176"/>
    <n v="1087"/>
    <s v="Customer_116"/>
    <s v="Corporate"/>
    <s v="South"/>
    <s v="Clothing"/>
    <x v="0"/>
    <n v="940"/>
    <n v="2"/>
    <n v="0.06"/>
    <n v="1960"/>
    <s v="Card"/>
    <n v="1767.19999999999"/>
    <s v="Jun"/>
    <n v="2024"/>
    <s v="Q2"/>
    <n v="1.109099139882306"/>
    <n v="112.8"/>
    <s v="Low"/>
    <s v="Repeat"/>
    <s v="Below Avg"/>
    <s v="Profit"/>
    <n v="442"/>
  </r>
  <r>
    <n v="178"/>
    <x v="177"/>
    <n v="1069"/>
    <s v="Customer_94"/>
    <s v="Consumer"/>
    <s v="West"/>
    <s v="Furniture"/>
    <x v="3"/>
    <n v="3742"/>
    <n v="1"/>
    <n v="0.19"/>
    <n v="1388"/>
    <s v="Card"/>
    <n v="3031.02"/>
    <s v="Jun"/>
    <n v="2024"/>
    <s v="Q2"/>
    <n v="0.45793165337081249"/>
    <n v="710.98"/>
    <s v="Medium"/>
    <s v="Repeat"/>
    <s v="Below Avg"/>
    <s v="Profit"/>
    <n v="390"/>
  </r>
  <r>
    <n v="179"/>
    <x v="178"/>
    <n v="1097"/>
    <s v="Customer_120"/>
    <s v="Corporate"/>
    <s v="South"/>
    <s v="Clothing"/>
    <x v="3"/>
    <n v="2769"/>
    <n v="3"/>
    <n v="0.03"/>
    <n v="-283"/>
    <s v="Card"/>
    <n v="8057.79"/>
    <s v="Jun"/>
    <n v="2024"/>
    <s v="Q2"/>
    <n v="-3.512129256284912E-2"/>
    <n v="249.20999999999998"/>
    <s v="High"/>
    <s v="Repeat"/>
    <s v="Below Avg"/>
    <s v="Loss"/>
    <n v="251"/>
  </r>
  <r>
    <n v="180"/>
    <x v="179"/>
    <n v="1050"/>
    <s v="Customer_113"/>
    <s v="Consumer"/>
    <s v="North"/>
    <s v="Furniture"/>
    <x v="3"/>
    <n v="1277"/>
    <n v="6"/>
    <n v="0.05"/>
    <n v="-393"/>
    <s v="Card"/>
    <n v="7278.9"/>
    <s v="Jun"/>
    <n v="2024"/>
    <s v="Q2"/>
    <n v="-5.3991674566211928E-2"/>
    <n v="383.1"/>
    <s v="High"/>
    <s v="Repeat"/>
    <s v="Below Avg"/>
    <s v="Loss"/>
    <n v="269"/>
  </r>
  <r>
    <n v="181"/>
    <x v="180"/>
    <n v="1002"/>
    <s v="Customer_3"/>
    <s v="Consumer"/>
    <s v="South"/>
    <s v="Furniture"/>
    <x v="0"/>
    <n v="1043"/>
    <n v="2"/>
    <n v="0.24"/>
    <n v="1350"/>
    <s v="Card"/>
    <n v="1585.36"/>
    <s v="Jun"/>
    <n v="2024"/>
    <s v="Q2"/>
    <n v="0.85154160569208259"/>
    <n v="500.64"/>
    <s v="Low"/>
    <s v="Repeat"/>
    <s v="Below Avg"/>
    <s v="Profit"/>
    <n v="454"/>
  </r>
  <r>
    <n v="182"/>
    <x v="181"/>
    <n v="1018"/>
    <s v="Customer_164"/>
    <s v="Consumer"/>
    <s v="South"/>
    <s v="Electronics"/>
    <x v="2"/>
    <n v="3546"/>
    <n v="6"/>
    <n v="0.25"/>
    <n v="1825"/>
    <s v="UPI"/>
    <n v="15957"/>
    <s v="Jun"/>
    <n v="2024"/>
    <s v="Q2"/>
    <n v="0.11436986902299931"/>
    <n v="5319"/>
    <s v="High"/>
    <s v="Repeat"/>
    <s v="Above Avg"/>
    <s v="Profit"/>
    <n v="129"/>
  </r>
  <r>
    <n v="183"/>
    <x v="182"/>
    <n v="1046"/>
    <s v="Customer_70"/>
    <s v="Corporate"/>
    <s v="South"/>
    <s v="Furniture"/>
    <x v="0"/>
    <n v="951"/>
    <n v="8"/>
    <n v="7.0000000000000007E-2"/>
    <n v="1104"/>
    <s v="COD"/>
    <n v="7075.44"/>
    <s v="Jul"/>
    <n v="2024"/>
    <s v="Q3"/>
    <n v="0.15603269902649164"/>
    <n v="532.56000000000006"/>
    <s v="High"/>
    <s v="Repeat"/>
    <s v="Below Avg"/>
    <s v="Profit"/>
    <n v="274"/>
  </r>
  <r>
    <n v="184"/>
    <x v="183"/>
    <n v="1045"/>
    <s v="Customer_166"/>
    <s v="Corporate"/>
    <s v="North"/>
    <s v="Furniture"/>
    <x v="3"/>
    <n v="4700"/>
    <n v="3"/>
    <n v="0.22"/>
    <n v="140"/>
    <s v="COD"/>
    <n v="10998"/>
    <s v="Jul"/>
    <n v="2024"/>
    <s v="Q3"/>
    <n v="1.2729587197672304E-2"/>
    <n v="3102"/>
    <s v="High"/>
    <s v="Repeat"/>
    <s v="Above Avg"/>
    <s v="Profit"/>
    <n v="190"/>
  </r>
  <r>
    <n v="185"/>
    <x v="184"/>
    <n v="1057"/>
    <s v="Customer_65"/>
    <s v="Consumer"/>
    <s v="East"/>
    <s v="Electronics"/>
    <x v="3"/>
    <n v="1851"/>
    <n v="3"/>
    <n v="0.28999999999999998"/>
    <n v="589"/>
    <s v="Card"/>
    <n v="3942.6299999999901"/>
    <s v="Jul"/>
    <n v="2024"/>
    <s v="Q3"/>
    <n v="0.14939266428754447"/>
    <n v="1610.37"/>
    <s v="Medium"/>
    <s v="Repeat"/>
    <s v="Below Avg"/>
    <s v="Profit"/>
    <n v="356"/>
  </r>
  <r>
    <n v="186"/>
    <x v="185"/>
    <n v="1035"/>
    <s v="Customer_83"/>
    <s v="Corporate"/>
    <s v="East"/>
    <s v="Furniture"/>
    <x v="3"/>
    <n v="1945"/>
    <n v="1"/>
    <n v="0.28999999999999998"/>
    <n v="7"/>
    <s v="Card"/>
    <n v="1380.94999999999"/>
    <s v="Jul"/>
    <n v="2024"/>
    <s v="Q3"/>
    <n v="5.068974256852204E-3"/>
    <n v="564.04999999999995"/>
    <s v="Low"/>
    <s v="Repeat"/>
    <s v="Below Avg"/>
    <s v="Profit"/>
    <n v="462"/>
  </r>
  <r>
    <n v="187"/>
    <x v="186"/>
    <n v="1018"/>
    <s v="Customer_38"/>
    <s v="Corporate"/>
    <s v="North"/>
    <s v="Clothing"/>
    <x v="0"/>
    <n v="4924"/>
    <n v="3"/>
    <n v="0.13"/>
    <n v="1357"/>
    <s v="UPI"/>
    <n v="12851.64"/>
    <s v="Jul"/>
    <n v="2024"/>
    <s v="Q3"/>
    <n v="0.1055896368089987"/>
    <n v="1920.3600000000001"/>
    <s v="High"/>
    <s v="Repeat"/>
    <s v="Above Avg"/>
    <s v="Profit"/>
    <n v="160"/>
  </r>
  <r>
    <n v="188"/>
    <x v="187"/>
    <n v="1091"/>
    <s v="Customer_28"/>
    <s v="Corporate"/>
    <s v="East"/>
    <s v="Furniture"/>
    <x v="0"/>
    <n v="1821"/>
    <n v="7"/>
    <n v="0.26"/>
    <n v="-309"/>
    <s v="Card"/>
    <n v="9432.7800000000007"/>
    <s v="Jul"/>
    <n v="2024"/>
    <s v="Q3"/>
    <n v="-3.2758105245749396E-2"/>
    <n v="3314.2200000000003"/>
    <s v="High"/>
    <s v="Repeat"/>
    <s v="Below Avg"/>
    <s v="Loss"/>
    <n v="220"/>
  </r>
  <r>
    <n v="189"/>
    <x v="188"/>
    <n v="1046"/>
    <s v="Customer_175"/>
    <s v="Corporate"/>
    <s v="East"/>
    <s v="Clothing"/>
    <x v="2"/>
    <n v="1873"/>
    <n v="9"/>
    <n v="0.17"/>
    <n v="-234"/>
    <s v="UPI"/>
    <n v="13991.31"/>
    <s v="Jul"/>
    <n v="2024"/>
    <s v="Q3"/>
    <n v="-1.672466695398787E-2"/>
    <n v="2865.69"/>
    <s v="High"/>
    <s v="Repeat"/>
    <s v="Above Avg"/>
    <s v="Loss"/>
    <n v="147"/>
  </r>
  <r>
    <n v="190"/>
    <x v="189"/>
    <n v="1054"/>
    <s v="Customer_47"/>
    <s v="Consumer"/>
    <s v="West"/>
    <s v="Furniture"/>
    <x v="3"/>
    <n v="750"/>
    <n v="8"/>
    <n v="0.17"/>
    <n v="-108"/>
    <s v="Card"/>
    <n v="4980"/>
    <s v="Jul"/>
    <n v="2024"/>
    <s v="Q3"/>
    <n v="-2.1686746987951807E-2"/>
    <n v="1020.0000000000001"/>
    <s v="Medium"/>
    <s v="Repeat"/>
    <s v="Below Avg"/>
    <s v="Loss"/>
    <n v="324"/>
  </r>
  <r>
    <n v="191"/>
    <x v="190"/>
    <n v="1073"/>
    <s v="Customer_10"/>
    <s v="Consumer"/>
    <s v="East"/>
    <s v="Furniture"/>
    <x v="0"/>
    <n v="1461"/>
    <n v="3"/>
    <n v="7.0000000000000007E-2"/>
    <n v="-371"/>
    <s v="COD"/>
    <n v="4076.1899999999901"/>
    <s v="Jul"/>
    <n v="2024"/>
    <s v="Q3"/>
    <n v="-9.1016365772940144E-2"/>
    <n v="306.81"/>
    <s v="Medium"/>
    <s v="Repeat"/>
    <s v="Below Avg"/>
    <s v="Loss"/>
    <n v="351"/>
  </r>
  <r>
    <n v="192"/>
    <x v="191"/>
    <n v="1081"/>
    <s v="Customer_88"/>
    <s v="Corporate"/>
    <s v="South"/>
    <s v="Clothing"/>
    <x v="0"/>
    <n v="3609"/>
    <n v="5"/>
    <n v="0.12"/>
    <n v="514"/>
    <s v="COD"/>
    <n v="15879.6"/>
    <s v="Jul"/>
    <n v="2024"/>
    <s v="Q3"/>
    <n v="3.2368573515705684E-2"/>
    <n v="2165.4"/>
    <s v="High"/>
    <s v="Repeat"/>
    <s v="Above Avg"/>
    <s v="Profit"/>
    <n v="131"/>
  </r>
  <r>
    <n v="193"/>
    <x v="192"/>
    <n v="1062"/>
    <s v="Customer_133"/>
    <s v="Corporate"/>
    <s v="South"/>
    <s v="Electronics"/>
    <x v="1"/>
    <n v="1568"/>
    <n v="1"/>
    <n v="0.06"/>
    <n v="1807"/>
    <s v="UPI"/>
    <n v="1473.9199999999901"/>
    <s v="Jul"/>
    <n v="2024"/>
    <s v="Q3"/>
    <n v="1.225982414242301"/>
    <n v="94.08"/>
    <s v="Low"/>
    <s v="Repeat"/>
    <s v="Below Avg"/>
    <s v="Profit"/>
    <n v="459"/>
  </r>
  <r>
    <n v="194"/>
    <x v="193"/>
    <n v="1067"/>
    <s v="Customer_141"/>
    <s v="Consumer"/>
    <s v="West"/>
    <s v="Furniture"/>
    <x v="3"/>
    <n v="584"/>
    <n v="1"/>
    <n v="0.22"/>
    <n v="858"/>
    <s v="Card"/>
    <n v="455.52"/>
    <s v="Jul"/>
    <n v="2024"/>
    <s v="Q3"/>
    <n v="1.8835616438356164"/>
    <n v="128.47999999999999"/>
    <s v="Low"/>
    <s v="Repeat"/>
    <s v="Below Avg"/>
    <s v="Profit"/>
    <n v="494"/>
  </r>
  <r>
    <n v="195"/>
    <x v="194"/>
    <n v="1011"/>
    <s v="Customer_86"/>
    <s v="Corporate"/>
    <s v="South"/>
    <s v="Furniture"/>
    <x v="3"/>
    <n v="851"/>
    <n v="9"/>
    <n v="0.19"/>
    <n v="1126"/>
    <s v="Card"/>
    <n v="6203.79"/>
    <s v="Jul"/>
    <n v="2024"/>
    <s v="Q3"/>
    <n v="0.18150195283850679"/>
    <n v="1455.21"/>
    <s v="High"/>
    <s v="Repeat"/>
    <s v="Below Avg"/>
    <s v="Profit"/>
    <n v="292"/>
  </r>
  <r>
    <n v="196"/>
    <x v="195"/>
    <n v="1026"/>
    <s v="Customer_34"/>
    <s v="Corporate"/>
    <s v="West"/>
    <s v="Electronics"/>
    <x v="0"/>
    <n v="209"/>
    <n v="7"/>
    <n v="0.24"/>
    <n v="-125"/>
    <s v="UPI"/>
    <n v="1111.8800000000001"/>
    <s v="Jul"/>
    <n v="2024"/>
    <s v="Q3"/>
    <n v="-0.11242220383494621"/>
    <n v="351.12"/>
    <s v="Low"/>
    <s v="Repeat"/>
    <s v="Below Avg"/>
    <s v="Loss"/>
    <n v="476"/>
  </r>
  <r>
    <n v="197"/>
    <x v="196"/>
    <n v="1092"/>
    <s v="Customer_153"/>
    <s v="Corporate"/>
    <s v="South"/>
    <s v="Electronics"/>
    <x v="1"/>
    <n v="2452"/>
    <n v="4"/>
    <n v="0.19"/>
    <n v="1641"/>
    <s v="Card"/>
    <n v="7944.48"/>
    <s v="Jul"/>
    <n v="2024"/>
    <s v="Q3"/>
    <n v="0.20655851610174614"/>
    <n v="1863.52"/>
    <s v="High"/>
    <s v="Repeat"/>
    <s v="Below Avg"/>
    <s v="Profit"/>
    <n v="254"/>
  </r>
  <r>
    <n v="198"/>
    <x v="197"/>
    <n v="1075"/>
    <s v="Customer_151"/>
    <s v="Consumer"/>
    <s v="East"/>
    <s v="Electronics"/>
    <x v="3"/>
    <n v="4378"/>
    <n v="4"/>
    <n v="0.08"/>
    <n v="-266"/>
    <s v="COD"/>
    <n v="16111.04"/>
    <s v="Jul"/>
    <n v="2024"/>
    <s v="Q3"/>
    <n v="-1.6510417701153992E-2"/>
    <n v="1400.96"/>
    <s v="High"/>
    <s v="Repeat"/>
    <s v="Above Avg"/>
    <s v="Loss"/>
    <n v="125"/>
  </r>
  <r>
    <n v="199"/>
    <x v="198"/>
    <n v="1010"/>
    <s v="Customer_112"/>
    <s v="Corporate"/>
    <s v="South"/>
    <s v="Furniture"/>
    <x v="3"/>
    <n v="3624"/>
    <n v="3"/>
    <n v="0.28999999999999998"/>
    <n v="-429"/>
    <s v="COD"/>
    <n v="7719.12"/>
    <s v="Jul"/>
    <n v="2024"/>
    <s v="Q3"/>
    <n v="-5.557628330690545E-2"/>
    <n v="3152.8799999999997"/>
    <s v="High"/>
    <s v="Repeat"/>
    <s v="Below Avg"/>
    <s v="Loss"/>
    <n v="259"/>
  </r>
  <r>
    <n v="200"/>
    <x v="199"/>
    <n v="1003"/>
    <s v="Customer_85"/>
    <s v="Corporate"/>
    <s v="South"/>
    <s v="Clothing"/>
    <x v="3"/>
    <n v="1158"/>
    <n v="5"/>
    <n v="0.2"/>
    <n v="1597"/>
    <s v="COD"/>
    <n v="4632"/>
    <s v="Jul"/>
    <n v="2024"/>
    <s v="Q3"/>
    <n v="0.34477547495682209"/>
    <n v="1158"/>
    <s v="Medium"/>
    <s v="Repeat"/>
    <s v="Below Avg"/>
    <s v="Profit"/>
    <n v="335"/>
  </r>
  <r>
    <n v="201"/>
    <x v="200"/>
    <n v="1045"/>
    <s v="Customer_3"/>
    <s v="Corporate"/>
    <s v="West"/>
    <s v="Furniture"/>
    <x v="0"/>
    <n v="300"/>
    <n v="8"/>
    <n v="0.14000000000000001"/>
    <n v="1580"/>
    <s v="UPI"/>
    <n v="2064"/>
    <s v="Jul"/>
    <n v="2024"/>
    <s v="Q3"/>
    <n v="0.76550387596899228"/>
    <n v="336.00000000000006"/>
    <s v="Medium"/>
    <s v="Repeat"/>
    <s v="Below Avg"/>
    <s v="Profit"/>
    <n v="425"/>
  </r>
  <r>
    <n v="202"/>
    <x v="201"/>
    <n v="1058"/>
    <s v="Customer_8"/>
    <s v="Consumer"/>
    <s v="West"/>
    <s v="Clothing"/>
    <x v="0"/>
    <n v="4590"/>
    <n v="3"/>
    <n v="0.23"/>
    <n v="458"/>
    <s v="Card"/>
    <n v="10602.9"/>
    <s v="Jul"/>
    <n v="2024"/>
    <s v="Q3"/>
    <n v="4.3195729470239273E-2"/>
    <n v="3167.1000000000004"/>
    <s v="High"/>
    <s v="Repeat"/>
    <s v="Below Avg"/>
    <s v="Profit"/>
    <n v="195"/>
  </r>
  <r>
    <n v="203"/>
    <x v="202"/>
    <n v="1059"/>
    <s v="Customer_174"/>
    <s v="Consumer"/>
    <s v="West"/>
    <s v="Electronics"/>
    <x v="2"/>
    <n v="3815"/>
    <n v="6"/>
    <n v="0.08"/>
    <n v="971"/>
    <s v="Card"/>
    <n v="21058.799999999999"/>
    <s v="Jul"/>
    <n v="2024"/>
    <s v="Q3"/>
    <n v="4.6108990065910689E-2"/>
    <n v="1831.2"/>
    <s v="High"/>
    <s v="Repeat"/>
    <s v="Above Avg"/>
    <s v="Profit"/>
    <n v="76"/>
  </r>
  <r>
    <n v="204"/>
    <x v="203"/>
    <n v="1023"/>
    <s v="Customer_190"/>
    <s v="Consumer"/>
    <s v="North"/>
    <s v="Furniture"/>
    <x v="2"/>
    <n v="1315"/>
    <n v="4"/>
    <n v="0.24"/>
    <n v="-35"/>
    <s v="COD"/>
    <n v="3997.6"/>
    <s v="Jul"/>
    <n v="2024"/>
    <s v="Q3"/>
    <n v="-8.7552531518911344E-3"/>
    <n v="1262.3999999999999"/>
    <s v="Medium"/>
    <s v="Repeat"/>
    <s v="Below Avg"/>
    <s v="Loss"/>
    <n v="353"/>
  </r>
  <r>
    <n v="205"/>
    <x v="204"/>
    <n v="1025"/>
    <s v="Customer_167"/>
    <s v="Consumer"/>
    <s v="East"/>
    <s v="Furniture"/>
    <x v="3"/>
    <n v="831"/>
    <n v="3"/>
    <n v="0.1"/>
    <n v="1324"/>
    <s v="UPI"/>
    <n v="2243.6999999999998"/>
    <s v="Jul"/>
    <n v="2024"/>
    <s v="Q3"/>
    <n v="0.59009671524713647"/>
    <n v="249.3"/>
    <s v="Medium"/>
    <s v="Repeat"/>
    <s v="Below Avg"/>
    <s v="Profit"/>
    <n v="417"/>
  </r>
  <r>
    <n v="206"/>
    <x v="205"/>
    <n v="1027"/>
    <s v="Customer_51"/>
    <s v="Consumer"/>
    <s v="North"/>
    <s v="Furniture"/>
    <x v="1"/>
    <n v="473"/>
    <n v="1"/>
    <n v="0.02"/>
    <n v="-233"/>
    <s v="UPI"/>
    <n v="463.539999999999"/>
    <s v="Jul"/>
    <n v="2024"/>
    <s v="Q3"/>
    <n v="-0.50265349268671633"/>
    <n v="9.4600000000000009"/>
    <s v="Low"/>
    <s v="Repeat"/>
    <s v="Below Avg"/>
    <s v="Loss"/>
    <n v="493"/>
  </r>
  <r>
    <n v="207"/>
    <x v="206"/>
    <n v="1057"/>
    <s v="Customer_22"/>
    <s v="Consumer"/>
    <s v="South"/>
    <s v="Furniture"/>
    <x v="3"/>
    <n v="3249"/>
    <n v="8"/>
    <n v="0.23"/>
    <n v="1197"/>
    <s v="UPI"/>
    <n v="20013.84"/>
    <s v="Jul"/>
    <n v="2024"/>
    <s v="Q3"/>
    <n v="5.9808612440191387E-2"/>
    <n v="5978.16"/>
    <s v="High"/>
    <s v="Repeat"/>
    <s v="Above Avg"/>
    <s v="Profit"/>
    <n v="80"/>
  </r>
  <r>
    <n v="208"/>
    <x v="207"/>
    <n v="1003"/>
    <s v="Customer_45"/>
    <s v="Corporate"/>
    <s v="South"/>
    <s v="Electronics"/>
    <x v="1"/>
    <n v="3344"/>
    <n v="7"/>
    <n v="0.06"/>
    <n v="581"/>
    <s v="COD"/>
    <n v="22003.52"/>
    <s v="Jul"/>
    <n v="2024"/>
    <s v="Q3"/>
    <n v="2.6404866130510025E-2"/>
    <n v="1404.48"/>
    <s v="High"/>
    <s v="Repeat"/>
    <s v="Above Avg"/>
    <s v="Profit"/>
    <n v="67"/>
  </r>
  <r>
    <n v="209"/>
    <x v="208"/>
    <n v="1099"/>
    <s v="Customer_151"/>
    <s v="Corporate"/>
    <s v="West"/>
    <s v="Electronics"/>
    <x v="0"/>
    <n v="4041"/>
    <n v="7"/>
    <n v="0.19"/>
    <n v="1642"/>
    <s v="UPI"/>
    <n v="22912.47"/>
    <s v="Jul"/>
    <n v="2024"/>
    <s v="Q3"/>
    <n v="7.1664032729775534E-2"/>
    <n v="5374.53"/>
    <s v="High"/>
    <s v="Repeat"/>
    <s v="Above Avg"/>
    <s v="Profit"/>
    <n v="60"/>
  </r>
  <r>
    <n v="210"/>
    <x v="209"/>
    <n v="1078"/>
    <s v="Customer_177"/>
    <s v="Consumer"/>
    <s v="West"/>
    <s v="Electronics"/>
    <x v="2"/>
    <n v="4048"/>
    <n v="8"/>
    <n v="0.08"/>
    <n v="-375"/>
    <s v="COD"/>
    <n v="29793.279999999999"/>
    <s v="Jul"/>
    <n v="2024"/>
    <s v="Q3"/>
    <n v="-1.2586730967520193E-2"/>
    <n v="2590.7200000000003"/>
    <s v="High"/>
    <s v="Repeat"/>
    <s v="Above Avg"/>
    <s v="Loss"/>
    <n v="24"/>
  </r>
  <r>
    <n v="211"/>
    <x v="210"/>
    <n v="1085"/>
    <s v="Customer_80"/>
    <s v="Consumer"/>
    <s v="South"/>
    <s v="Furniture"/>
    <x v="0"/>
    <n v="745"/>
    <n v="9"/>
    <n v="0.21"/>
    <n v="515"/>
    <s v="Card"/>
    <n v="5296.95"/>
    <s v="Jul"/>
    <n v="2024"/>
    <s v="Q3"/>
    <n v="9.7225761995110391E-2"/>
    <n v="1408.05"/>
    <s v="High"/>
    <s v="Repeat"/>
    <s v="Below Avg"/>
    <s v="Profit"/>
    <n v="316"/>
  </r>
  <r>
    <n v="212"/>
    <x v="211"/>
    <n v="1059"/>
    <s v="Customer_124"/>
    <s v="Consumer"/>
    <s v="North"/>
    <s v="Furniture"/>
    <x v="1"/>
    <n v="3695"/>
    <n v="3"/>
    <n v="0.04"/>
    <n v="333"/>
    <s v="Card"/>
    <n v="10641.6"/>
    <s v="Jul"/>
    <n v="2024"/>
    <s v="Q3"/>
    <n v="3.1292286874154258E-2"/>
    <n v="443.40000000000003"/>
    <s v="High"/>
    <s v="Repeat"/>
    <s v="Above Avg"/>
    <s v="Profit"/>
    <n v="194"/>
  </r>
  <r>
    <n v="213"/>
    <x v="212"/>
    <n v="1048"/>
    <s v="Customer_179"/>
    <s v="Corporate"/>
    <s v="West"/>
    <s v="Clothing"/>
    <x v="1"/>
    <n v="4178"/>
    <n v="2"/>
    <n v="0.19"/>
    <n v="1860"/>
    <s v="Card"/>
    <n v="6768.36"/>
    <s v="Jul"/>
    <n v="2024"/>
    <s v="Q3"/>
    <n v="0.27480807758452563"/>
    <n v="1587.64"/>
    <s v="High"/>
    <s v="Repeat"/>
    <s v="Below Avg"/>
    <s v="Profit"/>
    <n v="280"/>
  </r>
  <r>
    <n v="214"/>
    <x v="213"/>
    <n v="1056"/>
    <s v="Customer_28"/>
    <s v="Consumer"/>
    <s v="West"/>
    <s v="Clothing"/>
    <x v="2"/>
    <n v="2035"/>
    <n v="4"/>
    <n v="0.06"/>
    <n v="1215"/>
    <s v="UPI"/>
    <n v="7651.5999999999904"/>
    <s v="Aug"/>
    <n v="2024"/>
    <s v="Q3"/>
    <n v="0.15879031836478666"/>
    <n v="488.4"/>
    <s v="High"/>
    <s v="Repeat"/>
    <s v="Below Avg"/>
    <s v="Profit"/>
    <n v="262"/>
  </r>
  <r>
    <n v="215"/>
    <x v="214"/>
    <n v="1087"/>
    <s v="Customer_99"/>
    <s v="Consumer"/>
    <s v="South"/>
    <s v="Clothing"/>
    <x v="0"/>
    <n v="2833"/>
    <n v="4"/>
    <n v="0.15"/>
    <n v="-499"/>
    <s v="COD"/>
    <n v="9632.1999999999898"/>
    <s v="Aug"/>
    <n v="2024"/>
    <s v="Q3"/>
    <n v="-5.1805402711737766E-2"/>
    <n v="1699.8"/>
    <s v="High"/>
    <s v="Repeat"/>
    <s v="Below Avg"/>
    <s v="Loss"/>
    <n v="211"/>
  </r>
  <r>
    <n v="216"/>
    <x v="215"/>
    <n v="1087"/>
    <s v="Customer_106"/>
    <s v="Consumer"/>
    <s v="East"/>
    <s v="Furniture"/>
    <x v="3"/>
    <n v="2661"/>
    <n v="8"/>
    <n v="0.26"/>
    <n v="-152"/>
    <s v="COD"/>
    <n v="15753.119999999901"/>
    <s v="Aug"/>
    <n v="2024"/>
    <s v="Q3"/>
    <n v="-9.6488822531664176E-3"/>
    <n v="5534.88"/>
    <s v="High"/>
    <s v="Repeat"/>
    <s v="Above Avg"/>
    <s v="Loss"/>
    <n v="133"/>
  </r>
  <r>
    <n v="217"/>
    <x v="216"/>
    <n v="1004"/>
    <s v="Customer_29"/>
    <s v="Consumer"/>
    <s v="West"/>
    <s v="Furniture"/>
    <x v="0"/>
    <n v="2152"/>
    <n v="8"/>
    <n v="0.14000000000000001"/>
    <n v="925"/>
    <s v="COD"/>
    <n v="14805.76"/>
    <s v="Aug"/>
    <n v="2024"/>
    <s v="Q3"/>
    <n v="6.2475685138756808E-2"/>
    <n v="2410.2400000000002"/>
    <s v="High"/>
    <s v="Repeat"/>
    <s v="Above Avg"/>
    <s v="Profit"/>
    <n v="142"/>
  </r>
  <r>
    <n v="218"/>
    <x v="217"/>
    <n v="1069"/>
    <s v="Customer_187"/>
    <s v="Consumer"/>
    <s v="North"/>
    <s v="Clothing"/>
    <x v="1"/>
    <n v="2039"/>
    <n v="7"/>
    <n v="0.23"/>
    <n v="-462"/>
    <s v="UPI"/>
    <n v="10990.21"/>
    <s v="Aug"/>
    <n v="2024"/>
    <s v="Q3"/>
    <n v="-4.2037413297835079E-2"/>
    <n v="3282.79"/>
    <s v="High"/>
    <s v="Repeat"/>
    <s v="Above Avg"/>
    <s v="Loss"/>
    <n v="192"/>
  </r>
  <r>
    <n v="219"/>
    <x v="218"/>
    <n v="1056"/>
    <s v="Customer_102"/>
    <s v="Consumer"/>
    <s v="East"/>
    <s v="Clothing"/>
    <x v="0"/>
    <n v="802"/>
    <n v="5"/>
    <n v="0.04"/>
    <n v="1193"/>
    <s v="COD"/>
    <n v="3849.6"/>
    <s v="Aug"/>
    <n v="2024"/>
    <s v="Q3"/>
    <n v="0.30990232751454699"/>
    <n v="160.4"/>
    <s v="Medium"/>
    <s v="Repeat"/>
    <s v="Below Avg"/>
    <s v="Profit"/>
    <n v="361"/>
  </r>
  <r>
    <n v="220"/>
    <x v="219"/>
    <n v="1060"/>
    <s v="Customer_198"/>
    <s v="Corporate"/>
    <s v="South"/>
    <s v="Clothing"/>
    <x v="2"/>
    <n v="2899"/>
    <n v="1"/>
    <n v="0.2"/>
    <n v="569"/>
    <s v="COD"/>
    <n v="2319.1999999999998"/>
    <s v="Aug"/>
    <n v="2024"/>
    <s v="Q3"/>
    <n v="0.24534322180062093"/>
    <n v="579.80000000000007"/>
    <s v="Medium"/>
    <s v="Repeat"/>
    <s v="Below Avg"/>
    <s v="Profit"/>
    <n v="415"/>
  </r>
  <r>
    <n v="221"/>
    <x v="220"/>
    <n v="1009"/>
    <s v="Customer_78"/>
    <s v="Corporate"/>
    <s v="West"/>
    <s v="Electronics"/>
    <x v="0"/>
    <n v="607"/>
    <n v="6"/>
    <n v="0.05"/>
    <n v="1509"/>
    <s v="Card"/>
    <n v="3459.8999999999901"/>
    <s v="Aug"/>
    <n v="2024"/>
    <s v="Q3"/>
    <n v="0.43613977282580546"/>
    <n v="182.10000000000002"/>
    <s v="Medium"/>
    <s v="Repeat"/>
    <s v="Below Avg"/>
    <s v="Profit"/>
    <n v="378"/>
  </r>
  <r>
    <n v="222"/>
    <x v="221"/>
    <n v="1066"/>
    <s v="Customer_156"/>
    <s v="Corporate"/>
    <s v="East"/>
    <s v="Clothing"/>
    <x v="0"/>
    <n v="1523"/>
    <n v="1"/>
    <n v="0.23"/>
    <n v="1244"/>
    <s v="COD"/>
    <n v="1172.71"/>
    <s v="Aug"/>
    <n v="2024"/>
    <s v="Q3"/>
    <n v="1.0607908178492551"/>
    <n v="350.29"/>
    <s v="Low"/>
    <s v="Repeat"/>
    <s v="Below Avg"/>
    <s v="Profit"/>
    <n v="471"/>
  </r>
  <r>
    <n v="223"/>
    <x v="222"/>
    <n v="1033"/>
    <s v="Customer_110"/>
    <s v="Corporate"/>
    <s v="South"/>
    <s v="Furniture"/>
    <x v="1"/>
    <n v="2167"/>
    <n v="2"/>
    <n v="0.21"/>
    <n v="1682"/>
    <s v="Card"/>
    <n v="3423.86"/>
    <s v="Aug"/>
    <n v="2024"/>
    <s v="Q3"/>
    <n v="0.49125840425718337"/>
    <n v="910.14"/>
    <s v="Medium"/>
    <s v="New"/>
    <s v="Below Avg"/>
    <s v="Profit"/>
    <n v="379"/>
  </r>
  <r>
    <n v="224"/>
    <x v="223"/>
    <n v="1069"/>
    <s v="Customer_175"/>
    <s v="Corporate"/>
    <s v="North"/>
    <s v="Furniture"/>
    <x v="3"/>
    <n v="4265"/>
    <n v="6"/>
    <n v="0.12"/>
    <n v="490"/>
    <s v="COD"/>
    <n v="22519.200000000001"/>
    <s v="Aug"/>
    <n v="2024"/>
    <s v="Q3"/>
    <n v="2.1759209918647198E-2"/>
    <n v="3070.7999999999997"/>
    <s v="High"/>
    <s v="Repeat"/>
    <s v="Above Avg"/>
    <s v="Profit"/>
    <n v="63"/>
  </r>
  <r>
    <n v="225"/>
    <x v="224"/>
    <n v="1009"/>
    <s v="Customer_4"/>
    <s v="Consumer"/>
    <s v="West"/>
    <s v="Clothing"/>
    <x v="3"/>
    <n v="851"/>
    <n v="1"/>
    <n v="0.14000000000000001"/>
    <n v="1419"/>
    <s v="UPI"/>
    <n v="731.86"/>
    <s v="Aug"/>
    <n v="2024"/>
    <s v="Q3"/>
    <n v="1.9388954171562867"/>
    <n v="119.14000000000001"/>
    <s v="Low"/>
    <s v="Repeat"/>
    <s v="Below Avg"/>
    <s v="Profit"/>
    <n v="484"/>
  </r>
  <r>
    <n v="226"/>
    <x v="225"/>
    <n v="1079"/>
    <s v="Customer_130"/>
    <s v="Corporate"/>
    <s v="South"/>
    <s v="Furniture"/>
    <x v="2"/>
    <n v="2116"/>
    <n v="6"/>
    <n v="0.05"/>
    <n v="1516"/>
    <s v="UPI"/>
    <n v="12061.199999999901"/>
    <s v="Aug"/>
    <n v="2024"/>
    <s v="Q3"/>
    <n v="0.12569230259012473"/>
    <n v="634.80000000000007"/>
    <s v="High"/>
    <s v="Repeat"/>
    <s v="Above Avg"/>
    <s v="Profit"/>
    <n v="167"/>
  </r>
  <r>
    <n v="227"/>
    <x v="226"/>
    <n v="1028"/>
    <s v="Customer_110"/>
    <s v="Consumer"/>
    <s v="West"/>
    <s v="Furniture"/>
    <x v="2"/>
    <n v="648"/>
    <n v="9"/>
    <n v="0.19"/>
    <n v="730"/>
    <s v="Card"/>
    <n v="4723.92"/>
    <s v="Aug"/>
    <n v="2024"/>
    <s v="Q3"/>
    <n v="0.15453267625192638"/>
    <n v="1108.08"/>
    <s v="Medium"/>
    <s v="Repeat"/>
    <s v="Below Avg"/>
    <s v="Profit"/>
    <n v="331"/>
  </r>
  <r>
    <n v="228"/>
    <x v="227"/>
    <n v="1066"/>
    <s v="Customer_64"/>
    <s v="Consumer"/>
    <s v="West"/>
    <s v="Furniture"/>
    <x v="0"/>
    <n v="2655"/>
    <n v="6"/>
    <n v="0.27"/>
    <n v="1403"/>
    <s v="COD"/>
    <n v="11628.9"/>
    <s v="Aug"/>
    <n v="2024"/>
    <s v="Q3"/>
    <n v="0.12064769668670296"/>
    <n v="4301.1000000000004"/>
    <s v="High"/>
    <s v="Repeat"/>
    <s v="Above Avg"/>
    <s v="Profit"/>
    <n v="179"/>
  </r>
  <r>
    <n v="229"/>
    <x v="228"/>
    <n v="1010"/>
    <s v="Customer_29"/>
    <s v="Consumer"/>
    <s v="North"/>
    <s v="Clothing"/>
    <x v="3"/>
    <n v="738"/>
    <n v="1"/>
    <n v="0.17"/>
    <n v="1581"/>
    <s v="UPI"/>
    <n v="612.54"/>
    <s v="Aug"/>
    <n v="2024"/>
    <s v="Q3"/>
    <n v="2.5810559310412384"/>
    <n v="125.46000000000001"/>
    <s v="Low"/>
    <s v="Repeat"/>
    <s v="Below Avg"/>
    <s v="Profit"/>
    <n v="486"/>
  </r>
  <r>
    <n v="230"/>
    <x v="229"/>
    <n v="1003"/>
    <s v="Customer_89"/>
    <s v="Consumer"/>
    <s v="East"/>
    <s v="Furniture"/>
    <x v="2"/>
    <n v="1820"/>
    <n v="9"/>
    <n v="0.09"/>
    <n v="631"/>
    <s v="UPI"/>
    <n v="14905.8"/>
    <s v="Aug"/>
    <n v="2024"/>
    <s v="Q3"/>
    <n v="4.2332514859987389E-2"/>
    <n v="1474.2"/>
    <s v="High"/>
    <s v="Repeat"/>
    <s v="Above Avg"/>
    <s v="Profit"/>
    <n v="141"/>
  </r>
  <r>
    <n v="231"/>
    <x v="230"/>
    <n v="1048"/>
    <s v="Customer_95"/>
    <s v="Consumer"/>
    <s v="North"/>
    <s v="Electronics"/>
    <x v="3"/>
    <n v="3916"/>
    <n v="7"/>
    <n v="0.12"/>
    <n v="1533"/>
    <s v="UPI"/>
    <n v="24122.560000000001"/>
    <s v="Aug"/>
    <n v="2024"/>
    <s v="Q3"/>
    <n v="6.3550468938620111E-2"/>
    <n v="3289.44"/>
    <s v="High"/>
    <s v="Repeat"/>
    <s v="Above Avg"/>
    <s v="Profit"/>
    <n v="51"/>
  </r>
  <r>
    <n v="232"/>
    <x v="231"/>
    <n v="1003"/>
    <s v="Customer_175"/>
    <s v="Consumer"/>
    <s v="West"/>
    <s v="Clothing"/>
    <x v="1"/>
    <n v="3888"/>
    <n v="5"/>
    <n v="7.0000000000000007E-2"/>
    <n v="1032"/>
    <s v="Card"/>
    <n v="18079.199999999899"/>
    <s v="Aug"/>
    <n v="2024"/>
    <s v="Q3"/>
    <n v="5.7082171777512597E-2"/>
    <n v="1360.8000000000002"/>
    <s v="High"/>
    <s v="Repeat"/>
    <s v="Above Avg"/>
    <s v="Profit"/>
    <n v="91"/>
  </r>
  <r>
    <n v="233"/>
    <x v="232"/>
    <n v="1023"/>
    <s v="Customer_15"/>
    <s v="Consumer"/>
    <s v="North"/>
    <s v="Clothing"/>
    <x v="2"/>
    <n v="1813"/>
    <n v="7"/>
    <n v="0.13"/>
    <n v="937"/>
    <s v="COD"/>
    <n v="11041.17"/>
    <s v="Aug"/>
    <n v="2024"/>
    <s v="Q3"/>
    <n v="8.4864194646038421E-2"/>
    <n v="1649.8300000000002"/>
    <s v="High"/>
    <s v="Repeat"/>
    <s v="Above Avg"/>
    <s v="Profit"/>
    <n v="189"/>
  </r>
  <r>
    <n v="234"/>
    <x v="233"/>
    <n v="1091"/>
    <s v="Customer_166"/>
    <s v="Corporate"/>
    <s v="West"/>
    <s v="Furniture"/>
    <x v="3"/>
    <n v="4283"/>
    <n v="6"/>
    <n v="0.15"/>
    <n v="436"/>
    <s v="COD"/>
    <n v="21843.3"/>
    <s v="Aug"/>
    <n v="2024"/>
    <s v="Q3"/>
    <n v="1.9960353975818673E-2"/>
    <n v="3854.7"/>
    <s v="High"/>
    <s v="Repeat"/>
    <s v="Above Avg"/>
    <s v="Profit"/>
    <n v="68"/>
  </r>
  <r>
    <n v="235"/>
    <x v="234"/>
    <n v="1055"/>
    <s v="Customer_97"/>
    <s v="Corporate"/>
    <s v="North"/>
    <s v="Clothing"/>
    <x v="3"/>
    <n v="4730"/>
    <n v="8"/>
    <n v="0.28000000000000003"/>
    <n v="1356"/>
    <s v="Card"/>
    <n v="27244.799999999999"/>
    <s v="Aug"/>
    <n v="2024"/>
    <s v="Q3"/>
    <n v="4.9770965468639891E-2"/>
    <n v="10595.2"/>
    <s v="High"/>
    <s v="Repeat"/>
    <s v="Above Avg"/>
    <s v="Profit"/>
    <n v="34"/>
  </r>
  <r>
    <n v="236"/>
    <x v="235"/>
    <n v="1034"/>
    <s v="Customer_177"/>
    <s v="Consumer"/>
    <s v="West"/>
    <s v="Furniture"/>
    <x v="3"/>
    <n v="4044"/>
    <n v="8"/>
    <n v="0.13"/>
    <n v="-288"/>
    <s v="UPI"/>
    <n v="28146.240000000002"/>
    <s v="Aug"/>
    <n v="2024"/>
    <s v="Q3"/>
    <n v="-1.0232272587741736E-2"/>
    <n v="4205.76"/>
    <s v="High"/>
    <s v="Repeat"/>
    <s v="Above Avg"/>
    <s v="Loss"/>
    <n v="29"/>
  </r>
  <r>
    <n v="237"/>
    <x v="236"/>
    <n v="1037"/>
    <s v="Customer_40"/>
    <s v="Corporate"/>
    <s v="North"/>
    <s v="Electronics"/>
    <x v="1"/>
    <n v="1901"/>
    <n v="8"/>
    <n v="0.26"/>
    <n v="1933"/>
    <s v="UPI"/>
    <n v="11253.92"/>
    <s v="Aug"/>
    <n v="2024"/>
    <s v="Q3"/>
    <n v="0.17176237257773291"/>
    <n v="3954.08"/>
    <s v="High"/>
    <s v="Repeat"/>
    <s v="Above Avg"/>
    <s v="Profit"/>
    <n v="186"/>
  </r>
  <r>
    <n v="238"/>
    <x v="237"/>
    <n v="1049"/>
    <s v="Customer_144"/>
    <s v="Consumer"/>
    <s v="South"/>
    <s v="Electronics"/>
    <x v="0"/>
    <n v="4270"/>
    <n v="6"/>
    <n v="0.05"/>
    <n v="1845"/>
    <s v="Card"/>
    <n v="24339"/>
    <s v="Aug"/>
    <n v="2024"/>
    <s v="Q3"/>
    <n v="7.5804264760261308E-2"/>
    <n v="1281"/>
    <s v="High"/>
    <s v="Repeat"/>
    <s v="Above Avg"/>
    <s v="Profit"/>
    <n v="48"/>
  </r>
  <r>
    <n v="239"/>
    <x v="238"/>
    <n v="1087"/>
    <s v="Customer_102"/>
    <s v="Corporate"/>
    <s v="North"/>
    <s v="Furniture"/>
    <x v="2"/>
    <n v="3460"/>
    <n v="2"/>
    <n v="0.16"/>
    <n v="898"/>
    <s v="UPI"/>
    <n v="5812.8"/>
    <s v="Aug"/>
    <n v="2024"/>
    <s v="Q3"/>
    <n v="0.15448665015139004"/>
    <n v="1107.2"/>
    <s v="High"/>
    <s v="Repeat"/>
    <s v="Below Avg"/>
    <s v="Profit"/>
    <n v="300"/>
  </r>
  <r>
    <n v="240"/>
    <x v="239"/>
    <n v="1085"/>
    <s v="Customer_108"/>
    <s v="Consumer"/>
    <s v="East"/>
    <s v="Furniture"/>
    <x v="3"/>
    <n v="4062"/>
    <n v="1"/>
    <n v="0.18"/>
    <n v="630"/>
    <s v="Card"/>
    <n v="3330.84"/>
    <s v="Aug"/>
    <n v="2024"/>
    <s v="Q3"/>
    <n v="0.18914147782541341"/>
    <n v="731.16"/>
    <s v="Medium"/>
    <s v="Repeat"/>
    <s v="Below Avg"/>
    <s v="Profit"/>
    <n v="385"/>
  </r>
  <r>
    <n v="241"/>
    <x v="240"/>
    <n v="1025"/>
    <s v="Customer_34"/>
    <s v="Corporate"/>
    <s v="South"/>
    <s v="Furniture"/>
    <x v="3"/>
    <n v="3312"/>
    <n v="6"/>
    <n v="0.18"/>
    <n v="1603"/>
    <s v="UPI"/>
    <n v="16295.04"/>
    <s v="Aug"/>
    <n v="2024"/>
    <s v="Q3"/>
    <n v="9.8373492792898934E-2"/>
    <n v="3576.96"/>
    <s v="High"/>
    <s v="Repeat"/>
    <s v="Above Avg"/>
    <s v="Profit"/>
    <n v="119"/>
  </r>
  <r>
    <n v="242"/>
    <x v="241"/>
    <n v="1017"/>
    <s v="Customer_127"/>
    <s v="Corporate"/>
    <s v="South"/>
    <s v="Electronics"/>
    <x v="2"/>
    <n v="2687"/>
    <n v="2"/>
    <n v="0.15"/>
    <n v="564"/>
    <s v="UPI"/>
    <n v="4567.8999999999996"/>
    <s v="Aug"/>
    <n v="2024"/>
    <s v="Q3"/>
    <n v="0.12347030364062261"/>
    <n v="806.1"/>
    <s v="Medium"/>
    <s v="Repeat"/>
    <s v="Below Avg"/>
    <s v="Profit"/>
    <n v="336"/>
  </r>
  <r>
    <n v="243"/>
    <x v="242"/>
    <n v="1058"/>
    <s v="Customer_134"/>
    <s v="Corporate"/>
    <s v="North"/>
    <s v="Furniture"/>
    <x v="2"/>
    <n v="4904"/>
    <n v="7"/>
    <n v="0.23"/>
    <n v="984"/>
    <s v="Card"/>
    <n v="26432.560000000001"/>
    <s v="Aug"/>
    <n v="2024"/>
    <s v="Q3"/>
    <n v="3.7226814201878289E-2"/>
    <n v="7895.4400000000005"/>
    <s v="High"/>
    <s v="Repeat"/>
    <s v="Above Avg"/>
    <s v="Profit"/>
    <n v="38"/>
  </r>
  <r>
    <n v="244"/>
    <x v="243"/>
    <n v="1066"/>
    <s v="Customer_103"/>
    <s v="Consumer"/>
    <s v="North"/>
    <s v="Electronics"/>
    <x v="1"/>
    <n v="1799"/>
    <n v="2"/>
    <n v="0.05"/>
    <n v="241"/>
    <s v="Card"/>
    <n v="3418.1"/>
    <s v="Aug"/>
    <n v="2024"/>
    <s v="Q3"/>
    <n v="7.0507006816652534E-2"/>
    <n v="179.9"/>
    <s v="Medium"/>
    <s v="Repeat"/>
    <s v="Below Avg"/>
    <s v="Profit"/>
    <n v="380"/>
  </r>
  <r>
    <n v="245"/>
    <x v="244"/>
    <n v="1045"/>
    <s v="Customer_87"/>
    <s v="Consumer"/>
    <s v="West"/>
    <s v="Clothing"/>
    <x v="0"/>
    <n v="247"/>
    <n v="7"/>
    <n v="0.02"/>
    <n v="452"/>
    <s v="UPI"/>
    <n v="1694.42"/>
    <s v="Sep"/>
    <n v="2024"/>
    <s v="Q3"/>
    <n v="0.26675794667201758"/>
    <n v="34.58"/>
    <s v="Low"/>
    <s v="Repeat"/>
    <s v="Below Avg"/>
    <s v="Profit"/>
    <n v="447"/>
  </r>
  <r>
    <n v="246"/>
    <x v="245"/>
    <n v="1010"/>
    <s v="Customer_181"/>
    <s v="Corporate"/>
    <s v="East"/>
    <s v="Furniture"/>
    <x v="3"/>
    <n v="3111"/>
    <n v="1"/>
    <n v="0.04"/>
    <n v="120"/>
    <s v="Card"/>
    <n v="2986.56"/>
    <s v="Sep"/>
    <n v="2024"/>
    <s v="Q3"/>
    <n v="4.0180006428801027E-2"/>
    <n v="124.44"/>
    <s v="Medium"/>
    <s v="Repeat"/>
    <s v="Below Avg"/>
    <s v="Profit"/>
    <n v="394"/>
  </r>
  <r>
    <n v="247"/>
    <x v="246"/>
    <n v="1008"/>
    <s v="Customer_114"/>
    <s v="Corporate"/>
    <s v="North"/>
    <s v="Electronics"/>
    <x v="2"/>
    <n v="1629"/>
    <n v="6"/>
    <n v="0.17"/>
    <n v="1561"/>
    <s v="UPI"/>
    <n v="8112.4199999999901"/>
    <s v="Sep"/>
    <n v="2024"/>
    <s v="Q3"/>
    <n v="0.19242100384348959"/>
    <n v="1661.5800000000002"/>
    <s v="High"/>
    <s v="Repeat"/>
    <s v="Below Avg"/>
    <s v="Profit"/>
    <n v="247"/>
  </r>
  <r>
    <n v="248"/>
    <x v="247"/>
    <n v="1096"/>
    <s v="Customer_149"/>
    <s v="Corporate"/>
    <s v="East"/>
    <s v="Electronics"/>
    <x v="0"/>
    <n v="4607"/>
    <n v="8"/>
    <n v="7.0000000000000007E-2"/>
    <n v="746"/>
    <s v="UPI"/>
    <n v="34276.0799999999"/>
    <s v="Sep"/>
    <n v="2024"/>
    <s v="Q3"/>
    <n v="2.1764449143542731E-2"/>
    <n v="2579.92"/>
    <s v="High"/>
    <s v="Repeat"/>
    <s v="Above Avg"/>
    <s v="Profit"/>
    <n v="13"/>
  </r>
  <r>
    <n v="249"/>
    <x v="248"/>
    <n v="1025"/>
    <s v="Customer_99"/>
    <s v="Corporate"/>
    <s v="West"/>
    <s v="Clothing"/>
    <x v="0"/>
    <n v="217"/>
    <n v="4"/>
    <n v="0.22"/>
    <n v="-1"/>
    <s v="COD"/>
    <n v="677.04"/>
    <s v="Sep"/>
    <n v="2024"/>
    <s v="Q3"/>
    <n v="-1.4770176060498641E-3"/>
    <n v="190.96"/>
    <s v="Low"/>
    <s v="Repeat"/>
    <s v="Below Avg"/>
    <s v="Loss"/>
    <n v="485"/>
  </r>
  <r>
    <n v="250"/>
    <x v="249"/>
    <n v="1099"/>
    <s v="Customer_157"/>
    <s v="Corporate"/>
    <s v="East"/>
    <s v="Electronics"/>
    <x v="0"/>
    <n v="4979"/>
    <n v="2"/>
    <n v="0.02"/>
    <n v="1538"/>
    <s v="COD"/>
    <n v="9758.84"/>
    <s v="Sep"/>
    <n v="2024"/>
    <s v="Q3"/>
    <n v="0.15760069844366748"/>
    <n v="199.16"/>
    <s v="High"/>
    <s v="Repeat"/>
    <s v="Below Avg"/>
    <s v="Profit"/>
    <n v="208"/>
  </r>
  <r>
    <n v="251"/>
    <x v="250"/>
    <n v="1067"/>
    <s v="Customer_2"/>
    <s v="Consumer"/>
    <s v="South"/>
    <s v="Furniture"/>
    <x v="0"/>
    <n v="586"/>
    <n v="9"/>
    <n v="0.27"/>
    <n v="781"/>
    <s v="COD"/>
    <n v="3850.02"/>
    <s v="Sep"/>
    <n v="2024"/>
    <s v="Q3"/>
    <n v="0.20285608905927763"/>
    <n v="1423.98"/>
    <s v="Medium"/>
    <s v="Repeat"/>
    <s v="Below Avg"/>
    <s v="Profit"/>
    <n v="360"/>
  </r>
  <r>
    <n v="252"/>
    <x v="251"/>
    <n v="1065"/>
    <s v="Customer_97"/>
    <s v="Consumer"/>
    <s v="West"/>
    <s v="Furniture"/>
    <x v="3"/>
    <n v="1335"/>
    <n v="6"/>
    <n v="0.28999999999999998"/>
    <n v="598"/>
    <s v="Card"/>
    <n v="5687.0999999999904"/>
    <s v="Sep"/>
    <n v="2024"/>
    <s v="Q3"/>
    <n v="0.10515025232543845"/>
    <n v="2322.8999999999996"/>
    <s v="High"/>
    <s v="Repeat"/>
    <s v="Below Avg"/>
    <s v="Profit"/>
    <n v="304"/>
  </r>
  <r>
    <n v="253"/>
    <x v="252"/>
    <n v="1007"/>
    <s v="Customer_26"/>
    <s v="Consumer"/>
    <s v="South"/>
    <s v="Electronics"/>
    <x v="0"/>
    <n v="2947"/>
    <n v="2"/>
    <n v="0.24"/>
    <n v="48"/>
    <s v="COD"/>
    <n v="4479.4399999999996"/>
    <s v="Sep"/>
    <n v="2024"/>
    <s v="Q3"/>
    <n v="1.0715625167431644E-2"/>
    <n v="1414.56"/>
    <s v="Medium"/>
    <s v="Repeat"/>
    <s v="Below Avg"/>
    <s v="Profit"/>
    <n v="339"/>
  </r>
  <r>
    <n v="254"/>
    <x v="253"/>
    <n v="1070"/>
    <s v="Customer_44"/>
    <s v="Corporate"/>
    <s v="East"/>
    <s v="Electronics"/>
    <x v="3"/>
    <n v="1121"/>
    <n v="5"/>
    <n v="0.26"/>
    <n v="1771"/>
    <s v="COD"/>
    <n v="4147.7"/>
    <s v="Sep"/>
    <n v="2024"/>
    <s v="Q3"/>
    <n v="0.42698362948139934"/>
    <n v="1457.3"/>
    <s v="Medium"/>
    <s v="Repeat"/>
    <s v="Below Avg"/>
    <s v="Profit"/>
    <n v="347"/>
  </r>
  <r>
    <n v="255"/>
    <x v="254"/>
    <n v="1099"/>
    <s v="Customer_18"/>
    <s v="Consumer"/>
    <s v="South"/>
    <s v="Electronics"/>
    <x v="2"/>
    <n v="2319"/>
    <n v="7"/>
    <n v="0.11"/>
    <n v="-105"/>
    <s v="UPI"/>
    <n v="14447.37"/>
    <s v="Sep"/>
    <n v="2024"/>
    <s v="Q3"/>
    <n v="-7.2677587685509538E-3"/>
    <n v="1785.63"/>
    <s v="High"/>
    <s v="Repeat"/>
    <s v="Above Avg"/>
    <s v="Loss"/>
    <n v="143"/>
  </r>
  <r>
    <n v="256"/>
    <x v="255"/>
    <n v="1097"/>
    <s v="Customer_98"/>
    <s v="Corporate"/>
    <s v="South"/>
    <s v="Clothing"/>
    <x v="3"/>
    <n v="3265"/>
    <n v="3"/>
    <n v="0.05"/>
    <n v="1937"/>
    <s v="Card"/>
    <n v="9305.25"/>
    <s v="Sep"/>
    <n v="2024"/>
    <s v="Q3"/>
    <n v="0.20816205905268531"/>
    <n v="489.75"/>
    <s v="High"/>
    <s v="Repeat"/>
    <s v="Below Avg"/>
    <s v="Profit"/>
    <n v="225"/>
  </r>
  <r>
    <n v="257"/>
    <x v="256"/>
    <n v="1039"/>
    <s v="Customer_30"/>
    <s v="Corporate"/>
    <s v="West"/>
    <s v="Furniture"/>
    <x v="0"/>
    <n v="3199"/>
    <n v="1"/>
    <n v="0.06"/>
    <n v="1657"/>
    <s v="Card"/>
    <n v="3007.06"/>
    <s v="Sep"/>
    <n v="2024"/>
    <s v="Q3"/>
    <n v="0.55103656062732376"/>
    <n v="191.94"/>
    <s v="Medium"/>
    <s v="Repeat"/>
    <s v="Below Avg"/>
    <s v="Profit"/>
    <n v="392"/>
  </r>
  <r>
    <n v="258"/>
    <x v="257"/>
    <n v="1082"/>
    <s v="Customer_108"/>
    <s v="Corporate"/>
    <s v="South"/>
    <s v="Electronics"/>
    <x v="2"/>
    <n v="316"/>
    <n v="5"/>
    <n v="0.15"/>
    <n v="897"/>
    <s v="UPI"/>
    <n v="1343"/>
    <s v="Sep"/>
    <n v="2024"/>
    <s v="Q3"/>
    <n v="0.66790766939687263"/>
    <n v="237"/>
    <s v="Low"/>
    <s v="Repeat"/>
    <s v="Below Avg"/>
    <s v="Profit"/>
    <n v="465"/>
  </r>
  <r>
    <n v="259"/>
    <x v="258"/>
    <n v="1092"/>
    <s v="Customer_23"/>
    <s v="Consumer"/>
    <s v="South"/>
    <s v="Furniture"/>
    <x v="3"/>
    <n v="4046"/>
    <n v="5"/>
    <n v="0.2"/>
    <n v="-246"/>
    <s v="COD"/>
    <n v="16184"/>
    <s v="Sep"/>
    <n v="2024"/>
    <s v="Q3"/>
    <n v="-1.5200197726149283E-2"/>
    <n v="4046"/>
    <s v="High"/>
    <s v="Repeat"/>
    <s v="Above Avg"/>
    <s v="Loss"/>
    <n v="122"/>
  </r>
  <r>
    <n v="260"/>
    <x v="259"/>
    <n v="1038"/>
    <s v="Customer_48"/>
    <s v="Corporate"/>
    <s v="West"/>
    <s v="Clothing"/>
    <x v="3"/>
    <n v="2805"/>
    <n v="7"/>
    <n v="0.17"/>
    <n v="1777"/>
    <s v="Card"/>
    <n v="16297.05"/>
    <s v="Sep"/>
    <n v="2024"/>
    <s v="Q3"/>
    <n v="0.10903813880426212"/>
    <n v="3337.9500000000003"/>
    <s v="High"/>
    <s v="Repeat"/>
    <s v="Above Avg"/>
    <s v="Profit"/>
    <n v="118"/>
  </r>
  <r>
    <n v="261"/>
    <x v="260"/>
    <n v="1005"/>
    <s v="Customer_183"/>
    <s v="Corporate"/>
    <s v="South"/>
    <s v="Clothing"/>
    <x v="2"/>
    <n v="1983"/>
    <n v="6"/>
    <n v="0.03"/>
    <n v="722"/>
    <s v="UPI"/>
    <n v="11541.06"/>
    <s v="Sep"/>
    <n v="2024"/>
    <s v="Q3"/>
    <n v="6.2559244991361285E-2"/>
    <n v="356.94"/>
    <s v="High"/>
    <s v="Repeat"/>
    <s v="Above Avg"/>
    <s v="Profit"/>
    <n v="180"/>
  </r>
  <r>
    <n v="262"/>
    <x v="261"/>
    <n v="1009"/>
    <s v="Customer_127"/>
    <s v="Corporate"/>
    <s v="East"/>
    <s v="Furniture"/>
    <x v="3"/>
    <n v="1606"/>
    <n v="1"/>
    <n v="0.22"/>
    <n v="1195"/>
    <s v="COD"/>
    <n v="1252.68"/>
    <s v="Sep"/>
    <n v="2024"/>
    <s v="Q3"/>
    <n v="0.95395472107800872"/>
    <n v="353.32"/>
    <s v="Low"/>
    <s v="Repeat"/>
    <s v="Below Avg"/>
    <s v="Profit"/>
    <n v="468"/>
  </r>
  <r>
    <n v="263"/>
    <x v="262"/>
    <n v="1040"/>
    <s v="Customer_23"/>
    <s v="Corporate"/>
    <s v="South"/>
    <s v="Clothing"/>
    <x v="1"/>
    <n v="4264"/>
    <n v="1"/>
    <n v="0.24"/>
    <n v="-20"/>
    <s v="UPI"/>
    <n v="3240.64"/>
    <s v="Sep"/>
    <n v="2024"/>
    <s v="Q3"/>
    <n v="-6.1716204206576485E-3"/>
    <n v="1023.36"/>
    <s v="Medium"/>
    <s v="Repeat"/>
    <s v="Below Avg"/>
    <s v="Loss"/>
    <n v="386"/>
  </r>
  <r>
    <n v="264"/>
    <x v="263"/>
    <n v="1068"/>
    <s v="Customer_40"/>
    <s v="Corporate"/>
    <s v="East"/>
    <s v="Furniture"/>
    <x v="0"/>
    <n v="2397"/>
    <n v="7"/>
    <n v="0.01"/>
    <n v="-217"/>
    <s v="COD"/>
    <n v="16611.21"/>
    <s v="Sep"/>
    <n v="2024"/>
    <s v="Q3"/>
    <n v="-1.3063467381364754E-2"/>
    <n v="167.79"/>
    <s v="High"/>
    <s v="Repeat"/>
    <s v="Above Avg"/>
    <s v="Loss"/>
    <n v="113"/>
  </r>
  <r>
    <n v="265"/>
    <x v="264"/>
    <n v="1087"/>
    <s v="Customer_64"/>
    <s v="Corporate"/>
    <s v="West"/>
    <s v="Furniture"/>
    <x v="2"/>
    <n v="1811"/>
    <n v="2"/>
    <n v="0.14000000000000001"/>
    <n v="1730"/>
    <s v="UPI"/>
    <n v="3114.92"/>
    <s v="Sep"/>
    <n v="2024"/>
    <s v="Q3"/>
    <n v="0.55539147072798012"/>
    <n v="507.08000000000004"/>
    <s v="Medium"/>
    <s v="Repeat"/>
    <s v="Below Avg"/>
    <s v="Profit"/>
    <n v="389"/>
  </r>
  <r>
    <n v="266"/>
    <x v="265"/>
    <n v="1021"/>
    <s v="Customer_72"/>
    <s v="Corporate"/>
    <s v="West"/>
    <s v="Electronics"/>
    <x v="0"/>
    <n v="1107"/>
    <n v="9"/>
    <n v="0.13"/>
    <n v="655"/>
    <s v="Card"/>
    <n v="8667.81"/>
    <s v="Sep"/>
    <n v="2024"/>
    <s v="Q3"/>
    <n v="7.5566954051830865E-2"/>
    <n v="1295.19"/>
    <s v="High"/>
    <s v="Repeat"/>
    <s v="Below Avg"/>
    <s v="Profit"/>
    <n v="235"/>
  </r>
  <r>
    <n v="267"/>
    <x v="266"/>
    <n v="1089"/>
    <s v="Customer_142"/>
    <s v="Consumer"/>
    <s v="South"/>
    <s v="Electronics"/>
    <x v="1"/>
    <n v="2696"/>
    <n v="9"/>
    <n v="0.02"/>
    <n v="445"/>
    <s v="Card"/>
    <n v="23778.720000000001"/>
    <s v="Sep"/>
    <n v="2024"/>
    <s v="Q3"/>
    <n v="1.8714211698527085E-2"/>
    <n v="485.28000000000003"/>
    <s v="High"/>
    <s v="Repeat"/>
    <s v="Above Avg"/>
    <s v="Profit"/>
    <n v="53"/>
  </r>
  <r>
    <n v="268"/>
    <x v="267"/>
    <n v="1050"/>
    <s v="Customer_124"/>
    <s v="Corporate"/>
    <s v="West"/>
    <s v="Furniture"/>
    <x v="2"/>
    <n v="3486"/>
    <n v="4"/>
    <n v="0.05"/>
    <n v="1943"/>
    <s v="COD"/>
    <n v="13246.8"/>
    <s v="Sep"/>
    <n v="2024"/>
    <s v="Q3"/>
    <n v="0.14667693329709819"/>
    <n v="697.2"/>
    <s v="High"/>
    <s v="Repeat"/>
    <s v="Above Avg"/>
    <s v="Profit"/>
    <n v="158"/>
  </r>
  <r>
    <n v="269"/>
    <x v="268"/>
    <n v="1036"/>
    <s v="Customer_110"/>
    <s v="Corporate"/>
    <s v="West"/>
    <s v="Electronics"/>
    <x v="0"/>
    <n v="1882"/>
    <n v="3"/>
    <n v="0.24"/>
    <n v="1096"/>
    <s v="COD"/>
    <n v="4290.96"/>
    <s v="Sep"/>
    <n v="2024"/>
    <s v="Q3"/>
    <n v="0.25542069839849357"/>
    <n v="1355.04"/>
    <s v="Medium"/>
    <s v="Repeat"/>
    <s v="Below Avg"/>
    <s v="Profit"/>
    <n v="342"/>
  </r>
  <r>
    <n v="270"/>
    <x v="269"/>
    <n v="1044"/>
    <s v="Customer_78"/>
    <s v="Corporate"/>
    <s v="North"/>
    <s v="Furniture"/>
    <x v="3"/>
    <n v="4244"/>
    <n v="8"/>
    <n v="0.18"/>
    <n v="1997"/>
    <s v="UPI"/>
    <n v="27840.639999999999"/>
    <s v="Sep"/>
    <n v="2024"/>
    <s v="Q3"/>
    <n v="7.1729672881083201E-2"/>
    <n v="6111.36"/>
    <s v="High"/>
    <s v="Repeat"/>
    <s v="Above Avg"/>
    <s v="Profit"/>
    <n v="33"/>
  </r>
  <r>
    <n v="271"/>
    <x v="270"/>
    <n v="1092"/>
    <s v="Customer_2"/>
    <s v="Consumer"/>
    <s v="East"/>
    <s v="Clothing"/>
    <x v="1"/>
    <n v="2461"/>
    <n v="4"/>
    <n v="7.0000000000000007E-2"/>
    <n v="1327"/>
    <s v="Card"/>
    <n v="9154.92"/>
    <s v="Sep"/>
    <n v="2024"/>
    <s v="Q3"/>
    <n v="0.14494938240858468"/>
    <n v="689.08"/>
    <s v="High"/>
    <s v="Repeat"/>
    <s v="Below Avg"/>
    <s v="Profit"/>
    <n v="228"/>
  </r>
  <r>
    <n v="272"/>
    <x v="271"/>
    <n v="1099"/>
    <s v="Customer_122"/>
    <s v="Corporate"/>
    <s v="South"/>
    <s v="Electronics"/>
    <x v="2"/>
    <n v="4549"/>
    <n v="3"/>
    <n v="0.14000000000000001"/>
    <n v="1353"/>
    <s v="COD"/>
    <n v="11736.42"/>
    <s v="Sep"/>
    <n v="2024"/>
    <s v="Q3"/>
    <n v="0.11528217292837169"/>
    <n v="1910.5800000000002"/>
    <s v="High"/>
    <s v="Repeat"/>
    <s v="Above Avg"/>
    <s v="Profit"/>
    <n v="176"/>
  </r>
  <r>
    <n v="273"/>
    <x v="272"/>
    <n v="1083"/>
    <s v="Customer_4"/>
    <s v="Corporate"/>
    <s v="South"/>
    <s v="Furniture"/>
    <x v="1"/>
    <n v="1134"/>
    <n v="3"/>
    <n v="0.26"/>
    <n v="1911"/>
    <s v="UPI"/>
    <n v="2517.48"/>
    <s v="Sep"/>
    <n v="2024"/>
    <s v="Q3"/>
    <n v="0.75909242575909242"/>
    <n v="884.52"/>
    <s v="Medium"/>
    <s v="Repeat"/>
    <s v="Below Avg"/>
    <s v="Profit"/>
    <n v="409"/>
  </r>
  <r>
    <n v="274"/>
    <x v="273"/>
    <n v="1081"/>
    <s v="Customer_100"/>
    <s v="Consumer"/>
    <s v="West"/>
    <s v="Electronics"/>
    <x v="3"/>
    <n v="3921"/>
    <n v="3"/>
    <n v="0.03"/>
    <n v="-471"/>
    <s v="COD"/>
    <n v="11410.11"/>
    <s v="Sep"/>
    <n v="2024"/>
    <s v="Q3"/>
    <n v="-4.1279181357585508E-2"/>
    <n v="352.89"/>
    <s v="High"/>
    <s v="Repeat"/>
    <s v="Above Avg"/>
    <s v="Loss"/>
    <n v="182"/>
  </r>
  <r>
    <n v="275"/>
    <x v="274"/>
    <n v="1061"/>
    <s v="Customer_9"/>
    <s v="Consumer"/>
    <s v="North"/>
    <s v="Electronics"/>
    <x v="3"/>
    <n v="3876"/>
    <n v="1"/>
    <n v="0.28999999999999998"/>
    <n v="71"/>
    <s v="UPI"/>
    <n v="2751.96"/>
    <s v="Oct"/>
    <n v="2024"/>
    <s v="Q4"/>
    <n v="2.5799793601651185E-2"/>
    <n v="1124.04"/>
    <s v="Medium"/>
    <s v="Repeat"/>
    <s v="Below Avg"/>
    <s v="Profit"/>
    <n v="401"/>
  </r>
  <r>
    <n v="276"/>
    <x v="275"/>
    <n v="1014"/>
    <s v="Customer_16"/>
    <s v="Corporate"/>
    <s v="West"/>
    <s v="Furniture"/>
    <x v="2"/>
    <n v="4808"/>
    <n v="5"/>
    <n v="0.04"/>
    <n v="860"/>
    <s v="COD"/>
    <n v="23078.3999999999"/>
    <s v="Oct"/>
    <n v="2024"/>
    <s v="Q4"/>
    <n v="3.7264281752634659E-2"/>
    <n v="961.6"/>
    <s v="High"/>
    <s v="Repeat"/>
    <s v="Above Avg"/>
    <s v="Profit"/>
    <n v="58"/>
  </r>
  <r>
    <n v="277"/>
    <x v="276"/>
    <n v="1078"/>
    <s v="Customer_96"/>
    <s v="Consumer"/>
    <s v="South"/>
    <s v="Furniture"/>
    <x v="2"/>
    <n v="1839"/>
    <n v="2"/>
    <n v="0.09"/>
    <n v="1136"/>
    <s v="COD"/>
    <n v="3346.98"/>
    <s v="Oct"/>
    <n v="2024"/>
    <s v="Q4"/>
    <n v="0.33941045360294952"/>
    <n v="331.02"/>
    <s v="Medium"/>
    <s v="Repeat"/>
    <s v="Below Avg"/>
    <s v="Profit"/>
    <n v="384"/>
  </r>
  <r>
    <n v="278"/>
    <x v="277"/>
    <n v="1023"/>
    <s v="Customer_160"/>
    <s v="Consumer"/>
    <s v="West"/>
    <s v="Furniture"/>
    <x v="1"/>
    <n v="535"/>
    <n v="7"/>
    <n v="0.05"/>
    <n v="-213"/>
    <s v="COD"/>
    <n v="3557.75"/>
    <s v="Oct"/>
    <n v="2024"/>
    <s v="Q4"/>
    <n v="-5.9869299416766213E-2"/>
    <n v="187.25"/>
    <s v="Medium"/>
    <s v="Repeat"/>
    <s v="Below Avg"/>
    <s v="Loss"/>
    <n v="374"/>
  </r>
  <r>
    <n v="279"/>
    <x v="278"/>
    <n v="1062"/>
    <s v="Customer_27"/>
    <s v="Corporate"/>
    <s v="North"/>
    <s v="Electronics"/>
    <x v="2"/>
    <n v="592"/>
    <n v="4"/>
    <n v="0.14000000000000001"/>
    <n v="549"/>
    <s v="COD"/>
    <n v="2036.48"/>
    <s v="Oct"/>
    <n v="2024"/>
    <s v="Q4"/>
    <n v="0.26958280955373981"/>
    <n v="331.52000000000004"/>
    <s v="Medium"/>
    <s v="Repeat"/>
    <s v="Below Avg"/>
    <s v="Profit"/>
    <n v="428"/>
  </r>
  <r>
    <n v="280"/>
    <x v="279"/>
    <n v="1028"/>
    <s v="Customer_15"/>
    <s v="Consumer"/>
    <s v="West"/>
    <s v="Electronics"/>
    <x v="0"/>
    <n v="4041"/>
    <n v="2"/>
    <n v="0.09"/>
    <n v="-358"/>
    <s v="UPI"/>
    <n v="7354.62"/>
    <s v="Oct"/>
    <n v="2024"/>
    <s v="Q4"/>
    <n v="-4.8676886093367164E-2"/>
    <n v="727.38"/>
    <s v="High"/>
    <s v="Repeat"/>
    <s v="Below Avg"/>
    <s v="Loss"/>
    <n v="267"/>
  </r>
  <r>
    <n v="281"/>
    <x v="280"/>
    <n v="1080"/>
    <s v="Customer_68"/>
    <s v="Consumer"/>
    <s v="North"/>
    <s v="Furniture"/>
    <x v="1"/>
    <n v="2216"/>
    <n v="8"/>
    <n v="0.3"/>
    <n v="618"/>
    <s v="COD"/>
    <n v="12409.5999999999"/>
    <s v="Oct"/>
    <n v="2024"/>
    <s v="Q4"/>
    <n v="4.9800154718927681E-2"/>
    <n v="5318.4"/>
    <s v="High"/>
    <s v="Repeat"/>
    <s v="Above Avg"/>
    <s v="Profit"/>
    <n v="164"/>
  </r>
  <r>
    <n v="282"/>
    <x v="281"/>
    <n v="1024"/>
    <s v="Customer_25"/>
    <s v="Consumer"/>
    <s v="North"/>
    <s v="Furniture"/>
    <x v="0"/>
    <n v="2168"/>
    <n v="8"/>
    <n v="0"/>
    <n v="853"/>
    <s v="Card"/>
    <n v="17344"/>
    <s v="Oct"/>
    <n v="2024"/>
    <s v="Q4"/>
    <n v="4.9181273062730631E-2"/>
    <n v="0"/>
    <s v="High"/>
    <s v="Repeat"/>
    <s v="Above Avg"/>
    <s v="Profit"/>
    <n v="101"/>
  </r>
  <r>
    <n v="283"/>
    <x v="282"/>
    <n v="1015"/>
    <s v="Customer_15"/>
    <s v="Consumer"/>
    <s v="West"/>
    <s v="Clothing"/>
    <x v="1"/>
    <n v="1828"/>
    <n v="1"/>
    <n v="0.1"/>
    <n v="892"/>
    <s v="COD"/>
    <n v="1645.2"/>
    <s v="Oct"/>
    <n v="2024"/>
    <s v="Q4"/>
    <n v="0.54218332117675661"/>
    <n v="182.8"/>
    <s v="Low"/>
    <s v="Repeat"/>
    <s v="Below Avg"/>
    <s v="Profit"/>
    <n v="450"/>
  </r>
  <r>
    <n v="284"/>
    <x v="283"/>
    <n v="1049"/>
    <s v="Customer_12"/>
    <s v="Corporate"/>
    <s v="South"/>
    <s v="Electronics"/>
    <x v="2"/>
    <n v="2743"/>
    <n v="5"/>
    <n v="0.18"/>
    <n v="-288"/>
    <s v="COD"/>
    <n v="11246.3"/>
    <s v="Oct"/>
    <n v="2024"/>
    <s v="Q4"/>
    <n v="-2.5608422325564855E-2"/>
    <n v="2468.6999999999998"/>
    <s v="High"/>
    <s v="Repeat"/>
    <s v="Above Avg"/>
    <s v="Loss"/>
    <n v="187"/>
  </r>
  <r>
    <n v="285"/>
    <x v="284"/>
    <n v="1080"/>
    <s v="Customer_71"/>
    <s v="Corporate"/>
    <s v="North"/>
    <s v="Clothing"/>
    <x v="3"/>
    <n v="3747"/>
    <n v="2"/>
    <n v="0.1"/>
    <n v="-334"/>
    <s v="Card"/>
    <n v="6744.6"/>
    <s v="Oct"/>
    <n v="2024"/>
    <s v="Q4"/>
    <n v="-4.9521098360169616E-2"/>
    <n v="749.40000000000009"/>
    <s v="High"/>
    <s v="Repeat"/>
    <s v="Below Avg"/>
    <s v="Loss"/>
    <n v="281"/>
  </r>
  <r>
    <n v="286"/>
    <x v="285"/>
    <n v="1084"/>
    <s v="Customer_152"/>
    <s v="Corporate"/>
    <s v="South"/>
    <s v="Electronics"/>
    <x v="3"/>
    <n v="3612"/>
    <n v="9"/>
    <n v="0.14000000000000001"/>
    <n v="74"/>
    <s v="COD"/>
    <n v="27956.880000000001"/>
    <s v="Oct"/>
    <n v="2024"/>
    <s v="Q4"/>
    <n v="2.6469334203244425E-3"/>
    <n v="4551.1200000000008"/>
    <s v="High"/>
    <s v="Repeat"/>
    <s v="Above Avg"/>
    <s v="Profit"/>
    <n v="31"/>
  </r>
  <r>
    <n v="287"/>
    <x v="286"/>
    <n v="1090"/>
    <s v="Customer_70"/>
    <s v="Corporate"/>
    <s v="North"/>
    <s v="Electronics"/>
    <x v="1"/>
    <n v="1459"/>
    <n v="2"/>
    <n v="0.13"/>
    <n v="-190"/>
    <s v="UPI"/>
    <n v="2538.66"/>
    <s v="Oct"/>
    <n v="2024"/>
    <s v="Q4"/>
    <n v="-7.4842633515319112E-2"/>
    <n v="379.34000000000003"/>
    <s v="Medium"/>
    <s v="Repeat"/>
    <s v="Below Avg"/>
    <s v="Loss"/>
    <n v="408"/>
  </r>
  <r>
    <n v="288"/>
    <x v="287"/>
    <n v="1004"/>
    <s v="Customer_112"/>
    <s v="Corporate"/>
    <s v="South"/>
    <s v="Electronics"/>
    <x v="0"/>
    <n v="2607"/>
    <n v="7"/>
    <n v="0.03"/>
    <n v="431"/>
    <s v="UPI"/>
    <n v="17701.53"/>
    <s v="Oct"/>
    <n v="2024"/>
    <s v="Q4"/>
    <n v="2.4348177812878322E-2"/>
    <n v="547.47"/>
    <s v="High"/>
    <s v="Repeat"/>
    <s v="Above Avg"/>
    <s v="Profit"/>
    <n v="93"/>
  </r>
  <r>
    <n v="289"/>
    <x v="288"/>
    <n v="1021"/>
    <s v="Customer_169"/>
    <s v="Consumer"/>
    <s v="South"/>
    <s v="Furniture"/>
    <x v="3"/>
    <n v="3261"/>
    <n v="2"/>
    <n v="0.19"/>
    <n v="1891"/>
    <s v="COD"/>
    <n v="5282.82"/>
    <s v="Oct"/>
    <n v="2024"/>
    <s v="Q4"/>
    <n v="0.35795276007889726"/>
    <n v="1239.18"/>
    <s v="High"/>
    <s v="Repeat"/>
    <s v="Below Avg"/>
    <s v="Profit"/>
    <n v="317"/>
  </r>
  <r>
    <n v="290"/>
    <x v="289"/>
    <n v="1032"/>
    <s v="Customer_60"/>
    <s v="Corporate"/>
    <s v="West"/>
    <s v="Furniture"/>
    <x v="1"/>
    <n v="3495"/>
    <n v="2"/>
    <n v="0.25"/>
    <n v="1055"/>
    <s v="UPI"/>
    <n v="5242.5"/>
    <s v="Oct"/>
    <n v="2024"/>
    <s v="Q4"/>
    <n v="0.20123986647591799"/>
    <n v="1747.5"/>
    <s v="High"/>
    <s v="Repeat"/>
    <s v="Below Avg"/>
    <s v="Profit"/>
    <n v="318"/>
  </r>
  <r>
    <n v="291"/>
    <x v="290"/>
    <n v="1039"/>
    <s v="Customer_31"/>
    <s v="Consumer"/>
    <s v="West"/>
    <s v="Furniture"/>
    <x v="1"/>
    <n v="3159"/>
    <n v="1"/>
    <n v="0.16"/>
    <n v="528"/>
    <s v="COD"/>
    <n v="2653.56"/>
    <s v="Oct"/>
    <n v="2024"/>
    <s v="Q4"/>
    <n v="0.19897797675575454"/>
    <n v="505.44"/>
    <s v="Medium"/>
    <s v="Repeat"/>
    <s v="Below Avg"/>
    <s v="Profit"/>
    <n v="406"/>
  </r>
  <r>
    <n v="292"/>
    <x v="291"/>
    <n v="1001"/>
    <s v="Customer_149"/>
    <s v="Corporate"/>
    <s v="South"/>
    <s v="Furniture"/>
    <x v="3"/>
    <n v="2792"/>
    <n v="1"/>
    <n v="0.04"/>
    <n v="1424"/>
    <s v="Card"/>
    <n v="2680.3199999999902"/>
    <s v="Oct"/>
    <n v="2024"/>
    <s v="Q4"/>
    <n v="0.53127984718242793"/>
    <n v="111.68"/>
    <s v="Medium"/>
    <s v="Repeat"/>
    <s v="Below Avg"/>
    <s v="Profit"/>
    <n v="404"/>
  </r>
  <r>
    <n v="293"/>
    <x v="292"/>
    <n v="1098"/>
    <s v="Customer_60"/>
    <s v="Corporate"/>
    <s v="West"/>
    <s v="Furniture"/>
    <x v="3"/>
    <n v="462"/>
    <n v="9"/>
    <n v="0.14000000000000001"/>
    <n v="448"/>
    <s v="UPI"/>
    <n v="3575.88"/>
    <s v="Oct"/>
    <n v="2024"/>
    <s v="Q4"/>
    <n v="0.12528384621407876"/>
    <n v="582.12"/>
    <s v="Medium"/>
    <s v="Repeat"/>
    <s v="Below Avg"/>
    <s v="Profit"/>
    <n v="372"/>
  </r>
  <r>
    <n v="294"/>
    <x v="293"/>
    <n v="1082"/>
    <s v="Customer_75"/>
    <s v="Corporate"/>
    <s v="North"/>
    <s v="Electronics"/>
    <x v="0"/>
    <n v="373"/>
    <n v="2"/>
    <n v="0"/>
    <n v="509"/>
    <s v="COD"/>
    <n v="746"/>
    <s v="Oct"/>
    <n v="2024"/>
    <s v="Q4"/>
    <n v="0.68230563002680966"/>
    <n v="0"/>
    <s v="Low"/>
    <s v="Repeat"/>
    <s v="Below Avg"/>
    <s v="Profit"/>
    <n v="483"/>
  </r>
  <r>
    <n v="295"/>
    <x v="294"/>
    <n v="1090"/>
    <s v="Customer_14"/>
    <s v="Corporate"/>
    <s v="South"/>
    <s v="Clothing"/>
    <x v="2"/>
    <n v="4106"/>
    <n v="3"/>
    <n v="0.27"/>
    <n v="1883"/>
    <s v="UPI"/>
    <n v="8992.14"/>
    <s v="Oct"/>
    <n v="2024"/>
    <s v="Q4"/>
    <n v="0.20940510267856152"/>
    <n v="3325.86"/>
    <s v="High"/>
    <s v="Repeat"/>
    <s v="Below Avg"/>
    <s v="Profit"/>
    <n v="231"/>
  </r>
  <r>
    <n v="296"/>
    <x v="295"/>
    <n v="1035"/>
    <s v="Customer_102"/>
    <s v="Corporate"/>
    <s v="East"/>
    <s v="Clothing"/>
    <x v="0"/>
    <n v="3188"/>
    <n v="9"/>
    <n v="7.0000000000000007E-2"/>
    <n v="956"/>
    <s v="COD"/>
    <n v="26683.559999999899"/>
    <s v="Oct"/>
    <n v="2024"/>
    <s v="Q4"/>
    <n v="3.5827303403294146E-2"/>
    <n v="2008.4400000000003"/>
    <s v="High"/>
    <s v="Repeat"/>
    <s v="Above Avg"/>
    <s v="Profit"/>
    <n v="35"/>
  </r>
  <r>
    <n v="297"/>
    <x v="296"/>
    <n v="1058"/>
    <s v="Customer_82"/>
    <s v="Consumer"/>
    <s v="South"/>
    <s v="Clothing"/>
    <x v="1"/>
    <n v="3427"/>
    <n v="6"/>
    <n v="0.27"/>
    <n v="803"/>
    <s v="Card"/>
    <n v="15010.26"/>
    <s v="Oct"/>
    <n v="2024"/>
    <s v="Q4"/>
    <n v="5.3496741562104856E-2"/>
    <n v="5551.7400000000007"/>
    <s v="High"/>
    <s v="Repeat"/>
    <s v="Above Avg"/>
    <s v="Profit"/>
    <n v="138"/>
  </r>
  <r>
    <n v="298"/>
    <x v="297"/>
    <n v="1038"/>
    <s v="Customer_14"/>
    <s v="Consumer"/>
    <s v="North"/>
    <s v="Clothing"/>
    <x v="1"/>
    <n v="227"/>
    <n v="6"/>
    <n v="0.18"/>
    <n v="1807"/>
    <s v="COD"/>
    <n v="1116.8399999999999"/>
    <s v="Oct"/>
    <n v="2024"/>
    <s v="Q4"/>
    <n v="1.6179578095340426"/>
    <n v="245.16"/>
    <s v="Low"/>
    <s v="Repeat"/>
    <s v="Below Avg"/>
    <s v="Profit"/>
    <n v="475"/>
  </r>
  <r>
    <n v="299"/>
    <x v="298"/>
    <n v="1001"/>
    <s v="Customer_152"/>
    <s v="Corporate"/>
    <s v="North"/>
    <s v="Furniture"/>
    <x v="2"/>
    <n v="3346"/>
    <n v="9"/>
    <n v="0.28999999999999998"/>
    <n v="784"/>
    <s v="UPI"/>
    <n v="21380.94"/>
    <s v="Oct"/>
    <n v="2024"/>
    <s v="Q4"/>
    <n v="3.6668172680901778E-2"/>
    <n v="8733.06"/>
    <s v="High"/>
    <s v="Repeat"/>
    <s v="Above Avg"/>
    <s v="Profit"/>
    <n v="72"/>
  </r>
  <r>
    <n v="300"/>
    <x v="299"/>
    <n v="1052"/>
    <s v="Customer_25"/>
    <s v="Corporate"/>
    <s v="North"/>
    <s v="Clothing"/>
    <x v="0"/>
    <n v="1300"/>
    <n v="7"/>
    <n v="0.25"/>
    <n v="-190"/>
    <s v="UPI"/>
    <n v="6825"/>
    <s v="Oct"/>
    <n v="2024"/>
    <s v="Q4"/>
    <n v="-2.7838827838827841E-2"/>
    <n v="2275"/>
    <s v="High"/>
    <s v="Repeat"/>
    <s v="Below Avg"/>
    <s v="Loss"/>
    <n v="276"/>
  </r>
  <r>
    <n v="301"/>
    <x v="300"/>
    <n v="1017"/>
    <s v="Customer_109"/>
    <s v="Corporate"/>
    <s v="North"/>
    <s v="Clothing"/>
    <x v="0"/>
    <n v="3165"/>
    <n v="3"/>
    <n v="0"/>
    <n v="286"/>
    <s v="Card"/>
    <n v="9495"/>
    <s v="Oct"/>
    <n v="2024"/>
    <s v="Q4"/>
    <n v="3.0121116377040548E-2"/>
    <n v="0"/>
    <s v="High"/>
    <s v="Repeat"/>
    <s v="Below Avg"/>
    <s v="Profit"/>
    <n v="216"/>
  </r>
  <r>
    <n v="302"/>
    <x v="301"/>
    <n v="1045"/>
    <s v="Customer_108"/>
    <s v="Corporate"/>
    <s v="South"/>
    <s v="Clothing"/>
    <x v="0"/>
    <n v="4359"/>
    <n v="9"/>
    <n v="0"/>
    <n v="198"/>
    <s v="Card"/>
    <n v="39231"/>
    <s v="Oct"/>
    <n v="2024"/>
    <s v="Q4"/>
    <n v="5.0470291351227348E-3"/>
    <n v="0"/>
    <s v="High"/>
    <s v="Repeat"/>
    <s v="Above Avg"/>
    <s v="Profit"/>
    <n v="3"/>
  </r>
  <r>
    <n v="303"/>
    <x v="302"/>
    <n v="1022"/>
    <s v="Customer_156"/>
    <s v="Consumer"/>
    <s v="West"/>
    <s v="Electronics"/>
    <x v="3"/>
    <n v="4615"/>
    <n v="4"/>
    <n v="0.22"/>
    <n v="247"/>
    <s v="COD"/>
    <n v="14398.8"/>
    <s v="Oct"/>
    <n v="2024"/>
    <s v="Q4"/>
    <n v="1.7154207295052366E-2"/>
    <n v="4061.2"/>
    <s v="High"/>
    <s v="Repeat"/>
    <s v="Above Avg"/>
    <s v="Profit"/>
    <n v="145"/>
  </r>
  <r>
    <n v="304"/>
    <x v="303"/>
    <n v="1053"/>
    <s v="Customer_88"/>
    <s v="Consumer"/>
    <s v="North"/>
    <s v="Clothing"/>
    <x v="1"/>
    <n v="3662"/>
    <n v="3"/>
    <n v="0.16"/>
    <n v="1555"/>
    <s v="COD"/>
    <n v="9228.24"/>
    <s v="Oct"/>
    <n v="2024"/>
    <s v="Q4"/>
    <n v="0.16850450356731078"/>
    <n v="1757.76"/>
    <s v="High"/>
    <s v="New"/>
    <s v="Below Avg"/>
    <s v="Profit"/>
    <n v="226"/>
  </r>
  <r>
    <n v="305"/>
    <x v="304"/>
    <n v="1089"/>
    <s v="Customer_18"/>
    <s v="Corporate"/>
    <s v="South"/>
    <s v="Electronics"/>
    <x v="0"/>
    <n v="170"/>
    <n v="9"/>
    <n v="0.23"/>
    <n v="291"/>
    <s v="COD"/>
    <n v="1178.0999999999999"/>
    <s v="Oct"/>
    <n v="2024"/>
    <s v="Q4"/>
    <n v="0.24700789406671761"/>
    <n v="351.90000000000003"/>
    <s v="Low"/>
    <s v="Repeat"/>
    <s v="Below Avg"/>
    <s v="Profit"/>
    <n v="470"/>
  </r>
  <r>
    <n v="306"/>
    <x v="305"/>
    <n v="1074"/>
    <s v="Customer_57"/>
    <s v="Corporate"/>
    <s v="South"/>
    <s v="Electronics"/>
    <x v="3"/>
    <n v="4005"/>
    <n v="3"/>
    <n v="0.18"/>
    <n v="940"/>
    <s v="COD"/>
    <n v="9852.2999999999993"/>
    <s v="Nov"/>
    <n v="2024"/>
    <s v="Q4"/>
    <n v="9.5409193792312469E-2"/>
    <n v="2162.6999999999998"/>
    <s v="High"/>
    <s v="Repeat"/>
    <s v="Below Avg"/>
    <s v="Profit"/>
    <n v="206"/>
  </r>
  <r>
    <n v="307"/>
    <x v="306"/>
    <n v="1000"/>
    <s v="Customer_98"/>
    <s v="Consumer"/>
    <s v="South"/>
    <s v="Electronics"/>
    <x v="3"/>
    <n v="568"/>
    <n v="1"/>
    <n v="7.0000000000000007E-2"/>
    <n v="1894"/>
    <s v="UPI"/>
    <n v="528.24"/>
    <s v="Nov"/>
    <n v="2024"/>
    <s v="Q4"/>
    <n v="3.585491443283356"/>
    <n v="39.760000000000005"/>
    <s v="Low"/>
    <s v="Repeat"/>
    <s v="Below Avg"/>
    <s v="Profit"/>
    <n v="490"/>
  </r>
  <r>
    <n v="308"/>
    <x v="307"/>
    <n v="1035"/>
    <s v="Customer_170"/>
    <s v="Consumer"/>
    <s v="North"/>
    <s v="Clothing"/>
    <x v="0"/>
    <n v="3660"/>
    <n v="3"/>
    <n v="0.24"/>
    <n v="1824"/>
    <s v="COD"/>
    <n v="8344.7999999999993"/>
    <s v="Nov"/>
    <n v="2024"/>
    <s v="Q4"/>
    <n v="0.21857923497267762"/>
    <n v="2635.2"/>
    <s v="High"/>
    <s v="Repeat"/>
    <s v="Below Avg"/>
    <s v="Profit"/>
    <n v="241"/>
  </r>
  <r>
    <n v="309"/>
    <x v="308"/>
    <n v="1083"/>
    <s v="Customer_67"/>
    <s v="Corporate"/>
    <s v="East"/>
    <s v="Furniture"/>
    <x v="1"/>
    <n v="2023"/>
    <n v="3"/>
    <n v="0.01"/>
    <n v="356"/>
    <s v="Card"/>
    <n v="6008.31"/>
    <s v="Nov"/>
    <n v="2024"/>
    <s v="Q4"/>
    <n v="5.9251270323934679E-2"/>
    <n v="60.69"/>
    <s v="High"/>
    <s v="Repeat"/>
    <s v="Below Avg"/>
    <s v="Profit"/>
    <n v="297"/>
  </r>
  <r>
    <n v="310"/>
    <x v="309"/>
    <n v="1094"/>
    <s v="Customer_140"/>
    <s v="Consumer"/>
    <s v="North"/>
    <s v="Clothing"/>
    <x v="2"/>
    <n v="3079"/>
    <n v="5"/>
    <n v="0.24"/>
    <n v="1522"/>
    <s v="UPI"/>
    <n v="11700.2"/>
    <s v="Nov"/>
    <n v="2024"/>
    <s v="Q4"/>
    <n v="0.13008324644023178"/>
    <n v="3694.7999999999997"/>
    <s v="High"/>
    <s v="Repeat"/>
    <s v="Above Avg"/>
    <s v="Profit"/>
    <n v="178"/>
  </r>
  <r>
    <n v="311"/>
    <x v="310"/>
    <n v="1071"/>
    <s v="Customer_164"/>
    <s v="Corporate"/>
    <s v="South"/>
    <s v="Furniture"/>
    <x v="2"/>
    <n v="4122"/>
    <n v="9"/>
    <n v="0.2"/>
    <n v="-297"/>
    <s v="Card"/>
    <n v="29678.400000000001"/>
    <s v="Nov"/>
    <n v="2024"/>
    <s v="Q4"/>
    <n v="-1.0007278020378457E-2"/>
    <n v="7419.6"/>
    <s v="High"/>
    <s v="Repeat"/>
    <s v="Above Avg"/>
    <s v="Loss"/>
    <n v="25"/>
  </r>
  <r>
    <n v="312"/>
    <x v="311"/>
    <n v="1039"/>
    <s v="Customer_69"/>
    <s v="Corporate"/>
    <s v="North"/>
    <s v="Clothing"/>
    <x v="0"/>
    <n v="4319"/>
    <n v="7"/>
    <n v="0.2"/>
    <n v="1668"/>
    <s v="UPI"/>
    <n v="24186.400000000001"/>
    <s v="Nov"/>
    <n v="2024"/>
    <s v="Q4"/>
    <n v="6.896437667449476E-2"/>
    <n v="6046.6"/>
    <s v="High"/>
    <s v="Repeat"/>
    <s v="Above Avg"/>
    <s v="Profit"/>
    <n v="50"/>
  </r>
  <r>
    <n v="313"/>
    <x v="312"/>
    <n v="1087"/>
    <s v="Customer_83"/>
    <s v="Consumer"/>
    <s v="West"/>
    <s v="Clothing"/>
    <x v="1"/>
    <n v="4618"/>
    <n v="3"/>
    <n v="0.01"/>
    <n v="1802"/>
    <s v="COD"/>
    <n v="13715.46"/>
    <s v="Nov"/>
    <n v="2024"/>
    <s v="Q4"/>
    <n v="0.13138458352836874"/>
    <n v="138.54"/>
    <s v="High"/>
    <s v="Repeat"/>
    <s v="Above Avg"/>
    <s v="Profit"/>
    <n v="150"/>
  </r>
  <r>
    <n v="314"/>
    <x v="313"/>
    <n v="1083"/>
    <s v="Customer_76"/>
    <s v="Corporate"/>
    <s v="East"/>
    <s v="Furniture"/>
    <x v="2"/>
    <n v="666"/>
    <n v="3"/>
    <n v="0.06"/>
    <n v="-107"/>
    <s v="UPI"/>
    <n v="1878.12"/>
    <s v="Nov"/>
    <n v="2024"/>
    <s v="Q4"/>
    <n v="-5.6971865482503783E-2"/>
    <n v="119.88"/>
    <s v="Low"/>
    <s v="Repeat"/>
    <s v="Below Avg"/>
    <s v="Loss"/>
    <n v="437"/>
  </r>
  <r>
    <n v="315"/>
    <x v="314"/>
    <n v="1078"/>
    <s v="Customer_91"/>
    <s v="Corporate"/>
    <s v="East"/>
    <s v="Electronics"/>
    <x v="1"/>
    <n v="3227"/>
    <n v="4"/>
    <n v="0.15"/>
    <n v="200"/>
    <s v="COD"/>
    <n v="10971.8"/>
    <s v="Nov"/>
    <n v="2024"/>
    <s v="Q4"/>
    <n v="1.8228549554311965E-2"/>
    <n v="1936.1999999999998"/>
    <s v="High"/>
    <s v="Repeat"/>
    <s v="Above Avg"/>
    <s v="Profit"/>
    <n v="193"/>
  </r>
  <r>
    <n v="316"/>
    <x v="315"/>
    <n v="1029"/>
    <s v="Customer_17"/>
    <s v="Corporate"/>
    <s v="North"/>
    <s v="Electronics"/>
    <x v="2"/>
    <n v="4116"/>
    <n v="7"/>
    <n v="0.13"/>
    <n v="1791"/>
    <s v="UPI"/>
    <n v="25066.44"/>
    <s v="Nov"/>
    <n v="2024"/>
    <s v="Q4"/>
    <n v="7.1450114176564369E-2"/>
    <n v="3745.56"/>
    <s v="High"/>
    <s v="Repeat"/>
    <s v="Above Avg"/>
    <s v="Profit"/>
    <n v="41"/>
  </r>
  <r>
    <n v="317"/>
    <x v="316"/>
    <n v="1019"/>
    <s v="Customer_171"/>
    <s v="Corporate"/>
    <s v="East"/>
    <s v="Electronics"/>
    <x v="3"/>
    <n v="1265"/>
    <n v="4"/>
    <n v="0.01"/>
    <n v="458"/>
    <s v="Card"/>
    <n v="5009.3999999999996"/>
    <s v="Nov"/>
    <n v="2024"/>
    <s v="Q4"/>
    <n v="9.1428115143530164E-2"/>
    <n v="50.6"/>
    <s v="High"/>
    <s v="Repeat"/>
    <s v="Below Avg"/>
    <s v="Profit"/>
    <n v="322"/>
  </r>
  <r>
    <n v="318"/>
    <x v="317"/>
    <n v="1037"/>
    <s v="Customer_92"/>
    <s v="Corporate"/>
    <s v="East"/>
    <s v="Furniture"/>
    <x v="1"/>
    <n v="4336"/>
    <n v="9"/>
    <n v="0.1"/>
    <n v="-99"/>
    <s v="COD"/>
    <n v="35121.599999999999"/>
    <s v="Nov"/>
    <n v="2024"/>
    <s v="Q4"/>
    <n v="-2.8187781877818778E-3"/>
    <n v="3902.4"/>
    <s v="High"/>
    <s v="Repeat"/>
    <s v="Above Avg"/>
    <s v="Loss"/>
    <n v="10"/>
  </r>
  <r>
    <n v="319"/>
    <x v="318"/>
    <n v="1001"/>
    <s v="Customer_40"/>
    <s v="Corporate"/>
    <s v="South"/>
    <s v="Clothing"/>
    <x v="2"/>
    <n v="1915"/>
    <n v="3"/>
    <n v="0.28999999999999998"/>
    <n v="1599"/>
    <s v="Card"/>
    <n v="4078.95"/>
    <s v="Nov"/>
    <n v="2024"/>
    <s v="Q4"/>
    <n v="0.39201265031441918"/>
    <n v="1666.05"/>
    <s v="Medium"/>
    <s v="Repeat"/>
    <s v="Below Avg"/>
    <s v="Profit"/>
    <n v="349"/>
  </r>
  <r>
    <n v="320"/>
    <x v="319"/>
    <n v="1005"/>
    <s v="Customer_22"/>
    <s v="Corporate"/>
    <s v="South"/>
    <s v="Clothing"/>
    <x v="0"/>
    <n v="4067"/>
    <n v="7"/>
    <n v="0.09"/>
    <n v="1720"/>
    <s v="UPI"/>
    <n v="25906.79"/>
    <s v="Nov"/>
    <n v="2024"/>
    <s v="Q4"/>
    <n v="6.6391860975443112E-2"/>
    <n v="2562.21"/>
    <s v="High"/>
    <s v="Repeat"/>
    <s v="Above Avg"/>
    <s v="Profit"/>
    <n v="40"/>
  </r>
  <r>
    <n v="321"/>
    <x v="320"/>
    <n v="1081"/>
    <s v="Customer_192"/>
    <s v="Corporate"/>
    <s v="East"/>
    <s v="Furniture"/>
    <x v="1"/>
    <n v="240"/>
    <n v="9"/>
    <n v="0.19"/>
    <n v="271"/>
    <s v="Card"/>
    <n v="1749.6"/>
    <s v="Nov"/>
    <n v="2024"/>
    <s v="Q4"/>
    <n v="0.15489254686785553"/>
    <n v="410.4"/>
    <s v="Low"/>
    <s v="Repeat"/>
    <s v="Below Avg"/>
    <s v="Profit"/>
    <n v="443"/>
  </r>
  <r>
    <n v="322"/>
    <x v="321"/>
    <n v="1035"/>
    <s v="Customer_138"/>
    <s v="Consumer"/>
    <s v="North"/>
    <s v="Electronics"/>
    <x v="1"/>
    <n v="3410"/>
    <n v="5"/>
    <n v="0.2"/>
    <n v="1549"/>
    <s v="Card"/>
    <n v="13640"/>
    <s v="Nov"/>
    <n v="2024"/>
    <s v="Q4"/>
    <n v="0.11356304985337243"/>
    <n v="3410"/>
    <s v="High"/>
    <s v="Repeat"/>
    <s v="Above Avg"/>
    <s v="Profit"/>
    <n v="151"/>
  </r>
  <r>
    <n v="323"/>
    <x v="322"/>
    <n v="1077"/>
    <s v="Customer_105"/>
    <s v="Consumer"/>
    <s v="East"/>
    <s v="Clothing"/>
    <x v="1"/>
    <n v="601"/>
    <n v="4"/>
    <n v="0.19"/>
    <n v="-310"/>
    <s v="COD"/>
    <n v="1947.24"/>
    <s v="Nov"/>
    <n v="2024"/>
    <s v="Q4"/>
    <n v="-0.15919968776319304"/>
    <n v="456.76"/>
    <s v="Low"/>
    <s v="Repeat"/>
    <s v="Below Avg"/>
    <s v="Loss"/>
    <n v="433"/>
  </r>
  <r>
    <n v="324"/>
    <x v="323"/>
    <n v="1025"/>
    <s v="Customer_134"/>
    <s v="Corporate"/>
    <s v="South"/>
    <s v="Furniture"/>
    <x v="2"/>
    <n v="1554"/>
    <n v="2"/>
    <n v="0.09"/>
    <n v="1816"/>
    <s v="COD"/>
    <n v="2828.28"/>
    <s v="Nov"/>
    <n v="2024"/>
    <s v="Q4"/>
    <n v="0.64208635637207057"/>
    <n v="279.71999999999997"/>
    <s v="Medium"/>
    <s v="Repeat"/>
    <s v="Below Avg"/>
    <s v="Profit"/>
    <n v="398"/>
  </r>
  <r>
    <n v="325"/>
    <x v="324"/>
    <n v="1097"/>
    <s v="Customer_17"/>
    <s v="Consumer"/>
    <s v="South"/>
    <s v="Furniture"/>
    <x v="3"/>
    <n v="4379"/>
    <n v="5"/>
    <n v="0.17"/>
    <n v="884"/>
    <s v="UPI"/>
    <n v="18172.849999999999"/>
    <s v="Nov"/>
    <n v="2024"/>
    <s v="Q4"/>
    <n v="4.8643993649867802E-2"/>
    <n v="3722.15"/>
    <s v="High"/>
    <s v="Repeat"/>
    <s v="Above Avg"/>
    <s v="Profit"/>
    <n v="90"/>
  </r>
  <r>
    <n v="326"/>
    <x v="325"/>
    <n v="1093"/>
    <s v="Customer_76"/>
    <s v="Corporate"/>
    <s v="East"/>
    <s v="Clothing"/>
    <x v="3"/>
    <n v="635"/>
    <n v="3"/>
    <n v="0.21"/>
    <n v="895"/>
    <s v="Card"/>
    <n v="1504.95"/>
    <s v="Nov"/>
    <n v="2024"/>
    <s v="Q4"/>
    <n v="0.59470414299478391"/>
    <n v="400.05"/>
    <s v="Low"/>
    <s v="Repeat"/>
    <s v="Below Avg"/>
    <s v="Profit"/>
    <n v="457"/>
  </r>
  <r>
    <n v="327"/>
    <x v="326"/>
    <n v="1070"/>
    <s v="Customer_191"/>
    <s v="Consumer"/>
    <s v="East"/>
    <s v="Furniture"/>
    <x v="2"/>
    <n v="2260"/>
    <n v="3"/>
    <n v="0.11"/>
    <n v="1691"/>
    <s v="UPI"/>
    <n v="6034.2"/>
    <s v="Nov"/>
    <n v="2024"/>
    <s v="Q4"/>
    <n v="0.28023598820058998"/>
    <n v="745.8"/>
    <s v="High"/>
    <s v="Repeat"/>
    <s v="Below Avg"/>
    <s v="Profit"/>
    <n v="295"/>
  </r>
  <r>
    <n v="328"/>
    <x v="327"/>
    <n v="1058"/>
    <s v="Customer_198"/>
    <s v="Consumer"/>
    <s v="West"/>
    <s v="Furniture"/>
    <x v="3"/>
    <n v="4341"/>
    <n v="7"/>
    <n v="0.08"/>
    <n v="-164"/>
    <s v="COD"/>
    <n v="27956.04"/>
    <s v="Nov"/>
    <n v="2024"/>
    <s v="Q4"/>
    <n v="-5.8663530314021581E-3"/>
    <n v="2430.96"/>
    <s v="High"/>
    <s v="Repeat"/>
    <s v="Above Avg"/>
    <s v="Loss"/>
    <n v="32"/>
  </r>
  <r>
    <n v="329"/>
    <x v="328"/>
    <n v="1029"/>
    <s v="Customer_178"/>
    <s v="Consumer"/>
    <s v="West"/>
    <s v="Electronics"/>
    <x v="3"/>
    <n v="2929"/>
    <n v="6"/>
    <n v="0.08"/>
    <n v="122"/>
    <s v="COD"/>
    <n v="16168.08"/>
    <s v="Nov"/>
    <n v="2024"/>
    <s v="Q4"/>
    <n v="7.5457320844528235E-3"/>
    <n v="1405.92"/>
    <s v="High"/>
    <s v="Repeat"/>
    <s v="Above Avg"/>
    <s v="Profit"/>
    <n v="123"/>
  </r>
  <r>
    <n v="330"/>
    <x v="329"/>
    <n v="1081"/>
    <s v="Customer_80"/>
    <s v="Corporate"/>
    <s v="North"/>
    <s v="Furniture"/>
    <x v="0"/>
    <n v="4483"/>
    <n v="3"/>
    <n v="0.28000000000000003"/>
    <n v="1527"/>
    <s v="Card"/>
    <n v="9683.2799999999897"/>
    <s v="Nov"/>
    <n v="2024"/>
    <s v="Q4"/>
    <n v="0.15769450021067258"/>
    <n v="3765.7200000000003"/>
    <s v="High"/>
    <s v="Repeat"/>
    <s v="Below Avg"/>
    <s v="Profit"/>
    <n v="209"/>
  </r>
  <r>
    <n v="331"/>
    <x v="330"/>
    <n v="1021"/>
    <s v="Customer_196"/>
    <s v="Corporate"/>
    <s v="South"/>
    <s v="Electronics"/>
    <x v="3"/>
    <n v="1725"/>
    <n v="9"/>
    <n v="0.19"/>
    <n v="508"/>
    <s v="COD"/>
    <n v="12575.25"/>
    <s v="Nov"/>
    <n v="2024"/>
    <s v="Q4"/>
    <n v="4.0396811196596487E-2"/>
    <n v="2949.75"/>
    <s v="High"/>
    <s v="Repeat"/>
    <s v="Above Avg"/>
    <s v="Profit"/>
    <n v="162"/>
  </r>
  <r>
    <n v="332"/>
    <x v="331"/>
    <n v="1016"/>
    <s v="Customer_153"/>
    <s v="Consumer"/>
    <s v="South"/>
    <s v="Furniture"/>
    <x v="2"/>
    <n v="4547"/>
    <n v="7"/>
    <n v="0.23"/>
    <n v="695"/>
    <s v="UPI"/>
    <n v="24508.33"/>
    <s v="Nov"/>
    <n v="2024"/>
    <s v="Q4"/>
    <n v="2.8357705318967058E-2"/>
    <n v="7320.67"/>
    <s v="High"/>
    <s v="Repeat"/>
    <s v="Above Avg"/>
    <s v="Profit"/>
    <n v="47"/>
  </r>
  <r>
    <n v="333"/>
    <x v="332"/>
    <n v="1030"/>
    <s v="Customer_33"/>
    <s v="Consumer"/>
    <s v="South"/>
    <s v="Electronics"/>
    <x v="2"/>
    <n v="2252"/>
    <n v="8"/>
    <n v="0.17"/>
    <n v="1739"/>
    <s v="Card"/>
    <n v="14953.279999999901"/>
    <s v="Nov"/>
    <n v="2024"/>
    <s v="Q4"/>
    <n v="0.11629555522266764"/>
    <n v="3062.7200000000003"/>
    <s v="High"/>
    <s v="Repeat"/>
    <s v="Above Avg"/>
    <s v="Profit"/>
    <n v="140"/>
  </r>
  <r>
    <n v="334"/>
    <x v="333"/>
    <n v="1055"/>
    <s v="Customer_1"/>
    <s v="Corporate"/>
    <s v="West"/>
    <s v="Clothing"/>
    <x v="2"/>
    <n v="3427"/>
    <n v="4"/>
    <n v="0.19"/>
    <n v="922"/>
    <s v="Card"/>
    <n v="11103.48"/>
    <s v="Nov"/>
    <n v="2024"/>
    <s v="Q4"/>
    <n v="8.3037029832088688E-2"/>
    <n v="2604.52"/>
    <s v="High"/>
    <s v="Repeat"/>
    <s v="Above Avg"/>
    <s v="Profit"/>
    <n v="188"/>
  </r>
  <r>
    <n v="335"/>
    <x v="334"/>
    <n v="1080"/>
    <s v="Customer_79"/>
    <s v="Consumer"/>
    <s v="North"/>
    <s v="Clothing"/>
    <x v="0"/>
    <n v="370"/>
    <n v="7"/>
    <n v="0.08"/>
    <n v="1381"/>
    <s v="Card"/>
    <n v="2382.8000000000002"/>
    <s v="Nov"/>
    <n v="2024"/>
    <s v="Q4"/>
    <n v="0.57957025348329694"/>
    <n v="207.20000000000002"/>
    <s v="Medium"/>
    <s v="Repeat"/>
    <s v="Below Avg"/>
    <s v="Profit"/>
    <n v="413"/>
  </r>
  <r>
    <n v="336"/>
    <x v="335"/>
    <n v="1030"/>
    <s v="Customer_128"/>
    <s v="Consumer"/>
    <s v="South"/>
    <s v="Electronics"/>
    <x v="1"/>
    <n v="4426"/>
    <n v="9"/>
    <n v="0.27"/>
    <n v="-447"/>
    <s v="Card"/>
    <n v="29078.82"/>
    <s v="Dec"/>
    <n v="2024"/>
    <s v="Q4"/>
    <n v="-1.537201303216568E-2"/>
    <n v="10755.18"/>
    <s v="High"/>
    <s v="Repeat"/>
    <s v="Above Avg"/>
    <s v="Loss"/>
    <n v="26"/>
  </r>
  <r>
    <n v="337"/>
    <x v="336"/>
    <n v="1012"/>
    <s v="Customer_145"/>
    <s v="Corporate"/>
    <s v="West"/>
    <s v="Clothing"/>
    <x v="3"/>
    <n v="3915"/>
    <n v="8"/>
    <n v="0.15"/>
    <n v="-47"/>
    <s v="Card"/>
    <n v="26622"/>
    <s v="Dec"/>
    <n v="2024"/>
    <s v="Q4"/>
    <n v="-1.7654571407106905E-3"/>
    <n v="4698"/>
    <s v="High"/>
    <s v="Repeat"/>
    <s v="Above Avg"/>
    <s v="Loss"/>
    <n v="36"/>
  </r>
  <r>
    <n v="338"/>
    <x v="337"/>
    <n v="1090"/>
    <s v="Customer_171"/>
    <s v="Consumer"/>
    <s v="North"/>
    <s v="Furniture"/>
    <x v="2"/>
    <n v="1456"/>
    <n v="7"/>
    <n v="0.24"/>
    <n v="-31"/>
    <s v="Card"/>
    <n v="7745.92"/>
    <s v="Dec"/>
    <n v="2024"/>
    <s v="Q4"/>
    <n v="-4.0021069156407499E-3"/>
    <n v="2446.08"/>
    <s v="High"/>
    <s v="Repeat"/>
    <s v="Below Avg"/>
    <s v="Loss"/>
    <n v="258"/>
  </r>
  <r>
    <n v="339"/>
    <x v="338"/>
    <n v="1083"/>
    <s v="Customer_186"/>
    <s v="Corporate"/>
    <s v="East"/>
    <s v="Electronics"/>
    <x v="0"/>
    <n v="4189"/>
    <n v="5"/>
    <n v="0.16"/>
    <n v="798"/>
    <s v="Card"/>
    <n v="17593.8"/>
    <s v="Dec"/>
    <n v="2024"/>
    <s v="Q4"/>
    <n v="4.5356887085223209E-2"/>
    <n v="3351.2000000000003"/>
    <s v="High"/>
    <s v="Repeat"/>
    <s v="Above Avg"/>
    <s v="Profit"/>
    <n v="95"/>
  </r>
  <r>
    <n v="340"/>
    <x v="339"/>
    <n v="1016"/>
    <s v="Customer_147"/>
    <s v="Consumer"/>
    <s v="East"/>
    <s v="Electronics"/>
    <x v="3"/>
    <n v="190"/>
    <n v="8"/>
    <n v="0.03"/>
    <n v="728"/>
    <s v="Card"/>
    <n v="1474.3999999999901"/>
    <s v="Dec"/>
    <n v="2024"/>
    <s v="Q4"/>
    <n v="0.4937601736299545"/>
    <n v="45.6"/>
    <s v="Low"/>
    <s v="Repeat"/>
    <s v="Below Avg"/>
    <s v="Profit"/>
    <n v="458"/>
  </r>
  <r>
    <n v="341"/>
    <x v="340"/>
    <n v="1092"/>
    <s v="Customer_54"/>
    <s v="Corporate"/>
    <s v="East"/>
    <s v="Clothing"/>
    <x v="1"/>
    <n v="2277"/>
    <n v="8"/>
    <n v="0.03"/>
    <n v="297"/>
    <s v="UPI"/>
    <n v="17669.52"/>
    <s v="Dec"/>
    <n v="2024"/>
    <s v="Q4"/>
    <n v="1.6808606006275213E-2"/>
    <n v="546.48"/>
    <s v="High"/>
    <s v="Repeat"/>
    <s v="Above Avg"/>
    <s v="Profit"/>
    <n v="94"/>
  </r>
  <r>
    <n v="342"/>
    <x v="341"/>
    <n v="1038"/>
    <s v="Customer_114"/>
    <s v="Corporate"/>
    <s v="West"/>
    <s v="Electronics"/>
    <x v="0"/>
    <n v="1830"/>
    <n v="4"/>
    <n v="0.14000000000000001"/>
    <n v="898"/>
    <s v="COD"/>
    <n v="6295.2"/>
    <s v="Dec"/>
    <n v="2024"/>
    <s v="Q4"/>
    <n v="0.14264836700978523"/>
    <n v="1024.8000000000002"/>
    <s v="High"/>
    <s v="Repeat"/>
    <s v="Below Avg"/>
    <s v="Profit"/>
    <n v="291"/>
  </r>
  <r>
    <n v="343"/>
    <x v="342"/>
    <n v="1098"/>
    <s v="Customer_83"/>
    <s v="Corporate"/>
    <s v="East"/>
    <s v="Clothing"/>
    <x v="2"/>
    <n v="2458"/>
    <n v="9"/>
    <n v="0.13"/>
    <n v="-443"/>
    <s v="COD"/>
    <n v="19246.14"/>
    <s v="Dec"/>
    <n v="2024"/>
    <s v="Q4"/>
    <n v="-2.3017602490681251E-2"/>
    <n v="2875.86"/>
    <s v="High"/>
    <s v="Repeat"/>
    <s v="Above Avg"/>
    <s v="Loss"/>
    <n v="83"/>
  </r>
  <r>
    <n v="344"/>
    <x v="343"/>
    <n v="1007"/>
    <s v="Customer_84"/>
    <s v="Consumer"/>
    <s v="East"/>
    <s v="Electronics"/>
    <x v="2"/>
    <n v="2809"/>
    <n v="1"/>
    <n v="0.27"/>
    <n v="-352"/>
    <s v="COD"/>
    <n v="2050.5700000000002"/>
    <s v="Dec"/>
    <n v="2024"/>
    <s v="Q4"/>
    <n v="-0.17165958733425338"/>
    <n v="758.43000000000006"/>
    <s v="Medium"/>
    <s v="Repeat"/>
    <s v="Below Avg"/>
    <s v="Loss"/>
    <n v="426"/>
  </r>
  <r>
    <n v="345"/>
    <x v="344"/>
    <n v="1037"/>
    <s v="Customer_1"/>
    <s v="Consumer"/>
    <s v="North"/>
    <s v="Clothing"/>
    <x v="1"/>
    <n v="448"/>
    <n v="9"/>
    <n v="0.04"/>
    <n v="1096"/>
    <s v="COD"/>
    <n v="3870.72"/>
    <s v="Dec"/>
    <n v="2024"/>
    <s v="Q4"/>
    <n v="0.28315145502645506"/>
    <n v="161.28"/>
    <s v="Medium"/>
    <s v="Repeat"/>
    <s v="Below Avg"/>
    <s v="Profit"/>
    <n v="358"/>
  </r>
  <r>
    <n v="346"/>
    <x v="345"/>
    <n v="1014"/>
    <s v="Customer_144"/>
    <s v="Consumer"/>
    <s v="East"/>
    <s v="Clothing"/>
    <x v="3"/>
    <n v="4977"/>
    <n v="1"/>
    <n v="0.21"/>
    <n v="294"/>
    <s v="Card"/>
    <n v="3931.83"/>
    <s v="Dec"/>
    <n v="2024"/>
    <s v="Q4"/>
    <n v="7.4774341718741658E-2"/>
    <n v="1045.17"/>
    <s v="Medium"/>
    <s v="Repeat"/>
    <s v="Below Avg"/>
    <s v="Profit"/>
    <n v="357"/>
  </r>
  <r>
    <n v="347"/>
    <x v="346"/>
    <n v="1000"/>
    <s v="Customer_152"/>
    <s v="Consumer"/>
    <s v="East"/>
    <s v="Furniture"/>
    <x v="0"/>
    <n v="4432"/>
    <n v="5"/>
    <n v="0.28000000000000003"/>
    <n v="1809"/>
    <s v="UPI"/>
    <n v="15955.199999999901"/>
    <s v="Dec"/>
    <n v="2024"/>
    <s v="Q4"/>
    <n v="0.11337996389891768"/>
    <n v="6204.8"/>
    <s v="High"/>
    <s v="Repeat"/>
    <s v="Above Avg"/>
    <s v="Profit"/>
    <n v="130"/>
  </r>
  <r>
    <n v="348"/>
    <x v="347"/>
    <n v="1096"/>
    <s v="Customer_192"/>
    <s v="Corporate"/>
    <s v="West"/>
    <s v="Furniture"/>
    <x v="0"/>
    <n v="1393"/>
    <n v="6"/>
    <n v="0.12"/>
    <n v="1693"/>
    <s v="Card"/>
    <n v="7355.04"/>
    <s v="Dec"/>
    <n v="2024"/>
    <s v="Q4"/>
    <n v="0.23018229676521135"/>
    <n v="1002.9599999999999"/>
    <s v="High"/>
    <s v="Repeat"/>
    <s v="Below Avg"/>
    <s v="Profit"/>
    <n v="266"/>
  </r>
  <r>
    <n v="349"/>
    <x v="348"/>
    <n v="1002"/>
    <s v="Customer_186"/>
    <s v="Consumer"/>
    <s v="West"/>
    <s v="Electronics"/>
    <x v="3"/>
    <n v="4564"/>
    <n v="5"/>
    <n v="0.27"/>
    <n v="710"/>
    <s v="UPI"/>
    <n v="16658.599999999999"/>
    <s v="Dec"/>
    <n v="2024"/>
    <s v="Q4"/>
    <n v="4.2620628384137924E-2"/>
    <n v="6161.4000000000005"/>
    <s v="High"/>
    <s v="Repeat"/>
    <s v="Above Avg"/>
    <s v="Profit"/>
    <n v="111"/>
  </r>
  <r>
    <n v="350"/>
    <x v="349"/>
    <n v="1037"/>
    <s v="Customer_152"/>
    <s v="Consumer"/>
    <s v="West"/>
    <s v="Clothing"/>
    <x v="2"/>
    <n v="2447"/>
    <n v="4"/>
    <n v="0.04"/>
    <n v="-339"/>
    <s v="UPI"/>
    <n v="9396.48"/>
    <s v="Dec"/>
    <n v="2024"/>
    <s v="Q4"/>
    <n v="-3.6077339599509609E-2"/>
    <n v="391.52"/>
    <s v="High"/>
    <s v="Repeat"/>
    <s v="Below Avg"/>
    <s v="Loss"/>
    <n v="221"/>
  </r>
  <r>
    <n v="351"/>
    <x v="350"/>
    <n v="1047"/>
    <s v="Customer_186"/>
    <s v="Consumer"/>
    <s v="East"/>
    <s v="Furniture"/>
    <x v="3"/>
    <n v="3091"/>
    <n v="5"/>
    <n v="0.03"/>
    <n v="644"/>
    <s v="UPI"/>
    <n v="14991.35"/>
    <s v="Dec"/>
    <n v="2024"/>
    <s v="Q4"/>
    <n v="4.2958105841034995E-2"/>
    <n v="463.65"/>
    <s v="High"/>
    <s v="Repeat"/>
    <s v="Above Avg"/>
    <s v="Profit"/>
    <n v="139"/>
  </r>
  <r>
    <n v="352"/>
    <x v="351"/>
    <n v="1062"/>
    <s v="Customer_101"/>
    <s v="Consumer"/>
    <s v="North"/>
    <s v="Electronics"/>
    <x v="3"/>
    <n v="2900"/>
    <n v="7"/>
    <n v="7.0000000000000007E-2"/>
    <n v="1932"/>
    <s v="UPI"/>
    <n v="18879"/>
    <s v="Dec"/>
    <n v="2024"/>
    <s v="Q4"/>
    <n v="0.10233592880978866"/>
    <n v="1421.0000000000002"/>
    <s v="High"/>
    <s v="Repeat"/>
    <s v="Above Avg"/>
    <s v="Profit"/>
    <n v="85"/>
  </r>
  <r>
    <n v="353"/>
    <x v="352"/>
    <n v="1061"/>
    <s v="Customer_192"/>
    <s v="Consumer"/>
    <s v="South"/>
    <s v="Clothing"/>
    <x v="3"/>
    <n v="4356"/>
    <n v="2"/>
    <n v="0.16"/>
    <n v="332"/>
    <s v="COD"/>
    <n v="7318.08"/>
    <s v="Dec"/>
    <n v="2024"/>
    <s v="Q4"/>
    <n v="4.5367090821636279E-2"/>
    <n v="1393.92"/>
    <s v="High"/>
    <s v="Repeat"/>
    <s v="Below Avg"/>
    <s v="Profit"/>
    <n v="268"/>
  </r>
  <r>
    <n v="354"/>
    <x v="353"/>
    <n v="1014"/>
    <s v="Customer_169"/>
    <s v="Corporate"/>
    <s v="West"/>
    <s v="Furniture"/>
    <x v="2"/>
    <n v="1224"/>
    <n v="7"/>
    <n v="0.19"/>
    <n v="210"/>
    <s v="COD"/>
    <n v="6940.08"/>
    <s v="Dec"/>
    <n v="2024"/>
    <s v="Q4"/>
    <n v="3.0259017187121762E-2"/>
    <n v="1627.92"/>
    <s v="High"/>
    <s v="Repeat"/>
    <s v="Below Avg"/>
    <s v="Profit"/>
    <n v="275"/>
  </r>
  <r>
    <n v="355"/>
    <x v="354"/>
    <n v="1061"/>
    <s v="Customer_161"/>
    <s v="Consumer"/>
    <s v="North"/>
    <s v="Clothing"/>
    <x v="2"/>
    <n v="673"/>
    <n v="9"/>
    <n v="0.23"/>
    <n v="944"/>
    <s v="UPI"/>
    <n v="4663.8900000000003"/>
    <s v="Dec"/>
    <n v="2024"/>
    <s v="Q4"/>
    <n v="0.20240614594255008"/>
    <n v="1393.1100000000001"/>
    <s v="Medium"/>
    <s v="Repeat"/>
    <s v="Below Avg"/>
    <s v="Profit"/>
    <n v="332"/>
  </r>
  <r>
    <n v="356"/>
    <x v="355"/>
    <n v="1081"/>
    <s v="Customer_186"/>
    <s v="Corporate"/>
    <s v="East"/>
    <s v="Furniture"/>
    <x v="0"/>
    <n v="4179"/>
    <n v="7"/>
    <n v="0.23"/>
    <n v="-144"/>
    <s v="UPI"/>
    <n v="22524.81"/>
    <s v="Dec"/>
    <n v="2024"/>
    <s v="Q4"/>
    <n v="-6.3929507063544598E-3"/>
    <n v="6728.1900000000005"/>
    <s v="High"/>
    <s v="Repeat"/>
    <s v="Above Avg"/>
    <s v="Loss"/>
    <n v="62"/>
  </r>
  <r>
    <n v="357"/>
    <x v="356"/>
    <n v="1037"/>
    <s v="Customer_125"/>
    <s v="Consumer"/>
    <s v="West"/>
    <s v="Clothing"/>
    <x v="3"/>
    <n v="928"/>
    <n v="4"/>
    <n v="0.03"/>
    <n v="182"/>
    <s v="Card"/>
    <n v="3600.64"/>
    <s v="Dec"/>
    <n v="2024"/>
    <s v="Q4"/>
    <n v="5.0546569498755779E-2"/>
    <n v="111.36"/>
    <s v="Medium"/>
    <s v="Repeat"/>
    <s v="Below Avg"/>
    <s v="Profit"/>
    <n v="368"/>
  </r>
  <r>
    <n v="358"/>
    <x v="357"/>
    <n v="1094"/>
    <s v="Customer_184"/>
    <s v="Consumer"/>
    <s v="North"/>
    <s v="Electronics"/>
    <x v="3"/>
    <n v="570"/>
    <n v="8"/>
    <n v="0.26"/>
    <n v="1134"/>
    <s v="UPI"/>
    <n v="3374.4"/>
    <s v="Dec"/>
    <n v="2024"/>
    <s v="Q4"/>
    <n v="0.33605974395448079"/>
    <n v="1185.6000000000001"/>
    <s v="Medium"/>
    <s v="Repeat"/>
    <s v="Below Avg"/>
    <s v="Profit"/>
    <n v="382"/>
  </r>
  <r>
    <n v="359"/>
    <x v="358"/>
    <n v="1019"/>
    <s v="Customer_95"/>
    <s v="Corporate"/>
    <s v="South"/>
    <s v="Furniture"/>
    <x v="2"/>
    <n v="4250"/>
    <n v="8"/>
    <n v="0.03"/>
    <n v="335"/>
    <s v="Card"/>
    <n v="32980"/>
    <s v="Dec"/>
    <n v="2024"/>
    <s v="Q4"/>
    <n v="1.015767131594906E-2"/>
    <n v="1020"/>
    <s v="High"/>
    <s v="Repeat"/>
    <s v="Above Avg"/>
    <s v="Profit"/>
    <n v="17"/>
  </r>
  <r>
    <n v="360"/>
    <x v="359"/>
    <n v="1058"/>
    <s v="Customer_15"/>
    <s v="Corporate"/>
    <s v="North"/>
    <s v="Clothing"/>
    <x v="2"/>
    <n v="2351"/>
    <n v="9"/>
    <n v="0.27"/>
    <n v="28"/>
    <s v="COD"/>
    <n v="15446.07"/>
    <s v="Dec"/>
    <n v="2024"/>
    <s v="Q4"/>
    <n v="1.8127588441590645E-3"/>
    <n v="5712.93"/>
    <s v="High"/>
    <s v="Repeat"/>
    <s v="Above Avg"/>
    <s v="Profit"/>
    <n v="135"/>
  </r>
  <r>
    <n v="361"/>
    <x v="360"/>
    <n v="1006"/>
    <s v="Customer_65"/>
    <s v="Corporate"/>
    <s v="East"/>
    <s v="Furniture"/>
    <x v="3"/>
    <n v="4067"/>
    <n v="6"/>
    <n v="0.28999999999999998"/>
    <n v="1213"/>
    <s v="UPI"/>
    <n v="17325.419999999998"/>
    <s v="Dec"/>
    <n v="2024"/>
    <s v="Q4"/>
    <n v="7.0012732736060665E-2"/>
    <n v="7076.58"/>
    <s v="High"/>
    <s v="Repeat"/>
    <s v="Above Avg"/>
    <s v="Profit"/>
    <n v="102"/>
  </r>
  <r>
    <n v="362"/>
    <x v="361"/>
    <n v="1090"/>
    <s v="Customer_113"/>
    <s v="Corporate"/>
    <s v="West"/>
    <s v="Furniture"/>
    <x v="1"/>
    <n v="2732"/>
    <n v="1"/>
    <n v="0.18"/>
    <n v="547"/>
    <s v="COD"/>
    <n v="2240.2399999999998"/>
    <s v="Dec"/>
    <n v="2024"/>
    <s v="Q4"/>
    <n v="0.24417026747134238"/>
    <n v="491.76"/>
    <s v="Medium"/>
    <s v="Repeat"/>
    <s v="Below Avg"/>
    <s v="Profit"/>
    <n v="418"/>
  </r>
  <r>
    <n v="363"/>
    <x v="362"/>
    <n v="1071"/>
    <s v="Customer_140"/>
    <s v="Consumer"/>
    <s v="North"/>
    <s v="Clothing"/>
    <x v="2"/>
    <n v="4332"/>
    <n v="9"/>
    <n v="0.21"/>
    <n v="1493"/>
    <s v="COD"/>
    <n v="30800.52"/>
    <s v="Dec"/>
    <n v="2024"/>
    <s v="Q4"/>
    <n v="4.8473207595196445E-2"/>
    <n v="8187.48"/>
    <s v="High"/>
    <s v="Repeat"/>
    <s v="Above Avg"/>
    <s v="Profit"/>
    <n v="22"/>
  </r>
  <r>
    <n v="364"/>
    <x v="363"/>
    <n v="1077"/>
    <s v="Customer_163"/>
    <s v="Consumer"/>
    <s v="North"/>
    <s v="Electronics"/>
    <x v="1"/>
    <n v="1198"/>
    <n v="9"/>
    <n v="0.11"/>
    <n v="-189"/>
    <s v="UPI"/>
    <n v="9595.98"/>
    <s v="Dec"/>
    <n v="2024"/>
    <s v="Q4"/>
    <n v="-1.9695747594305115E-2"/>
    <n v="1186.02"/>
    <s v="High"/>
    <s v="Repeat"/>
    <s v="Below Avg"/>
    <s v="Loss"/>
    <n v="212"/>
  </r>
  <r>
    <n v="365"/>
    <x v="364"/>
    <n v="1078"/>
    <s v="Customer_37"/>
    <s v="Consumer"/>
    <s v="North"/>
    <s v="Furniture"/>
    <x v="3"/>
    <n v="3189"/>
    <n v="1"/>
    <n v="0.17"/>
    <n v="159"/>
    <s v="UPI"/>
    <n v="2646.87"/>
    <s v="Dec"/>
    <n v="2024"/>
    <s v="Q4"/>
    <n v="6.0070951727889926E-2"/>
    <n v="542.13"/>
    <s v="Medium"/>
    <s v="Repeat"/>
    <s v="Below Avg"/>
    <s v="Profit"/>
    <n v="407"/>
  </r>
  <r>
    <n v="366"/>
    <x v="365"/>
    <n v="1070"/>
    <s v="Customer_30"/>
    <s v="Corporate"/>
    <s v="West"/>
    <s v="Clothing"/>
    <x v="3"/>
    <n v="531"/>
    <n v="9"/>
    <n v="0.25"/>
    <n v="1369"/>
    <s v="COD"/>
    <n v="3584.25"/>
    <s v="Dec"/>
    <n v="2024"/>
    <s v="Q4"/>
    <n v="0.38194880379437818"/>
    <n v="1194.75"/>
    <s v="Medium"/>
    <s v="Repeat"/>
    <s v="Below Avg"/>
    <s v="Profit"/>
    <n v="371"/>
  </r>
  <r>
    <n v="367"/>
    <x v="366"/>
    <n v="1096"/>
    <s v="Customer_11"/>
    <s v="Corporate"/>
    <s v="North"/>
    <s v="Electronics"/>
    <x v="1"/>
    <n v="1333"/>
    <n v="1"/>
    <n v="0.05"/>
    <n v="-123"/>
    <s v="UPI"/>
    <n v="1266.3499999999999"/>
    <s v="Jan"/>
    <n v="2025"/>
    <s v="Q1"/>
    <n v="-9.7129545544280813E-2"/>
    <n v="66.650000000000006"/>
    <s v="Low"/>
    <s v="Repeat"/>
    <s v="Below Avg"/>
    <s v="Loss"/>
    <n v="466"/>
  </r>
  <r>
    <n v="368"/>
    <x v="367"/>
    <n v="1051"/>
    <s v="Customer_188"/>
    <s v="Consumer"/>
    <s v="East"/>
    <s v="Clothing"/>
    <x v="1"/>
    <n v="1629"/>
    <n v="2"/>
    <n v="0.15"/>
    <n v="-281"/>
    <s v="Card"/>
    <n v="2769.2999999999902"/>
    <s v="Jan"/>
    <n v="2025"/>
    <s v="Q1"/>
    <n v="-0.10146968548008559"/>
    <n v="488.7"/>
    <s v="Medium"/>
    <s v="Repeat"/>
    <s v="Below Avg"/>
    <s v="Loss"/>
    <n v="400"/>
  </r>
  <r>
    <n v="369"/>
    <x v="368"/>
    <n v="1097"/>
    <s v="Customer_32"/>
    <s v="Corporate"/>
    <s v="East"/>
    <s v="Clothing"/>
    <x v="3"/>
    <n v="4451"/>
    <n v="6"/>
    <n v="0.12"/>
    <n v="978"/>
    <s v="UPI"/>
    <n v="23501.279999999999"/>
    <s v="Jan"/>
    <n v="2025"/>
    <s v="Q1"/>
    <n v="4.1614754600600483E-2"/>
    <n v="3204.72"/>
    <s v="High"/>
    <s v="Repeat"/>
    <s v="Above Avg"/>
    <s v="Profit"/>
    <n v="57"/>
  </r>
  <r>
    <n v="370"/>
    <x v="369"/>
    <n v="1003"/>
    <s v="Customer_2"/>
    <s v="Consumer"/>
    <s v="South"/>
    <s v="Furniture"/>
    <x v="1"/>
    <n v="1480"/>
    <n v="7"/>
    <n v="0.26"/>
    <n v="1989"/>
    <s v="UPI"/>
    <n v="7666.4"/>
    <s v="Jan"/>
    <n v="2025"/>
    <s v="Q1"/>
    <n v="0.25944380674110407"/>
    <n v="2693.6"/>
    <s v="High"/>
    <s v="Repeat"/>
    <s v="Below Avg"/>
    <s v="Profit"/>
    <n v="261"/>
  </r>
  <r>
    <n v="371"/>
    <x v="370"/>
    <n v="1000"/>
    <s v="Customer_138"/>
    <s v="Corporate"/>
    <s v="South"/>
    <s v="Clothing"/>
    <x v="3"/>
    <n v="241"/>
    <n v="7"/>
    <n v="0.04"/>
    <n v="967"/>
    <s v="COD"/>
    <n v="1619.52"/>
    <s v="Jan"/>
    <n v="2025"/>
    <s v="Q1"/>
    <n v="0.5970904959494171"/>
    <n v="67.48"/>
    <s v="Low"/>
    <s v="Repeat"/>
    <s v="Below Avg"/>
    <s v="Profit"/>
    <n v="452"/>
  </r>
  <r>
    <n v="372"/>
    <x v="371"/>
    <n v="1077"/>
    <s v="Customer_124"/>
    <s v="Corporate"/>
    <s v="South"/>
    <s v="Clothing"/>
    <x v="1"/>
    <n v="1316"/>
    <n v="6"/>
    <n v="0.27"/>
    <n v="-31"/>
    <s v="COD"/>
    <n v="5764.08"/>
    <s v="Jan"/>
    <n v="2025"/>
    <s v="Q1"/>
    <n v="-5.3781349322008024E-3"/>
    <n v="2131.92"/>
    <s v="High"/>
    <s v="Repeat"/>
    <s v="Below Avg"/>
    <s v="Loss"/>
    <n v="302"/>
  </r>
  <r>
    <n v="373"/>
    <x v="372"/>
    <n v="1094"/>
    <s v="Customer_174"/>
    <s v="Consumer"/>
    <s v="West"/>
    <s v="Electronics"/>
    <x v="3"/>
    <n v="3947"/>
    <n v="8"/>
    <n v="0.08"/>
    <n v="655"/>
    <s v="COD"/>
    <n v="29049.919999999998"/>
    <s v="Jan"/>
    <n v="2025"/>
    <s v="Q1"/>
    <n v="2.2547394278538462E-2"/>
    <n v="2526.08"/>
    <s v="High"/>
    <s v="Repeat"/>
    <s v="Above Avg"/>
    <s v="Profit"/>
    <n v="27"/>
  </r>
  <r>
    <n v="374"/>
    <x v="373"/>
    <n v="1037"/>
    <s v="Customer_22"/>
    <s v="Consumer"/>
    <s v="East"/>
    <s v="Furniture"/>
    <x v="2"/>
    <n v="4287"/>
    <n v="8"/>
    <n v="0.18"/>
    <n v="312"/>
    <s v="UPI"/>
    <n v="28122.720000000001"/>
    <s v="Jan"/>
    <n v="2025"/>
    <s v="Q1"/>
    <n v="1.1094232705798016E-2"/>
    <n v="6173.28"/>
    <s v="High"/>
    <s v="Repeat"/>
    <s v="Above Avg"/>
    <s v="Profit"/>
    <n v="30"/>
  </r>
  <r>
    <n v="375"/>
    <x v="374"/>
    <n v="1052"/>
    <s v="Customer_73"/>
    <s v="Corporate"/>
    <s v="East"/>
    <s v="Clothing"/>
    <x v="3"/>
    <n v="1876"/>
    <n v="1"/>
    <n v="0.11"/>
    <n v="486"/>
    <s v="Card"/>
    <n v="1669.64"/>
    <s v="Jan"/>
    <n v="2025"/>
    <s v="Q1"/>
    <n v="0.29108071200977453"/>
    <n v="206.36"/>
    <s v="Low"/>
    <s v="Repeat"/>
    <s v="Below Avg"/>
    <s v="Profit"/>
    <n v="448"/>
  </r>
  <r>
    <n v="376"/>
    <x v="375"/>
    <n v="1083"/>
    <s v="Customer_118"/>
    <s v="Corporate"/>
    <s v="South"/>
    <s v="Furniture"/>
    <x v="3"/>
    <n v="3751"/>
    <n v="9"/>
    <n v="0.28000000000000003"/>
    <n v="339"/>
    <s v="COD"/>
    <n v="24306.48"/>
    <s v="Jan"/>
    <n v="2025"/>
    <s v="Q1"/>
    <n v="1.3946898111120985E-2"/>
    <n v="9452.52"/>
    <s v="High"/>
    <s v="Repeat"/>
    <s v="Above Avg"/>
    <s v="Profit"/>
    <n v="49"/>
  </r>
  <r>
    <n v="377"/>
    <x v="376"/>
    <n v="1002"/>
    <s v="Customer_55"/>
    <s v="Consumer"/>
    <s v="South"/>
    <s v="Electronics"/>
    <x v="2"/>
    <n v="2552"/>
    <n v="4"/>
    <n v="0.06"/>
    <n v="-131"/>
    <s v="UPI"/>
    <n v="9595.5199999999895"/>
    <s v="Jan"/>
    <n v="2025"/>
    <s v="Q1"/>
    <n v="-1.3652204362035632E-2"/>
    <n v="612.48"/>
    <s v="High"/>
    <s v="Repeat"/>
    <s v="Below Avg"/>
    <s v="Loss"/>
    <n v="213"/>
  </r>
  <r>
    <n v="378"/>
    <x v="377"/>
    <n v="1098"/>
    <s v="Customer_187"/>
    <s v="Corporate"/>
    <s v="North"/>
    <s v="Electronics"/>
    <x v="3"/>
    <n v="817"/>
    <n v="4"/>
    <n v="0.15"/>
    <n v="514"/>
    <s v="UPI"/>
    <n v="2777.7999999999902"/>
    <s v="Jan"/>
    <n v="2025"/>
    <s v="Q1"/>
    <n v="0.18503851969184312"/>
    <n v="490.2"/>
    <s v="Medium"/>
    <s v="Repeat"/>
    <s v="Below Avg"/>
    <s v="Profit"/>
    <n v="399"/>
  </r>
  <r>
    <n v="379"/>
    <x v="378"/>
    <n v="1096"/>
    <s v="Customer_30"/>
    <s v="Corporate"/>
    <s v="South"/>
    <s v="Clothing"/>
    <x v="2"/>
    <n v="660"/>
    <n v="9"/>
    <n v="7.0000000000000007E-2"/>
    <n v="-250"/>
    <s v="UPI"/>
    <n v="5524.2"/>
    <s v="Jan"/>
    <n v="2025"/>
    <s v="Q1"/>
    <n v="-4.5255421599507621E-2"/>
    <n v="415.8"/>
    <s v="High"/>
    <s v="Repeat"/>
    <s v="Below Avg"/>
    <s v="Loss"/>
    <n v="308"/>
  </r>
  <r>
    <n v="380"/>
    <x v="379"/>
    <n v="1014"/>
    <s v="Customer_181"/>
    <s v="Consumer"/>
    <s v="West"/>
    <s v="Furniture"/>
    <x v="2"/>
    <n v="1004"/>
    <n v="2"/>
    <n v="0.24"/>
    <n v="-339"/>
    <s v="UPI"/>
    <n v="1526.08"/>
    <s v="Jan"/>
    <n v="2025"/>
    <s v="Q1"/>
    <n v="-0.2221377647305515"/>
    <n v="481.91999999999996"/>
    <s v="Low"/>
    <s v="Repeat"/>
    <s v="Below Avg"/>
    <s v="Loss"/>
    <n v="456"/>
  </r>
  <r>
    <n v="381"/>
    <x v="380"/>
    <n v="1002"/>
    <s v="Customer_89"/>
    <s v="Consumer"/>
    <s v="South"/>
    <s v="Clothing"/>
    <x v="1"/>
    <n v="1036"/>
    <n v="6"/>
    <n v="0.08"/>
    <n v="162"/>
    <s v="COD"/>
    <n v="5718.72"/>
    <s v="Jan"/>
    <n v="2025"/>
    <s v="Q1"/>
    <n v="2.8328017458452238E-2"/>
    <n v="497.28000000000003"/>
    <s v="High"/>
    <s v="Repeat"/>
    <s v="Below Avg"/>
    <s v="Profit"/>
    <n v="303"/>
  </r>
  <r>
    <n v="382"/>
    <x v="381"/>
    <n v="1091"/>
    <s v="Customer_21"/>
    <s v="Consumer"/>
    <s v="East"/>
    <s v="Furniture"/>
    <x v="3"/>
    <n v="396"/>
    <n v="2"/>
    <n v="0.28999999999999998"/>
    <n v="1960"/>
    <s v="Card"/>
    <n v="562.31999999999903"/>
    <s v="Jan"/>
    <n v="2025"/>
    <s v="Q1"/>
    <n v="3.4855598235879985"/>
    <n v="229.67999999999998"/>
    <s v="Low"/>
    <s v="Repeat"/>
    <s v="Below Avg"/>
    <s v="Profit"/>
    <n v="488"/>
  </r>
  <r>
    <n v="383"/>
    <x v="382"/>
    <n v="1090"/>
    <s v="Customer_82"/>
    <s v="Consumer"/>
    <s v="West"/>
    <s v="Furniture"/>
    <x v="2"/>
    <n v="4994"/>
    <n v="9"/>
    <n v="0.28000000000000003"/>
    <n v="992"/>
    <s v="COD"/>
    <n v="32361.119999999999"/>
    <s v="Jan"/>
    <n v="2025"/>
    <s v="Q1"/>
    <n v="3.0654068833217144E-2"/>
    <n v="12584.880000000001"/>
    <s v="High"/>
    <s v="Repeat"/>
    <s v="Above Avg"/>
    <s v="Profit"/>
    <n v="20"/>
  </r>
  <r>
    <n v="384"/>
    <x v="383"/>
    <n v="1032"/>
    <s v="Customer_20"/>
    <s v="Corporate"/>
    <s v="North"/>
    <s v="Electronics"/>
    <x v="0"/>
    <n v="1860"/>
    <n v="3"/>
    <n v="0.14000000000000001"/>
    <n v="1994"/>
    <s v="Card"/>
    <n v="4798.8"/>
    <s v="Jan"/>
    <n v="2025"/>
    <s v="Q1"/>
    <n v="0.41552054680336747"/>
    <n v="781.2"/>
    <s v="Medium"/>
    <s v="Repeat"/>
    <s v="Below Avg"/>
    <s v="Profit"/>
    <n v="330"/>
  </r>
  <r>
    <n v="385"/>
    <x v="384"/>
    <n v="1082"/>
    <s v="Customer_113"/>
    <s v="Corporate"/>
    <s v="West"/>
    <s v="Clothing"/>
    <x v="3"/>
    <n v="1299"/>
    <n v="6"/>
    <n v="0"/>
    <n v="92"/>
    <s v="UPI"/>
    <n v="7794"/>
    <s v="Jan"/>
    <n v="2025"/>
    <s v="Q1"/>
    <n v="1.1803951757762381E-2"/>
    <n v="0"/>
    <s v="High"/>
    <s v="Repeat"/>
    <s v="Below Avg"/>
    <s v="Profit"/>
    <n v="256"/>
  </r>
  <r>
    <n v="386"/>
    <x v="385"/>
    <n v="1055"/>
    <s v="Customer_167"/>
    <s v="Consumer"/>
    <s v="North"/>
    <s v="Furniture"/>
    <x v="3"/>
    <n v="4386"/>
    <n v="3"/>
    <n v="0.28999999999999998"/>
    <n v="838"/>
    <s v="COD"/>
    <n v="9342.18"/>
    <s v="Jan"/>
    <n v="2025"/>
    <s v="Q1"/>
    <n v="8.9700690845177455E-2"/>
    <n v="3815.8199999999997"/>
    <s v="High"/>
    <s v="Repeat"/>
    <s v="Below Avg"/>
    <s v="Profit"/>
    <n v="224"/>
  </r>
  <r>
    <n v="387"/>
    <x v="386"/>
    <n v="1032"/>
    <s v="Customer_35"/>
    <s v="Consumer"/>
    <s v="North"/>
    <s v="Electronics"/>
    <x v="0"/>
    <n v="3993"/>
    <n v="5"/>
    <n v="0.21"/>
    <n v="1730"/>
    <s v="COD"/>
    <n v="15772.35"/>
    <s v="Jan"/>
    <n v="2025"/>
    <s v="Q1"/>
    <n v="0.10968562072234005"/>
    <n v="4192.6499999999996"/>
    <s v="High"/>
    <s v="Repeat"/>
    <s v="Above Avg"/>
    <s v="Profit"/>
    <n v="132"/>
  </r>
  <r>
    <n v="388"/>
    <x v="387"/>
    <n v="1030"/>
    <s v="Customer_29"/>
    <s v="Consumer"/>
    <s v="East"/>
    <s v="Electronics"/>
    <x v="2"/>
    <n v="1045"/>
    <n v="3"/>
    <n v="0.15"/>
    <n v="1869"/>
    <s v="Card"/>
    <n v="2664.75"/>
    <s v="Jan"/>
    <n v="2025"/>
    <s v="Q1"/>
    <n v="0.70137911623979732"/>
    <n v="470.25"/>
    <s v="Medium"/>
    <s v="Repeat"/>
    <s v="Below Avg"/>
    <s v="Profit"/>
    <n v="405"/>
  </r>
  <r>
    <n v="389"/>
    <x v="388"/>
    <n v="1003"/>
    <s v="Customer_110"/>
    <s v="Corporate"/>
    <s v="West"/>
    <s v="Furniture"/>
    <x v="3"/>
    <n v="1736"/>
    <n v="8"/>
    <n v="0.18"/>
    <n v="492"/>
    <s v="COD"/>
    <n v="11388.16"/>
    <s v="Jan"/>
    <n v="2025"/>
    <s v="Q1"/>
    <n v="4.3202764976958526E-2"/>
    <n v="2499.8399999999997"/>
    <s v="High"/>
    <s v="Repeat"/>
    <s v="Above Avg"/>
    <s v="Profit"/>
    <n v="183"/>
  </r>
  <r>
    <n v="390"/>
    <x v="389"/>
    <n v="1095"/>
    <s v="Customer_56"/>
    <s v="Consumer"/>
    <s v="North"/>
    <s v="Clothing"/>
    <x v="0"/>
    <n v="2341"/>
    <n v="4"/>
    <n v="0.03"/>
    <n v="1730"/>
    <s v="Card"/>
    <n v="9083.08"/>
    <s v="Jan"/>
    <n v="2025"/>
    <s v="Q1"/>
    <n v="0.19046402762058684"/>
    <n v="280.92"/>
    <s v="High"/>
    <s v="Repeat"/>
    <s v="Below Avg"/>
    <s v="Profit"/>
    <n v="229"/>
  </r>
  <r>
    <n v="391"/>
    <x v="390"/>
    <n v="1091"/>
    <s v="Customer_116"/>
    <s v="Consumer"/>
    <s v="West"/>
    <s v="Clothing"/>
    <x v="3"/>
    <n v="3013"/>
    <n v="3"/>
    <n v="0.05"/>
    <n v="1502"/>
    <s v="COD"/>
    <n v="8587.0499999999993"/>
    <s v="Jan"/>
    <n v="2025"/>
    <s v="Q1"/>
    <n v="0.17491455156310959"/>
    <n v="451.95000000000005"/>
    <s v="High"/>
    <s v="Repeat"/>
    <s v="Below Avg"/>
    <s v="Profit"/>
    <n v="237"/>
  </r>
  <r>
    <n v="392"/>
    <x v="391"/>
    <n v="1079"/>
    <s v="Customer_183"/>
    <s v="Corporate"/>
    <s v="North"/>
    <s v="Clothing"/>
    <x v="1"/>
    <n v="3266"/>
    <n v="8"/>
    <n v="0.19"/>
    <n v="658"/>
    <s v="UPI"/>
    <n v="21163.68"/>
    <s v="Jan"/>
    <n v="2025"/>
    <s v="Q1"/>
    <n v="3.1091001186939134E-2"/>
    <n v="4964.32"/>
    <s v="High"/>
    <s v="Repeat"/>
    <s v="Above Avg"/>
    <s v="Profit"/>
    <n v="73"/>
  </r>
  <r>
    <n v="393"/>
    <x v="392"/>
    <n v="1091"/>
    <s v="Customer_181"/>
    <s v="Consumer"/>
    <s v="South"/>
    <s v="Clothing"/>
    <x v="3"/>
    <n v="4888"/>
    <n v="7"/>
    <n v="0.01"/>
    <n v="249"/>
    <s v="COD"/>
    <n v="33873.839999999997"/>
    <s v="Jan"/>
    <n v="2025"/>
    <s v="Q1"/>
    <n v="7.3508052231456497E-3"/>
    <n v="342.16"/>
    <s v="High"/>
    <s v="Repeat"/>
    <s v="Above Avg"/>
    <s v="Profit"/>
    <n v="15"/>
  </r>
  <r>
    <n v="394"/>
    <x v="393"/>
    <n v="1078"/>
    <s v="Customer_176"/>
    <s v="Corporate"/>
    <s v="South"/>
    <s v="Electronics"/>
    <x v="2"/>
    <n v="4543"/>
    <n v="1"/>
    <n v="0.21"/>
    <n v="62"/>
    <s v="UPI"/>
    <n v="3588.97"/>
    <s v="Jan"/>
    <n v="2025"/>
    <s v="Q1"/>
    <n v="1.7275151366548065E-2"/>
    <n v="954.03"/>
    <s v="Medium"/>
    <s v="Repeat"/>
    <s v="Below Avg"/>
    <s v="Profit"/>
    <n v="370"/>
  </r>
  <r>
    <n v="395"/>
    <x v="394"/>
    <n v="1021"/>
    <s v="Customer_67"/>
    <s v="Corporate"/>
    <s v="West"/>
    <s v="Clothing"/>
    <x v="2"/>
    <n v="2496"/>
    <n v="3"/>
    <n v="0.28000000000000003"/>
    <n v="455"/>
    <s v="Card"/>
    <n v="5391.36"/>
    <s v="Jan"/>
    <n v="2025"/>
    <s v="Q1"/>
    <n v="8.4394290123456797E-2"/>
    <n v="2096.6400000000003"/>
    <s v="High"/>
    <s v="Repeat"/>
    <s v="Below Avg"/>
    <s v="Profit"/>
    <n v="313"/>
  </r>
  <r>
    <n v="396"/>
    <x v="395"/>
    <n v="1030"/>
    <s v="Customer_183"/>
    <s v="Consumer"/>
    <s v="West"/>
    <s v="Clothing"/>
    <x v="3"/>
    <n v="1506"/>
    <n v="3"/>
    <n v="0.21"/>
    <n v="-309"/>
    <s v="UPI"/>
    <n v="3569.22"/>
    <s v="Jan"/>
    <n v="2025"/>
    <s v="Q1"/>
    <n v="-8.6573537075327389E-2"/>
    <n v="948.78"/>
    <s v="Medium"/>
    <s v="Repeat"/>
    <s v="Below Avg"/>
    <s v="Loss"/>
    <n v="373"/>
  </r>
  <r>
    <n v="397"/>
    <x v="396"/>
    <n v="1059"/>
    <s v="Customer_32"/>
    <s v="Corporate"/>
    <s v="North"/>
    <s v="Furniture"/>
    <x v="0"/>
    <n v="593"/>
    <n v="4"/>
    <n v="0.17"/>
    <n v="1059"/>
    <s v="Card"/>
    <n v="1968.76"/>
    <s v="Jan"/>
    <n v="2025"/>
    <s v="Q1"/>
    <n v="0.53790202970397616"/>
    <n v="403.24"/>
    <s v="Low"/>
    <s v="Repeat"/>
    <s v="Below Avg"/>
    <s v="Profit"/>
    <n v="432"/>
  </r>
  <r>
    <n v="398"/>
    <x v="397"/>
    <n v="1084"/>
    <s v="Customer_58"/>
    <s v="Corporate"/>
    <s v="North"/>
    <s v="Furniture"/>
    <x v="0"/>
    <n v="2132"/>
    <n v="1"/>
    <n v="0.24"/>
    <n v="1264"/>
    <s v="COD"/>
    <n v="1620.32"/>
    <s v="Feb"/>
    <n v="2025"/>
    <s v="Q1"/>
    <n v="0.78009282117112677"/>
    <n v="511.68"/>
    <s v="Low"/>
    <s v="Repeat"/>
    <s v="Below Avg"/>
    <s v="Profit"/>
    <n v="451"/>
  </r>
  <r>
    <n v="399"/>
    <x v="398"/>
    <n v="1031"/>
    <s v="Customer_78"/>
    <s v="Consumer"/>
    <s v="North"/>
    <s v="Furniture"/>
    <x v="0"/>
    <n v="160"/>
    <n v="9"/>
    <n v="0.22"/>
    <n v="121"/>
    <s v="UPI"/>
    <n v="1123.2"/>
    <s v="Feb"/>
    <n v="2025"/>
    <s v="Q1"/>
    <n v="0.10772792022792023"/>
    <n v="316.8"/>
    <s v="Low"/>
    <s v="New"/>
    <s v="Below Avg"/>
    <s v="Profit"/>
    <n v="473"/>
  </r>
  <r>
    <n v="400"/>
    <x v="399"/>
    <n v="1070"/>
    <s v="Customer_69"/>
    <s v="Consumer"/>
    <s v="East"/>
    <s v="Furniture"/>
    <x v="2"/>
    <n v="1845"/>
    <n v="2"/>
    <n v="0.18"/>
    <n v="-188"/>
    <s v="COD"/>
    <n v="3025.8"/>
    <s v="Feb"/>
    <n v="2025"/>
    <s v="Q1"/>
    <n v="-6.2132328640359571E-2"/>
    <n v="664.19999999999993"/>
    <s v="Medium"/>
    <s v="Repeat"/>
    <s v="Below Avg"/>
    <s v="Loss"/>
    <n v="391"/>
  </r>
  <r>
    <n v="401"/>
    <x v="400"/>
    <n v="1096"/>
    <s v="Customer_28"/>
    <s v="Consumer"/>
    <s v="East"/>
    <s v="Electronics"/>
    <x v="3"/>
    <n v="3601"/>
    <n v="7"/>
    <n v="0.06"/>
    <n v="774"/>
    <s v="Card"/>
    <n v="23694.5799999999"/>
    <s v="Feb"/>
    <n v="2025"/>
    <s v="Q1"/>
    <n v="3.2665698231410023E-2"/>
    <n v="1512.4199999999998"/>
    <s v="High"/>
    <s v="Repeat"/>
    <s v="Above Avg"/>
    <s v="Profit"/>
    <n v="54"/>
  </r>
  <r>
    <n v="402"/>
    <x v="401"/>
    <n v="1007"/>
    <s v="Customer_72"/>
    <s v="Consumer"/>
    <s v="West"/>
    <s v="Clothing"/>
    <x v="1"/>
    <n v="1056"/>
    <n v="2"/>
    <n v="0"/>
    <n v="1283"/>
    <s v="UPI"/>
    <n v="2112"/>
    <s v="Feb"/>
    <n v="2025"/>
    <s v="Q1"/>
    <n v="0.60748106060606055"/>
    <n v="0"/>
    <s v="Medium"/>
    <s v="Repeat"/>
    <s v="Below Avg"/>
    <s v="Profit"/>
    <n v="422"/>
  </r>
  <r>
    <n v="403"/>
    <x v="402"/>
    <n v="1077"/>
    <s v="Customer_109"/>
    <s v="Consumer"/>
    <s v="West"/>
    <s v="Clothing"/>
    <x v="1"/>
    <n v="4889"/>
    <n v="8"/>
    <n v="0.14000000000000001"/>
    <n v="517"/>
    <s v="UPI"/>
    <n v="33636.32"/>
    <s v="Feb"/>
    <n v="2025"/>
    <s v="Q1"/>
    <n v="1.5370290210106219E-2"/>
    <n v="5475.68"/>
    <s v="High"/>
    <s v="Repeat"/>
    <s v="Above Avg"/>
    <s v="Profit"/>
    <n v="16"/>
  </r>
  <r>
    <n v="404"/>
    <x v="403"/>
    <n v="1061"/>
    <s v="Customer_60"/>
    <s v="Consumer"/>
    <s v="South"/>
    <s v="Electronics"/>
    <x v="1"/>
    <n v="4231"/>
    <n v="3"/>
    <n v="7.0000000000000007E-2"/>
    <n v="-225"/>
    <s v="UPI"/>
    <n v="11804.49"/>
    <s v="Feb"/>
    <n v="2025"/>
    <s v="Q1"/>
    <n v="-1.9060543911681063E-2"/>
    <n v="888.5100000000001"/>
    <s v="High"/>
    <s v="Repeat"/>
    <s v="Above Avg"/>
    <s v="Loss"/>
    <n v="172"/>
  </r>
  <r>
    <n v="405"/>
    <x v="404"/>
    <n v="1088"/>
    <s v="Customer_13"/>
    <s v="Corporate"/>
    <s v="South"/>
    <s v="Electronics"/>
    <x v="2"/>
    <n v="2954"/>
    <n v="6"/>
    <n v="7.0000000000000007E-2"/>
    <n v="-111"/>
    <s v="COD"/>
    <n v="16483.32"/>
    <s v="Feb"/>
    <n v="2025"/>
    <s v="Q1"/>
    <n v="-6.7340802702368216E-3"/>
    <n v="1240.68"/>
    <s v="High"/>
    <s v="Repeat"/>
    <s v="Above Avg"/>
    <s v="Loss"/>
    <n v="115"/>
  </r>
  <r>
    <n v="406"/>
    <x v="405"/>
    <n v="1095"/>
    <s v="Customer_18"/>
    <s v="Corporate"/>
    <s v="West"/>
    <s v="Electronics"/>
    <x v="1"/>
    <n v="3263"/>
    <n v="8"/>
    <n v="0.15"/>
    <n v="562"/>
    <s v="COD"/>
    <n v="22188.3999999999"/>
    <s v="Feb"/>
    <n v="2025"/>
    <s v="Q1"/>
    <n v="2.5328550053181055E-2"/>
    <n v="3915.6"/>
    <s v="High"/>
    <s v="Repeat"/>
    <s v="Above Avg"/>
    <s v="Profit"/>
    <n v="65"/>
  </r>
  <r>
    <n v="407"/>
    <x v="406"/>
    <n v="1027"/>
    <s v="Customer_179"/>
    <s v="Corporate"/>
    <s v="North"/>
    <s v="Electronics"/>
    <x v="1"/>
    <n v="1024"/>
    <n v="5"/>
    <n v="0.11"/>
    <n v="538"/>
    <s v="COD"/>
    <n v="4556.8"/>
    <s v="Feb"/>
    <n v="2025"/>
    <s v="Q1"/>
    <n v="0.11806530898876404"/>
    <n v="563.20000000000005"/>
    <s v="Medium"/>
    <s v="Repeat"/>
    <s v="Below Avg"/>
    <s v="Profit"/>
    <n v="337"/>
  </r>
  <r>
    <n v="408"/>
    <x v="407"/>
    <n v="1065"/>
    <s v="Customer_50"/>
    <s v="Consumer"/>
    <s v="East"/>
    <s v="Clothing"/>
    <x v="0"/>
    <n v="2288"/>
    <n v="7"/>
    <n v="0.15"/>
    <n v="634"/>
    <s v="Card"/>
    <n v="13613.6"/>
    <s v="Feb"/>
    <n v="2025"/>
    <s v="Q1"/>
    <n v="4.6571075982840687E-2"/>
    <n v="2402.4"/>
    <s v="High"/>
    <s v="Repeat"/>
    <s v="Above Avg"/>
    <s v="Profit"/>
    <n v="152"/>
  </r>
  <r>
    <n v="409"/>
    <x v="408"/>
    <n v="1016"/>
    <s v="Customer_43"/>
    <s v="Consumer"/>
    <s v="West"/>
    <s v="Electronics"/>
    <x v="0"/>
    <n v="4617"/>
    <n v="9"/>
    <n v="0.08"/>
    <n v="1491"/>
    <s v="Card"/>
    <n v="38228.76"/>
    <s v="Feb"/>
    <n v="2025"/>
    <s v="Q1"/>
    <n v="3.9002049765673799E-2"/>
    <n v="3324.2400000000002"/>
    <s v="High"/>
    <s v="Repeat"/>
    <s v="Above Avg"/>
    <s v="Profit"/>
    <n v="5"/>
  </r>
  <r>
    <n v="410"/>
    <x v="409"/>
    <n v="1090"/>
    <s v="Customer_85"/>
    <s v="Consumer"/>
    <s v="West"/>
    <s v="Clothing"/>
    <x v="1"/>
    <n v="1303"/>
    <n v="5"/>
    <n v="0.18"/>
    <n v="826"/>
    <s v="Card"/>
    <n v="5342.3"/>
    <s v="Feb"/>
    <n v="2025"/>
    <s v="Q1"/>
    <n v="0.15461505344140164"/>
    <n v="1172.7"/>
    <s v="High"/>
    <s v="Repeat"/>
    <s v="Below Avg"/>
    <s v="Profit"/>
    <n v="315"/>
  </r>
  <r>
    <n v="411"/>
    <x v="410"/>
    <n v="1001"/>
    <s v="Customer_46"/>
    <s v="Consumer"/>
    <s v="South"/>
    <s v="Furniture"/>
    <x v="0"/>
    <n v="2942"/>
    <n v="7"/>
    <n v="0.19"/>
    <n v="90"/>
    <s v="UPI"/>
    <n v="16681.14"/>
    <s v="Feb"/>
    <n v="2025"/>
    <s v="Q1"/>
    <n v="5.3953147087069595E-3"/>
    <n v="3912.86"/>
    <s v="High"/>
    <s v="Repeat"/>
    <s v="Above Avg"/>
    <s v="Profit"/>
    <n v="109"/>
  </r>
  <r>
    <n v="412"/>
    <x v="411"/>
    <n v="1007"/>
    <s v="Customer_24"/>
    <s v="Consumer"/>
    <s v="West"/>
    <s v="Furniture"/>
    <x v="3"/>
    <n v="3138"/>
    <n v="8"/>
    <n v="0.06"/>
    <n v="281"/>
    <s v="COD"/>
    <n v="23597.759999999998"/>
    <s v="Feb"/>
    <n v="2025"/>
    <s v="Q1"/>
    <n v="1.1907909903312858E-2"/>
    <n v="1506.24"/>
    <s v="High"/>
    <s v="Repeat"/>
    <s v="Above Avg"/>
    <s v="Profit"/>
    <n v="55"/>
  </r>
  <r>
    <n v="413"/>
    <x v="412"/>
    <n v="1037"/>
    <s v="Customer_5"/>
    <s v="Corporate"/>
    <s v="South"/>
    <s v="Electronics"/>
    <x v="3"/>
    <n v="2851"/>
    <n v="4"/>
    <n v="0.17"/>
    <n v="385"/>
    <s v="Card"/>
    <n v="9465.32"/>
    <s v="Feb"/>
    <n v="2025"/>
    <s v="Q1"/>
    <n v="4.0674800218059193E-2"/>
    <n v="1938.68"/>
    <s v="High"/>
    <s v="Repeat"/>
    <s v="Below Avg"/>
    <s v="Profit"/>
    <n v="219"/>
  </r>
  <r>
    <n v="414"/>
    <x v="413"/>
    <n v="1019"/>
    <s v="Customer_158"/>
    <s v="Consumer"/>
    <s v="East"/>
    <s v="Clothing"/>
    <x v="0"/>
    <n v="1181"/>
    <n v="8"/>
    <n v="0.13"/>
    <n v="-134"/>
    <s v="COD"/>
    <n v="8219.76"/>
    <s v="Feb"/>
    <n v="2025"/>
    <s v="Q1"/>
    <n v="-1.6302179139050289E-2"/>
    <n v="1228.24"/>
    <s v="High"/>
    <s v="Repeat"/>
    <s v="Below Avg"/>
    <s v="Loss"/>
    <n v="243"/>
  </r>
  <r>
    <n v="415"/>
    <x v="414"/>
    <n v="1063"/>
    <s v="Customer_43"/>
    <s v="Corporate"/>
    <s v="West"/>
    <s v="Furniture"/>
    <x v="0"/>
    <n v="4382"/>
    <n v="8"/>
    <n v="0.28999999999999998"/>
    <n v="420"/>
    <s v="UPI"/>
    <n v="24889.759999999998"/>
    <s v="Feb"/>
    <n v="2025"/>
    <s v="Q1"/>
    <n v="1.6874409395671152E-2"/>
    <n v="10166.24"/>
    <s v="High"/>
    <s v="Repeat"/>
    <s v="Above Avg"/>
    <s v="Profit"/>
    <n v="43"/>
  </r>
  <r>
    <n v="416"/>
    <x v="415"/>
    <n v="1020"/>
    <s v="Customer_53"/>
    <s v="Consumer"/>
    <s v="East"/>
    <s v="Furniture"/>
    <x v="3"/>
    <n v="346"/>
    <n v="1"/>
    <n v="0.22"/>
    <n v="1283"/>
    <s v="COD"/>
    <n v="269.88"/>
    <s v="Feb"/>
    <n v="2025"/>
    <s v="Q1"/>
    <n v="4.7539647250629908"/>
    <n v="76.12"/>
    <s v="Low"/>
    <s v="Repeat"/>
    <s v="Below Avg"/>
    <s v="Profit"/>
    <n v="497"/>
  </r>
  <r>
    <n v="417"/>
    <x v="416"/>
    <n v="1089"/>
    <s v="Customer_152"/>
    <s v="Consumer"/>
    <s v="South"/>
    <s v="Electronics"/>
    <x v="2"/>
    <n v="895"/>
    <n v="7"/>
    <n v="0.05"/>
    <n v="305"/>
    <s v="Card"/>
    <n v="5951.75"/>
    <s v="Feb"/>
    <n v="2025"/>
    <s v="Q1"/>
    <n v="5.1245432015793672E-2"/>
    <n v="313.25"/>
    <s v="High"/>
    <s v="Repeat"/>
    <s v="Below Avg"/>
    <s v="Profit"/>
    <n v="299"/>
  </r>
  <r>
    <n v="418"/>
    <x v="417"/>
    <n v="1030"/>
    <s v="Customer_103"/>
    <s v="Consumer"/>
    <s v="North"/>
    <s v="Clothing"/>
    <x v="1"/>
    <n v="3786"/>
    <n v="6"/>
    <n v="0.26"/>
    <n v="1046"/>
    <s v="UPI"/>
    <n v="16809.84"/>
    <s v="Feb"/>
    <n v="2025"/>
    <s v="Q1"/>
    <n v="6.2225458421971892E-2"/>
    <n v="5906.16"/>
    <s v="High"/>
    <s v="Repeat"/>
    <s v="Above Avg"/>
    <s v="Profit"/>
    <n v="106"/>
  </r>
  <r>
    <n v="419"/>
    <x v="418"/>
    <n v="1083"/>
    <s v="Customer_142"/>
    <s v="Corporate"/>
    <s v="North"/>
    <s v="Electronics"/>
    <x v="0"/>
    <n v="1037"/>
    <n v="9"/>
    <n v="0.14000000000000001"/>
    <n v="1107"/>
    <s v="Card"/>
    <n v="8026.38"/>
    <s v="Feb"/>
    <n v="2025"/>
    <s v="Q1"/>
    <n v="0.13792020811374492"/>
    <n v="1306.6200000000001"/>
    <s v="High"/>
    <s v="Repeat"/>
    <s v="Below Avg"/>
    <s v="Profit"/>
    <n v="253"/>
  </r>
  <r>
    <n v="420"/>
    <x v="419"/>
    <n v="1069"/>
    <s v="Customer_164"/>
    <s v="Corporate"/>
    <s v="East"/>
    <s v="Clothing"/>
    <x v="2"/>
    <n v="2011"/>
    <n v="8"/>
    <n v="0.25"/>
    <n v="1506"/>
    <s v="Card"/>
    <n v="12066"/>
    <s v="Feb"/>
    <n v="2025"/>
    <s v="Q1"/>
    <n v="0.12481352560914968"/>
    <n v="4022"/>
    <s v="High"/>
    <s v="Repeat"/>
    <s v="Above Avg"/>
    <s v="Profit"/>
    <n v="166"/>
  </r>
  <r>
    <n v="421"/>
    <x v="420"/>
    <n v="1014"/>
    <s v="Customer_154"/>
    <s v="Consumer"/>
    <s v="North"/>
    <s v="Clothing"/>
    <x v="1"/>
    <n v="1278"/>
    <n v="4"/>
    <n v="0.25"/>
    <n v="-41"/>
    <s v="Card"/>
    <n v="3834"/>
    <s v="Feb"/>
    <n v="2025"/>
    <s v="Q1"/>
    <n v="-1.069379238393323E-2"/>
    <n v="1278"/>
    <s v="Medium"/>
    <s v="Repeat"/>
    <s v="Below Avg"/>
    <s v="Loss"/>
    <n v="362"/>
  </r>
  <r>
    <n v="422"/>
    <x v="421"/>
    <n v="1056"/>
    <s v="Customer_13"/>
    <s v="Corporate"/>
    <s v="East"/>
    <s v="Clothing"/>
    <x v="0"/>
    <n v="837"/>
    <n v="2"/>
    <n v="0.01"/>
    <n v="1937"/>
    <s v="COD"/>
    <n v="1657.26"/>
    <s v="Feb"/>
    <n v="2025"/>
    <s v="Q1"/>
    <n v="1.1687966885099501"/>
    <n v="16.740000000000002"/>
    <s v="Low"/>
    <s v="Repeat"/>
    <s v="Below Avg"/>
    <s v="Profit"/>
    <n v="449"/>
  </r>
  <r>
    <n v="423"/>
    <x v="422"/>
    <n v="1000"/>
    <s v="Customer_21"/>
    <s v="Consumer"/>
    <s v="North"/>
    <s v="Clothing"/>
    <x v="0"/>
    <n v="734"/>
    <n v="3"/>
    <n v="7.0000000000000007E-2"/>
    <n v="1682"/>
    <s v="UPI"/>
    <n v="2047.86"/>
    <s v="Feb"/>
    <n v="2025"/>
    <s v="Q1"/>
    <n v="0.82134520914515641"/>
    <n v="154.14000000000001"/>
    <s v="Medium"/>
    <s v="Repeat"/>
    <s v="Below Avg"/>
    <s v="Profit"/>
    <n v="427"/>
  </r>
  <r>
    <n v="424"/>
    <x v="423"/>
    <n v="1089"/>
    <s v="Customer_90"/>
    <s v="Corporate"/>
    <s v="West"/>
    <s v="Electronics"/>
    <x v="2"/>
    <n v="316"/>
    <n v="7"/>
    <n v="0.27"/>
    <n v="1139"/>
    <s v="Card"/>
    <n v="1614.76"/>
    <s v="Feb"/>
    <n v="2025"/>
    <s v="Q1"/>
    <n v="0.70536798038098536"/>
    <n v="597.24"/>
    <s v="Low"/>
    <s v="Repeat"/>
    <s v="Below Avg"/>
    <s v="Profit"/>
    <n v="453"/>
  </r>
  <r>
    <n v="425"/>
    <x v="424"/>
    <n v="1028"/>
    <s v="Customer_98"/>
    <s v="Consumer"/>
    <s v="South"/>
    <s v="Furniture"/>
    <x v="1"/>
    <n v="519"/>
    <n v="9"/>
    <n v="0.23"/>
    <n v="411"/>
    <s v="Card"/>
    <n v="3596.67"/>
    <s v="Feb"/>
    <n v="2025"/>
    <s v="Q1"/>
    <n v="0.11427236860762872"/>
    <n v="1074.3300000000002"/>
    <s v="Medium"/>
    <s v="Repeat"/>
    <s v="Below Avg"/>
    <s v="Profit"/>
    <n v="369"/>
  </r>
  <r>
    <n v="426"/>
    <x v="425"/>
    <n v="1065"/>
    <s v="Customer_40"/>
    <s v="Consumer"/>
    <s v="North"/>
    <s v="Clothing"/>
    <x v="0"/>
    <n v="2662"/>
    <n v="3"/>
    <n v="0.04"/>
    <n v="1264"/>
    <s v="UPI"/>
    <n v="7666.5599999999904"/>
    <s v="Mar"/>
    <n v="2025"/>
    <s v="Q1"/>
    <n v="0.16487185908673532"/>
    <n v="319.44"/>
    <s v="High"/>
    <s v="Repeat"/>
    <s v="Below Avg"/>
    <s v="Profit"/>
    <n v="260"/>
  </r>
  <r>
    <n v="427"/>
    <x v="426"/>
    <n v="1021"/>
    <s v="Customer_43"/>
    <s v="Consumer"/>
    <s v="East"/>
    <s v="Clothing"/>
    <x v="1"/>
    <n v="408"/>
    <n v="7"/>
    <n v="0.06"/>
    <n v="1876"/>
    <s v="Card"/>
    <n v="2684.64"/>
    <s v="Mar"/>
    <n v="2025"/>
    <s v="Q1"/>
    <n v="0.69879015435961622"/>
    <n v="171.35999999999999"/>
    <s v="Medium"/>
    <s v="Repeat"/>
    <s v="Below Avg"/>
    <s v="Profit"/>
    <n v="402"/>
  </r>
  <r>
    <n v="428"/>
    <x v="427"/>
    <n v="1060"/>
    <s v="Customer_59"/>
    <s v="Consumer"/>
    <s v="South"/>
    <s v="Clothing"/>
    <x v="1"/>
    <n v="4903"/>
    <n v="1"/>
    <n v="0.19"/>
    <n v="1541"/>
    <s v="UPI"/>
    <n v="3971.43"/>
    <s v="Mar"/>
    <n v="2025"/>
    <s v="Q1"/>
    <n v="0.38802144315775428"/>
    <n v="931.57"/>
    <s v="Medium"/>
    <s v="Repeat"/>
    <s v="Below Avg"/>
    <s v="Profit"/>
    <n v="355"/>
  </r>
  <r>
    <n v="429"/>
    <x v="428"/>
    <n v="1028"/>
    <s v="Customer_49"/>
    <s v="Corporate"/>
    <s v="West"/>
    <s v="Electronics"/>
    <x v="1"/>
    <n v="1966"/>
    <n v="3"/>
    <n v="0.08"/>
    <n v="919"/>
    <s v="Card"/>
    <n v="5426.16"/>
    <s v="Mar"/>
    <n v="2025"/>
    <s v="Q1"/>
    <n v="0.16936470726996625"/>
    <n v="471.84000000000003"/>
    <s v="High"/>
    <s v="Repeat"/>
    <s v="Below Avg"/>
    <s v="Profit"/>
    <n v="311"/>
  </r>
  <r>
    <n v="430"/>
    <x v="429"/>
    <n v="1008"/>
    <s v="Customer_175"/>
    <s v="Corporate"/>
    <s v="West"/>
    <s v="Clothing"/>
    <x v="2"/>
    <n v="1083"/>
    <n v="2"/>
    <n v="0.06"/>
    <n v="25"/>
    <s v="Card"/>
    <n v="2036.04"/>
    <s v="Mar"/>
    <n v="2025"/>
    <s v="Q1"/>
    <n v="1.2278737156440934E-2"/>
    <n v="129.96"/>
    <s v="Medium"/>
    <s v="Repeat"/>
    <s v="Below Avg"/>
    <s v="Profit"/>
    <n v="429"/>
  </r>
  <r>
    <n v="431"/>
    <x v="430"/>
    <n v="1040"/>
    <s v="Customer_147"/>
    <s v="Corporate"/>
    <s v="East"/>
    <s v="Furniture"/>
    <x v="1"/>
    <n v="3878"/>
    <n v="6"/>
    <n v="0.3"/>
    <n v="227"/>
    <s v="Card"/>
    <n v="16287.5999999999"/>
    <s v="Mar"/>
    <n v="2025"/>
    <s v="Q1"/>
    <n v="1.3936982735332485E-2"/>
    <n v="6980.4"/>
    <s v="High"/>
    <s v="Repeat"/>
    <s v="Above Avg"/>
    <s v="Profit"/>
    <n v="120"/>
  </r>
  <r>
    <n v="432"/>
    <x v="431"/>
    <n v="1020"/>
    <s v="Customer_140"/>
    <s v="Consumer"/>
    <s v="North"/>
    <s v="Clothing"/>
    <x v="3"/>
    <n v="2387"/>
    <n v="9"/>
    <n v="0.14000000000000001"/>
    <n v="-68"/>
    <s v="COD"/>
    <n v="18475.38"/>
    <s v="Mar"/>
    <n v="2025"/>
    <s v="Q1"/>
    <n v="-3.6805738231094568E-3"/>
    <n v="3007.6200000000003"/>
    <s v="High"/>
    <s v="Repeat"/>
    <s v="Above Avg"/>
    <s v="Loss"/>
    <n v="88"/>
  </r>
  <r>
    <n v="433"/>
    <x v="432"/>
    <n v="1054"/>
    <s v="Customer_36"/>
    <s v="Consumer"/>
    <s v="North"/>
    <s v="Furniture"/>
    <x v="0"/>
    <n v="3414"/>
    <n v="3"/>
    <n v="0.16"/>
    <n v="1361"/>
    <s v="UPI"/>
    <n v="8603.2799999999897"/>
    <s v="Mar"/>
    <n v="2025"/>
    <s v="Q1"/>
    <n v="0.15819547893361621"/>
    <n v="1638.72"/>
    <s v="High"/>
    <s v="Repeat"/>
    <s v="Below Avg"/>
    <s v="Profit"/>
    <n v="236"/>
  </r>
  <r>
    <n v="434"/>
    <x v="433"/>
    <n v="1095"/>
    <s v="Customer_122"/>
    <s v="Consumer"/>
    <s v="South"/>
    <s v="Furniture"/>
    <x v="1"/>
    <n v="661"/>
    <n v="8"/>
    <n v="0.2"/>
    <n v="31"/>
    <s v="COD"/>
    <n v="4230.3999999999996"/>
    <s v="Mar"/>
    <n v="2025"/>
    <s v="Q1"/>
    <n v="7.3279122541603636E-3"/>
    <n v="1057.6000000000001"/>
    <s v="Medium"/>
    <s v="Repeat"/>
    <s v="Below Avg"/>
    <s v="Profit"/>
    <n v="345"/>
  </r>
  <r>
    <n v="435"/>
    <x v="434"/>
    <n v="1095"/>
    <s v="Customer_94"/>
    <s v="Consumer"/>
    <s v="East"/>
    <s v="Electronics"/>
    <x v="0"/>
    <n v="3695"/>
    <n v="9"/>
    <n v="0.02"/>
    <n v="1064"/>
    <s v="COD"/>
    <n v="32589.8999999999"/>
    <s v="Mar"/>
    <n v="2025"/>
    <s v="Q1"/>
    <n v="3.2648151727989447E-2"/>
    <n v="665.1"/>
    <s v="High"/>
    <s v="Repeat"/>
    <s v="Above Avg"/>
    <s v="Profit"/>
    <n v="19"/>
  </r>
  <r>
    <n v="436"/>
    <x v="435"/>
    <n v="1039"/>
    <s v="Customer_108"/>
    <s v="Corporate"/>
    <s v="East"/>
    <s v="Furniture"/>
    <x v="3"/>
    <n v="4987"/>
    <n v="8"/>
    <n v="0.12"/>
    <n v="1901"/>
    <s v="UPI"/>
    <n v="35108.480000000003"/>
    <s v="Mar"/>
    <n v="2025"/>
    <s v="Q1"/>
    <n v="5.4146462620996406E-2"/>
    <n v="4787.5199999999995"/>
    <s v="High"/>
    <s v="Repeat"/>
    <s v="Above Avg"/>
    <s v="Profit"/>
    <n v="11"/>
  </r>
  <r>
    <n v="437"/>
    <x v="436"/>
    <n v="1025"/>
    <s v="Customer_33"/>
    <s v="Corporate"/>
    <s v="South"/>
    <s v="Clothing"/>
    <x v="3"/>
    <n v="1502"/>
    <n v="9"/>
    <n v="0.27"/>
    <n v="407"/>
    <s v="UPI"/>
    <n v="9868.14"/>
    <s v="Mar"/>
    <n v="2025"/>
    <s v="Q1"/>
    <n v="4.1243841291266646E-2"/>
    <n v="3649.86"/>
    <s v="High"/>
    <s v="Repeat"/>
    <s v="Below Avg"/>
    <s v="Profit"/>
    <n v="205"/>
  </r>
  <r>
    <n v="438"/>
    <x v="437"/>
    <n v="1047"/>
    <s v="Customer_108"/>
    <s v="Corporate"/>
    <s v="South"/>
    <s v="Furniture"/>
    <x v="3"/>
    <n v="2678"/>
    <n v="9"/>
    <n v="0.28000000000000003"/>
    <n v="-115"/>
    <s v="UPI"/>
    <n v="17353.439999999999"/>
    <s v="Mar"/>
    <n v="2025"/>
    <s v="Q1"/>
    <n v="-6.626928147963747E-3"/>
    <n v="6748.56"/>
    <s v="High"/>
    <s v="Repeat"/>
    <s v="Above Avg"/>
    <s v="Loss"/>
    <n v="100"/>
  </r>
  <r>
    <n v="439"/>
    <x v="438"/>
    <n v="1076"/>
    <s v="Customer_127"/>
    <s v="Corporate"/>
    <s v="North"/>
    <s v="Clothing"/>
    <x v="3"/>
    <n v="3044"/>
    <n v="3"/>
    <n v="0.15"/>
    <n v="151"/>
    <s v="UPI"/>
    <n v="7762.2"/>
    <s v="Mar"/>
    <n v="2025"/>
    <s v="Q1"/>
    <n v="1.9453247790574838E-2"/>
    <n v="1369.8"/>
    <s v="High"/>
    <s v="Repeat"/>
    <s v="Below Avg"/>
    <s v="Profit"/>
    <n v="257"/>
  </r>
  <r>
    <n v="440"/>
    <x v="439"/>
    <n v="1002"/>
    <s v="Customer_87"/>
    <s v="Consumer"/>
    <s v="South"/>
    <s v="Furniture"/>
    <x v="0"/>
    <n v="670"/>
    <n v="9"/>
    <n v="0.27"/>
    <n v="-290"/>
    <s v="Card"/>
    <n v="4401.8999999999996"/>
    <s v="Mar"/>
    <n v="2025"/>
    <s v="Q1"/>
    <n v="-6.5880642449851201E-2"/>
    <n v="1628.1000000000001"/>
    <s v="Medium"/>
    <s v="Repeat"/>
    <s v="Below Avg"/>
    <s v="Loss"/>
    <n v="340"/>
  </r>
  <r>
    <n v="441"/>
    <x v="440"/>
    <n v="1095"/>
    <s v="Customer_62"/>
    <s v="Consumer"/>
    <s v="East"/>
    <s v="Clothing"/>
    <x v="1"/>
    <n v="2551"/>
    <n v="1"/>
    <n v="0.15"/>
    <n v="453"/>
    <s v="COD"/>
    <n v="2168.35"/>
    <s v="Mar"/>
    <n v="2025"/>
    <s v="Q1"/>
    <n v="0.20891461249337054"/>
    <n v="382.65"/>
    <s v="Medium"/>
    <s v="Repeat"/>
    <s v="Below Avg"/>
    <s v="Profit"/>
    <n v="420"/>
  </r>
  <r>
    <n v="442"/>
    <x v="441"/>
    <n v="1032"/>
    <s v="Customer_169"/>
    <s v="Corporate"/>
    <s v="West"/>
    <s v="Electronics"/>
    <x v="2"/>
    <n v="1755"/>
    <n v="4"/>
    <n v="0.3"/>
    <n v="678"/>
    <s v="COD"/>
    <n v="4914"/>
    <s v="Mar"/>
    <n v="2025"/>
    <s v="Q1"/>
    <n v="0.13797313797313798"/>
    <n v="2106"/>
    <s v="Medium"/>
    <s v="Repeat"/>
    <s v="Below Avg"/>
    <s v="Profit"/>
    <n v="327"/>
  </r>
  <r>
    <n v="443"/>
    <x v="442"/>
    <n v="1096"/>
    <s v="Customer_19"/>
    <s v="Corporate"/>
    <s v="West"/>
    <s v="Clothing"/>
    <x v="1"/>
    <n v="4413"/>
    <n v="1"/>
    <n v="0.24"/>
    <n v="-325"/>
    <s v="Card"/>
    <n v="3353.88"/>
    <s v="Mar"/>
    <n v="2025"/>
    <s v="Q1"/>
    <n v="-9.6902691807697353E-2"/>
    <n v="1059.1199999999999"/>
    <s v="Medium"/>
    <s v="Repeat"/>
    <s v="Below Avg"/>
    <s v="Loss"/>
    <n v="383"/>
  </r>
  <r>
    <n v="444"/>
    <x v="443"/>
    <n v="1041"/>
    <s v="Customer_101"/>
    <s v="Consumer"/>
    <s v="West"/>
    <s v="Electronics"/>
    <x v="1"/>
    <n v="4983"/>
    <n v="2"/>
    <n v="0.25"/>
    <n v="159"/>
    <s v="COD"/>
    <n v="7474.5"/>
    <s v="Mar"/>
    <n v="2025"/>
    <s v="Q1"/>
    <n v="2.1272325908087499E-2"/>
    <n v="2491.5"/>
    <s v="High"/>
    <s v="Repeat"/>
    <s v="Below Avg"/>
    <s v="Profit"/>
    <n v="265"/>
  </r>
  <r>
    <n v="445"/>
    <x v="444"/>
    <n v="1076"/>
    <s v="Customer_31"/>
    <s v="Consumer"/>
    <s v="West"/>
    <s v="Clothing"/>
    <x v="0"/>
    <n v="2328"/>
    <n v="4"/>
    <n v="0.06"/>
    <n v="878"/>
    <s v="COD"/>
    <n v="8753.2799999999897"/>
    <s v="Mar"/>
    <n v="2025"/>
    <s v="Q1"/>
    <n v="0.10030525700080439"/>
    <n v="558.72"/>
    <s v="High"/>
    <s v="Repeat"/>
    <s v="Below Avg"/>
    <s v="Profit"/>
    <n v="234"/>
  </r>
  <r>
    <n v="446"/>
    <x v="445"/>
    <n v="1042"/>
    <s v="Customer_50"/>
    <s v="Consumer"/>
    <s v="East"/>
    <s v="Furniture"/>
    <x v="1"/>
    <n v="4886"/>
    <n v="8"/>
    <n v="0"/>
    <n v="-420"/>
    <s v="UPI"/>
    <n v="39088"/>
    <s v="Mar"/>
    <n v="2025"/>
    <s v="Q1"/>
    <n v="-1.0744985673352435E-2"/>
    <n v="0"/>
    <s v="High"/>
    <s v="New"/>
    <s v="Above Avg"/>
    <s v="Loss"/>
    <n v="4"/>
  </r>
  <r>
    <n v="447"/>
    <x v="446"/>
    <n v="1069"/>
    <s v="Customer_170"/>
    <s v="Consumer"/>
    <s v="West"/>
    <s v="Clothing"/>
    <x v="3"/>
    <n v="2947"/>
    <n v="6"/>
    <n v="0.15"/>
    <n v="963"/>
    <s v="Card"/>
    <n v="15029.699999999901"/>
    <s v="Mar"/>
    <n v="2025"/>
    <s v="Q1"/>
    <n v="6.4073135192319636E-2"/>
    <n v="2652.2999999999997"/>
    <s v="High"/>
    <s v="Repeat"/>
    <s v="Above Avg"/>
    <s v="Profit"/>
    <n v="137"/>
  </r>
  <r>
    <n v="448"/>
    <x v="447"/>
    <n v="1003"/>
    <s v="Customer_103"/>
    <s v="Corporate"/>
    <s v="East"/>
    <s v="Furniture"/>
    <x v="0"/>
    <n v="3985"/>
    <n v="4"/>
    <n v="0.28999999999999998"/>
    <n v="735"/>
    <s v="Card"/>
    <n v="11317.4"/>
    <s v="Mar"/>
    <n v="2025"/>
    <s v="Q1"/>
    <n v="6.494424514464453E-2"/>
    <n v="4622.5999999999995"/>
    <s v="High"/>
    <s v="Repeat"/>
    <s v="Above Avg"/>
    <s v="Profit"/>
    <n v="185"/>
  </r>
  <r>
    <n v="449"/>
    <x v="448"/>
    <n v="1063"/>
    <s v="Customer_17"/>
    <s v="Consumer"/>
    <s v="North"/>
    <s v="Clothing"/>
    <x v="2"/>
    <n v="444"/>
    <n v="4"/>
    <n v="0.28999999999999998"/>
    <n v="1226"/>
    <s v="Card"/>
    <n v="1260.96"/>
    <s v="Mar"/>
    <n v="2025"/>
    <s v="Q1"/>
    <n v="0.97227509199340179"/>
    <n v="515.04"/>
    <s v="Low"/>
    <s v="Repeat"/>
    <s v="Below Avg"/>
    <s v="Profit"/>
    <n v="467"/>
  </r>
  <r>
    <n v="450"/>
    <x v="449"/>
    <n v="1069"/>
    <s v="Customer_196"/>
    <s v="Consumer"/>
    <s v="West"/>
    <s v="Clothing"/>
    <x v="0"/>
    <n v="3283"/>
    <n v="6"/>
    <n v="0.18"/>
    <n v="-475"/>
    <s v="Card"/>
    <n v="16152.36"/>
    <s v="Mar"/>
    <n v="2025"/>
    <s v="Q1"/>
    <n v="-2.9407467391761945E-2"/>
    <n v="3545.64"/>
    <s v="High"/>
    <s v="Repeat"/>
    <s v="Above Avg"/>
    <s v="Loss"/>
    <n v="124"/>
  </r>
  <r>
    <n v="451"/>
    <x v="450"/>
    <n v="1050"/>
    <s v="Customer_6"/>
    <s v="Consumer"/>
    <s v="East"/>
    <s v="Clothing"/>
    <x v="0"/>
    <n v="3777"/>
    <n v="1"/>
    <n v="0.06"/>
    <n v="658"/>
    <s v="UPI"/>
    <n v="3550.3799999999901"/>
    <s v="Mar"/>
    <n v="2025"/>
    <s v="Q1"/>
    <n v="0.18533227429176646"/>
    <n v="226.62"/>
    <s v="Medium"/>
    <s v="Repeat"/>
    <s v="Below Avg"/>
    <s v="Profit"/>
    <n v="375"/>
  </r>
  <r>
    <n v="452"/>
    <x v="451"/>
    <n v="1066"/>
    <s v="Customer_60"/>
    <s v="Corporate"/>
    <s v="North"/>
    <s v="Electronics"/>
    <x v="2"/>
    <n v="4411"/>
    <n v="5"/>
    <n v="0"/>
    <n v="1052"/>
    <s v="COD"/>
    <n v="22055"/>
    <s v="Mar"/>
    <n v="2025"/>
    <s v="Q1"/>
    <n v="4.7698934481976873E-2"/>
    <n v="0"/>
    <s v="High"/>
    <s v="Repeat"/>
    <s v="Above Avg"/>
    <s v="Profit"/>
    <n v="66"/>
  </r>
  <r>
    <n v="453"/>
    <x v="452"/>
    <n v="1090"/>
    <s v="Customer_19"/>
    <s v="Corporate"/>
    <s v="North"/>
    <s v="Furniture"/>
    <x v="0"/>
    <n v="2976"/>
    <n v="4"/>
    <n v="0.15"/>
    <n v="1151"/>
    <s v="Card"/>
    <n v="10118.4"/>
    <s v="Mar"/>
    <n v="2025"/>
    <s v="Q1"/>
    <n v="0.11375316255534472"/>
    <n v="1785.6"/>
    <s v="High"/>
    <s v="Repeat"/>
    <s v="Below Avg"/>
    <s v="Profit"/>
    <n v="199"/>
  </r>
  <r>
    <n v="454"/>
    <x v="453"/>
    <n v="1083"/>
    <s v="Customer_186"/>
    <s v="Corporate"/>
    <s v="North"/>
    <s v="Electronics"/>
    <x v="3"/>
    <n v="504"/>
    <n v="8"/>
    <n v="0.09"/>
    <n v="1073"/>
    <s v="UPI"/>
    <n v="3669.12"/>
    <s v="Mar"/>
    <n v="2025"/>
    <s v="Q1"/>
    <n v="0.2924406942264085"/>
    <n v="362.88"/>
    <s v="Medium"/>
    <s v="Repeat"/>
    <s v="Below Avg"/>
    <s v="Profit"/>
    <n v="367"/>
  </r>
  <r>
    <n v="455"/>
    <x v="454"/>
    <n v="1017"/>
    <s v="Customer_40"/>
    <s v="Corporate"/>
    <s v="West"/>
    <s v="Electronics"/>
    <x v="1"/>
    <n v="2002"/>
    <n v="9"/>
    <n v="0.1"/>
    <n v="-460"/>
    <s v="UPI"/>
    <n v="16216.2"/>
    <s v="Mar"/>
    <n v="2025"/>
    <s v="Q1"/>
    <n v="-2.83666950333617E-2"/>
    <n v="1801.8000000000002"/>
    <s v="High"/>
    <s v="Repeat"/>
    <s v="Above Avg"/>
    <s v="Loss"/>
    <n v="121"/>
  </r>
  <r>
    <n v="456"/>
    <x v="455"/>
    <n v="1019"/>
    <s v="Customer_124"/>
    <s v="Consumer"/>
    <s v="South"/>
    <s v="Electronics"/>
    <x v="0"/>
    <n v="272"/>
    <n v="2"/>
    <n v="0.25"/>
    <n v="237"/>
    <s v="COD"/>
    <n v="408"/>
    <s v="Mar"/>
    <n v="2025"/>
    <s v="Q1"/>
    <n v="0.58088235294117652"/>
    <n v="136"/>
    <s v="Low"/>
    <s v="Repeat"/>
    <s v="Below Avg"/>
    <s v="Profit"/>
    <n v="495"/>
  </r>
  <r>
    <n v="457"/>
    <x v="456"/>
    <n v="1029"/>
    <s v="Customer_45"/>
    <s v="Consumer"/>
    <s v="East"/>
    <s v="Electronics"/>
    <x v="2"/>
    <n v="1217"/>
    <n v="2"/>
    <n v="0.03"/>
    <n v="1969"/>
    <s v="COD"/>
    <n v="2360.98"/>
    <s v="Apr"/>
    <n v="2025"/>
    <s v="Q2"/>
    <n v="0.83397572194597158"/>
    <n v="73.02"/>
    <s v="Medium"/>
    <s v="Repeat"/>
    <s v="Below Avg"/>
    <s v="Profit"/>
    <n v="414"/>
  </r>
  <r>
    <n v="458"/>
    <x v="457"/>
    <n v="1073"/>
    <s v="Customer_42"/>
    <s v="Corporate"/>
    <s v="West"/>
    <s v="Clothing"/>
    <x v="1"/>
    <n v="1801"/>
    <n v="8"/>
    <n v="0.03"/>
    <n v="1897"/>
    <s v="Card"/>
    <n v="13975.76"/>
    <s v="Apr"/>
    <n v="2025"/>
    <s v="Q2"/>
    <n v="0.13573501548395223"/>
    <n v="432.24"/>
    <s v="High"/>
    <s v="Repeat"/>
    <s v="Above Avg"/>
    <s v="Profit"/>
    <n v="148"/>
  </r>
  <r>
    <n v="459"/>
    <x v="458"/>
    <n v="1051"/>
    <s v="Customer_70"/>
    <s v="Corporate"/>
    <s v="East"/>
    <s v="Clothing"/>
    <x v="3"/>
    <n v="4044"/>
    <n v="6"/>
    <n v="0.13"/>
    <n v="-422"/>
    <s v="Card"/>
    <n v="21109.68"/>
    <s v="Apr"/>
    <n v="2025"/>
    <s v="Q2"/>
    <n v="-1.9990828851976911E-2"/>
    <n v="3154.32"/>
    <s v="High"/>
    <s v="Repeat"/>
    <s v="Above Avg"/>
    <s v="Loss"/>
    <n v="75"/>
  </r>
  <r>
    <n v="460"/>
    <x v="459"/>
    <n v="1022"/>
    <s v="Customer_152"/>
    <s v="Corporate"/>
    <s v="East"/>
    <s v="Electronics"/>
    <x v="1"/>
    <n v="1017"/>
    <n v="8"/>
    <n v="0.12"/>
    <n v="622"/>
    <s v="COD"/>
    <n v="7159.68"/>
    <s v="Apr"/>
    <n v="2025"/>
    <s v="Q2"/>
    <n v="8.68753910789309E-2"/>
    <n v="976.31999999999994"/>
    <s v="High"/>
    <s v="Repeat"/>
    <s v="Below Avg"/>
    <s v="Profit"/>
    <n v="272"/>
  </r>
  <r>
    <n v="461"/>
    <x v="460"/>
    <n v="1046"/>
    <s v="Customer_150"/>
    <s v="Consumer"/>
    <s v="South"/>
    <s v="Electronics"/>
    <x v="3"/>
    <n v="3058"/>
    <n v="1"/>
    <n v="0.02"/>
    <n v="1633"/>
    <s v="Card"/>
    <n v="2996.84"/>
    <s v="Apr"/>
    <n v="2025"/>
    <s v="Q2"/>
    <n v="0.54490730235848428"/>
    <n v="61.160000000000004"/>
    <s v="Medium"/>
    <s v="Repeat"/>
    <s v="Below Avg"/>
    <s v="Profit"/>
    <n v="393"/>
  </r>
  <r>
    <n v="462"/>
    <x v="461"/>
    <n v="1002"/>
    <s v="Customer_53"/>
    <s v="Consumer"/>
    <s v="West"/>
    <s v="Electronics"/>
    <x v="3"/>
    <n v="3212"/>
    <n v="3"/>
    <n v="0.16"/>
    <n v="-72"/>
    <s v="COD"/>
    <n v="8094.24"/>
    <s v="Apr"/>
    <n v="2025"/>
    <s v="Q2"/>
    <n v="-8.8952143746664301E-3"/>
    <n v="1541.76"/>
    <s v="High"/>
    <s v="Repeat"/>
    <s v="Below Avg"/>
    <s v="Loss"/>
    <n v="249"/>
  </r>
  <r>
    <n v="463"/>
    <x v="462"/>
    <n v="1049"/>
    <s v="Customer_78"/>
    <s v="Consumer"/>
    <s v="South"/>
    <s v="Furniture"/>
    <x v="3"/>
    <n v="1965"/>
    <n v="7"/>
    <n v="0.13"/>
    <n v="510"/>
    <s v="COD"/>
    <n v="11966.85"/>
    <s v="Apr"/>
    <n v="2025"/>
    <s v="Q2"/>
    <n v="4.2617731483222399E-2"/>
    <n v="1788.15"/>
    <s v="High"/>
    <s v="Repeat"/>
    <s v="Above Avg"/>
    <s v="Profit"/>
    <n v="168"/>
  </r>
  <r>
    <n v="464"/>
    <x v="463"/>
    <n v="1008"/>
    <s v="Customer_152"/>
    <s v="Consumer"/>
    <s v="North"/>
    <s v="Furniture"/>
    <x v="0"/>
    <n v="406"/>
    <n v="7"/>
    <n v="0.3"/>
    <n v="648"/>
    <s v="COD"/>
    <n v="1989.3999999999901"/>
    <s v="Apr"/>
    <n v="2025"/>
    <s v="Q2"/>
    <n v="0.32572634965316338"/>
    <n v="852.6"/>
    <s v="Low"/>
    <s v="Repeat"/>
    <s v="Below Avg"/>
    <s v="Profit"/>
    <n v="431"/>
  </r>
  <r>
    <n v="465"/>
    <x v="464"/>
    <n v="1018"/>
    <s v="Customer_153"/>
    <s v="Consumer"/>
    <s v="West"/>
    <s v="Clothing"/>
    <x v="3"/>
    <n v="1951"/>
    <n v="5"/>
    <n v="0.02"/>
    <n v="575"/>
    <s v="Card"/>
    <n v="9559.9"/>
    <s v="Apr"/>
    <n v="2025"/>
    <s v="Q2"/>
    <n v="6.0147072668124149E-2"/>
    <n v="195.1"/>
    <s v="High"/>
    <s v="Repeat"/>
    <s v="Below Avg"/>
    <s v="Profit"/>
    <n v="214"/>
  </r>
  <r>
    <n v="466"/>
    <x v="465"/>
    <n v="1035"/>
    <s v="Customer_145"/>
    <s v="Consumer"/>
    <s v="North"/>
    <s v="Furniture"/>
    <x v="1"/>
    <n v="930"/>
    <n v="9"/>
    <n v="0.04"/>
    <n v="-226"/>
    <s v="Card"/>
    <n v="8035.2"/>
    <s v="Apr"/>
    <n v="2025"/>
    <s v="Q2"/>
    <n v="-2.8126244524093989E-2"/>
    <n v="334.8"/>
    <s v="High"/>
    <s v="Repeat"/>
    <s v="Below Avg"/>
    <s v="Loss"/>
    <n v="252"/>
  </r>
  <r>
    <n v="467"/>
    <x v="466"/>
    <n v="1039"/>
    <s v="Customer_123"/>
    <s v="Consumer"/>
    <s v="South"/>
    <s v="Electronics"/>
    <x v="0"/>
    <n v="524"/>
    <n v="2"/>
    <n v="0.05"/>
    <n v="563"/>
    <s v="Card"/>
    <n v="995.599999999999"/>
    <s v="Apr"/>
    <n v="2025"/>
    <s v="Q2"/>
    <n v="0.56548814785054291"/>
    <n v="52.400000000000006"/>
    <s v="Low"/>
    <s v="Repeat"/>
    <s v="Below Avg"/>
    <s v="Profit"/>
    <n v="480"/>
  </r>
  <r>
    <n v="468"/>
    <x v="467"/>
    <n v="1026"/>
    <s v="Customer_115"/>
    <s v="Corporate"/>
    <s v="North"/>
    <s v="Furniture"/>
    <x v="2"/>
    <n v="3851"/>
    <n v="1"/>
    <n v="0.1"/>
    <n v="1436"/>
    <s v="UPI"/>
    <n v="3465.9"/>
    <s v="Apr"/>
    <n v="2025"/>
    <s v="Q2"/>
    <n v="0.41432239822268385"/>
    <n v="385.1"/>
    <s v="Medium"/>
    <s v="Repeat"/>
    <s v="Below Avg"/>
    <s v="Profit"/>
    <n v="377"/>
  </r>
  <r>
    <n v="469"/>
    <x v="468"/>
    <n v="1091"/>
    <s v="Customer_110"/>
    <s v="Corporate"/>
    <s v="East"/>
    <s v="Electronics"/>
    <x v="0"/>
    <n v="4972"/>
    <n v="3"/>
    <n v="0.2"/>
    <n v="1594"/>
    <s v="COD"/>
    <n v="11932.8"/>
    <s v="Apr"/>
    <n v="2025"/>
    <s v="Q2"/>
    <n v="0.13358138911236256"/>
    <n v="2983.2000000000003"/>
    <s v="High"/>
    <s v="Repeat"/>
    <s v="Above Avg"/>
    <s v="Profit"/>
    <n v="169"/>
  </r>
  <r>
    <n v="470"/>
    <x v="469"/>
    <n v="1071"/>
    <s v="Customer_163"/>
    <s v="Consumer"/>
    <s v="South"/>
    <s v="Furniture"/>
    <x v="3"/>
    <n v="1905"/>
    <n v="7"/>
    <n v="0.28999999999999998"/>
    <n v="-284"/>
    <s v="UPI"/>
    <n v="9467.85"/>
    <s v="Apr"/>
    <n v="2025"/>
    <s v="Q2"/>
    <n v="-2.9996250468691414E-2"/>
    <n v="3867.1499999999996"/>
    <s v="High"/>
    <s v="Repeat"/>
    <s v="Below Avg"/>
    <s v="Loss"/>
    <n v="218"/>
  </r>
  <r>
    <n v="471"/>
    <x v="470"/>
    <n v="1071"/>
    <s v="Customer_56"/>
    <s v="Corporate"/>
    <s v="North"/>
    <s v="Furniture"/>
    <x v="2"/>
    <n v="4820"/>
    <n v="8"/>
    <n v="0.27"/>
    <n v="148"/>
    <s v="COD"/>
    <n v="28148.799999999999"/>
    <s v="Apr"/>
    <n v="2025"/>
    <s v="Q2"/>
    <n v="5.257772977888933E-3"/>
    <n v="10411.200000000001"/>
    <s v="High"/>
    <s v="Repeat"/>
    <s v="Above Avg"/>
    <s v="Profit"/>
    <n v="28"/>
  </r>
  <r>
    <n v="472"/>
    <x v="471"/>
    <n v="1081"/>
    <s v="Customer_28"/>
    <s v="Corporate"/>
    <s v="North"/>
    <s v="Furniture"/>
    <x v="3"/>
    <n v="2519"/>
    <n v="8"/>
    <n v="0.13"/>
    <n v="1049"/>
    <s v="COD"/>
    <n v="17532.240000000002"/>
    <s v="Apr"/>
    <n v="2025"/>
    <s v="Q2"/>
    <n v="5.9832628346406388E-2"/>
    <n v="2619.7600000000002"/>
    <s v="High"/>
    <s v="Repeat"/>
    <s v="Above Avg"/>
    <s v="Profit"/>
    <n v="96"/>
  </r>
  <r>
    <n v="473"/>
    <x v="472"/>
    <n v="1020"/>
    <s v="Customer_194"/>
    <s v="Corporate"/>
    <s v="North"/>
    <s v="Clothing"/>
    <x v="2"/>
    <n v="191"/>
    <n v="2"/>
    <n v="0.02"/>
    <n v="453"/>
    <s v="Card"/>
    <n v="374.36"/>
    <s v="Apr"/>
    <n v="2025"/>
    <s v="Q2"/>
    <n v="1.2100651779036222"/>
    <n v="7.6400000000000006"/>
    <s v="Low"/>
    <s v="Repeat"/>
    <s v="Below Avg"/>
    <s v="Profit"/>
    <n v="496"/>
  </r>
  <r>
    <n v="474"/>
    <x v="473"/>
    <n v="1012"/>
    <s v="Customer_34"/>
    <s v="Corporate"/>
    <s v="North"/>
    <s v="Furniture"/>
    <x v="0"/>
    <n v="958"/>
    <n v="6"/>
    <n v="0.19"/>
    <n v="1374"/>
    <s v="Card"/>
    <n v="4655.88"/>
    <s v="Apr"/>
    <n v="2025"/>
    <s v="Q2"/>
    <n v="0.2951106987293487"/>
    <n v="1092.1200000000001"/>
    <s v="Medium"/>
    <s v="Repeat"/>
    <s v="Below Avg"/>
    <s v="Profit"/>
    <n v="333"/>
  </r>
  <r>
    <n v="475"/>
    <x v="474"/>
    <n v="1026"/>
    <s v="Customer_65"/>
    <s v="Corporate"/>
    <s v="West"/>
    <s v="Clothing"/>
    <x v="1"/>
    <n v="4109"/>
    <n v="5"/>
    <n v="0.13"/>
    <n v="630"/>
    <s v="UPI"/>
    <n v="17874.150000000001"/>
    <s v="Apr"/>
    <n v="2025"/>
    <s v="Q2"/>
    <n v="3.5246431298830989E-2"/>
    <n v="2670.85"/>
    <s v="High"/>
    <s v="Repeat"/>
    <s v="Above Avg"/>
    <s v="Profit"/>
    <n v="92"/>
  </r>
  <r>
    <n v="476"/>
    <x v="475"/>
    <n v="1061"/>
    <s v="Customer_111"/>
    <s v="Corporate"/>
    <s v="North"/>
    <s v="Clothing"/>
    <x v="0"/>
    <n v="911"/>
    <n v="2"/>
    <n v="0.01"/>
    <n v="61"/>
    <s v="UPI"/>
    <n v="1803.78"/>
    <s v="Apr"/>
    <n v="2025"/>
    <s v="Q2"/>
    <n v="3.3817871359034919E-2"/>
    <n v="18.22"/>
    <s v="Low"/>
    <s v="Repeat"/>
    <s v="Below Avg"/>
    <s v="Profit"/>
    <n v="440"/>
  </r>
  <r>
    <n v="477"/>
    <x v="476"/>
    <n v="1039"/>
    <s v="Customer_128"/>
    <s v="Consumer"/>
    <s v="North"/>
    <s v="Furniture"/>
    <x v="1"/>
    <n v="1853"/>
    <n v="1"/>
    <n v="0.25"/>
    <n v="1755"/>
    <s v="COD"/>
    <n v="1389.75"/>
    <s v="Apr"/>
    <n v="2025"/>
    <s v="Q2"/>
    <n v="1.2628170534268754"/>
    <n v="463.25"/>
    <s v="Low"/>
    <s v="Repeat"/>
    <s v="Below Avg"/>
    <s v="Profit"/>
    <n v="461"/>
  </r>
  <r>
    <n v="478"/>
    <x v="477"/>
    <n v="1052"/>
    <s v="Customer_131"/>
    <s v="Corporate"/>
    <s v="West"/>
    <s v="Electronics"/>
    <x v="3"/>
    <n v="3861"/>
    <n v="4"/>
    <n v="0.16"/>
    <n v="1739"/>
    <s v="Card"/>
    <n v="12972.96"/>
    <s v="Apr"/>
    <n v="2025"/>
    <s v="Q2"/>
    <n v="0.1340480507147174"/>
    <n v="2471.04"/>
    <s v="High"/>
    <s v="Repeat"/>
    <s v="Above Avg"/>
    <s v="Profit"/>
    <n v="159"/>
  </r>
  <r>
    <n v="479"/>
    <x v="478"/>
    <n v="1079"/>
    <s v="Customer_187"/>
    <s v="Corporate"/>
    <s v="North"/>
    <s v="Electronics"/>
    <x v="3"/>
    <n v="3679"/>
    <n v="6"/>
    <n v="0.13"/>
    <n v="1506"/>
    <s v="COD"/>
    <n v="19204.38"/>
    <s v="Apr"/>
    <n v="2025"/>
    <s v="Q2"/>
    <n v="7.8419610526348674E-2"/>
    <n v="2869.62"/>
    <s v="High"/>
    <s v="Repeat"/>
    <s v="Above Avg"/>
    <s v="Profit"/>
    <n v="84"/>
  </r>
  <r>
    <n v="480"/>
    <x v="479"/>
    <n v="1039"/>
    <s v="Customer_56"/>
    <s v="Consumer"/>
    <s v="North"/>
    <s v="Electronics"/>
    <x v="0"/>
    <n v="1431"/>
    <n v="9"/>
    <n v="0.22"/>
    <n v="822"/>
    <s v="UPI"/>
    <n v="10045.620000000001"/>
    <s v="Apr"/>
    <n v="2025"/>
    <s v="Q2"/>
    <n v="8.1826706564652046E-2"/>
    <n v="2833.38"/>
    <s v="High"/>
    <s v="Repeat"/>
    <s v="Below Avg"/>
    <s v="Profit"/>
    <n v="200"/>
  </r>
  <r>
    <n v="481"/>
    <x v="480"/>
    <n v="1008"/>
    <s v="Customer_22"/>
    <s v="Consumer"/>
    <s v="North"/>
    <s v="Furniture"/>
    <x v="3"/>
    <n v="2112"/>
    <n v="9"/>
    <n v="0.26"/>
    <n v="645"/>
    <s v="UPI"/>
    <n v="14065.92"/>
    <s v="Apr"/>
    <n v="2025"/>
    <s v="Q2"/>
    <n v="4.5855514605514604E-2"/>
    <n v="4942.08"/>
    <s v="High"/>
    <s v="Repeat"/>
    <s v="Above Avg"/>
    <s v="Profit"/>
    <n v="146"/>
  </r>
  <r>
    <n v="482"/>
    <x v="481"/>
    <n v="1026"/>
    <s v="Customer_170"/>
    <s v="Consumer"/>
    <s v="West"/>
    <s v="Clothing"/>
    <x v="1"/>
    <n v="3792"/>
    <n v="3"/>
    <n v="0.28000000000000003"/>
    <n v="1742"/>
    <s v="Card"/>
    <n v="8190.7199999999903"/>
    <s v="Apr"/>
    <n v="2025"/>
    <s v="Q2"/>
    <n v="0.2126797155805597"/>
    <n v="3185.28"/>
    <s v="High"/>
    <s v="Repeat"/>
    <s v="Below Avg"/>
    <s v="Profit"/>
    <n v="244"/>
  </r>
  <r>
    <n v="483"/>
    <x v="482"/>
    <n v="1080"/>
    <s v="Customer_132"/>
    <s v="Consumer"/>
    <s v="East"/>
    <s v="Furniture"/>
    <x v="3"/>
    <n v="2486"/>
    <n v="9"/>
    <n v="0.1"/>
    <n v="-143"/>
    <s v="UPI"/>
    <n v="20136.599999999999"/>
    <s v="Apr"/>
    <n v="2025"/>
    <s v="Q2"/>
    <n v="-7.1014967770130014E-3"/>
    <n v="2237.4"/>
    <s v="High"/>
    <s v="Repeat"/>
    <s v="Above Avg"/>
    <s v="Loss"/>
    <n v="78"/>
  </r>
  <r>
    <n v="484"/>
    <x v="483"/>
    <n v="1002"/>
    <s v="Customer_100"/>
    <s v="Corporate"/>
    <s v="East"/>
    <s v="Clothing"/>
    <x v="1"/>
    <n v="306"/>
    <n v="6"/>
    <n v="0.06"/>
    <n v="-483"/>
    <s v="Card"/>
    <n v="1725.84"/>
    <s v="Apr"/>
    <n v="2025"/>
    <s v="Q2"/>
    <n v="-0.27986371853706021"/>
    <n v="110.16"/>
    <s v="Low"/>
    <s v="Repeat"/>
    <s v="Below Avg"/>
    <s v="Loss"/>
    <n v="445"/>
  </r>
  <r>
    <n v="485"/>
    <x v="484"/>
    <n v="1055"/>
    <s v="Customer_118"/>
    <s v="Consumer"/>
    <s v="West"/>
    <s v="Electronics"/>
    <x v="2"/>
    <n v="3682"/>
    <n v="8"/>
    <n v="0.1"/>
    <n v="1715"/>
    <s v="Card"/>
    <n v="26510.400000000001"/>
    <s v="Apr"/>
    <n v="2025"/>
    <s v="Q2"/>
    <n v="6.4691592733417819E-2"/>
    <n v="2945.6000000000004"/>
    <s v="High"/>
    <s v="Repeat"/>
    <s v="Above Avg"/>
    <s v="Profit"/>
    <n v="37"/>
  </r>
  <r>
    <n v="486"/>
    <x v="485"/>
    <n v="1052"/>
    <s v="Customer_12"/>
    <s v="Consumer"/>
    <s v="East"/>
    <s v="Furniture"/>
    <x v="3"/>
    <n v="4317"/>
    <n v="8"/>
    <n v="0.28999999999999998"/>
    <n v="227"/>
    <s v="UPI"/>
    <n v="24520.559999999899"/>
    <s v="Apr"/>
    <n v="2025"/>
    <s v="Q2"/>
    <n v="9.2575373482498332E-3"/>
    <n v="10015.439999999999"/>
    <s v="High"/>
    <s v="Repeat"/>
    <s v="Above Avg"/>
    <s v="Profit"/>
    <n v="46"/>
  </r>
  <r>
    <n v="487"/>
    <x v="486"/>
    <n v="1003"/>
    <s v="Customer_37"/>
    <s v="Corporate"/>
    <s v="East"/>
    <s v="Electronics"/>
    <x v="1"/>
    <n v="1839"/>
    <n v="3"/>
    <n v="0.03"/>
    <n v="1247"/>
    <s v="UPI"/>
    <n v="5351.49"/>
    <s v="May"/>
    <n v="2025"/>
    <s v="Q2"/>
    <n v="0.23301921520922211"/>
    <n v="165.51"/>
    <s v="High"/>
    <s v="Repeat"/>
    <s v="Below Avg"/>
    <s v="Profit"/>
    <n v="314"/>
  </r>
  <r>
    <n v="488"/>
    <x v="487"/>
    <n v="1039"/>
    <s v="Customer_41"/>
    <s v="Consumer"/>
    <s v="West"/>
    <s v="Furniture"/>
    <x v="0"/>
    <n v="3996"/>
    <n v="3"/>
    <n v="0.28999999999999998"/>
    <n v="56"/>
    <s v="Card"/>
    <n v="8511.48"/>
    <s v="May"/>
    <n v="2025"/>
    <s v="Q2"/>
    <n v="6.5793493023539977E-3"/>
    <n v="3476.52"/>
    <s v="High"/>
    <s v="Repeat"/>
    <s v="Below Avg"/>
    <s v="Profit"/>
    <n v="238"/>
  </r>
  <r>
    <n v="489"/>
    <x v="488"/>
    <n v="1051"/>
    <s v="Customer_58"/>
    <s v="Corporate"/>
    <s v="South"/>
    <s v="Electronics"/>
    <x v="3"/>
    <n v="3116"/>
    <n v="9"/>
    <n v="0.19"/>
    <n v="942"/>
    <s v="COD"/>
    <n v="22715.64"/>
    <s v="May"/>
    <n v="2025"/>
    <s v="Q2"/>
    <n v="4.1469225608435425E-2"/>
    <n v="5328.36"/>
    <s v="High"/>
    <s v="Repeat"/>
    <s v="Above Avg"/>
    <s v="Profit"/>
    <n v="61"/>
  </r>
  <r>
    <n v="490"/>
    <x v="489"/>
    <n v="1055"/>
    <s v="Customer_63"/>
    <s v="Consumer"/>
    <s v="West"/>
    <s v="Furniture"/>
    <x v="1"/>
    <n v="2104"/>
    <n v="3"/>
    <n v="0"/>
    <n v="1145"/>
    <s v="UPI"/>
    <n v="6312"/>
    <s v="May"/>
    <n v="2025"/>
    <s v="Q2"/>
    <n v="0.18140050697084917"/>
    <n v="0"/>
    <s v="High"/>
    <s v="Repeat"/>
    <s v="Below Avg"/>
    <s v="Profit"/>
    <n v="289"/>
  </r>
  <r>
    <n v="491"/>
    <x v="490"/>
    <n v="1064"/>
    <s v="Customer_71"/>
    <s v="Corporate"/>
    <s v="East"/>
    <s v="Clothing"/>
    <x v="2"/>
    <n v="1692"/>
    <n v="4"/>
    <n v="0.26"/>
    <n v="-81"/>
    <s v="COD"/>
    <n v="5008.32"/>
    <s v="May"/>
    <n v="2025"/>
    <s v="Q2"/>
    <n v="-1.6173087981598621E-2"/>
    <n v="1759.68"/>
    <s v="High"/>
    <s v="Repeat"/>
    <s v="Below Avg"/>
    <s v="Loss"/>
    <n v="323"/>
  </r>
  <r>
    <n v="492"/>
    <x v="491"/>
    <n v="1077"/>
    <s v="Customer_133"/>
    <s v="Consumer"/>
    <s v="East"/>
    <s v="Clothing"/>
    <x v="2"/>
    <n v="2103"/>
    <n v="7"/>
    <n v="0.2"/>
    <n v="439"/>
    <s v="COD"/>
    <n v="11776.8"/>
    <s v="May"/>
    <n v="2025"/>
    <s v="Q2"/>
    <n v="3.7276679573398551E-2"/>
    <n v="2944.2000000000003"/>
    <s v="High"/>
    <s v="Repeat"/>
    <s v="Above Avg"/>
    <s v="Profit"/>
    <n v="173"/>
  </r>
  <r>
    <n v="493"/>
    <x v="492"/>
    <n v="1071"/>
    <s v="Customer_91"/>
    <s v="Corporate"/>
    <s v="North"/>
    <s v="Electronics"/>
    <x v="3"/>
    <n v="3019"/>
    <n v="9"/>
    <n v="0.04"/>
    <n v="660"/>
    <s v="COD"/>
    <n v="26084.16"/>
    <s v="May"/>
    <n v="2025"/>
    <s v="Q2"/>
    <n v="2.5302712450774725E-2"/>
    <n v="1086.8399999999999"/>
    <s v="High"/>
    <s v="Repeat"/>
    <s v="Above Avg"/>
    <s v="Profit"/>
    <n v="39"/>
  </r>
  <r>
    <n v="494"/>
    <x v="493"/>
    <n v="1070"/>
    <s v="Customer_89"/>
    <s v="Consumer"/>
    <s v="South"/>
    <s v="Clothing"/>
    <x v="1"/>
    <n v="208"/>
    <n v="3"/>
    <n v="0.1"/>
    <n v="1549"/>
    <s v="Card"/>
    <n v="561.6"/>
    <s v="May"/>
    <n v="2025"/>
    <s v="Q2"/>
    <n v="2.758190883190883"/>
    <n v="62.400000000000006"/>
    <s v="Low"/>
    <s v="Repeat"/>
    <s v="Below Avg"/>
    <s v="Profit"/>
    <n v="489"/>
  </r>
  <r>
    <n v="495"/>
    <x v="494"/>
    <n v="1029"/>
    <s v="Customer_17"/>
    <s v="Corporate"/>
    <s v="East"/>
    <s v="Furniture"/>
    <x v="2"/>
    <n v="3081"/>
    <n v="1"/>
    <n v="0.26"/>
    <n v="606"/>
    <s v="Card"/>
    <n v="2279.94"/>
    <s v="May"/>
    <n v="2025"/>
    <s v="Q2"/>
    <n v="0.26579646832811388"/>
    <n v="801.06000000000006"/>
    <s v="Medium"/>
    <s v="Repeat"/>
    <s v="Below Avg"/>
    <s v="Profit"/>
    <n v="416"/>
  </r>
  <r>
    <n v="496"/>
    <x v="495"/>
    <n v="1024"/>
    <s v="Customer_156"/>
    <s v="Consumer"/>
    <s v="North"/>
    <s v="Clothing"/>
    <x v="0"/>
    <n v="2595"/>
    <n v="2"/>
    <n v="0.22"/>
    <n v="1965"/>
    <s v="Card"/>
    <n v="4048.2"/>
    <s v="May"/>
    <n v="2025"/>
    <s v="Q2"/>
    <n v="0.48540091892693049"/>
    <n v="1141.8"/>
    <s v="Medium"/>
    <s v="Repeat"/>
    <s v="Below Avg"/>
    <s v="Profit"/>
    <n v="352"/>
  </r>
  <r>
    <n v="497"/>
    <x v="496"/>
    <n v="1038"/>
    <s v="Customer_119"/>
    <s v="Corporate"/>
    <s v="South"/>
    <s v="Electronics"/>
    <x v="0"/>
    <n v="1791"/>
    <n v="4"/>
    <n v="0.1"/>
    <n v="-437"/>
    <s v="UPI"/>
    <n v="6447.6"/>
    <s v="May"/>
    <n v="2025"/>
    <s v="Q2"/>
    <n v="-6.7777157391897755E-2"/>
    <n v="716.40000000000009"/>
    <s v="High"/>
    <s v="Repeat"/>
    <s v="Below Avg"/>
    <s v="Loss"/>
    <n v="286"/>
  </r>
  <r>
    <n v="498"/>
    <x v="497"/>
    <n v="1079"/>
    <s v="Customer_155"/>
    <s v="Consumer"/>
    <s v="East"/>
    <s v="Electronics"/>
    <x v="1"/>
    <n v="4085"/>
    <n v="7"/>
    <n v="0.24"/>
    <n v="1108"/>
    <s v="UPI"/>
    <n v="21732.2"/>
    <s v="May"/>
    <n v="2025"/>
    <s v="Q2"/>
    <n v="5.0984253780105099E-2"/>
    <n v="6862.8"/>
    <s v="High"/>
    <s v="Repeat"/>
    <s v="Above Avg"/>
    <s v="Profit"/>
    <n v="70"/>
  </r>
  <r>
    <n v="499"/>
    <x v="498"/>
    <n v="1074"/>
    <s v="Customer_181"/>
    <s v="Corporate"/>
    <s v="South"/>
    <s v="Electronics"/>
    <x v="0"/>
    <n v="4431"/>
    <n v="1"/>
    <n v="0.08"/>
    <n v="394"/>
    <s v="Card"/>
    <n v="4076.52"/>
    <s v="May"/>
    <n v="2025"/>
    <s v="Q2"/>
    <n v="9.665106512417454E-2"/>
    <n v="354.48"/>
    <s v="Medium"/>
    <s v="Repeat"/>
    <s v="Below Avg"/>
    <s v="Profit"/>
    <n v="350"/>
  </r>
  <r>
    <n v="500"/>
    <x v="499"/>
    <n v="1024"/>
    <s v="Customer_26"/>
    <s v="Consumer"/>
    <s v="North"/>
    <s v="Furniture"/>
    <x v="2"/>
    <n v="1822"/>
    <n v="4"/>
    <n v="0.16"/>
    <n v="1668"/>
    <s v="Card"/>
    <n v="6121.92"/>
    <s v="May"/>
    <n v="2025"/>
    <s v="Q2"/>
    <n v="0.27246354084992941"/>
    <n v="1166.08"/>
    <s v="High"/>
    <s v="Repeat"/>
    <s v="Below Avg"/>
    <s v="Profit"/>
    <n v="29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066"/>
    <s v="Customer_33"/>
    <s v="Consumer"/>
    <s v="South"/>
    <s v="Electronics"/>
    <s v="Product_A"/>
    <n v="2755"/>
    <n v="3"/>
    <n v="0.25"/>
    <n v="559"/>
    <x v="0"/>
    <n v="6198.75"/>
    <s v="Jan"/>
    <n v="2024"/>
    <s v="Q1"/>
    <n v="9.017947166767494E-2"/>
    <n v="2066.25"/>
    <s v="High"/>
    <s v="Repeat"/>
    <s v="Below Avg"/>
    <s v="Profit"/>
    <n v="293"/>
  </r>
  <r>
    <n v="2"/>
    <x v="1"/>
    <n v="1092"/>
    <s v="Customer_191"/>
    <s v="Consumer"/>
    <s v="East"/>
    <s v="Clothing"/>
    <s v="Product_A"/>
    <n v="1709"/>
    <n v="3"/>
    <n v="0.04"/>
    <n v="1735"/>
    <x v="0"/>
    <n v="4921.92"/>
    <s v="Jan"/>
    <n v="2024"/>
    <s v="Q1"/>
    <n v="0.35250471360769781"/>
    <n v="205.08"/>
    <s v="Medium"/>
    <s v="Repeat"/>
    <s v="Below Avg"/>
    <s v="Profit"/>
    <n v="326"/>
  </r>
  <r>
    <n v="3"/>
    <x v="2"/>
    <n v="1098"/>
    <s v="Customer_54"/>
    <s v="Corporate"/>
    <s v="East"/>
    <s v="Clothing"/>
    <s v="Product_D"/>
    <n v="3914"/>
    <n v="7"/>
    <n v="0.16"/>
    <n v="-225"/>
    <x v="1"/>
    <n v="23014.32"/>
    <s v="Jan"/>
    <n v="2024"/>
    <s v="Q1"/>
    <n v="-9.7765217481985134E-3"/>
    <n v="4383.68"/>
    <s v="High"/>
    <s v="Repeat"/>
    <s v="Above Avg"/>
    <s v="Loss"/>
    <n v="59"/>
  </r>
  <r>
    <n v="4"/>
    <x v="3"/>
    <n v="1017"/>
    <s v="Customer_116"/>
    <s v="Consumer"/>
    <s v="West"/>
    <s v="Electronics"/>
    <s v="Product_B"/>
    <n v="759"/>
    <n v="5"/>
    <n v="0.01"/>
    <n v="-75"/>
    <x v="0"/>
    <n v="3757.05"/>
    <s v="Jan"/>
    <n v="2024"/>
    <s v="Q1"/>
    <n v="-1.9962470555355931E-2"/>
    <n v="37.950000000000003"/>
    <s v="Medium"/>
    <s v="Repeat"/>
    <s v="Below Avg"/>
    <s v="Loss"/>
    <n v="365"/>
  </r>
  <r>
    <n v="5"/>
    <x v="4"/>
    <n v="1083"/>
    <s v="Customer_179"/>
    <s v="Consumer"/>
    <s v="West"/>
    <s v="Electronics"/>
    <s v="Product_B"/>
    <n v="243"/>
    <n v="1"/>
    <n v="0.17"/>
    <n v="-482"/>
    <x v="2"/>
    <n v="201.69"/>
    <s v="Jan"/>
    <n v="2024"/>
    <s v="Q1"/>
    <n v="-2.3898061381327782"/>
    <n v="41.31"/>
    <s v="Low"/>
    <s v="Repeat"/>
    <s v="Below Avg"/>
    <s v="Loss"/>
    <n v="499"/>
  </r>
  <r>
    <n v="6"/>
    <x v="5"/>
    <n v="1057"/>
    <s v="Customer_112"/>
    <s v="Consumer"/>
    <s v="North"/>
    <s v="Furniture"/>
    <s v="Product_D"/>
    <n v="2090"/>
    <n v="8"/>
    <n v="0.04"/>
    <n v="1271"/>
    <x v="0"/>
    <n v="16051.199999999901"/>
    <s v="Jan"/>
    <n v="2024"/>
    <s v="Q1"/>
    <n v="7.9184110845295544E-2"/>
    <n v="668.80000000000007"/>
    <s v="High"/>
    <s v="Repeat"/>
    <s v="Above Avg"/>
    <s v="Profit"/>
    <n v="127"/>
  </r>
  <r>
    <n v="7"/>
    <x v="6"/>
    <n v="1086"/>
    <s v="Customer_180"/>
    <s v="Corporate"/>
    <s v="North"/>
    <s v="Furniture"/>
    <s v="Product_D"/>
    <n v="550"/>
    <n v="5"/>
    <n v="0.24"/>
    <n v="1300"/>
    <x v="2"/>
    <n v="2090"/>
    <s v="Jan"/>
    <n v="2024"/>
    <s v="Q1"/>
    <n v="0.62200956937799046"/>
    <n v="660"/>
    <s v="Medium"/>
    <s v="Repeat"/>
    <s v="Below Avg"/>
    <s v="Profit"/>
    <n v="423"/>
  </r>
  <r>
    <n v="8"/>
    <x v="7"/>
    <n v="1097"/>
    <s v="Customer_180"/>
    <s v="Corporate"/>
    <s v="South"/>
    <s v="Furniture"/>
    <s v="Product_A"/>
    <n v="1291"/>
    <n v="4"/>
    <n v="7.0000000000000007E-2"/>
    <n v="829"/>
    <x v="2"/>
    <n v="4802.5199999999904"/>
    <s v="Jan"/>
    <n v="2024"/>
    <s v="Q1"/>
    <n v="0.17261770903608972"/>
    <n v="361.48"/>
    <s v="Medium"/>
    <s v="Repeat"/>
    <s v="Below Avg"/>
    <s v="Profit"/>
    <n v="329"/>
  </r>
  <r>
    <n v="9"/>
    <x v="8"/>
    <n v="1096"/>
    <s v="Customer_184"/>
    <s v="Consumer"/>
    <s v="West"/>
    <s v="Electronics"/>
    <s v="Product_C"/>
    <n v="4121"/>
    <n v="4"/>
    <n v="0.03"/>
    <n v="-169"/>
    <x v="1"/>
    <n v="15989.48"/>
    <s v="Jan"/>
    <n v="2024"/>
    <s v="Q1"/>
    <n v="-1.056944941298904E-2"/>
    <n v="494.52"/>
    <s v="High"/>
    <s v="Repeat"/>
    <s v="Above Avg"/>
    <s v="Loss"/>
    <n v="128"/>
  </r>
  <r>
    <n v="10"/>
    <x v="9"/>
    <n v="1047"/>
    <s v="Customer_114"/>
    <s v="Corporate"/>
    <s v="West"/>
    <s v="Electronics"/>
    <s v="Product_B"/>
    <n v="735"/>
    <n v="2"/>
    <n v="0.01"/>
    <n v="-250"/>
    <x v="2"/>
    <n v="1455.3"/>
    <s v="Jan"/>
    <n v="2024"/>
    <s v="Q1"/>
    <n v="-0.17178588607160036"/>
    <n v="14.700000000000001"/>
    <s v="Low"/>
    <s v="Repeat"/>
    <s v="Below Avg"/>
    <s v="Loss"/>
    <n v="460"/>
  </r>
  <r>
    <n v="11"/>
    <x v="10"/>
    <n v="1073"/>
    <s v="Customer_73"/>
    <s v="Consumer"/>
    <s v="West"/>
    <s v="Clothing"/>
    <s v="Product_A"/>
    <n v="2257"/>
    <n v="1"/>
    <n v="0.17"/>
    <n v="960"/>
    <x v="1"/>
    <n v="1873.31"/>
    <s v="Jan"/>
    <n v="2024"/>
    <s v="Q1"/>
    <n v="0.51246189899162442"/>
    <n v="383.69000000000005"/>
    <s v="Low"/>
    <s v="Repeat"/>
    <s v="Below Avg"/>
    <s v="Profit"/>
    <n v="438"/>
  </r>
  <r>
    <n v="12"/>
    <x v="11"/>
    <n v="1032"/>
    <s v="Customer_1"/>
    <s v="Consumer"/>
    <s v="West"/>
    <s v="Electronics"/>
    <s v="Product_C"/>
    <n v="3851"/>
    <n v="6"/>
    <n v="0.2"/>
    <n v="-7"/>
    <x v="0"/>
    <n v="18484.8"/>
    <s v="Jan"/>
    <n v="2024"/>
    <s v="Q1"/>
    <n v="-3.7868951787414524E-4"/>
    <n v="4621.2"/>
    <s v="High"/>
    <s v="Repeat"/>
    <s v="Above Avg"/>
    <s v="Loss"/>
    <n v="87"/>
  </r>
  <r>
    <n v="13"/>
    <x v="12"/>
    <n v="1046"/>
    <s v="Customer_31"/>
    <s v="Corporate"/>
    <s v="East"/>
    <s v="Clothing"/>
    <s v="Product_B"/>
    <n v="999"/>
    <n v="3"/>
    <n v="0.27"/>
    <n v="-134"/>
    <x v="1"/>
    <n v="2187.81"/>
    <s v="Jan"/>
    <n v="2024"/>
    <s v="Q1"/>
    <n v="-6.1248463074947093E-2"/>
    <n v="809.19"/>
    <s v="Medium"/>
    <s v="Repeat"/>
    <s v="Below Avg"/>
    <s v="Loss"/>
    <n v="419"/>
  </r>
  <r>
    <n v="14"/>
    <x v="13"/>
    <n v="1096"/>
    <s v="Customer_21"/>
    <s v="Consumer"/>
    <s v="North"/>
    <s v="Clothing"/>
    <s v="Product_A"/>
    <n v="4554"/>
    <n v="9"/>
    <n v="0.02"/>
    <n v="1529"/>
    <x v="1"/>
    <n v="40166.28"/>
    <s v="Jan"/>
    <n v="2024"/>
    <s v="Q1"/>
    <n v="3.8066756493257532E-2"/>
    <n v="819.72"/>
    <s v="High"/>
    <s v="Repeat"/>
    <s v="Above Avg"/>
    <s v="Profit"/>
    <n v="2"/>
  </r>
  <r>
    <n v="15"/>
    <x v="14"/>
    <n v="1025"/>
    <s v="Customer_24"/>
    <s v="Corporate"/>
    <s v="South"/>
    <s v="Clothing"/>
    <s v="Product_A"/>
    <n v="2930"/>
    <n v="4"/>
    <n v="0.12"/>
    <n v="1243"/>
    <x v="1"/>
    <n v="10313.6"/>
    <s v="Jan"/>
    <n v="2024"/>
    <s v="Q1"/>
    <n v="0.12052047781569965"/>
    <n v="1406.3999999999999"/>
    <s v="High"/>
    <s v="Repeat"/>
    <s v="Below Avg"/>
    <s v="Profit"/>
    <n v="198"/>
  </r>
  <r>
    <n v="16"/>
    <x v="15"/>
    <n v="1083"/>
    <s v="Customer_19"/>
    <s v="Consumer"/>
    <s v="North"/>
    <s v="Furniture"/>
    <s v="Product_D"/>
    <n v="2870"/>
    <n v="2"/>
    <n v="0.05"/>
    <n v="1714"/>
    <x v="1"/>
    <n v="5453"/>
    <s v="Jan"/>
    <n v="2024"/>
    <s v="Q1"/>
    <n v="0.31432239134421419"/>
    <n v="287"/>
    <s v="High"/>
    <s v="Repeat"/>
    <s v="Below Avg"/>
    <s v="Profit"/>
    <n v="310"/>
  </r>
  <r>
    <n v="17"/>
    <x v="16"/>
    <n v="1078"/>
    <s v="Customer_61"/>
    <s v="Corporate"/>
    <s v="North"/>
    <s v="Clothing"/>
    <s v="Product_C"/>
    <n v="1320"/>
    <n v="4"/>
    <n v="0.15"/>
    <n v="644"/>
    <x v="0"/>
    <n v="4488"/>
    <s v="Jan"/>
    <n v="2024"/>
    <s v="Q1"/>
    <n v="0.14349376114081996"/>
    <n v="792"/>
    <s v="Medium"/>
    <s v="Repeat"/>
    <s v="Below Avg"/>
    <s v="Profit"/>
    <n v="338"/>
  </r>
  <r>
    <n v="18"/>
    <x v="17"/>
    <n v="1036"/>
    <s v="Customer_112"/>
    <s v="Consumer"/>
    <s v="North"/>
    <s v="Furniture"/>
    <s v="Product_A"/>
    <n v="4545"/>
    <n v="4"/>
    <n v="7.0000000000000007E-2"/>
    <n v="1171"/>
    <x v="0"/>
    <n v="16907.3999999999"/>
    <s v="Jan"/>
    <n v="2024"/>
    <s v="Q1"/>
    <n v="6.9259614133456771E-2"/>
    <n v="1272.6000000000001"/>
    <s v="High"/>
    <s v="Repeat"/>
    <s v="Above Avg"/>
    <s v="Profit"/>
    <n v="105"/>
  </r>
  <r>
    <n v="19"/>
    <x v="18"/>
    <n v="1096"/>
    <s v="Customer_188"/>
    <s v="Consumer"/>
    <s v="North"/>
    <s v="Electronics"/>
    <s v="Product_A"/>
    <n v="4690"/>
    <n v="1"/>
    <n v="0.12"/>
    <n v="-18"/>
    <x v="2"/>
    <n v="4127.2"/>
    <s v="Jan"/>
    <n v="2024"/>
    <s v="Q1"/>
    <n v="-4.3613103314595857E-3"/>
    <n v="562.79999999999995"/>
    <s v="Medium"/>
    <s v="Repeat"/>
    <s v="Below Avg"/>
    <s v="Loss"/>
    <n v="348"/>
  </r>
  <r>
    <n v="20"/>
    <x v="19"/>
    <n v="1080"/>
    <s v="Customer_124"/>
    <s v="Corporate"/>
    <s v="East"/>
    <s v="Furniture"/>
    <s v="Product_A"/>
    <n v="1487"/>
    <n v="8"/>
    <n v="0.11"/>
    <n v="992"/>
    <x v="1"/>
    <n v="10587.44"/>
    <s v="Jan"/>
    <n v="2024"/>
    <s v="Q1"/>
    <n v="9.3695926494034437E-2"/>
    <n v="1308.56"/>
    <s v="High"/>
    <s v="Repeat"/>
    <s v="Below Avg"/>
    <s v="Profit"/>
    <n v="196"/>
  </r>
  <r>
    <n v="21"/>
    <x v="20"/>
    <n v="1068"/>
    <s v="Customer_153"/>
    <s v="Consumer"/>
    <s v="South"/>
    <s v="Clothing"/>
    <s v="Product_B"/>
    <n v="2066"/>
    <n v="4"/>
    <n v="0.21"/>
    <n v="-488"/>
    <x v="0"/>
    <n v="6528.56"/>
    <s v="Jan"/>
    <n v="2024"/>
    <s v="Q1"/>
    <n v="-7.4748489712892274E-2"/>
    <n v="1735.4399999999998"/>
    <s v="High"/>
    <s v="Repeat"/>
    <s v="Below Avg"/>
    <s v="Loss"/>
    <n v="285"/>
  </r>
  <r>
    <n v="22"/>
    <x v="21"/>
    <n v="1049"/>
    <s v="Customer_20"/>
    <s v="Corporate"/>
    <s v="East"/>
    <s v="Clothing"/>
    <s v="Product_D"/>
    <n v="4415"/>
    <n v="4"/>
    <n v="0.22"/>
    <n v="316"/>
    <x v="2"/>
    <n v="13774.8"/>
    <s v="Jan"/>
    <n v="2024"/>
    <s v="Q1"/>
    <n v="2.2940441966489533E-2"/>
    <n v="3885.2"/>
    <s v="High"/>
    <s v="Repeat"/>
    <s v="Above Avg"/>
    <s v="Profit"/>
    <n v="149"/>
  </r>
  <r>
    <n v="23"/>
    <x v="22"/>
    <n v="1055"/>
    <s v="Customer_117"/>
    <s v="Consumer"/>
    <s v="West"/>
    <s v="Furniture"/>
    <s v="Product_A"/>
    <n v="790"/>
    <n v="7"/>
    <n v="0.13"/>
    <n v="1889"/>
    <x v="2"/>
    <n v="4811.1000000000004"/>
    <s v="Jan"/>
    <n v="2024"/>
    <s v="Q1"/>
    <n v="0.3926337012325663"/>
    <n v="718.9"/>
    <s v="Medium"/>
    <s v="Repeat"/>
    <s v="Below Avg"/>
    <s v="Profit"/>
    <n v="328"/>
  </r>
  <r>
    <n v="24"/>
    <x v="23"/>
    <n v="1067"/>
    <s v="Customer_154"/>
    <s v="Corporate"/>
    <s v="North"/>
    <s v="Clothing"/>
    <s v="Product_A"/>
    <n v="4346"/>
    <n v="2"/>
    <n v="7.0000000000000007E-2"/>
    <n v="-8"/>
    <x v="1"/>
    <n v="8083.5599999999904"/>
    <s v="Jan"/>
    <n v="2024"/>
    <s v="Q1"/>
    <n v="-9.8966297027547378E-4"/>
    <n v="608.44000000000005"/>
    <s v="High"/>
    <s v="Repeat"/>
    <s v="Below Avg"/>
    <s v="Loss"/>
    <n v="250"/>
  </r>
  <r>
    <n v="25"/>
    <x v="24"/>
    <n v="1002"/>
    <s v="Customer_127"/>
    <s v="Consumer"/>
    <s v="South"/>
    <s v="Furniture"/>
    <s v="Product_D"/>
    <n v="2176"/>
    <n v="6"/>
    <n v="0.24"/>
    <n v="337"/>
    <x v="0"/>
    <n v="9922.56"/>
    <s v="Jan"/>
    <n v="2024"/>
    <s v="Q1"/>
    <n v="3.3963009545923635E-2"/>
    <n v="3133.44"/>
    <s v="High"/>
    <s v="Repeat"/>
    <s v="Below Avg"/>
    <s v="Profit"/>
    <n v="201"/>
  </r>
  <r>
    <n v="26"/>
    <x v="25"/>
    <n v="1084"/>
    <s v="Customer_7"/>
    <s v="Corporate"/>
    <s v="North"/>
    <s v="Clothing"/>
    <s v="Product_C"/>
    <n v="1857"/>
    <n v="6"/>
    <n v="0.25"/>
    <n v="1296"/>
    <x v="1"/>
    <n v="8356.5"/>
    <s v="Jan"/>
    <n v="2024"/>
    <s v="Q1"/>
    <n v="0.15508885298869143"/>
    <n v="2785.5"/>
    <s v="High"/>
    <s v="Repeat"/>
    <s v="Below Avg"/>
    <s v="Profit"/>
    <n v="240"/>
  </r>
  <r>
    <n v="27"/>
    <x v="26"/>
    <n v="1039"/>
    <s v="Customer_195"/>
    <s v="Consumer"/>
    <s v="East"/>
    <s v="Furniture"/>
    <s v="Product_D"/>
    <n v="4258"/>
    <n v="7"/>
    <n v="0.16"/>
    <n v="1331"/>
    <x v="2"/>
    <n v="25037.040000000001"/>
    <s v="Jan"/>
    <n v="2024"/>
    <s v="Q1"/>
    <n v="5.3161236312279724E-2"/>
    <n v="4768.96"/>
    <s v="High"/>
    <s v="Repeat"/>
    <s v="Above Avg"/>
    <s v="Profit"/>
    <n v="42"/>
  </r>
  <r>
    <n v="28"/>
    <x v="27"/>
    <n v="1066"/>
    <s v="Customer_56"/>
    <s v="Consumer"/>
    <s v="South"/>
    <s v="Furniture"/>
    <s v="Product_D"/>
    <n v="270"/>
    <n v="2"/>
    <n v="7.0000000000000007E-2"/>
    <n v="1695"/>
    <x v="1"/>
    <n v="502.2"/>
    <s v="Jan"/>
    <n v="2024"/>
    <s v="Q1"/>
    <n v="3.3751493428912784"/>
    <n v="37.800000000000004"/>
    <s v="Low"/>
    <s v="Repeat"/>
    <s v="Below Avg"/>
    <s v="Profit"/>
    <n v="491"/>
  </r>
  <r>
    <n v="29"/>
    <x v="28"/>
    <n v="1084"/>
    <s v="Customer_72"/>
    <s v="Corporate"/>
    <s v="North"/>
    <s v="Furniture"/>
    <s v="Product_A"/>
    <n v="1757"/>
    <n v="7"/>
    <n v="0.24"/>
    <n v="1198"/>
    <x v="1"/>
    <n v="9347.24"/>
    <s v="Jan"/>
    <n v="2024"/>
    <s v="Q1"/>
    <n v="0.1281661752560114"/>
    <n v="2951.7599999999998"/>
    <s v="High"/>
    <s v="Repeat"/>
    <s v="Below Avg"/>
    <s v="Profit"/>
    <n v="223"/>
  </r>
  <r>
    <n v="30"/>
    <x v="29"/>
    <n v="1047"/>
    <s v="Customer_94"/>
    <s v="Corporate"/>
    <s v="West"/>
    <s v="Electronics"/>
    <s v="Product_A"/>
    <n v="2171"/>
    <n v="2"/>
    <n v="0.11"/>
    <n v="1464"/>
    <x v="0"/>
    <n v="3864.38"/>
    <s v="Jan"/>
    <n v="2024"/>
    <s v="Q1"/>
    <n v="0.37884473059067691"/>
    <n v="477.62"/>
    <s v="Medium"/>
    <s v="Repeat"/>
    <s v="Below Avg"/>
    <s v="Profit"/>
    <n v="359"/>
  </r>
  <r>
    <n v="31"/>
    <x v="30"/>
    <n v="1061"/>
    <s v="Customer_11"/>
    <s v="Consumer"/>
    <s v="North"/>
    <s v="Furniture"/>
    <s v="Product_D"/>
    <n v="4589"/>
    <n v="2"/>
    <n v="0.28000000000000003"/>
    <n v="1849"/>
    <x v="2"/>
    <n v="6608.16"/>
    <s v="Jan"/>
    <n v="2024"/>
    <s v="Q1"/>
    <n v="0.27980557371492215"/>
    <n v="2569.84"/>
    <s v="High"/>
    <s v="Repeat"/>
    <s v="Below Avg"/>
    <s v="Profit"/>
    <n v="284"/>
  </r>
  <r>
    <n v="32"/>
    <x v="31"/>
    <n v="1048"/>
    <s v="Customer_145"/>
    <s v="Consumer"/>
    <s v="North"/>
    <s v="Furniture"/>
    <s v="Product_A"/>
    <n v="1491"/>
    <n v="1"/>
    <n v="0.08"/>
    <n v="-440"/>
    <x v="0"/>
    <n v="1371.72"/>
    <s v="Feb"/>
    <n v="2024"/>
    <s v="Q1"/>
    <n v="-0.32076517073455224"/>
    <n v="119.28"/>
    <s v="Low"/>
    <s v="Repeat"/>
    <s v="Below Avg"/>
    <s v="Loss"/>
    <n v="464"/>
  </r>
  <r>
    <n v="33"/>
    <x v="32"/>
    <n v="1007"/>
    <s v="Customer_72"/>
    <s v="Corporate"/>
    <s v="North"/>
    <s v="Electronics"/>
    <s v="Product_D"/>
    <n v="4961"/>
    <n v="9"/>
    <n v="0.28000000000000003"/>
    <n v="1103"/>
    <x v="1"/>
    <n v="32147.279999999999"/>
    <s v="Feb"/>
    <n v="2024"/>
    <s v="Q1"/>
    <n v="3.4310834384744214E-2"/>
    <n v="12501.720000000001"/>
    <s v="High"/>
    <s v="Repeat"/>
    <s v="Above Avg"/>
    <s v="Profit"/>
    <n v="21"/>
  </r>
  <r>
    <n v="34"/>
    <x v="33"/>
    <n v="1099"/>
    <s v="Customer_175"/>
    <s v="Consumer"/>
    <s v="West"/>
    <s v="Electronics"/>
    <s v="Product_A"/>
    <n v="2141"/>
    <n v="9"/>
    <n v="0.13"/>
    <n v="191"/>
    <x v="2"/>
    <n v="16764.03"/>
    <s v="Feb"/>
    <n v="2024"/>
    <s v="Q1"/>
    <n v="1.1393441791741009E-2"/>
    <n v="2504.9700000000003"/>
    <s v="High"/>
    <s v="Repeat"/>
    <s v="Above Avg"/>
    <s v="Profit"/>
    <n v="108"/>
  </r>
  <r>
    <n v="35"/>
    <x v="34"/>
    <n v="1092"/>
    <s v="Customer_172"/>
    <s v="Consumer"/>
    <s v="West"/>
    <s v="Furniture"/>
    <s v="Product_B"/>
    <n v="4536"/>
    <n v="5"/>
    <n v="0.23"/>
    <n v="954"/>
    <x v="0"/>
    <n v="17463.599999999999"/>
    <s v="Feb"/>
    <n v="2024"/>
    <s v="Q1"/>
    <n v="5.4627911770768915E-2"/>
    <n v="5216.4000000000005"/>
    <s v="High"/>
    <s v="Repeat"/>
    <s v="Above Avg"/>
    <s v="Profit"/>
    <n v="98"/>
  </r>
  <r>
    <n v="36"/>
    <x v="35"/>
    <n v="1052"/>
    <s v="Customer_192"/>
    <s v="Corporate"/>
    <s v="South"/>
    <s v="Electronics"/>
    <s v="Product_A"/>
    <n v="2529"/>
    <n v="7"/>
    <n v="0.06"/>
    <n v="-454"/>
    <x v="1"/>
    <n v="16640.82"/>
    <s v="Feb"/>
    <n v="2024"/>
    <s v="Q1"/>
    <n v="-2.7282309405425934E-2"/>
    <n v="1062.18"/>
    <s v="High"/>
    <s v="Repeat"/>
    <s v="Above Avg"/>
    <s v="Loss"/>
    <n v="112"/>
  </r>
  <r>
    <n v="37"/>
    <x v="36"/>
    <n v="1097"/>
    <s v="Customer_158"/>
    <s v="Consumer"/>
    <s v="East"/>
    <s v="Clothing"/>
    <s v="Product_C"/>
    <n v="3484"/>
    <n v="7"/>
    <n v="0.19"/>
    <n v="-398"/>
    <x v="0"/>
    <n v="19754.28"/>
    <s v="Feb"/>
    <n v="2024"/>
    <s v="Q1"/>
    <n v="-2.0147532585343533E-2"/>
    <n v="4633.72"/>
    <s v="High"/>
    <s v="Repeat"/>
    <s v="Above Avg"/>
    <s v="Loss"/>
    <n v="81"/>
  </r>
  <r>
    <n v="38"/>
    <x v="37"/>
    <n v="1085"/>
    <s v="Customer_43"/>
    <s v="Consumer"/>
    <s v="North"/>
    <s v="Furniture"/>
    <s v="Product_B"/>
    <n v="100"/>
    <n v="3"/>
    <n v="0.17"/>
    <n v="-325"/>
    <x v="2"/>
    <n v="249"/>
    <s v="Feb"/>
    <n v="2024"/>
    <s v="Q1"/>
    <n v="-1.3052208835341366"/>
    <n v="51.000000000000007"/>
    <s v="Low"/>
    <s v="Repeat"/>
    <s v="Below Avg"/>
    <s v="Loss"/>
    <n v="498"/>
  </r>
  <r>
    <n v="39"/>
    <x v="38"/>
    <n v="1094"/>
    <s v="Customer_16"/>
    <s v="Consumer"/>
    <s v="East"/>
    <s v="Electronics"/>
    <s v="Product_D"/>
    <n v="1152"/>
    <n v="2"/>
    <n v="0.13"/>
    <n v="-297"/>
    <x v="0"/>
    <n v="2004.48"/>
    <s v="Feb"/>
    <n v="2024"/>
    <s v="Q1"/>
    <n v="-0.14816810344827586"/>
    <n v="299.52"/>
    <s v="Medium"/>
    <s v="Repeat"/>
    <s v="Below Avg"/>
    <s v="Loss"/>
    <n v="430"/>
  </r>
  <r>
    <n v="40"/>
    <x v="39"/>
    <n v="1027"/>
    <s v="Customer_119"/>
    <s v="Corporate"/>
    <s v="South"/>
    <s v="Electronics"/>
    <s v="Product_A"/>
    <n v="1345"/>
    <n v="4"/>
    <n v="0.22"/>
    <n v="1624"/>
    <x v="2"/>
    <n v="4196.3999999999996"/>
    <s v="Feb"/>
    <n v="2024"/>
    <s v="Q1"/>
    <n v="0.38699837956343536"/>
    <n v="1183.5999999999999"/>
    <s v="Medium"/>
    <s v="Repeat"/>
    <s v="Below Avg"/>
    <s v="Profit"/>
    <n v="346"/>
  </r>
  <r>
    <n v="41"/>
    <x v="40"/>
    <n v="1034"/>
    <s v="Customer_4"/>
    <s v="Corporate"/>
    <s v="West"/>
    <s v="Furniture"/>
    <s v="Product_D"/>
    <n v="3274"/>
    <n v="8"/>
    <n v="0.25"/>
    <n v="578"/>
    <x v="1"/>
    <n v="19644"/>
    <s v="Feb"/>
    <n v="2024"/>
    <s v="Q1"/>
    <n v="2.942374261861128E-2"/>
    <n v="6548"/>
    <s v="High"/>
    <s v="Repeat"/>
    <s v="Above Avg"/>
    <s v="Profit"/>
    <n v="82"/>
  </r>
  <r>
    <n v="42"/>
    <x v="41"/>
    <n v="1097"/>
    <s v="Customer_85"/>
    <s v="Corporate"/>
    <s v="South"/>
    <s v="Furniture"/>
    <s v="Product_C"/>
    <n v="2350"/>
    <n v="1"/>
    <n v="0.22"/>
    <n v="1840"/>
    <x v="0"/>
    <n v="1833"/>
    <s v="Feb"/>
    <n v="2024"/>
    <s v="Q1"/>
    <n v="1.0038188761593017"/>
    <n v="517"/>
    <s v="Low"/>
    <s v="Repeat"/>
    <s v="Below Avg"/>
    <s v="Profit"/>
    <n v="439"/>
  </r>
  <r>
    <n v="43"/>
    <x v="42"/>
    <n v="1076"/>
    <s v="Customer_50"/>
    <s v="Consumer"/>
    <s v="West"/>
    <s v="Electronics"/>
    <s v="Product_D"/>
    <n v="1934"/>
    <n v="8"/>
    <n v="0.24"/>
    <n v="1168"/>
    <x v="1"/>
    <n v="11758.72"/>
    <s v="Feb"/>
    <n v="2024"/>
    <s v="Q1"/>
    <n v="9.933053937843575E-2"/>
    <n v="3713.2799999999997"/>
    <s v="High"/>
    <s v="Repeat"/>
    <s v="Above Avg"/>
    <s v="Profit"/>
    <n v="175"/>
  </r>
  <r>
    <n v="44"/>
    <x v="43"/>
    <n v="1040"/>
    <s v="Customer_34"/>
    <s v="Corporate"/>
    <s v="North"/>
    <s v="Electronics"/>
    <s v="Product_C"/>
    <n v="3605"/>
    <n v="2"/>
    <n v="0.22"/>
    <n v="1510"/>
    <x v="1"/>
    <n v="5623.8"/>
    <s v="Feb"/>
    <n v="2024"/>
    <s v="Q1"/>
    <n v="0.26850172481240442"/>
    <n v="1586.2"/>
    <s v="High"/>
    <s v="Repeat"/>
    <s v="Below Avg"/>
    <s v="Profit"/>
    <n v="305"/>
  </r>
  <r>
    <n v="45"/>
    <x v="44"/>
    <n v="1003"/>
    <s v="Customer_35"/>
    <s v="Corporate"/>
    <s v="East"/>
    <s v="Furniture"/>
    <s v="Product_B"/>
    <n v="4693"/>
    <n v="8"/>
    <n v="0.04"/>
    <n v="1809"/>
    <x v="0"/>
    <n v="36042.239999999998"/>
    <s v="Feb"/>
    <n v="2024"/>
    <s v="Q1"/>
    <n v="5.019110909865758E-2"/>
    <n v="1501.76"/>
    <s v="High"/>
    <s v="Repeat"/>
    <s v="Above Avg"/>
    <s v="Profit"/>
    <n v="7"/>
  </r>
  <r>
    <n v="46"/>
    <x v="45"/>
    <n v="1069"/>
    <s v="Customer_64"/>
    <s v="Consumer"/>
    <s v="South"/>
    <s v="Furniture"/>
    <s v="Product_C"/>
    <n v="4092"/>
    <n v="2"/>
    <n v="0.23"/>
    <n v="779"/>
    <x v="1"/>
    <n v="6301.68"/>
    <s v="Feb"/>
    <n v="2024"/>
    <s v="Q1"/>
    <n v="0.12361782889642127"/>
    <n v="1882.3200000000002"/>
    <s v="High"/>
    <s v="Repeat"/>
    <s v="Below Avg"/>
    <s v="Profit"/>
    <n v="290"/>
  </r>
  <r>
    <n v="47"/>
    <x v="46"/>
    <n v="1064"/>
    <s v="Customer_13"/>
    <s v="Corporate"/>
    <s v="West"/>
    <s v="Electronics"/>
    <s v="Product_B"/>
    <n v="1788"/>
    <n v="7"/>
    <n v="0.06"/>
    <n v="-196"/>
    <x v="1"/>
    <n v="11765.039999999901"/>
    <s v="Feb"/>
    <n v="2024"/>
    <s v="Q1"/>
    <n v="-1.6659526869437048E-2"/>
    <n v="750.95999999999992"/>
    <s v="High"/>
    <s v="Repeat"/>
    <s v="Above Avg"/>
    <s v="Loss"/>
    <n v="174"/>
  </r>
  <r>
    <n v="48"/>
    <x v="47"/>
    <n v="1075"/>
    <s v="Customer_107"/>
    <s v="Corporate"/>
    <s v="West"/>
    <s v="Clothing"/>
    <s v="Product_C"/>
    <n v="343"/>
    <n v="3"/>
    <n v="0.03"/>
    <n v="1062"/>
    <x v="0"/>
    <n v="998.13"/>
    <s v="Feb"/>
    <n v="2024"/>
    <s v="Q1"/>
    <n v="1.0639896606654444"/>
    <n v="30.869999999999997"/>
    <s v="Low"/>
    <s v="Repeat"/>
    <s v="Below Avg"/>
    <s v="Profit"/>
    <n v="479"/>
  </r>
  <r>
    <n v="49"/>
    <x v="48"/>
    <n v="1034"/>
    <s v="Customer_27"/>
    <s v="Consumer"/>
    <s v="South"/>
    <s v="Electronics"/>
    <s v="Product_B"/>
    <n v="1734"/>
    <n v="6"/>
    <n v="0.27"/>
    <n v="318"/>
    <x v="0"/>
    <n v="7594.92"/>
    <s v="Feb"/>
    <n v="2024"/>
    <s v="Q1"/>
    <n v="4.1870092114202652E-2"/>
    <n v="2809.0800000000004"/>
    <s v="High"/>
    <s v="Repeat"/>
    <s v="Below Avg"/>
    <s v="Profit"/>
    <n v="263"/>
  </r>
  <r>
    <n v="50"/>
    <x v="49"/>
    <n v="1058"/>
    <s v="Customer_169"/>
    <s v="Consumer"/>
    <s v="East"/>
    <s v="Furniture"/>
    <s v="Product_C"/>
    <n v="2310"/>
    <n v="7"/>
    <n v="0.18"/>
    <n v="-22"/>
    <x v="2"/>
    <n v="13259.4"/>
    <s v="Feb"/>
    <n v="2024"/>
    <s v="Q1"/>
    <n v="-1.6592002654720426E-3"/>
    <n v="2910.6"/>
    <s v="High"/>
    <s v="Repeat"/>
    <s v="Above Avg"/>
    <s v="Loss"/>
    <n v="157"/>
  </r>
  <r>
    <n v="51"/>
    <x v="50"/>
    <n v="1010"/>
    <s v="Customer_42"/>
    <s v="Consumer"/>
    <s v="East"/>
    <s v="Clothing"/>
    <s v="Product_B"/>
    <n v="274"/>
    <n v="6"/>
    <n v="0.05"/>
    <n v="-327"/>
    <x v="2"/>
    <n v="1561.8"/>
    <s v="Feb"/>
    <n v="2024"/>
    <s v="Q1"/>
    <n v="-0.20937379946215906"/>
    <n v="82.2"/>
    <s v="Low"/>
    <s v="Repeat"/>
    <s v="Below Avg"/>
    <s v="Loss"/>
    <n v="455"/>
  </r>
  <r>
    <n v="52"/>
    <x v="51"/>
    <n v="1022"/>
    <s v="Customer_157"/>
    <s v="Corporate"/>
    <s v="West"/>
    <s v="Clothing"/>
    <s v="Product_A"/>
    <n v="2319"/>
    <n v="5"/>
    <n v="0.19"/>
    <n v="51"/>
    <x v="2"/>
    <n v="9391.9500000000007"/>
    <s v="Feb"/>
    <n v="2024"/>
    <s v="Q1"/>
    <n v="5.4301822305272062E-3"/>
    <n v="2203.0500000000002"/>
    <s v="High"/>
    <s v="Repeat"/>
    <s v="Below Avg"/>
    <s v="Profit"/>
    <n v="222"/>
  </r>
  <r>
    <n v="53"/>
    <x v="52"/>
    <n v="1077"/>
    <s v="Customer_144"/>
    <s v="Corporate"/>
    <s v="North"/>
    <s v="Electronics"/>
    <s v="Product_B"/>
    <n v="3756"/>
    <n v="9"/>
    <n v="0.1"/>
    <n v="1822"/>
    <x v="1"/>
    <n v="30423.599999999999"/>
    <s v="Feb"/>
    <n v="2024"/>
    <s v="Q1"/>
    <n v="5.9887718744658758E-2"/>
    <n v="3380.4"/>
    <s v="High"/>
    <s v="Repeat"/>
    <s v="Above Avg"/>
    <s v="Profit"/>
    <n v="23"/>
  </r>
  <r>
    <n v="54"/>
    <x v="53"/>
    <n v="1018"/>
    <s v="Customer_181"/>
    <s v="Corporate"/>
    <s v="North"/>
    <s v="Furniture"/>
    <s v="Product_D"/>
    <n v="366"/>
    <n v="9"/>
    <n v="0.04"/>
    <n v="-461"/>
    <x v="0"/>
    <n v="3162.24"/>
    <s v="Feb"/>
    <n v="2024"/>
    <s v="Q1"/>
    <n v="-0.14578273628820079"/>
    <n v="131.76"/>
    <s v="Medium"/>
    <s v="Repeat"/>
    <s v="Below Avg"/>
    <s v="Loss"/>
    <n v="388"/>
  </r>
  <r>
    <n v="55"/>
    <x v="54"/>
    <n v="1015"/>
    <s v="Customer_46"/>
    <s v="Corporate"/>
    <s v="North"/>
    <s v="Clothing"/>
    <s v="Product_A"/>
    <n v="1482"/>
    <n v="3"/>
    <n v="0.24"/>
    <n v="1102"/>
    <x v="2"/>
    <n v="3378.96"/>
    <s v="Feb"/>
    <n v="2024"/>
    <s v="Q1"/>
    <n v="0.32613585245164189"/>
    <n v="1067.04"/>
    <s v="Medium"/>
    <s v="Repeat"/>
    <s v="Below Avg"/>
    <s v="Profit"/>
    <n v="381"/>
  </r>
  <r>
    <n v="56"/>
    <x v="55"/>
    <n v="1027"/>
    <s v="Customer_197"/>
    <s v="Corporate"/>
    <s v="North"/>
    <s v="Electronics"/>
    <s v="Product_C"/>
    <n v="879"/>
    <n v="7"/>
    <n v="0.03"/>
    <n v="1934"/>
    <x v="1"/>
    <n v="5968.41"/>
    <s v="Feb"/>
    <n v="2024"/>
    <s v="Q1"/>
    <n v="0.3240394007784318"/>
    <n v="184.59"/>
    <s v="High"/>
    <s v="Repeat"/>
    <s v="Below Avg"/>
    <s v="Profit"/>
    <n v="298"/>
  </r>
  <r>
    <n v="57"/>
    <x v="56"/>
    <n v="1030"/>
    <s v="Customer_37"/>
    <s v="Corporate"/>
    <s v="East"/>
    <s v="Furniture"/>
    <s v="Product_B"/>
    <n v="4731"/>
    <n v="2"/>
    <n v="0.28999999999999998"/>
    <n v="1177"/>
    <x v="2"/>
    <n v="6718.0199999999904"/>
    <s v="Feb"/>
    <n v="2024"/>
    <s v="Q1"/>
    <n v="0.17520043107939567"/>
    <n v="2743.98"/>
    <s v="High"/>
    <s v="Repeat"/>
    <s v="Below Avg"/>
    <s v="Profit"/>
    <n v="282"/>
  </r>
  <r>
    <n v="58"/>
    <x v="57"/>
    <n v="1052"/>
    <s v="Customer_104"/>
    <s v="Consumer"/>
    <s v="West"/>
    <s v="Furniture"/>
    <s v="Product_B"/>
    <n v="766"/>
    <n v="1"/>
    <n v="0.23"/>
    <n v="993"/>
    <x v="2"/>
    <n v="589.82000000000005"/>
    <s v="Feb"/>
    <n v="2024"/>
    <s v="Q1"/>
    <n v="1.6835644772981586"/>
    <n v="176.18"/>
    <s v="Low"/>
    <s v="Repeat"/>
    <s v="Below Avg"/>
    <s v="Profit"/>
    <n v="487"/>
  </r>
  <r>
    <n v="59"/>
    <x v="58"/>
    <n v="1070"/>
    <s v="Customer_188"/>
    <s v="Consumer"/>
    <s v="West"/>
    <s v="Furniture"/>
    <s v="Product_B"/>
    <n v="1257"/>
    <n v="4"/>
    <n v="0.21"/>
    <n v="-182"/>
    <x v="0"/>
    <n v="3972.12"/>
    <s v="Feb"/>
    <n v="2024"/>
    <s v="Q1"/>
    <n v="-4.581936094579217E-2"/>
    <n v="1055.8799999999999"/>
    <s v="Medium"/>
    <s v="Repeat"/>
    <s v="Below Avg"/>
    <s v="Loss"/>
    <n v="354"/>
  </r>
  <r>
    <n v="60"/>
    <x v="59"/>
    <n v="1026"/>
    <s v="Customer_143"/>
    <s v="Consumer"/>
    <s v="North"/>
    <s v="Electronics"/>
    <s v="Product_C"/>
    <n v="4776"/>
    <n v="3"/>
    <n v="7.0000000000000007E-2"/>
    <n v="1297"/>
    <x v="0"/>
    <n v="13325.039999999901"/>
    <s v="Feb"/>
    <n v="2024"/>
    <s v="Q1"/>
    <n v="9.7335542707564823E-2"/>
    <n v="1002.9600000000002"/>
    <s v="High"/>
    <s v="Repeat"/>
    <s v="Above Avg"/>
    <s v="Profit"/>
    <n v="156"/>
  </r>
  <r>
    <n v="61"/>
    <x v="60"/>
    <n v="1080"/>
    <s v="Customer_149"/>
    <s v="Consumer"/>
    <s v="West"/>
    <s v="Furniture"/>
    <s v="Product_D"/>
    <n v="963"/>
    <n v="4"/>
    <n v="0.23"/>
    <n v="-271"/>
    <x v="1"/>
    <n v="2966.04"/>
    <s v="Mar"/>
    <n v="2024"/>
    <s v="Q1"/>
    <n v="-9.1367614732100713E-2"/>
    <n v="885.96"/>
    <s v="Medium"/>
    <s v="Repeat"/>
    <s v="Below Avg"/>
    <s v="Loss"/>
    <n v="395"/>
  </r>
  <r>
    <n v="62"/>
    <x v="61"/>
    <n v="1006"/>
    <s v="Customer_34"/>
    <s v="Corporate"/>
    <s v="East"/>
    <s v="Clothing"/>
    <s v="Product_C"/>
    <n v="4000"/>
    <n v="3"/>
    <n v="0.01"/>
    <n v="1902"/>
    <x v="2"/>
    <n v="11880"/>
    <s v="Mar"/>
    <n v="2024"/>
    <s v="Q1"/>
    <n v="0.1601010101010101"/>
    <n v="120"/>
    <s v="High"/>
    <s v="Repeat"/>
    <s v="Above Avg"/>
    <s v="Profit"/>
    <n v="171"/>
  </r>
  <r>
    <n v="63"/>
    <x v="62"/>
    <n v="1014"/>
    <s v="Customer_9"/>
    <s v="Consumer"/>
    <s v="South"/>
    <s v="Electronics"/>
    <s v="Product_B"/>
    <n v="156"/>
    <n v="9"/>
    <n v="0.17"/>
    <n v="325"/>
    <x v="2"/>
    <n v="1165.32"/>
    <s v="Mar"/>
    <n v="2024"/>
    <s v="Q1"/>
    <n v="0.2788933511825078"/>
    <n v="238.68"/>
    <s v="Low"/>
    <s v="Repeat"/>
    <s v="Below Avg"/>
    <s v="Profit"/>
    <n v="472"/>
  </r>
  <r>
    <n v="64"/>
    <x v="63"/>
    <n v="1075"/>
    <s v="Customer_154"/>
    <s v="Consumer"/>
    <s v="South"/>
    <s v="Electronics"/>
    <s v="Product_A"/>
    <n v="3350"/>
    <n v="4"/>
    <n v="0.09"/>
    <n v="1332"/>
    <x v="2"/>
    <n v="12194"/>
    <s v="Mar"/>
    <n v="2024"/>
    <s v="Q1"/>
    <n v="0.109234049532557"/>
    <n v="1206"/>
    <s v="High"/>
    <s v="Repeat"/>
    <s v="Above Avg"/>
    <s v="Profit"/>
    <n v="165"/>
  </r>
  <r>
    <n v="65"/>
    <x v="64"/>
    <n v="1054"/>
    <s v="Customer_77"/>
    <s v="Consumer"/>
    <s v="West"/>
    <s v="Electronics"/>
    <s v="Product_B"/>
    <n v="642"/>
    <n v="4"/>
    <n v="0.25"/>
    <n v="30"/>
    <x v="0"/>
    <n v="1926"/>
    <s v="Mar"/>
    <n v="2024"/>
    <s v="Q1"/>
    <n v="1.5576323987538941E-2"/>
    <n v="642"/>
    <s v="Low"/>
    <s v="Repeat"/>
    <s v="Below Avg"/>
    <s v="Profit"/>
    <n v="434"/>
  </r>
  <r>
    <n v="66"/>
    <x v="65"/>
    <n v="1071"/>
    <s v="Customer_146"/>
    <s v="Corporate"/>
    <s v="West"/>
    <s v="Electronics"/>
    <s v="Product_A"/>
    <n v="1032"/>
    <n v="7"/>
    <n v="0.23"/>
    <n v="-33"/>
    <x v="0"/>
    <n v="5562.48"/>
    <s v="Mar"/>
    <n v="2024"/>
    <s v="Q1"/>
    <n v="-5.9326056003796875E-3"/>
    <n v="1661.52"/>
    <s v="High"/>
    <s v="Repeat"/>
    <s v="Below Avg"/>
    <s v="Loss"/>
    <n v="307"/>
  </r>
  <r>
    <n v="67"/>
    <x v="66"/>
    <n v="1001"/>
    <s v="Customer_1"/>
    <s v="Consumer"/>
    <s v="West"/>
    <s v="Furniture"/>
    <s v="Product_B"/>
    <n v="950"/>
    <n v="4"/>
    <n v="0.15"/>
    <n v="1734"/>
    <x v="2"/>
    <n v="3230"/>
    <s v="Mar"/>
    <n v="2024"/>
    <s v="Q1"/>
    <n v="0.5368421052631579"/>
    <n v="570"/>
    <s v="Medium"/>
    <s v="Repeat"/>
    <s v="Below Avg"/>
    <s v="Profit"/>
    <n v="387"/>
  </r>
  <r>
    <n v="68"/>
    <x v="67"/>
    <n v="1043"/>
    <s v="Customer_23"/>
    <s v="Corporate"/>
    <s v="North"/>
    <s v="Electronics"/>
    <s v="Product_D"/>
    <n v="1275"/>
    <n v="9"/>
    <n v="0.14000000000000001"/>
    <n v="1604"/>
    <x v="1"/>
    <n v="9868.5"/>
    <s v="Mar"/>
    <n v="2024"/>
    <s v="Q1"/>
    <n v="0.16253736636773572"/>
    <n v="1606.5000000000002"/>
    <s v="High"/>
    <s v="New"/>
    <s v="Below Avg"/>
    <s v="Profit"/>
    <n v="204"/>
  </r>
  <r>
    <n v="69"/>
    <x v="68"/>
    <n v="1058"/>
    <s v="Customer_33"/>
    <s v="Consumer"/>
    <s v="North"/>
    <s v="Clothing"/>
    <s v="Product_D"/>
    <n v="622"/>
    <n v="9"/>
    <n v="0.02"/>
    <n v="442"/>
    <x v="1"/>
    <n v="5486.04"/>
    <s v="Mar"/>
    <n v="2024"/>
    <s v="Q1"/>
    <n v="8.0568132933773726E-2"/>
    <n v="111.96000000000001"/>
    <s v="High"/>
    <s v="Repeat"/>
    <s v="Below Avg"/>
    <s v="Profit"/>
    <n v="309"/>
  </r>
  <r>
    <n v="70"/>
    <x v="69"/>
    <n v="1055"/>
    <s v="Customer_175"/>
    <s v="Consumer"/>
    <s v="West"/>
    <s v="Clothing"/>
    <s v="Product_C"/>
    <n v="209"/>
    <n v="9"/>
    <n v="7.0000000000000007E-2"/>
    <n v="79"/>
    <x v="1"/>
    <n v="1749.33"/>
    <s v="Mar"/>
    <n v="2024"/>
    <s v="Q1"/>
    <n v="4.5160147027719186E-2"/>
    <n v="131.67000000000002"/>
    <s v="Low"/>
    <s v="Repeat"/>
    <s v="Below Avg"/>
    <s v="Profit"/>
    <n v="444"/>
  </r>
  <r>
    <n v="71"/>
    <x v="70"/>
    <n v="1025"/>
    <s v="Customer_95"/>
    <s v="Consumer"/>
    <s v="South"/>
    <s v="Clothing"/>
    <s v="Product_D"/>
    <n v="3545"/>
    <n v="6"/>
    <n v="0.21"/>
    <n v="706"/>
    <x v="1"/>
    <n v="16803.3"/>
    <s v="Mar"/>
    <n v="2024"/>
    <s v="Q1"/>
    <n v="4.2015556468074727E-2"/>
    <n v="4466.7"/>
    <s v="High"/>
    <s v="Repeat"/>
    <s v="Above Avg"/>
    <s v="Profit"/>
    <n v="107"/>
  </r>
  <r>
    <n v="72"/>
    <x v="71"/>
    <n v="1050"/>
    <s v="Customer_122"/>
    <s v="Corporate"/>
    <s v="East"/>
    <s v="Clothing"/>
    <s v="Product_A"/>
    <n v="156"/>
    <n v="9"/>
    <n v="0.02"/>
    <n v="56"/>
    <x v="2"/>
    <n v="1375.92"/>
    <s v="Mar"/>
    <n v="2024"/>
    <s v="Q1"/>
    <n v="4.0700040700040699E-2"/>
    <n v="28.080000000000002"/>
    <s v="Low"/>
    <s v="Repeat"/>
    <s v="Below Avg"/>
    <s v="Profit"/>
    <n v="463"/>
  </r>
  <r>
    <n v="73"/>
    <x v="72"/>
    <n v="1084"/>
    <s v="Customer_21"/>
    <s v="Consumer"/>
    <s v="West"/>
    <s v="Clothing"/>
    <s v="Product_C"/>
    <n v="3923"/>
    <n v="3"/>
    <n v="0.24"/>
    <n v="1141"/>
    <x v="0"/>
    <n v="8944.44"/>
    <s v="Mar"/>
    <n v="2024"/>
    <s v="Q1"/>
    <n v="0.12756528077777926"/>
    <n v="2824.56"/>
    <s v="High"/>
    <s v="Repeat"/>
    <s v="Below Avg"/>
    <s v="Profit"/>
    <n v="232"/>
  </r>
  <r>
    <n v="74"/>
    <x v="73"/>
    <n v="1056"/>
    <s v="Customer_61"/>
    <s v="Corporate"/>
    <s v="East"/>
    <s v="Electronics"/>
    <s v="Product_D"/>
    <n v="1766"/>
    <n v="2"/>
    <n v="0.28999999999999998"/>
    <n v="620"/>
    <x v="1"/>
    <n v="2507.7199999999998"/>
    <s v="Mar"/>
    <n v="2024"/>
    <s v="Q1"/>
    <n v="0.24723653358429173"/>
    <n v="1024.28"/>
    <s v="Medium"/>
    <s v="Repeat"/>
    <s v="Below Avg"/>
    <s v="Profit"/>
    <n v="410"/>
  </r>
  <r>
    <n v="75"/>
    <x v="74"/>
    <n v="1049"/>
    <s v="Customer_27"/>
    <s v="Consumer"/>
    <s v="East"/>
    <s v="Furniture"/>
    <s v="Product_B"/>
    <n v="4017"/>
    <n v="2"/>
    <n v="0.02"/>
    <n v="755"/>
    <x v="2"/>
    <n v="7873.32"/>
    <s v="Mar"/>
    <n v="2024"/>
    <s v="Q1"/>
    <n v="9.58934731472873E-2"/>
    <n v="160.68"/>
    <s v="High"/>
    <s v="Repeat"/>
    <s v="Below Avg"/>
    <s v="Profit"/>
    <n v="255"/>
  </r>
  <r>
    <n v="76"/>
    <x v="75"/>
    <n v="1012"/>
    <s v="Customer_191"/>
    <s v="Consumer"/>
    <s v="East"/>
    <s v="Clothing"/>
    <s v="Product_D"/>
    <n v="1527"/>
    <n v="7"/>
    <n v="0.14000000000000001"/>
    <n v="-113"/>
    <x v="2"/>
    <n v="9192.53999999999"/>
    <s v="Mar"/>
    <n v="2024"/>
    <s v="Q1"/>
    <n v="-1.2292576371710117E-2"/>
    <n v="1496.46"/>
    <s v="High"/>
    <s v="Repeat"/>
    <s v="Below Avg"/>
    <s v="Loss"/>
    <n v="227"/>
  </r>
  <r>
    <n v="77"/>
    <x v="76"/>
    <n v="1018"/>
    <s v="Customer_102"/>
    <s v="Consumer"/>
    <s v="East"/>
    <s v="Furniture"/>
    <s v="Product_C"/>
    <n v="604"/>
    <n v="5"/>
    <n v="0.17"/>
    <n v="213"/>
    <x v="2"/>
    <n v="2506.6"/>
    <s v="Mar"/>
    <n v="2024"/>
    <s v="Q1"/>
    <n v="8.497566424638954E-2"/>
    <n v="513.40000000000009"/>
    <s v="Medium"/>
    <s v="Repeat"/>
    <s v="Below Avg"/>
    <s v="Profit"/>
    <n v="411"/>
  </r>
  <r>
    <n v="78"/>
    <x v="77"/>
    <n v="1081"/>
    <s v="Customer_180"/>
    <s v="Consumer"/>
    <s v="North"/>
    <s v="Clothing"/>
    <s v="Product_D"/>
    <n v="3795"/>
    <n v="4"/>
    <n v="0.24"/>
    <n v="842"/>
    <x v="0"/>
    <n v="11536.8"/>
    <s v="Mar"/>
    <n v="2024"/>
    <s v="Q1"/>
    <n v="7.2983843006726307E-2"/>
    <n v="3643.2"/>
    <s v="High"/>
    <s v="Repeat"/>
    <s v="Above Avg"/>
    <s v="Profit"/>
    <n v="181"/>
  </r>
  <r>
    <n v="79"/>
    <x v="78"/>
    <n v="1001"/>
    <s v="Customer_192"/>
    <s v="Consumer"/>
    <s v="West"/>
    <s v="Clothing"/>
    <s v="Product_A"/>
    <n v="4704"/>
    <n v="2"/>
    <n v="0.05"/>
    <n v="-31"/>
    <x v="1"/>
    <n v="8937.6"/>
    <s v="Mar"/>
    <n v="2024"/>
    <s v="Q1"/>
    <n v="-3.4684926602219835E-3"/>
    <n v="470.40000000000003"/>
    <s v="High"/>
    <s v="Repeat"/>
    <s v="Below Avg"/>
    <s v="Loss"/>
    <n v="233"/>
  </r>
  <r>
    <n v="80"/>
    <x v="79"/>
    <n v="1051"/>
    <s v="Customer_142"/>
    <s v="Corporate"/>
    <s v="East"/>
    <s v="Clothing"/>
    <s v="Product_A"/>
    <n v="1428"/>
    <n v="4"/>
    <n v="0.11"/>
    <n v="361"/>
    <x v="0"/>
    <n v="5083.68"/>
    <s v="Mar"/>
    <n v="2024"/>
    <s v="Q1"/>
    <n v="7.10115506876908E-2"/>
    <n v="628.32000000000005"/>
    <s v="High"/>
    <s v="Repeat"/>
    <s v="Below Avg"/>
    <s v="Profit"/>
    <n v="320"/>
  </r>
  <r>
    <n v="81"/>
    <x v="80"/>
    <n v="1044"/>
    <s v="Customer_101"/>
    <s v="Corporate"/>
    <s v="East"/>
    <s v="Furniture"/>
    <s v="Product_A"/>
    <n v="783"/>
    <n v="6"/>
    <n v="0.25"/>
    <n v="-54"/>
    <x v="2"/>
    <n v="3523.5"/>
    <s v="Mar"/>
    <n v="2024"/>
    <s v="Q1"/>
    <n v="-1.532567049808429E-2"/>
    <n v="1174.5"/>
    <s v="Medium"/>
    <s v="Repeat"/>
    <s v="Below Avg"/>
    <s v="Loss"/>
    <n v="376"/>
  </r>
  <r>
    <n v="82"/>
    <x v="81"/>
    <n v="1048"/>
    <s v="Customer_175"/>
    <s v="Consumer"/>
    <s v="South"/>
    <s v="Electronics"/>
    <s v="Product_A"/>
    <n v="222"/>
    <n v="6"/>
    <n v="0.16"/>
    <n v="9"/>
    <x v="0"/>
    <n v="1118.8799999999901"/>
    <s v="Mar"/>
    <n v="2024"/>
    <s v="Q1"/>
    <n v="8.043758043758115E-3"/>
    <n v="213.12"/>
    <s v="Low"/>
    <s v="Repeat"/>
    <s v="Below Avg"/>
    <s v="Profit"/>
    <n v="474"/>
  </r>
  <r>
    <n v="83"/>
    <x v="82"/>
    <n v="1056"/>
    <s v="Customer_7"/>
    <s v="Corporate"/>
    <s v="West"/>
    <s v="Clothing"/>
    <s v="Product_A"/>
    <n v="1447"/>
    <n v="8"/>
    <n v="0.05"/>
    <n v="1686"/>
    <x v="0"/>
    <n v="10997.199999999901"/>
    <s v="Mar"/>
    <n v="2024"/>
    <s v="Q1"/>
    <n v="0.15331175208234962"/>
    <n v="578.80000000000007"/>
    <s v="High"/>
    <s v="Repeat"/>
    <s v="Above Avg"/>
    <s v="Profit"/>
    <n v="191"/>
  </r>
  <r>
    <n v="84"/>
    <x v="83"/>
    <n v="1091"/>
    <s v="Customer_76"/>
    <s v="Corporate"/>
    <s v="East"/>
    <s v="Electronics"/>
    <s v="Product_C"/>
    <n v="4171"/>
    <n v="6"/>
    <n v="0.26"/>
    <n v="1941"/>
    <x v="0"/>
    <n v="18519.2399999999"/>
    <s v="Mar"/>
    <n v="2024"/>
    <s v="Q1"/>
    <n v="0.10480991660564962"/>
    <n v="6506.76"/>
    <s v="High"/>
    <s v="Repeat"/>
    <s v="Above Avg"/>
    <s v="Profit"/>
    <n v="86"/>
  </r>
  <r>
    <n v="85"/>
    <x v="84"/>
    <n v="1049"/>
    <s v="Customer_156"/>
    <s v="Corporate"/>
    <s v="North"/>
    <s v="Clothing"/>
    <s v="Product_D"/>
    <n v="2001"/>
    <n v="5"/>
    <n v="0.28000000000000003"/>
    <n v="832"/>
    <x v="0"/>
    <n v="7203.5999999999904"/>
    <s v="Mar"/>
    <n v="2024"/>
    <s v="Q1"/>
    <n v="0.1154978066522296"/>
    <n v="2801.4"/>
    <s v="High"/>
    <s v="Repeat"/>
    <s v="Below Avg"/>
    <s v="Profit"/>
    <n v="271"/>
  </r>
  <r>
    <n v="86"/>
    <x v="85"/>
    <n v="1086"/>
    <s v="Customer_131"/>
    <s v="Consumer"/>
    <s v="South"/>
    <s v="Electronics"/>
    <s v="Product_C"/>
    <n v="1745"/>
    <n v="7"/>
    <n v="0.22"/>
    <n v="1411"/>
    <x v="0"/>
    <n v="9527.7000000000007"/>
    <s v="Mar"/>
    <n v="2024"/>
    <s v="Q1"/>
    <n v="0.14809450339536298"/>
    <n v="2687.3"/>
    <s v="High"/>
    <s v="Repeat"/>
    <s v="Below Avg"/>
    <s v="Profit"/>
    <n v="215"/>
  </r>
  <r>
    <n v="87"/>
    <x v="86"/>
    <n v="1003"/>
    <s v="Customer_150"/>
    <s v="Corporate"/>
    <s v="South"/>
    <s v="Electronics"/>
    <s v="Product_D"/>
    <n v="2969"/>
    <n v="3"/>
    <n v="0.28999999999999998"/>
    <n v="735"/>
    <x v="0"/>
    <n v="6323.9699999999903"/>
    <s v="Mar"/>
    <n v="2024"/>
    <s v="Q1"/>
    <n v="0.11622446026783827"/>
    <n v="2583.0299999999997"/>
    <s v="High"/>
    <s v="Repeat"/>
    <s v="Below Avg"/>
    <s v="Profit"/>
    <n v="288"/>
  </r>
  <r>
    <n v="88"/>
    <x v="87"/>
    <n v="1067"/>
    <s v="Customer_85"/>
    <s v="Corporate"/>
    <s v="South"/>
    <s v="Clothing"/>
    <s v="Product_A"/>
    <n v="1478"/>
    <n v="4"/>
    <n v="0.28000000000000003"/>
    <n v="-370"/>
    <x v="2"/>
    <n v="4256.6399999999903"/>
    <s v="Mar"/>
    <n v="2024"/>
    <s v="Q1"/>
    <n v="-8.6923019094873155E-2"/>
    <n v="1655.3600000000001"/>
    <s v="Medium"/>
    <s v="Repeat"/>
    <s v="Below Avg"/>
    <s v="Loss"/>
    <n v="343"/>
  </r>
  <r>
    <n v="89"/>
    <x v="88"/>
    <n v="1011"/>
    <s v="Customer_191"/>
    <s v="Corporate"/>
    <s v="South"/>
    <s v="Electronics"/>
    <s v="Product_B"/>
    <n v="2972"/>
    <n v="6"/>
    <n v="0.04"/>
    <n v="64"/>
    <x v="0"/>
    <n v="17118.72"/>
    <s v="Mar"/>
    <n v="2024"/>
    <s v="Q1"/>
    <n v="3.7385972783011813E-3"/>
    <n v="713.28"/>
    <s v="High"/>
    <s v="Repeat"/>
    <s v="Above Avg"/>
    <s v="Profit"/>
    <n v="104"/>
  </r>
  <r>
    <n v="90"/>
    <x v="89"/>
    <n v="1021"/>
    <s v="Customer_29"/>
    <s v="Consumer"/>
    <s v="East"/>
    <s v="Furniture"/>
    <s v="Product_B"/>
    <n v="1596"/>
    <n v="9"/>
    <n v="0.12"/>
    <n v="1887"/>
    <x v="0"/>
    <n v="12640.32"/>
    <s v="Mar"/>
    <n v="2024"/>
    <s v="Q1"/>
    <n v="0.14928419533682691"/>
    <n v="1723.6799999999998"/>
    <s v="High"/>
    <s v="Repeat"/>
    <s v="Above Avg"/>
    <s v="Profit"/>
    <n v="161"/>
  </r>
  <r>
    <n v="91"/>
    <x v="90"/>
    <n v="1089"/>
    <s v="Customer_148"/>
    <s v="Corporate"/>
    <s v="North"/>
    <s v="Electronics"/>
    <s v="Product_B"/>
    <n v="775"/>
    <n v="6"/>
    <n v="0.18"/>
    <n v="1459"/>
    <x v="0"/>
    <n v="3813"/>
    <s v="Mar"/>
    <n v="2024"/>
    <s v="Q1"/>
    <n v="0.38263834251245737"/>
    <n v="837"/>
    <s v="Medium"/>
    <s v="Repeat"/>
    <s v="Below Avg"/>
    <s v="Profit"/>
    <n v="364"/>
  </r>
  <r>
    <n v="92"/>
    <x v="91"/>
    <n v="1098"/>
    <s v="Customer_67"/>
    <s v="Corporate"/>
    <s v="South"/>
    <s v="Furniture"/>
    <s v="Product_D"/>
    <n v="2608"/>
    <n v="4"/>
    <n v="0.22"/>
    <n v="1774"/>
    <x v="0"/>
    <n v="8136.96"/>
    <s v="Apr"/>
    <n v="2024"/>
    <s v="Q2"/>
    <n v="0.21801753971999371"/>
    <n v="2295.04"/>
    <s v="High"/>
    <s v="Repeat"/>
    <s v="Below Avg"/>
    <s v="Profit"/>
    <n v="246"/>
  </r>
  <r>
    <n v="93"/>
    <x v="92"/>
    <n v="1003"/>
    <s v="Customer_105"/>
    <s v="Corporate"/>
    <s v="North"/>
    <s v="Electronics"/>
    <s v="Product_D"/>
    <n v="2396"/>
    <n v="8"/>
    <n v="0.16"/>
    <n v="943"/>
    <x v="1"/>
    <n v="16101.119999999901"/>
    <s v="Apr"/>
    <n v="2024"/>
    <s v="Q2"/>
    <n v="5.8567354320693578E-2"/>
    <n v="3066.88"/>
    <s v="High"/>
    <s v="Repeat"/>
    <s v="Above Avg"/>
    <s v="Profit"/>
    <n v="126"/>
  </r>
  <r>
    <n v="94"/>
    <x v="93"/>
    <n v="1011"/>
    <s v="Customer_161"/>
    <s v="Consumer"/>
    <s v="East"/>
    <s v="Furniture"/>
    <s v="Product_C"/>
    <n v="662"/>
    <n v="5"/>
    <n v="0.19"/>
    <n v="-45"/>
    <x v="2"/>
    <n v="2681.1"/>
    <s v="Apr"/>
    <n v="2024"/>
    <s v="Q2"/>
    <n v="-1.6784155756965426E-2"/>
    <n v="628.9"/>
    <s v="Medium"/>
    <s v="Repeat"/>
    <s v="Below Avg"/>
    <s v="Loss"/>
    <n v="403"/>
  </r>
  <r>
    <n v="95"/>
    <x v="94"/>
    <n v="1003"/>
    <s v="Customer_94"/>
    <s v="Consumer"/>
    <s v="West"/>
    <s v="Clothing"/>
    <s v="Product_C"/>
    <n v="4372"/>
    <n v="5"/>
    <n v="0.04"/>
    <n v="1771"/>
    <x v="0"/>
    <n v="20985.599999999999"/>
    <s v="Apr"/>
    <n v="2024"/>
    <s v="Q2"/>
    <n v="8.4391201585849354E-2"/>
    <n v="874.4"/>
    <s v="High"/>
    <s v="Repeat"/>
    <s v="Above Avg"/>
    <s v="Profit"/>
    <n v="77"/>
  </r>
  <r>
    <n v="96"/>
    <x v="95"/>
    <n v="1094"/>
    <s v="Customer_48"/>
    <s v="Consumer"/>
    <s v="North"/>
    <s v="Furniture"/>
    <s v="Product_D"/>
    <n v="301"/>
    <n v="8"/>
    <n v="0.12"/>
    <n v="1297"/>
    <x v="0"/>
    <n v="2119.04"/>
    <s v="Apr"/>
    <n v="2024"/>
    <s v="Q2"/>
    <n v="0.61206961643008151"/>
    <n v="288.95999999999998"/>
    <s v="Medium"/>
    <s v="Repeat"/>
    <s v="Below Avg"/>
    <s v="Profit"/>
    <n v="421"/>
  </r>
  <r>
    <n v="97"/>
    <x v="96"/>
    <n v="1006"/>
    <s v="Customer_103"/>
    <s v="Corporate"/>
    <s v="East"/>
    <s v="Furniture"/>
    <s v="Product_A"/>
    <n v="4572"/>
    <n v="9"/>
    <n v="0"/>
    <n v="519"/>
    <x v="0"/>
    <n v="41148"/>
    <s v="Apr"/>
    <n v="2024"/>
    <s v="Q2"/>
    <n v="1.2613006707494897E-2"/>
    <n v="0"/>
    <s v="High"/>
    <s v="Repeat"/>
    <s v="Above Avg"/>
    <s v="Profit"/>
    <n v="1"/>
  </r>
  <r>
    <n v="98"/>
    <x v="97"/>
    <n v="1009"/>
    <s v="Customer_41"/>
    <s v="Consumer"/>
    <s v="South"/>
    <s v="Electronics"/>
    <s v="Product_A"/>
    <n v="3094"/>
    <n v="4"/>
    <n v="0.2"/>
    <n v="236"/>
    <x v="1"/>
    <n v="9900.7999999999993"/>
    <s v="Apr"/>
    <n v="2024"/>
    <s v="Q2"/>
    <n v="2.3836457659987074E-2"/>
    <n v="2475.2000000000003"/>
    <s v="High"/>
    <s v="Repeat"/>
    <s v="Below Avg"/>
    <s v="Profit"/>
    <n v="203"/>
  </r>
  <r>
    <n v="99"/>
    <x v="98"/>
    <n v="1087"/>
    <s v="Customer_123"/>
    <s v="Consumer"/>
    <s v="West"/>
    <s v="Electronics"/>
    <s v="Product_A"/>
    <n v="4656"/>
    <n v="8"/>
    <n v="0.05"/>
    <n v="115"/>
    <x v="1"/>
    <n v="35385.599999999999"/>
    <s v="Apr"/>
    <n v="2024"/>
    <s v="Q2"/>
    <n v="3.2499095677337676E-3"/>
    <n v="1862.4"/>
    <s v="High"/>
    <s v="Repeat"/>
    <s v="Above Avg"/>
    <s v="Profit"/>
    <n v="9"/>
  </r>
  <r>
    <n v="100"/>
    <x v="99"/>
    <n v="1014"/>
    <s v="Customer_137"/>
    <s v="Corporate"/>
    <s v="North"/>
    <s v="Clothing"/>
    <s v="Product_B"/>
    <n v="4815"/>
    <n v="8"/>
    <n v="0.12"/>
    <n v="271"/>
    <x v="0"/>
    <n v="33897.599999999999"/>
    <s v="Apr"/>
    <n v="2024"/>
    <s v="Q2"/>
    <n v="7.9946662890588126E-3"/>
    <n v="4622.3999999999996"/>
    <s v="High"/>
    <s v="Repeat"/>
    <s v="Above Avg"/>
    <s v="Profit"/>
    <n v="14"/>
  </r>
  <r>
    <n v="101"/>
    <x v="100"/>
    <n v="1083"/>
    <s v="Customer_176"/>
    <s v="Consumer"/>
    <s v="South"/>
    <s v="Furniture"/>
    <s v="Product_C"/>
    <n v="4598"/>
    <n v="3"/>
    <n v="0.15"/>
    <n v="93"/>
    <x v="1"/>
    <n v="11724.9"/>
    <s v="Apr"/>
    <n v="2024"/>
    <s v="Q2"/>
    <n v="7.9318373717473072E-3"/>
    <n v="2069.1"/>
    <s v="High"/>
    <s v="Repeat"/>
    <s v="Above Avg"/>
    <s v="Profit"/>
    <n v="177"/>
  </r>
  <r>
    <n v="102"/>
    <x v="101"/>
    <n v="1070"/>
    <s v="Customer_182"/>
    <s v="Consumer"/>
    <s v="East"/>
    <s v="Electronics"/>
    <s v="Product_B"/>
    <n v="4505"/>
    <n v="4"/>
    <n v="0.2"/>
    <n v="-150"/>
    <x v="0"/>
    <n v="14416"/>
    <s v="Apr"/>
    <n v="2024"/>
    <s v="Q2"/>
    <n v="-1.0405105438401776E-2"/>
    <n v="3604"/>
    <s v="High"/>
    <s v="Repeat"/>
    <s v="Above Avg"/>
    <s v="Loss"/>
    <n v="144"/>
  </r>
  <r>
    <n v="103"/>
    <x v="102"/>
    <n v="1012"/>
    <s v="Customer_23"/>
    <s v="Consumer"/>
    <s v="East"/>
    <s v="Electronics"/>
    <s v="Product_C"/>
    <n v="3765"/>
    <n v="2"/>
    <n v="0.23"/>
    <n v="820"/>
    <x v="2"/>
    <n v="5798.1"/>
    <s v="Apr"/>
    <n v="2024"/>
    <s v="Q2"/>
    <n v="0.14142563943360756"/>
    <n v="1731.9"/>
    <s v="High"/>
    <s v="Repeat"/>
    <s v="Below Avg"/>
    <s v="Profit"/>
    <n v="301"/>
  </r>
  <r>
    <n v="104"/>
    <x v="103"/>
    <n v="1054"/>
    <s v="Customer_193"/>
    <s v="Corporate"/>
    <s v="East"/>
    <s v="Furniture"/>
    <s v="Product_A"/>
    <n v="4195"/>
    <n v="5"/>
    <n v="0.21"/>
    <n v="-479"/>
    <x v="1"/>
    <n v="16570.25"/>
    <s v="Apr"/>
    <n v="2024"/>
    <s v="Q2"/>
    <n v="-2.8907228315806943E-2"/>
    <n v="4404.75"/>
    <s v="High"/>
    <s v="Repeat"/>
    <s v="Above Avg"/>
    <s v="Loss"/>
    <n v="114"/>
  </r>
  <r>
    <n v="105"/>
    <x v="104"/>
    <n v="1027"/>
    <s v="Customer_149"/>
    <s v="Corporate"/>
    <s v="South"/>
    <s v="Furniture"/>
    <s v="Product_A"/>
    <n v="1628"/>
    <n v="6"/>
    <n v="0.17"/>
    <n v="1224"/>
    <x v="1"/>
    <n v="8107.44"/>
    <s v="Apr"/>
    <n v="2024"/>
    <s v="Q2"/>
    <n v="0.15097244012906663"/>
    <n v="1660.5600000000002"/>
    <s v="High"/>
    <s v="Repeat"/>
    <s v="Below Avg"/>
    <s v="Profit"/>
    <n v="248"/>
  </r>
  <r>
    <n v="106"/>
    <x v="105"/>
    <n v="1038"/>
    <s v="Customer_160"/>
    <s v="Corporate"/>
    <s v="North"/>
    <s v="Clothing"/>
    <s v="Product_A"/>
    <n v="759"/>
    <n v="6"/>
    <n v="0.16"/>
    <n v="879"/>
    <x v="0"/>
    <n v="3825.3599999999901"/>
    <s v="Apr"/>
    <n v="2024"/>
    <s v="Q2"/>
    <n v="0.22978229499968689"/>
    <n v="728.64"/>
    <s v="Medium"/>
    <s v="Repeat"/>
    <s v="Below Avg"/>
    <s v="Profit"/>
    <n v="363"/>
  </r>
  <r>
    <n v="107"/>
    <x v="106"/>
    <n v="1017"/>
    <s v="Customer_109"/>
    <s v="Consumer"/>
    <s v="East"/>
    <s v="Electronics"/>
    <s v="Product_B"/>
    <n v="101"/>
    <n v="2"/>
    <n v="0.26"/>
    <n v="1747"/>
    <x v="2"/>
    <n v="149.47999999999999"/>
    <s v="Apr"/>
    <n v="2024"/>
    <s v="Q2"/>
    <n v="11.687182231736688"/>
    <n v="52.52"/>
    <s v="Low"/>
    <s v="Repeat"/>
    <s v="Below Avg"/>
    <s v="Profit"/>
    <n v="500"/>
  </r>
  <r>
    <n v="108"/>
    <x v="107"/>
    <n v="1061"/>
    <s v="Customer_154"/>
    <s v="Corporate"/>
    <s v="East"/>
    <s v="Furniture"/>
    <s v="Product_A"/>
    <n v="608"/>
    <n v="4"/>
    <n v="0.26"/>
    <n v="1152"/>
    <x v="0"/>
    <n v="1799.68"/>
    <s v="Apr"/>
    <n v="2024"/>
    <s v="Q2"/>
    <n v="0.64011379800853485"/>
    <n v="632.32000000000005"/>
    <s v="Low"/>
    <s v="Repeat"/>
    <s v="Below Avg"/>
    <s v="Profit"/>
    <n v="441"/>
  </r>
  <r>
    <n v="109"/>
    <x v="108"/>
    <n v="1074"/>
    <s v="Customer_33"/>
    <s v="Consumer"/>
    <s v="West"/>
    <s v="Clothing"/>
    <s v="Product_A"/>
    <n v="239"/>
    <n v="2"/>
    <n v="0.02"/>
    <n v="1292"/>
    <x v="2"/>
    <n v="468.44"/>
    <s v="Apr"/>
    <n v="2024"/>
    <s v="Q2"/>
    <n v="2.7580906839723336"/>
    <n v="9.56"/>
    <s v="Low"/>
    <s v="Repeat"/>
    <s v="Below Avg"/>
    <s v="Profit"/>
    <n v="492"/>
  </r>
  <r>
    <n v="110"/>
    <x v="109"/>
    <n v="1099"/>
    <s v="Customer_188"/>
    <s v="Corporate"/>
    <s v="North"/>
    <s v="Furniture"/>
    <s v="Product_B"/>
    <n v="3354"/>
    <n v="5"/>
    <n v="0.08"/>
    <n v="556"/>
    <x v="1"/>
    <n v="15428.4"/>
    <s v="Apr"/>
    <n v="2024"/>
    <s v="Q2"/>
    <n v="3.603743745300874E-2"/>
    <n v="1341.6000000000001"/>
    <s v="High"/>
    <s v="Repeat"/>
    <s v="Above Avg"/>
    <s v="Profit"/>
    <n v="136"/>
  </r>
  <r>
    <n v="111"/>
    <x v="110"/>
    <n v="1099"/>
    <s v="Customer_137"/>
    <s v="Corporate"/>
    <s v="East"/>
    <s v="Furniture"/>
    <s v="Product_A"/>
    <n v="3754"/>
    <n v="2"/>
    <n v="0.28000000000000003"/>
    <n v="853"/>
    <x v="1"/>
    <n v="5405.76"/>
    <s v="Apr"/>
    <n v="2024"/>
    <s v="Q2"/>
    <n v="0.15779464867104717"/>
    <n v="2102.2400000000002"/>
    <s v="High"/>
    <s v="Repeat"/>
    <s v="Below Avg"/>
    <s v="Profit"/>
    <n v="312"/>
  </r>
  <r>
    <n v="112"/>
    <x v="111"/>
    <n v="1065"/>
    <s v="Customer_81"/>
    <s v="Consumer"/>
    <s v="North"/>
    <s v="Clothing"/>
    <s v="Product_A"/>
    <n v="1685"/>
    <n v="9"/>
    <n v="0.18"/>
    <n v="1489"/>
    <x v="2"/>
    <n v="12435.3"/>
    <s v="Apr"/>
    <n v="2024"/>
    <s v="Q2"/>
    <n v="0.11973977306538645"/>
    <n v="2729.7"/>
    <s v="High"/>
    <s v="Repeat"/>
    <s v="Above Avg"/>
    <s v="Profit"/>
    <n v="163"/>
  </r>
  <r>
    <n v="113"/>
    <x v="112"/>
    <n v="1047"/>
    <s v="Customer_70"/>
    <s v="Corporate"/>
    <s v="East"/>
    <s v="Furniture"/>
    <s v="Product_B"/>
    <n v="4837"/>
    <n v="1"/>
    <n v="0.04"/>
    <n v="216"/>
    <x v="1"/>
    <n v="4643.5199999999904"/>
    <s v="Apr"/>
    <n v="2024"/>
    <s v="Q2"/>
    <n v="4.6516435807318679E-2"/>
    <n v="193.48000000000002"/>
    <s v="Medium"/>
    <s v="Repeat"/>
    <s v="Below Avg"/>
    <s v="Profit"/>
    <n v="334"/>
  </r>
  <r>
    <n v="114"/>
    <x v="113"/>
    <n v="1016"/>
    <s v="Customer_174"/>
    <s v="Corporate"/>
    <s v="South"/>
    <s v="Electronics"/>
    <s v="Product_D"/>
    <n v="327"/>
    <n v="6"/>
    <n v="0.02"/>
    <n v="-476"/>
    <x v="0"/>
    <n v="1922.76"/>
    <s v="Apr"/>
    <n v="2024"/>
    <s v="Q2"/>
    <n v="-0.24756079801951361"/>
    <n v="39.24"/>
    <s v="Low"/>
    <s v="Repeat"/>
    <s v="Below Avg"/>
    <s v="Loss"/>
    <n v="435"/>
  </r>
  <r>
    <n v="115"/>
    <x v="114"/>
    <n v="1005"/>
    <s v="Customer_7"/>
    <s v="Corporate"/>
    <s v="East"/>
    <s v="Clothing"/>
    <s v="Product_C"/>
    <n v="2697"/>
    <n v="9"/>
    <n v="0.03"/>
    <n v="196"/>
    <x v="1"/>
    <n v="23544.809999999899"/>
    <s v="Apr"/>
    <n v="2024"/>
    <s v="Q2"/>
    <n v="8.324552204923329E-3"/>
    <n v="728.18999999999994"/>
    <s v="High"/>
    <s v="Repeat"/>
    <s v="Above Avg"/>
    <s v="Profit"/>
    <n v="56"/>
  </r>
  <r>
    <n v="116"/>
    <x v="115"/>
    <n v="1086"/>
    <s v="Customer_128"/>
    <s v="Consumer"/>
    <s v="West"/>
    <s v="Clothing"/>
    <s v="Product_A"/>
    <n v="2905"/>
    <n v="3"/>
    <n v="0.23"/>
    <n v="1412"/>
    <x v="1"/>
    <n v="6710.55"/>
    <s v="Apr"/>
    <n v="2024"/>
    <s v="Q2"/>
    <n v="0.21041494363353228"/>
    <n v="2004.45"/>
    <s v="High"/>
    <s v="Repeat"/>
    <s v="Below Avg"/>
    <s v="Profit"/>
    <n v="283"/>
  </r>
  <r>
    <n v="117"/>
    <x v="116"/>
    <n v="1046"/>
    <s v="Customer_7"/>
    <s v="Corporate"/>
    <s v="East"/>
    <s v="Furniture"/>
    <s v="Product_A"/>
    <n v="4460"/>
    <n v="9"/>
    <n v="7.0000000000000007E-2"/>
    <n v="683"/>
    <x v="0"/>
    <n v="37330.199999999997"/>
    <s v="Apr"/>
    <n v="2024"/>
    <s v="Q2"/>
    <n v="1.8296178429261029E-2"/>
    <n v="2809.8"/>
    <s v="High"/>
    <s v="Repeat"/>
    <s v="Above Avg"/>
    <s v="Profit"/>
    <n v="6"/>
  </r>
  <r>
    <n v="118"/>
    <x v="117"/>
    <n v="1015"/>
    <s v="Customer_121"/>
    <s v="Consumer"/>
    <s v="East"/>
    <s v="Clothing"/>
    <s v="Product_B"/>
    <n v="3646"/>
    <n v="2"/>
    <n v="7.0000000000000007E-2"/>
    <n v="1559"/>
    <x v="2"/>
    <n v="6781.5599999999904"/>
    <s v="Apr"/>
    <n v="2024"/>
    <s v="Q2"/>
    <n v="0.22988810834085405"/>
    <n v="510.44000000000005"/>
    <s v="High"/>
    <s v="Repeat"/>
    <s v="Below Avg"/>
    <s v="Profit"/>
    <n v="278"/>
  </r>
  <r>
    <n v="119"/>
    <x v="118"/>
    <n v="1059"/>
    <s v="Customer_197"/>
    <s v="Corporate"/>
    <s v="West"/>
    <s v="Furniture"/>
    <s v="Product_D"/>
    <n v="3772"/>
    <n v="2"/>
    <n v="0.04"/>
    <n v="189"/>
    <x v="1"/>
    <n v="7242.24"/>
    <s v="Apr"/>
    <n v="2024"/>
    <s v="Q2"/>
    <n v="2.6096898197242844E-2"/>
    <n v="301.76"/>
    <s v="High"/>
    <s v="Repeat"/>
    <s v="Below Avg"/>
    <s v="Profit"/>
    <n v="270"/>
  </r>
  <r>
    <n v="120"/>
    <x v="119"/>
    <n v="1040"/>
    <s v="Customer_161"/>
    <s v="Corporate"/>
    <s v="East"/>
    <s v="Clothing"/>
    <s v="Product_B"/>
    <n v="4990"/>
    <n v="2"/>
    <n v="0.18"/>
    <n v="829"/>
    <x v="0"/>
    <n v="8183.6"/>
    <s v="Apr"/>
    <n v="2024"/>
    <s v="Q2"/>
    <n v="0.10130016129820617"/>
    <n v="1796.3999999999999"/>
    <s v="High"/>
    <s v="Repeat"/>
    <s v="Below Avg"/>
    <s v="Profit"/>
    <n v="245"/>
  </r>
  <r>
    <n v="121"/>
    <x v="120"/>
    <n v="1025"/>
    <s v="Customer_114"/>
    <s v="Corporate"/>
    <s v="South"/>
    <s v="Clothing"/>
    <s v="Product_D"/>
    <n v="4660"/>
    <n v="3"/>
    <n v="0.15"/>
    <n v="697"/>
    <x v="0"/>
    <n v="11883"/>
    <s v="Apr"/>
    <n v="2024"/>
    <s v="Q2"/>
    <n v="5.8655221745350504E-2"/>
    <n v="2097"/>
    <s v="High"/>
    <s v="Repeat"/>
    <s v="Above Avg"/>
    <s v="Profit"/>
    <n v="170"/>
  </r>
  <r>
    <n v="122"/>
    <x v="121"/>
    <n v="1045"/>
    <s v="Customer_138"/>
    <s v="Corporate"/>
    <s v="East"/>
    <s v="Furniture"/>
    <s v="Product_B"/>
    <n v="2622"/>
    <n v="4"/>
    <n v="0.08"/>
    <n v="-69"/>
    <x v="2"/>
    <n v="9648.9599999999991"/>
    <s v="May"/>
    <n v="2024"/>
    <s v="Q2"/>
    <n v="-7.1510297482837533E-3"/>
    <n v="839.04"/>
    <s v="High"/>
    <s v="Repeat"/>
    <s v="Below Avg"/>
    <s v="Loss"/>
    <n v="210"/>
  </r>
  <r>
    <n v="123"/>
    <x v="122"/>
    <n v="1049"/>
    <s v="Customer_104"/>
    <s v="Consumer"/>
    <s v="West"/>
    <s v="Furniture"/>
    <s v="Product_B"/>
    <n v="438"/>
    <n v="3"/>
    <n v="0.2"/>
    <n v="1254"/>
    <x v="0"/>
    <n v="1051.2"/>
    <s v="May"/>
    <n v="2024"/>
    <s v="Q2"/>
    <n v="1.1929223744292237"/>
    <n v="262.8"/>
    <s v="Low"/>
    <s v="Repeat"/>
    <s v="Below Avg"/>
    <s v="Profit"/>
    <n v="478"/>
  </r>
  <r>
    <n v="124"/>
    <x v="123"/>
    <n v="1000"/>
    <s v="Customer_28"/>
    <s v="Consumer"/>
    <s v="East"/>
    <s v="Clothing"/>
    <s v="Product_D"/>
    <n v="918"/>
    <n v="6"/>
    <n v="0.23"/>
    <n v="-299"/>
    <x v="0"/>
    <n v="4241.16"/>
    <s v="May"/>
    <n v="2024"/>
    <s v="Q2"/>
    <n v="-7.0499580303501869E-2"/>
    <n v="1266.8400000000001"/>
    <s v="Medium"/>
    <s v="Repeat"/>
    <s v="Below Avg"/>
    <s v="Loss"/>
    <n v="344"/>
  </r>
  <r>
    <n v="125"/>
    <x v="124"/>
    <n v="1035"/>
    <s v="Customer_175"/>
    <s v="Corporate"/>
    <s v="West"/>
    <s v="Furniture"/>
    <s v="Product_D"/>
    <n v="2666"/>
    <n v="6"/>
    <n v="0.28999999999999998"/>
    <n v="1830"/>
    <x v="1"/>
    <n v="11357.16"/>
    <s v="May"/>
    <n v="2024"/>
    <s v="Q2"/>
    <n v="0.16113183225383812"/>
    <n v="4638.8399999999992"/>
    <s v="High"/>
    <s v="Repeat"/>
    <s v="Above Avg"/>
    <s v="Profit"/>
    <n v="184"/>
  </r>
  <r>
    <n v="126"/>
    <x v="125"/>
    <n v="1029"/>
    <s v="Customer_46"/>
    <s v="Consumer"/>
    <s v="North"/>
    <s v="Electronics"/>
    <s v="Product_C"/>
    <n v="3817"/>
    <n v="5"/>
    <n v="0.14000000000000001"/>
    <n v="381"/>
    <x v="2"/>
    <n v="16413.099999999999"/>
    <s v="May"/>
    <n v="2024"/>
    <s v="Q2"/>
    <n v="2.3213165093736103E-2"/>
    <n v="2671.9"/>
    <s v="High"/>
    <s v="Repeat"/>
    <s v="Above Avg"/>
    <s v="Profit"/>
    <n v="117"/>
  </r>
  <r>
    <n v="127"/>
    <x v="126"/>
    <n v="1001"/>
    <s v="Customer_22"/>
    <s v="Consumer"/>
    <s v="West"/>
    <s v="Furniture"/>
    <s v="Product_B"/>
    <n v="3162"/>
    <n v="2"/>
    <n v="0.12"/>
    <n v="1730"/>
    <x v="0"/>
    <n v="5565.12"/>
    <s v="May"/>
    <n v="2024"/>
    <s v="Q2"/>
    <n v="0.31086481513426484"/>
    <n v="758.88"/>
    <s v="High"/>
    <s v="Repeat"/>
    <s v="Below Avg"/>
    <s v="Profit"/>
    <n v="306"/>
  </r>
  <r>
    <n v="128"/>
    <x v="127"/>
    <n v="1083"/>
    <s v="Customer_21"/>
    <s v="Corporate"/>
    <s v="West"/>
    <s v="Furniture"/>
    <s v="Product_A"/>
    <n v="1353"/>
    <n v="4"/>
    <n v="0.09"/>
    <n v="558"/>
    <x v="1"/>
    <n v="4924.92"/>
    <s v="May"/>
    <n v="2024"/>
    <s v="Q2"/>
    <n v="0.11330133281352793"/>
    <n v="487.08"/>
    <s v="Medium"/>
    <s v="Repeat"/>
    <s v="Below Avg"/>
    <s v="Profit"/>
    <n v="325"/>
  </r>
  <r>
    <n v="129"/>
    <x v="128"/>
    <n v="1068"/>
    <s v="Customer_111"/>
    <s v="Consumer"/>
    <s v="South"/>
    <s v="Electronics"/>
    <s v="Product_A"/>
    <n v="3250"/>
    <n v="7"/>
    <n v="0.24"/>
    <n v="170"/>
    <x v="2"/>
    <n v="17290"/>
    <s v="May"/>
    <n v="2024"/>
    <s v="Q2"/>
    <n v="9.8322729901677269E-3"/>
    <n v="5460"/>
    <s v="High"/>
    <s v="Repeat"/>
    <s v="Above Avg"/>
    <s v="Profit"/>
    <n v="103"/>
  </r>
  <r>
    <n v="130"/>
    <x v="129"/>
    <n v="1030"/>
    <s v="Customer_184"/>
    <s v="Corporate"/>
    <s v="East"/>
    <s v="Furniture"/>
    <s v="Product_D"/>
    <n v="2350"/>
    <n v="8"/>
    <n v="0.28999999999999998"/>
    <n v="188"/>
    <x v="1"/>
    <n v="13348"/>
    <s v="May"/>
    <n v="2024"/>
    <s v="Q2"/>
    <n v="1.4084507042253521E-2"/>
    <n v="5452"/>
    <s v="High"/>
    <s v="Repeat"/>
    <s v="Above Avg"/>
    <s v="Profit"/>
    <n v="155"/>
  </r>
  <r>
    <n v="131"/>
    <x v="130"/>
    <n v="1007"/>
    <s v="Customer_32"/>
    <s v="Consumer"/>
    <s v="South"/>
    <s v="Electronics"/>
    <s v="Product_C"/>
    <n v="4420"/>
    <n v="9"/>
    <n v="0.18"/>
    <n v="-333"/>
    <x v="0"/>
    <n v="32619.599999999999"/>
    <s v="May"/>
    <n v="2024"/>
    <s v="Q2"/>
    <n v="-1.0208586248758415E-2"/>
    <n v="7160.4"/>
    <s v="High"/>
    <s v="Repeat"/>
    <s v="Above Avg"/>
    <s v="Loss"/>
    <n v="18"/>
  </r>
  <r>
    <n v="132"/>
    <x v="131"/>
    <n v="1093"/>
    <s v="Customer_160"/>
    <s v="Consumer"/>
    <s v="North"/>
    <s v="Furniture"/>
    <s v="Product_B"/>
    <n v="3715"/>
    <n v="2"/>
    <n v="0.19"/>
    <n v="931"/>
    <x v="2"/>
    <n v="6018.3"/>
    <s v="May"/>
    <n v="2024"/>
    <s v="Q2"/>
    <n v="0.15469484738215111"/>
    <n v="1411.7"/>
    <s v="High"/>
    <s v="Repeat"/>
    <s v="Below Avg"/>
    <s v="Profit"/>
    <n v="296"/>
  </r>
  <r>
    <n v="133"/>
    <x v="132"/>
    <n v="1060"/>
    <s v="Customer_115"/>
    <s v="Corporate"/>
    <s v="East"/>
    <s v="Clothing"/>
    <s v="Product_C"/>
    <n v="1879"/>
    <n v="9"/>
    <n v="0.21"/>
    <n v="738"/>
    <x v="0"/>
    <n v="13359.69"/>
    <s v="May"/>
    <n v="2024"/>
    <s v="Q2"/>
    <n v="5.5240802743177421E-2"/>
    <n v="3551.31"/>
    <s v="High"/>
    <s v="Repeat"/>
    <s v="Above Avg"/>
    <s v="Profit"/>
    <n v="154"/>
  </r>
  <r>
    <n v="134"/>
    <x v="133"/>
    <n v="1065"/>
    <s v="Customer_164"/>
    <s v="Consumer"/>
    <s v="South"/>
    <s v="Electronics"/>
    <s v="Product_D"/>
    <n v="1391"/>
    <n v="7"/>
    <n v="0.13"/>
    <n v="1496"/>
    <x v="2"/>
    <n v="8471.19"/>
    <s v="May"/>
    <n v="2024"/>
    <s v="Q2"/>
    <n v="0.17659856525470446"/>
    <n v="1265.81"/>
    <s v="High"/>
    <s v="Repeat"/>
    <s v="Below Avg"/>
    <s v="Profit"/>
    <n v="239"/>
  </r>
  <r>
    <n v="135"/>
    <x v="134"/>
    <n v="1076"/>
    <s v="Customer_159"/>
    <s v="Consumer"/>
    <s v="East"/>
    <s v="Furniture"/>
    <s v="Product_D"/>
    <n v="778"/>
    <n v="7"/>
    <n v="7.0000000000000007E-2"/>
    <n v="1345"/>
    <x v="0"/>
    <n v="5064.78"/>
    <s v="May"/>
    <n v="2024"/>
    <s v="Q2"/>
    <n v="0.26555941225482649"/>
    <n v="381.22"/>
    <s v="High"/>
    <s v="Repeat"/>
    <s v="Below Avg"/>
    <s v="Profit"/>
    <n v="321"/>
  </r>
  <r>
    <n v="136"/>
    <x v="135"/>
    <n v="1067"/>
    <s v="Customer_70"/>
    <s v="Consumer"/>
    <s v="East"/>
    <s v="Electronics"/>
    <s v="Product_D"/>
    <n v="2652"/>
    <n v="1"/>
    <n v="0.08"/>
    <n v="-241"/>
    <x v="1"/>
    <n v="2439.84"/>
    <s v="May"/>
    <n v="2024"/>
    <s v="Q2"/>
    <n v="-9.8776968981572552E-2"/>
    <n v="212.16"/>
    <s v="Medium"/>
    <s v="Repeat"/>
    <s v="Below Avg"/>
    <s v="Loss"/>
    <n v="412"/>
  </r>
  <r>
    <n v="137"/>
    <x v="136"/>
    <n v="1044"/>
    <s v="Customer_54"/>
    <s v="Corporate"/>
    <s v="East"/>
    <s v="Clothing"/>
    <s v="Product_C"/>
    <n v="3324"/>
    <n v="8"/>
    <n v="0.19"/>
    <n v="1450"/>
    <x v="0"/>
    <n v="21539.52"/>
    <s v="May"/>
    <n v="2024"/>
    <s v="Q2"/>
    <n v="6.731812036665627E-2"/>
    <n v="5052.4800000000005"/>
    <s v="High"/>
    <s v="Repeat"/>
    <s v="Above Avg"/>
    <s v="Profit"/>
    <n v="71"/>
  </r>
  <r>
    <n v="138"/>
    <x v="137"/>
    <n v="1051"/>
    <s v="Customer_21"/>
    <s v="Corporate"/>
    <s v="South"/>
    <s v="Electronics"/>
    <s v="Product_A"/>
    <n v="314"/>
    <n v="3"/>
    <n v="0.19"/>
    <n v="1084"/>
    <x v="2"/>
    <n v="763.02"/>
    <s v="May"/>
    <n v="2024"/>
    <s v="Q2"/>
    <n v="1.4206704935650443"/>
    <n v="178.98"/>
    <s v="Low"/>
    <s v="Repeat"/>
    <s v="Below Avg"/>
    <s v="Profit"/>
    <n v="482"/>
  </r>
  <r>
    <n v="139"/>
    <x v="138"/>
    <n v="1007"/>
    <s v="Customer_35"/>
    <s v="Consumer"/>
    <s v="East"/>
    <s v="Clothing"/>
    <s v="Product_A"/>
    <n v="1085"/>
    <n v="4"/>
    <n v="0.14000000000000001"/>
    <n v="1745"/>
    <x v="1"/>
    <n v="3732.4"/>
    <s v="May"/>
    <n v="2024"/>
    <s v="Q2"/>
    <n v="0.46752759618476047"/>
    <n v="607.6"/>
    <s v="Medium"/>
    <s v="Repeat"/>
    <s v="Below Avg"/>
    <s v="Profit"/>
    <n v="366"/>
  </r>
  <r>
    <n v="140"/>
    <x v="139"/>
    <n v="1088"/>
    <s v="Customer_23"/>
    <s v="Corporate"/>
    <s v="North"/>
    <s v="Furniture"/>
    <s v="Product_A"/>
    <n v="3383"/>
    <n v="4"/>
    <n v="0.01"/>
    <n v="1826"/>
    <x v="2"/>
    <n v="13396.68"/>
    <s v="May"/>
    <n v="2024"/>
    <s v="Q2"/>
    <n v="0.13630242716852234"/>
    <n v="135.32"/>
    <s v="High"/>
    <s v="Repeat"/>
    <s v="Above Avg"/>
    <s v="Profit"/>
    <n v="153"/>
  </r>
  <r>
    <n v="141"/>
    <x v="140"/>
    <n v="1070"/>
    <s v="Customer_170"/>
    <s v="Consumer"/>
    <s v="South"/>
    <s v="Clothing"/>
    <s v="Product_C"/>
    <n v="4806"/>
    <n v="2"/>
    <n v="0.26"/>
    <n v="126"/>
    <x v="0"/>
    <n v="7112.88"/>
    <s v="May"/>
    <n v="2024"/>
    <s v="Q2"/>
    <n v="1.7714343557040185E-2"/>
    <n v="2499.12"/>
    <s v="High"/>
    <s v="Repeat"/>
    <s v="Below Avg"/>
    <s v="Profit"/>
    <n v="273"/>
  </r>
  <r>
    <n v="142"/>
    <x v="141"/>
    <n v="1013"/>
    <s v="Customer_24"/>
    <s v="Corporate"/>
    <s v="West"/>
    <s v="Electronics"/>
    <s v="Product_B"/>
    <n v="2445"/>
    <n v="3"/>
    <n v="7.0000000000000007E-2"/>
    <n v="834"/>
    <x v="2"/>
    <n v="6821.5499999999902"/>
    <s v="May"/>
    <n v="2024"/>
    <s v="Q2"/>
    <n v="0.12225960375574484"/>
    <n v="513.45000000000005"/>
    <s v="High"/>
    <s v="Repeat"/>
    <s v="Below Avg"/>
    <s v="Profit"/>
    <n v="277"/>
  </r>
  <r>
    <n v="143"/>
    <x v="142"/>
    <n v="1028"/>
    <s v="Customer_94"/>
    <s v="Consumer"/>
    <s v="North"/>
    <s v="Furniture"/>
    <s v="Product_C"/>
    <n v="4838"/>
    <n v="5"/>
    <n v="0.17"/>
    <n v="-431"/>
    <x v="0"/>
    <n v="20077.7"/>
    <s v="May"/>
    <n v="2024"/>
    <s v="Q2"/>
    <n v="-2.1466602250257746E-2"/>
    <n v="4112.3"/>
    <s v="High"/>
    <s v="Repeat"/>
    <s v="Above Avg"/>
    <s v="Loss"/>
    <n v="79"/>
  </r>
  <r>
    <n v="144"/>
    <x v="143"/>
    <n v="1063"/>
    <s v="Customer_74"/>
    <s v="Consumer"/>
    <s v="West"/>
    <s v="Furniture"/>
    <s v="Product_A"/>
    <n v="3533"/>
    <n v="3"/>
    <n v="0.22"/>
    <n v="1071"/>
    <x v="0"/>
    <n v="8267.2199999999993"/>
    <s v="May"/>
    <n v="2024"/>
    <s v="Q2"/>
    <n v="0.1295477802695465"/>
    <n v="2331.7800000000002"/>
    <s v="High"/>
    <s v="Repeat"/>
    <s v="Below Avg"/>
    <s v="Profit"/>
    <n v="242"/>
  </r>
  <r>
    <n v="145"/>
    <x v="144"/>
    <n v="1084"/>
    <s v="Customer_69"/>
    <s v="Corporate"/>
    <s v="West"/>
    <s v="Furniture"/>
    <s v="Product_D"/>
    <n v="3727"/>
    <n v="5"/>
    <n v="0.06"/>
    <n v="1304"/>
    <x v="2"/>
    <n v="17516.8999999999"/>
    <s v="May"/>
    <n v="2024"/>
    <s v="Q2"/>
    <n v="7.4442395629364069E-2"/>
    <n v="1118.0999999999999"/>
    <s v="High"/>
    <s v="Repeat"/>
    <s v="Above Avg"/>
    <s v="Profit"/>
    <n v="97"/>
  </r>
  <r>
    <n v="146"/>
    <x v="145"/>
    <n v="1036"/>
    <s v="Customer_127"/>
    <s v="Consumer"/>
    <s v="North"/>
    <s v="Clothing"/>
    <s v="Product_D"/>
    <n v="3173"/>
    <n v="8"/>
    <n v="0.14000000000000001"/>
    <n v="1176"/>
    <x v="1"/>
    <n v="21830.2399999999"/>
    <s v="May"/>
    <n v="2024"/>
    <s v="Q2"/>
    <n v="5.3870227720813214E-2"/>
    <n v="3553.76"/>
    <s v="High"/>
    <s v="Repeat"/>
    <s v="Above Avg"/>
    <s v="Profit"/>
    <n v="69"/>
  </r>
  <r>
    <n v="147"/>
    <x v="146"/>
    <n v="1096"/>
    <s v="Customer_125"/>
    <s v="Consumer"/>
    <s v="East"/>
    <s v="Furniture"/>
    <s v="Product_A"/>
    <n v="4473"/>
    <n v="8"/>
    <n v="0"/>
    <n v="126"/>
    <x v="1"/>
    <n v="35784"/>
    <s v="May"/>
    <n v="2024"/>
    <s v="Q2"/>
    <n v="3.5211267605633804E-3"/>
    <n v="0"/>
    <s v="High"/>
    <s v="Repeat"/>
    <s v="Above Avg"/>
    <s v="Profit"/>
    <n v="8"/>
  </r>
  <r>
    <n v="148"/>
    <x v="147"/>
    <n v="1040"/>
    <s v="Customer_170"/>
    <s v="Consumer"/>
    <s v="North"/>
    <s v="Clothing"/>
    <s v="Product_B"/>
    <n v="3339"/>
    <n v="3"/>
    <n v="0.01"/>
    <n v="-386"/>
    <x v="1"/>
    <n v="9916.83"/>
    <s v="May"/>
    <n v="2024"/>
    <s v="Q2"/>
    <n v="-3.8923728651191966E-2"/>
    <n v="100.17"/>
    <s v="High"/>
    <s v="Repeat"/>
    <s v="Below Avg"/>
    <s v="Loss"/>
    <n v="202"/>
  </r>
  <r>
    <n v="149"/>
    <x v="148"/>
    <n v="1088"/>
    <s v="Customer_158"/>
    <s v="Corporate"/>
    <s v="South"/>
    <s v="Clothing"/>
    <s v="Product_D"/>
    <n v="1472"/>
    <n v="5"/>
    <n v="0.08"/>
    <n v="788"/>
    <x v="0"/>
    <n v="6771.2"/>
    <s v="May"/>
    <n v="2024"/>
    <s v="Q2"/>
    <n v="0.11637523629489603"/>
    <n v="588.80000000000007"/>
    <s v="High"/>
    <s v="Repeat"/>
    <s v="Below Avg"/>
    <s v="Profit"/>
    <n v="279"/>
  </r>
  <r>
    <n v="150"/>
    <x v="149"/>
    <n v="1063"/>
    <s v="Customer_199"/>
    <s v="Corporate"/>
    <s v="East"/>
    <s v="Clothing"/>
    <s v="Product_B"/>
    <n v="2138"/>
    <n v="1"/>
    <n v="0.2"/>
    <n v="725"/>
    <x v="1"/>
    <n v="1710.4"/>
    <s v="May"/>
    <n v="2024"/>
    <s v="Q2"/>
    <n v="0.42387745556594947"/>
    <n v="427.6"/>
    <s v="Low"/>
    <s v="Repeat"/>
    <s v="Below Avg"/>
    <s v="Profit"/>
    <n v="446"/>
  </r>
  <r>
    <n v="151"/>
    <x v="150"/>
    <n v="1058"/>
    <s v="Customer_134"/>
    <s v="Consumer"/>
    <s v="East"/>
    <s v="Furniture"/>
    <s v="Product_D"/>
    <n v="4818"/>
    <n v="7"/>
    <n v="0.27"/>
    <n v="841"/>
    <x v="1"/>
    <n v="24619.98"/>
    <s v="May"/>
    <n v="2024"/>
    <s v="Q2"/>
    <n v="3.4159247895408529E-2"/>
    <n v="9106.02"/>
    <s v="High"/>
    <s v="Repeat"/>
    <s v="Above Avg"/>
    <s v="Profit"/>
    <n v="44"/>
  </r>
  <r>
    <n v="152"/>
    <x v="151"/>
    <n v="1077"/>
    <s v="Customer_52"/>
    <s v="Consumer"/>
    <s v="West"/>
    <s v="Electronics"/>
    <s v="Product_A"/>
    <n v="3953"/>
    <n v="3"/>
    <n v="0.13"/>
    <n v="1405"/>
    <x v="2"/>
    <n v="10317.33"/>
    <s v="May"/>
    <n v="2024"/>
    <s v="Q2"/>
    <n v="0.13617864311793845"/>
    <n v="1541.67"/>
    <s v="High"/>
    <s v="Repeat"/>
    <s v="Below Avg"/>
    <s v="Profit"/>
    <n v="197"/>
  </r>
  <r>
    <n v="153"/>
    <x v="152"/>
    <n v="1008"/>
    <s v="Customer_82"/>
    <s v="Corporate"/>
    <s v="North"/>
    <s v="Furniture"/>
    <s v="Product_C"/>
    <n v="3443"/>
    <n v="7"/>
    <n v="0.01"/>
    <n v="1505"/>
    <x v="1"/>
    <n v="23859.99"/>
    <s v="Jun"/>
    <n v="2024"/>
    <s v="Q2"/>
    <n v="6.3076304726028806E-2"/>
    <n v="241.01"/>
    <s v="High"/>
    <s v="Repeat"/>
    <s v="Above Avg"/>
    <s v="Profit"/>
    <n v="52"/>
  </r>
  <r>
    <n v="154"/>
    <x v="153"/>
    <n v="1078"/>
    <s v="Customer_154"/>
    <s v="Consumer"/>
    <s v="East"/>
    <s v="Furniture"/>
    <s v="Product_C"/>
    <n v="4783"/>
    <n v="8"/>
    <n v="0.09"/>
    <n v="605"/>
    <x v="2"/>
    <n v="34820.239999999998"/>
    <s v="Jun"/>
    <n v="2024"/>
    <s v="Q2"/>
    <n v="1.7374952039388585E-2"/>
    <n v="3443.7599999999998"/>
    <s v="High"/>
    <s v="Repeat"/>
    <s v="Above Avg"/>
    <s v="Profit"/>
    <n v="12"/>
  </r>
  <r>
    <n v="155"/>
    <x v="154"/>
    <n v="1006"/>
    <s v="Customer_100"/>
    <s v="Consumer"/>
    <s v="South"/>
    <s v="Furniture"/>
    <s v="Product_B"/>
    <n v="4252"/>
    <n v="7"/>
    <n v="0.28999999999999998"/>
    <n v="-483"/>
    <x v="1"/>
    <n v="21132.44"/>
    <s v="Jun"/>
    <n v="2024"/>
    <s v="Q2"/>
    <n v="-2.2855855736488549E-2"/>
    <n v="8631.56"/>
    <s v="High"/>
    <s v="Repeat"/>
    <s v="Above Avg"/>
    <s v="Loss"/>
    <n v="74"/>
  </r>
  <r>
    <n v="156"/>
    <x v="155"/>
    <n v="1065"/>
    <s v="Customer_41"/>
    <s v="Corporate"/>
    <s v="South"/>
    <s v="Furniture"/>
    <s v="Product_A"/>
    <n v="1868"/>
    <n v="5"/>
    <n v="0.03"/>
    <n v="200"/>
    <x v="1"/>
    <n v="9059.7999999999993"/>
    <s v="Jun"/>
    <n v="2024"/>
    <s v="Q2"/>
    <n v="2.2075542506457099E-2"/>
    <n v="280.2"/>
    <s v="High"/>
    <s v="Repeat"/>
    <s v="Below Avg"/>
    <s v="Profit"/>
    <n v="230"/>
  </r>
  <r>
    <n v="157"/>
    <x v="156"/>
    <n v="1094"/>
    <s v="Customer_196"/>
    <s v="Consumer"/>
    <s v="East"/>
    <s v="Clothing"/>
    <s v="Product_D"/>
    <n v="138"/>
    <n v="9"/>
    <n v="0.23"/>
    <n v="486"/>
    <x v="2"/>
    <n v="956.34"/>
    <s v="Jun"/>
    <n v="2024"/>
    <s v="Q2"/>
    <n v="0.50818746470920384"/>
    <n v="285.66000000000003"/>
    <s v="Low"/>
    <s v="Repeat"/>
    <s v="Below Avg"/>
    <s v="Profit"/>
    <n v="481"/>
  </r>
  <r>
    <n v="158"/>
    <x v="157"/>
    <n v="1070"/>
    <s v="Customer_182"/>
    <s v="Consumer"/>
    <s v="South"/>
    <s v="Electronics"/>
    <s v="Product_B"/>
    <n v="3662"/>
    <n v="1"/>
    <n v="0.22"/>
    <n v="-184"/>
    <x v="1"/>
    <n v="2856.36"/>
    <s v="Jun"/>
    <n v="2024"/>
    <s v="Q2"/>
    <n v="-6.4417650436219526E-2"/>
    <n v="805.64"/>
    <s v="Medium"/>
    <s v="Repeat"/>
    <s v="Below Avg"/>
    <s v="Loss"/>
    <n v="397"/>
  </r>
  <r>
    <n v="159"/>
    <x v="158"/>
    <n v="1040"/>
    <s v="Customer_60"/>
    <s v="Corporate"/>
    <s v="North"/>
    <s v="Furniture"/>
    <s v="Product_A"/>
    <n v="1929"/>
    <n v="6"/>
    <n v="0.18"/>
    <n v="1743"/>
    <x v="2"/>
    <n v="9490.68"/>
    <s v="Jun"/>
    <n v="2024"/>
    <s v="Q2"/>
    <n v="0.18365385831152245"/>
    <n v="2083.3199999999997"/>
    <s v="High"/>
    <s v="Repeat"/>
    <s v="Below Avg"/>
    <s v="Profit"/>
    <n v="217"/>
  </r>
  <r>
    <n v="160"/>
    <x v="159"/>
    <n v="1074"/>
    <s v="Customer_77"/>
    <s v="Consumer"/>
    <s v="South"/>
    <s v="Furniture"/>
    <s v="Product_C"/>
    <n v="2271"/>
    <n v="6"/>
    <n v="0.28000000000000003"/>
    <n v="1840"/>
    <x v="2"/>
    <n v="9810.7199999999993"/>
    <s v="Jun"/>
    <n v="2024"/>
    <s v="Q2"/>
    <n v="0.18754994536588548"/>
    <n v="3815.28"/>
    <s v="High"/>
    <s v="Repeat"/>
    <s v="Below Avg"/>
    <s v="Profit"/>
    <n v="207"/>
  </r>
  <r>
    <n v="161"/>
    <x v="160"/>
    <n v="1076"/>
    <s v="Customer_183"/>
    <s v="Consumer"/>
    <s v="East"/>
    <s v="Clothing"/>
    <s v="Product_C"/>
    <n v="208"/>
    <n v="7"/>
    <n v="0.19"/>
    <n v="1079"/>
    <x v="1"/>
    <n v="1179.3599999999999"/>
    <s v="Jun"/>
    <n v="2024"/>
    <s v="Q2"/>
    <n v="0.9149029982363317"/>
    <n v="276.64"/>
    <s v="Low"/>
    <s v="Repeat"/>
    <s v="Below Avg"/>
    <s v="Profit"/>
    <n v="469"/>
  </r>
  <r>
    <n v="162"/>
    <x v="161"/>
    <n v="1076"/>
    <s v="Customer_152"/>
    <s v="Consumer"/>
    <s v="South"/>
    <s v="Clothing"/>
    <s v="Product_C"/>
    <n v="4940"/>
    <n v="7"/>
    <n v="0.28999999999999998"/>
    <n v="-154"/>
    <x v="1"/>
    <n v="24551.8"/>
    <s v="Jun"/>
    <n v="2024"/>
    <s v="Q2"/>
    <n v="-6.272452528938815E-3"/>
    <n v="10028.199999999999"/>
    <s v="High"/>
    <s v="Repeat"/>
    <s v="Above Avg"/>
    <s v="Loss"/>
    <n v="45"/>
  </r>
  <r>
    <n v="163"/>
    <x v="162"/>
    <n v="1025"/>
    <s v="Customer_119"/>
    <s v="Consumer"/>
    <s v="West"/>
    <s v="Clothing"/>
    <s v="Product_B"/>
    <n v="4228"/>
    <n v="2"/>
    <n v="0.25"/>
    <n v="115"/>
    <x v="1"/>
    <n v="6342"/>
    <s v="Jun"/>
    <n v="2024"/>
    <s v="Q2"/>
    <n v="1.8133081046988332E-2"/>
    <n v="2114"/>
    <s v="High"/>
    <s v="Repeat"/>
    <s v="Below Avg"/>
    <s v="Profit"/>
    <n v="287"/>
  </r>
  <r>
    <n v="164"/>
    <x v="163"/>
    <n v="1007"/>
    <s v="Customer_95"/>
    <s v="Consumer"/>
    <s v="South"/>
    <s v="Electronics"/>
    <s v="Product_C"/>
    <n v="4335"/>
    <n v="5"/>
    <n v="0.24"/>
    <n v="1958"/>
    <x v="0"/>
    <n v="16473"/>
    <s v="Jun"/>
    <n v="2024"/>
    <s v="Q2"/>
    <n v="0.11886116675772476"/>
    <n v="5202"/>
    <s v="High"/>
    <s v="Repeat"/>
    <s v="Above Avg"/>
    <s v="Profit"/>
    <n v="116"/>
  </r>
  <r>
    <n v="165"/>
    <x v="164"/>
    <n v="1013"/>
    <s v="Customer_127"/>
    <s v="Consumer"/>
    <s v="West"/>
    <s v="Clothing"/>
    <s v="Product_B"/>
    <n v="4277"/>
    <n v="6"/>
    <n v="0.28999999999999998"/>
    <n v="-94"/>
    <x v="2"/>
    <n v="18220.02"/>
    <s v="Jun"/>
    <n v="2024"/>
    <s v="Q2"/>
    <n v="-5.1591600887375532E-3"/>
    <n v="7441.98"/>
    <s v="High"/>
    <s v="Repeat"/>
    <s v="Above Avg"/>
    <s v="Loss"/>
    <n v="89"/>
  </r>
  <r>
    <n v="166"/>
    <x v="165"/>
    <n v="1044"/>
    <s v="Customer_168"/>
    <s v="Corporate"/>
    <s v="North"/>
    <s v="Electronics"/>
    <s v="Product_D"/>
    <n v="3206"/>
    <n v="2"/>
    <n v="0.19"/>
    <n v="1742"/>
    <x v="2"/>
    <n v="5193.72"/>
    <s v="Jun"/>
    <n v="2024"/>
    <s v="Q2"/>
    <n v="0.33540506611831211"/>
    <n v="1218.28"/>
    <s v="High"/>
    <s v="Repeat"/>
    <s v="Below Avg"/>
    <s v="Profit"/>
    <n v="319"/>
  </r>
  <r>
    <n v="167"/>
    <x v="166"/>
    <n v="1001"/>
    <s v="Customer_192"/>
    <s v="Consumer"/>
    <s v="North"/>
    <s v="Furniture"/>
    <s v="Product_C"/>
    <n v="236"/>
    <n v="9"/>
    <n v="0.1"/>
    <n v="-188"/>
    <x v="2"/>
    <n v="1911.6"/>
    <s v="Jun"/>
    <n v="2024"/>
    <s v="Q2"/>
    <n v="-9.8346934505126604E-2"/>
    <n v="212.4"/>
    <s v="Low"/>
    <s v="Repeat"/>
    <s v="Below Avg"/>
    <s v="Loss"/>
    <n v="436"/>
  </r>
  <r>
    <n v="168"/>
    <x v="167"/>
    <n v="1041"/>
    <s v="Customer_162"/>
    <s v="Corporate"/>
    <s v="North"/>
    <s v="Clothing"/>
    <s v="Product_C"/>
    <n v="3837"/>
    <n v="6"/>
    <n v="0.03"/>
    <n v="-151"/>
    <x v="2"/>
    <n v="22331.34"/>
    <s v="Jun"/>
    <n v="2024"/>
    <s v="Q2"/>
    <n v="-6.7617975455122707E-3"/>
    <n v="690.66"/>
    <s v="High"/>
    <s v="Repeat"/>
    <s v="Above Avg"/>
    <s v="Loss"/>
    <n v="64"/>
  </r>
  <r>
    <n v="169"/>
    <x v="168"/>
    <n v="1078"/>
    <s v="Customer_39"/>
    <s v="Consumer"/>
    <s v="North"/>
    <s v="Furniture"/>
    <s v="Product_C"/>
    <n v="3951"/>
    <n v="5"/>
    <n v="0.21"/>
    <n v="1112"/>
    <x v="2"/>
    <n v="15606.45"/>
    <s v="Jun"/>
    <n v="2024"/>
    <s v="Q2"/>
    <n v="7.1252591076125568E-2"/>
    <n v="4148.55"/>
    <s v="High"/>
    <s v="Repeat"/>
    <s v="Above Avg"/>
    <s v="Profit"/>
    <n v="134"/>
  </r>
  <r>
    <n v="170"/>
    <x v="169"/>
    <n v="1056"/>
    <s v="Customer_122"/>
    <s v="Corporate"/>
    <s v="West"/>
    <s v="Furniture"/>
    <s v="Product_C"/>
    <n v="430"/>
    <n v="8"/>
    <n v="0.16"/>
    <n v="403"/>
    <x v="1"/>
    <n v="2889.6"/>
    <s v="Jun"/>
    <n v="2024"/>
    <s v="Q2"/>
    <n v="0.13946566998892582"/>
    <n v="550.4"/>
    <s v="Medium"/>
    <s v="Repeat"/>
    <s v="Below Avg"/>
    <s v="Profit"/>
    <n v="396"/>
  </r>
  <r>
    <n v="171"/>
    <x v="170"/>
    <n v="1087"/>
    <s v="Customer_1"/>
    <s v="Consumer"/>
    <s v="West"/>
    <s v="Furniture"/>
    <s v="Product_D"/>
    <n v="296"/>
    <n v="8"/>
    <n v="0.12"/>
    <n v="-8"/>
    <x v="1"/>
    <n v="2083.84"/>
    <s v="Jun"/>
    <n v="2024"/>
    <s v="Q2"/>
    <n v="-3.8390663390663387E-3"/>
    <n v="284.15999999999997"/>
    <s v="Medium"/>
    <s v="Repeat"/>
    <s v="Below Avg"/>
    <s v="Loss"/>
    <n v="424"/>
  </r>
  <r>
    <n v="172"/>
    <x v="171"/>
    <n v="1063"/>
    <s v="Customer_123"/>
    <s v="Corporate"/>
    <s v="West"/>
    <s v="Furniture"/>
    <s v="Product_B"/>
    <n v="1515"/>
    <n v="1"/>
    <n v="0.28000000000000003"/>
    <n v="1470"/>
    <x v="0"/>
    <n v="1090.8"/>
    <s v="Jun"/>
    <n v="2024"/>
    <s v="Q2"/>
    <n v="1.3476347634763477"/>
    <n v="424.20000000000005"/>
    <s v="Low"/>
    <s v="Repeat"/>
    <s v="Below Avg"/>
    <s v="Profit"/>
    <n v="477"/>
  </r>
  <r>
    <n v="173"/>
    <x v="172"/>
    <n v="1097"/>
    <s v="Customer_20"/>
    <s v="Consumer"/>
    <s v="South"/>
    <s v="Clothing"/>
    <s v="Product_D"/>
    <n v="3396"/>
    <n v="7"/>
    <n v="0.27"/>
    <n v="1252"/>
    <x v="2"/>
    <n v="17353.560000000001"/>
    <s v="Jun"/>
    <n v="2024"/>
    <s v="Q2"/>
    <n v="7.2146579721970583E-2"/>
    <n v="6418.4400000000005"/>
    <s v="High"/>
    <s v="Repeat"/>
    <s v="Above Avg"/>
    <s v="Profit"/>
    <n v="99"/>
  </r>
  <r>
    <n v="174"/>
    <x v="173"/>
    <n v="1003"/>
    <s v="Customer_111"/>
    <s v="Consumer"/>
    <s v="East"/>
    <s v="Electronics"/>
    <s v="Product_A"/>
    <n v="3120"/>
    <n v="6"/>
    <n v="0.11"/>
    <n v="-429"/>
    <x v="0"/>
    <n v="16660.8"/>
    <s v="Jun"/>
    <n v="2024"/>
    <s v="Q2"/>
    <n v="-2.5749063670411985E-2"/>
    <n v="2059.1999999999998"/>
    <s v="High"/>
    <s v="Repeat"/>
    <s v="Above Avg"/>
    <s v="Loss"/>
    <n v="110"/>
  </r>
  <r>
    <n v="175"/>
    <x v="174"/>
    <n v="1017"/>
    <s v="Customer_153"/>
    <s v="Corporate"/>
    <s v="East"/>
    <s v="Clothing"/>
    <s v="Product_D"/>
    <n v="3469"/>
    <n v="3"/>
    <n v="0.28000000000000003"/>
    <n v="431"/>
    <x v="0"/>
    <n v="7493.04"/>
    <s v="Jun"/>
    <n v="2024"/>
    <s v="Q2"/>
    <n v="5.7520045268675997E-2"/>
    <n v="2913.9600000000005"/>
    <s v="High"/>
    <s v="Repeat"/>
    <s v="Below Avg"/>
    <s v="Profit"/>
    <n v="264"/>
  </r>
  <r>
    <n v="176"/>
    <x v="175"/>
    <n v="1088"/>
    <s v="Customer_134"/>
    <s v="Corporate"/>
    <s v="East"/>
    <s v="Clothing"/>
    <s v="Product_B"/>
    <n v="4955"/>
    <n v="1"/>
    <n v="0.13"/>
    <n v="-182"/>
    <x v="1"/>
    <n v="4310.8500000000004"/>
    <s v="Jun"/>
    <n v="2024"/>
    <s v="Q2"/>
    <n v="-4.2219051927114136E-2"/>
    <n v="644.15"/>
    <s v="Medium"/>
    <s v="Repeat"/>
    <s v="Below Avg"/>
    <s v="Loss"/>
    <n v="341"/>
  </r>
  <r>
    <n v="177"/>
    <x v="176"/>
    <n v="1087"/>
    <s v="Customer_116"/>
    <s v="Corporate"/>
    <s v="South"/>
    <s v="Clothing"/>
    <s v="Product_A"/>
    <n v="940"/>
    <n v="2"/>
    <n v="0.06"/>
    <n v="1960"/>
    <x v="1"/>
    <n v="1767.19999999999"/>
    <s v="Jun"/>
    <n v="2024"/>
    <s v="Q2"/>
    <n v="1.109099139882306"/>
    <n v="112.8"/>
    <s v="Low"/>
    <s v="Repeat"/>
    <s v="Below Avg"/>
    <s v="Profit"/>
    <n v="442"/>
  </r>
  <r>
    <n v="178"/>
    <x v="177"/>
    <n v="1069"/>
    <s v="Customer_94"/>
    <s v="Consumer"/>
    <s v="West"/>
    <s v="Furniture"/>
    <s v="Product_C"/>
    <n v="3742"/>
    <n v="1"/>
    <n v="0.19"/>
    <n v="1388"/>
    <x v="1"/>
    <n v="3031.02"/>
    <s v="Jun"/>
    <n v="2024"/>
    <s v="Q2"/>
    <n v="0.45793165337081249"/>
    <n v="710.98"/>
    <s v="Medium"/>
    <s v="Repeat"/>
    <s v="Below Avg"/>
    <s v="Profit"/>
    <n v="390"/>
  </r>
  <r>
    <n v="179"/>
    <x v="178"/>
    <n v="1097"/>
    <s v="Customer_120"/>
    <s v="Corporate"/>
    <s v="South"/>
    <s v="Clothing"/>
    <s v="Product_C"/>
    <n v="2769"/>
    <n v="3"/>
    <n v="0.03"/>
    <n v="-283"/>
    <x v="1"/>
    <n v="8057.79"/>
    <s v="Jun"/>
    <n v="2024"/>
    <s v="Q2"/>
    <n v="-3.512129256284912E-2"/>
    <n v="249.20999999999998"/>
    <s v="High"/>
    <s v="Repeat"/>
    <s v="Below Avg"/>
    <s v="Loss"/>
    <n v="251"/>
  </r>
  <r>
    <n v="180"/>
    <x v="179"/>
    <n v="1050"/>
    <s v="Customer_113"/>
    <s v="Consumer"/>
    <s v="North"/>
    <s v="Furniture"/>
    <s v="Product_C"/>
    <n v="1277"/>
    <n v="6"/>
    <n v="0.05"/>
    <n v="-393"/>
    <x v="1"/>
    <n v="7278.9"/>
    <s v="Jun"/>
    <n v="2024"/>
    <s v="Q2"/>
    <n v="-5.3991674566211928E-2"/>
    <n v="383.1"/>
    <s v="High"/>
    <s v="Repeat"/>
    <s v="Below Avg"/>
    <s v="Loss"/>
    <n v="269"/>
  </r>
  <r>
    <n v="181"/>
    <x v="180"/>
    <n v="1002"/>
    <s v="Customer_3"/>
    <s v="Consumer"/>
    <s v="South"/>
    <s v="Furniture"/>
    <s v="Product_A"/>
    <n v="1043"/>
    <n v="2"/>
    <n v="0.24"/>
    <n v="1350"/>
    <x v="1"/>
    <n v="1585.36"/>
    <s v="Jun"/>
    <n v="2024"/>
    <s v="Q2"/>
    <n v="0.85154160569208259"/>
    <n v="500.64"/>
    <s v="Low"/>
    <s v="Repeat"/>
    <s v="Below Avg"/>
    <s v="Profit"/>
    <n v="454"/>
  </r>
  <r>
    <n v="182"/>
    <x v="181"/>
    <n v="1018"/>
    <s v="Customer_164"/>
    <s v="Consumer"/>
    <s v="South"/>
    <s v="Electronics"/>
    <s v="Product_B"/>
    <n v="3546"/>
    <n v="6"/>
    <n v="0.25"/>
    <n v="1825"/>
    <x v="0"/>
    <n v="15957"/>
    <s v="Jun"/>
    <n v="2024"/>
    <s v="Q2"/>
    <n v="0.11436986902299931"/>
    <n v="5319"/>
    <s v="High"/>
    <s v="Repeat"/>
    <s v="Above Avg"/>
    <s v="Profit"/>
    <n v="129"/>
  </r>
  <r>
    <n v="183"/>
    <x v="182"/>
    <n v="1046"/>
    <s v="Customer_70"/>
    <s v="Corporate"/>
    <s v="South"/>
    <s v="Furniture"/>
    <s v="Product_A"/>
    <n v="951"/>
    <n v="8"/>
    <n v="7.0000000000000007E-2"/>
    <n v="1104"/>
    <x v="2"/>
    <n v="7075.44"/>
    <s v="Jul"/>
    <n v="2024"/>
    <s v="Q3"/>
    <n v="0.15603269902649164"/>
    <n v="532.56000000000006"/>
    <s v="High"/>
    <s v="Repeat"/>
    <s v="Below Avg"/>
    <s v="Profit"/>
    <n v="274"/>
  </r>
  <r>
    <n v="184"/>
    <x v="183"/>
    <n v="1045"/>
    <s v="Customer_166"/>
    <s v="Corporate"/>
    <s v="North"/>
    <s v="Furniture"/>
    <s v="Product_C"/>
    <n v="4700"/>
    <n v="3"/>
    <n v="0.22"/>
    <n v="140"/>
    <x v="2"/>
    <n v="10998"/>
    <s v="Jul"/>
    <n v="2024"/>
    <s v="Q3"/>
    <n v="1.2729587197672304E-2"/>
    <n v="3102"/>
    <s v="High"/>
    <s v="Repeat"/>
    <s v="Above Avg"/>
    <s v="Profit"/>
    <n v="190"/>
  </r>
  <r>
    <n v="185"/>
    <x v="184"/>
    <n v="1057"/>
    <s v="Customer_65"/>
    <s v="Consumer"/>
    <s v="East"/>
    <s v="Electronics"/>
    <s v="Product_C"/>
    <n v="1851"/>
    <n v="3"/>
    <n v="0.28999999999999998"/>
    <n v="589"/>
    <x v="1"/>
    <n v="3942.6299999999901"/>
    <s v="Jul"/>
    <n v="2024"/>
    <s v="Q3"/>
    <n v="0.14939266428754447"/>
    <n v="1610.37"/>
    <s v="Medium"/>
    <s v="Repeat"/>
    <s v="Below Avg"/>
    <s v="Profit"/>
    <n v="356"/>
  </r>
  <r>
    <n v="186"/>
    <x v="185"/>
    <n v="1035"/>
    <s v="Customer_83"/>
    <s v="Corporate"/>
    <s v="East"/>
    <s v="Furniture"/>
    <s v="Product_C"/>
    <n v="1945"/>
    <n v="1"/>
    <n v="0.28999999999999998"/>
    <n v="7"/>
    <x v="1"/>
    <n v="1380.94999999999"/>
    <s v="Jul"/>
    <n v="2024"/>
    <s v="Q3"/>
    <n v="5.068974256852204E-3"/>
    <n v="564.04999999999995"/>
    <s v="Low"/>
    <s v="Repeat"/>
    <s v="Below Avg"/>
    <s v="Profit"/>
    <n v="462"/>
  </r>
  <r>
    <n v="187"/>
    <x v="186"/>
    <n v="1018"/>
    <s v="Customer_38"/>
    <s v="Corporate"/>
    <s v="North"/>
    <s v="Clothing"/>
    <s v="Product_A"/>
    <n v="4924"/>
    <n v="3"/>
    <n v="0.13"/>
    <n v="1357"/>
    <x v="0"/>
    <n v="12851.64"/>
    <s v="Jul"/>
    <n v="2024"/>
    <s v="Q3"/>
    <n v="0.1055896368089987"/>
    <n v="1920.3600000000001"/>
    <s v="High"/>
    <s v="Repeat"/>
    <s v="Above Avg"/>
    <s v="Profit"/>
    <n v="160"/>
  </r>
  <r>
    <n v="188"/>
    <x v="187"/>
    <n v="1091"/>
    <s v="Customer_28"/>
    <s v="Corporate"/>
    <s v="East"/>
    <s v="Furniture"/>
    <s v="Product_A"/>
    <n v="1821"/>
    <n v="7"/>
    <n v="0.26"/>
    <n v="-309"/>
    <x v="1"/>
    <n v="9432.7800000000007"/>
    <s v="Jul"/>
    <n v="2024"/>
    <s v="Q3"/>
    <n v="-3.2758105245749396E-2"/>
    <n v="3314.2200000000003"/>
    <s v="High"/>
    <s v="Repeat"/>
    <s v="Below Avg"/>
    <s v="Loss"/>
    <n v="220"/>
  </r>
  <r>
    <n v="189"/>
    <x v="188"/>
    <n v="1046"/>
    <s v="Customer_175"/>
    <s v="Corporate"/>
    <s v="East"/>
    <s v="Clothing"/>
    <s v="Product_B"/>
    <n v="1873"/>
    <n v="9"/>
    <n v="0.17"/>
    <n v="-234"/>
    <x v="0"/>
    <n v="13991.31"/>
    <s v="Jul"/>
    <n v="2024"/>
    <s v="Q3"/>
    <n v="-1.672466695398787E-2"/>
    <n v="2865.69"/>
    <s v="High"/>
    <s v="Repeat"/>
    <s v="Above Avg"/>
    <s v="Loss"/>
    <n v="147"/>
  </r>
  <r>
    <n v="190"/>
    <x v="189"/>
    <n v="1054"/>
    <s v="Customer_47"/>
    <s v="Consumer"/>
    <s v="West"/>
    <s v="Furniture"/>
    <s v="Product_C"/>
    <n v="750"/>
    <n v="8"/>
    <n v="0.17"/>
    <n v="-108"/>
    <x v="1"/>
    <n v="4980"/>
    <s v="Jul"/>
    <n v="2024"/>
    <s v="Q3"/>
    <n v="-2.1686746987951807E-2"/>
    <n v="1020.0000000000001"/>
    <s v="Medium"/>
    <s v="Repeat"/>
    <s v="Below Avg"/>
    <s v="Loss"/>
    <n v="324"/>
  </r>
  <r>
    <n v="191"/>
    <x v="190"/>
    <n v="1073"/>
    <s v="Customer_10"/>
    <s v="Consumer"/>
    <s v="East"/>
    <s v="Furniture"/>
    <s v="Product_A"/>
    <n v="1461"/>
    <n v="3"/>
    <n v="7.0000000000000007E-2"/>
    <n v="-371"/>
    <x v="2"/>
    <n v="4076.1899999999901"/>
    <s v="Jul"/>
    <n v="2024"/>
    <s v="Q3"/>
    <n v="-9.1016365772940144E-2"/>
    <n v="306.81"/>
    <s v="Medium"/>
    <s v="Repeat"/>
    <s v="Below Avg"/>
    <s v="Loss"/>
    <n v="351"/>
  </r>
  <r>
    <n v="192"/>
    <x v="191"/>
    <n v="1081"/>
    <s v="Customer_88"/>
    <s v="Corporate"/>
    <s v="South"/>
    <s v="Clothing"/>
    <s v="Product_A"/>
    <n v="3609"/>
    <n v="5"/>
    <n v="0.12"/>
    <n v="514"/>
    <x v="2"/>
    <n v="15879.6"/>
    <s v="Jul"/>
    <n v="2024"/>
    <s v="Q3"/>
    <n v="3.2368573515705684E-2"/>
    <n v="2165.4"/>
    <s v="High"/>
    <s v="Repeat"/>
    <s v="Above Avg"/>
    <s v="Profit"/>
    <n v="131"/>
  </r>
  <r>
    <n v="193"/>
    <x v="192"/>
    <n v="1062"/>
    <s v="Customer_133"/>
    <s v="Corporate"/>
    <s v="South"/>
    <s v="Electronics"/>
    <s v="Product_D"/>
    <n v="1568"/>
    <n v="1"/>
    <n v="0.06"/>
    <n v="1807"/>
    <x v="0"/>
    <n v="1473.9199999999901"/>
    <s v="Jul"/>
    <n v="2024"/>
    <s v="Q3"/>
    <n v="1.225982414242301"/>
    <n v="94.08"/>
    <s v="Low"/>
    <s v="Repeat"/>
    <s v="Below Avg"/>
    <s v="Profit"/>
    <n v="459"/>
  </r>
  <r>
    <n v="194"/>
    <x v="193"/>
    <n v="1067"/>
    <s v="Customer_141"/>
    <s v="Consumer"/>
    <s v="West"/>
    <s v="Furniture"/>
    <s v="Product_C"/>
    <n v="584"/>
    <n v="1"/>
    <n v="0.22"/>
    <n v="858"/>
    <x v="1"/>
    <n v="455.52"/>
    <s v="Jul"/>
    <n v="2024"/>
    <s v="Q3"/>
    <n v="1.8835616438356164"/>
    <n v="128.47999999999999"/>
    <s v="Low"/>
    <s v="Repeat"/>
    <s v="Below Avg"/>
    <s v="Profit"/>
    <n v="494"/>
  </r>
  <r>
    <n v="195"/>
    <x v="194"/>
    <n v="1011"/>
    <s v="Customer_86"/>
    <s v="Corporate"/>
    <s v="South"/>
    <s v="Furniture"/>
    <s v="Product_C"/>
    <n v="851"/>
    <n v="9"/>
    <n v="0.19"/>
    <n v="1126"/>
    <x v="1"/>
    <n v="6203.79"/>
    <s v="Jul"/>
    <n v="2024"/>
    <s v="Q3"/>
    <n v="0.18150195283850679"/>
    <n v="1455.21"/>
    <s v="High"/>
    <s v="Repeat"/>
    <s v="Below Avg"/>
    <s v="Profit"/>
    <n v="292"/>
  </r>
  <r>
    <n v="196"/>
    <x v="195"/>
    <n v="1026"/>
    <s v="Customer_34"/>
    <s v="Corporate"/>
    <s v="West"/>
    <s v="Electronics"/>
    <s v="Product_A"/>
    <n v="209"/>
    <n v="7"/>
    <n v="0.24"/>
    <n v="-125"/>
    <x v="0"/>
    <n v="1111.8800000000001"/>
    <s v="Jul"/>
    <n v="2024"/>
    <s v="Q3"/>
    <n v="-0.11242220383494621"/>
    <n v="351.12"/>
    <s v="Low"/>
    <s v="Repeat"/>
    <s v="Below Avg"/>
    <s v="Loss"/>
    <n v="476"/>
  </r>
  <r>
    <n v="197"/>
    <x v="196"/>
    <n v="1092"/>
    <s v="Customer_153"/>
    <s v="Corporate"/>
    <s v="South"/>
    <s v="Electronics"/>
    <s v="Product_D"/>
    <n v="2452"/>
    <n v="4"/>
    <n v="0.19"/>
    <n v="1641"/>
    <x v="1"/>
    <n v="7944.48"/>
    <s v="Jul"/>
    <n v="2024"/>
    <s v="Q3"/>
    <n v="0.20655851610174614"/>
    <n v="1863.52"/>
    <s v="High"/>
    <s v="Repeat"/>
    <s v="Below Avg"/>
    <s v="Profit"/>
    <n v="254"/>
  </r>
  <r>
    <n v="198"/>
    <x v="197"/>
    <n v="1075"/>
    <s v="Customer_151"/>
    <s v="Consumer"/>
    <s v="East"/>
    <s v="Electronics"/>
    <s v="Product_C"/>
    <n v="4378"/>
    <n v="4"/>
    <n v="0.08"/>
    <n v="-266"/>
    <x v="2"/>
    <n v="16111.04"/>
    <s v="Jul"/>
    <n v="2024"/>
    <s v="Q3"/>
    <n v="-1.6510417701153992E-2"/>
    <n v="1400.96"/>
    <s v="High"/>
    <s v="Repeat"/>
    <s v="Above Avg"/>
    <s v="Loss"/>
    <n v="125"/>
  </r>
  <r>
    <n v="199"/>
    <x v="198"/>
    <n v="1010"/>
    <s v="Customer_112"/>
    <s v="Corporate"/>
    <s v="South"/>
    <s v="Furniture"/>
    <s v="Product_C"/>
    <n v="3624"/>
    <n v="3"/>
    <n v="0.28999999999999998"/>
    <n v="-429"/>
    <x v="2"/>
    <n v="7719.12"/>
    <s v="Jul"/>
    <n v="2024"/>
    <s v="Q3"/>
    <n v="-5.557628330690545E-2"/>
    <n v="3152.8799999999997"/>
    <s v="High"/>
    <s v="Repeat"/>
    <s v="Below Avg"/>
    <s v="Loss"/>
    <n v="259"/>
  </r>
  <r>
    <n v="200"/>
    <x v="199"/>
    <n v="1003"/>
    <s v="Customer_85"/>
    <s v="Corporate"/>
    <s v="South"/>
    <s v="Clothing"/>
    <s v="Product_C"/>
    <n v="1158"/>
    <n v="5"/>
    <n v="0.2"/>
    <n v="1597"/>
    <x v="2"/>
    <n v="4632"/>
    <s v="Jul"/>
    <n v="2024"/>
    <s v="Q3"/>
    <n v="0.34477547495682209"/>
    <n v="1158"/>
    <s v="Medium"/>
    <s v="Repeat"/>
    <s v="Below Avg"/>
    <s v="Profit"/>
    <n v="335"/>
  </r>
  <r>
    <n v="201"/>
    <x v="200"/>
    <n v="1045"/>
    <s v="Customer_3"/>
    <s v="Corporate"/>
    <s v="West"/>
    <s v="Furniture"/>
    <s v="Product_A"/>
    <n v="300"/>
    <n v="8"/>
    <n v="0.14000000000000001"/>
    <n v="1580"/>
    <x v="0"/>
    <n v="2064"/>
    <s v="Jul"/>
    <n v="2024"/>
    <s v="Q3"/>
    <n v="0.76550387596899228"/>
    <n v="336.00000000000006"/>
    <s v="Medium"/>
    <s v="Repeat"/>
    <s v="Below Avg"/>
    <s v="Profit"/>
    <n v="425"/>
  </r>
  <r>
    <n v="202"/>
    <x v="201"/>
    <n v="1058"/>
    <s v="Customer_8"/>
    <s v="Consumer"/>
    <s v="West"/>
    <s v="Clothing"/>
    <s v="Product_A"/>
    <n v="4590"/>
    <n v="3"/>
    <n v="0.23"/>
    <n v="458"/>
    <x v="1"/>
    <n v="10602.9"/>
    <s v="Jul"/>
    <n v="2024"/>
    <s v="Q3"/>
    <n v="4.3195729470239273E-2"/>
    <n v="3167.1000000000004"/>
    <s v="High"/>
    <s v="Repeat"/>
    <s v="Below Avg"/>
    <s v="Profit"/>
    <n v="195"/>
  </r>
  <r>
    <n v="203"/>
    <x v="202"/>
    <n v="1059"/>
    <s v="Customer_174"/>
    <s v="Consumer"/>
    <s v="West"/>
    <s v="Electronics"/>
    <s v="Product_B"/>
    <n v="3815"/>
    <n v="6"/>
    <n v="0.08"/>
    <n v="971"/>
    <x v="1"/>
    <n v="21058.799999999999"/>
    <s v="Jul"/>
    <n v="2024"/>
    <s v="Q3"/>
    <n v="4.6108990065910689E-2"/>
    <n v="1831.2"/>
    <s v="High"/>
    <s v="Repeat"/>
    <s v="Above Avg"/>
    <s v="Profit"/>
    <n v="76"/>
  </r>
  <r>
    <n v="204"/>
    <x v="203"/>
    <n v="1023"/>
    <s v="Customer_190"/>
    <s v="Consumer"/>
    <s v="North"/>
    <s v="Furniture"/>
    <s v="Product_B"/>
    <n v="1315"/>
    <n v="4"/>
    <n v="0.24"/>
    <n v="-35"/>
    <x v="2"/>
    <n v="3997.6"/>
    <s v="Jul"/>
    <n v="2024"/>
    <s v="Q3"/>
    <n v="-8.7552531518911344E-3"/>
    <n v="1262.3999999999999"/>
    <s v="Medium"/>
    <s v="Repeat"/>
    <s v="Below Avg"/>
    <s v="Loss"/>
    <n v="353"/>
  </r>
  <r>
    <n v="205"/>
    <x v="204"/>
    <n v="1025"/>
    <s v="Customer_167"/>
    <s v="Consumer"/>
    <s v="East"/>
    <s v="Furniture"/>
    <s v="Product_C"/>
    <n v="831"/>
    <n v="3"/>
    <n v="0.1"/>
    <n v="1324"/>
    <x v="0"/>
    <n v="2243.6999999999998"/>
    <s v="Jul"/>
    <n v="2024"/>
    <s v="Q3"/>
    <n v="0.59009671524713647"/>
    <n v="249.3"/>
    <s v="Medium"/>
    <s v="Repeat"/>
    <s v="Below Avg"/>
    <s v="Profit"/>
    <n v="417"/>
  </r>
  <r>
    <n v="206"/>
    <x v="205"/>
    <n v="1027"/>
    <s v="Customer_51"/>
    <s v="Consumer"/>
    <s v="North"/>
    <s v="Furniture"/>
    <s v="Product_D"/>
    <n v="473"/>
    <n v="1"/>
    <n v="0.02"/>
    <n v="-233"/>
    <x v="0"/>
    <n v="463.539999999999"/>
    <s v="Jul"/>
    <n v="2024"/>
    <s v="Q3"/>
    <n v="-0.50265349268671633"/>
    <n v="9.4600000000000009"/>
    <s v="Low"/>
    <s v="Repeat"/>
    <s v="Below Avg"/>
    <s v="Loss"/>
    <n v="493"/>
  </r>
  <r>
    <n v="207"/>
    <x v="206"/>
    <n v="1057"/>
    <s v="Customer_22"/>
    <s v="Consumer"/>
    <s v="South"/>
    <s v="Furniture"/>
    <s v="Product_C"/>
    <n v="3249"/>
    <n v="8"/>
    <n v="0.23"/>
    <n v="1197"/>
    <x v="0"/>
    <n v="20013.84"/>
    <s v="Jul"/>
    <n v="2024"/>
    <s v="Q3"/>
    <n v="5.9808612440191387E-2"/>
    <n v="5978.16"/>
    <s v="High"/>
    <s v="Repeat"/>
    <s v="Above Avg"/>
    <s v="Profit"/>
    <n v="80"/>
  </r>
  <r>
    <n v="208"/>
    <x v="207"/>
    <n v="1003"/>
    <s v="Customer_45"/>
    <s v="Corporate"/>
    <s v="South"/>
    <s v="Electronics"/>
    <s v="Product_D"/>
    <n v="3344"/>
    <n v="7"/>
    <n v="0.06"/>
    <n v="581"/>
    <x v="2"/>
    <n v="22003.52"/>
    <s v="Jul"/>
    <n v="2024"/>
    <s v="Q3"/>
    <n v="2.6404866130510025E-2"/>
    <n v="1404.48"/>
    <s v="High"/>
    <s v="Repeat"/>
    <s v="Above Avg"/>
    <s v="Profit"/>
    <n v="67"/>
  </r>
  <r>
    <n v="209"/>
    <x v="208"/>
    <n v="1099"/>
    <s v="Customer_151"/>
    <s v="Corporate"/>
    <s v="West"/>
    <s v="Electronics"/>
    <s v="Product_A"/>
    <n v="4041"/>
    <n v="7"/>
    <n v="0.19"/>
    <n v="1642"/>
    <x v="0"/>
    <n v="22912.47"/>
    <s v="Jul"/>
    <n v="2024"/>
    <s v="Q3"/>
    <n v="7.1664032729775534E-2"/>
    <n v="5374.53"/>
    <s v="High"/>
    <s v="Repeat"/>
    <s v="Above Avg"/>
    <s v="Profit"/>
    <n v="60"/>
  </r>
  <r>
    <n v="210"/>
    <x v="209"/>
    <n v="1078"/>
    <s v="Customer_177"/>
    <s v="Consumer"/>
    <s v="West"/>
    <s v="Electronics"/>
    <s v="Product_B"/>
    <n v="4048"/>
    <n v="8"/>
    <n v="0.08"/>
    <n v="-375"/>
    <x v="2"/>
    <n v="29793.279999999999"/>
    <s v="Jul"/>
    <n v="2024"/>
    <s v="Q3"/>
    <n v="-1.2586730967520193E-2"/>
    <n v="2590.7200000000003"/>
    <s v="High"/>
    <s v="Repeat"/>
    <s v="Above Avg"/>
    <s v="Loss"/>
    <n v="24"/>
  </r>
  <r>
    <n v="211"/>
    <x v="210"/>
    <n v="1085"/>
    <s v="Customer_80"/>
    <s v="Consumer"/>
    <s v="South"/>
    <s v="Furniture"/>
    <s v="Product_A"/>
    <n v="745"/>
    <n v="9"/>
    <n v="0.21"/>
    <n v="515"/>
    <x v="1"/>
    <n v="5296.95"/>
    <s v="Jul"/>
    <n v="2024"/>
    <s v="Q3"/>
    <n v="9.7225761995110391E-2"/>
    <n v="1408.05"/>
    <s v="High"/>
    <s v="Repeat"/>
    <s v="Below Avg"/>
    <s v="Profit"/>
    <n v="316"/>
  </r>
  <r>
    <n v="212"/>
    <x v="211"/>
    <n v="1059"/>
    <s v="Customer_124"/>
    <s v="Consumer"/>
    <s v="North"/>
    <s v="Furniture"/>
    <s v="Product_D"/>
    <n v="3695"/>
    <n v="3"/>
    <n v="0.04"/>
    <n v="333"/>
    <x v="1"/>
    <n v="10641.6"/>
    <s v="Jul"/>
    <n v="2024"/>
    <s v="Q3"/>
    <n v="3.1292286874154258E-2"/>
    <n v="443.40000000000003"/>
    <s v="High"/>
    <s v="Repeat"/>
    <s v="Above Avg"/>
    <s v="Profit"/>
    <n v="194"/>
  </r>
  <r>
    <n v="213"/>
    <x v="212"/>
    <n v="1048"/>
    <s v="Customer_179"/>
    <s v="Corporate"/>
    <s v="West"/>
    <s v="Clothing"/>
    <s v="Product_D"/>
    <n v="4178"/>
    <n v="2"/>
    <n v="0.19"/>
    <n v="1860"/>
    <x v="1"/>
    <n v="6768.36"/>
    <s v="Jul"/>
    <n v="2024"/>
    <s v="Q3"/>
    <n v="0.27480807758452563"/>
    <n v="1587.64"/>
    <s v="High"/>
    <s v="Repeat"/>
    <s v="Below Avg"/>
    <s v="Profit"/>
    <n v="280"/>
  </r>
  <r>
    <n v="214"/>
    <x v="213"/>
    <n v="1056"/>
    <s v="Customer_28"/>
    <s v="Consumer"/>
    <s v="West"/>
    <s v="Clothing"/>
    <s v="Product_B"/>
    <n v="2035"/>
    <n v="4"/>
    <n v="0.06"/>
    <n v="1215"/>
    <x v="0"/>
    <n v="7651.5999999999904"/>
    <s v="Aug"/>
    <n v="2024"/>
    <s v="Q3"/>
    <n v="0.15879031836478666"/>
    <n v="488.4"/>
    <s v="High"/>
    <s v="Repeat"/>
    <s v="Below Avg"/>
    <s v="Profit"/>
    <n v="262"/>
  </r>
  <r>
    <n v="215"/>
    <x v="214"/>
    <n v="1087"/>
    <s v="Customer_99"/>
    <s v="Consumer"/>
    <s v="South"/>
    <s v="Clothing"/>
    <s v="Product_A"/>
    <n v="2833"/>
    <n v="4"/>
    <n v="0.15"/>
    <n v="-499"/>
    <x v="2"/>
    <n v="9632.1999999999898"/>
    <s v="Aug"/>
    <n v="2024"/>
    <s v="Q3"/>
    <n v="-5.1805402711737766E-2"/>
    <n v="1699.8"/>
    <s v="High"/>
    <s v="Repeat"/>
    <s v="Below Avg"/>
    <s v="Loss"/>
    <n v="211"/>
  </r>
  <r>
    <n v="216"/>
    <x v="215"/>
    <n v="1087"/>
    <s v="Customer_106"/>
    <s v="Consumer"/>
    <s v="East"/>
    <s v="Furniture"/>
    <s v="Product_C"/>
    <n v="2661"/>
    <n v="8"/>
    <n v="0.26"/>
    <n v="-152"/>
    <x v="2"/>
    <n v="15753.119999999901"/>
    <s v="Aug"/>
    <n v="2024"/>
    <s v="Q3"/>
    <n v="-9.6488822531664176E-3"/>
    <n v="5534.88"/>
    <s v="High"/>
    <s v="Repeat"/>
    <s v="Above Avg"/>
    <s v="Loss"/>
    <n v="133"/>
  </r>
  <r>
    <n v="217"/>
    <x v="216"/>
    <n v="1004"/>
    <s v="Customer_29"/>
    <s v="Consumer"/>
    <s v="West"/>
    <s v="Furniture"/>
    <s v="Product_A"/>
    <n v="2152"/>
    <n v="8"/>
    <n v="0.14000000000000001"/>
    <n v="925"/>
    <x v="2"/>
    <n v="14805.76"/>
    <s v="Aug"/>
    <n v="2024"/>
    <s v="Q3"/>
    <n v="6.2475685138756808E-2"/>
    <n v="2410.2400000000002"/>
    <s v="High"/>
    <s v="Repeat"/>
    <s v="Above Avg"/>
    <s v="Profit"/>
    <n v="142"/>
  </r>
  <r>
    <n v="218"/>
    <x v="217"/>
    <n v="1069"/>
    <s v="Customer_187"/>
    <s v="Consumer"/>
    <s v="North"/>
    <s v="Clothing"/>
    <s v="Product_D"/>
    <n v="2039"/>
    <n v="7"/>
    <n v="0.23"/>
    <n v="-462"/>
    <x v="0"/>
    <n v="10990.21"/>
    <s v="Aug"/>
    <n v="2024"/>
    <s v="Q3"/>
    <n v="-4.2037413297835079E-2"/>
    <n v="3282.79"/>
    <s v="High"/>
    <s v="Repeat"/>
    <s v="Above Avg"/>
    <s v="Loss"/>
    <n v="192"/>
  </r>
  <r>
    <n v="219"/>
    <x v="218"/>
    <n v="1056"/>
    <s v="Customer_102"/>
    <s v="Consumer"/>
    <s v="East"/>
    <s v="Clothing"/>
    <s v="Product_A"/>
    <n v="802"/>
    <n v="5"/>
    <n v="0.04"/>
    <n v="1193"/>
    <x v="2"/>
    <n v="3849.6"/>
    <s v="Aug"/>
    <n v="2024"/>
    <s v="Q3"/>
    <n v="0.30990232751454699"/>
    <n v="160.4"/>
    <s v="Medium"/>
    <s v="Repeat"/>
    <s v="Below Avg"/>
    <s v="Profit"/>
    <n v="361"/>
  </r>
  <r>
    <n v="220"/>
    <x v="219"/>
    <n v="1060"/>
    <s v="Customer_198"/>
    <s v="Corporate"/>
    <s v="South"/>
    <s v="Clothing"/>
    <s v="Product_B"/>
    <n v="2899"/>
    <n v="1"/>
    <n v="0.2"/>
    <n v="569"/>
    <x v="2"/>
    <n v="2319.1999999999998"/>
    <s v="Aug"/>
    <n v="2024"/>
    <s v="Q3"/>
    <n v="0.24534322180062093"/>
    <n v="579.80000000000007"/>
    <s v="Medium"/>
    <s v="Repeat"/>
    <s v="Below Avg"/>
    <s v="Profit"/>
    <n v="415"/>
  </r>
  <r>
    <n v="221"/>
    <x v="220"/>
    <n v="1009"/>
    <s v="Customer_78"/>
    <s v="Corporate"/>
    <s v="West"/>
    <s v="Electronics"/>
    <s v="Product_A"/>
    <n v="607"/>
    <n v="6"/>
    <n v="0.05"/>
    <n v="1509"/>
    <x v="1"/>
    <n v="3459.8999999999901"/>
    <s v="Aug"/>
    <n v="2024"/>
    <s v="Q3"/>
    <n v="0.43613977282580546"/>
    <n v="182.10000000000002"/>
    <s v="Medium"/>
    <s v="Repeat"/>
    <s v="Below Avg"/>
    <s v="Profit"/>
    <n v="378"/>
  </r>
  <r>
    <n v="222"/>
    <x v="221"/>
    <n v="1066"/>
    <s v="Customer_156"/>
    <s v="Corporate"/>
    <s v="East"/>
    <s v="Clothing"/>
    <s v="Product_A"/>
    <n v="1523"/>
    <n v="1"/>
    <n v="0.23"/>
    <n v="1244"/>
    <x v="2"/>
    <n v="1172.71"/>
    <s v="Aug"/>
    <n v="2024"/>
    <s v="Q3"/>
    <n v="1.0607908178492551"/>
    <n v="350.29"/>
    <s v="Low"/>
    <s v="Repeat"/>
    <s v="Below Avg"/>
    <s v="Profit"/>
    <n v="471"/>
  </r>
  <r>
    <n v="223"/>
    <x v="222"/>
    <n v="1033"/>
    <s v="Customer_110"/>
    <s v="Corporate"/>
    <s v="South"/>
    <s v="Furniture"/>
    <s v="Product_D"/>
    <n v="2167"/>
    <n v="2"/>
    <n v="0.21"/>
    <n v="1682"/>
    <x v="1"/>
    <n v="3423.86"/>
    <s v="Aug"/>
    <n v="2024"/>
    <s v="Q3"/>
    <n v="0.49125840425718337"/>
    <n v="910.14"/>
    <s v="Medium"/>
    <s v="New"/>
    <s v="Below Avg"/>
    <s v="Profit"/>
    <n v="379"/>
  </r>
  <r>
    <n v="224"/>
    <x v="223"/>
    <n v="1069"/>
    <s v="Customer_175"/>
    <s v="Corporate"/>
    <s v="North"/>
    <s v="Furniture"/>
    <s v="Product_C"/>
    <n v="4265"/>
    <n v="6"/>
    <n v="0.12"/>
    <n v="490"/>
    <x v="2"/>
    <n v="22519.200000000001"/>
    <s v="Aug"/>
    <n v="2024"/>
    <s v="Q3"/>
    <n v="2.1759209918647198E-2"/>
    <n v="3070.7999999999997"/>
    <s v="High"/>
    <s v="Repeat"/>
    <s v="Above Avg"/>
    <s v="Profit"/>
    <n v="63"/>
  </r>
  <r>
    <n v="225"/>
    <x v="224"/>
    <n v="1009"/>
    <s v="Customer_4"/>
    <s v="Consumer"/>
    <s v="West"/>
    <s v="Clothing"/>
    <s v="Product_C"/>
    <n v="851"/>
    <n v="1"/>
    <n v="0.14000000000000001"/>
    <n v="1419"/>
    <x v="0"/>
    <n v="731.86"/>
    <s v="Aug"/>
    <n v="2024"/>
    <s v="Q3"/>
    <n v="1.9388954171562867"/>
    <n v="119.14000000000001"/>
    <s v="Low"/>
    <s v="Repeat"/>
    <s v="Below Avg"/>
    <s v="Profit"/>
    <n v="484"/>
  </r>
  <r>
    <n v="226"/>
    <x v="225"/>
    <n v="1079"/>
    <s v="Customer_130"/>
    <s v="Corporate"/>
    <s v="South"/>
    <s v="Furniture"/>
    <s v="Product_B"/>
    <n v="2116"/>
    <n v="6"/>
    <n v="0.05"/>
    <n v="1516"/>
    <x v="0"/>
    <n v="12061.199999999901"/>
    <s v="Aug"/>
    <n v="2024"/>
    <s v="Q3"/>
    <n v="0.12569230259012473"/>
    <n v="634.80000000000007"/>
    <s v="High"/>
    <s v="Repeat"/>
    <s v="Above Avg"/>
    <s v="Profit"/>
    <n v="167"/>
  </r>
  <r>
    <n v="227"/>
    <x v="226"/>
    <n v="1028"/>
    <s v="Customer_110"/>
    <s v="Consumer"/>
    <s v="West"/>
    <s v="Furniture"/>
    <s v="Product_B"/>
    <n v="648"/>
    <n v="9"/>
    <n v="0.19"/>
    <n v="730"/>
    <x v="1"/>
    <n v="4723.92"/>
    <s v="Aug"/>
    <n v="2024"/>
    <s v="Q3"/>
    <n v="0.15453267625192638"/>
    <n v="1108.08"/>
    <s v="Medium"/>
    <s v="Repeat"/>
    <s v="Below Avg"/>
    <s v="Profit"/>
    <n v="331"/>
  </r>
  <r>
    <n v="228"/>
    <x v="227"/>
    <n v="1066"/>
    <s v="Customer_64"/>
    <s v="Consumer"/>
    <s v="West"/>
    <s v="Furniture"/>
    <s v="Product_A"/>
    <n v="2655"/>
    <n v="6"/>
    <n v="0.27"/>
    <n v="1403"/>
    <x v="2"/>
    <n v="11628.9"/>
    <s v="Aug"/>
    <n v="2024"/>
    <s v="Q3"/>
    <n v="0.12064769668670296"/>
    <n v="4301.1000000000004"/>
    <s v="High"/>
    <s v="Repeat"/>
    <s v="Above Avg"/>
    <s v="Profit"/>
    <n v="179"/>
  </r>
  <r>
    <n v="229"/>
    <x v="228"/>
    <n v="1010"/>
    <s v="Customer_29"/>
    <s v="Consumer"/>
    <s v="North"/>
    <s v="Clothing"/>
    <s v="Product_C"/>
    <n v="738"/>
    <n v="1"/>
    <n v="0.17"/>
    <n v="1581"/>
    <x v="0"/>
    <n v="612.54"/>
    <s v="Aug"/>
    <n v="2024"/>
    <s v="Q3"/>
    <n v="2.5810559310412384"/>
    <n v="125.46000000000001"/>
    <s v="Low"/>
    <s v="Repeat"/>
    <s v="Below Avg"/>
    <s v="Profit"/>
    <n v="486"/>
  </r>
  <r>
    <n v="230"/>
    <x v="229"/>
    <n v="1003"/>
    <s v="Customer_89"/>
    <s v="Consumer"/>
    <s v="East"/>
    <s v="Furniture"/>
    <s v="Product_B"/>
    <n v="1820"/>
    <n v="9"/>
    <n v="0.09"/>
    <n v="631"/>
    <x v="0"/>
    <n v="14905.8"/>
    <s v="Aug"/>
    <n v="2024"/>
    <s v="Q3"/>
    <n v="4.2332514859987389E-2"/>
    <n v="1474.2"/>
    <s v="High"/>
    <s v="Repeat"/>
    <s v="Above Avg"/>
    <s v="Profit"/>
    <n v="141"/>
  </r>
  <r>
    <n v="231"/>
    <x v="230"/>
    <n v="1048"/>
    <s v="Customer_95"/>
    <s v="Consumer"/>
    <s v="North"/>
    <s v="Electronics"/>
    <s v="Product_C"/>
    <n v="3916"/>
    <n v="7"/>
    <n v="0.12"/>
    <n v="1533"/>
    <x v="0"/>
    <n v="24122.560000000001"/>
    <s v="Aug"/>
    <n v="2024"/>
    <s v="Q3"/>
    <n v="6.3550468938620111E-2"/>
    <n v="3289.44"/>
    <s v="High"/>
    <s v="Repeat"/>
    <s v="Above Avg"/>
    <s v="Profit"/>
    <n v="51"/>
  </r>
  <r>
    <n v="232"/>
    <x v="231"/>
    <n v="1003"/>
    <s v="Customer_175"/>
    <s v="Consumer"/>
    <s v="West"/>
    <s v="Clothing"/>
    <s v="Product_D"/>
    <n v="3888"/>
    <n v="5"/>
    <n v="7.0000000000000007E-2"/>
    <n v="1032"/>
    <x v="1"/>
    <n v="18079.199999999899"/>
    <s v="Aug"/>
    <n v="2024"/>
    <s v="Q3"/>
    <n v="5.7082171777512597E-2"/>
    <n v="1360.8000000000002"/>
    <s v="High"/>
    <s v="Repeat"/>
    <s v="Above Avg"/>
    <s v="Profit"/>
    <n v="91"/>
  </r>
  <r>
    <n v="233"/>
    <x v="232"/>
    <n v="1023"/>
    <s v="Customer_15"/>
    <s v="Consumer"/>
    <s v="North"/>
    <s v="Clothing"/>
    <s v="Product_B"/>
    <n v="1813"/>
    <n v="7"/>
    <n v="0.13"/>
    <n v="937"/>
    <x v="2"/>
    <n v="11041.17"/>
    <s v="Aug"/>
    <n v="2024"/>
    <s v="Q3"/>
    <n v="8.4864194646038421E-2"/>
    <n v="1649.8300000000002"/>
    <s v="High"/>
    <s v="Repeat"/>
    <s v="Above Avg"/>
    <s v="Profit"/>
    <n v="189"/>
  </r>
  <r>
    <n v="234"/>
    <x v="233"/>
    <n v="1091"/>
    <s v="Customer_166"/>
    <s v="Corporate"/>
    <s v="West"/>
    <s v="Furniture"/>
    <s v="Product_C"/>
    <n v="4283"/>
    <n v="6"/>
    <n v="0.15"/>
    <n v="436"/>
    <x v="2"/>
    <n v="21843.3"/>
    <s v="Aug"/>
    <n v="2024"/>
    <s v="Q3"/>
    <n v="1.9960353975818673E-2"/>
    <n v="3854.7"/>
    <s v="High"/>
    <s v="Repeat"/>
    <s v="Above Avg"/>
    <s v="Profit"/>
    <n v="68"/>
  </r>
  <r>
    <n v="235"/>
    <x v="234"/>
    <n v="1055"/>
    <s v="Customer_97"/>
    <s v="Corporate"/>
    <s v="North"/>
    <s v="Clothing"/>
    <s v="Product_C"/>
    <n v="4730"/>
    <n v="8"/>
    <n v="0.28000000000000003"/>
    <n v="1356"/>
    <x v="1"/>
    <n v="27244.799999999999"/>
    <s v="Aug"/>
    <n v="2024"/>
    <s v="Q3"/>
    <n v="4.9770965468639891E-2"/>
    <n v="10595.2"/>
    <s v="High"/>
    <s v="Repeat"/>
    <s v="Above Avg"/>
    <s v="Profit"/>
    <n v="34"/>
  </r>
  <r>
    <n v="236"/>
    <x v="235"/>
    <n v="1034"/>
    <s v="Customer_177"/>
    <s v="Consumer"/>
    <s v="West"/>
    <s v="Furniture"/>
    <s v="Product_C"/>
    <n v="4044"/>
    <n v="8"/>
    <n v="0.13"/>
    <n v="-288"/>
    <x v="0"/>
    <n v="28146.240000000002"/>
    <s v="Aug"/>
    <n v="2024"/>
    <s v="Q3"/>
    <n v="-1.0232272587741736E-2"/>
    <n v="4205.76"/>
    <s v="High"/>
    <s v="Repeat"/>
    <s v="Above Avg"/>
    <s v="Loss"/>
    <n v="29"/>
  </r>
  <r>
    <n v="237"/>
    <x v="236"/>
    <n v="1037"/>
    <s v="Customer_40"/>
    <s v="Corporate"/>
    <s v="North"/>
    <s v="Electronics"/>
    <s v="Product_D"/>
    <n v="1901"/>
    <n v="8"/>
    <n v="0.26"/>
    <n v="1933"/>
    <x v="0"/>
    <n v="11253.92"/>
    <s v="Aug"/>
    <n v="2024"/>
    <s v="Q3"/>
    <n v="0.17176237257773291"/>
    <n v="3954.08"/>
    <s v="High"/>
    <s v="Repeat"/>
    <s v="Above Avg"/>
    <s v="Profit"/>
    <n v="186"/>
  </r>
  <r>
    <n v="238"/>
    <x v="237"/>
    <n v="1049"/>
    <s v="Customer_144"/>
    <s v="Consumer"/>
    <s v="South"/>
    <s v="Electronics"/>
    <s v="Product_A"/>
    <n v="4270"/>
    <n v="6"/>
    <n v="0.05"/>
    <n v="1845"/>
    <x v="1"/>
    <n v="24339"/>
    <s v="Aug"/>
    <n v="2024"/>
    <s v="Q3"/>
    <n v="7.5804264760261308E-2"/>
    <n v="1281"/>
    <s v="High"/>
    <s v="Repeat"/>
    <s v="Above Avg"/>
    <s v="Profit"/>
    <n v="48"/>
  </r>
  <r>
    <n v="239"/>
    <x v="238"/>
    <n v="1087"/>
    <s v="Customer_102"/>
    <s v="Corporate"/>
    <s v="North"/>
    <s v="Furniture"/>
    <s v="Product_B"/>
    <n v="3460"/>
    <n v="2"/>
    <n v="0.16"/>
    <n v="898"/>
    <x v="0"/>
    <n v="5812.8"/>
    <s v="Aug"/>
    <n v="2024"/>
    <s v="Q3"/>
    <n v="0.15448665015139004"/>
    <n v="1107.2"/>
    <s v="High"/>
    <s v="Repeat"/>
    <s v="Below Avg"/>
    <s v="Profit"/>
    <n v="300"/>
  </r>
  <r>
    <n v="240"/>
    <x v="239"/>
    <n v="1085"/>
    <s v="Customer_108"/>
    <s v="Consumer"/>
    <s v="East"/>
    <s v="Furniture"/>
    <s v="Product_C"/>
    <n v="4062"/>
    <n v="1"/>
    <n v="0.18"/>
    <n v="630"/>
    <x v="1"/>
    <n v="3330.84"/>
    <s v="Aug"/>
    <n v="2024"/>
    <s v="Q3"/>
    <n v="0.18914147782541341"/>
    <n v="731.16"/>
    <s v="Medium"/>
    <s v="Repeat"/>
    <s v="Below Avg"/>
    <s v="Profit"/>
    <n v="385"/>
  </r>
  <r>
    <n v="241"/>
    <x v="240"/>
    <n v="1025"/>
    <s v="Customer_34"/>
    <s v="Corporate"/>
    <s v="South"/>
    <s v="Furniture"/>
    <s v="Product_C"/>
    <n v="3312"/>
    <n v="6"/>
    <n v="0.18"/>
    <n v="1603"/>
    <x v="0"/>
    <n v="16295.04"/>
    <s v="Aug"/>
    <n v="2024"/>
    <s v="Q3"/>
    <n v="9.8373492792898934E-2"/>
    <n v="3576.96"/>
    <s v="High"/>
    <s v="Repeat"/>
    <s v="Above Avg"/>
    <s v="Profit"/>
    <n v="119"/>
  </r>
  <r>
    <n v="242"/>
    <x v="241"/>
    <n v="1017"/>
    <s v="Customer_127"/>
    <s v="Corporate"/>
    <s v="South"/>
    <s v="Electronics"/>
    <s v="Product_B"/>
    <n v="2687"/>
    <n v="2"/>
    <n v="0.15"/>
    <n v="564"/>
    <x v="0"/>
    <n v="4567.8999999999996"/>
    <s v="Aug"/>
    <n v="2024"/>
    <s v="Q3"/>
    <n v="0.12347030364062261"/>
    <n v="806.1"/>
    <s v="Medium"/>
    <s v="Repeat"/>
    <s v="Below Avg"/>
    <s v="Profit"/>
    <n v="336"/>
  </r>
  <r>
    <n v="243"/>
    <x v="242"/>
    <n v="1058"/>
    <s v="Customer_134"/>
    <s v="Corporate"/>
    <s v="North"/>
    <s v="Furniture"/>
    <s v="Product_B"/>
    <n v="4904"/>
    <n v="7"/>
    <n v="0.23"/>
    <n v="984"/>
    <x v="1"/>
    <n v="26432.560000000001"/>
    <s v="Aug"/>
    <n v="2024"/>
    <s v="Q3"/>
    <n v="3.7226814201878289E-2"/>
    <n v="7895.4400000000005"/>
    <s v="High"/>
    <s v="Repeat"/>
    <s v="Above Avg"/>
    <s v="Profit"/>
    <n v="38"/>
  </r>
  <r>
    <n v="244"/>
    <x v="243"/>
    <n v="1066"/>
    <s v="Customer_103"/>
    <s v="Consumer"/>
    <s v="North"/>
    <s v="Electronics"/>
    <s v="Product_D"/>
    <n v="1799"/>
    <n v="2"/>
    <n v="0.05"/>
    <n v="241"/>
    <x v="1"/>
    <n v="3418.1"/>
    <s v="Aug"/>
    <n v="2024"/>
    <s v="Q3"/>
    <n v="7.0507006816652534E-2"/>
    <n v="179.9"/>
    <s v="Medium"/>
    <s v="Repeat"/>
    <s v="Below Avg"/>
    <s v="Profit"/>
    <n v="380"/>
  </r>
  <r>
    <n v="245"/>
    <x v="244"/>
    <n v="1045"/>
    <s v="Customer_87"/>
    <s v="Consumer"/>
    <s v="West"/>
    <s v="Clothing"/>
    <s v="Product_A"/>
    <n v="247"/>
    <n v="7"/>
    <n v="0.02"/>
    <n v="452"/>
    <x v="0"/>
    <n v="1694.42"/>
    <s v="Sep"/>
    <n v="2024"/>
    <s v="Q3"/>
    <n v="0.26675794667201758"/>
    <n v="34.58"/>
    <s v="Low"/>
    <s v="Repeat"/>
    <s v="Below Avg"/>
    <s v="Profit"/>
    <n v="447"/>
  </r>
  <r>
    <n v="246"/>
    <x v="245"/>
    <n v="1010"/>
    <s v="Customer_181"/>
    <s v="Corporate"/>
    <s v="East"/>
    <s v="Furniture"/>
    <s v="Product_C"/>
    <n v="3111"/>
    <n v="1"/>
    <n v="0.04"/>
    <n v="120"/>
    <x v="1"/>
    <n v="2986.56"/>
    <s v="Sep"/>
    <n v="2024"/>
    <s v="Q3"/>
    <n v="4.0180006428801027E-2"/>
    <n v="124.44"/>
    <s v="Medium"/>
    <s v="Repeat"/>
    <s v="Below Avg"/>
    <s v="Profit"/>
    <n v="394"/>
  </r>
  <r>
    <n v="247"/>
    <x v="246"/>
    <n v="1008"/>
    <s v="Customer_114"/>
    <s v="Corporate"/>
    <s v="North"/>
    <s v="Electronics"/>
    <s v="Product_B"/>
    <n v="1629"/>
    <n v="6"/>
    <n v="0.17"/>
    <n v="1561"/>
    <x v="0"/>
    <n v="8112.4199999999901"/>
    <s v="Sep"/>
    <n v="2024"/>
    <s v="Q3"/>
    <n v="0.19242100384348959"/>
    <n v="1661.5800000000002"/>
    <s v="High"/>
    <s v="Repeat"/>
    <s v="Below Avg"/>
    <s v="Profit"/>
    <n v="247"/>
  </r>
  <r>
    <n v="248"/>
    <x v="247"/>
    <n v="1096"/>
    <s v="Customer_149"/>
    <s v="Corporate"/>
    <s v="East"/>
    <s v="Electronics"/>
    <s v="Product_A"/>
    <n v="4607"/>
    <n v="8"/>
    <n v="7.0000000000000007E-2"/>
    <n v="746"/>
    <x v="0"/>
    <n v="34276.0799999999"/>
    <s v="Sep"/>
    <n v="2024"/>
    <s v="Q3"/>
    <n v="2.1764449143542731E-2"/>
    <n v="2579.92"/>
    <s v="High"/>
    <s v="Repeat"/>
    <s v="Above Avg"/>
    <s v="Profit"/>
    <n v="13"/>
  </r>
  <r>
    <n v="249"/>
    <x v="248"/>
    <n v="1025"/>
    <s v="Customer_99"/>
    <s v="Corporate"/>
    <s v="West"/>
    <s v="Clothing"/>
    <s v="Product_A"/>
    <n v="217"/>
    <n v="4"/>
    <n v="0.22"/>
    <n v="-1"/>
    <x v="2"/>
    <n v="677.04"/>
    <s v="Sep"/>
    <n v="2024"/>
    <s v="Q3"/>
    <n v="-1.4770176060498641E-3"/>
    <n v="190.96"/>
    <s v="Low"/>
    <s v="Repeat"/>
    <s v="Below Avg"/>
    <s v="Loss"/>
    <n v="485"/>
  </r>
  <r>
    <n v="250"/>
    <x v="249"/>
    <n v="1099"/>
    <s v="Customer_157"/>
    <s v="Corporate"/>
    <s v="East"/>
    <s v="Electronics"/>
    <s v="Product_A"/>
    <n v="4979"/>
    <n v="2"/>
    <n v="0.02"/>
    <n v="1538"/>
    <x v="2"/>
    <n v="9758.84"/>
    <s v="Sep"/>
    <n v="2024"/>
    <s v="Q3"/>
    <n v="0.15760069844366748"/>
    <n v="199.16"/>
    <s v="High"/>
    <s v="Repeat"/>
    <s v="Below Avg"/>
    <s v="Profit"/>
    <n v="208"/>
  </r>
  <r>
    <n v="251"/>
    <x v="250"/>
    <n v="1067"/>
    <s v="Customer_2"/>
    <s v="Consumer"/>
    <s v="South"/>
    <s v="Furniture"/>
    <s v="Product_A"/>
    <n v="586"/>
    <n v="9"/>
    <n v="0.27"/>
    <n v="781"/>
    <x v="2"/>
    <n v="3850.02"/>
    <s v="Sep"/>
    <n v="2024"/>
    <s v="Q3"/>
    <n v="0.20285608905927763"/>
    <n v="1423.98"/>
    <s v="Medium"/>
    <s v="Repeat"/>
    <s v="Below Avg"/>
    <s v="Profit"/>
    <n v="360"/>
  </r>
  <r>
    <n v="252"/>
    <x v="251"/>
    <n v="1065"/>
    <s v="Customer_97"/>
    <s v="Consumer"/>
    <s v="West"/>
    <s v="Furniture"/>
    <s v="Product_C"/>
    <n v="1335"/>
    <n v="6"/>
    <n v="0.28999999999999998"/>
    <n v="598"/>
    <x v="1"/>
    <n v="5687.0999999999904"/>
    <s v="Sep"/>
    <n v="2024"/>
    <s v="Q3"/>
    <n v="0.10515025232543845"/>
    <n v="2322.8999999999996"/>
    <s v="High"/>
    <s v="Repeat"/>
    <s v="Below Avg"/>
    <s v="Profit"/>
    <n v="304"/>
  </r>
  <r>
    <n v="253"/>
    <x v="252"/>
    <n v="1007"/>
    <s v="Customer_26"/>
    <s v="Consumer"/>
    <s v="South"/>
    <s v="Electronics"/>
    <s v="Product_A"/>
    <n v="2947"/>
    <n v="2"/>
    <n v="0.24"/>
    <n v="48"/>
    <x v="2"/>
    <n v="4479.4399999999996"/>
    <s v="Sep"/>
    <n v="2024"/>
    <s v="Q3"/>
    <n v="1.0715625167431644E-2"/>
    <n v="1414.56"/>
    <s v="Medium"/>
    <s v="Repeat"/>
    <s v="Below Avg"/>
    <s v="Profit"/>
    <n v="339"/>
  </r>
  <r>
    <n v="254"/>
    <x v="253"/>
    <n v="1070"/>
    <s v="Customer_44"/>
    <s v="Corporate"/>
    <s v="East"/>
    <s v="Electronics"/>
    <s v="Product_C"/>
    <n v="1121"/>
    <n v="5"/>
    <n v="0.26"/>
    <n v="1771"/>
    <x v="2"/>
    <n v="4147.7"/>
    <s v="Sep"/>
    <n v="2024"/>
    <s v="Q3"/>
    <n v="0.42698362948139934"/>
    <n v="1457.3"/>
    <s v="Medium"/>
    <s v="Repeat"/>
    <s v="Below Avg"/>
    <s v="Profit"/>
    <n v="347"/>
  </r>
  <r>
    <n v="255"/>
    <x v="254"/>
    <n v="1099"/>
    <s v="Customer_18"/>
    <s v="Consumer"/>
    <s v="South"/>
    <s v="Electronics"/>
    <s v="Product_B"/>
    <n v="2319"/>
    <n v="7"/>
    <n v="0.11"/>
    <n v="-105"/>
    <x v="0"/>
    <n v="14447.37"/>
    <s v="Sep"/>
    <n v="2024"/>
    <s v="Q3"/>
    <n v="-7.2677587685509538E-3"/>
    <n v="1785.63"/>
    <s v="High"/>
    <s v="Repeat"/>
    <s v="Above Avg"/>
    <s v="Loss"/>
    <n v="143"/>
  </r>
  <r>
    <n v="256"/>
    <x v="255"/>
    <n v="1097"/>
    <s v="Customer_98"/>
    <s v="Corporate"/>
    <s v="South"/>
    <s v="Clothing"/>
    <s v="Product_C"/>
    <n v="3265"/>
    <n v="3"/>
    <n v="0.05"/>
    <n v="1937"/>
    <x v="1"/>
    <n v="9305.25"/>
    <s v="Sep"/>
    <n v="2024"/>
    <s v="Q3"/>
    <n v="0.20816205905268531"/>
    <n v="489.75"/>
    <s v="High"/>
    <s v="Repeat"/>
    <s v="Below Avg"/>
    <s v="Profit"/>
    <n v="225"/>
  </r>
  <r>
    <n v="257"/>
    <x v="256"/>
    <n v="1039"/>
    <s v="Customer_30"/>
    <s v="Corporate"/>
    <s v="West"/>
    <s v="Furniture"/>
    <s v="Product_A"/>
    <n v="3199"/>
    <n v="1"/>
    <n v="0.06"/>
    <n v="1657"/>
    <x v="1"/>
    <n v="3007.06"/>
    <s v="Sep"/>
    <n v="2024"/>
    <s v="Q3"/>
    <n v="0.55103656062732376"/>
    <n v="191.94"/>
    <s v="Medium"/>
    <s v="Repeat"/>
    <s v="Below Avg"/>
    <s v="Profit"/>
    <n v="392"/>
  </r>
  <r>
    <n v="258"/>
    <x v="257"/>
    <n v="1082"/>
    <s v="Customer_108"/>
    <s v="Corporate"/>
    <s v="South"/>
    <s v="Electronics"/>
    <s v="Product_B"/>
    <n v="316"/>
    <n v="5"/>
    <n v="0.15"/>
    <n v="897"/>
    <x v="0"/>
    <n v="1343"/>
    <s v="Sep"/>
    <n v="2024"/>
    <s v="Q3"/>
    <n v="0.66790766939687263"/>
    <n v="237"/>
    <s v="Low"/>
    <s v="Repeat"/>
    <s v="Below Avg"/>
    <s v="Profit"/>
    <n v="465"/>
  </r>
  <r>
    <n v="259"/>
    <x v="258"/>
    <n v="1092"/>
    <s v="Customer_23"/>
    <s v="Consumer"/>
    <s v="South"/>
    <s v="Furniture"/>
    <s v="Product_C"/>
    <n v="4046"/>
    <n v="5"/>
    <n v="0.2"/>
    <n v="-246"/>
    <x v="2"/>
    <n v="16184"/>
    <s v="Sep"/>
    <n v="2024"/>
    <s v="Q3"/>
    <n v="-1.5200197726149283E-2"/>
    <n v="4046"/>
    <s v="High"/>
    <s v="Repeat"/>
    <s v="Above Avg"/>
    <s v="Loss"/>
    <n v="122"/>
  </r>
  <r>
    <n v="260"/>
    <x v="259"/>
    <n v="1038"/>
    <s v="Customer_48"/>
    <s v="Corporate"/>
    <s v="West"/>
    <s v="Clothing"/>
    <s v="Product_C"/>
    <n v="2805"/>
    <n v="7"/>
    <n v="0.17"/>
    <n v="1777"/>
    <x v="1"/>
    <n v="16297.05"/>
    <s v="Sep"/>
    <n v="2024"/>
    <s v="Q3"/>
    <n v="0.10903813880426212"/>
    <n v="3337.9500000000003"/>
    <s v="High"/>
    <s v="Repeat"/>
    <s v="Above Avg"/>
    <s v="Profit"/>
    <n v="118"/>
  </r>
  <r>
    <n v="261"/>
    <x v="260"/>
    <n v="1005"/>
    <s v="Customer_183"/>
    <s v="Corporate"/>
    <s v="South"/>
    <s v="Clothing"/>
    <s v="Product_B"/>
    <n v="1983"/>
    <n v="6"/>
    <n v="0.03"/>
    <n v="722"/>
    <x v="0"/>
    <n v="11541.06"/>
    <s v="Sep"/>
    <n v="2024"/>
    <s v="Q3"/>
    <n v="6.2559244991361285E-2"/>
    <n v="356.94"/>
    <s v="High"/>
    <s v="Repeat"/>
    <s v="Above Avg"/>
    <s v="Profit"/>
    <n v="180"/>
  </r>
  <r>
    <n v="262"/>
    <x v="261"/>
    <n v="1009"/>
    <s v="Customer_127"/>
    <s v="Corporate"/>
    <s v="East"/>
    <s v="Furniture"/>
    <s v="Product_C"/>
    <n v="1606"/>
    <n v="1"/>
    <n v="0.22"/>
    <n v="1195"/>
    <x v="2"/>
    <n v="1252.68"/>
    <s v="Sep"/>
    <n v="2024"/>
    <s v="Q3"/>
    <n v="0.95395472107800872"/>
    <n v="353.32"/>
    <s v="Low"/>
    <s v="Repeat"/>
    <s v="Below Avg"/>
    <s v="Profit"/>
    <n v="468"/>
  </r>
  <r>
    <n v="263"/>
    <x v="262"/>
    <n v="1040"/>
    <s v="Customer_23"/>
    <s v="Corporate"/>
    <s v="South"/>
    <s v="Clothing"/>
    <s v="Product_D"/>
    <n v="4264"/>
    <n v="1"/>
    <n v="0.24"/>
    <n v="-20"/>
    <x v="0"/>
    <n v="3240.64"/>
    <s v="Sep"/>
    <n v="2024"/>
    <s v="Q3"/>
    <n v="-6.1716204206576485E-3"/>
    <n v="1023.36"/>
    <s v="Medium"/>
    <s v="Repeat"/>
    <s v="Below Avg"/>
    <s v="Loss"/>
    <n v="386"/>
  </r>
  <r>
    <n v="264"/>
    <x v="263"/>
    <n v="1068"/>
    <s v="Customer_40"/>
    <s v="Corporate"/>
    <s v="East"/>
    <s v="Furniture"/>
    <s v="Product_A"/>
    <n v="2397"/>
    <n v="7"/>
    <n v="0.01"/>
    <n v="-217"/>
    <x v="2"/>
    <n v="16611.21"/>
    <s v="Sep"/>
    <n v="2024"/>
    <s v="Q3"/>
    <n v="-1.3063467381364754E-2"/>
    <n v="167.79"/>
    <s v="High"/>
    <s v="Repeat"/>
    <s v="Above Avg"/>
    <s v="Loss"/>
    <n v="113"/>
  </r>
  <r>
    <n v="265"/>
    <x v="264"/>
    <n v="1087"/>
    <s v="Customer_64"/>
    <s v="Corporate"/>
    <s v="West"/>
    <s v="Furniture"/>
    <s v="Product_B"/>
    <n v="1811"/>
    <n v="2"/>
    <n v="0.14000000000000001"/>
    <n v="1730"/>
    <x v="0"/>
    <n v="3114.92"/>
    <s v="Sep"/>
    <n v="2024"/>
    <s v="Q3"/>
    <n v="0.55539147072798012"/>
    <n v="507.08000000000004"/>
    <s v="Medium"/>
    <s v="Repeat"/>
    <s v="Below Avg"/>
    <s v="Profit"/>
    <n v="389"/>
  </r>
  <r>
    <n v="266"/>
    <x v="265"/>
    <n v="1021"/>
    <s v="Customer_72"/>
    <s v="Corporate"/>
    <s v="West"/>
    <s v="Electronics"/>
    <s v="Product_A"/>
    <n v="1107"/>
    <n v="9"/>
    <n v="0.13"/>
    <n v="655"/>
    <x v="1"/>
    <n v="8667.81"/>
    <s v="Sep"/>
    <n v="2024"/>
    <s v="Q3"/>
    <n v="7.5566954051830865E-2"/>
    <n v="1295.19"/>
    <s v="High"/>
    <s v="Repeat"/>
    <s v="Below Avg"/>
    <s v="Profit"/>
    <n v="235"/>
  </r>
  <r>
    <n v="267"/>
    <x v="266"/>
    <n v="1089"/>
    <s v="Customer_142"/>
    <s v="Consumer"/>
    <s v="South"/>
    <s v="Electronics"/>
    <s v="Product_D"/>
    <n v="2696"/>
    <n v="9"/>
    <n v="0.02"/>
    <n v="445"/>
    <x v="1"/>
    <n v="23778.720000000001"/>
    <s v="Sep"/>
    <n v="2024"/>
    <s v="Q3"/>
    <n v="1.8714211698527085E-2"/>
    <n v="485.28000000000003"/>
    <s v="High"/>
    <s v="Repeat"/>
    <s v="Above Avg"/>
    <s v="Profit"/>
    <n v="53"/>
  </r>
  <r>
    <n v="268"/>
    <x v="267"/>
    <n v="1050"/>
    <s v="Customer_124"/>
    <s v="Corporate"/>
    <s v="West"/>
    <s v="Furniture"/>
    <s v="Product_B"/>
    <n v="3486"/>
    <n v="4"/>
    <n v="0.05"/>
    <n v="1943"/>
    <x v="2"/>
    <n v="13246.8"/>
    <s v="Sep"/>
    <n v="2024"/>
    <s v="Q3"/>
    <n v="0.14667693329709819"/>
    <n v="697.2"/>
    <s v="High"/>
    <s v="Repeat"/>
    <s v="Above Avg"/>
    <s v="Profit"/>
    <n v="158"/>
  </r>
  <r>
    <n v="269"/>
    <x v="268"/>
    <n v="1036"/>
    <s v="Customer_110"/>
    <s v="Corporate"/>
    <s v="West"/>
    <s v="Electronics"/>
    <s v="Product_A"/>
    <n v="1882"/>
    <n v="3"/>
    <n v="0.24"/>
    <n v="1096"/>
    <x v="2"/>
    <n v="4290.96"/>
    <s v="Sep"/>
    <n v="2024"/>
    <s v="Q3"/>
    <n v="0.25542069839849357"/>
    <n v="1355.04"/>
    <s v="Medium"/>
    <s v="Repeat"/>
    <s v="Below Avg"/>
    <s v="Profit"/>
    <n v="342"/>
  </r>
  <r>
    <n v="270"/>
    <x v="269"/>
    <n v="1044"/>
    <s v="Customer_78"/>
    <s v="Corporate"/>
    <s v="North"/>
    <s v="Furniture"/>
    <s v="Product_C"/>
    <n v="4244"/>
    <n v="8"/>
    <n v="0.18"/>
    <n v="1997"/>
    <x v="0"/>
    <n v="27840.639999999999"/>
    <s v="Sep"/>
    <n v="2024"/>
    <s v="Q3"/>
    <n v="7.1729672881083201E-2"/>
    <n v="6111.36"/>
    <s v="High"/>
    <s v="Repeat"/>
    <s v="Above Avg"/>
    <s v="Profit"/>
    <n v="33"/>
  </r>
  <r>
    <n v="271"/>
    <x v="270"/>
    <n v="1092"/>
    <s v="Customer_2"/>
    <s v="Consumer"/>
    <s v="East"/>
    <s v="Clothing"/>
    <s v="Product_D"/>
    <n v="2461"/>
    <n v="4"/>
    <n v="7.0000000000000007E-2"/>
    <n v="1327"/>
    <x v="1"/>
    <n v="9154.92"/>
    <s v="Sep"/>
    <n v="2024"/>
    <s v="Q3"/>
    <n v="0.14494938240858468"/>
    <n v="689.08"/>
    <s v="High"/>
    <s v="Repeat"/>
    <s v="Below Avg"/>
    <s v="Profit"/>
    <n v="228"/>
  </r>
  <r>
    <n v="272"/>
    <x v="271"/>
    <n v="1099"/>
    <s v="Customer_122"/>
    <s v="Corporate"/>
    <s v="South"/>
    <s v="Electronics"/>
    <s v="Product_B"/>
    <n v="4549"/>
    <n v="3"/>
    <n v="0.14000000000000001"/>
    <n v="1353"/>
    <x v="2"/>
    <n v="11736.42"/>
    <s v="Sep"/>
    <n v="2024"/>
    <s v="Q3"/>
    <n v="0.11528217292837169"/>
    <n v="1910.5800000000002"/>
    <s v="High"/>
    <s v="Repeat"/>
    <s v="Above Avg"/>
    <s v="Profit"/>
    <n v="176"/>
  </r>
  <r>
    <n v="273"/>
    <x v="272"/>
    <n v="1083"/>
    <s v="Customer_4"/>
    <s v="Corporate"/>
    <s v="South"/>
    <s v="Furniture"/>
    <s v="Product_D"/>
    <n v="1134"/>
    <n v="3"/>
    <n v="0.26"/>
    <n v="1911"/>
    <x v="0"/>
    <n v="2517.48"/>
    <s v="Sep"/>
    <n v="2024"/>
    <s v="Q3"/>
    <n v="0.75909242575909242"/>
    <n v="884.52"/>
    <s v="Medium"/>
    <s v="Repeat"/>
    <s v="Below Avg"/>
    <s v="Profit"/>
    <n v="409"/>
  </r>
  <r>
    <n v="274"/>
    <x v="273"/>
    <n v="1081"/>
    <s v="Customer_100"/>
    <s v="Consumer"/>
    <s v="West"/>
    <s v="Electronics"/>
    <s v="Product_C"/>
    <n v="3921"/>
    <n v="3"/>
    <n v="0.03"/>
    <n v="-471"/>
    <x v="2"/>
    <n v="11410.11"/>
    <s v="Sep"/>
    <n v="2024"/>
    <s v="Q3"/>
    <n v="-4.1279181357585508E-2"/>
    <n v="352.89"/>
    <s v="High"/>
    <s v="Repeat"/>
    <s v="Above Avg"/>
    <s v="Loss"/>
    <n v="182"/>
  </r>
  <r>
    <n v="275"/>
    <x v="274"/>
    <n v="1061"/>
    <s v="Customer_9"/>
    <s v="Consumer"/>
    <s v="North"/>
    <s v="Electronics"/>
    <s v="Product_C"/>
    <n v="3876"/>
    <n v="1"/>
    <n v="0.28999999999999998"/>
    <n v="71"/>
    <x v="0"/>
    <n v="2751.96"/>
    <s v="Oct"/>
    <n v="2024"/>
    <s v="Q4"/>
    <n v="2.5799793601651185E-2"/>
    <n v="1124.04"/>
    <s v="Medium"/>
    <s v="Repeat"/>
    <s v="Below Avg"/>
    <s v="Profit"/>
    <n v="401"/>
  </r>
  <r>
    <n v="276"/>
    <x v="275"/>
    <n v="1014"/>
    <s v="Customer_16"/>
    <s v="Corporate"/>
    <s v="West"/>
    <s v="Furniture"/>
    <s v="Product_B"/>
    <n v="4808"/>
    <n v="5"/>
    <n v="0.04"/>
    <n v="860"/>
    <x v="2"/>
    <n v="23078.3999999999"/>
    <s v="Oct"/>
    <n v="2024"/>
    <s v="Q4"/>
    <n v="3.7264281752634659E-2"/>
    <n v="961.6"/>
    <s v="High"/>
    <s v="Repeat"/>
    <s v="Above Avg"/>
    <s v="Profit"/>
    <n v="58"/>
  </r>
  <r>
    <n v="277"/>
    <x v="276"/>
    <n v="1078"/>
    <s v="Customer_96"/>
    <s v="Consumer"/>
    <s v="South"/>
    <s v="Furniture"/>
    <s v="Product_B"/>
    <n v="1839"/>
    <n v="2"/>
    <n v="0.09"/>
    <n v="1136"/>
    <x v="2"/>
    <n v="3346.98"/>
    <s v="Oct"/>
    <n v="2024"/>
    <s v="Q4"/>
    <n v="0.33941045360294952"/>
    <n v="331.02"/>
    <s v="Medium"/>
    <s v="Repeat"/>
    <s v="Below Avg"/>
    <s v="Profit"/>
    <n v="384"/>
  </r>
  <r>
    <n v="278"/>
    <x v="277"/>
    <n v="1023"/>
    <s v="Customer_160"/>
    <s v="Consumer"/>
    <s v="West"/>
    <s v="Furniture"/>
    <s v="Product_D"/>
    <n v="535"/>
    <n v="7"/>
    <n v="0.05"/>
    <n v="-213"/>
    <x v="2"/>
    <n v="3557.75"/>
    <s v="Oct"/>
    <n v="2024"/>
    <s v="Q4"/>
    <n v="-5.9869299416766213E-2"/>
    <n v="187.25"/>
    <s v="Medium"/>
    <s v="Repeat"/>
    <s v="Below Avg"/>
    <s v="Loss"/>
    <n v="374"/>
  </r>
  <r>
    <n v="279"/>
    <x v="278"/>
    <n v="1062"/>
    <s v="Customer_27"/>
    <s v="Corporate"/>
    <s v="North"/>
    <s v="Electronics"/>
    <s v="Product_B"/>
    <n v="592"/>
    <n v="4"/>
    <n v="0.14000000000000001"/>
    <n v="549"/>
    <x v="2"/>
    <n v="2036.48"/>
    <s v="Oct"/>
    <n v="2024"/>
    <s v="Q4"/>
    <n v="0.26958280955373981"/>
    <n v="331.52000000000004"/>
    <s v="Medium"/>
    <s v="Repeat"/>
    <s v="Below Avg"/>
    <s v="Profit"/>
    <n v="428"/>
  </r>
  <r>
    <n v="280"/>
    <x v="279"/>
    <n v="1028"/>
    <s v="Customer_15"/>
    <s v="Consumer"/>
    <s v="West"/>
    <s v="Electronics"/>
    <s v="Product_A"/>
    <n v="4041"/>
    <n v="2"/>
    <n v="0.09"/>
    <n v="-358"/>
    <x v="0"/>
    <n v="7354.62"/>
    <s v="Oct"/>
    <n v="2024"/>
    <s v="Q4"/>
    <n v="-4.8676886093367164E-2"/>
    <n v="727.38"/>
    <s v="High"/>
    <s v="Repeat"/>
    <s v="Below Avg"/>
    <s v="Loss"/>
    <n v="267"/>
  </r>
  <r>
    <n v="281"/>
    <x v="280"/>
    <n v="1080"/>
    <s v="Customer_68"/>
    <s v="Consumer"/>
    <s v="North"/>
    <s v="Furniture"/>
    <s v="Product_D"/>
    <n v="2216"/>
    <n v="8"/>
    <n v="0.3"/>
    <n v="618"/>
    <x v="2"/>
    <n v="12409.5999999999"/>
    <s v="Oct"/>
    <n v="2024"/>
    <s v="Q4"/>
    <n v="4.9800154718927681E-2"/>
    <n v="5318.4"/>
    <s v="High"/>
    <s v="Repeat"/>
    <s v="Above Avg"/>
    <s v="Profit"/>
    <n v="164"/>
  </r>
  <r>
    <n v="282"/>
    <x v="281"/>
    <n v="1024"/>
    <s v="Customer_25"/>
    <s v="Consumer"/>
    <s v="North"/>
    <s v="Furniture"/>
    <s v="Product_A"/>
    <n v="2168"/>
    <n v="8"/>
    <n v="0"/>
    <n v="853"/>
    <x v="1"/>
    <n v="17344"/>
    <s v="Oct"/>
    <n v="2024"/>
    <s v="Q4"/>
    <n v="4.9181273062730631E-2"/>
    <n v="0"/>
    <s v="High"/>
    <s v="Repeat"/>
    <s v="Above Avg"/>
    <s v="Profit"/>
    <n v="101"/>
  </r>
  <r>
    <n v="283"/>
    <x v="282"/>
    <n v="1015"/>
    <s v="Customer_15"/>
    <s v="Consumer"/>
    <s v="West"/>
    <s v="Clothing"/>
    <s v="Product_D"/>
    <n v="1828"/>
    <n v="1"/>
    <n v="0.1"/>
    <n v="892"/>
    <x v="2"/>
    <n v="1645.2"/>
    <s v="Oct"/>
    <n v="2024"/>
    <s v="Q4"/>
    <n v="0.54218332117675661"/>
    <n v="182.8"/>
    <s v="Low"/>
    <s v="Repeat"/>
    <s v="Below Avg"/>
    <s v="Profit"/>
    <n v="450"/>
  </r>
  <r>
    <n v="284"/>
    <x v="283"/>
    <n v="1049"/>
    <s v="Customer_12"/>
    <s v="Corporate"/>
    <s v="South"/>
    <s v="Electronics"/>
    <s v="Product_B"/>
    <n v="2743"/>
    <n v="5"/>
    <n v="0.18"/>
    <n v="-288"/>
    <x v="2"/>
    <n v="11246.3"/>
    <s v="Oct"/>
    <n v="2024"/>
    <s v="Q4"/>
    <n v="-2.5608422325564855E-2"/>
    <n v="2468.6999999999998"/>
    <s v="High"/>
    <s v="Repeat"/>
    <s v="Above Avg"/>
    <s v="Loss"/>
    <n v="187"/>
  </r>
  <r>
    <n v="285"/>
    <x v="284"/>
    <n v="1080"/>
    <s v="Customer_71"/>
    <s v="Corporate"/>
    <s v="North"/>
    <s v="Clothing"/>
    <s v="Product_C"/>
    <n v="3747"/>
    <n v="2"/>
    <n v="0.1"/>
    <n v="-334"/>
    <x v="1"/>
    <n v="6744.6"/>
    <s v="Oct"/>
    <n v="2024"/>
    <s v="Q4"/>
    <n v="-4.9521098360169616E-2"/>
    <n v="749.40000000000009"/>
    <s v="High"/>
    <s v="Repeat"/>
    <s v="Below Avg"/>
    <s v="Loss"/>
    <n v="281"/>
  </r>
  <r>
    <n v="286"/>
    <x v="285"/>
    <n v="1084"/>
    <s v="Customer_152"/>
    <s v="Corporate"/>
    <s v="South"/>
    <s v="Electronics"/>
    <s v="Product_C"/>
    <n v="3612"/>
    <n v="9"/>
    <n v="0.14000000000000001"/>
    <n v="74"/>
    <x v="2"/>
    <n v="27956.880000000001"/>
    <s v="Oct"/>
    <n v="2024"/>
    <s v="Q4"/>
    <n v="2.6469334203244425E-3"/>
    <n v="4551.1200000000008"/>
    <s v="High"/>
    <s v="Repeat"/>
    <s v="Above Avg"/>
    <s v="Profit"/>
    <n v="31"/>
  </r>
  <r>
    <n v="287"/>
    <x v="286"/>
    <n v="1090"/>
    <s v="Customer_70"/>
    <s v="Corporate"/>
    <s v="North"/>
    <s v="Electronics"/>
    <s v="Product_D"/>
    <n v="1459"/>
    <n v="2"/>
    <n v="0.13"/>
    <n v="-190"/>
    <x v="0"/>
    <n v="2538.66"/>
    <s v="Oct"/>
    <n v="2024"/>
    <s v="Q4"/>
    <n v="-7.4842633515319112E-2"/>
    <n v="379.34000000000003"/>
    <s v="Medium"/>
    <s v="Repeat"/>
    <s v="Below Avg"/>
    <s v="Loss"/>
    <n v="408"/>
  </r>
  <r>
    <n v="288"/>
    <x v="287"/>
    <n v="1004"/>
    <s v="Customer_112"/>
    <s v="Corporate"/>
    <s v="South"/>
    <s v="Electronics"/>
    <s v="Product_A"/>
    <n v="2607"/>
    <n v="7"/>
    <n v="0.03"/>
    <n v="431"/>
    <x v="0"/>
    <n v="17701.53"/>
    <s v="Oct"/>
    <n v="2024"/>
    <s v="Q4"/>
    <n v="2.4348177812878322E-2"/>
    <n v="547.47"/>
    <s v="High"/>
    <s v="Repeat"/>
    <s v="Above Avg"/>
    <s v="Profit"/>
    <n v="93"/>
  </r>
  <r>
    <n v="289"/>
    <x v="288"/>
    <n v="1021"/>
    <s v="Customer_169"/>
    <s v="Consumer"/>
    <s v="South"/>
    <s v="Furniture"/>
    <s v="Product_C"/>
    <n v="3261"/>
    <n v="2"/>
    <n v="0.19"/>
    <n v="1891"/>
    <x v="2"/>
    <n v="5282.82"/>
    <s v="Oct"/>
    <n v="2024"/>
    <s v="Q4"/>
    <n v="0.35795276007889726"/>
    <n v="1239.18"/>
    <s v="High"/>
    <s v="Repeat"/>
    <s v="Below Avg"/>
    <s v="Profit"/>
    <n v="317"/>
  </r>
  <r>
    <n v="290"/>
    <x v="289"/>
    <n v="1032"/>
    <s v="Customer_60"/>
    <s v="Corporate"/>
    <s v="West"/>
    <s v="Furniture"/>
    <s v="Product_D"/>
    <n v="3495"/>
    <n v="2"/>
    <n v="0.25"/>
    <n v="1055"/>
    <x v="0"/>
    <n v="5242.5"/>
    <s v="Oct"/>
    <n v="2024"/>
    <s v="Q4"/>
    <n v="0.20123986647591799"/>
    <n v="1747.5"/>
    <s v="High"/>
    <s v="Repeat"/>
    <s v="Below Avg"/>
    <s v="Profit"/>
    <n v="318"/>
  </r>
  <r>
    <n v="291"/>
    <x v="290"/>
    <n v="1039"/>
    <s v="Customer_31"/>
    <s v="Consumer"/>
    <s v="West"/>
    <s v="Furniture"/>
    <s v="Product_D"/>
    <n v="3159"/>
    <n v="1"/>
    <n v="0.16"/>
    <n v="528"/>
    <x v="2"/>
    <n v="2653.56"/>
    <s v="Oct"/>
    <n v="2024"/>
    <s v="Q4"/>
    <n v="0.19897797675575454"/>
    <n v="505.44"/>
    <s v="Medium"/>
    <s v="Repeat"/>
    <s v="Below Avg"/>
    <s v="Profit"/>
    <n v="406"/>
  </r>
  <r>
    <n v="292"/>
    <x v="291"/>
    <n v="1001"/>
    <s v="Customer_149"/>
    <s v="Corporate"/>
    <s v="South"/>
    <s v="Furniture"/>
    <s v="Product_C"/>
    <n v="2792"/>
    <n v="1"/>
    <n v="0.04"/>
    <n v="1424"/>
    <x v="1"/>
    <n v="2680.3199999999902"/>
    <s v="Oct"/>
    <n v="2024"/>
    <s v="Q4"/>
    <n v="0.53127984718242793"/>
    <n v="111.68"/>
    <s v="Medium"/>
    <s v="Repeat"/>
    <s v="Below Avg"/>
    <s v="Profit"/>
    <n v="404"/>
  </r>
  <r>
    <n v="293"/>
    <x v="292"/>
    <n v="1098"/>
    <s v="Customer_60"/>
    <s v="Corporate"/>
    <s v="West"/>
    <s v="Furniture"/>
    <s v="Product_C"/>
    <n v="462"/>
    <n v="9"/>
    <n v="0.14000000000000001"/>
    <n v="448"/>
    <x v="0"/>
    <n v="3575.88"/>
    <s v="Oct"/>
    <n v="2024"/>
    <s v="Q4"/>
    <n v="0.12528384621407876"/>
    <n v="582.12"/>
    <s v="Medium"/>
    <s v="Repeat"/>
    <s v="Below Avg"/>
    <s v="Profit"/>
    <n v="372"/>
  </r>
  <r>
    <n v="294"/>
    <x v="293"/>
    <n v="1082"/>
    <s v="Customer_75"/>
    <s v="Corporate"/>
    <s v="North"/>
    <s v="Electronics"/>
    <s v="Product_A"/>
    <n v="373"/>
    <n v="2"/>
    <n v="0"/>
    <n v="509"/>
    <x v="2"/>
    <n v="746"/>
    <s v="Oct"/>
    <n v="2024"/>
    <s v="Q4"/>
    <n v="0.68230563002680966"/>
    <n v="0"/>
    <s v="Low"/>
    <s v="Repeat"/>
    <s v="Below Avg"/>
    <s v="Profit"/>
    <n v="483"/>
  </r>
  <r>
    <n v="295"/>
    <x v="294"/>
    <n v="1090"/>
    <s v="Customer_14"/>
    <s v="Corporate"/>
    <s v="South"/>
    <s v="Clothing"/>
    <s v="Product_B"/>
    <n v="4106"/>
    <n v="3"/>
    <n v="0.27"/>
    <n v="1883"/>
    <x v="0"/>
    <n v="8992.14"/>
    <s v="Oct"/>
    <n v="2024"/>
    <s v="Q4"/>
    <n v="0.20940510267856152"/>
    <n v="3325.86"/>
    <s v="High"/>
    <s v="Repeat"/>
    <s v="Below Avg"/>
    <s v="Profit"/>
    <n v="231"/>
  </r>
  <r>
    <n v="296"/>
    <x v="295"/>
    <n v="1035"/>
    <s v="Customer_102"/>
    <s v="Corporate"/>
    <s v="East"/>
    <s v="Clothing"/>
    <s v="Product_A"/>
    <n v="3188"/>
    <n v="9"/>
    <n v="7.0000000000000007E-2"/>
    <n v="956"/>
    <x v="2"/>
    <n v="26683.559999999899"/>
    <s v="Oct"/>
    <n v="2024"/>
    <s v="Q4"/>
    <n v="3.5827303403294146E-2"/>
    <n v="2008.4400000000003"/>
    <s v="High"/>
    <s v="Repeat"/>
    <s v="Above Avg"/>
    <s v="Profit"/>
    <n v="35"/>
  </r>
  <r>
    <n v="297"/>
    <x v="296"/>
    <n v="1058"/>
    <s v="Customer_82"/>
    <s v="Consumer"/>
    <s v="South"/>
    <s v="Clothing"/>
    <s v="Product_D"/>
    <n v="3427"/>
    <n v="6"/>
    <n v="0.27"/>
    <n v="803"/>
    <x v="1"/>
    <n v="15010.26"/>
    <s v="Oct"/>
    <n v="2024"/>
    <s v="Q4"/>
    <n v="5.3496741562104856E-2"/>
    <n v="5551.7400000000007"/>
    <s v="High"/>
    <s v="Repeat"/>
    <s v="Above Avg"/>
    <s v="Profit"/>
    <n v="138"/>
  </r>
  <r>
    <n v="298"/>
    <x v="297"/>
    <n v="1038"/>
    <s v="Customer_14"/>
    <s v="Consumer"/>
    <s v="North"/>
    <s v="Clothing"/>
    <s v="Product_D"/>
    <n v="227"/>
    <n v="6"/>
    <n v="0.18"/>
    <n v="1807"/>
    <x v="2"/>
    <n v="1116.8399999999999"/>
    <s v="Oct"/>
    <n v="2024"/>
    <s v="Q4"/>
    <n v="1.6179578095340426"/>
    <n v="245.16"/>
    <s v="Low"/>
    <s v="Repeat"/>
    <s v="Below Avg"/>
    <s v="Profit"/>
    <n v="475"/>
  </r>
  <r>
    <n v="299"/>
    <x v="298"/>
    <n v="1001"/>
    <s v="Customer_152"/>
    <s v="Corporate"/>
    <s v="North"/>
    <s v="Furniture"/>
    <s v="Product_B"/>
    <n v="3346"/>
    <n v="9"/>
    <n v="0.28999999999999998"/>
    <n v="784"/>
    <x v="0"/>
    <n v="21380.94"/>
    <s v="Oct"/>
    <n v="2024"/>
    <s v="Q4"/>
    <n v="3.6668172680901778E-2"/>
    <n v="8733.06"/>
    <s v="High"/>
    <s v="Repeat"/>
    <s v="Above Avg"/>
    <s v="Profit"/>
    <n v="72"/>
  </r>
  <r>
    <n v="300"/>
    <x v="299"/>
    <n v="1052"/>
    <s v="Customer_25"/>
    <s v="Corporate"/>
    <s v="North"/>
    <s v="Clothing"/>
    <s v="Product_A"/>
    <n v="1300"/>
    <n v="7"/>
    <n v="0.25"/>
    <n v="-190"/>
    <x v="0"/>
    <n v="6825"/>
    <s v="Oct"/>
    <n v="2024"/>
    <s v="Q4"/>
    <n v="-2.7838827838827841E-2"/>
    <n v="2275"/>
    <s v="High"/>
    <s v="Repeat"/>
    <s v="Below Avg"/>
    <s v="Loss"/>
    <n v="276"/>
  </r>
  <r>
    <n v="301"/>
    <x v="300"/>
    <n v="1017"/>
    <s v="Customer_109"/>
    <s v="Corporate"/>
    <s v="North"/>
    <s v="Clothing"/>
    <s v="Product_A"/>
    <n v="3165"/>
    <n v="3"/>
    <n v="0"/>
    <n v="286"/>
    <x v="1"/>
    <n v="9495"/>
    <s v="Oct"/>
    <n v="2024"/>
    <s v="Q4"/>
    <n v="3.0121116377040548E-2"/>
    <n v="0"/>
    <s v="High"/>
    <s v="Repeat"/>
    <s v="Below Avg"/>
    <s v="Profit"/>
    <n v="216"/>
  </r>
  <r>
    <n v="302"/>
    <x v="301"/>
    <n v="1045"/>
    <s v="Customer_108"/>
    <s v="Corporate"/>
    <s v="South"/>
    <s v="Clothing"/>
    <s v="Product_A"/>
    <n v="4359"/>
    <n v="9"/>
    <n v="0"/>
    <n v="198"/>
    <x v="1"/>
    <n v="39231"/>
    <s v="Oct"/>
    <n v="2024"/>
    <s v="Q4"/>
    <n v="5.0470291351227348E-3"/>
    <n v="0"/>
    <s v="High"/>
    <s v="Repeat"/>
    <s v="Above Avg"/>
    <s v="Profit"/>
    <n v="3"/>
  </r>
  <r>
    <n v="303"/>
    <x v="302"/>
    <n v="1022"/>
    <s v="Customer_156"/>
    <s v="Consumer"/>
    <s v="West"/>
    <s v="Electronics"/>
    <s v="Product_C"/>
    <n v="4615"/>
    <n v="4"/>
    <n v="0.22"/>
    <n v="247"/>
    <x v="2"/>
    <n v="14398.8"/>
    <s v="Oct"/>
    <n v="2024"/>
    <s v="Q4"/>
    <n v="1.7154207295052366E-2"/>
    <n v="4061.2"/>
    <s v="High"/>
    <s v="Repeat"/>
    <s v="Above Avg"/>
    <s v="Profit"/>
    <n v="145"/>
  </r>
  <r>
    <n v="304"/>
    <x v="303"/>
    <n v="1053"/>
    <s v="Customer_88"/>
    <s v="Consumer"/>
    <s v="North"/>
    <s v="Clothing"/>
    <s v="Product_D"/>
    <n v="3662"/>
    <n v="3"/>
    <n v="0.16"/>
    <n v="1555"/>
    <x v="2"/>
    <n v="9228.24"/>
    <s v="Oct"/>
    <n v="2024"/>
    <s v="Q4"/>
    <n v="0.16850450356731078"/>
    <n v="1757.76"/>
    <s v="High"/>
    <s v="New"/>
    <s v="Below Avg"/>
    <s v="Profit"/>
    <n v="226"/>
  </r>
  <r>
    <n v="305"/>
    <x v="304"/>
    <n v="1089"/>
    <s v="Customer_18"/>
    <s v="Corporate"/>
    <s v="South"/>
    <s v="Electronics"/>
    <s v="Product_A"/>
    <n v="170"/>
    <n v="9"/>
    <n v="0.23"/>
    <n v="291"/>
    <x v="2"/>
    <n v="1178.0999999999999"/>
    <s v="Oct"/>
    <n v="2024"/>
    <s v="Q4"/>
    <n v="0.24700789406671761"/>
    <n v="351.90000000000003"/>
    <s v="Low"/>
    <s v="Repeat"/>
    <s v="Below Avg"/>
    <s v="Profit"/>
    <n v="470"/>
  </r>
  <r>
    <n v="306"/>
    <x v="305"/>
    <n v="1074"/>
    <s v="Customer_57"/>
    <s v="Corporate"/>
    <s v="South"/>
    <s v="Electronics"/>
    <s v="Product_C"/>
    <n v="4005"/>
    <n v="3"/>
    <n v="0.18"/>
    <n v="940"/>
    <x v="2"/>
    <n v="9852.2999999999993"/>
    <s v="Nov"/>
    <n v="2024"/>
    <s v="Q4"/>
    <n v="9.5409193792312469E-2"/>
    <n v="2162.6999999999998"/>
    <s v="High"/>
    <s v="Repeat"/>
    <s v="Below Avg"/>
    <s v="Profit"/>
    <n v="206"/>
  </r>
  <r>
    <n v="307"/>
    <x v="306"/>
    <n v="1000"/>
    <s v="Customer_98"/>
    <s v="Consumer"/>
    <s v="South"/>
    <s v="Electronics"/>
    <s v="Product_C"/>
    <n v="568"/>
    <n v="1"/>
    <n v="7.0000000000000007E-2"/>
    <n v="1894"/>
    <x v="0"/>
    <n v="528.24"/>
    <s v="Nov"/>
    <n v="2024"/>
    <s v="Q4"/>
    <n v="3.585491443283356"/>
    <n v="39.760000000000005"/>
    <s v="Low"/>
    <s v="Repeat"/>
    <s v="Below Avg"/>
    <s v="Profit"/>
    <n v="490"/>
  </r>
  <r>
    <n v="308"/>
    <x v="307"/>
    <n v="1035"/>
    <s v="Customer_170"/>
    <s v="Consumer"/>
    <s v="North"/>
    <s v="Clothing"/>
    <s v="Product_A"/>
    <n v="3660"/>
    <n v="3"/>
    <n v="0.24"/>
    <n v="1824"/>
    <x v="2"/>
    <n v="8344.7999999999993"/>
    <s v="Nov"/>
    <n v="2024"/>
    <s v="Q4"/>
    <n v="0.21857923497267762"/>
    <n v="2635.2"/>
    <s v="High"/>
    <s v="Repeat"/>
    <s v="Below Avg"/>
    <s v="Profit"/>
    <n v="241"/>
  </r>
  <r>
    <n v="309"/>
    <x v="308"/>
    <n v="1083"/>
    <s v="Customer_67"/>
    <s v="Corporate"/>
    <s v="East"/>
    <s v="Furniture"/>
    <s v="Product_D"/>
    <n v="2023"/>
    <n v="3"/>
    <n v="0.01"/>
    <n v="356"/>
    <x v="1"/>
    <n v="6008.31"/>
    <s v="Nov"/>
    <n v="2024"/>
    <s v="Q4"/>
    <n v="5.9251270323934679E-2"/>
    <n v="60.69"/>
    <s v="High"/>
    <s v="Repeat"/>
    <s v="Below Avg"/>
    <s v="Profit"/>
    <n v="297"/>
  </r>
  <r>
    <n v="310"/>
    <x v="309"/>
    <n v="1094"/>
    <s v="Customer_140"/>
    <s v="Consumer"/>
    <s v="North"/>
    <s v="Clothing"/>
    <s v="Product_B"/>
    <n v="3079"/>
    <n v="5"/>
    <n v="0.24"/>
    <n v="1522"/>
    <x v="0"/>
    <n v="11700.2"/>
    <s v="Nov"/>
    <n v="2024"/>
    <s v="Q4"/>
    <n v="0.13008324644023178"/>
    <n v="3694.7999999999997"/>
    <s v="High"/>
    <s v="Repeat"/>
    <s v="Above Avg"/>
    <s v="Profit"/>
    <n v="178"/>
  </r>
  <r>
    <n v="311"/>
    <x v="310"/>
    <n v="1071"/>
    <s v="Customer_164"/>
    <s v="Corporate"/>
    <s v="South"/>
    <s v="Furniture"/>
    <s v="Product_B"/>
    <n v="4122"/>
    <n v="9"/>
    <n v="0.2"/>
    <n v="-297"/>
    <x v="1"/>
    <n v="29678.400000000001"/>
    <s v="Nov"/>
    <n v="2024"/>
    <s v="Q4"/>
    <n v="-1.0007278020378457E-2"/>
    <n v="7419.6"/>
    <s v="High"/>
    <s v="Repeat"/>
    <s v="Above Avg"/>
    <s v="Loss"/>
    <n v="25"/>
  </r>
  <r>
    <n v="312"/>
    <x v="311"/>
    <n v="1039"/>
    <s v="Customer_69"/>
    <s v="Corporate"/>
    <s v="North"/>
    <s v="Clothing"/>
    <s v="Product_A"/>
    <n v="4319"/>
    <n v="7"/>
    <n v="0.2"/>
    <n v="1668"/>
    <x v="0"/>
    <n v="24186.400000000001"/>
    <s v="Nov"/>
    <n v="2024"/>
    <s v="Q4"/>
    <n v="6.896437667449476E-2"/>
    <n v="6046.6"/>
    <s v="High"/>
    <s v="Repeat"/>
    <s v="Above Avg"/>
    <s v="Profit"/>
    <n v="50"/>
  </r>
  <r>
    <n v="313"/>
    <x v="312"/>
    <n v="1087"/>
    <s v="Customer_83"/>
    <s v="Consumer"/>
    <s v="West"/>
    <s v="Clothing"/>
    <s v="Product_D"/>
    <n v="4618"/>
    <n v="3"/>
    <n v="0.01"/>
    <n v="1802"/>
    <x v="2"/>
    <n v="13715.46"/>
    <s v="Nov"/>
    <n v="2024"/>
    <s v="Q4"/>
    <n v="0.13138458352836874"/>
    <n v="138.54"/>
    <s v="High"/>
    <s v="Repeat"/>
    <s v="Above Avg"/>
    <s v="Profit"/>
    <n v="150"/>
  </r>
  <r>
    <n v="314"/>
    <x v="313"/>
    <n v="1083"/>
    <s v="Customer_76"/>
    <s v="Corporate"/>
    <s v="East"/>
    <s v="Furniture"/>
    <s v="Product_B"/>
    <n v="666"/>
    <n v="3"/>
    <n v="0.06"/>
    <n v="-107"/>
    <x v="0"/>
    <n v="1878.12"/>
    <s v="Nov"/>
    <n v="2024"/>
    <s v="Q4"/>
    <n v="-5.6971865482503783E-2"/>
    <n v="119.88"/>
    <s v="Low"/>
    <s v="Repeat"/>
    <s v="Below Avg"/>
    <s v="Loss"/>
    <n v="437"/>
  </r>
  <r>
    <n v="315"/>
    <x v="314"/>
    <n v="1078"/>
    <s v="Customer_91"/>
    <s v="Corporate"/>
    <s v="East"/>
    <s v="Electronics"/>
    <s v="Product_D"/>
    <n v="3227"/>
    <n v="4"/>
    <n v="0.15"/>
    <n v="200"/>
    <x v="2"/>
    <n v="10971.8"/>
    <s v="Nov"/>
    <n v="2024"/>
    <s v="Q4"/>
    <n v="1.8228549554311965E-2"/>
    <n v="1936.1999999999998"/>
    <s v="High"/>
    <s v="Repeat"/>
    <s v="Above Avg"/>
    <s v="Profit"/>
    <n v="193"/>
  </r>
  <r>
    <n v="316"/>
    <x v="315"/>
    <n v="1029"/>
    <s v="Customer_17"/>
    <s v="Corporate"/>
    <s v="North"/>
    <s v="Electronics"/>
    <s v="Product_B"/>
    <n v="4116"/>
    <n v="7"/>
    <n v="0.13"/>
    <n v="1791"/>
    <x v="0"/>
    <n v="25066.44"/>
    <s v="Nov"/>
    <n v="2024"/>
    <s v="Q4"/>
    <n v="7.1450114176564369E-2"/>
    <n v="3745.56"/>
    <s v="High"/>
    <s v="Repeat"/>
    <s v="Above Avg"/>
    <s v="Profit"/>
    <n v="41"/>
  </r>
  <r>
    <n v="317"/>
    <x v="316"/>
    <n v="1019"/>
    <s v="Customer_171"/>
    <s v="Corporate"/>
    <s v="East"/>
    <s v="Electronics"/>
    <s v="Product_C"/>
    <n v="1265"/>
    <n v="4"/>
    <n v="0.01"/>
    <n v="458"/>
    <x v="1"/>
    <n v="5009.3999999999996"/>
    <s v="Nov"/>
    <n v="2024"/>
    <s v="Q4"/>
    <n v="9.1428115143530164E-2"/>
    <n v="50.6"/>
    <s v="High"/>
    <s v="Repeat"/>
    <s v="Below Avg"/>
    <s v="Profit"/>
    <n v="322"/>
  </r>
  <r>
    <n v="318"/>
    <x v="317"/>
    <n v="1037"/>
    <s v="Customer_92"/>
    <s v="Corporate"/>
    <s v="East"/>
    <s v="Furniture"/>
    <s v="Product_D"/>
    <n v="4336"/>
    <n v="9"/>
    <n v="0.1"/>
    <n v="-99"/>
    <x v="2"/>
    <n v="35121.599999999999"/>
    <s v="Nov"/>
    <n v="2024"/>
    <s v="Q4"/>
    <n v="-2.8187781877818778E-3"/>
    <n v="3902.4"/>
    <s v="High"/>
    <s v="Repeat"/>
    <s v="Above Avg"/>
    <s v="Loss"/>
    <n v="10"/>
  </r>
  <r>
    <n v="319"/>
    <x v="318"/>
    <n v="1001"/>
    <s v="Customer_40"/>
    <s v="Corporate"/>
    <s v="South"/>
    <s v="Clothing"/>
    <s v="Product_B"/>
    <n v="1915"/>
    <n v="3"/>
    <n v="0.28999999999999998"/>
    <n v="1599"/>
    <x v="1"/>
    <n v="4078.95"/>
    <s v="Nov"/>
    <n v="2024"/>
    <s v="Q4"/>
    <n v="0.39201265031441918"/>
    <n v="1666.05"/>
    <s v="Medium"/>
    <s v="Repeat"/>
    <s v="Below Avg"/>
    <s v="Profit"/>
    <n v="349"/>
  </r>
  <r>
    <n v="320"/>
    <x v="319"/>
    <n v="1005"/>
    <s v="Customer_22"/>
    <s v="Corporate"/>
    <s v="South"/>
    <s v="Clothing"/>
    <s v="Product_A"/>
    <n v="4067"/>
    <n v="7"/>
    <n v="0.09"/>
    <n v="1720"/>
    <x v="0"/>
    <n v="25906.79"/>
    <s v="Nov"/>
    <n v="2024"/>
    <s v="Q4"/>
    <n v="6.6391860975443112E-2"/>
    <n v="2562.21"/>
    <s v="High"/>
    <s v="Repeat"/>
    <s v="Above Avg"/>
    <s v="Profit"/>
    <n v="40"/>
  </r>
  <r>
    <n v="321"/>
    <x v="320"/>
    <n v="1081"/>
    <s v="Customer_192"/>
    <s v="Corporate"/>
    <s v="East"/>
    <s v="Furniture"/>
    <s v="Product_D"/>
    <n v="240"/>
    <n v="9"/>
    <n v="0.19"/>
    <n v="271"/>
    <x v="1"/>
    <n v="1749.6"/>
    <s v="Nov"/>
    <n v="2024"/>
    <s v="Q4"/>
    <n v="0.15489254686785553"/>
    <n v="410.4"/>
    <s v="Low"/>
    <s v="Repeat"/>
    <s v="Below Avg"/>
    <s v="Profit"/>
    <n v="443"/>
  </r>
  <r>
    <n v="322"/>
    <x v="321"/>
    <n v="1035"/>
    <s v="Customer_138"/>
    <s v="Consumer"/>
    <s v="North"/>
    <s v="Electronics"/>
    <s v="Product_D"/>
    <n v="3410"/>
    <n v="5"/>
    <n v="0.2"/>
    <n v="1549"/>
    <x v="1"/>
    <n v="13640"/>
    <s v="Nov"/>
    <n v="2024"/>
    <s v="Q4"/>
    <n v="0.11356304985337243"/>
    <n v="3410"/>
    <s v="High"/>
    <s v="Repeat"/>
    <s v="Above Avg"/>
    <s v="Profit"/>
    <n v="151"/>
  </r>
  <r>
    <n v="323"/>
    <x v="322"/>
    <n v="1077"/>
    <s v="Customer_105"/>
    <s v="Consumer"/>
    <s v="East"/>
    <s v="Clothing"/>
    <s v="Product_D"/>
    <n v="601"/>
    <n v="4"/>
    <n v="0.19"/>
    <n v="-310"/>
    <x v="2"/>
    <n v="1947.24"/>
    <s v="Nov"/>
    <n v="2024"/>
    <s v="Q4"/>
    <n v="-0.15919968776319304"/>
    <n v="456.76"/>
    <s v="Low"/>
    <s v="Repeat"/>
    <s v="Below Avg"/>
    <s v="Loss"/>
    <n v="433"/>
  </r>
  <r>
    <n v="324"/>
    <x v="323"/>
    <n v="1025"/>
    <s v="Customer_134"/>
    <s v="Corporate"/>
    <s v="South"/>
    <s v="Furniture"/>
    <s v="Product_B"/>
    <n v="1554"/>
    <n v="2"/>
    <n v="0.09"/>
    <n v="1816"/>
    <x v="2"/>
    <n v="2828.28"/>
    <s v="Nov"/>
    <n v="2024"/>
    <s v="Q4"/>
    <n v="0.64208635637207057"/>
    <n v="279.71999999999997"/>
    <s v="Medium"/>
    <s v="Repeat"/>
    <s v="Below Avg"/>
    <s v="Profit"/>
    <n v="398"/>
  </r>
  <r>
    <n v="325"/>
    <x v="324"/>
    <n v="1097"/>
    <s v="Customer_17"/>
    <s v="Consumer"/>
    <s v="South"/>
    <s v="Furniture"/>
    <s v="Product_C"/>
    <n v="4379"/>
    <n v="5"/>
    <n v="0.17"/>
    <n v="884"/>
    <x v="0"/>
    <n v="18172.849999999999"/>
    <s v="Nov"/>
    <n v="2024"/>
    <s v="Q4"/>
    <n v="4.8643993649867802E-2"/>
    <n v="3722.15"/>
    <s v="High"/>
    <s v="Repeat"/>
    <s v="Above Avg"/>
    <s v="Profit"/>
    <n v="90"/>
  </r>
  <r>
    <n v="326"/>
    <x v="325"/>
    <n v="1093"/>
    <s v="Customer_76"/>
    <s v="Corporate"/>
    <s v="East"/>
    <s v="Clothing"/>
    <s v="Product_C"/>
    <n v="635"/>
    <n v="3"/>
    <n v="0.21"/>
    <n v="895"/>
    <x v="1"/>
    <n v="1504.95"/>
    <s v="Nov"/>
    <n v="2024"/>
    <s v="Q4"/>
    <n v="0.59470414299478391"/>
    <n v="400.05"/>
    <s v="Low"/>
    <s v="Repeat"/>
    <s v="Below Avg"/>
    <s v="Profit"/>
    <n v="457"/>
  </r>
  <r>
    <n v="327"/>
    <x v="326"/>
    <n v="1070"/>
    <s v="Customer_191"/>
    <s v="Consumer"/>
    <s v="East"/>
    <s v="Furniture"/>
    <s v="Product_B"/>
    <n v="2260"/>
    <n v="3"/>
    <n v="0.11"/>
    <n v="1691"/>
    <x v="0"/>
    <n v="6034.2"/>
    <s v="Nov"/>
    <n v="2024"/>
    <s v="Q4"/>
    <n v="0.28023598820058998"/>
    <n v="745.8"/>
    <s v="High"/>
    <s v="Repeat"/>
    <s v="Below Avg"/>
    <s v="Profit"/>
    <n v="295"/>
  </r>
  <r>
    <n v="328"/>
    <x v="327"/>
    <n v="1058"/>
    <s v="Customer_198"/>
    <s v="Consumer"/>
    <s v="West"/>
    <s v="Furniture"/>
    <s v="Product_C"/>
    <n v="4341"/>
    <n v="7"/>
    <n v="0.08"/>
    <n v="-164"/>
    <x v="2"/>
    <n v="27956.04"/>
    <s v="Nov"/>
    <n v="2024"/>
    <s v="Q4"/>
    <n v="-5.8663530314021581E-3"/>
    <n v="2430.96"/>
    <s v="High"/>
    <s v="Repeat"/>
    <s v="Above Avg"/>
    <s v="Loss"/>
    <n v="32"/>
  </r>
  <r>
    <n v="329"/>
    <x v="328"/>
    <n v="1029"/>
    <s v="Customer_178"/>
    <s v="Consumer"/>
    <s v="West"/>
    <s v="Electronics"/>
    <s v="Product_C"/>
    <n v="2929"/>
    <n v="6"/>
    <n v="0.08"/>
    <n v="122"/>
    <x v="2"/>
    <n v="16168.08"/>
    <s v="Nov"/>
    <n v="2024"/>
    <s v="Q4"/>
    <n v="7.5457320844528235E-3"/>
    <n v="1405.92"/>
    <s v="High"/>
    <s v="Repeat"/>
    <s v="Above Avg"/>
    <s v="Profit"/>
    <n v="123"/>
  </r>
  <r>
    <n v="330"/>
    <x v="329"/>
    <n v="1081"/>
    <s v="Customer_80"/>
    <s v="Corporate"/>
    <s v="North"/>
    <s v="Furniture"/>
    <s v="Product_A"/>
    <n v="4483"/>
    <n v="3"/>
    <n v="0.28000000000000003"/>
    <n v="1527"/>
    <x v="1"/>
    <n v="9683.2799999999897"/>
    <s v="Nov"/>
    <n v="2024"/>
    <s v="Q4"/>
    <n v="0.15769450021067258"/>
    <n v="3765.7200000000003"/>
    <s v="High"/>
    <s v="Repeat"/>
    <s v="Below Avg"/>
    <s v="Profit"/>
    <n v="209"/>
  </r>
  <r>
    <n v="331"/>
    <x v="330"/>
    <n v="1021"/>
    <s v="Customer_196"/>
    <s v="Corporate"/>
    <s v="South"/>
    <s v="Electronics"/>
    <s v="Product_C"/>
    <n v="1725"/>
    <n v="9"/>
    <n v="0.19"/>
    <n v="508"/>
    <x v="2"/>
    <n v="12575.25"/>
    <s v="Nov"/>
    <n v="2024"/>
    <s v="Q4"/>
    <n v="4.0396811196596487E-2"/>
    <n v="2949.75"/>
    <s v="High"/>
    <s v="Repeat"/>
    <s v="Above Avg"/>
    <s v="Profit"/>
    <n v="162"/>
  </r>
  <r>
    <n v="332"/>
    <x v="331"/>
    <n v="1016"/>
    <s v="Customer_153"/>
    <s v="Consumer"/>
    <s v="South"/>
    <s v="Furniture"/>
    <s v="Product_B"/>
    <n v="4547"/>
    <n v="7"/>
    <n v="0.23"/>
    <n v="695"/>
    <x v="0"/>
    <n v="24508.33"/>
    <s v="Nov"/>
    <n v="2024"/>
    <s v="Q4"/>
    <n v="2.8357705318967058E-2"/>
    <n v="7320.67"/>
    <s v="High"/>
    <s v="Repeat"/>
    <s v="Above Avg"/>
    <s v="Profit"/>
    <n v="47"/>
  </r>
  <r>
    <n v="333"/>
    <x v="332"/>
    <n v="1030"/>
    <s v="Customer_33"/>
    <s v="Consumer"/>
    <s v="South"/>
    <s v="Electronics"/>
    <s v="Product_B"/>
    <n v="2252"/>
    <n v="8"/>
    <n v="0.17"/>
    <n v="1739"/>
    <x v="1"/>
    <n v="14953.279999999901"/>
    <s v="Nov"/>
    <n v="2024"/>
    <s v="Q4"/>
    <n v="0.11629555522266764"/>
    <n v="3062.7200000000003"/>
    <s v="High"/>
    <s v="Repeat"/>
    <s v="Above Avg"/>
    <s v="Profit"/>
    <n v="140"/>
  </r>
  <r>
    <n v="334"/>
    <x v="333"/>
    <n v="1055"/>
    <s v="Customer_1"/>
    <s v="Corporate"/>
    <s v="West"/>
    <s v="Clothing"/>
    <s v="Product_B"/>
    <n v="3427"/>
    <n v="4"/>
    <n v="0.19"/>
    <n v="922"/>
    <x v="1"/>
    <n v="11103.48"/>
    <s v="Nov"/>
    <n v="2024"/>
    <s v="Q4"/>
    <n v="8.3037029832088688E-2"/>
    <n v="2604.52"/>
    <s v="High"/>
    <s v="Repeat"/>
    <s v="Above Avg"/>
    <s v="Profit"/>
    <n v="188"/>
  </r>
  <r>
    <n v="335"/>
    <x v="334"/>
    <n v="1080"/>
    <s v="Customer_79"/>
    <s v="Consumer"/>
    <s v="North"/>
    <s v="Clothing"/>
    <s v="Product_A"/>
    <n v="370"/>
    <n v="7"/>
    <n v="0.08"/>
    <n v="1381"/>
    <x v="1"/>
    <n v="2382.8000000000002"/>
    <s v="Nov"/>
    <n v="2024"/>
    <s v="Q4"/>
    <n v="0.57957025348329694"/>
    <n v="207.20000000000002"/>
    <s v="Medium"/>
    <s v="Repeat"/>
    <s v="Below Avg"/>
    <s v="Profit"/>
    <n v="413"/>
  </r>
  <r>
    <n v="336"/>
    <x v="335"/>
    <n v="1030"/>
    <s v="Customer_128"/>
    <s v="Consumer"/>
    <s v="South"/>
    <s v="Electronics"/>
    <s v="Product_D"/>
    <n v="4426"/>
    <n v="9"/>
    <n v="0.27"/>
    <n v="-447"/>
    <x v="1"/>
    <n v="29078.82"/>
    <s v="Dec"/>
    <n v="2024"/>
    <s v="Q4"/>
    <n v="-1.537201303216568E-2"/>
    <n v="10755.18"/>
    <s v="High"/>
    <s v="Repeat"/>
    <s v="Above Avg"/>
    <s v="Loss"/>
    <n v="26"/>
  </r>
  <r>
    <n v="337"/>
    <x v="336"/>
    <n v="1012"/>
    <s v="Customer_145"/>
    <s v="Corporate"/>
    <s v="West"/>
    <s v="Clothing"/>
    <s v="Product_C"/>
    <n v="3915"/>
    <n v="8"/>
    <n v="0.15"/>
    <n v="-47"/>
    <x v="1"/>
    <n v="26622"/>
    <s v="Dec"/>
    <n v="2024"/>
    <s v="Q4"/>
    <n v="-1.7654571407106905E-3"/>
    <n v="4698"/>
    <s v="High"/>
    <s v="Repeat"/>
    <s v="Above Avg"/>
    <s v="Loss"/>
    <n v="36"/>
  </r>
  <r>
    <n v="338"/>
    <x v="337"/>
    <n v="1090"/>
    <s v="Customer_171"/>
    <s v="Consumer"/>
    <s v="North"/>
    <s v="Furniture"/>
    <s v="Product_B"/>
    <n v="1456"/>
    <n v="7"/>
    <n v="0.24"/>
    <n v="-31"/>
    <x v="1"/>
    <n v="7745.92"/>
    <s v="Dec"/>
    <n v="2024"/>
    <s v="Q4"/>
    <n v="-4.0021069156407499E-3"/>
    <n v="2446.08"/>
    <s v="High"/>
    <s v="Repeat"/>
    <s v="Below Avg"/>
    <s v="Loss"/>
    <n v="258"/>
  </r>
  <r>
    <n v="339"/>
    <x v="338"/>
    <n v="1083"/>
    <s v="Customer_186"/>
    <s v="Corporate"/>
    <s v="East"/>
    <s v="Electronics"/>
    <s v="Product_A"/>
    <n v="4189"/>
    <n v="5"/>
    <n v="0.16"/>
    <n v="798"/>
    <x v="1"/>
    <n v="17593.8"/>
    <s v="Dec"/>
    <n v="2024"/>
    <s v="Q4"/>
    <n v="4.5356887085223209E-2"/>
    <n v="3351.2000000000003"/>
    <s v="High"/>
    <s v="Repeat"/>
    <s v="Above Avg"/>
    <s v="Profit"/>
    <n v="95"/>
  </r>
  <r>
    <n v="340"/>
    <x v="339"/>
    <n v="1016"/>
    <s v="Customer_147"/>
    <s v="Consumer"/>
    <s v="East"/>
    <s v="Electronics"/>
    <s v="Product_C"/>
    <n v="190"/>
    <n v="8"/>
    <n v="0.03"/>
    <n v="728"/>
    <x v="1"/>
    <n v="1474.3999999999901"/>
    <s v="Dec"/>
    <n v="2024"/>
    <s v="Q4"/>
    <n v="0.4937601736299545"/>
    <n v="45.6"/>
    <s v="Low"/>
    <s v="Repeat"/>
    <s v="Below Avg"/>
    <s v="Profit"/>
    <n v="458"/>
  </r>
  <r>
    <n v="341"/>
    <x v="340"/>
    <n v="1092"/>
    <s v="Customer_54"/>
    <s v="Corporate"/>
    <s v="East"/>
    <s v="Clothing"/>
    <s v="Product_D"/>
    <n v="2277"/>
    <n v="8"/>
    <n v="0.03"/>
    <n v="297"/>
    <x v="0"/>
    <n v="17669.52"/>
    <s v="Dec"/>
    <n v="2024"/>
    <s v="Q4"/>
    <n v="1.6808606006275213E-2"/>
    <n v="546.48"/>
    <s v="High"/>
    <s v="Repeat"/>
    <s v="Above Avg"/>
    <s v="Profit"/>
    <n v="94"/>
  </r>
  <r>
    <n v="342"/>
    <x v="341"/>
    <n v="1038"/>
    <s v="Customer_114"/>
    <s v="Corporate"/>
    <s v="West"/>
    <s v="Electronics"/>
    <s v="Product_A"/>
    <n v="1830"/>
    <n v="4"/>
    <n v="0.14000000000000001"/>
    <n v="898"/>
    <x v="2"/>
    <n v="6295.2"/>
    <s v="Dec"/>
    <n v="2024"/>
    <s v="Q4"/>
    <n v="0.14264836700978523"/>
    <n v="1024.8000000000002"/>
    <s v="High"/>
    <s v="Repeat"/>
    <s v="Below Avg"/>
    <s v="Profit"/>
    <n v="291"/>
  </r>
  <r>
    <n v="343"/>
    <x v="342"/>
    <n v="1098"/>
    <s v="Customer_83"/>
    <s v="Corporate"/>
    <s v="East"/>
    <s v="Clothing"/>
    <s v="Product_B"/>
    <n v="2458"/>
    <n v="9"/>
    <n v="0.13"/>
    <n v="-443"/>
    <x v="2"/>
    <n v="19246.14"/>
    <s v="Dec"/>
    <n v="2024"/>
    <s v="Q4"/>
    <n v="-2.3017602490681251E-2"/>
    <n v="2875.86"/>
    <s v="High"/>
    <s v="Repeat"/>
    <s v="Above Avg"/>
    <s v="Loss"/>
    <n v="83"/>
  </r>
  <r>
    <n v="344"/>
    <x v="343"/>
    <n v="1007"/>
    <s v="Customer_84"/>
    <s v="Consumer"/>
    <s v="East"/>
    <s v="Electronics"/>
    <s v="Product_B"/>
    <n v="2809"/>
    <n v="1"/>
    <n v="0.27"/>
    <n v="-352"/>
    <x v="2"/>
    <n v="2050.5700000000002"/>
    <s v="Dec"/>
    <n v="2024"/>
    <s v="Q4"/>
    <n v="-0.17165958733425338"/>
    <n v="758.43000000000006"/>
    <s v="Medium"/>
    <s v="Repeat"/>
    <s v="Below Avg"/>
    <s v="Loss"/>
    <n v="426"/>
  </r>
  <r>
    <n v="345"/>
    <x v="344"/>
    <n v="1037"/>
    <s v="Customer_1"/>
    <s v="Consumer"/>
    <s v="North"/>
    <s v="Clothing"/>
    <s v="Product_D"/>
    <n v="448"/>
    <n v="9"/>
    <n v="0.04"/>
    <n v="1096"/>
    <x v="2"/>
    <n v="3870.72"/>
    <s v="Dec"/>
    <n v="2024"/>
    <s v="Q4"/>
    <n v="0.28315145502645506"/>
    <n v="161.28"/>
    <s v="Medium"/>
    <s v="Repeat"/>
    <s v="Below Avg"/>
    <s v="Profit"/>
    <n v="358"/>
  </r>
  <r>
    <n v="346"/>
    <x v="345"/>
    <n v="1014"/>
    <s v="Customer_144"/>
    <s v="Consumer"/>
    <s v="East"/>
    <s v="Clothing"/>
    <s v="Product_C"/>
    <n v="4977"/>
    <n v="1"/>
    <n v="0.21"/>
    <n v="294"/>
    <x v="1"/>
    <n v="3931.83"/>
    <s v="Dec"/>
    <n v="2024"/>
    <s v="Q4"/>
    <n v="7.4774341718741658E-2"/>
    <n v="1045.17"/>
    <s v="Medium"/>
    <s v="Repeat"/>
    <s v="Below Avg"/>
    <s v="Profit"/>
    <n v="357"/>
  </r>
  <r>
    <n v="347"/>
    <x v="346"/>
    <n v="1000"/>
    <s v="Customer_152"/>
    <s v="Consumer"/>
    <s v="East"/>
    <s v="Furniture"/>
    <s v="Product_A"/>
    <n v="4432"/>
    <n v="5"/>
    <n v="0.28000000000000003"/>
    <n v="1809"/>
    <x v="0"/>
    <n v="15955.199999999901"/>
    <s v="Dec"/>
    <n v="2024"/>
    <s v="Q4"/>
    <n v="0.11337996389891768"/>
    <n v="6204.8"/>
    <s v="High"/>
    <s v="Repeat"/>
    <s v="Above Avg"/>
    <s v="Profit"/>
    <n v="130"/>
  </r>
  <r>
    <n v="348"/>
    <x v="347"/>
    <n v="1096"/>
    <s v="Customer_192"/>
    <s v="Corporate"/>
    <s v="West"/>
    <s v="Furniture"/>
    <s v="Product_A"/>
    <n v="1393"/>
    <n v="6"/>
    <n v="0.12"/>
    <n v="1693"/>
    <x v="1"/>
    <n v="7355.04"/>
    <s v="Dec"/>
    <n v="2024"/>
    <s v="Q4"/>
    <n v="0.23018229676521135"/>
    <n v="1002.9599999999999"/>
    <s v="High"/>
    <s v="Repeat"/>
    <s v="Below Avg"/>
    <s v="Profit"/>
    <n v="266"/>
  </r>
  <r>
    <n v="349"/>
    <x v="348"/>
    <n v="1002"/>
    <s v="Customer_186"/>
    <s v="Consumer"/>
    <s v="West"/>
    <s v="Electronics"/>
    <s v="Product_C"/>
    <n v="4564"/>
    <n v="5"/>
    <n v="0.27"/>
    <n v="710"/>
    <x v="0"/>
    <n v="16658.599999999999"/>
    <s v="Dec"/>
    <n v="2024"/>
    <s v="Q4"/>
    <n v="4.2620628384137924E-2"/>
    <n v="6161.4000000000005"/>
    <s v="High"/>
    <s v="Repeat"/>
    <s v="Above Avg"/>
    <s v="Profit"/>
    <n v="111"/>
  </r>
  <r>
    <n v="350"/>
    <x v="349"/>
    <n v="1037"/>
    <s v="Customer_152"/>
    <s v="Consumer"/>
    <s v="West"/>
    <s v="Clothing"/>
    <s v="Product_B"/>
    <n v="2447"/>
    <n v="4"/>
    <n v="0.04"/>
    <n v="-339"/>
    <x v="0"/>
    <n v="9396.48"/>
    <s v="Dec"/>
    <n v="2024"/>
    <s v="Q4"/>
    <n v="-3.6077339599509609E-2"/>
    <n v="391.52"/>
    <s v="High"/>
    <s v="Repeat"/>
    <s v="Below Avg"/>
    <s v="Loss"/>
    <n v="221"/>
  </r>
  <r>
    <n v="351"/>
    <x v="350"/>
    <n v="1047"/>
    <s v="Customer_186"/>
    <s v="Consumer"/>
    <s v="East"/>
    <s v="Furniture"/>
    <s v="Product_C"/>
    <n v="3091"/>
    <n v="5"/>
    <n v="0.03"/>
    <n v="644"/>
    <x v="0"/>
    <n v="14991.35"/>
    <s v="Dec"/>
    <n v="2024"/>
    <s v="Q4"/>
    <n v="4.2958105841034995E-2"/>
    <n v="463.65"/>
    <s v="High"/>
    <s v="Repeat"/>
    <s v="Above Avg"/>
    <s v="Profit"/>
    <n v="139"/>
  </r>
  <r>
    <n v="352"/>
    <x v="351"/>
    <n v="1062"/>
    <s v="Customer_101"/>
    <s v="Consumer"/>
    <s v="North"/>
    <s v="Electronics"/>
    <s v="Product_C"/>
    <n v="2900"/>
    <n v="7"/>
    <n v="7.0000000000000007E-2"/>
    <n v="1932"/>
    <x v="0"/>
    <n v="18879"/>
    <s v="Dec"/>
    <n v="2024"/>
    <s v="Q4"/>
    <n v="0.10233592880978866"/>
    <n v="1421.0000000000002"/>
    <s v="High"/>
    <s v="Repeat"/>
    <s v="Above Avg"/>
    <s v="Profit"/>
    <n v="85"/>
  </r>
  <r>
    <n v="353"/>
    <x v="352"/>
    <n v="1061"/>
    <s v="Customer_192"/>
    <s v="Consumer"/>
    <s v="South"/>
    <s v="Clothing"/>
    <s v="Product_C"/>
    <n v="4356"/>
    <n v="2"/>
    <n v="0.16"/>
    <n v="332"/>
    <x v="2"/>
    <n v="7318.08"/>
    <s v="Dec"/>
    <n v="2024"/>
    <s v="Q4"/>
    <n v="4.5367090821636279E-2"/>
    <n v="1393.92"/>
    <s v="High"/>
    <s v="Repeat"/>
    <s v="Below Avg"/>
    <s v="Profit"/>
    <n v="268"/>
  </r>
  <r>
    <n v="354"/>
    <x v="353"/>
    <n v="1014"/>
    <s v="Customer_169"/>
    <s v="Corporate"/>
    <s v="West"/>
    <s v="Furniture"/>
    <s v="Product_B"/>
    <n v="1224"/>
    <n v="7"/>
    <n v="0.19"/>
    <n v="210"/>
    <x v="2"/>
    <n v="6940.08"/>
    <s v="Dec"/>
    <n v="2024"/>
    <s v="Q4"/>
    <n v="3.0259017187121762E-2"/>
    <n v="1627.92"/>
    <s v="High"/>
    <s v="Repeat"/>
    <s v="Below Avg"/>
    <s v="Profit"/>
    <n v="275"/>
  </r>
  <r>
    <n v="355"/>
    <x v="354"/>
    <n v="1061"/>
    <s v="Customer_161"/>
    <s v="Consumer"/>
    <s v="North"/>
    <s v="Clothing"/>
    <s v="Product_B"/>
    <n v="673"/>
    <n v="9"/>
    <n v="0.23"/>
    <n v="944"/>
    <x v="0"/>
    <n v="4663.8900000000003"/>
    <s v="Dec"/>
    <n v="2024"/>
    <s v="Q4"/>
    <n v="0.20240614594255008"/>
    <n v="1393.1100000000001"/>
    <s v="Medium"/>
    <s v="Repeat"/>
    <s v="Below Avg"/>
    <s v="Profit"/>
    <n v="332"/>
  </r>
  <r>
    <n v="356"/>
    <x v="355"/>
    <n v="1081"/>
    <s v="Customer_186"/>
    <s v="Corporate"/>
    <s v="East"/>
    <s v="Furniture"/>
    <s v="Product_A"/>
    <n v="4179"/>
    <n v="7"/>
    <n v="0.23"/>
    <n v="-144"/>
    <x v="0"/>
    <n v="22524.81"/>
    <s v="Dec"/>
    <n v="2024"/>
    <s v="Q4"/>
    <n v="-6.3929507063544598E-3"/>
    <n v="6728.1900000000005"/>
    <s v="High"/>
    <s v="Repeat"/>
    <s v="Above Avg"/>
    <s v="Loss"/>
    <n v="62"/>
  </r>
  <r>
    <n v="357"/>
    <x v="356"/>
    <n v="1037"/>
    <s v="Customer_125"/>
    <s v="Consumer"/>
    <s v="West"/>
    <s v="Clothing"/>
    <s v="Product_C"/>
    <n v="928"/>
    <n v="4"/>
    <n v="0.03"/>
    <n v="182"/>
    <x v="1"/>
    <n v="3600.64"/>
    <s v="Dec"/>
    <n v="2024"/>
    <s v="Q4"/>
    <n v="5.0546569498755779E-2"/>
    <n v="111.36"/>
    <s v="Medium"/>
    <s v="Repeat"/>
    <s v="Below Avg"/>
    <s v="Profit"/>
    <n v="368"/>
  </r>
  <r>
    <n v="358"/>
    <x v="357"/>
    <n v="1094"/>
    <s v="Customer_184"/>
    <s v="Consumer"/>
    <s v="North"/>
    <s v="Electronics"/>
    <s v="Product_C"/>
    <n v="570"/>
    <n v="8"/>
    <n v="0.26"/>
    <n v="1134"/>
    <x v="0"/>
    <n v="3374.4"/>
    <s v="Dec"/>
    <n v="2024"/>
    <s v="Q4"/>
    <n v="0.33605974395448079"/>
    <n v="1185.6000000000001"/>
    <s v="Medium"/>
    <s v="Repeat"/>
    <s v="Below Avg"/>
    <s v="Profit"/>
    <n v="382"/>
  </r>
  <r>
    <n v="359"/>
    <x v="358"/>
    <n v="1019"/>
    <s v="Customer_95"/>
    <s v="Corporate"/>
    <s v="South"/>
    <s v="Furniture"/>
    <s v="Product_B"/>
    <n v="4250"/>
    <n v="8"/>
    <n v="0.03"/>
    <n v="335"/>
    <x v="1"/>
    <n v="32980"/>
    <s v="Dec"/>
    <n v="2024"/>
    <s v="Q4"/>
    <n v="1.015767131594906E-2"/>
    <n v="1020"/>
    <s v="High"/>
    <s v="Repeat"/>
    <s v="Above Avg"/>
    <s v="Profit"/>
    <n v="17"/>
  </r>
  <r>
    <n v="360"/>
    <x v="359"/>
    <n v="1058"/>
    <s v="Customer_15"/>
    <s v="Corporate"/>
    <s v="North"/>
    <s v="Clothing"/>
    <s v="Product_B"/>
    <n v="2351"/>
    <n v="9"/>
    <n v="0.27"/>
    <n v="28"/>
    <x v="2"/>
    <n v="15446.07"/>
    <s v="Dec"/>
    <n v="2024"/>
    <s v="Q4"/>
    <n v="1.8127588441590645E-3"/>
    <n v="5712.93"/>
    <s v="High"/>
    <s v="Repeat"/>
    <s v="Above Avg"/>
    <s v="Profit"/>
    <n v="135"/>
  </r>
  <r>
    <n v="361"/>
    <x v="360"/>
    <n v="1006"/>
    <s v="Customer_65"/>
    <s v="Corporate"/>
    <s v="East"/>
    <s v="Furniture"/>
    <s v="Product_C"/>
    <n v="4067"/>
    <n v="6"/>
    <n v="0.28999999999999998"/>
    <n v="1213"/>
    <x v="0"/>
    <n v="17325.419999999998"/>
    <s v="Dec"/>
    <n v="2024"/>
    <s v="Q4"/>
    <n v="7.0012732736060665E-2"/>
    <n v="7076.58"/>
    <s v="High"/>
    <s v="Repeat"/>
    <s v="Above Avg"/>
    <s v="Profit"/>
    <n v="102"/>
  </r>
  <r>
    <n v="362"/>
    <x v="361"/>
    <n v="1090"/>
    <s v="Customer_113"/>
    <s v="Corporate"/>
    <s v="West"/>
    <s v="Furniture"/>
    <s v="Product_D"/>
    <n v="2732"/>
    <n v="1"/>
    <n v="0.18"/>
    <n v="547"/>
    <x v="2"/>
    <n v="2240.2399999999998"/>
    <s v="Dec"/>
    <n v="2024"/>
    <s v="Q4"/>
    <n v="0.24417026747134238"/>
    <n v="491.76"/>
    <s v="Medium"/>
    <s v="Repeat"/>
    <s v="Below Avg"/>
    <s v="Profit"/>
    <n v="418"/>
  </r>
  <r>
    <n v="363"/>
    <x v="362"/>
    <n v="1071"/>
    <s v="Customer_140"/>
    <s v="Consumer"/>
    <s v="North"/>
    <s v="Clothing"/>
    <s v="Product_B"/>
    <n v="4332"/>
    <n v="9"/>
    <n v="0.21"/>
    <n v="1493"/>
    <x v="2"/>
    <n v="30800.52"/>
    <s v="Dec"/>
    <n v="2024"/>
    <s v="Q4"/>
    <n v="4.8473207595196445E-2"/>
    <n v="8187.48"/>
    <s v="High"/>
    <s v="Repeat"/>
    <s v="Above Avg"/>
    <s v="Profit"/>
    <n v="22"/>
  </r>
  <r>
    <n v="364"/>
    <x v="363"/>
    <n v="1077"/>
    <s v="Customer_163"/>
    <s v="Consumer"/>
    <s v="North"/>
    <s v="Electronics"/>
    <s v="Product_D"/>
    <n v="1198"/>
    <n v="9"/>
    <n v="0.11"/>
    <n v="-189"/>
    <x v="0"/>
    <n v="9595.98"/>
    <s v="Dec"/>
    <n v="2024"/>
    <s v="Q4"/>
    <n v="-1.9695747594305115E-2"/>
    <n v="1186.02"/>
    <s v="High"/>
    <s v="Repeat"/>
    <s v="Below Avg"/>
    <s v="Loss"/>
    <n v="212"/>
  </r>
  <r>
    <n v="365"/>
    <x v="364"/>
    <n v="1078"/>
    <s v="Customer_37"/>
    <s v="Consumer"/>
    <s v="North"/>
    <s v="Furniture"/>
    <s v="Product_C"/>
    <n v="3189"/>
    <n v="1"/>
    <n v="0.17"/>
    <n v="159"/>
    <x v="0"/>
    <n v="2646.87"/>
    <s v="Dec"/>
    <n v="2024"/>
    <s v="Q4"/>
    <n v="6.0070951727889926E-2"/>
    <n v="542.13"/>
    <s v="Medium"/>
    <s v="Repeat"/>
    <s v="Below Avg"/>
    <s v="Profit"/>
    <n v="407"/>
  </r>
  <r>
    <n v="366"/>
    <x v="365"/>
    <n v="1070"/>
    <s v="Customer_30"/>
    <s v="Corporate"/>
    <s v="West"/>
    <s v="Clothing"/>
    <s v="Product_C"/>
    <n v="531"/>
    <n v="9"/>
    <n v="0.25"/>
    <n v="1369"/>
    <x v="2"/>
    <n v="3584.25"/>
    <s v="Dec"/>
    <n v="2024"/>
    <s v="Q4"/>
    <n v="0.38194880379437818"/>
    <n v="1194.75"/>
    <s v="Medium"/>
    <s v="Repeat"/>
    <s v="Below Avg"/>
    <s v="Profit"/>
    <n v="371"/>
  </r>
  <r>
    <n v="367"/>
    <x v="366"/>
    <n v="1096"/>
    <s v="Customer_11"/>
    <s v="Corporate"/>
    <s v="North"/>
    <s v="Electronics"/>
    <s v="Product_D"/>
    <n v="1333"/>
    <n v="1"/>
    <n v="0.05"/>
    <n v="-123"/>
    <x v="0"/>
    <n v="1266.3499999999999"/>
    <s v="Jan"/>
    <n v="2025"/>
    <s v="Q1"/>
    <n v="-9.7129545544280813E-2"/>
    <n v="66.650000000000006"/>
    <s v="Low"/>
    <s v="Repeat"/>
    <s v="Below Avg"/>
    <s v="Loss"/>
    <n v="466"/>
  </r>
  <r>
    <n v="368"/>
    <x v="367"/>
    <n v="1051"/>
    <s v="Customer_188"/>
    <s v="Consumer"/>
    <s v="East"/>
    <s v="Clothing"/>
    <s v="Product_D"/>
    <n v="1629"/>
    <n v="2"/>
    <n v="0.15"/>
    <n v="-281"/>
    <x v="1"/>
    <n v="2769.2999999999902"/>
    <s v="Jan"/>
    <n v="2025"/>
    <s v="Q1"/>
    <n v="-0.10146968548008559"/>
    <n v="488.7"/>
    <s v="Medium"/>
    <s v="Repeat"/>
    <s v="Below Avg"/>
    <s v="Loss"/>
    <n v="400"/>
  </r>
  <r>
    <n v="369"/>
    <x v="368"/>
    <n v="1097"/>
    <s v="Customer_32"/>
    <s v="Corporate"/>
    <s v="East"/>
    <s v="Clothing"/>
    <s v="Product_C"/>
    <n v="4451"/>
    <n v="6"/>
    <n v="0.12"/>
    <n v="978"/>
    <x v="0"/>
    <n v="23501.279999999999"/>
    <s v="Jan"/>
    <n v="2025"/>
    <s v="Q1"/>
    <n v="4.1614754600600483E-2"/>
    <n v="3204.72"/>
    <s v="High"/>
    <s v="Repeat"/>
    <s v="Above Avg"/>
    <s v="Profit"/>
    <n v="57"/>
  </r>
  <r>
    <n v="370"/>
    <x v="369"/>
    <n v="1003"/>
    <s v="Customer_2"/>
    <s v="Consumer"/>
    <s v="South"/>
    <s v="Furniture"/>
    <s v="Product_D"/>
    <n v="1480"/>
    <n v="7"/>
    <n v="0.26"/>
    <n v="1989"/>
    <x v="0"/>
    <n v="7666.4"/>
    <s v="Jan"/>
    <n v="2025"/>
    <s v="Q1"/>
    <n v="0.25944380674110407"/>
    <n v="2693.6"/>
    <s v="High"/>
    <s v="Repeat"/>
    <s v="Below Avg"/>
    <s v="Profit"/>
    <n v="261"/>
  </r>
  <r>
    <n v="371"/>
    <x v="370"/>
    <n v="1000"/>
    <s v="Customer_138"/>
    <s v="Corporate"/>
    <s v="South"/>
    <s v="Clothing"/>
    <s v="Product_C"/>
    <n v="241"/>
    <n v="7"/>
    <n v="0.04"/>
    <n v="967"/>
    <x v="2"/>
    <n v="1619.52"/>
    <s v="Jan"/>
    <n v="2025"/>
    <s v="Q1"/>
    <n v="0.5970904959494171"/>
    <n v="67.48"/>
    <s v="Low"/>
    <s v="Repeat"/>
    <s v="Below Avg"/>
    <s v="Profit"/>
    <n v="452"/>
  </r>
  <r>
    <n v="372"/>
    <x v="371"/>
    <n v="1077"/>
    <s v="Customer_124"/>
    <s v="Corporate"/>
    <s v="South"/>
    <s v="Clothing"/>
    <s v="Product_D"/>
    <n v="1316"/>
    <n v="6"/>
    <n v="0.27"/>
    <n v="-31"/>
    <x v="2"/>
    <n v="5764.08"/>
    <s v="Jan"/>
    <n v="2025"/>
    <s v="Q1"/>
    <n v="-5.3781349322008024E-3"/>
    <n v="2131.92"/>
    <s v="High"/>
    <s v="Repeat"/>
    <s v="Below Avg"/>
    <s v="Loss"/>
    <n v="302"/>
  </r>
  <r>
    <n v="373"/>
    <x v="372"/>
    <n v="1094"/>
    <s v="Customer_174"/>
    <s v="Consumer"/>
    <s v="West"/>
    <s v="Electronics"/>
    <s v="Product_C"/>
    <n v="3947"/>
    <n v="8"/>
    <n v="0.08"/>
    <n v="655"/>
    <x v="2"/>
    <n v="29049.919999999998"/>
    <s v="Jan"/>
    <n v="2025"/>
    <s v="Q1"/>
    <n v="2.2547394278538462E-2"/>
    <n v="2526.08"/>
    <s v="High"/>
    <s v="Repeat"/>
    <s v="Above Avg"/>
    <s v="Profit"/>
    <n v="27"/>
  </r>
  <r>
    <n v="374"/>
    <x v="373"/>
    <n v="1037"/>
    <s v="Customer_22"/>
    <s v="Consumer"/>
    <s v="East"/>
    <s v="Furniture"/>
    <s v="Product_B"/>
    <n v="4287"/>
    <n v="8"/>
    <n v="0.18"/>
    <n v="312"/>
    <x v="0"/>
    <n v="28122.720000000001"/>
    <s v="Jan"/>
    <n v="2025"/>
    <s v="Q1"/>
    <n v="1.1094232705798016E-2"/>
    <n v="6173.28"/>
    <s v="High"/>
    <s v="Repeat"/>
    <s v="Above Avg"/>
    <s v="Profit"/>
    <n v="30"/>
  </r>
  <r>
    <n v="375"/>
    <x v="374"/>
    <n v="1052"/>
    <s v="Customer_73"/>
    <s v="Corporate"/>
    <s v="East"/>
    <s v="Clothing"/>
    <s v="Product_C"/>
    <n v="1876"/>
    <n v="1"/>
    <n v="0.11"/>
    <n v="486"/>
    <x v="1"/>
    <n v="1669.64"/>
    <s v="Jan"/>
    <n v="2025"/>
    <s v="Q1"/>
    <n v="0.29108071200977453"/>
    <n v="206.36"/>
    <s v="Low"/>
    <s v="Repeat"/>
    <s v="Below Avg"/>
    <s v="Profit"/>
    <n v="448"/>
  </r>
  <r>
    <n v="376"/>
    <x v="375"/>
    <n v="1083"/>
    <s v="Customer_118"/>
    <s v="Corporate"/>
    <s v="South"/>
    <s v="Furniture"/>
    <s v="Product_C"/>
    <n v="3751"/>
    <n v="9"/>
    <n v="0.28000000000000003"/>
    <n v="339"/>
    <x v="2"/>
    <n v="24306.48"/>
    <s v="Jan"/>
    <n v="2025"/>
    <s v="Q1"/>
    <n v="1.3946898111120985E-2"/>
    <n v="9452.52"/>
    <s v="High"/>
    <s v="Repeat"/>
    <s v="Above Avg"/>
    <s v="Profit"/>
    <n v="49"/>
  </r>
  <r>
    <n v="377"/>
    <x v="376"/>
    <n v="1002"/>
    <s v="Customer_55"/>
    <s v="Consumer"/>
    <s v="South"/>
    <s v="Electronics"/>
    <s v="Product_B"/>
    <n v="2552"/>
    <n v="4"/>
    <n v="0.06"/>
    <n v="-131"/>
    <x v="0"/>
    <n v="9595.5199999999895"/>
    <s v="Jan"/>
    <n v="2025"/>
    <s v="Q1"/>
    <n v="-1.3652204362035632E-2"/>
    <n v="612.48"/>
    <s v="High"/>
    <s v="Repeat"/>
    <s v="Below Avg"/>
    <s v="Loss"/>
    <n v="213"/>
  </r>
  <r>
    <n v="378"/>
    <x v="377"/>
    <n v="1098"/>
    <s v="Customer_187"/>
    <s v="Corporate"/>
    <s v="North"/>
    <s v="Electronics"/>
    <s v="Product_C"/>
    <n v="817"/>
    <n v="4"/>
    <n v="0.15"/>
    <n v="514"/>
    <x v="0"/>
    <n v="2777.7999999999902"/>
    <s v="Jan"/>
    <n v="2025"/>
    <s v="Q1"/>
    <n v="0.18503851969184312"/>
    <n v="490.2"/>
    <s v="Medium"/>
    <s v="Repeat"/>
    <s v="Below Avg"/>
    <s v="Profit"/>
    <n v="399"/>
  </r>
  <r>
    <n v="379"/>
    <x v="378"/>
    <n v="1096"/>
    <s v="Customer_30"/>
    <s v="Corporate"/>
    <s v="South"/>
    <s v="Clothing"/>
    <s v="Product_B"/>
    <n v="660"/>
    <n v="9"/>
    <n v="7.0000000000000007E-2"/>
    <n v="-250"/>
    <x v="0"/>
    <n v="5524.2"/>
    <s v="Jan"/>
    <n v="2025"/>
    <s v="Q1"/>
    <n v="-4.5255421599507621E-2"/>
    <n v="415.8"/>
    <s v="High"/>
    <s v="Repeat"/>
    <s v="Below Avg"/>
    <s v="Loss"/>
    <n v="308"/>
  </r>
  <r>
    <n v="380"/>
    <x v="379"/>
    <n v="1014"/>
    <s v="Customer_181"/>
    <s v="Consumer"/>
    <s v="West"/>
    <s v="Furniture"/>
    <s v="Product_B"/>
    <n v="1004"/>
    <n v="2"/>
    <n v="0.24"/>
    <n v="-339"/>
    <x v="0"/>
    <n v="1526.08"/>
    <s v="Jan"/>
    <n v="2025"/>
    <s v="Q1"/>
    <n v="-0.2221377647305515"/>
    <n v="481.91999999999996"/>
    <s v="Low"/>
    <s v="Repeat"/>
    <s v="Below Avg"/>
    <s v="Loss"/>
    <n v="456"/>
  </r>
  <r>
    <n v="381"/>
    <x v="380"/>
    <n v="1002"/>
    <s v="Customer_89"/>
    <s v="Consumer"/>
    <s v="South"/>
    <s v="Clothing"/>
    <s v="Product_D"/>
    <n v="1036"/>
    <n v="6"/>
    <n v="0.08"/>
    <n v="162"/>
    <x v="2"/>
    <n v="5718.72"/>
    <s v="Jan"/>
    <n v="2025"/>
    <s v="Q1"/>
    <n v="2.8328017458452238E-2"/>
    <n v="497.28000000000003"/>
    <s v="High"/>
    <s v="Repeat"/>
    <s v="Below Avg"/>
    <s v="Profit"/>
    <n v="303"/>
  </r>
  <r>
    <n v="382"/>
    <x v="381"/>
    <n v="1091"/>
    <s v="Customer_21"/>
    <s v="Consumer"/>
    <s v="East"/>
    <s v="Furniture"/>
    <s v="Product_C"/>
    <n v="396"/>
    <n v="2"/>
    <n v="0.28999999999999998"/>
    <n v="1960"/>
    <x v="1"/>
    <n v="562.31999999999903"/>
    <s v="Jan"/>
    <n v="2025"/>
    <s v="Q1"/>
    <n v="3.4855598235879985"/>
    <n v="229.67999999999998"/>
    <s v="Low"/>
    <s v="Repeat"/>
    <s v="Below Avg"/>
    <s v="Profit"/>
    <n v="488"/>
  </r>
  <r>
    <n v="383"/>
    <x v="382"/>
    <n v="1090"/>
    <s v="Customer_82"/>
    <s v="Consumer"/>
    <s v="West"/>
    <s v="Furniture"/>
    <s v="Product_B"/>
    <n v="4994"/>
    <n v="9"/>
    <n v="0.28000000000000003"/>
    <n v="992"/>
    <x v="2"/>
    <n v="32361.119999999999"/>
    <s v="Jan"/>
    <n v="2025"/>
    <s v="Q1"/>
    <n v="3.0654068833217144E-2"/>
    <n v="12584.880000000001"/>
    <s v="High"/>
    <s v="Repeat"/>
    <s v="Above Avg"/>
    <s v="Profit"/>
    <n v="20"/>
  </r>
  <r>
    <n v="384"/>
    <x v="383"/>
    <n v="1032"/>
    <s v="Customer_20"/>
    <s v="Corporate"/>
    <s v="North"/>
    <s v="Electronics"/>
    <s v="Product_A"/>
    <n v="1860"/>
    <n v="3"/>
    <n v="0.14000000000000001"/>
    <n v="1994"/>
    <x v="1"/>
    <n v="4798.8"/>
    <s v="Jan"/>
    <n v="2025"/>
    <s v="Q1"/>
    <n v="0.41552054680336747"/>
    <n v="781.2"/>
    <s v="Medium"/>
    <s v="Repeat"/>
    <s v="Below Avg"/>
    <s v="Profit"/>
    <n v="330"/>
  </r>
  <r>
    <n v="385"/>
    <x v="384"/>
    <n v="1082"/>
    <s v="Customer_113"/>
    <s v="Corporate"/>
    <s v="West"/>
    <s v="Clothing"/>
    <s v="Product_C"/>
    <n v="1299"/>
    <n v="6"/>
    <n v="0"/>
    <n v="92"/>
    <x v="0"/>
    <n v="7794"/>
    <s v="Jan"/>
    <n v="2025"/>
    <s v="Q1"/>
    <n v="1.1803951757762381E-2"/>
    <n v="0"/>
    <s v="High"/>
    <s v="Repeat"/>
    <s v="Below Avg"/>
    <s v="Profit"/>
    <n v="256"/>
  </r>
  <r>
    <n v="386"/>
    <x v="385"/>
    <n v="1055"/>
    <s v="Customer_167"/>
    <s v="Consumer"/>
    <s v="North"/>
    <s v="Furniture"/>
    <s v="Product_C"/>
    <n v="4386"/>
    <n v="3"/>
    <n v="0.28999999999999998"/>
    <n v="838"/>
    <x v="2"/>
    <n v="9342.18"/>
    <s v="Jan"/>
    <n v="2025"/>
    <s v="Q1"/>
    <n v="8.9700690845177455E-2"/>
    <n v="3815.8199999999997"/>
    <s v="High"/>
    <s v="Repeat"/>
    <s v="Below Avg"/>
    <s v="Profit"/>
    <n v="224"/>
  </r>
  <r>
    <n v="387"/>
    <x v="386"/>
    <n v="1032"/>
    <s v="Customer_35"/>
    <s v="Consumer"/>
    <s v="North"/>
    <s v="Electronics"/>
    <s v="Product_A"/>
    <n v="3993"/>
    <n v="5"/>
    <n v="0.21"/>
    <n v="1730"/>
    <x v="2"/>
    <n v="15772.35"/>
    <s v="Jan"/>
    <n v="2025"/>
    <s v="Q1"/>
    <n v="0.10968562072234005"/>
    <n v="4192.6499999999996"/>
    <s v="High"/>
    <s v="Repeat"/>
    <s v="Above Avg"/>
    <s v="Profit"/>
    <n v="132"/>
  </r>
  <r>
    <n v="388"/>
    <x v="387"/>
    <n v="1030"/>
    <s v="Customer_29"/>
    <s v="Consumer"/>
    <s v="East"/>
    <s v="Electronics"/>
    <s v="Product_B"/>
    <n v="1045"/>
    <n v="3"/>
    <n v="0.15"/>
    <n v="1869"/>
    <x v="1"/>
    <n v="2664.75"/>
    <s v="Jan"/>
    <n v="2025"/>
    <s v="Q1"/>
    <n v="0.70137911623979732"/>
    <n v="470.25"/>
    <s v="Medium"/>
    <s v="Repeat"/>
    <s v="Below Avg"/>
    <s v="Profit"/>
    <n v="405"/>
  </r>
  <r>
    <n v="389"/>
    <x v="388"/>
    <n v="1003"/>
    <s v="Customer_110"/>
    <s v="Corporate"/>
    <s v="West"/>
    <s v="Furniture"/>
    <s v="Product_C"/>
    <n v="1736"/>
    <n v="8"/>
    <n v="0.18"/>
    <n v="492"/>
    <x v="2"/>
    <n v="11388.16"/>
    <s v="Jan"/>
    <n v="2025"/>
    <s v="Q1"/>
    <n v="4.3202764976958526E-2"/>
    <n v="2499.8399999999997"/>
    <s v="High"/>
    <s v="Repeat"/>
    <s v="Above Avg"/>
    <s v="Profit"/>
    <n v="183"/>
  </r>
  <r>
    <n v="390"/>
    <x v="389"/>
    <n v="1095"/>
    <s v="Customer_56"/>
    <s v="Consumer"/>
    <s v="North"/>
    <s v="Clothing"/>
    <s v="Product_A"/>
    <n v="2341"/>
    <n v="4"/>
    <n v="0.03"/>
    <n v="1730"/>
    <x v="1"/>
    <n v="9083.08"/>
    <s v="Jan"/>
    <n v="2025"/>
    <s v="Q1"/>
    <n v="0.19046402762058684"/>
    <n v="280.92"/>
    <s v="High"/>
    <s v="Repeat"/>
    <s v="Below Avg"/>
    <s v="Profit"/>
    <n v="229"/>
  </r>
  <r>
    <n v="391"/>
    <x v="390"/>
    <n v="1091"/>
    <s v="Customer_116"/>
    <s v="Consumer"/>
    <s v="West"/>
    <s v="Clothing"/>
    <s v="Product_C"/>
    <n v="3013"/>
    <n v="3"/>
    <n v="0.05"/>
    <n v="1502"/>
    <x v="2"/>
    <n v="8587.0499999999993"/>
    <s v="Jan"/>
    <n v="2025"/>
    <s v="Q1"/>
    <n v="0.17491455156310959"/>
    <n v="451.95000000000005"/>
    <s v="High"/>
    <s v="Repeat"/>
    <s v="Below Avg"/>
    <s v="Profit"/>
    <n v="237"/>
  </r>
  <r>
    <n v="392"/>
    <x v="391"/>
    <n v="1079"/>
    <s v="Customer_183"/>
    <s v="Corporate"/>
    <s v="North"/>
    <s v="Clothing"/>
    <s v="Product_D"/>
    <n v="3266"/>
    <n v="8"/>
    <n v="0.19"/>
    <n v="658"/>
    <x v="0"/>
    <n v="21163.68"/>
    <s v="Jan"/>
    <n v="2025"/>
    <s v="Q1"/>
    <n v="3.1091001186939134E-2"/>
    <n v="4964.32"/>
    <s v="High"/>
    <s v="Repeat"/>
    <s v="Above Avg"/>
    <s v="Profit"/>
    <n v="73"/>
  </r>
  <r>
    <n v="393"/>
    <x v="392"/>
    <n v="1091"/>
    <s v="Customer_181"/>
    <s v="Consumer"/>
    <s v="South"/>
    <s v="Clothing"/>
    <s v="Product_C"/>
    <n v="4888"/>
    <n v="7"/>
    <n v="0.01"/>
    <n v="249"/>
    <x v="2"/>
    <n v="33873.839999999997"/>
    <s v="Jan"/>
    <n v="2025"/>
    <s v="Q1"/>
    <n v="7.3508052231456497E-3"/>
    <n v="342.16"/>
    <s v="High"/>
    <s v="Repeat"/>
    <s v="Above Avg"/>
    <s v="Profit"/>
    <n v="15"/>
  </r>
  <r>
    <n v="394"/>
    <x v="393"/>
    <n v="1078"/>
    <s v="Customer_176"/>
    <s v="Corporate"/>
    <s v="South"/>
    <s v="Electronics"/>
    <s v="Product_B"/>
    <n v="4543"/>
    <n v="1"/>
    <n v="0.21"/>
    <n v="62"/>
    <x v="0"/>
    <n v="3588.97"/>
    <s v="Jan"/>
    <n v="2025"/>
    <s v="Q1"/>
    <n v="1.7275151366548065E-2"/>
    <n v="954.03"/>
    <s v="Medium"/>
    <s v="Repeat"/>
    <s v="Below Avg"/>
    <s v="Profit"/>
    <n v="370"/>
  </r>
  <r>
    <n v="395"/>
    <x v="394"/>
    <n v="1021"/>
    <s v="Customer_67"/>
    <s v="Corporate"/>
    <s v="West"/>
    <s v="Clothing"/>
    <s v="Product_B"/>
    <n v="2496"/>
    <n v="3"/>
    <n v="0.28000000000000003"/>
    <n v="455"/>
    <x v="1"/>
    <n v="5391.36"/>
    <s v="Jan"/>
    <n v="2025"/>
    <s v="Q1"/>
    <n v="8.4394290123456797E-2"/>
    <n v="2096.6400000000003"/>
    <s v="High"/>
    <s v="Repeat"/>
    <s v="Below Avg"/>
    <s v="Profit"/>
    <n v="313"/>
  </r>
  <r>
    <n v="396"/>
    <x v="395"/>
    <n v="1030"/>
    <s v="Customer_183"/>
    <s v="Consumer"/>
    <s v="West"/>
    <s v="Clothing"/>
    <s v="Product_C"/>
    <n v="1506"/>
    <n v="3"/>
    <n v="0.21"/>
    <n v="-309"/>
    <x v="0"/>
    <n v="3569.22"/>
    <s v="Jan"/>
    <n v="2025"/>
    <s v="Q1"/>
    <n v="-8.6573537075327389E-2"/>
    <n v="948.78"/>
    <s v="Medium"/>
    <s v="Repeat"/>
    <s v="Below Avg"/>
    <s v="Loss"/>
    <n v="373"/>
  </r>
  <r>
    <n v="397"/>
    <x v="396"/>
    <n v="1059"/>
    <s v="Customer_32"/>
    <s v="Corporate"/>
    <s v="North"/>
    <s v="Furniture"/>
    <s v="Product_A"/>
    <n v="593"/>
    <n v="4"/>
    <n v="0.17"/>
    <n v="1059"/>
    <x v="1"/>
    <n v="1968.76"/>
    <s v="Jan"/>
    <n v="2025"/>
    <s v="Q1"/>
    <n v="0.53790202970397616"/>
    <n v="403.24"/>
    <s v="Low"/>
    <s v="Repeat"/>
    <s v="Below Avg"/>
    <s v="Profit"/>
    <n v="432"/>
  </r>
  <r>
    <n v="398"/>
    <x v="397"/>
    <n v="1084"/>
    <s v="Customer_58"/>
    <s v="Corporate"/>
    <s v="North"/>
    <s v="Furniture"/>
    <s v="Product_A"/>
    <n v="2132"/>
    <n v="1"/>
    <n v="0.24"/>
    <n v="1264"/>
    <x v="2"/>
    <n v="1620.32"/>
    <s v="Feb"/>
    <n v="2025"/>
    <s v="Q1"/>
    <n v="0.78009282117112677"/>
    <n v="511.68"/>
    <s v="Low"/>
    <s v="Repeat"/>
    <s v="Below Avg"/>
    <s v="Profit"/>
    <n v="451"/>
  </r>
  <r>
    <n v="399"/>
    <x v="398"/>
    <n v="1031"/>
    <s v="Customer_78"/>
    <s v="Consumer"/>
    <s v="North"/>
    <s v="Furniture"/>
    <s v="Product_A"/>
    <n v="160"/>
    <n v="9"/>
    <n v="0.22"/>
    <n v="121"/>
    <x v="0"/>
    <n v="1123.2"/>
    <s v="Feb"/>
    <n v="2025"/>
    <s v="Q1"/>
    <n v="0.10772792022792023"/>
    <n v="316.8"/>
    <s v="Low"/>
    <s v="New"/>
    <s v="Below Avg"/>
    <s v="Profit"/>
    <n v="473"/>
  </r>
  <r>
    <n v="400"/>
    <x v="399"/>
    <n v="1070"/>
    <s v="Customer_69"/>
    <s v="Consumer"/>
    <s v="East"/>
    <s v="Furniture"/>
    <s v="Product_B"/>
    <n v="1845"/>
    <n v="2"/>
    <n v="0.18"/>
    <n v="-188"/>
    <x v="2"/>
    <n v="3025.8"/>
    <s v="Feb"/>
    <n v="2025"/>
    <s v="Q1"/>
    <n v="-6.2132328640359571E-2"/>
    <n v="664.19999999999993"/>
    <s v="Medium"/>
    <s v="Repeat"/>
    <s v="Below Avg"/>
    <s v="Loss"/>
    <n v="391"/>
  </r>
  <r>
    <n v="401"/>
    <x v="400"/>
    <n v="1096"/>
    <s v="Customer_28"/>
    <s v="Consumer"/>
    <s v="East"/>
    <s v="Electronics"/>
    <s v="Product_C"/>
    <n v="3601"/>
    <n v="7"/>
    <n v="0.06"/>
    <n v="774"/>
    <x v="1"/>
    <n v="23694.5799999999"/>
    <s v="Feb"/>
    <n v="2025"/>
    <s v="Q1"/>
    <n v="3.2665698231410023E-2"/>
    <n v="1512.4199999999998"/>
    <s v="High"/>
    <s v="Repeat"/>
    <s v="Above Avg"/>
    <s v="Profit"/>
    <n v="54"/>
  </r>
  <r>
    <n v="402"/>
    <x v="401"/>
    <n v="1007"/>
    <s v="Customer_72"/>
    <s v="Consumer"/>
    <s v="West"/>
    <s v="Clothing"/>
    <s v="Product_D"/>
    <n v="1056"/>
    <n v="2"/>
    <n v="0"/>
    <n v="1283"/>
    <x v="0"/>
    <n v="2112"/>
    <s v="Feb"/>
    <n v="2025"/>
    <s v="Q1"/>
    <n v="0.60748106060606055"/>
    <n v="0"/>
    <s v="Medium"/>
    <s v="Repeat"/>
    <s v="Below Avg"/>
    <s v="Profit"/>
    <n v="422"/>
  </r>
  <r>
    <n v="403"/>
    <x v="402"/>
    <n v="1077"/>
    <s v="Customer_109"/>
    <s v="Consumer"/>
    <s v="West"/>
    <s v="Clothing"/>
    <s v="Product_D"/>
    <n v="4889"/>
    <n v="8"/>
    <n v="0.14000000000000001"/>
    <n v="517"/>
    <x v="0"/>
    <n v="33636.32"/>
    <s v="Feb"/>
    <n v="2025"/>
    <s v="Q1"/>
    <n v="1.5370290210106219E-2"/>
    <n v="5475.68"/>
    <s v="High"/>
    <s v="Repeat"/>
    <s v="Above Avg"/>
    <s v="Profit"/>
    <n v="16"/>
  </r>
  <r>
    <n v="404"/>
    <x v="403"/>
    <n v="1061"/>
    <s v="Customer_60"/>
    <s v="Consumer"/>
    <s v="South"/>
    <s v="Electronics"/>
    <s v="Product_D"/>
    <n v="4231"/>
    <n v="3"/>
    <n v="7.0000000000000007E-2"/>
    <n v="-225"/>
    <x v="0"/>
    <n v="11804.49"/>
    <s v="Feb"/>
    <n v="2025"/>
    <s v="Q1"/>
    <n v="-1.9060543911681063E-2"/>
    <n v="888.5100000000001"/>
    <s v="High"/>
    <s v="Repeat"/>
    <s v="Above Avg"/>
    <s v="Loss"/>
    <n v="172"/>
  </r>
  <r>
    <n v="405"/>
    <x v="404"/>
    <n v="1088"/>
    <s v="Customer_13"/>
    <s v="Corporate"/>
    <s v="South"/>
    <s v="Electronics"/>
    <s v="Product_B"/>
    <n v="2954"/>
    <n v="6"/>
    <n v="7.0000000000000007E-2"/>
    <n v="-111"/>
    <x v="2"/>
    <n v="16483.32"/>
    <s v="Feb"/>
    <n v="2025"/>
    <s v="Q1"/>
    <n v="-6.7340802702368216E-3"/>
    <n v="1240.68"/>
    <s v="High"/>
    <s v="Repeat"/>
    <s v="Above Avg"/>
    <s v="Loss"/>
    <n v="115"/>
  </r>
  <r>
    <n v="406"/>
    <x v="405"/>
    <n v="1095"/>
    <s v="Customer_18"/>
    <s v="Corporate"/>
    <s v="West"/>
    <s v="Electronics"/>
    <s v="Product_D"/>
    <n v="3263"/>
    <n v="8"/>
    <n v="0.15"/>
    <n v="562"/>
    <x v="2"/>
    <n v="22188.3999999999"/>
    <s v="Feb"/>
    <n v="2025"/>
    <s v="Q1"/>
    <n v="2.5328550053181055E-2"/>
    <n v="3915.6"/>
    <s v="High"/>
    <s v="Repeat"/>
    <s v="Above Avg"/>
    <s v="Profit"/>
    <n v="65"/>
  </r>
  <r>
    <n v="407"/>
    <x v="406"/>
    <n v="1027"/>
    <s v="Customer_179"/>
    <s v="Corporate"/>
    <s v="North"/>
    <s v="Electronics"/>
    <s v="Product_D"/>
    <n v="1024"/>
    <n v="5"/>
    <n v="0.11"/>
    <n v="538"/>
    <x v="2"/>
    <n v="4556.8"/>
    <s v="Feb"/>
    <n v="2025"/>
    <s v="Q1"/>
    <n v="0.11806530898876404"/>
    <n v="563.20000000000005"/>
    <s v="Medium"/>
    <s v="Repeat"/>
    <s v="Below Avg"/>
    <s v="Profit"/>
    <n v="337"/>
  </r>
  <r>
    <n v="408"/>
    <x v="407"/>
    <n v="1065"/>
    <s v="Customer_50"/>
    <s v="Consumer"/>
    <s v="East"/>
    <s v="Clothing"/>
    <s v="Product_A"/>
    <n v="2288"/>
    <n v="7"/>
    <n v="0.15"/>
    <n v="634"/>
    <x v="1"/>
    <n v="13613.6"/>
    <s v="Feb"/>
    <n v="2025"/>
    <s v="Q1"/>
    <n v="4.6571075982840687E-2"/>
    <n v="2402.4"/>
    <s v="High"/>
    <s v="Repeat"/>
    <s v="Above Avg"/>
    <s v="Profit"/>
    <n v="152"/>
  </r>
  <r>
    <n v="409"/>
    <x v="408"/>
    <n v="1016"/>
    <s v="Customer_43"/>
    <s v="Consumer"/>
    <s v="West"/>
    <s v="Electronics"/>
    <s v="Product_A"/>
    <n v="4617"/>
    <n v="9"/>
    <n v="0.08"/>
    <n v="1491"/>
    <x v="1"/>
    <n v="38228.76"/>
    <s v="Feb"/>
    <n v="2025"/>
    <s v="Q1"/>
    <n v="3.9002049765673799E-2"/>
    <n v="3324.2400000000002"/>
    <s v="High"/>
    <s v="Repeat"/>
    <s v="Above Avg"/>
    <s v="Profit"/>
    <n v="5"/>
  </r>
  <r>
    <n v="410"/>
    <x v="409"/>
    <n v="1090"/>
    <s v="Customer_85"/>
    <s v="Consumer"/>
    <s v="West"/>
    <s v="Clothing"/>
    <s v="Product_D"/>
    <n v="1303"/>
    <n v="5"/>
    <n v="0.18"/>
    <n v="826"/>
    <x v="1"/>
    <n v="5342.3"/>
    <s v="Feb"/>
    <n v="2025"/>
    <s v="Q1"/>
    <n v="0.15461505344140164"/>
    <n v="1172.7"/>
    <s v="High"/>
    <s v="Repeat"/>
    <s v="Below Avg"/>
    <s v="Profit"/>
    <n v="315"/>
  </r>
  <r>
    <n v="411"/>
    <x v="410"/>
    <n v="1001"/>
    <s v="Customer_46"/>
    <s v="Consumer"/>
    <s v="South"/>
    <s v="Furniture"/>
    <s v="Product_A"/>
    <n v="2942"/>
    <n v="7"/>
    <n v="0.19"/>
    <n v="90"/>
    <x v="0"/>
    <n v="16681.14"/>
    <s v="Feb"/>
    <n v="2025"/>
    <s v="Q1"/>
    <n v="5.3953147087069595E-3"/>
    <n v="3912.86"/>
    <s v="High"/>
    <s v="Repeat"/>
    <s v="Above Avg"/>
    <s v="Profit"/>
    <n v="109"/>
  </r>
  <r>
    <n v="412"/>
    <x v="411"/>
    <n v="1007"/>
    <s v="Customer_24"/>
    <s v="Consumer"/>
    <s v="West"/>
    <s v="Furniture"/>
    <s v="Product_C"/>
    <n v="3138"/>
    <n v="8"/>
    <n v="0.06"/>
    <n v="281"/>
    <x v="2"/>
    <n v="23597.759999999998"/>
    <s v="Feb"/>
    <n v="2025"/>
    <s v="Q1"/>
    <n v="1.1907909903312858E-2"/>
    <n v="1506.24"/>
    <s v="High"/>
    <s v="Repeat"/>
    <s v="Above Avg"/>
    <s v="Profit"/>
    <n v="55"/>
  </r>
  <r>
    <n v="413"/>
    <x v="412"/>
    <n v="1037"/>
    <s v="Customer_5"/>
    <s v="Corporate"/>
    <s v="South"/>
    <s v="Electronics"/>
    <s v="Product_C"/>
    <n v="2851"/>
    <n v="4"/>
    <n v="0.17"/>
    <n v="385"/>
    <x v="1"/>
    <n v="9465.32"/>
    <s v="Feb"/>
    <n v="2025"/>
    <s v="Q1"/>
    <n v="4.0674800218059193E-2"/>
    <n v="1938.68"/>
    <s v="High"/>
    <s v="Repeat"/>
    <s v="Below Avg"/>
    <s v="Profit"/>
    <n v="219"/>
  </r>
  <r>
    <n v="414"/>
    <x v="413"/>
    <n v="1019"/>
    <s v="Customer_158"/>
    <s v="Consumer"/>
    <s v="East"/>
    <s v="Clothing"/>
    <s v="Product_A"/>
    <n v="1181"/>
    <n v="8"/>
    <n v="0.13"/>
    <n v="-134"/>
    <x v="2"/>
    <n v="8219.76"/>
    <s v="Feb"/>
    <n v="2025"/>
    <s v="Q1"/>
    <n v="-1.6302179139050289E-2"/>
    <n v="1228.24"/>
    <s v="High"/>
    <s v="Repeat"/>
    <s v="Below Avg"/>
    <s v="Loss"/>
    <n v="243"/>
  </r>
  <r>
    <n v="415"/>
    <x v="414"/>
    <n v="1063"/>
    <s v="Customer_43"/>
    <s v="Corporate"/>
    <s v="West"/>
    <s v="Furniture"/>
    <s v="Product_A"/>
    <n v="4382"/>
    <n v="8"/>
    <n v="0.28999999999999998"/>
    <n v="420"/>
    <x v="0"/>
    <n v="24889.759999999998"/>
    <s v="Feb"/>
    <n v="2025"/>
    <s v="Q1"/>
    <n v="1.6874409395671152E-2"/>
    <n v="10166.24"/>
    <s v="High"/>
    <s v="Repeat"/>
    <s v="Above Avg"/>
    <s v="Profit"/>
    <n v="43"/>
  </r>
  <r>
    <n v="416"/>
    <x v="415"/>
    <n v="1020"/>
    <s v="Customer_53"/>
    <s v="Consumer"/>
    <s v="East"/>
    <s v="Furniture"/>
    <s v="Product_C"/>
    <n v="346"/>
    <n v="1"/>
    <n v="0.22"/>
    <n v="1283"/>
    <x v="2"/>
    <n v="269.88"/>
    <s v="Feb"/>
    <n v="2025"/>
    <s v="Q1"/>
    <n v="4.7539647250629908"/>
    <n v="76.12"/>
    <s v="Low"/>
    <s v="Repeat"/>
    <s v="Below Avg"/>
    <s v="Profit"/>
    <n v="497"/>
  </r>
  <r>
    <n v="417"/>
    <x v="416"/>
    <n v="1089"/>
    <s v="Customer_152"/>
    <s v="Consumer"/>
    <s v="South"/>
    <s v="Electronics"/>
    <s v="Product_B"/>
    <n v="895"/>
    <n v="7"/>
    <n v="0.05"/>
    <n v="305"/>
    <x v="1"/>
    <n v="5951.75"/>
    <s v="Feb"/>
    <n v="2025"/>
    <s v="Q1"/>
    <n v="5.1245432015793672E-2"/>
    <n v="313.25"/>
    <s v="High"/>
    <s v="Repeat"/>
    <s v="Below Avg"/>
    <s v="Profit"/>
    <n v="299"/>
  </r>
  <r>
    <n v="418"/>
    <x v="417"/>
    <n v="1030"/>
    <s v="Customer_103"/>
    <s v="Consumer"/>
    <s v="North"/>
    <s v="Clothing"/>
    <s v="Product_D"/>
    <n v="3786"/>
    <n v="6"/>
    <n v="0.26"/>
    <n v="1046"/>
    <x v="0"/>
    <n v="16809.84"/>
    <s v="Feb"/>
    <n v="2025"/>
    <s v="Q1"/>
    <n v="6.2225458421971892E-2"/>
    <n v="5906.16"/>
    <s v="High"/>
    <s v="Repeat"/>
    <s v="Above Avg"/>
    <s v="Profit"/>
    <n v="106"/>
  </r>
  <r>
    <n v="419"/>
    <x v="418"/>
    <n v="1083"/>
    <s v="Customer_142"/>
    <s v="Corporate"/>
    <s v="North"/>
    <s v="Electronics"/>
    <s v="Product_A"/>
    <n v="1037"/>
    <n v="9"/>
    <n v="0.14000000000000001"/>
    <n v="1107"/>
    <x v="1"/>
    <n v="8026.38"/>
    <s v="Feb"/>
    <n v="2025"/>
    <s v="Q1"/>
    <n v="0.13792020811374492"/>
    <n v="1306.6200000000001"/>
    <s v="High"/>
    <s v="Repeat"/>
    <s v="Below Avg"/>
    <s v="Profit"/>
    <n v="253"/>
  </r>
  <r>
    <n v="420"/>
    <x v="419"/>
    <n v="1069"/>
    <s v="Customer_164"/>
    <s v="Corporate"/>
    <s v="East"/>
    <s v="Clothing"/>
    <s v="Product_B"/>
    <n v="2011"/>
    <n v="8"/>
    <n v="0.25"/>
    <n v="1506"/>
    <x v="1"/>
    <n v="12066"/>
    <s v="Feb"/>
    <n v="2025"/>
    <s v="Q1"/>
    <n v="0.12481352560914968"/>
    <n v="4022"/>
    <s v="High"/>
    <s v="Repeat"/>
    <s v="Above Avg"/>
    <s v="Profit"/>
    <n v="166"/>
  </r>
  <r>
    <n v="421"/>
    <x v="420"/>
    <n v="1014"/>
    <s v="Customer_154"/>
    <s v="Consumer"/>
    <s v="North"/>
    <s v="Clothing"/>
    <s v="Product_D"/>
    <n v="1278"/>
    <n v="4"/>
    <n v="0.25"/>
    <n v="-41"/>
    <x v="1"/>
    <n v="3834"/>
    <s v="Feb"/>
    <n v="2025"/>
    <s v="Q1"/>
    <n v="-1.069379238393323E-2"/>
    <n v="1278"/>
    <s v="Medium"/>
    <s v="Repeat"/>
    <s v="Below Avg"/>
    <s v="Loss"/>
    <n v="362"/>
  </r>
  <r>
    <n v="422"/>
    <x v="421"/>
    <n v="1056"/>
    <s v="Customer_13"/>
    <s v="Corporate"/>
    <s v="East"/>
    <s v="Clothing"/>
    <s v="Product_A"/>
    <n v="837"/>
    <n v="2"/>
    <n v="0.01"/>
    <n v="1937"/>
    <x v="2"/>
    <n v="1657.26"/>
    <s v="Feb"/>
    <n v="2025"/>
    <s v="Q1"/>
    <n v="1.1687966885099501"/>
    <n v="16.740000000000002"/>
    <s v="Low"/>
    <s v="Repeat"/>
    <s v="Below Avg"/>
    <s v="Profit"/>
    <n v="449"/>
  </r>
  <r>
    <n v="423"/>
    <x v="422"/>
    <n v="1000"/>
    <s v="Customer_21"/>
    <s v="Consumer"/>
    <s v="North"/>
    <s v="Clothing"/>
    <s v="Product_A"/>
    <n v="734"/>
    <n v="3"/>
    <n v="7.0000000000000007E-2"/>
    <n v="1682"/>
    <x v="0"/>
    <n v="2047.86"/>
    <s v="Feb"/>
    <n v="2025"/>
    <s v="Q1"/>
    <n v="0.82134520914515641"/>
    <n v="154.14000000000001"/>
    <s v="Medium"/>
    <s v="Repeat"/>
    <s v="Below Avg"/>
    <s v="Profit"/>
    <n v="427"/>
  </r>
  <r>
    <n v="424"/>
    <x v="423"/>
    <n v="1089"/>
    <s v="Customer_90"/>
    <s v="Corporate"/>
    <s v="West"/>
    <s v="Electronics"/>
    <s v="Product_B"/>
    <n v="316"/>
    <n v="7"/>
    <n v="0.27"/>
    <n v="1139"/>
    <x v="1"/>
    <n v="1614.76"/>
    <s v="Feb"/>
    <n v="2025"/>
    <s v="Q1"/>
    <n v="0.70536798038098536"/>
    <n v="597.24"/>
    <s v="Low"/>
    <s v="Repeat"/>
    <s v="Below Avg"/>
    <s v="Profit"/>
    <n v="453"/>
  </r>
  <r>
    <n v="425"/>
    <x v="424"/>
    <n v="1028"/>
    <s v="Customer_98"/>
    <s v="Consumer"/>
    <s v="South"/>
    <s v="Furniture"/>
    <s v="Product_D"/>
    <n v="519"/>
    <n v="9"/>
    <n v="0.23"/>
    <n v="411"/>
    <x v="1"/>
    <n v="3596.67"/>
    <s v="Feb"/>
    <n v="2025"/>
    <s v="Q1"/>
    <n v="0.11427236860762872"/>
    <n v="1074.3300000000002"/>
    <s v="Medium"/>
    <s v="Repeat"/>
    <s v="Below Avg"/>
    <s v="Profit"/>
    <n v="369"/>
  </r>
  <r>
    <n v="426"/>
    <x v="425"/>
    <n v="1065"/>
    <s v="Customer_40"/>
    <s v="Consumer"/>
    <s v="North"/>
    <s v="Clothing"/>
    <s v="Product_A"/>
    <n v="2662"/>
    <n v="3"/>
    <n v="0.04"/>
    <n v="1264"/>
    <x v="0"/>
    <n v="7666.5599999999904"/>
    <s v="Mar"/>
    <n v="2025"/>
    <s v="Q1"/>
    <n v="0.16487185908673532"/>
    <n v="319.44"/>
    <s v="High"/>
    <s v="Repeat"/>
    <s v="Below Avg"/>
    <s v="Profit"/>
    <n v="260"/>
  </r>
  <r>
    <n v="427"/>
    <x v="426"/>
    <n v="1021"/>
    <s v="Customer_43"/>
    <s v="Consumer"/>
    <s v="East"/>
    <s v="Clothing"/>
    <s v="Product_D"/>
    <n v="408"/>
    <n v="7"/>
    <n v="0.06"/>
    <n v="1876"/>
    <x v="1"/>
    <n v="2684.64"/>
    <s v="Mar"/>
    <n v="2025"/>
    <s v="Q1"/>
    <n v="0.69879015435961622"/>
    <n v="171.35999999999999"/>
    <s v="Medium"/>
    <s v="Repeat"/>
    <s v="Below Avg"/>
    <s v="Profit"/>
    <n v="402"/>
  </r>
  <r>
    <n v="428"/>
    <x v="427"/>
    <n v="1060"/>
    <s v="Customer_59"/>
    <s v="Consumer"/>
    <s v="South"/>
    <s v="Clothing"/>
    <s v="Product_D"/>
    <n v="4903"/>
    <n v="1"/>
    <n v="0.19"/>
    <n v="1541"/>
    <x v="0"/>
    <n v="3971.43"/>
    <s v="Mar"/>
    <n v="2025"/>
    <s v="Q1"/>
    <n v="0.38802144315775428"/>
    <n v="931.57"/>
    <s v="Medium"/>
    <s v="Repeat"/>
    <s v="Below Avg"/>
    <s v="Profit"/>
    <n v="355"/>
  </r>
  <r>
    <n v="429"/>
    <x v="428"/>
    <n v="1028"/>
    <s v="Customer_49"/>
    <s v="Corporate"/>
    <s v="West"/>
    <s v="Electronics"/>
    <s v="Product_D"/>
    <n v="1966"/>
    <n v="3"/>
    <n v="0.08"/>
    <n v="919"/>
    <x v="1"/>
    <n v="5426.16"/>
    <s v="Mar"/>
    <n v="2025"/>
    <s v="Q1"/>
    <n v="0.16936470726996625"/>
    <n v="471.84000000000003"/>
    <s v="High"/>
    <s v="Repeat"/>
    <s v="Below Avg"/>
    <s v="Profit"/>
    <n v="311"/>
  </r>
  <r>
    <n v="430"/>
    <x v="429"/>
    <n v="1008"/>
    <s v="Customer_175"/>
    <s v="Corporate"/>
    <s v="West"/>
    <s v="Clothing"/>
    <s v="Product_B"/>
    <n v="1083"/>
    <n v="2"/>
    <n v="0.06"/>
    <n v="25"/>
    <x v="1"/>
    <n v="2036.04"/>
    <s v="Mar"/>
    <n v="2025"/>
    <s v="Q1"/>
    <n v="1.2278737156440934E-2"/>
    <n v="129.96"/>
    <s v="Medium"/>
    <s v="Repeat"/>
    <s v="Below Avg"/>
    <s v="Profit"/>
    <n v="429"/>
  </r>
  <r>
    <n v="431"/>
    <x v="430"/>
    <n v="1040"/>
    <s v="Customer_147"/>
    <s v="Corporate"/>
    <s v="East"/>
    <s v="Furniture"/>
    <s v="Product_D"/>
    <n v="3878"/>
    <n v="6"/>
    <n v="0.3"/>
    <n v="227"/>
    <x v="1"/>
    <n v="16287.5999999999"/>
    <s v="Mar"/>
    <n v="2025"/>
    <s v="Q1"/>
    <n v="1.3936982735332485E-2"/>
    <n v="6980.4"/>
    <s v="High"/>
    <s v="Repeat"/>
    <s v="Above Avg"/>
    <s v="Profit"/>
    <n v="120"/>
  </r>
  <r>
    <n v="432"/>
    <x v="431"/>
    <n v="1020"/>
    <s v="Customer_140"/>
    <s v="Consumer"/>
    <s v="North"/>
    <s v="Clothing"/>
    <s v="Product_C"/>
    <n v="2387"/>
    <n v="9"/>
    <n v="0.14000000000000001"/>
    <n v="-68"/>
    <x v="2"/>
    <n v="18475.38"/>
    <s v="Mar"/>
    <n v="2025"/>
    <s v="Q1"/>
    <n v="-3.6805738231094568E-3"/>
    <n v="3007.6200000000003"/>
    <s v="High"/>
    <s v="Repeat"/>
    <s v="Above Avg"/>
    <s v="Loss"/>
    <n v="88"/>
  </r>
  <r>
    <n v="433"/>
    <x v="432"/>
    <n v="1054"/>
    <s v="Customer_36"/>
    <s v="Consumer"/>
    <s v="North"/>
    <s v="Furniture"/>
    <s v="Product_A"/>
    <n v="3414"/>
    <n v="3"/>
    <n v="0.16"/>
    <n v="1361"/>
    <x v="0"/>
    <n v="8603.2799999999897"/>
    <s v="Mar"/>
    <n v="2025"/>
    <s v="Q1"/>
    <n v="0.15819547893361621"/>
    <n v="1638.72"/>
    <s v="High"/>
    <s v="Repeat"/>
    <s v="Below Avg"/>
    <s v="Profit"/>
    <n v="236"/>
  </r>
  <r>
    <n v="434"/>
    <x v="433"/>
    <n v="1095"/>
    <s v="Customer_122"/>
    <s v="Consumer"/>
    <s v="South"/>
    <s v="Furniture"/>
    <s v="Product_D"/>
    <n v="661"/>
    <n v="8"/>
    <n v="0.2"/>
    <n v="31"/>
    <x v="2"/>
    <n v="4230.3999999999996"/>
    <s v="Mar"/>
    <n v="2025"/>
    <s v="Q1"/>
    <n v="7.3279122541603636E-3"/>
    <n v="1057.6000000000001"/>
    <s v="Medium"/>
    <s v="Repeat"/>
    <s v="Below Avg"/>
    <s v="Profit"/>
    <n v="345"/>
  </r>
  <r>
    <n v="435"/>
    <x v="434"/>
    <n v="1095"/>
    <s v="Customer_94"/>
    <s v="Consumer"/>
    <s v="East"/>
    <s v="Electronics"/>
    <s v="Product_A"/>
    <n v="3695"/>
    <n v="9"/>
    <n v="0.02"/>
    <n v="1064"/>
    <x v="2"/>
    <n v="32589.8999999999"/>
    <s v="Mar"/>
    <n v="2025"/>
    <s v="Q1"/>
    <n v="3.2648151727989447E-2"/>
    <n v="665.1"/>
    <s v="High"/>
    <s v="Repeat"/>
    <s v="Above Avg"/>
    <s v="Profit"/>
    <n v="19"/>
  </r>
  <r>
    <n v="436"/>
    <x v="435"/>
    <n v="1039"/>
    <s v="Customer_108"/>
    <s v="Corporate"/>
    <s v="East"/>
    <s v="Furniture"/>
    <s v="Product_C"/>
    <n v="4987"/>
    <n v="8"/>
    <n v="0.12"/>
    <n v="1901"/>
    <x v="0"/>
    <n v="35108.480000000003"/>
    <s v="Mar"/>
    <n v="2025"/>
    <s v="Q1"/>
    <n v="5.4146462620996406E-2"/>
    <n v="4787.5199999999995"/>
    <s v="High"/>
    <s v="Repeat"/>
    <s v="Above Avg"/>
    <s v="Profit"/>
    <n v="11"/>
  </r>
  <r>
    <n v="437"/>
    <x v="436"/>
    <n v="1025"/>
    <s v="Customer_33"/>
    <s v="Corporate"/>
    <s v="South"/>
    <s v="Clothing"/>
    <s v="Product_C"/>
    <n v="1502"/>
    <n v="9"/>
    <n v="0.27"/>
    <n v="407"/>
    <x v="0"/>
    <n v="9868.14"/>
    <s v="Mar"/>
    <n v="2025"/>
    <s v="Q1"/>
    <n v="4.1243841291266646E-2"/>
    <n v="3649.86"/>
    <s v="High"/>
    <s v="Repeat"/>
    <s v="Below Avg"/>
    <s v="Profit"/>
    <n v="205"/>
  </r>
  <r>
    <n v="438"/>
    <x v="437"/>
    <n v="1047"/>
    <s v="Customer_108"/>
    <s v="Corporate"/>
    <s v="South"/>
    <s v="Furniture"/>
    <s v="Product_C"/>
    <n v="2678"/>
    <n v="9"/>
    <n v="0.28000000000000003"/>
    <n v="-115"/>
    <x v="0"/>
    <n v="17353.439999999999"/>
    <s v="Mar"/>
    <n v="2025"/>
    <s v="Q1"/>
    <n v="-6.626928147963747E-3"/>
    <n v="6748.56"/>
    <s v="High"/>
    <s v="Repeat"/>
    <s v="Above Avg"/>
    <s v="Loss"/>
    <n v="100"/>
  </r>
  <r>
    <n v="439"/>
    <x v="438"/>
    <n v="1076"/>
    <s v="Customer_127"/>
    <s v="Corporate"/>
    <s v="North"/>
    <s v="Clothing"/>
    <s v="Product_C"/>
    <n v="3044"/>
    <n v="3"/>
    <n v="0.15"/>
    <n v="151"/>
    <x v="0"/>
    <n v="7762.2"/>
    <s v="Mar"/>
    <n v="2025"/>
    <s v="Q1"/>
    <n v="1.9453247790574838E-2"/>
    <n v="1369.8"/>
    <s v="High"/>
    <s v="Repeat"/>
    <s v="Below Avg"/>
    <s v="Profit"/>
    <n v="257"/>
  </r>
  <r>
    <n v="440"/>
    <x v="439"/>
    <n v="1002"/>
    <s v="Customer_87"/>
    <s v="Consumer"/>
    <s v="South"/>
    <s v="Furniture"/>
    <s v="Product_A"/>
    <n v="670"/>
    <n v="9"/>
    <n v="0.27"/>
    <n v="-290"/>
    <x v="1"/>
    <n v="4401.8999999999996"/>
    <s v="Mar"/>
    <n v="2025"/>
    <s v="Q1"/>
    <n v="-6.5880642449851201E-2"/>
    <n v="1628.1000000000001"/>
    <s v="Medium"/>
    <s v="Repeat"/>
    <s v="Below Avg"/>
    <s v="Loss"/>
    <n v="340"/>
  </r>
  <r>
    <n v="441"/>
    <x v="440"/>
    <n v="1095"/>
    <s v="Customer_62"/>
    <s v="Consumer"/>
    <s v="East"/>
    <s v="Clothing"/>
    <s v="Product_D"/>
    <n v="2551"/>
    <n v="1"/>
    <n v="0.15"/>
    <n v="453"/>
    <x v="2"/>
    <n v="2168.35"/>
    <s v="Mar"/>
    <n v="2025"/>
    <s v="Q1"/>
    <n v="0.20891461249337054"/>
    <n v="382.65"/>
    <s v="Medium"/>
    <s v="Repeat"/>
    <s v="Below Avg"/>
    <s v="Profit"/>
    <n v="420"/>
  </r>
  <r>
    <n v="442"/>
    <x v="441"/>
    <n v="1032"/>
    <s v="Customer_169"/>
    <s v="Corporate"/>
    <s v="West"/>
    <s v="Electronics"/>
    <s v="Product_B"/>
    <n v="1755"/>
    <n v="4"/>
    <n v="0.3"/>
    <n v="678"/>
    <x v="2"/>
    <n v="4914"/>
    <s v="Mar"/>
    <n v="2025"/>
    <s v="Q1"/>
    <n v="0.13797313797313798"/>
    <n v="2106"/>
    <s v="Medium"/>
    <s v="Repeat"/>
    <s v="Below Avg"/>
    <s v="Profit"/>
    <n v="327"/>
  </r>
  <r>
    <n v="443"/>
    <x v="442"/>
    <n v="1096"/>
    <s v="Customer_19"/>
    <s v="Corporate"/>
    <s v="West"/>
    <s v="Clothing"/>
    <s v="Product_D"/>
    <n v="4413"/>
    <n v="1"/>
    <n v="0.24"/>
    <n v="-325"/>
    <x v="1"/>
    <n v="3353.88"/>
    <s v="Mar"/>
    <n v="2025"/>
    <s v="Q1"/>
    <n v="-9.6902691807697353E-2"/>
    <n v="1059.1199999999999"/>
    <s v="Medium"/>
    <s v="Repeat"/>
    <s v="Below Avg"/>
    <s v="Loss"/>
    <n v="383"/>
  </r>
  <r>
    <n v="444"/>
    <x v="443"/>
    <n v="1041"/>
    <s v="Customer_101"/>
    <s v="Consumer"/>
    <s v="West"/>
    <s v="Electronics"/>
    <s v="Product_D"/>
    <n v="4983"/>
    <n v="2"/>
    <n v="0.25"/>
    <n v="159"/>
    <x v="2"/>
    <n v="7474.5"/>
    <s v="Mar"/>
    <n v="2025"/>
    <s v="Q1"/>
    <n v="2.1272325908087499E-2"/>
    <n v="2491.5"/>
    <s v="High"/>
    <s v="Repeat"/>
    <s v="Below Avg"/>
    <s v="Profit"/>
    <n v="265"/>
  </r>
  <r>
    <n v="445"/>
    <x v="444"/>
    <n v="1076"/>
    <s v="Customer_31"/>
    <s v="Consumer"/>
    <s v="West"/>
    <s v="Clothing"/>
    <s v="Product_A"/>
    <n v="2328"/>
    <n v="4"/>
    <n v="0.06"/>
    <n v="878"/>
    <x v="2"/>
    <n v="8753.2799999999897"/>
    <s v="Mar"/>
    <n v="2025"/>
    <s v="Q1"/>
    <n v="0.10030525700080439"/>
    <n v="558.72"/>
    <s v="High"/>
    <s v="Repeat"/>
    <s v="Below Avg"/>
    <s v="Profit"/>
    <n v="234"/>
  </r>
  <r>
    <n v="446"/>
    <x v="445"/>
    <n v="1042"/>
    <s v="Customer_50"/>
    <s v="Consumer"/>
    <s v="East"/>
    <s v="Furniture"/>
    <s v="Product_D"/>
    <n v="4886"/>
    <n v="8"/>
    <n v="0"/>
    <n v="-420"/>
    <x v="0"/>
    <n v="39088"/>
    <s v="Mar"/>
    <n v="2025"/>
    <s v="Q1"/>
    <n v="-1.0744985673352435E-2"/>
    <n v="0"/>
    <s v="High"/>
    <s v="New"/>
    <s v="Above Avg"/>
    <s v="Loss"/>
    <n v="4"/>
  </r>
  <r>
    <n v="447"/>
    <x v="446"/>
    <n v="1069"/>
    <s v="Customer_170"/>
    <s v="Consumer"/>
    <s v="West"/>
    <s v="Clothing"/>
    <s v="Product_C"/>
    <n v="2947"/>
    <n v="6"/>
    <n v="0.15"/>
    <n v="963"/>
    <x v="1"/>
    <n v="15029.699999999901"/>
    <s v="Mar"/>
    <n v="2025"/>
    <s v="Q1"/>
    <n v="6.4073135192319636E-2"/>
    <n v="2652.2999999999997"/>
    <s v="High"/>
    <s v="Repeat"/>
    <s v="Above Avg"/>
    <s v="Profit"/>
    <n v="137"/>
  </r>
  <r>
    <n v="448"/>
    <x v="447"/>
    <n v="1003"/>
    <s v="Customer_103"/>
    <s v="Corporate"/>
    <s v="East"/>
    <s v="Furniture"/>
    <s v="Product_A"/>
    <n v="3985"/>
    <n v="4"/>
    <n v="0.28999999999999998"/>
    <n v="735"/>
    <x v="1"/>
    <n v="11317.4"/>
    <s v="Mar"/>
    <n v="2025"/>
    <s v="Q1"/>
    <n v="6.494424514464453E-2"/>
    <n v="4622.5999999999995"/>
    <s v="High"/>
    <s v="Repeat"/>
    <s v="Above Avg"/>
    <s v="Profit"/>
    <n v="185"/>
  </r>
  <r>
    <n v="449"/>
    <x v="448"/>
    <n v="1063"/>
    <s v="Customer_17"/>
    <s v="Consumer"/>
    <s v="North"/>
    <s v="Clothing"/>
    <s v="Product_B"/>
    <n v="444"/>
    <n v="4"/>
    <n v="0.28999999999999998"/>
    <n v="1226"/>
    <x v="1"/>
    <n v="1260.96"/>
    <s v="Mar"/>
    <n v="2025"/>
    <s v="Q1"/>
    <n v="0.97227509199340179"/>
    <n v="515.04"/>
    <s v="Low"/>
    <s v="Repeat"/>
    <s v="Below Avg"/>
    <s v="Profit"/>
    <n v="467"/>
  </r>
  <r>
    <n v="450"/>
    <x v="449"/>
    <n v="1069"/>
    <s v="Customer_196"/>
    <s v="Consumer"/>
    <s v="West"/>
    <s v="Clothing"/>
    <s v="Product_A"/>
    <n v="3283"/>
    <n v="6"/>
    <n v="0.18"/>
    <n v="-475"/>
    <x v="1"/>
    <n v="16152.36"/>
    <s v="Mar"/>
    <n v="2025"/>
    <s v="Q1"/>
    <n v="-2.9407467391761945E-2"/>
    <n v="3545.64"/>
    <s v="High"/>
    <s v="Repeat"/>
    <s v="Above Avg"/>
    <s v="Loss"/>
    <n v="124"/>
  </r>
  <r>
    <n v="451"/>
    <x v="450"/>
    <n v="1050"/>
    <s v="Customer_6"/>
    <s v="Consumer"/>
    <s v="East"/>
    <s v="Clothing"/>
    <s v="Product_A"/>
    <n v="3777"/>
    <n v="1"/>
    <n v="0.06"/>
    <n v="658"/>
    <x v="0"/>
    <n v="3550.3799999999901"/>
    <s v="Mar"/>
    <n v="2025"/>
    <s v="Q1"/>
    <n v="0.18533227429176646"/>
    <n v="226.62"/>
    <s v="Medium"/>
    <s v="Repeat"/>
    <s v="Below Avg"/>
    <s v="Profit"/>
    <n v="375"/>
  </r>
  <r>
    <n v="452"/>
    <x v="451"/>
    <n v="1066"/>
    <s v="Customer_60"/>
    <s v="Corporate"/>
    <s v="North"/>
    <s v="Electronics"/>
    <s v="Product_B"/>
    <n v="4411"/>
    <n v="5"/>
    <n v="0"/>
    <n v="1052"/>
    <x v="2"/>
    <n v="22055"/>
    <s v="Mar"/>
    <n v="2025"/>
    <s v="Q1"/>
    <n v="4.7698934481976873E-2"/>
    <n v="0"/>
    <s v="High"/>
    <s v="Repeat"/>
    <s v="Above Avg"/>
    <s v="Profit"/>
    <n v="66"/>
  </r>
  <r>
    <n v="453"/>
    <x v="452"/>
    <n v="1090"/>
    <s v="Customer_19"/>
    <s v="Corporate"/>
    <s v="North"/>
    <s v="Furniture"/>
    <s v="Product_A"/>
    <n v="2976"/>
    <n v="4"/>
    <n v="0.15"/>
    <n v="1151"/>
    <x v="1"/>
    <n v="10118.4"/>
    <s v="Mar"/>
    <n v="2025"/>
    <s v="Q1"/>
    <n v="0.11375316255534472"/>
    <n v="1785.6"/>
    <s v="High"/>
    <s v="Repeat"/>
    <s v="Below Avg"/>
    <s v="Profit"/>
    <n v="199"/>
  </r>
  <r>
    <n v="454"/>
    <x v="453"/>
    <n v="1083"/>
    <s v="Customer_186"/>
    <s v="Corporate"/>
    <s v="North"/>
    <s v="Electronics"/>
    <s v="Product_C"/>
    <n v="504"/>
    <n v="8"/>
    <n v="0.09"/>
    <n v="1073"/>
    <x v="0"/>
    <n v="3669.12"/>
    <s v="Mar"/>
    <n v="2025"/>
    <s v="Q1"/>
    <n v="0.2924406942264085"/>
    <n v="362.88"/>
    <s v="Medium"/>
    <s v="Repeat"/>
    <s v="Below Avg"/>
    <s v="Profit"/>
    <n v="367"/>
  </r>
  <r>
    <n v="455"/>
    <x v="454"/>
    <n v="1017"/>
    <s v="Customer_40"/>
    <s v="Corporate"/>
    <s v="West"/>
    <s v="Electronics"/>
    <s v="Product_D"/>
    <n v="2002"/>
    <n v="9"/>
    <n v="0.1"/>
    <n v="-460"/>
    <x v="0"/>
    <n v="16216.2"/>
    <s v="Mar"/>
    <n v="2025"/>
    <s v="Q1"/>
    <n v="-2.83666950333617E-2"/>
    <n v="1801.8000000000002"/>
    <s v="High"/>
    <s v="Repeat"/>
    <s v="Above Avg"/>
    <s v="Loss"/>
    <n v="121"/>
  </r>
  <r>
    <n v="456"/>
    <x v="455"/>
    <n v="1019"/>
    <s v="Customer_124"/>
    <s v="Consumer"/>
    <s v="South"/>
    <s v="Electronics"/>
    <s v="Product_A"/>
    <n v="272"/>
    <n v="2"/>
    <n v="0.25"/>
    <n v="237"/>
    <x v="2"/>
    <n v="408"/>
    <s v="Mar"/>
    <n v="2025"/>
    <s v="Q1"/>
    <n v="0.58088235294117652"/>
    <n v="136"/>
    <s v="Low"/>
    <s v="Repeat"/>
    <s v="Below Avg"/>
    <s v="Profit"/>
    <n v="495"/>
  </r>
  <r>
    <n v="457"/>
    <x v="456"/>
    <n v="1029"/>
    <s v="Customer_45"/>
    <s v="Consumer"/>
    <s v="East"/>
    <s v="Electronics"/>
    <s v="Product_B"/>
    <n v="1217"/>
    <n v="2"/>
    <n v="0.03"/>
    <n v="1969"/>
    <x v="2"/>
    <n v="2360.98"/>
    <s v="Apr"/>
    <n v="2025"/>
    <s v="Q2"/>
    <n v="0.83397572194597158"/>
    <n v="73.02"/>
    <s v="Medium"/>
    <s v="Repeat"/>
    <s v="Below Avg"/>
    <s v="Profit"/>
    <n v="414"/>
  </r>
  <r>
    <n v="458"/>
    <x v="457"/>
    <n v="1073"/>
    <s v="Customer_42"/>
    <s v="Corporate"/>
    <s v="West"/>
    <s v="Clothing"/>
    <s v="Product_D"/>
    <n v="1801"/>
    <n v="8"/>
    <n v="0.03"/>
    <n v="1897"/>
    <x v="1"/>
    <n v="13975.76"/>
    <s v="Apr"/>
    <n v="2025"/>
    <s v="Q2"/>
    <n v="0.13573501548395223"/>
    <n v="432.24"/>
    <s v="High"/>
    <s v="Repeat"/>
    <s v="Above Avg"/>
    <s v="Profit"/>
    <n v="148"/>
  </r>
  <r>
    <n v="459"/>
    <x v="458"/>
    <n v="1051"/>
    <s v="Customer_70"/>
    <s v="Corporate"/>
    <s v="East"/>
    <s v="Clothing"/>
    <s v="Product_C"/>
    <n v="4044"/>
    <n v="6"/>
    <n v="0.13"/>
    <n v="-422"/>
    <x v="1"/>
    <n v="21109.68"/>
    <s v="Apr"/>
    <n v="2025"/>
    <s v="Q2"/>
    <n v="-1.9990828851976911E-2"/>
    <n v="3154.32"/>
    <s v="High"/>
    <s v="Repeat"/>
    <s v="Above Avg"/>
    <s v="Loss"/>
    <n v="75"/>
  </r>
  <r>
    <n v="460"/>
    <x v="459"/>
    <n v="1022"/>
    <s v="Customer_152"/>
    <s v="Corporate"/>
    <s v="East"/>
    <s v="Electronics"/>
    <s v="Product_D"/>
    <n v="1017"/>
    <n v="8"/>
    <n v="0.12"/>
    <n v="622"/>
    <x v="2"/>
    <n v="7159.68"/>
    <s v="Apr"/>
    <n v="2025"/>
    <s v="Q2"/>
    <n v="8.68753910789309E-2"/>
    <n v="976.31999999999994"/>
    <s v="High"/>
    <s v="Repeat"/>
    <s v="Below Avg"/>
    <s v="Profit"/>
    <n v="272"/>
  </r>
  <r>
    <n v="461"/>
    <x v="460"/>
    <n v="1046"/>
    <s v="Customer_150"/>
    <s v="Consumer"/>
    <s v="South"/>
    <s v="Electronics"/>
    <s v="Product_C"/>
    <n v="3058"/>
    <n v="1"/>
    <n v="0.02"/>
    <n v="1633"/>
    <x v="1"/>
    <n v="2996.84"/>
    <s v="Apr"/>
    <n v="2025"/>
    <s v="Q2"/>
    <n v="0.54490730235848428"/>
    <n v="61.160000000000004"/>
    <s v="Medium"/>
    <s v="Repeat"/>
    <s v="Below Avg"/>
    <s v="Profit"/>
    <n v="393"/>
  </r>
  <r>
    <n v="462"/>
    <x v="461"/>
    <n v="1002"/>
    <s v="Customer_53"/>
    <s v="Consumer"/>
    <s v="West"/>
    <s v="Electronics"/>
    <s v="Product_C"/>
    <n v="3212"/>
    <n v="3"/>
    <n v="0.16"/>
    <n v="-72"/>
    <x v="2"/>
    <n v="8094.24"/>
    <s v="Apr"/>
    <n v="2025"/>
    <s v="Q2"/>
    <n v="-8.8952143746664301E-3"/>
    <n v="1541.76"/>
    <s v="High"/>
    <s v="Repeat"/>
    <s v="Below Avg"/>
    <s v="Loss"/>
    <n v="249"/>
  </r>
  <r>
    <n v="463"/>
    <x v="462"/>
    <n v="1049"/>
    <s v="Customer_78"/>
    <s v="Consumer"/>
    <s v="South"/>
    <s v="Furniture"/>
    <s v="Product_C"/>
    <n v="1965"/>
    <n v="7"/>
    <n v="0.13"/>
    <n v="510"/>
    <x v="2"/>
    <n v="11966.85"/>
    <s v="Apr"/>
    <n v="2025"/>
    <s v="Q2"/>
    <n v="4.2617731483222399E-2"/>
    <n v="1788.15"/>
    <s v="High"/>
    <s v="Repeat"/>
    <s v="Above Avg"/>
    <s v="Profit"/>
    <n v="168"/>
  </r>
  <r>
    <n v="464"/>
    <x v="463"/>
    <n v="1008"/>
    <s v="Customer_152"/>
    <s v="Consumer"/>
    <s v="North"/>
    <s v="Furniture"/>
    <s v="Product_A"/>
    <n v="406"/>
    <n v="7"/>
    <n v="0.3"/>
    <n v="648"/>
    <x v="2"/>
    <n v="1989.3999999999901"/>
    <s v="Apr"/>
    <n v="2025"/>
    <s v="Q2"/>
    <n v="0.32572634965316338"/>
    <n v="852.6"/>
    <s v="Low"/>
    <s v="Repeat"/>
    <s v="Below Avg"/>
    <s v="Profit"/>
    <n v="431"/>
  </r>
  <r>
    <n v="465"/>
    <x v="464"/>
    <n v="1018"/>
    <s v="Customer_153"/>
    <s v="Consumer"/>
    <s v="West"/>
    <s v="Clothing"/>
    <s v="Product_C"/>
    <n v="1951"/>
    <n v="5"/>
    <n v="0.02"/>
    <n v="575"/>
    <x v="1"/>
    <n v="9559.9"/>
    <s v="Apr"/>
    <n v="2025"/>
    <s v="Q2"/>
    <n v="6.0147072668124149E-2"/>
    <n v="195.1"/>
    <s v="High"/>
    <s v="Repeat"/>
    <s v="Below Avg"/>
    <s v="Profit"/>
    <n v="214"/>
  </r>
  <r>
    <n v="466"/>
    <x v="465"/>
    <n v="1035"/>
    <s v="Customer_145"/>
    <s v="Consumer"/>
    <s v="North"/>
    <s v="Furniture"/>
    <s v="Product_D"/>
    <n v="930"/>
    <n v="9"/>
    <n v="0.04"/>
    <n v="-226"/>
    <x v="1"/>
    <n v="8035.2"/>
    <s v="Apr"/>
    <n v="2025"/>
    <s v="Q2"/>
    <n v="-2.8126244524093989E-2"/>
    <n v="334.8"/>
    <s v="High"/>
    <s v="Repeat"/>
    <s v="Below Avg"/>
    <s v="Loss"/>
    <n v="252"/>
  </r>
  <r>
    <n v="467"/>
    <x v="466"/>
    <n v="1039"/>
    <s v="Customer_123"/>
    <s v="Consumer"/>
    <s v="South"/>
    <s v="Electronics"/>
    <s v="Product_A"/>
    <n v="524"/>
    <n v="2"/>
    <n v="0.05"/>
    <n v="563"/>
    <x v="1"/>
    <n v="995.599999999999"/>
    <s v="Apr"/>
    <n v="2025"/>
    <s v="Q2"/>
    <n v="0.56548814785054291"/>
    <n v="52.400000000000006"/>
    <s v="Low"/>
    <s v="Repeat"/>
    <s v="Below Avg"/>
    <s v="Profit"/>
    <n v="480"/>
  </r>
  <r>
    <n v="468"/>
    <x v="467"/>
    <n v="1026"/>
    <s v="Customer_115"/>
    <s v="Corporate"/>
    <s v="North"/>
    <s v="Furniture"/>
    <s v="Product_B"/>
    <n v="3851"/>
    <n v="1"/>
    <n v="0.1"/>
    <n v="1436"/>
    <x v="0"/>
    <n v="3465.9"/>
    <s v="Apr"/>
    <n v="2025"/>
    <s v="Q2"/>
    <n v="0.41432239822268385"/>
    <n v="385.1"/>
    <s v="Medium"/>
    <s v="Repeat"/>
    <s v="Below Avg"/>
    <s v="Profit"/>
    <n v="377"/>
  </r>
  <r>
    <n v="469"/>
    <x v="468"/>
    <n v="1091"/>
    <s v="Customer_110"/>
    <s v="Corporate"/>
    <s v="East"/>
    <s v="Electronics"/>
    <s v="Product_A"/>
    <n v="4972"/>
    <n v="3"/>
    <n v="0.2"/>
    <n v="1594"/>
    <x v="2"/>
    <n v="11932.8"/>
    <s v="Apr"/>
    <n v="2025"/>
    <s v="Q2"/>
    <n v="0.13358138911236256"/>
    <n v="2983.2000000000003"/>
    <s v="High"/>
    <s v="Repeat"/>
    <s v="Above Avg"/>
    <s v="Profit"/>
    <n v="169"/>
  </r>
  <r>
    <n v="470"/>
    <x v="469"/>
    <n v="1071"/>
    <s v="Customer_163"/>
    <s v="Consumer"/>
    <s v="South"/>
    <s v="Furniture"/>
    <s v="Product_C"/>
    <n v="1905"/>
    <n v="7"/>
    <n v="0.28999999999999998"/>
    <n v="-284"/>
    <x v="0"/>
    <n v="9467.85"/>
    <s v="Apr"/>
    <n v="2025"/>
    <s v="Q2"/>
    <n v="-2.9996250468691414E-2"/>
    <n v="3867.1499999999996"/>
    <s v="High"/>
    <s v="Repeat"/>
    <s v="Below Avg"/>
    <s v="Loss"/>
    <n v="218"/>
  </r>
  <r>
    <n v="471"/>
    <x v="470"/>
    <n v="1071"/>
    <s v="Customer_56"/>
    <s v="Corporate"/>
    <s v="North"/>
    <s v="Furniture"/>
    <s v="Product_B"/>
    <n v="4820"/>
    <n v="8"/>
    <n v="0.27"/>
    <n v="148"/>
    <x v="2"/>
    <n v="28148.799999999999"/>
    <s v="Apr"/>
    <n v="2025"/>
    <s v="Q2"/>
    <n v="5.257772977888933E-3"/>
    <n v="10411.200000000001"/>
    <s v="High"/>
    <s v="Repeat"/>
    <s v="Above Avg"/>
    <s v="Profit"/>
    <n v="28"/>
  </r>
  <r>
    <n v="472"/>
    <x v="471"/>
    <n v="1081"/>
    <s v="Customer_28"/>
    <s v="Corporate"/>
    <s v="North"/>
    <s v="Furniture"/>
    <s v="Product_C"/>
    <n v="2519"/>
    <n v="8"/>
    <n v="0.13"/>
    <n v="1049"/>
    <x v="2"/>
    <n v="17532.240000000002"/>
    <s v="Apr"/>
    <n v="2025"/>
    <s v="Q2"/>
    <n v="5.9832628346406388E-2"/>
    <n v="2619.7600000000002"/>
    <s v="High"/>
    <s v="Repeat"/>
    <s v="Above Avg"/>
    <s v="Profit"/>
    <n v="96"/>
  </r>
  <r>
    <n v="473"/>
    <x v="472"/>
    <n v="1020"/>
    <s v="Customer_194"/>
    <s v="Corporate"/>
    <s v="North"/>
    <s v="Clothing"/>
    <s v="Product_B"/>
    <n v="191"/>
    <n v="2"/>
    <n v="0.02"/>
    <n v="453"/>
    <x v="1"/>
    <n v="374.36"/>
    <s v="Apr"/>
    <n v="2025"/>
    <s v="Q2"/>
    <n v="1.2100651779036222"/>
    <n v="7.6400000000000006"/>
    <s v="Low"/>
    <s v="Repeat"/>
    <s v="Below Avg"/>
    <s v="Profit"/>
    <n v="496"/>
  </r>
  <r>
    <n v="474"/>
    <x v="473"/>
    <n v="1012"/>
    <s v="Customer_34"/>
    <s v="Corporate"/>
    <s v="North"/>
    <s v="Furniture"/>
    <s v="Product_A"/>
    <n v="958"/>
    <n v="6"/>
    <n v="0.19"/>
    <n v="1374"/>
    <x v="1"/>
    <n v="4655.88"/>
    <s v="Apr"/>
    <n v="2025"/>
    <s v="Q2"/>
    <n v="0.2951106987293487"/>
    <n v="1092.1200000000001"/>
    <s v="Medium"/>
    <s v="Repeat"/>
    <s v="Below Avg"/>
    <s v="Profit"/>
    <n v="333"/>
  </r>
  <r>
    <n v="475"/>
    <x v="474"/>
    <n v="1026"/>
    <s v="Customer_65"/>
    <s v="Corporate"/>
    <s v="West"/>
    <s v="Clothing"/>
    <s v="Product_D"/>
    <n v="4109"/>
    <n v="5"/>
    <n v="0.13"/>
    <n v="630"/>
    <x v="0"/>
    <n v="17874.150000000001"/>
    <s v="Apr"/>
    <n v="2025"/>
    <s v="Q2"/>
    <n v="3.5246431298830989E-2"/>
    <n v="2670.85"/>
    <s v="High"/>
    <s v="Repeat"/>
    <s v="Above Avg"/>
    <s v="Profit"/>
    <n v="92"/>
  </r>
  <r>
    <n v="476"/>
    <x v="475"/>
    <n v="1061"/>
    <s v="Customer_111"/>
    <s v="Corporate"/>
    <s v="North"/>
    <s v="Clothing"/>
    <s v="Product_A"/>
    <n v="911"/>
    <n v="2"/>
    <n v="0.01"/>
    <n v="61"/>
    <x v="0"/>
    <n v="1803.78"/>
    <s v="Apr"/>
    <n v="2025"/>
    <s v="Q2"/>
    <n v="3.3817871359034919E-2"/>
    <n v="18.22"/>
    <s v="Low"/>
    <s v="Repeat"/>
    <s v="Below Avg"/>
    <s v="Profit"/>
    <n v="440"/>
  </r>
  <r>
    <n v="477"/>
    <x v="476"/>
    <n v="1039"/>
    <s v="Customer_128"/>
    <s v="Consumer"/>
    <s v="North"/>
    <s v="Furniture"/>
    <s v="Product_D"/>
    <n v="1853"/>
    <n v="1"/>
    <n v="0.25"/>
    <n v="1755"/>
    <x v="2"/>
    <n v="1389.75"/>
    <s v="Apr"/>
    <n v="2025"/>
    <s v="Q2"/>
    <n v="1.2628170534268754"/>
    <n v="463.25"/>
    <s v="Low"/>
    <s v="Repeat"/>
    <s v="Below Avg"/>
    <s v="Profit"/>
    <n v="461"/>
  </r>
  <r>
    <n v="478"/>
    <x v="477"/>
    <n v="1052"/>
    <s v="Customer_131"/>
    <s v="Corporate"/>
    <s v="West"/>
    <s v="Electronics"/>
    <s v="Product_C"/>
    <n v="3861"/>
    <n v="4"/>
    <n v="0.16"/>
    <n v="1739"/>
    <x v="1"/>
    <n v="12972.96"/>
    <s v="Apr"/>
    <n v="2025"/>
    <s v="Q2"/>
    <n v="0.1340480507147174"/>
    <n v="2471.04"/>
    <s v="High"/>
    <s v="Repeat"/>
    <s v="Above Avg"/>
    <s v="Profit"/>
    <n v="159"/>
  </r>
  <r>
    <n v="479"/>
    <x v="478"/>
    <n v="1079"/>
    <s v="Customer_187"/>
    <s v="Corporate"/>
    <s v="North"/>
    <s v="Electronics"/>
    <s v="Product_C"/>
    <n v="3679"/>
    <n v="6"/>
    <n v="0.13"/>
    <n v="1506"/>
    <x v="2"/>
    <n v="19204.38"/>
    <s v="Apr"/>
    <n v="2025"/>
    <s v="Q2"/>
    <n v="7.8419610526348674E-2"/>
    <n v="2869.62"/>
    <s v="High"/>
    <s v="Repeat"/>
    <s v="Above Avg"/>
    <s v="Profit"/>
    <n v="84"/>
  </r>
  <r>
    <n v="480"/>
    <x v="479"/>
    <n v="1039"/>
    <s v="Customer_56"/>
    <s v="Consumer"/>
    <s v="North"/>
    <s v="Electronics"/>
    <s v="Product_A"/>
    <n v="1431"/>
    <n v="9"/>
    <n v="0.22"/>
    <n v="822"/>
    <x v="0"/>
    <n v="10045.620000000001"/>
    <s v="Apr"/>
    <n v="2025"/>
    <s v="Q2"/>
    <n v="8.1826706564652046E-2"/>
    <n v="2833.38"/>
    <s v="High"/>
    <s v="Repeat"/>
    <s v="Below Avg"/>
    <s v="Profit"/>
    <n v="200"/>
  </r>
  <r>
    <n v="481"/>
    <x v="480"/>
    <n v="1008"/>
    <s v="Customer_22"/>
    <s v="Consumer"/>
    <s v="North"/>
    <s v="Furniture"/>
    <s v="Product_C"/>
    <n v="2112"/>
    <n v="9"/>
    <n v="0.26"/>
    <n v="645"/>
    <x v="0"/>
    <n v="14065.92"/>
    <s v="Apr"/>
    <n v="2025"/>
    <s v="Q2"/>
    <n v="4.5855514605514604E-2"/>
    <n v="4942.08"/>
    <s v="High"/>
    <s v="Repeat"/>
    <s v="Above Avg"/>
    <s v="Profit"/>
    <n v="146"/>
  </r>
  <r>
    <n v="482"/>
    <x v="481"/>
    <n v="1026"/>
    <s v="Customer_170"/>
    <s v="Consumer"/>
    <s v="West"/>
    <s v="Clothing"/>
    <s v="Product_D"/>
    <n v="3792"/>
    <n v="3"/>
    <n v="0.28000000000000003"/>
    <n v="1742"/>
    <x v="1"/>
    <n v="8190.7199999999903"/>
    <s v="Apr"/>
    <n v="2025"/>
    <s v="Q2"/>
    <n v="0.2126797155805597"/>
    <n v="3185.28"/>
    <s v="High"/>
    <s v="Repeat"/>
    <s v="Below Avg"/>
    <s v="Profit"/>
    <n v="244"/>
  </r>
  <r>
    <n v="483"/>
    <x v="482"/>
    <n v="1080"/>
    <s v="Customer_132"/>
    <s v="Consumer"/>
    <s v="East"/>
    <s v="Furniture"/>
    <s v="Product_C"/>
    <n v="2486"/>
    <n v="9"/>
    <n v="0.1"/>
    <n v="-143"/>
    <x v="0"/>
    <n v="20136.599999999999"/>
    <s v="Apr"/>
    <n v="2025"/>
    <s v="Q2"/>
    <n v="-7.1014967770130014E-3"/>
    <n v="2237.4"/>
    <s v="High"/>
    <s v="Repeat"/>
    <s v="Above Avg"/>
    <s v="Loss"/>
    <n v="78"/>
  </r>
  <r>
    <n v="484"/>
    <x v="483"/>
    <n v="1002"/>
    <s v="Customer_100"/>
    <s v="Corporate"/>
    <s v="East"/>
    <s v="Clothing"/>
    <s v="Product_D"/>
    <n v="306"/>
    <n v="6"/>
    <n v="0.06"/>
    <n v="-483"/>
    <x v="1"/>
    <n v="1725.84"/>
    <s v="Apr"/>
    <n v="2025"/>
    <s v="Q2"/>
    <n v="-0.27986371853706021"/>
    <n v="110.16"/>
    <s v="Low"/>
    <s v="Repeat"/>
    <s v="Below Avg"/>
    <s v="Loss"/>
    <n v="445"/>
  </r>
  <r>
    <n v="485"/>
    <x v="484"/>
    <n v="1055"/>
    <s v="Customer_118"/>
    <s v="Consumer"/>
    <s v="West"/>
    <s v="Electronics"/>
    <s v="Product_B"/>
    <n v="3682"/>
    <n v="8"/>
    <n v="0.1"/>
    <n v="1715"/>
    <x v="1"/>
    <n v="26510.400000000001"/>
    <s v="Apr"/>
    <n v="2025"/>
    <s v="Q2"/>
    <n v="6.4691592733417819E-2"/>
    <n v="2945.6000000000004"/>
    <s v="High"/>
    <s v="Repeat"/>
    <s v="Above Avg"/>
    <s v="Profit"/>
    <n v="37"/>
  </r>
  <r>
    <n v="486"/>
    <x v="485"/>
    <n v="1052"/>
    <s v="Customer_12"/>
    <s v="Consumer"/>
    <s v="East"/>
    <s v="Furniture"/>
    <s v="Product_C"/>
    <n v="4317"/>
    <n v="8"/>
    <n v="0.28999999999999998"/>
    <n v="227"/>
    <x v="0"/>
    <n v="24520.559999999899"/>
    <s v="Apr"/>
    <n v="2025"/>
    <s v="Q2"/>
    <n v="9.2575373482498332E-3"/>
    <n v="10015.439999999999"/>
    <s v="High"/>
    <s v="Repeat"/>
    <s v="Above Avg"/>
    <s v="Profit"/>
    <n v="46"/>
  </r>
  <r>
    <n v="487"/>
    <x v="486"/>
    <n v="1003"/>
    <s v="Customer_37"/>
    <s v="Corporate"/>
    <s v="East"/>
    <s v="Electronics"/>
    <s v="Product_D"/>
    <n v="1839"/>
    <n v="3"/>
    <n v="0.03"/>
    <n v="1247"/>
    <x v="0"/>
    <n v="5351.49"/>
    <s v="May"/>
    <n v="2025"/>
    <s v="Q2"/>
    <n v="0.23301921520922211"/>
    <n v="165.51"/>
    <s v="High"/>
    <s v="Repeat"/>
    <s v="Below Avg"/>
    <s v="Profit"/>
    <n v="314"/>
  </r>
  <r>
    <n v="488"/>
    <x v="487"/>
    <n v="1039"/>
    <s v="Customer_41"/>
    <s v="Consumer"/>
    <s v="West"/>
    <s v="Furniture"/>
    <s v="Product_A"/>
    <n v="3996"/>
    <n v="3"/>
    <n v="0.28999999999999998"/>
    <n v="56"/>
    <x v="1"/>
    <n v="8511.48"/>
    <s v="May"/>
    <n v="2025"/>
    <s v="Q2"/>
    <n v="6.5793493023539977E-3"/>
    <n v="3476.52"/>
    <s v="High"/>
    <s v="Repeat"/>
    <s v="Below Avg"/>
    <s v="Profit"/>
    <n v="238"/>
  </r>
  <r>
    <n v="489"/>
    <x v="488"/>
    <n v="1051"/>
    <s v="Customer_58"/>
    <s v="Corporate"/>
    <s v="South"/>
    <s v="Electronics"/>
    <s v="Product_C"/>
    <n v="3116"/>
    <n v="9"/>
    <n v="0.19"/>
    <n v="942"/>
    <x v="2"/>
    <n v="22715.64"/>
    <s v="May"/>
    <n v="2025"/>
    <s v="Q2"/>
    <n v="4.1469225608435425E-2"/>
    <n v="5328.36"/>
    <s v="High"/>
    <s v="Repeat"/>
    <s v="Above Avg"/>
    <s v="Profit"/>
    <n v="61"/>
  </r>
  <r>
    <n v="490"/>
    <x v="489"/>
    <n v="1055"/>
    <s v="Customer_63"/>
    <s v="Consumer"/>
    <s v="West"/>
    <s v="Furniture"/>
    <s v="Product_D"/>
    <n v="2104"/>
    <n v="3"/>
    <n v="0"/>
    <n v="1145"/>
    <x v="0"/>
    <n v="6312"/>
    <s v="May"/>
    <n v="2025"/>
    <s v="Q2"/>
    <n v="0.18140050697084917"/>
    <n v="0"/>
    <s v="High"/>
    <s v="Repeat"/>
    <s v="Below Avg"/>
    <s v="Profit"/>
    <n v="289"/>
  </r>
  <r>
    <n v="491"/>
    <x v="490"/>
    <n v="1064"/>
    <s v="Customer_71"/>
    <s v="Corporate"/>
    <s v="East"/>
    <s v="Clothing"/>
    <s v="Product_B"/>
    <n v="1692"/>
    <n v="4"/>
    <n v="0.26"/>
    <n v="-81"/>
    <x v="2"/>
    <n v="5008.32"/>
    <s v="May"/>
    <n v="2025"/>
    <s v="Q2"/>
    <n v="-1.6173087981598621E-2"/>
    <n v="1759.68"/>
    <s v="High"/>
    <s v="Repeat"/>
    <s v="Below Avg"/>
    <s v="Loss"/>
    <n v="323"/>
  </r>
  <r>
    <n v="492"/>
    <x v="491"/>
    <n v="1077"/>
    <s v="Customer_133"/>
    <s v="Consumer"/>
    <s v="East"/>
    <s v="Clothing"/>
    <s v="Product_B"/>
    <n v="2103"/>
    <n v="7"/>
    <n v="0.2"/>
    <n v="439"/>
    <x v="2"/>
    <n v="11776.8"/>
    <s v="May"/>
    <n v="2025"/>
    <s v="Q2"/>
    <n v="3.7276679573398551E-2"/>
    <n v="2944.2000000000003"/>
    <s v="High"/>
    <s v="Repeat"/>
    <s v="Above Avg"/>
    <s v="Profit"/>
    <n v="173"/>
  </r>
  <r>
    <n v="493"/>
    <x v="492"/>
    <n v="1071"/>
    <s v="Customer_91"/>
    <s v="Corporate"/>
    <s v="North"/>
    <s v="Electronics"/>
    <s v="Product_C"/>
    <n v="3019"/>
    <n v="9"/>
    <n v="0.04"/>
    <n v="660"/>
    <x v="2"/>
    <n v="26084.16"/>
    <s v="May"/>
    <n v="2025"/>
    <s v="Q2"/>
    <n v="2.5302712450774725E-2"/>
    <n v="1086.8399999999999"/>
    <s v="High"/>
    <s v="Repeat"/>
    <s v="Above Avg"/>
    <s v="Profit"/>
    <n v="39"/>
  </r>
  <r>
    <n v="494"/>
    <x v="493"/>
    <n v="1070"/>
    <s v="Customer_89"/>
    <s v="Consumer"/>
    <s v="South"/>
    <s v="Clothing"/>
    <s v="Product_D"/>
    <n v="208"/>
    <n v="3"/>
    <n v="0.1"/>
    <n v="1549"/>
    <x v="1"/>
    <n v="561.6"/>
    <s v="May"/>
    <n v="2025"/>
    <s v="Q2"/>
    <n v="2.758190883190883"/>
    <n v="62.400000000000006"/>
    <s v="Low"/>
    <s v="Repeat"/>
    <s v="Below Avg"/>
    <s v="Profit"/>
    <n v="489"/>
  </r>
  <r>
    <n v="495"/>
    <x v="494"/>
    <n v="1029"/>
    <s v="Customer_17"/>
    <s v="Corporate"/>
    <s v="East"/>
    <s v="Furniture"/>
    <s v="Product_B"/>
    <n v="3081"/>
    <n v="1"/>
    <n v="0.26"/>
    <n v="606"/>
    <x v="1"/>
    <n v="2279.94"/>
    <s v="May"/>
    <n v="2025"/>
    <s v="Q2"/>
    <n v="0.26579646832811388"/>
    <n v="801.06000000000006"/>
    <s v="Medium"/>
    <s v="Repeat"/>
    <s v="Below Avg"/>
    <s v="Profit"/>
    <n v="416"/>
  </r>
  <r>
    <n v="496"/>
    <x v="495"/>
    <n v="1024"/>
    <s v="Customer_156"/>
    <s v="Consumer"/>
    <s v="North"/>
    <s v="Clothing"/>
    <s v="Product_A"/>
    <n v="2595"/>
    <n v="2"/>
    <n v="0.22"/>
    <n v="1965"/>
    <x v="1"/>
    <n v="4048.2"/>
    <s v="May"/>
    <n v="2025"/>
    <s v="Q2"/>
    <n v="0.48540091892693049"/>
    <n v="1141.8"/>
    <s v="Medium"/>
    <s v="Repeat"/>
    <s v="Below Avg"/>
    <s v="Profit"/>
    <n v="352"/>
  </r>
  <r>
    <n v="497"/>
    <x v="496"/>
    <n v="1038"/>
    <s v="Customer_119"/>
    <s v="Corporate"/>
    <s v="South"/>
    <s v="Electronics"/>
    <s v="Product_A"/>
    <n v="1791"/>
    <n v="4"/>
    <n v="0.1"/>
    <n v="-437"/>
    <x v="0"/>
    <n v="6447.6"/>
    <s v="May"/>
    <n v="2025"/>
    <s v="Q2"/>
    <n v="-6.7777157391897755E-2"/>
    <n v="716.40000000000009"/>
    <s v="High"/>
    <s v="Repeat"/>
    <s v="Below Avg"/>
    <s v="Loss"/>
    <n v="286"/>
  </r>
  <r>
    <n v="498"/>
    <x v="497"/>
    <n v="1079"/>
    <s v="Customer_155"/>
    <s v="Consumer"/>
    <s v="East"/>
    <s v="Electronics"/>
    <s v="Product_D"/>
    <n v="4085"/>
    <n v="7"/>
    <n v="0.24"/>
    <n v="1108"/>
    <x v="0"/>
    <n v="21732.2"/>
    <s v="May"/>
    <n v="2025"/>
    <s v="Q2"/>
    <n v="5.0984253780105099E-2"/>
    <n v="6862.8"/>
    <s v="High"/>
    <s v="Repeat"/>
    <s v="Above Avg"/>
    <s v="Profit"/>
    <n v="70"/>
  </r>
  <r>
    <n v="499"/>
    <x v="498"/>
    <n v="1074"/>
    <s v="Customer_181"/>
    <s v="Corporate"/>
    <s v="South"/>
    <s v="Electronics"/>
    <s v="Product_A"/>
    <n v="4431"/>
    <n v="1"/>
    <n v="0.08"/>
    <n v="394"/>
    <x v="1"/>
    <n v="4076.52"/>
    <s v="May"/>
    <n v="2025"/>
    <s v="Q2"/>
    <n v="9.665106512417454E-2"/>
    <n v="354.48"/>
    <s v="Medium"/>
    <s v="Repeat"/>
    <s v="Below Avg"/>
    <s v="Profit"/>
    <n v="350"/>
  </r>
  <r>
    <n v="500"/>
    <x v="499"/>
    <n v="1024"/>
    <s v="Customer_26"/>
    <s v="Consumer"/>
    <s v="North"/>
    <s v="Furniture"/>
    <s v="Product_B"/>
    <n v="1822"/>
    <n v="4"/>
    <n v="0.16"/>
    <n v="1668"/>
    <x v="1"/>
    <n v="6121.92"/>
    <s v="May"/>
    <n v="2025"/>
    <s v="Q2"/>
    <n v="0.27246354084992941"/>
    <n v="1166.08"/>
    <s v="High"/>
    <s v="Repeat"/>
    <s v="Below Avg"/>
    <s v="Profit"/>
    <n v="29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066"/>
    <s v="Customer_33"/>
    <s v="Consumer"/>
    <s v="South"/>
    <s v="Electronics"/>
    <s v="Product_A"/>
    <n v="2755"/>
    <n v="3"/>
    <n v="0.25"/>
    <n v="559"/>
    <s v="UPI"/>
    <n v="6198.75"/>
    <x v="0"/>
    <n v="2024"/>
    <x v="0"/>
    <n v="9.017947166767494E-2"/>
    <n v="2066.25"/>
    <s v="High"/>
    <s v="Repeat"/>
    <s v="Below Avg"/>
    <s v="Profit"/>
    <n v="293"/>
  </r>
  <r>
    <n v="2"/>
    <x v="1"/>
    <n v="1092"/>
    <s v="Customer_191"/>
    <s v="Consumer"/>
    <s v="East"/>
    <s v="Clothing"/>
    <s v="Product_A"/>
    <n v="1709"/>
    <n v="3"/>
    <n v="0.04"/>
    <n v="1735"/>
    <s v="UPI"/>
    <n v="4921.92"/>
    <x v="0"/>
    <n v="2024"/>
    <x v="0"/>
    <n v="0.35250471360769781"/>
    <n v="205.08"/>
    <s v="Medium"/>
    <s v="Repeat"/>
    <s v="Below Avg"/>
    <s v="Profit"/>
    <n v="326"/>
  </r>
  <r>
    <n v="3"/>
    <x v="2"/>
    <n v="1098"/>
    <s v="Customer_54"/>
    <s v="Corporate"/>
    <s v="East"/>
    <s v="Clothing"/>
    <s v="Product_D"/>
    <n v="3914"/>
    <n v="7"/>
    <n v="0.16"/>
    <n v="-225"/>
    <s v="Card"/>
    <n v="23014.32"/>
    <x v="0"/>
    <n v="2024"/>
    <x v="0"/>
    <n v="-9.7765217481985134E-3"/>
    <n v="4383.68"/>
    <s v="High"/>
    <s v="Repeat"/>
    <s v="Above Avg"/>
    <s v="Loss"/>
    <n v="59"/>
  </r>
  <r>
    <n v="4"/>
    <x v="3"/>
    <n v="1017"/>
    <s v="Customer_116"/>
    <s v="Consumer"/>
    <s v="West"/>
    <s v="Electronics"/>
    <s v="Product_B"/>
    <n v="759"/>
    <n v="5"/>
    <n v="0.01"/>
    <n v="-75"/>
    <s v="UPI"/>
    <n v="3757.05"/>
    <x v="0"/>
    <n v="2024"/>
    <x v="0"/>
    <n v="-1.9962470555355931E-2"/>
    <n v="37.950000000000003"/>
    <s v="Medium"/>
    <s v="Repeat"/>
    <s v="Below Avg"/>
    <s v="Loss"/>
    <n v="365"/>
  </r>
  <r>
    <n v="5"/>
    <x v="4"/>
    <n v="1083"/>
    <s v="Customer_179"/>
    <s v="Consumer"/>
    <s v="West"/>
    <s v="Electronics"/>
    <s v="Product_B"/>
    <n v="243"/>
    <n v="1"/>
    <n v="0.17"/>
    <n v="-482"/>
    <s v="COD"/>
    <n v="201.69"/>
    <x v="0"/>
    <n v="2024"/>
    <x v="0"/>
    <n v="-2.3898061381327782"/>
    <n v="41.31"/>
    <s v="Low"/>
    <s v="Repeat"/>
    <s v="Below Avg"/>
    <s v="Loss"/>
    <n v="499"/>
  </r>
  <r>
    <n v="6"/>
    <x v="5"/>
    <n v="1057"/>
    <s v="Customer_112"/>
    <s v="Consumer"/>
    <s v="North"/>
    <s v="Furniture"/>
    <s v="Product_D"/>
    <n v="2090"/>
    <n v="8"/>
    <n v="0.04"/>
    <n v="1271"/>
    <s v="UPI"/>
    <n v="16051.199999999901"/>
    <x v="0"/>
    <n v="2024"/>
    <x v="0"/>
    <n v="7.9184110845295544E-2"/>
    <n v="668.80000000000007"/>
    <s v="High"/>
    <s v="Repeat"/>
    <s v="Above Avg"/>
    <s v="Profit"/>
    <n v="127"/>
  </r>
  <r>
    <n v="7"/>
    <x v="6"/>
    <n v="1086"/>
    <s v="Customer_180"/>
    <s v="Corporate"/>
    <s v="North"/>
    <s v="Furniture"/>
    <s v="Product_D"/>
    <n v="550"/>
    <n v="5"/>
    <n v="0.24"/>
    <n v="1300"/>
    <s v="COD"/>
    <n v="2090"/>
    <x v="0"/>
    <n v="2024"/>
    <x v="0"/>
    <n v="0.62200956937799046"/>
    <n v="660"/>
    <s v="Medium"/>
    <s v="Repeat"/>
    <s v="Below Avg"/>
    <s v="Profit"/>
    <n v="423"/>
  </r>
  <r>
    <n v="8"/>
    <x v="7"/>
    <n v="1097"/>
    <s v="Customer_180"/>
    <s v="Corporate"/>
    <s v="South"/>
    <s v="Furniture"/>
    <s v="Product_A"/>
    <n v="1291"/>
    <n v="4"/>
    <n v="7.0000000000000007E-2"/>
    <n v="829"/>
    <s v="COD"/>
    <n v="4802.5199999999904"/>
    <x v="0"/>
    <n v="2024"/>
    <x v="0"/>
    <n v="0.17261770903608972"/>
    <n v="361.48"/>
    <s v="Medium"/>
    <s v="Repeat"/>
    <s v="Below Avg"/>
    <s v="Profit"/>
    <n v="329"/>
  </r>
  <r>
    <n v="9"/>
    <x v="8"/>
    <n v="1096"/>
    <s v="Customer_184"/>
    <s v="Consumer"/>
    <s v="West"/>
    <s v="Electronics"/>
    <s v="Product_C"/>
    <n v="4121"/>
    <n v="4"/>
    <n v="0.03"/>
    <n v="-169"/>
    <s v="Card"/>
    <n v="15989.48"/>
    <x v="0"/>
    <n v="2024"/>
    <x v="0"/>
    <n v="-1.056944941298904E-2"/>
    <n v="494.52"/>
    <s v="High"/>
    <s v="Repeat"/>
    <s v="Above Avg"/>
    <s v="Loss"/>
    <n v="128"/>
  </r>
  <r>
    <n v="10"/>
    <x v="9"/>
    <n v="1047"/>
    <s v="Customer_114"/>
    <s v="Corporate"/>
    <s v="West"/>
    <s v="Electronics"/>
    <s v="Product_B"/>
    <n v="735"/>
    <n v="2"/>
    <n v="0.01"/>
    <n v="-250"/>
    <s v="COD"/>
    <n v="1455.3"/>
    <x v="0"/>
    <n v="2024"/>
    <x v="0"/>
    <n v="-0.17178588607160036"/>
    <n v="14.700000000000001"/>
    <s v="Low"/>
    <s v="Repeat"/>
    <s v="Below Avg"/>
    <s v="Loss"/>
    <n v="460"/>
  </r>
  <r>
    <n v="11"/>
    <x v="10"/>
    <n v="1073"/>
    <s v="Customer_73"/>
    <s v="Consumer"/>
    <s v="West"/>
    <s v="Clothing"/>
    <s v="Product_A"/>
    <n v="2257"/>
    <n v="1"/>
    <n v="0.17"/>
    <n v="960"/>
    <s v="Card"/>
    <n v="1873.31"/>
    <x v="0"/>
    <n v="2024"/>
    <x v="0"/>
    <n v="0.51246189899162442"/>
    <n v="383.69000000000005"/>
    <s v="Low"/>
    <s v="Repeat"/>
    <s v="Below Avg"/>
    <s v="Profit"/>
    <n v="438"/>
  </r>
  <r>
    <n v="12"/>
    <x v="11"/>
    <n v="1032"/>
    <s v="Customer_1"/>
    <s v="Consumer"/>
    <s v="West"/>
    <s v="Electronics"/>
    <s v="Product_C"/>
    <n v="3851"/>
    <n v="6"/>
    <n v="0.2"/>
    <n v="-7"/>
    <s v="UPI"/>
    <n v="18484.8"/>
    <x v="0"/>
    <n v="2024"/>
    <x v="0"/>
    <n v="-3.7868951787414524E-4"/>
    <n v="4621.2"/>
    <s v="High"/>
    <s v="Repeat"/>
    <s v="Above Avg"/>
    <s v="Loss"/>
    <n v="87"/>
  </r>
  <r>
    <n v="13"/>
    <x v="12"/>
    <n v="1046"/>
    <s v="Customer_31"/>
    <s v="Corporate"/>
    <s v="East"/>
    <s v="Clothing"/>
    <s v="Product_B"/>
    <n v="999"/>
    <n v="3"/>
    <n v="0.27"/>
    <n v="-134"/>
    <s v="Card"/>
    <n v="2187.81"/>
    <x v="0"/>
    <n v="2024"/>
    <x v="0"/>
    <n v="-6.1248463074947093E-2"/>
    <n v="809.19"/>
    <s v="Medium"/>
    <s v="Repeat"/>
    <s v="Below Avg"/>
    <s v="Loss"/>
    <n v="419"/>
  </r>
  <r>
    <n v="14"/>
    <x v="13"/>
    <n v="1096"/>
    <s v="Customer_21"/>
    <s v="Consumer"/>
    <s v="North"/>
    <s v="Clothing"/>
    <s v="Product_A"/>
    <n v="4554"/>
    <n v="9"/>
    <n v="0.02"/>
    <n v="1529"/>
    <s v="Card"/>
    <n v="40166.28"/>
    <x v="0"/>
    <n v="2024"/>
    <x v="0"/>
    <n v="3.8066756493257532E-2"/>
    <n v="819.72"/>
    <s v="High"/>
    <s v="Repeat"/>
    <s v="Above Avg"/>
    <s v="Profit"/>
    <n v="2"/>
  </r>
  <r>
    <n v="15"/>
    <x v="14"/>
    <n v="1025"/>
    <s v="Customer_24"/>
    <s v="Corporate"/>
    <s v="South"/>
    <s v="Clothing"/>
    <s v="Product_A"/>
    <n v="2930"/>
    <n v="4"/>
    <n v="0.12"/>
    <n v="1243"/>
    <s v="Card"/>
    <n v="10313.6"/>
    <x v="0"/>
    <n v="2024"/>
    <x v="0"/>
    <n v="0.12052047781569965"/>
    <n v="1406.3999999999999"/>
    <s v="High"/>
    <s v="Repeat"/>
    <s v="Below Avg"/>
    <s v="Profit"/>
    <n v="198"/>
  </r>
  <r>
    <n v="16"/>
    <x v="15"/>
    <n v="1083"/>
    <s v="Customer_19"/>
    <s v="Consumer"/>
    <s v="North"/>
    <s v="Furniture"/>
    <s v="Product_D"/>
    <n v="2870"/>
    <n v="2"/>
    <n v="0.05"/>
    <n v="1714"/>
    <s v="Card"/>
    <n v="5453"/>
    <x v="0"/>
    <n v="2024"/>
    <x v="0"/>
    <n v="0.31432239134421419"/>
    <n v="287"/>
    <s v="High"/>
    <s v="Repeat"/>
    <s v="Below Avg"/>
    <s v="Profit"/>
    <n v="310"/>
  </r>
  <r>
    <n v="17"/>
    <x v="16"/>
    <n v="1078"/>
    <s v="Customer_61"/>
    <s v="Corporate"/>
    <s v="North"/>
    <s v="Clothing"/>
    <s v="Product_C"/>
    <n v="1320"/>
    <n v="4"/>
    <n v="0.15"/>
    <n v="644"/>
    <s v="UPI"/>
    <n v="4488"/>
    <x v="0"/>
    <n v="2024"/>
    <x v="0"/>
    <n v="0.14349376114081996"/>
    <n v="792"/>
    <s v="Medium"/>
    <s v="Repeat"/>
    <s v="Below Avg"/>
    <s v="Profit"/>
    <n v="338"/>
  </r>
  <r>
    <n v="18"/>
    <x v="17"/>
    <n v="1036"/>
    <s v="Customer_112"/>
    <s v="Consumer"/>
    <s v="North"/>
    <s v="Furniture"/>
    <s v="Product_A"/>
    <n v="4545"/>
    <n v="4"/>
    <n v="7.0000000000000007E-2"/>
    <n v="1171"/>
    <s v="UPI"/>
    <n v="16907.3999999999"/>
    <x v="0"/>
    <n v="2024"/>
    <x v="0"/>
    <n v="6.9259614133456771E-2"/>
    <n v="1272.6000000000001"/>
    <s v="High"/>
    <s v="Repeat"/>
    <s v="Above Avg"/>
    <s v="Profit"/>
    <n v="105"/>
  </r>
  <r>
    <n v="19"/>
    <x v="18"/>
    <n v="1096"/>
    <s v="Customer_188"/>
    <s v="Consumer"/>
    <s v="North"/>
    <s v="Electronics"/>
    <s v="Product_A"/>
    <n v="4690"/>
    <n v="1"/>
    <n v="0.12"/>
    <n v="-18"/>
    <s v="COD"/>
    <n v="4127.2"/>
    <x v="0"/>
    <n v="2024"/>
    <x v="0"/>
    <n v="-4.3613103314595857E-3"/>
    <n v="562.79999999999995"/>
    <s v="Medium"/>
    <s v="Repeat"/>
    <s v="Below Avg"/>
    <s v="Loss"/>
    <n v="348"/>
  </r>
  <r>
    <n v="20"/>
    <x v="19"/>
    <n v="1080"/>
    <s v="Customer_124"/>
    <s v="Corporate"/>
    <s v="East"/>
    <s v="Furniture"/>
    <s v="Product_A"/>
    <n v="1487"/>
    <n v="8"/>
    <n v="0.11"/>
    <n v="992"/>
    <s v="Card"/>
    <n v="10587.44"/>
    <x v="0"/>
    <n v="2024"/>
    <x v="0"/>
    <n v="9.3695926494034437E-2"/>
    <n v="1308.56"/>
    <s v="High"/>
    <s v="Repeat"/>
    <s v="Below Avg"/>
    <s v="Profit"/>
    <n v="196"/>
  </r>
  <r>
    <n v="21"/>
    <x v="20"/>
    <n v="1068"/>
    <s v="Customer_153"/>
    <s v="Consumer"/>
    <s v="South"/>
    <s v="Clothing"/>
    <s v="Product_B"/>
    <n v="2066"/>
    <n v="4"/>
    <n v="0.21"/>
    <n v="-488"/>
    <s v="UPI"/>
    <n v="6528.56"/>
    <x v="0"/>
    <n v="2024"/>
    <x v="0"/>
    <n v="-7.4748489712892274E-2"/>
    <n v="1735.4399999999998"/>
    <s v="High"/>
    <s v="Repeat"/>
    <s v="Below Avg"/>
    <s v="Loss"/>
    <n v="285"/>
  </r>
  <r>
    <n v="22"/>
    <x v="21"/>
    <n v="1049"/>
    <s v="Customer_20"/>
    <s v="Corporate"/>
    <s v="East"/>
    <s v="Clothing"/>
    <s v="Product_D"/>
    <n v="4415"/>
    <n v="4"/>
    <n v="0.22"/>
    <n v="316"/>
    <s v="COD"/>
    <n v="13774.8"/>
    <x v="0"/>
    <n v="2024"/>
    <x v="0"/>
    <n v="2.2940441966489533E-2"/>
    <n v="3885.2"/>
    <s v="High"/>
    <s v="Repeat"/>
    <s v="Above Avg"/>
    <s v="Profit"/>
    <n v="149"/>
  </r>
  <r>
    <n v="23"/>
    <x v="22"/>
    <n v="1055"/>
    <s v="Customer_117"/>
    <s v="Consumer"/>
    <s v="West"/>
    <s v="Furniture"/>
    <s v="Product_A"/>
    <n v="790"/>
    <n v="7"/>
    <n v="0.13"/>
    <n v="1889"/>
    <s v="COD"/>
    <n v="4811.1000000000004"/>
    <x v="0"/>
    <n v="2024"/>
    <x v="0"/>
    <n v="0.3926337012325663"/>
    <n v="718.9"/>
    <s v="Medium"/>
    <s v="Repeat"/>
    <s v="Below Avg"/>
    <s v="Profit"/>
    <n v="328"/>
  </r>
  <r>
    <n v="24"/>
    <x v="23"/>
    <n v="1067"/>
    <s v="Customer_154"/>
    <s v="Corporate"/>
    <s v="North"/>
    <s v="Clothing"/>
    <s v="Product_A"/>
    <n v="4346"/>
    <n v="2"/>
    <n v="7.0000000000000007E-2"/>
    <n v="-8"/>
    <s v="Card"/>
    <n v="8083.5599999999904"/>
    <x v="0"/>
    <n v="2024"/>
    <x v="0"/>
    <n v="-9.8966297027547378E-4"/>
    <n v="608.44000000000005"/>
    <s v="High"/>
    <s v="Repeat"/>
    <s v="Below Avg"/>
    <s v="Loss"/>
    <n v="250"/>
  </r>
  <r>
    <n v="25"/>
    <x v="24"/>
    <n v="1002"/>
    <s v="Customer_127"/>
    <s v="Consumer"/>
    <s v="South"/>
    <s v="Furniture"/>
    <s v="Product_D"/>
    <n v="2176"/>
    <n v="6"/>
    <n v="0.24"/>
    <n v="337"/>
    <s v="UPI"/>
    <n v="9922.56"/>
    <x v="0"/>
    <n v="2024"/>
    <x v="0"/>
    <n v="3.3963009545923635E-2"/>
    <n v="3133.44"/>
    <s v="High"/>
    <s v="Repeat"/>
    <s v="Below Avg"/>
    <s v="Profit"/>
    <n v="201"/>
  </r>
  <r>
    <n v="26"/>
    <x v="25"/>
    <n v="1084"/>
    <s v="Customer_7"/>
    <s v="Corporate"/>
    <s v="North"/>
    <s v="Clothing"/>
    <s v="Product_C"/>
    <n v="1857"/>
    <n v="6"/>
    <n v="0.25"/>
    <n v="1296"/>
    <s v="Card"/>
    <n v="8356.5"/>
    <x v="0"/>
    <n v="2024"/>
    <x v="0"/>
    <n v="0.15508885298869143"/>
    <n v="2785.5"/>
    <s v="High"/>
    <s v="Repeat"/>
    <s v="Below Avg"/>
    <s v="Profit"/>
    <n v="240"/>
  </r>
  <r>
    <n v="27"/>
    <x v="26"/>
    <n v="1039"/>
    <s v="Customer_195"/>
    <s v="Consumer"/>
    <s v="East"/>
    <s v="Furniture"/>
    <s v="Product_D"/>
    <n v="4258"/>
    <n v="7"/>
    <n v="0.16"/>
    <n v="1331"/>
    <s v="COD"/>
    <n v="25037.040000000001"/>
    <x v="0"/>
    <n v="2024"/>
    <x v="0"/>
    <n v="5.3161236312279724E-2"/>
    <n v="4768.96"/>
    <s v="High"/>
    <s v="Repeat"/>
    <s v="Above Avg"/>
    <s v="Profit"/>
    <n v="42"/>
  </r>
  <r>
    <n v="28"/>
    <x v="27"/>
    <n v="1066"/>
    <s v="Customer_56"/>
    <s v="Consumer"/>
    <s v="South"/>
    <s v="Furniture"/>
    <s v="Product_D"/>
    <n v="270"/>
    <n v="2"/>
    <n v="7.0000000000000007E-2"/>
    <n v="1695"/>
    <s v="Card"/>
    <n v="502.2"/>
    <x v="0"/>
    <n v="2024"/>
    <x v="0"/>
    <n v="3.3751493428912784"/>
    <n v="37.800000000000004"/>
    <s v="Low"/>
    <s v="Repeat"/>
    <s v="Below Avg"/>
    <s v="Profit"/>
    <n v="491"/>
  </r>
  <r>
    <n v="29"/>
    <x v="28"/>
    <n v="1084"/>
    <s v="Customer_72"/>
    <s v="Corporate"/>
    <s v="North"/>
    <s v="Furniture"/>
    <s v="Product_A"/>
    <n v="1757"/>
    <n v="7"/>
    <n v="0.24"/>
    <n v="1198"/>
    <s v="Card"/>
    <n v="9347.24"/>
    <x v="0"/>
    <n v="2024"/>
    <x v="0"/>
    <n v="0.1281661752560114"/>
    <n v="2951.7599999999998"/>
    <s v="High"/>
    <s v="Repeat"/>
    <s v="Below Avg"/>
    <s v="Profit"/>
    <n v="223"/>
  </r>
  <r>
    <n v="30"/>
    <x v="29"/>
    <n v="1047"/>
    <s v="Customer_94"/>
    <s v="Corporate"/>
    <s v="West"/>
    <s v="Electronics"/>
    <s v="Product_A"/>
    <n v="2171"/>
    <n v="2"/>
    <n v="0.11"/>
    <n v="1464"/>
    <s v="UPI"/>
    <n v="3864.38"/>
    <x v="0"/>
    <n v="2024"/>
    <x v="0"/>
    <n v="0.37884473059067691"/>
    <n v="477.62"/>
    <s v="Medium"/>
    <s v="Repeat"/>
    <s v="Below Avg"/>
    <s v="Profit"/>
    <n v="359"/>
  </r>
  <r>
    <n v="31"/>
    <x v="30"/>
    <n v="1061"/>
    <s v="Customer_11"/>
    <s v="Consumer"/>
    <s v="North"/>
    <s v="Furniture"/>
    <s v="Product_D"/>
    <n v="4589"/>
    <n v="2"/>
    <n v="0.28000000000000003"/>
    <n v="1849"/>
    <s v="COD"/>
    <n v="6608.16"/>
    <x v="0"/>
    <n v="2024"/>
    <x v="0"/>
    <n v="0.27980557371492215"/>
    <n v="2569.84"/>
    <s v="High"/>
    <s v="Repeat"/>
    <s v="Below Avg"/>
    <s v="Profit"/>
    <n v="284"/>
  </r>
  <r>
    <n v="32"/>
    <x v="31"/>
    <n v="1048"/>
    <s v="Customer_145"/>
    <s v="Consumer"/>
    <s v="North"/>
    <s v="Furniture"/>
    <s v="Product_A"/>
    <n v="1491"/>
    <n v="1"/>
    <n v="0.08"/>
    <n v="-440"/>
    <s v="UPI"/>
    <n v="1371.72"/>
    <x v="1"/>
    <n v="2024"/>
    <x v="0"/>
    <n v="-0.32076517073455224"/>
    <n v="119.28"/>
    <s v="Low"/>
    <s v="Repeat"/>
    <s v="Below Avg"/>
    <s v="Loss"/>
    <n v="464"/>
  </r>
  <r>
    <n v="33"/>
    <x v="32"/>
    <n v="1007"/>
    <s v="Customer_72"/>
    <s v="Corporate"/>
    <s v="North"/>
    <s v="Electronics"/>
    <s v="Product_D"/>
    <n v="4961"/>
    <n v="9"/>
    <n v="0.28000000000000003"/>
    <n v="1103"/>
    <s v="Card"/>
    <n v="32147.279999999999"/>
    <x v="1"/>
    <n v="2024"/>
    <x v="0"/>
    <n v="3.4310834384744214E-2"/>
    <n v="12501.720000000001"/>
    <s v="High"/>
    <s v="Repeat"/>
    <s v="Above Avg"/>
    <s v="Profit"/>
    <n v="21"/>
  </r>
  <r>
    <n v="34"/>
    <x v="33"/>
    <n v="1099"/>
    <s v="Customer_175"/>
    <s v="Consumer"/>
    <s v="West"/>
    <s v="Electronics"/>
    <s v="Product_A"/>
    <n v="2141"/>
    <n v="9"/>
    <n v="0.13"/>
    <n v="191"/>
    <s v="COD"/>
    <n v="16764.03"/>
    <x v="1"/>
    <n v="2024"/>
    <x v="0"/>
    <n v="1.1393441791741009E-2"/>
    <n v="2504.9700000000003"/>
    <s v="High"/>
    <s v="Repeat"/>
    <s v="Above Avg"/>
    <s v="Profit"/>
    <n v="108"/>
  </r>
  <r>
    <n v="35"/>
    <x v="34"/>
    <n v="1092"/>
    <s v="Customer_172"/>
    <s v="Consumer"/>
    <s v="West"/>
    <s v="Furniture"/>
    <s v="Product_B"/>
    <n v="4536"/>
    <n v="5"/>
    <n v="0.23"/>
    <n v="954"/>
    <s v="UPI"/>
    <n v="17463.599999999999"/>
    <x v="1"/>
    <n v="2024"/>
    <x v="0"/>
    <n v="5.4627911770768915E-2"/>
    <n v="5216.4000000000005"/>
    <s v="High"/>
    <s v="Repeat"/>
    <s v="Above Avg"/>
    <s v="Profit"/>
    <n v="98"/>
  </r>
  <r>
    <n v="36"/>
    <x v="35"/>
    <n v="1052"/>
    <s v="Customer_192"/>
    <s v="Corporate"/>
    <s v="South"/>
    <s v="Electronics"/>
    <s v="Product_A"/>
    <n v="2529"/>
    <n v="7"/>
    <n v="0.06"/>
    <n v="-454"/>
    <s v="Card"/>
    <n v="16640.82"/>
    <x v="1"/>
    <n v="2024"/>
    <x v="0"/>
    <n v="-2.7282309405425934E-2"/>
    <n v="1062.18"/>
    <s v="High"/>
    <s v="Repeat"/>
    <s v="Above Avg"/>
    <s v="Loss"/>
    <n v="112"/>
  </r>
  <r>
    <n v="37"/>
    <x v="36"/>
    <n v="1097"/>
    <s v="Customer_158"/>
    <s v="Consumer"/>
    <s v="East"/>
    <s v="Clothing"/>
    <s v="Product_C"/>
    <n v="3484"/>
    <n v="7"/>
    <n v="0.19"/>
    <n v="-398"/>
    <s v="UPI"/>
    <n v="19754.28"/>
    <x v="1"/>
    <n v="2024"/>
    <x v="0"/>
    <n v="-2.0147532585343533E-2"/>
    <n v="4633.72"/>
    <s v="High"/>
    <s v="Repeat"/>
    <s v="Above Avg"/>
    <s v="Loss"/>
    <n v="81"/>
  </r>
  <r>
    <n v="38"/>
    <x v="37"/>
    <n v="1085"/>
    <s v="Customer_43"/>
    <s v="Consumer"/>
    <s v="North"/>
    <s v="Furniture"/>
    <s v="Product_B"/>
    <n v="100"/>
    <n v="3"/>
    <n v="0.17"/>
    <n v="-325"/>
    <s v="COD"/>
    <n v="249"/>
    <x v="1"/>
    <n v="2024"/>
    <x v="0"/>
    <n v="-1.3052208835341366"/>
    <n v="51.000000000000007"/>
    <s v="Low"/>
    <s v="Repeat"/>
    <s v="Below Avg"/>
    <s v="Loss"/>
    <n v="498"/>
  </r>
  <r>
    <n v="39"/>
    <x v="38"/>
    <n v="1094"/>
    <s v="Customer_16"/>
    <s v="Consumer"/>
    <s v="East"/>
    <s v="Electronics"/>
    <s v="Product_D"/>
    <n v="1152"/>
    <n v="2"/>
    <n v="0.13"/>
    <n v="-297"/>
    <s v="UPI"/>
    <n v="2004.48"/>
    <x v="1"/>
    <n v="2024"/>
    <x v="0"/>
    <n v="-0.14816810344827586"/>
    <n v="299.52"/>
    <s v="Medium"/>
    <s v="Repeat"/>
    <s v="Below Avg"/>
    <s v="Loss"/>
    <n v="430"/>
  </r>
  <r>
    <n v="40"/>
    <x v="39"/>
    <n v="1027"/>
    <s v="Customer_119"/>
    <s v="Corporate"/>
    <s v="South"/>
    <s v="Electronics"/>
    <s v="Product_A"/>
    <n v="1345"/>
    <n v="4"/>
    <n v="0.22"/>
    <n v="1624"/>
    <s v="COD"/>
    <n v="4196.3999999999996"/>
    <x v="1"/>
    <n v="2024"/>
    <x v="0"/>
    <n v="0.38699837956343536"/>
    <n v="1183.5999999999999"/>
    <s v="Medium"/>
    <s v="Repeat"/>
    <s v="Below Avg"/>
    <s v="Profit"/>
    <n v="346"/>
  </r>
  <r>
    <n v="41"/>
    <x v="40"/>
    <n v="1034"/>
    <s v="Customer_4"/>
    <s v="Corporate"/>
    <s v="West"/>
    <s v="Furniture"/>
    <s v="Product_D"/>
    <n v="3274"/>
    <n v="8"/>
    <n v="0.25"/>
    <n v="578"/>
    <s v="Card"/>
    <n v="19644"/>
    <x v="1"/>
    <n v="2024"/>
    <x v="0"/>
    <n v="2.942374261861128E-2"/>
    <n v="6548"/>
    <s v="High"/>
    <s v="Repeat"/>
    <s v="Above Avg"/>
    <s v="Profit"/>
    <n v="82"/>
  </r>
  <r>
    <n v="42"/>
    <x v="41"/>
    <n v="1097"/>
    <s v="Customer_85"/>
    <s v="Corporate"/>
    <s v="South"/>
    <s v="Furniture"/>
    <s v="Product_C"/>
    <n v="2350"/>
    <n v="1"/>
    <n v="0.22"/>
    <n v="1840"/>
    <s v="UPI"/>
    <n v="1833"/>
    <x v="1"/>
    <n v="2024"/>
    <x v="0"/>
    <n v="1.0038188761593017"/>
    <n v="517"/>
    <s v="Low"/>
    <s v="Repeat"/>
    <s v="Below Avg"/>
    <s v="Profit"/>
    <n v="439"/>
  </r>
  <r>
    <n v="43"/>
    <x v="42"/>
    <n v="1076"/>
    <s v="Customer_50"/>
    <s v="Consumer"/>
    <s v="West"/>
    <s v="Electronics"/>
    <s v="Product_D"/>
    <n v="1934"/>
    <n v="8"/>
    <n v="0.24"/>
    <n v="1168"/>
    <s v="Card"/>
    <n v="11758.72"/>
    <x v="1"/>
    <n v="2024"/>
    <x v="0"/>
    <n v="9.933053937843575E-2"/>
    <n v="3713.2799999999997"/>
    <s v="High"/>
    <s v="Repeat"/>
    <s v="Above Avg"/>
    <s v="Profit"/>
    <n v="175"/>
  </r>
  <r>
    <n v="44"/>
    <x v="43"/>
    <n v="1040"/>
    <s v="Customer_34"/>
    <s v="Corporate"/>
    <s v="North"/>
    <s v="Electronics"/>
    <s v="Product_C"/>
    <n v="3605"/>
    <n v="2"/>
    <n v="0.22"/>
    <n v="1510"/>
    <s v="Card"/>
    <n v="5623.8"/>
    <x v="1"/>
    <n v="2024"/>
    <x v="0"/>
    <n v="0.26850172481240442"/>
    <n v="1586.2"/>
    <s v="High"/>
    <s v="Repeat"/>
    <s v="Below Avg"/>
    <s v="Profit"/>
    <n v="305"/>
  </r>
  <r>
    <n v="45"/>
    <x v="44"/>
    <n v="1003"/>
    <s v="Customer_35"/>
    <s v="Corporate"/>
    <s v="East"/>
    <s v="Furniture"/>
    <s v="Product_B"/>
    <n v="4693"/>
    <n v="8"/>
    <n v="0.04"/>
    <n v="1809"/>
    <s v="UPI"/>
    <n v="36042.239999999998"/>
    <x v="1"/>
    <n v="2024"/>
    <x v="0"/>
    <n v="5.019110909865758E-2"/>
    <n v="1501.76"/>
    <s v="High"/>
    <s v="Repeat"/>
    <s v="Above Avg"/>
    <s v="Profit"/>
    <n v="7"/>
  </r>
  <r>
    <n v="46"/>
    <x v="45"/>
    <n v="1069"/>
    <s v="Customer_64"/>
    <s v="Consumer"/>
    <s v="South"/>
    <s v="Furniture"/>
    <s v="Product_C"/>
    <n v="4092"/>
    <n v="2"/>
    <n v="0.23"/>
    <n v="779"/>
    <s v="Card"/>
    <n v="6301.68"/>
    <x v="1"/>
    <n v="2024"/>
    <x v="0"/>
    <n v="0.12361782889642127"/>
    <n v="1882.3200000000002"/>
    <s v="High"/>
    <s v="Repeat"/>
    <s v="Below Avg"/>
    <s v="Profit"/>
    <n v="290"/>
  </r>
  <r>
    <n v="47"/>
    <x v="46"/>
    <n v="1064"/>
    <s v="Customer_13"/>
    <s v="Corporate"/>
    <s v="West"/>
    <s v="Electronics"/>
    <s v="Product_B"/>
    <n v="1788"/>
    <n v="7"/>
    <n v="0.06"/>
    <n v="-196"/>
    <s v="Card"/>
    <n v="11765.039999999901"/>
    <x v="1"/>
    <n v="2024"/>
    <x v="0"/>
    <n v="-1.6659526869437048E-2"/>
    <n v="750.95999999999992"/>
    <s v="High"/>
    <s v="Repeat"/>
    <s v="Above Avg"/>
    <s v="Loss"/>
    <n v="174"/>
  </r>
  <r>
    <n v="48"/>
    <x v="47"/>
    <n v="1075"/>
    <s v="Customer_107"/>
    <s v="Corporate"/>
    <s v="West"/>
    <s v="Clothing"/>
    <s v="Product_C"/>
    <n v="343"/>
    <n v="3"/>
    <n v="0.03"/>
    <n v="1062"/>
    <s v="UPI"/>
    <n v="998.13"/>
    <x v="1"/>
    <n v="2024"/>
    <x v="0"/>
    <n v="1.0639896606654444"/>
    <n v="30.869999999999997"/>
    <s v="Low"/>
    <s v="Repeat"/>
    <s v="Below Avg"/>
    <s v="Profit"/>
    <n v="479"/>
  </r>
  <r>
    <n v="49"/>
    <x v="48"/>
    <n v="1034"/>
    <s v="Customer_27"/>
    <s v="Consumer"/>
    <s v="South"/>
    <s v="Electronics"/>
    <s v="Product_B"/>
    <n v="1734"/>
    <n v="6"/>
    <n v="0.27"/>
    <n v="318"/>
    <s v="UPI"/>
    <n v="7594.92"/>
    <x v="1"/>
    <n v="2024"/>
    <x v="0"/>
    <n v="4.1870092114202652E-2"/>
    <n v="2809.0800000000004"/>
    <s v="High"/>
    <s v="Repeat"/>
    <s v="Below Avg"/>
    <s v="Profit"/>
    <n v="263"/>
  </r>
  <r>
    <n v="50"/>
    <x v="49"/>
    <n v="1058"/>
    <s v="Customer_169"/>
    <s v="Consumer"/>
    <s v="East"/>
    <s v="Furniture"/>
    <s v="Product_C"/>
    <n v="2310"/>
    <n v="7"/>
    <n v="0.18"/>
    <n v="-22"/>
    <s v="COD"/>
    <n v="13259.4"/>
    <x v="1"/>
    <n v="2024"/>
    <x v="0"/>
    <n v="-1.6592002654720426E-3"/>
    <n v="2910.6"/>
    <s v="High"/>
    <s v="Repeat"/>
    <s v="Above Avg"/>
    <s v="Loss"/>
    <n v="157"/>
  </r>
  <r>
    <n v="51"/>
    <x v="50"/>
    <n v="1010"/>
    <s v="Customer_42"/>
    <s v="Consumer"/>
    <s v="East"/>
    <s v="Clothing"/>
    <s v="Product_B"/>
    <n v="274"/>
    <n v="6"/>
    <n v="0.05"/>
    <n v="-327"/>
    <s v="COD"/>
    <n v="1561.8"/>
    <x v="1"/>
    <n v="2024"/>
    <x v="0"/>
    <n v="-0.20937379946215906"/>
    <n v="82.2"/>
    <s v="Low"/>
    <s v="Repeat"/>
    <s v="Below Avg"/>
    <s v="Loss"/>
    <n v="455"/>
  </r>
  <r>
    <n v="52"/>
    <x v="51"/>
    <n v="1022"/>
    <s v="Customer_157"/>
    <s v="Corporate"/>
    <s v="West"/>
    <s v="Clothing"/>
    <s v="Product_A"/>
    <n v="2319"/>
    <n v="5"/>
    <n v="0.19"/>
    <n v="51"/>
    <s v="COD"/>
    <n v="9391.9500000000007"/>
    <x v="1"/>
    <n v="2024"/>
    <x v="0"/>
    <n v="5.4301822305272062E-3"/>
    <n v="2203.0500000000002"/>
    <s v="High"/>
    <s v="Repeat"/>
    <s v="Below Avg"/>
    <s v="Profit"/>
    <n v="222"/>
  </r>
  <r>
    <n v="53"/>
    <x v="52"/>
    <n v="1077"/>
    <s v="Customer_144"/>
    <s v="Corporate"/>
    <s v="North"/>
    <s v="Electronics"/>
    <s v="Product_B"/>
    <n v="3756"/>
    <n v="9"/>
    <n v="0.1"/>
    <n v="1822"/>
    <s v="Card"/>
    <n v="30423.599999999999"/>
    <x v="1"/>
    <n v="2024"/>
    <x v="0"/>
    <n v="5.9887718744658758E-2"/>
    <n v="3380.4"/>
    <s v="High"/>
    <s v="Repeat"/>
    <s v="Above Avg"/>
    <s v="Profit"/>
    <n v="23"/>
  </r>
  <r>
    <n v="54"/>
    <x v="53"/>
    <n v="1018"/>
    <s v="Customer_181"/>
    <s v="Corporate"/>
    <s v="North"/>
    <s v="Furniture"/>
    <s v="Product_D"/>
    <n v="366"/>
    <n v="9"/>
    <n v="0.04"/>
    <n v="-461"/>
    <s v="UPI"/>
    <n v="3162.24"/>
    <x v="1"/>
    <n v="2024"/>
    <x v="0"/>
    <n v="-0.14578273628820079"/>
    <n v="131.76"/>
    <s v="Medium"/>
    <s v="Repeat"/>
    <s v="Below Avg"/>
    <s v="Loss"/>
    <n v="388"/>
  </r>
  <r>
    <n v="55"/>
    <x v="54"/>
    <n v="1015"/>
    <s v="Customer_46"/>
    <s v="Corporate"/>
    <s v="North"/>
    <s v="Clothing"/>
    <s v="Product_A"/>
    <n v="1482"/>
    <n v="3"/>
    <n v="0.24"/>
    <n v="1102"/>
    <s v="COD"/>
    <n v="3378.96"/>
    <x v="1"/>
    <n v="2024"/>
    <x v="0"/>
    <n v="0.32613585245164189"/>
    <n v="1067.04"/>
    <s v="Medium"/>
    <s v="Repeat"/>
    <s v="Below Avg"/>
    <s v="Profit"/>
    <n v="381"/>
  </r>
  <r>
    <n v="56"/>
    <x v="55"/>
    <n v="1027"/>
    <s v="Customer_197"/>
    <s v="Corporate"/>
    <s v="North"/>
    <s v="Electronics"/>
    <s v="Product_C"/>
    <n v="879"/>
    <n v="7"/>
    <n v="0.03"/>
    <n v="1934"/>
    <s v="Card"/>
    <n v="5968.41"/>
    <x v="1"/>
    <n v="2024"/>
    <x v="0"/>
    <n v="0.3240394007784318"/>
    <n v="184.59"/>
    <s v="High"/>
    <s v="Repeat"/>
    <s v="Below Avg"/>
    <s v="Profit"/>
    <n v="298"/>
  </r>
  <r>
    <n v="57"/>
    <x v="56"/>
    <n v="1030"/>
    <s v="Customer_37"/>
    <s v="Corporate"/>
    <s v="East"/>
    <s v="Furniture"/>
    <s v="Product_B"/>
    <n v="4731"/>
    <n v="2"/>
    <n v="0.28999999999999998"/>
    <n v="1177"/>
    <s v="COD"/>
    <n v="6718.0199999999904"/>
    <x v="1"/>
    <n v="2024"/>
    <x v="0"/>
    <n v="0.17520043107939567"/>
    <n v="2743.98"/>
    <s v="High"/>
    <s v="Repeat"/>
    <s v="Below Avg"/>
    <s v="Profit"/>
    <n v="282"/>
  </r>
  <r>
    <n v="58"/>
    <x v="57"/>
    <n v="1052"/>
    <s v="Customer_104"/>
    <s v="Consumer"/>
    <s v="West"/>
    <s v="Furniture"/>
    <s v="Product_B"/>
    <n v="766"/>
    <n v="1"/>
    <n v="0.23"/>
    <n v="993"/>
    <s v="COD"/>
    <n v="589.82000000000005"/>
    <x v="1"/>
    <n v="2024"/>
    <x v="0"/>
    <n v="1.6835644772981586"/>
    <n v="176.18"/>
    <s v="Low"/>
    <s v="Repeat"/>
    <s v="Below Avg"/>
    <s v="Profit"/>
    <n v="487"/>
  </r>
  <r>
    <n v="59"/>
    <x v="58"/>
    <n v="1070"/>
    <s v="Customer_188"/>
    <s v="Consumer"/>
    <s v="West"/>
    <s v="Furniture"/>
    <s v="Product_B"/>
    <n v="1257"/>
    <n v="4"/>
    <n v="0.21"/>
    <n v="-182"/>
    <s v="UPI"/>
    <n v="3972.12"/>
    <x v="1"/>
    <n v="2024"/>
    <x v="0"/>
    <n v="-4.581936094579217E-2"/>
    <n v="1055.8799999999999"/>
    <s v="Medium"/>
    <s v="Repeat"/>
    <s v="Below Avg"/>
    <s v="Loss"/>
    <n v="354"/>
  </r>
  <r>
    <n v="60"/>
    <x v="59"/>
    <n v="1026"/>
    <s v="Customer_143"/>
    <s v="Consumer"/>
    <s v="North"/>
    <s v="Electronics"/>
    <s v="Product_C"/>
    <n v="4776"/>
    <n v="3"/>
    <n v="7.0000000000000007E-2"/>
    <n v="1297"/>
    <s v="UPI"/>
    <n v="13325.039999999901"/>
    <x v="1"/>
    <n v="2024"/>
    <x v="0"/>
    <n v="9.7335542707564823E-2"/>
    <n v="1002.9600000000002"/>
    <s v="High"/>
    <s v="Repeat"/>
    <s v="Above Avg"/>
    <s v="Profit"/>
    <n v="156"/>
  </r>
  <r>
    <n v="61"/>
    <x v="60"/>
    <n v="1080"/>
    <s v="Customer_149"/>
    <s v="Consumer"/>
    <s v="West"/>
    <s v="Furniture"/>
    <s v="Product_D"/>
    <n v="963"/>
    <n v="4"/>
    <n v="0.23"/>
    <n v="-271"/>
    <s v="Card"/>
    <n v="2966.04"/>
    <x v="2"/>
    <n v="2024"/>
    <x v="0"/>
    <n v="-9.1367614732100713E-2"/>
    <n v="885.96"/>
    <s v="Medium"/>
    <s v="Repeat"/>
    <s v="Below Avg"/>
    <s v="Loss"/>
    <n v="395"/>
  </r>
  <r>
    <n v="62"/>
    <x v="61"/>
    <n v="1006"/>
    <s v="Customer_34"/>
    <s v="Corporate"/>
    <s v="East"/>
    <s v="Clothing"/>
    <s v="Product_C"/>
    <n v="4000"/>
    <n v="3"/>
    <n v="0.01"/>
    <n v="1902"/>
    <s v="COD"/>
    <n v="11880"/>
    <x v="2"/>
    <n v="2024"/>
    <x v="0"/>
    <n v="0.1601010101010101"/>
    <n v="120"/>
    <s v="High"/>
    <s v="Repeat"/>
    <s v="Above Avg"/>
    <s v="Profit"/>
    <n v="171"/>
  </r>
  <r>
    <n v="63"/>
    <x v="62"/>
    <n v="1014"/>
    <s v="Customer_9"/>
    <s v="Consumer"/>
    <s v="South"/>
    <s v="Electronics"/>
    <s v="Product_B"/>
    <n v="156"/>
    <n v="9"/>
    <n v="0.17"/>
    <n v="325"/>
    <s v="COD"/>
    <n v="1165.32"/>
    <x v="2"/>
    <n v="2024"/>
    <x v="0"/>
    <n v="0.2788933511825078"/>
    <n v="238.68"/>
    <s v="Low"/>
    <s v="Repeat"/>
    <s v="Below Avg"/>
    <s v="Profit"/>
    <n v="472"/>
  </r>
  <r>
    <n v="64"/>
    <x v="63"/>
    <n v="1075"/>
    <s v="Customer_154"/>
    <s v="Consumer"/>
    <s v="South"/>
    <s v="Electronics"/>
    <s v="Product_A"/>
    <n v="3350"/>
    <n v="4"/>
    <n v="0.09"/>
    <n v="1332"/>
    <s v="COD"/>
    <n v="12194"/>
    <x v="2"/>
    <n v="2024"/>
    <x v="0"/>
    <n v="0.109234049532557"/>
    <n v="1206"/>
    <s v="High"/>
    <s v="Repeat"/>
    <s v="Above Avg"/>
    <s v="Profit"/>
    <n v="165"/>
  </r>
  <r>
    <n v="65"/>
    <x v="64"/>
    <n v="1054"/>
    <s v="Customer_77"/>
    <s v="Consumer"/>
    <s v="West"/>
    <s v="Electronics"/>
    <s v="Product_B"/>
    <n v="642"/>
    <n v="4"/>
    <n v="0.25"/>
    <n v="30"/>
    <s v="UPI"/>
    <n v="1926"/>
    <x v="2"/>
    <n v="2024"/>
    <x v="0"/>
    <n v="1.5576323987538941E-2"/>
    <n v="642"/>
    <s v="Low"/>
    <s v="Repeat"/>
    <s v="Below Avg"/>
    <s v="Profit"/>
    <n v="434"/>
  </r>
  <r>
    <n v="66"/>
    <x v="65"/>
    <n v="1071"/>
    <s v="Customer_146"/>
    <s v="Corporate"/>
    <s v="West"/>
    <s v="Electronics"/>
    <s v="Product_A"/>
    <n v="1032"/>
    <n v="7"/>
    <n v="0.23"/>
    <n v="-33"/>
    <s v="UPI"/>
    <n v="5562.48"/>
    <x v="2"/>
    <n v="2024"/>
    <x v="0"/>
    <n v="-5.9326056003796875E-3"/>
    <n v="1661.52"/>
    <s v="High"/>
    <s v="Repeat"/>
    <s v="Below Avg"/>
    <s v="Loss"/>
    <n v="307"/>
  </r>
  <r>
    <n v="67"/>
    <x v="66"/>
    <n v="1001"/>
    <s v="Customer_1"/>
    <s v="Consumer"/>
    <s v="West"/>
    <s v="Furniture"/>
    <s v="Product_B"/>
    <n v="950"/>
    <n v="4"/>
    <n v="0.15"/>
    <n v="1734"/>
    <s v="COD"/>
    <n v="3230"/>
    <x v="2"/>
    <n v="2024"/>
    <x v="0"/>
    <n v="0.5368421052631579"/>
    <n v="570"/>
    <s v="Medium"/>
    <s v="Repeat"/>
    <s v="Below Avg"/>
    <s v="Profit"/>
    <n v="387"/>
  </r>
  <r>
    <n v="68"/>
    <x v="67"/>
    <n v="1043"/>
    <s v="Customer_23"/>
    <s v="Corporate"/>
    <s v="North"/>
    <s v="Electronics"/>
    <s v="Product_D"/>
    <n v="1275"/>
    <n v="9"/>
    <n v="0.14000000000000001"/>
    <n v="1604"/>
    <s v="Card"/>
    <n v="9868.5"/>
    <x v="2"/>
    <n v="2024"/>
    <x v="0"/>
    <n v="0.16253736636773572"/>
    <n v="1606.5000000000002"/>
    <s v="High"/>
    <s v="New"/>
    <s v="Below Avg"/>
    <s v="Profit"/>
    <n v="204"/>
  </r>
  <r>
    <n v="69"/>
    <x v="68"/>
    <n v="1058"/>
    <s v="Customer_33"/>
    <s v="Consumer"/>
    <s v="North"/>
    <s v="Clothing"/>
    <s v="Product_D"/>
    <n v="622"/>
    <n v="9"/>
    <n v="0.02"/>
    <n v="442"/>
    <s v="Card"/>
    <n v="5486.04"/>
    <x v="2"/>
    <n v="2024"/>
    <x v="0"/>
    <n v="8.0568132933773726E-2"/>
    <n v="111.96000000000001"/>
    <s v="High"/>
    <s v="Repeat"/>
    <s v="Below Avg"/>
    <s v="Profit"/>
    <n v="309"/>
  </r>
  <r>
    <n v="70"/>
    <x v="69"/>
    <n v="1055"/>
    <s v="Customer_175"/>
    <s v="Consumer"/>
    <s v="West"/>
    <s v="Clothing"/>
    <s v="Product_C"/>
    <n v="209"/>
    <n v="9"/>
    <n v="7.0000000000000007E-2"/>
    <n v="79"/>
    <s v="Card"/>
    <n v="1749.33"/>
    <x v="2"/>
    <n v="2024"/>
    <x v="0"/>
    <n v="4.5160147027719186E-2"/>
    <n v="131.67000000000002"/>
    <s v="Low"/>
    <s v="Repeat"/>
    <s v="Below Avg"/>
    <s v="Profit"/>
    <n v="444"/>
  </r>
  <r>
    <n v="71"/>
    <x v="70"/>
    <n v="1025"/>
    <s v="Customer_95"/>
    <s v="Consumer"/>
    <s v="South"/>
    <s v="Clothing"/>
    <s v="Product_D"/>
    <n v="3545"/>
    <n v="6"/>
    <n v="0.21"/>
    <n v="706"/>
    <s v="Card"/>
    <n v="16803.3"/>
    <x v="2"/>
    <n v="2024"/>
    <x v="0"/>
    <n v="4.2015556468074727E-2"/>
    <n v="4466.7"/>
    <s v="High"/>
    <s v="Repeat"/>
    <s v="Above Avg"/>
    <s v="Profit"/>
    <n v="107"/>
  </r>
  <r>
    <n v="72"/>
    <x v="71"/>
    <n v="1050"/>
    <s v="Customer_122"/>
    <s v="Corporate"/>
    <s v="East"/>
    <s v="Clothing"/>
    <s v="Product_A"/>
    <n v="156"/>
    <n v="9"/>
    <n v="0.02"/>
    <n v="56"/>
    <s v="COD"/>
    <n v="1375.92"/>
    <x v="2"/>
    <n v="2024"/>
    <x v="0"/>
    <n v="4.0700040700040699E-2"/>
    <n v="28.080000000000002"/>
    <s v="Low"/>
    <s v="Repeat"/>
    <s v="Below Avg"/>
    <s v="Profit"/>
    <n v="463"/>
  </r>
  <r>
    <n v="73"/>
    <x v="72"/>
    <n v="1084"/>
    <s v="Customer_21"/>
    <s v="Consumer"/>
    <s v="West"/>
    <s v="Clothing"/>
    <s v="Product_C"/>
    <n v="3923"/>
    <n v="3"/>
    <n v="0.24"/>
    <n v="1141"/>
    <s v="UPI"/>
    <n v="8944.44"/>
    <x v="2"/>
    <n v="2024"/>
    <x v="0"/>
    <n v="0.12756528077777926"/>
    <n v="2824.56"/>
    <s v="High"/>
    <s v="Repeat"/>
    <s v="Below Avg"/>
    <s v="Profit"/>
    <n v="232"/>
  </r>
  <r>
    <n v="74"/>
    <x v="73"/>
    <n v="1056"/>
    <s v="Customer_61"/>
    <s v="Corporate"/>
    <s v="East"/>
    <s v="Electronics"/>
    <s v="Product_D"/>
    <n v="1766"/>
    <n v="2"/>
    <n v="0.28999999999999998"/>
    <n v="620"/>
    <s v="Card"/>
    <n v="2507.7199999999998"/>
    <x v="2"/>
    <n v="2024"/>
    <x v="0"/>
    <n v="0.24723653358429173"/>
    <n v="1024.28"/>
    <s v="Medium"/>
    <s v="Repeat"/>
    <s v="Below Avg"/>
    <s v="Profit"/>
    <n v="410"/>
  </r>
  <r>
    <n v="75"/>
    <x v="74"/>
    <n v="1049"/>
    <s v="Customer_27"/>
    <s v="Consumer"/>
    <s v="East"/>
    <s v="Furniture"/>
    <s v="Product_B"/>
    <n v="4017"/>
    <n v="2"/>
    <n v="0.02"/>
    <n v="755"/>
    <s v="COD"/>
    <n v="7873.32"/>
    <x v="2"/>
    <n v="2024"/>
    <x v="0"/>
    <n v="9.58934731472873E-2"/>
    <n v="160.68"/>
    <s v="High"/>
    <s v="Repeat"/>
    <s v="Below Avg"/>
    <s v="Profit"/>
    <n v="255"/>
  </r>
  <r>
    <n v="76"/>
    <x v="75"/>
    <n v="1012"/>
    <s v="Customer_191"/>
    <s v="Consumer"/>
    <s v="East"/>
    <s v="Clothing"/>
    <s v="Product_D"/>
    <n v="1527"/>
    <n v="7"/>
    <n v="0.14000000000000001"/>
    <n v="-113"/>
    <s v="COD"/>
    <n v="9192.53999999999"/>
    <x v="2"/>
    <n v="2024"/>
    <x v="0"/>
    <n v="-1.2292576371710117E-2"/>
    <n v="1496.46"/>
    <s v="High"/>
    <s v="Repeat"/>
    <s v="Below Avg"/>
    <s v="Loss"/>
    <n v="227"/>
  </r>
  <r>
    <n v="77"/>
    <x v="76"/>
    <n v="1018"/>
    <s v="Customer_102"/>
    <s v="Consumer"/>
    <s v="East"/>
    <s v="Furniture"/>
    <s v="Product_C"/>
    <n v="604"/>
    <n v="5"/>
    <n v="0.17"/>
    <n v="213"/>
    <s v="COD"/>
    <n v="2506.6"/>
    <x v="2"/>
    <n v="2024"/>
    <x v="0"/>
    <n v="8.497566424638954E-2"/>
    <n v="513.40000000000009"/>
    <s v="Medium"/>
    <s v="Repeat"/>
    <s v="Below Avg"/>
    <s v="Profit"/>
    <n v="411"/>
  </r>
  <r>
    <n v="78"/>
    <x v="77"/>
    <n v="1081"/>
    <s v="Customer_180"/>
    <s v="Consumer"/>
    <s v="North"/>
    <s v="Clothing"/>
    <s v="Product_D"/>
    <n v="3795"/>
    <n v="4"/>
    <n v="0.24"/>
    <n v="842"/>
    <s v="UPI"/>
    <n v="11536.8"/>
    <x v="2"/>
    <n v="2024"/>
    <x v="0"/>
    <n v="7.2983843006726307E-2"/>
    <n v="3643.2"/>
    <s v="High"/>
    <s v="Repeat"/>
    <s v="Above Avg"/>
    <s v="Profit"/>
    <n v="181"/>
  </r>
  <r>
    <n v="79"/>
    <x v="78"/>
    <n v="1001"/>
    <s v="Customer_192"/>
    <s v="Consumer"/>
    <s v="West"/>
    <s v="Clothing"/>
    <s v="Product_A"/>
    <n v="4704"/>
    <n v="2"/>
    <n v="0.05"/>
    <n v="-31"/>
    <s v="Card"/>
    <n v="8937.6"/>
    <x v="2"/>
    <n v="2024"/>
    <x v="0"/>
    <n v="-3.4684926602219835E-3"/>
    <n v="470.40000000000003"/>
    <s v="High"/>
    <s v="Repeat"/>
    <s v="Below Avg"/>
    <s v="Loss"/>
    <n v="233"/>
  </r>
  <r>
    <n v="80"/>
    <x v="79"/>
    <n v="1051"/>
    <s v="Customer_142"/>
    <s v="Corporate"/>
    <s v="East"/>
    <s v="Clothing"/>
    <s v="Product_A"/>
    <n v="1428"/>
    <n v="4"/>
    <n v="0.11"/>
    <n v="361"/>
    <s v="UPI"/>
    <n v="5083.68"/>
    <x v="2"/>
    <n v="2024"/>
    <x v="0"/>
    <n v="7.10115506876908E-2"/>
    <n v="628.32000000000005"/>
    <s v="High"/>
    <s v="Repeat"/>
    <s v="Below Avg"/>
    <s v="Profit"/>
    <n v="320"/>
  </r>
  <r>
    <n v="81"/>
    <x v="80"/>
    <n v="1044"/>
    <s v="Customer_101"/>
    <s v="Corporate"/>
    <s v="East"/>
    <s v="Furniture"/>
    <s v="Product_A"/>
    <n v="783"/>
    <n v="6"/>
    <n v="0.25"/>
    <n v="-54"/>
    <s v="COD"/>
    <n v="3523.5"/>
    <x v="2"/>
    <n v="2024"/>
    <x v="0"/>
    <n v="-1.532567049808429E-2"/>
    <n v="1174.5"/>
    <s v="Medium"/>
    <s v="Repeat"/>
    <s v="Below Avg"/>
    <s v="Loss"/>
    <n v="376"/>
  </r>
  <r>
    <n v="82"/>
    <x v="81"/>
    <n v="1048"/>
    <s v="Customer_175"/>
    <s v="Consumer"/>
    <s v="South"/>
    <s v="Electronics"/>
    <s v="Product_A"/>
    <n v="222"/>
    <n v="6"/>
    <n v="0.16"/>
    <n v="9"/>
    <s v="UPI"/>
    <n v="1118.8799999999901"/>
    <x v="2"/>
    <n v="2024"/>
    <x v="0"/>
    <n v="8.043758043758115E-3"/>
    <n v="213.12"/>
    <s v="Low"/>
    <s v="Repeat"/>
    <s v="Below Avg"/>
    <s v="Profit"/>
    <n v="474"/>
  </r>
  <r>
    <n v="83"/>
    <x v="82"/>
    <n v="1056"/>
    <s v="Customer_7"/>
    <s v="Corporate"/>
    <s v="West"/>
    <s v="Clothing"/>
    <s v="Product_A"/>
    <n v="1447"/>
    <n v="8"/>
    <n v="0.05"/>
    <n v="1686"/>
    <s v="UPI"/>
    <n v="10997.199999999901"/>
    <x v="2"/>
    <n v="2024"/>
    <x v="0"/>
    <n v="0.15331175208234962"/>
    <n v="578.80000000000007"/>
    <s v="High"/>
    <s v="Repeat"/>
    <s v="Above Avg"/>
    <s v="Profit"/>
    <n v="191"/>
  </r>
  <r>
    <n v="84"/>
    <x v="83"/>
    <n v="1091"/>
    <s v="Customer_76"/>
    <s v="Corporate"/>
    <s v="East"/>
    <s v="Electronics"/>
    <s v="Product_C"/>
    <n v="4171"/>
    <n v="6"/>
    <n v="0.26"/>
    <n v="1941"/>
    <s v="UPI"/>
    <n v="18519.2399999999"/>
    <x v="2"/>
    <n v="2024"/>
    <x v="0"/>
    <n v="0.10480991660564962"/>
    <n v="6506.76"/>
    <s v="High"/>
    <s v="Repeat"/>
    <s v="Above Avg"/>
    <s v="Profit"/>
    <n v="86"/>
  </r>
  <r>
    <n v="85"/>
    <x v="84"/>
    <n v="1049"/>
    <s v="Customer_156"/>
    <s v="Corporate"/>
    <s v="North"/>
    <s v="Clothing"/>
    <s v="Product_D"/>
    <n v="2001"/>
    <n v="5"/>
    <n v="0.28000000000000003"/>
    <n v="832"/>
    <s v="UPI"/>
    <n v="7203.5999999999904"/>
    <x v="2"/>
    <n v="2024"/>
    <x v="0"/>
    <n v="0.1154978066522296"/>
    <n v="2801.4"/>
    <s v="High"/>
    <s v="Repeat"/>
    <s v="Below Avg"/>
    <s v="Profit"/>
    <n v="271"/>
  </r>
  <r>
    <n v="86"/>
    <x v="85"/>
    <n v="1086"/>
    <s v="Customer_131"/>
    <s v="Consumer"/>
    <s v="South"/>
    <s v="Electronics"/>
    <s v="Product_C"/>
    <n v="1745"/>
    <n v="7"/>
    <n v="0.22"/>
    <n v="1411"/>
    <s v="UPI"/>
    <n v="9527.7000000000007"/>
    <x v="2"/>
    <n v="2024"/>
    <x v="0"/>
    <n v="0.14809450339536298"/>
    <n v="2687.3"/>
    <s v="High"/>
    <s v="Repeat"/>
    <s v="Below Avg"/>
    <s v="Profit"/>
    <n v="215"/>
  </r>
  <r>
    <n v="87"/>
    <x v="86"/>
    <n v="1003"/>
    <s v="Customer_150"/>
    <s v="Corporate"/>
    <s v="South"/>
    <s v="Electronics"/>
    <s v="Product_D"/>
    <n v="2969"/>
    <n v="3"/>
    <n v="0.28999999999999998"/>
    <n v="735"/>
    <s v="UPI"/>
    <n v="6323.9699999999903"/>
    <x v="2"/>
    <n v="2024"/>
    <x v="0"/>
    <n v="0.11622446026783827"/>
    <n v="2583.0299999999997"/>
    <s v="High"/>
    <s v="Repeat"/>
    <s v="Below Avg"/>
    <s v="Profit"/>
    <n v="288"/>
  </r>
  <r>
    <n v="88"/>
    <x v="87"/>
    <n v="1067"/>
    <s v="Customer_85"/>
    <s v="Corporate"/>
    <s v="South"/>
    <s v="Clothing"/>
    <s v="Product_A"/>
    <n v="1478"/>
    <n v="4"/>
    <n v="0.28000000000000003"/>
    <n v="-370"/>
    <s v="COD"/>
    <n v="4256.6399999999903"/>
    <x v="2"/>
    <n v="2024"/>
    <x v="0"/>
    <n v="-8.6923019094873155E-2"/>
    <n v="1655.3600000000001"/>
    <s v="Medium"/>
    <s v="Repeat"/>
    <s v="Below Avg"/>
    <s v="Loss"/>
    <n v="343"/>
  </r>
  <r>
    <n v="89"/>
    <x v="88"/>
    <n v="1011"/>
    <s v="Customer_191"/>
    <s v="Corporate"/>
    <s v="South"/>
    <s v="Electronics"/>
    <s v="Product_B"/>
    <n v="2972"/>
    <n v="6"/>
    <n v="0.04"/>
    <n v="64"/>
    <s v="UPI"/>
    <n v="17118.72"/>
    <x v="2"/>
    <n v="2024"/>
    <x v="0"/>
    <n v="3.7385972783011813E-3"/>
    <n v="713.28"/>
    <s v="High"/>
    <s v="Repeat"/>
    <s v="Above Avg"/>
    <s v="Profit"/>
    <n v="104"/>
  </r>
  <r>
    <n v="90"/>
    <x v="89"/>
    <n v="1021"/>
    <s v="Customer_29"/>
    <s v="Consumer"/>
    <s v="East"/>
    <s v="Furniture"/>
    <s v="Product_B"/>
    <n v="1596"/>
    <n v="9"/>
    <n v="0.12"/>
    <n v="1887"/>
    <s v="UPI"/>
    <n v="12640.32"/>
    <x v="2"/>
    <n v="2024"/>
    <x v="0"/>
    <n v="0.14928419533682691"/>
    <n v="1723.6799999999998"/>
    <s v="High"/>
    <s v="Repeat"/>
    <s v="Above Avg"/>
    <s v="Profit"/>
    <n v="161"/>
  </r>
  <r>
    <n v="91"/>
    <x v="90"/>
    <n v="1089"/>
    <s v="Customer_148"/>
    <s v="Corporate"/>
    <s v="North"/>
    <s v="Electronics"/>
    <s v="Product_B"/>
    <n v="775"/>
    <n v="6"/>
    <n v="0.18"/>
    <n v="1459"/>
    <s v="UPI"/>
    <n v="3813"/>
    <x v="2"/>
    <n v="2024"/>
    <x v="0"/>
    <n v="0.38263834251245737"/>
    <n v="837"/>
    <s v="Medium"/>
    <s v="Repeat"/>
    <s v="Below Avg"/>
    <s v="Profit"/>
    <n v="364"/>
  </r>
  <r>
    <n v="92"/>
    <x v="91"/>
    <n v="1098"/>
    <s v="Customer_67"/>
    <s v="Corporate"/>
    <s v="South"/>
    <s v="Furniture"/>
    <s v="Product_D"/>
    <n v="2608"/>
    <n v="4"/>
    <n v="0.22"/>
    <n v="1774"/>
    <s v="UPI"/>
    <n v="8136.96"/>
    <x v="3"/>
    <n v="2024"/>
    <x v="1"/>
    <n v="0.21801753971999371"/>
    <n v="2295.04"/>
    <s v="High"/>
    <s v="Repeat"/>
    <s v="Below Avg"/>
    <s v="Profit"/>
    <n v="246"/>
  </r>
  <r>
    <n v="93"/>
    <x v="92"/>
    <n v="1003"/>
    <s v="Customer_105"/>
    <s v="Corporate"/>
    <s v="North"/>
    <s v="Electronics"/>
    <s v="Product_D"/>
    <n v="2396"/>
    <n v="8"/>
    <n v="0.16"/>
    <n v="943"/>
    <s v="Card"/>
    <n v="16101.119999999901"/>
    <x v="3"/>
    <n v="2024"/>
    <x v="1"/>
    <n v="5.8567354320693578E-2"/>
    <n v="3066.88"/>
    <s v="High"/>
    <s v="Repeat"/>
    <s v="Above Avg"/>
    <s v="Profit"/>
    <n v="126"/>
  </r>
  <r>
    <n v="94"/>
    <x v="93"/>
    <n v="1011"/>
    <s v="Customer_161"/>
    <s v="Consumer"/>
    <s v="East"/>
    <s v="Furniture"/>
    <s v="Product_C"/>
    <n v="662"/>
    <n v="5"/>
    <n v="0.19"/>
    <n v="-45"/>
    <s v="COD"/>
    <n v="2681.1"/>
    <x v="3"/>
    <n v="2024"/>
    <x v="1"/>
    <n v="-1.6784155756965426E-2"/>
    <n v="628.9"/>
    <s v="Medium"/>
    <s v="Repeat"/>
    <s v="Below Avg"/>
    <s v="Loss"/>
    <n v="403"/>
  </r>
  <r>
    <n v="95"/>
    <x v="94"/>
    <n v="1003"/>
    <s v="Customer_94"/>
    <s v="Consumer"/>
    <s v="West"/>
    <s v="Clothing"/>
    <s v="Product_C"/>
    <n v="4372"/>
    <n v="5"/>
    <n v="0.04"/>
    <n v="1771"/>
    <s v="UPI"/>
    <n v="20985.599999999999"/>
    <x v="3"/>
    <n v="2024"/>
    <x v="1"/>
    <n v="8.4391201585849354E-2"/>
    <n v="874.4"/>
    <s v="High"/>
    <s v="Repeat"/>
    <s v="Above Avg"/>
    <s v="Profit"/>
    <n v="77"/>
  </r>
  <r>
    <n v="96"/>
    <x v="95"/>
    <n v="1094"/>
    <s v="Customer_48"/>
    <s v="Consumer"/>
    <s v="North"/>
    <s v="Furniture"/>
    <s v="Product_D"/>
    <n v="301"/>
    <n v="8"/>
    <n v="0.12"/>
    <n v="1297"/>
    <s v="UPI"/>
    <n v="2119.04"/>
    <x v="3"/>
    <n v="2024"/>
    <x v="1"/>
    <n v="0.61206961643008151"/>
    <n v="288.95999999999998"/>
    <s v="Medium"/>
    <s v="Repeat"/>
    <s v="Below Avg"/>
    <s v="Profit"/>
    <n v="421"/>
  </r>
  <r>
    <n v="97"/>
    <x v="96"/>
    <n v="1006"/>
    <s v="Customer_103"/>
    <s v="Corporate"/>
    <s v="East"/>
    <s v="Furniture"/>
    <s v="Product_A"/>
    <n v="4572"/>
    <n v="9"/>
    <n v="0"/>
    <n v="519"/>
    <s v="UPI"/>
    <n v="41148"/>
    <x v="3"/>
    <n v="2024"/>
    <x v="1"/>
    <n v="1.2613006707494897E-2"/>
    <n v="0"/>
    <s v="High"/>
    <s v="Repeat"/>
    <s v="Above Avg"/>
    <s v="Profit"/>
    <n v="1"/>
  </r>
  <r>
    <n v="98"/>
    <x v="97"/>
    <n v="1009"/>
    <s v="Customer_41"/>
    <s v="Consumer"/>
    <s v="South"/>
    <s v="Electronics"/>
    <s v="Product_A"/>
    <n v="3094"/>
    <n v="4"/>
    <n v="0.2"/>
    <n v="236"/>
    <s v="Card"/>
    <n v="9900.7999999999993"/>
    <x v="3"/>
    <n v="2024"/>
    <x v="1"/>
    <n v="2.3836457659987074E-2"/>
    <n v="2475.2000000000003"/>
    <s v="High"/>
    <s v="Repeat"/>
    <s v="Below Avg"/>
    <s v="Profit"/>
    <n v="203"/>
  </r>
  <r>
    <n v="99"/>
    <x v="98"/>
    <n v="1087"/>
    <s v="Customer_123"/>
    <s v="Consumer"/>
    <s v="West"/>
    <s v="Electronics"/>
    <s v="Product_A"/>
    <n v="4656"/>
    <n v="8"/>
    <n v="0.05"/>
    <n v="115"/>
    <s v="Card"/>
    <n v="35385.599999999999"/>
    <x v="3"/>
    <n v="2024"/>
    <x v="1"/>
    <n v="3.2499095677337676E-3"/>
    <n v="1862.4"/>
    <s v="High"/>
    <s v="Repeat"/>
    <s v="Above Avg"/>
    <s v="Profit"/>
    <n v="9"/>
  </r>
  <r>
    <n v="100"/>
    <x v="99"/>
    <n v="1014"/>
    <s v="Customer_137"/>
    <s v="Corporate"/>
    <s v="North"/>
    <s v="Clothing"/>
    <s v="Product_B"/>
    <n v="4815"/>
    <n v="8"/>
    <n v="0.12"/>
    <n v="271"/>
    <s v="UPI"/>
    <n v="33897.599999999999"/>
    <x v="3"/>
    <n v="2024"/>
    <x v="1"/>
    <n v="7.9946662890588126E-3"/>
    <n v="4622.3999999999996"/>
    <s v="High"/>
    <s v="Repeat"/>
    <s v="Above Avg"/>
    <s v="Profit"/>
    <n v="14"/>
  </r>
  <r>
    <n v="101"/>
    <x v="100"/>
    <n v="1083"/>
    <s v="Customer_176"/>
    <s v="Consumer"/>
    <s v="South"/>
    <s v="Furniture"/>
    <s v="Product_C"/>
    <n v="4598"/>
    <n v="3"/>
    <n v="0.15"/>
    <n v="93"/>
    <s v="Card"/>
    <n v="11724.9"/>
    <x v="3"/>
    <n v="2024"/>
    <x v="1"/>
    <n v="7.9318373717473072E-3"/>
    <n v="2069.1"/>
    <s v="High"/>
    <s v="Repeat"/>
    <s v="Above Avg"/>
    <s v="Profit"/>
    <n v="177"/>
  </r>
  <r>
    <n v="102"/>
    <x v="101"/>
    <n v="1070"/>
    <s v="Customer_182"/>
    <s v="Consumer"/>
    <s v="East"/>
    <s v="Electronics"/>
    <s v="Product_B"/>
    <n v="4505"/>
    <n v="4"/>
    <n v="0.2"/>
    <n v="-150"/>
    <s v="UPI"/>
    <n v="14416"/>
    <x v="3"/>
    <n v="2024"/>
    <x v="1"/>
    <n v="-1.0405105438401776E-2"/>
    <n v="3604"/>
    <s v="High"/>
    <s v="Repeat"/>
    <s v="Above Avg"/>
    <s v="Loss"/>
    <n v="144"/>
  </r>
  <r>
    <n v="103"/>
    <x v="102"/>
    <n v="1012"/>
    <s v="Customer_23"/>
    <s v="Consumer"/>
    <s v="East"/>
    <s v="Electronics"/>
    <s v="Product_C"/>
    <n v="3765"/>
    <n v="2"/>
    <n v="0.23"/>
    <n v="820"/>
    <s v="COD"/>
    <n v="5798.1"/>
    <x v="3"/>
    <n v="2024"/>
    <x v="1"/>
    <n v="0.14142563943360756"/>
    <n v="1731.9"/>
    <s v="High"/>
    <s v="Repeat"/>
    <s v="Below Avg"/>
    <s v="Profit"/>
    <n v="301"/>
  </r>
  <r>
    <n v="104"/>
    <x v="103"/>
    <n v="1054"/>
    <s v="Customer_193"/>
    <s v="Corporate"/>
    <s v="East"/>
    <s v="Furniture"/>
    <s v="Product_A"/>
    <n v="4195"/>
    <n v="5"/>
    <n v="0.21"/>
    <n v="-479"/>
    <s v="Card"/>
    <n v="16570.25"/>
    <x v="3"/>
    <n v="2024"/>
    <x v="1"/>
    <n v="-2.8907228315806943E-2"/>
    <n v="4404.75"/>
    <s v="High"/>
    <s v="Repeat"/>
    <s v="Above Avg"/>
    <s v="Loss"/>
    <n v="114"/>
  </r>
  <r>
    <n v="105"/>
    <x v="104"/>
    <n v="1027"/>
    <s v="Customer_149"/>
    <s v="Corporate"/>
    <s v="South"/>
    <s v="Furniture"/>
    <s v="Product_A"/>
    <n v="1628"/>
    <n v="6"/>
    <n v="0.17"/>
    <n v="1224"/>
    <s v="Card"/>
    <n v="8107.44"/>
    <x v="3"/>
    <n v="2024"/>
    <x v="1"/>
    <n v="0.15097244012906663"/>
    <n v="1660.5600000000002"/>
    <s v="High"/>
    <s v="Repeat"/>
    <s v="Below Avg"/>
    <s v="Profit"/>
    <n v="248"/>
  </r>
  <r>
    <n v="106"/>
    <x v="105"/>
    <n v="1038"/>
    <s v="Customer_160"/>
    <s v="Corporate"/>
    <s v="North"/>
    <s v="Clothing"/>
    <s v="Product_A"/>
    <n v="759"/>
    <n v="6"/>
    <n v="0.16"/>
    <n v="879"/>
    <s v="UPI"/>
    <n v="3825.3599999999901"/>
    <x v="3"/>
    <n v="2024"/>
    <x v="1"/>
    <n v="0.22978229499968689"/>
    <n v="728.64"/>
    <s v="Medium"/>
    <s v="Repeat"/>
    <s v="Below Avg"/>
    <s v="Profit"/>
    <n v="363"/>
  </r>
  <r>
    <n v="107"/>
    <x v="106"/>
    <n v="1017"/>
    <s v="Customer_109"/>
    <s v="Consumer"/>
    <s v="East"/>
    <s v="Electronics"/>
    <s v="Product_B"/>
    <n v="101"/>
    <n v="2"/>
    <n v="0.26"/>
    <n v="1747"/>
    <s v="COD"/>
    <n v="149.47999999999999"/>
    <x v="3"/>
    <n v="2024"/>
    <x v="1"/>
    <n v="11.687182231736688"/>
    <n v="52.52"/>
    <s v="Low"/>
    <s v="Repeat"/>
    <s v="Below Avg"/>
    <s v="Profit"/>
    <n v="500"/>
  </r>
  <r>
    <n v="108"/>
    <x v="107"/>
    <n v="1061"/>
    <s v="Customer_154"/>
    <s v="Corporate"/>
    <s v="East"/>
    <s v="Furniture"/>
    <s v="Product_A"/>
    <n v="608"/>
    <n v="4"/>
    <n v="0.26"/>
    <n v="1152"/>
    <s v="UPI"/>
    <n v="1799.68"/>
    <x v="3"/>
    <n v="2024"/>
    <x v="1"/>
    <n v="0.64011379800853485"/>
    <n v="632.32000000000005"/>
    <s v="Low"/>
    <s v="Repeat"/>
    <s v="Below Avg"/>
    <s v="Profit"/>
    <n v="441"/>
  </r>
  <r>
    <n v="109"/>
    <x v="108"/>
    <n v="1074"/>
    <s v="Customer_33"/>
    <s v="Consumer"/>
    <s v="West"/>
    <s v="Clothing"/>
    <s v="Product_A"/>
    <n v="239"/>
    <n v="2"/>
    <n v="0.02"/>
    <n v="1292"/>
    <s v="COD"/>
    <n v="468.44"/>
    <x v="3"/>
    <n v="2024"/>
    <x v="1"/>
    <n v="2.7580906839723336"/>
    <n v="9.56"/>
    <s v="Low"/>
    <s v="Repeat"/>
    <s v="Below Avg"/>
    <s v="Profit"/>
    <n v="492"/>
  </r>
  <r>
    <n v="110"/>
    <x v="109"/>
    <n v="1099"/>
    <s v="Customer_188"/>
    <s v="Corporate"/>
    <s v="North"/>
    <s v="Furniture"/>
    <s v="Product_B"/>
    <n v="3354"/>
    <n v="5"/>
    <n v="0.08"/>
    <n v="556"/>
    <s v="Card"/>
    <n v="15428.4"/>
    <x v="3"/>
    <n v="2024"/>
    <x v="1"/>
    <n v="3.603743745300874E-2"/>
    <n v="1341.6000000000001"/>
    <s v="High"/>
    <s v="Repeat"/>
    <s v="Above Avg"/>
    <s v="Profit"/>
    <n v="136"/>
  </r>
  <r>
    <n v="111"/>
    <x v="110"/>
    <n v="1099"/>
    <s v="Customer_137"/>
    <s v="Corporate"/>
    <s v="East"/>
    <s v="Furniture"/>
    <s v="Product_A"/>
    <n v="3754"/>
    <n v="2"/>
    <n v="0.28000000000000003"/>
    <n v="853"/>
    <s v="Card"/>
    <n v="5405.76"/>
    <x v="3"/>
    <n v="2024"/>
    <x v="1"/>
    <n v="0.15779464867104717"/>
    <n v="2102.2400000000002"/>
    <s v="High"/>
    <s v="Repeat"/>
    <s v="Below Avg"/>
    <s v="Profit"/>
    <n v="312"/>
  </r>
  <r>
    <n v="112"/>
    <x v="111"/>
    <n v="1065"/>
    <s v="Customer_81"/>
    <s v="Consumer"/>
    <s v="North"/>
    <s v="Clothing"/>
    <s v="Product_A"/>
    <n v="1685"/>
    <n v="9"/>
    <n v="0.18"/>
    <n v="1489"/>
    <s v="COD"/>
    <n v="12435.3"/>
    <x v="3"/>
    <n v="2024"/>
    <x v="1"/>
    <n v="0.11973977306538645"/>
    <n v="2729.7"/>
    <s v="High"/>
    <s v="Repeat"/>
    <s v="Above Avg"/>
    <s v="Profit"/>
    <n v="163"/>
  </r>
  <r>
    <n v="113"/>
    <x v="112"/>
    <n v="1047"/>
    <s v="Customer_70"/>
    <s v="Corporate"/>
    <s v="East"/>
    <s v="Furniture"/>
    <s v="Product_B"/>
    <n v="4837"/>
    <n v="1"/>
    <n v="0.04"/>
    <n v="216"/>
    <s v="Card"/>
    <n v="4643.5199999999904"/>
    <x v="3"/>
    <n v="2024"/>
    <x v="1"/>
    <n v="4.6516435807318679E-2"/>
    <n v="193.48000000000002"/>
    <s v="Medium"/>
    <s v="Repeat"/>
    <s v="Below Avg"/>
    <s v="Profit"/>
    <n v="334"/>
  </r>
  <r>
    <n v="114"/>
    <x v="113"/>
    <n v="1016"/>
    <s v="Customer_174"/>
    <s v="Corporate"/>
    <s v="South"/>
    <s v="Electronics"/>
    <s v="Product_D"/>
    <n v="327"/>
    <n v="6"/>
    <n v="0.02"/>
    <n v="-476"/>
    <s v="UPI"/>
    <n v="1922.76"/>
    <x v="3"/>
    <n v="2024"/>
    <x v="1"/>
    <n v="-0.24756079801951361"/>
    <n v="39.24"/>
    <s v="Low"/>
    <s v="Repeat"/>
    <s v="Below Avg"/>
    <s v="Loss"/>
    <n v="435"/>
  </r>
  <r>
    <n v="115"/>
    <x v="114"/>
    <n v="1005"/>
    <s v="Customer_7"/>
    <s v="Corporate"/>
    <s v="East"/>
    <s v="Clothing"/>
    <s v="Product_C"/>
    <n v="2697"/>
    <n v="9"/>
    <n v="0.03"/>
    <n v="196"/>
    <s v="Card"/>
    <n v="23544.809999999899"/>
    <x v="3"/>
    <n v="2024"/>
    <x v="1"/>
    <n v="8.324552204923329E-3"/>
    <n v="728.18999999999994"/>
    <s v="High"/>
    <s v="Repeat"/>
    <s v="Above Avg"/>
    <s v="Profit"/>
    <n v="56"/>
  </r>
  <r>
    <n v="116"/>
    <x v="115"/>
    <n v="1086"/>
    <s v="Customer_128"/>
    <s v="Consumer"/>
    <s v="West"/>
    <s v="Clothing"/>
    <s v="Product_A"/>
    <n v="2905"/>
    <n v="3"/>
    <n v="0.23"/>
    <n v="1412"/>
    <s v="Card"/>
    <n v="6710.55"/>
    <x v="3"/>
    <n v="2024"/>
    <x v="1"/>
    <n v="0.21041494363353228"/>
    <n v="2004.45"/>
    <s v="High"/>
    <s v="Repeat"/>
    <s v="Below Avg"/>
    <s v="Profit"/>
    <n v="283"/>
  </r>
  <r>
    <n v="117"/>
    <x v="116"/>
    <n v="1046"/>
    <s v="Customer_7"/>
    <s v="Corporate"/>
    <s v="East"/>
    <s v="Furniture"/>
    <s v="Product_A"/>
    <n v="4460"/>
    <n v="9"/>
    <n v="7.0000000000000007E-2"/>
    <n v="683"/>
    <s v="UPI"/>
    <n v="37330.199999999997"/>
    <x v="3"/>
    <n v="2024"/>
    <x v="1"/>
    <n v="1.8296178429261029E-2"/>
    <n v="2809.8"/>
    <s v="High"/>
    <s v="Repeat"/>
    <s v="Above Avg"/>
    <s v="Profit"/>
    <n v="6"/>
  </r>
  <r>
    <n v="118"/>
    <x v="117"/>
    <n v="1015"/>
    <s v="Customer_121"/>
    <s v="Consumer"/>
    <s v="East"/>
    <s v="Clothing"/>
    <s v="Product_B"/>
    <n v="3646"/>
    <n v="2"/>
    <n v="7.0000000000000007E-2"/>
    <n v="1559"/>
    <s v="COD"/>
    <n v="6781.5599999999904"/>
    <x v="3"/>
    <n v="2024"/>
    <x v="1"/>
    <n v="0.22988810834085405"/>
    <n v="510.44000000000005"/>
    <s v="High"/>
    <s v="Repeat"/>
    <s v="Below Avg"/>
    <s v="Profit"/>
    <n v="278"/>
  </r>
  <r>
    <n v="119"/>
    <x v="118"/>
    <n v="1059"/>
    <s v="Customer_197"/>
    <s v="Corporate"/>
    <s v="West"/>
    <s v="Furniture"/>
    <s v="Product_D"/>
    <n v="3772"/>
    <n v="2"/>
    <n v="0.04"/>
    <n v="189"/>
    <s v="Card"/>
    <n v="7242.24"/>
    <x v="3"/>
    <n v="2024"/>
    <x v="1"/>
    <n v="2.6096898197242844E-2"/>
    <n v="301.76"/>
    <s v="High"/>
    <s v="Repeat"/>
    <s v="Below Avg"/>
    <s v="Profit"/>
    <n v="270"/>
  </r>
  <r>
    <n v="120"/>
    <x v="119"/>
    <n v="1040"/>
    <s v="Customer_161"/>
    <s v="Corporate"/>
    <s v="East"/>
    <s v="Clothing"/>
    <s v="Product_B"/>
    <n v="4990"/>
    <n v="2"/>
    <n v="0.18"/>
    <n v="829"/>
    <s v="UPI"/>
    <n v="8183.6"/>
    <x v="3"/>
    <n v="2024"/>
    <x v="1"/>
    <n v="0.10130016129820617"/>
    <n v="1796.3999999999999"/>
    <s v="High"/>
    <s v="Repeat"/>
    <s v="Below Avg"/>
    <s v="Profit"/>
    <n v="245"/>
  </r>
  <r>
    <n v="121"/>
    <x v="120"/>
    <n v="1025"/>
    <s v="Customer_114"/>
    <s v="Corporate"/>
    <s v="South"/>
    <s v="Clothing"/>
    <s v="Product_D"/>
    <n v="4660"/>
    <n v="3"/>
    <n v="0.15"/>
    <n v="697"/>
    <s v="UPI"/>
    <n v="11883"/>
    <x v="3"/>
    <n v="2024"/>
    <x v="1"/>
    <n v="5.8655221745350504E-2"/>
    <n v="2097"/>
    <s v="High"/>
    <s v="Repeat"/>
    <s v="Above Avg"/>
    <s v="Profit"/>
    <n v="170"/>
  </r>
  <r>
    <n v="122"/>
    <x v="121"/>
    <n v="1045"/>
    <s v="Customer_138"/>
    <s v="Corporate"/>
    <s v="East"/>
    <s v="Furniture"/>
    <s v="Product_B"/>
    <n v="2622"/>
    <n v="4"/>
    <n v="0.08"/>
    <n v="-69"/>
    <s v="COD"/>
    <n v="9648.9599999999991"/>
    <x v="4"/>
    <n v="2024"/>
    <x v="1"/>
    <n v="-7.1510297482837533E-3"/>
    <n v="839.04"/>
    <s v="High"/>
    <s v="Repeat"/>
    <s v="Below Avg"/>
    <s v="Loss"/>
    <n v="210"/>
  </r>
  <r>
    <n v="123"/>
    <x v="122"/>
    <n v="1049"/>
    <s v="Customer_104"/>
    <s v="Consumer"/>
    <s v="West"/>
    <s v="Furniture"/>
    <s v="Product_B"/>
    <n v="438"/>
    <n v="3"/>
    <n v="0.2"/>
    <n v="1254"/>
    <s v="UPI"/>
    <n v="1051.2"/>
    <x v="4"/>
    <n v="2024"/>
    <x v="1"/>
    <n v="1.1929223744292237"/>
    <n v="262.8"/>
    <s v="Low"/>
    <s v="Repeat"/>
    <s v="Below Avg"/>
    <s v="Profit"/>
    <n v="478"/>
  </r>
  <r>
    <n v="124"/>
    <x v="123"/>
    <n v="1000"/>
    <s v="Customer_28"/>
    <s v="Consumer"/>
    <s v="East"/>
    <s v="Clothing"/>
    <s v="Product_D"/>
    <n v="918"/>
    <n v="6"/>
    <n v="0.23"/>
    <n v="-299"/>
    <s v="UPI"/>
    <n v="4241.16"/>
    <x v="4"/>
    <n v="2024"/>
    <x v="1"/>
    <n v="-7.0499580303501869E-2"/>
    <n v="1266.8400000000001"/>
    <s v="Medium"/>
    <s v="Repeat"/>
    <s v="Below Avg"/>
    <s v="Loss"/>
    <n v="344"/>
  </r>
  <r>
    <n v="125"/>
    <x v="124"/>
    <n v="1035"/>
    <s v="Customer_175"/>
    <s v="Corporate"/>
    <s v="West"/>
    <s v="Furniture"/>
    <s v="Product_D"/>
    <n v="2666"/>
    <n v="6"/>
    <n v="0.28999999999999998"/>
    <n v="1830"/>
    <s v="Card"/>
    <n v="11357.16"/>
    <x v="4"/>
    <n v="2024"/>
    <x v="1"/>
    <n v="0.16113183225383812"/>
    <n v="4638.8399999999992"/>
    <s v="High"/>
    <s v="Repeat"/>
    <s v="Above Avg"/>
    <s v="Profit"/>
    <n v="184"/>
  </r>
  <r>
    <n v="126"/>
    <x v="125"/>
    <n v="1029"/>
    <s v="Customer_46"/>
    <s v="Consumer"/>
    <s v="North"/>
    <s v="Electronics"/>
    <s v="Product_C"/>
    <n v="3817"/>
    <n v="5"/>
    <n v="0.14000000000000001"/>
    <n v="381"/>
    <s v="COD"/>
    <n v="16413.099999999999"/>
    <x v="4"/>
    <n v="2024"/>
    <x v="1"/>
    <n v="2.3213165093736103E-2"/>
    <n v="2671.9"/>
    <s v="High"/>
    <s v="Repeat"/>
    <s v="Above Avg"/>
    <s v="Profit"/>
    <n v="117"/>
  </r>
  <r>
    <n v="127"/>
    <x v="126"/>
    <n v="1001"/>
    <s v="Customer_22"/>
    <s v="Consumer"/>
    <s v="West"/>
    <s v="Furniture"/>
    <s v="Product_B"/>
    <n v="3162"/>
    <n v="2"/>
    <n v="0.12"/>
    <n v="1730"/>
    <s v="UPI"/>
    <n v="5565.12"/>
    <x v="4"/>
    <n v="2024"/>
    <x v="1"/>
    <n v="0.31086481513426484"/>
    <n v="758.88"/>
    <s v="High"/>
    <s v="Repeat"/>
    <s v="Below Avg"/>
    <s v="Profit"/>
    <n v="306"/>
  </r>
  <r>
    <n v="128"/>
    <x v="127"/>
    <n v="1083"/>
    <s v="Customer_21"/>
    <s v="Corporate"/>
    <s v="West"/>
    <s v="Furniture"/>
    <s v="Product_A"/>
    <n v="1353"/>
    <n v="4"/>
    <n v="0.09"/>
    <n v="558"/>
    <s v="Card"/>
    <n v="4924.92"/>
    <x v="4"/>
    <n v="2024"/>
    <x v="1"/>
    <n v="0.11330133281352793"/>
    <n v="487.08"/>
    <s v="Medium"/>
    <s v="Repeat"/>
    <s v="Below Avg"/>
    <s v="Profit"/>
    <n v="325"/>
  </r>
  <r>
    <n v="129"/>
    <x v="128"/>
    <n v="1068"/>
    <s v="Customer_111"/>
    <s v="Consumer"/>
    <s v="South"/>
    <s v="Electronics"/>
    <s v="Product_A"/>
    <n v="3250"/>
    <n v="7"/>
    <n v="0.24"/>
    <n v="170"/>
    <s v="COD"/>
    <n v="17290"/>
    <x v="4"/>
    <n v="2024"/>
    <x v="1"/>
    <n v="9.8322729901677269E-3"/>
    <n v="5460"/>
    <s v="High"/>
    <s v="Repeat"/>
    <s v="Above Avg"/>
    <s v="Profit"/>
    <n v="103"/>
  </r>
  <r>
    <n v="130"/>
    <x v="129"/>
    <n v="1030"/>
    <s v="Customer_184"/>
    <s v="Corporate"/>
    <s v="East"/>
    <s v="Furniture"/>
    <s v="Product_D"/>
    <n v="2350"/>
    <n v="8"/>
    <n v="0.28999999999999998"/>
    <n v="188"/>
    <s v="Card"/>
    <n v="13348"/>
    <x v="4"/>
    <n v="2024"/>
    <x v="1"/>
    <n v="1.4084507042253521E-2"/>
    <n v="5452"/>
    <s v="High"/>
    <s v="Repeat"/>
    <s v="Above Avg"/>
    <s v="Profit"/>
    <n v="155"/>
  </r>
  <r>
    <n v="131"/>
    <x v="130"/>
    <n v="1007"/>
    <s v="Customer_32"/>
    <s v="Consumer"/>
    <s v="South"/>
    <s v="Electronics"/>
    <s v="Product_C"/>
    <n v="4420"/>
    <n v="9"/>
    <n v="0.18"/>
    <n v="-333"/>
    <s v="UPI"/>
    <n v="32619.599999999999"/>
    <x v="4"/>
    <n v="2024"/>
    <x v="1"/>
    <n v="-1.0208586248758415E-2"/>
    <n v="7160.4"/>
    <s v="High"/>
    <s v="Repeat"/>
    <s v="Above Avg"/>
    <s v="Loss"/>
    <n v="18"/>
  </r>
  <r>
    <n v="132"/>
    <x v="131"/>
    <n v="1093"/>
    <s v="Customer_160"/>
    <s v="Consumer"/>
    <s v="North"/>
    <s v="Furniture"/>
    <s v="Product_B"/>
    <n v="3715"/>
    <n v="2"/>
    <n v="0.19"/>
    <n v="931"/>
    <s v="COD"/>
    <n v="6018.3"/>
    <x v="4"/>
    <n v="2024"/>
    <x v="1"/>
    <n v="0.15469484738215111"/>
    <n v="1411.7"/>
    <s v="High"/>
    <s v="Repeat"/>
    <s v="Below Avg"/>
    <s v="Profit"/>
    <n v="296"/>
  </r>
  <r>
    <n v="133"/>
    <x v="132"/>
    <n v="1060"/>
    <s v="Customer_115"/>
    <s v="Corporate"/>
    <s v="East"/>
    <s v="Clothing"/>
    <s v="Product_C"/>
    <n v="1879"/>
    <n v="9"/>
    <n v="0.21"/>
    <n v="738"/>
    <s v="UPI"/>
    <n v="13359.69"/>
    <x v="4"/>
    <n v="2024"/>
    <x v="1"/>
    <n v="5.5240802743177421E-2"/>
    <n v="3551.31"/>
    <s v="High"/>
    <s v="Repeat"/>
    <s v="Above Avg"/>
    <s v="Profit"/>
    <n v="154"/>
  </r>
  <r>
    <n v="134"/>
    <x v="133"/>
    <n v="1065"/>
    <s v="Customer_164"/>
    <s v="Consumer"/>
    <s v="South"/>
    <s v="Electronics"/>
    <s v="Product_D"/>
    <n v="1391"/>
    <n v="7"/>
    <n v="0.13"/>
    <n v="1496"/>
    <s v="COD"/>
    <n v="8471.19"/>
    <x v="4"/>
    <n v="2024"/>
    <x v="1"/>
    <n v="0.17659856525470446"/>
    <n v="1265.81"/>
    <s v="High"/>
    <s v="Repeat"/>
    <s v="Below Avg"/>
    <s v="Profit"/>
    <n v="239"/>
  </r>
  <r>
    <n v="135"/>
    <x v="134"/>
    <n v="1076"/>
    <s v="Customer_159"/>
    <s v="Consumer"/>
    <s v="East"/>
    <s v="Furniture"/>
    <s v="Product_D"/>
    <n v="778"/>
    <n v="7"/>
    <n v="7.0000000000000007E-2"/>
    <n v="1345"/>
    <s v="UPI"/>
    <n v="5064.78"/>
    <x v="4"/>
    <n v="2024"/>
    <x v="1"/>
    <n v="0.26555941225482649"/>
    <n v="381.22"/>
    <s v="High"/>
    <s v="Repeat"/>
    <s v="Below Avg"/>
    <s v="Profit"/>
    <n v="321"/>
  </r>
  <r>
    <n v="136"/>
    <x v="135"/>
    <n v="1067"/>
    <s v="Customer_70"/>
    <s v="Consumer"/>
    <s v="East"/>
    <s v="Electronics"/>
    <s v="Product_D"/>
    <n v="2652"/>
    <n v="1"/>
    <n v="0.08"/>
    <n v="-241"/>
    <s v="Card"/>
    <n v="2439.84"/>
    <x v="4"/>
    <n v="2024"/>
    <x v="1"/>
    <n v="-9.8776968981572552E-2"/>
    <n v="212.16"/>
    <s v="Medium"/>
    <s v="Repeat"/>
    <s v="Below Avg"/>
    <s v="Loss"/>
    <n v="412"/>
  </r>
  <r>
    <n v="137"/>
    <x v="136"/>
    <n v="1044"/>
    <s v="Customer_54"/>
    <s v="Corporate"/>
    <s v="East"/>
    <s v="Clothing"/>
    <s v="Product_C"/>
    <n v="3324"/>
    <n v="8"/>
    <n v="0.19"/>
    <n v="1450"/>
    <s v="UPI"/>
    <n v="21539.52"/>
    <x v="4"/>
    <n v="2024"/>
    <x v="1"/>
    <n v="6.731812036665627E-2"/>
    <n v="5052.4800000000005"/>
    <s v="High"/>
    <s v="Repeat"/>
    <s v="Above Avg"/>
    <s v="Profit"/>
    <n v="71"/>
  </r>
  <r>
    <n v="138"/>
    <x v="137"/>
    <n v="1051"/>
    <s v="Customer_21"/>
    <s v="Corporate"/>
    <s v="South"/>
    <s v="Electronics"/>
    <s v="Product_A"/>
    <n v="314"/>
    <n v="3"/>
    <n v="0.19"/>
    <n v="1084"/>
    <s v="COD"/>
    <n v="763.02"/>
    <x v="4"/>
    <n v="2024"/>
    <x v="1"/>
    <n v="1.4206704935650443"/>
    <n v="178.98"/>
    <s v="Low"/>
    <s v="Repeat"/>
    <s v="Below Avg"/>
    <s v="Profit"/>
    <n v="482"/>
  </r>
  <r>
    <n v="139"/>
    <x v="138"/>
    <n v="1007"/>
    <s v="Customer_35"/>
    <s v="Consumer"/>
    <s v="East"/>
    <s v="Clothing"/>
    <s v="Product_A"/>
    <n v="1085"/>
    <n v="4"/>
    <n v="0.14000000000000001"/>
    <n v="1745"/>
    <s v="Card"/>
    <n v="3732.4"/>
    <x v="4"/>
    <n v="2024"/>
    <x v="1"/>
    <n v="0.46752759618476047"/>
    <n v="607.6"/>
    <s v="Medium"/>
    <s v="Repeat"/>
    <s v="Below Avg"/>
    <s v="Profit"/>
    <n v="366"/>
  </r>
  <r>
    <n v="140"/>
    <x v="139"/>
    <n v="1088"/>
    <s v="Customer_23"/>
    <s v="Corporate"/>
    <s v="North"/>
    <s v="Furniture"/>
    <s v="Product_A"/>
    <n v="3383"/>
    <n v="4"/>
    <n v="0.01"/>
    <n v="1826"/>
    <s v="COD"/>
    <n v="13396.68"/>
    <x v="4"/>
    <n v="2024"/>
    <x v="1"/>
    <n v="0.13630242716852234"/>
    <n v="135.32"/>
    <s v="High"/>
    <s v="Repeat"/>
    <s v="Above Avg"/>
    <s v="Profit"/>
    <n v="153"/>
  </r>
  <r>
    <n v="141"/>
    <x v="140"/>
    <n v="1070"/>
    <s v="Customer_170"/>
    <s v="Consumer"/>
    <s v="South"/>
    <s v="Clothing"/>
    <s v="Product_C"/>
    <n v="4806"/>
    <n v="2"/>
    <n v="0.26"/>
    <n v="126"/>
    <s v="UPI"/>
    <n v="7112.88"/>
    <x v="4"/>
    <n v="2024"/>
    <x v="1"/>
    <n v="1.7714343557040185E-2"/>
    <n v="2499.12"/>
    <s v="High"/>
    <s v="Repeat"/>
    <s v="Below Avg"/>
    <s v="Profit"/>
    <n v="273"/>
  </r>
  <r>
    <n v="142"/>
    <x v="141"/>
    <n v="1013"/>
    <s v="Customer_24"/>
    <s v="Corporate"/>
    <s v="West"/>
    <s v="Electronics"/>
    <s v="Product_B"/>
    <n v="2445"/>
    <n v="3"/>
    <n v="7.0000000000000007E-2"/>
    <n v="834"/>
    <s v="COD"/>
    <n v="6821.5499999999902"/>
    <x v="4"/>
    <n v="2024"/>
    <x v="1"/>
    <n v="0.12225960375574484"/>
    <n v="513.45000000000005"/>
    <s v="High"/>
    <s v="Repeat"/>
    <s v="Below Avg"/>
    <s v="Profit"/>
    <n v="277"/>
  </r>
  <r>
    <n v="143"/>
    <x v="142"/>
    <n v="1028"/>
    <s v="Customer_94"/>
    <s v="Consumer"/>
    <s v="North"/>
    <s v="Furniture"/>
    <s v="Product_C"/>
    <n v="4838"/>
    <n v="5"/>
    <n v="0.17"/>
    <n v="-431"/>
    <s v="UPI"/>
    <n v="20077.7"/>
    <x v="4"/>
    <n v="2024"/>
    <x v="1"/>
    <n v="-2.1466602250257746E-2"/>
    <n v="4112.3"/>
    <s v="High"/>
    <s v="Repeat"/>
    <s v="Above Avg"/>
    <s v="Loss"/>
    <n v="79"/>
  </r>
  <r>
    <n v="144"/>
    <x v="143"/>
    <n v="1063"/>
    <s v="Customer_74"/>
    <s v="Consumer"/>
    <s v="West"/>
    <s v="Furniture"/>
    <s v="Product_A"/>
    <n v="3533"/>
    <n v="3"/>
    <n v="0.22"/>
    <n v="1071"/>
    <s v="UPI"/>
    <n v="8267.2199999999993"/>
    <x v="4"/>
    <n v="2024"/>
    <x v="1"/>
    <n v="0.1295477802695465"/>
    <n v="2331.7800000000002"/>
    <s v="High"/>
    <s v="Repeat"/>
    <s v="Below Avg"/>
    <s v="Profit"/>
    <n v="242"/>
  </r>
  <r>
    <n v="145"/>
    <x v="144"/>
    <n v="1084"/>
    <s v="Customer_69"/>
    <s v="Corporate"/>
    <s v="West"/>
    <s v="Furniture"/>
    <s v="Product_D"/>
    <n v="3727"/>
    <n v="5"/>
    <n v="0.06"/>
    <n v="1304"/>
    <s v="COD"/>
    <n v="17516.8999999999"/>
    <x v="4"/>
    <n v="2024"/>
    <x v="1"/>
    <n v="7.4442395629364069E-2"/>
    <n v="1118.0999999999999"/>
    <s v="High"/>
    <s v="Repeat"/>
    <s v="Above Avg"/>
    <s v="Profit"/>
    <n v="97"/>
  </r>
  <r>
    <n v="146"/>
    <x v="145"/>
    <n v="1036"/>
    <s v="Customer_127"/>
    <s v="Consumer"/>
    <s v="North"/>
    <s v="Clothing"/>
    <s v="Product_D"/>
    <n v="3173"/>
    <n v="8"/>
    <n v="0.14000000000000001"/>
    <n v="1176"/>
    <s v="Card"/>
    <n v="21830.2399999999"/>
    <x v="4"/>
    <n v="2024"/>
    <x v="1"/>
    <n v="5.3870227720813214E-2"/>
    <n v="3553.76"/>
    <s v="High"/>
    <s v="Repeat"/>
    <s v="Above Avg"/>
    <s v="Profit"/>
    <n v="69"/>
  </r>
  <r>
    <n v="147"/>
    <x v="146"/>
    <n v="1096"/>
    <s v="Customer_125"/>
    <s v="Consumer"/>
    <s v="East"/>
    <s v="Furniture"/>
    <s v="Product_A"/>
    <n v="4473"/>
    <n v="8"/>
    <n v="0"/>
    <n v="126"/>
    <s v="Card"/>
    <n v="35784"/>
    <x v="4"/>
    <n v="2024"/>
    <x v="1"/>
    <n v="3.5211267605633804E-3"/>
    <n v="0"/>
    <s v="High"/>
    <s v="Repeat"/>
    <s v="Above Avg"/>
    <s v="Profit"/>
    <n v="8"/>
  </r>
  <r>
    <n v="148"/>
    <x v="147"/>
    <n v="1040"/>
    <s v="Customer_170"/>
    <s v="Consumer"/>
    <s v="North"/>
    <s v="Clothing"/>
    <s v="Product_B"/>
    <n v="3339"/>
    <n v="3"/>
    <n v="0.01"/>
    <n v="-386"/>
    <s v="Card"/>
    <n v="9916.83"/>
    <x v="4"/>
    <n v="2024"/>
    <x v="1"/>
    <n v="-3.8923728651191966E-2"/>
    <n v="100.17"/>
    <s v="High"/>
    <s v="Repeat"/>
    <s v="Below Avg"/>
    <s v="Loss"/>
    <n v="202"/>
  </r>
  <r>
    <n v="149"/>
    <x v="148"/>
    <n v="1088"/>
    <s v="Customer_158"/>
    <s v="Corporate"/>
    <s v="South"/>
    <s v="Clothing"/>
    <s v="Product_D"/>
    <n v="1472"/>
    <n v="5"/>
    <n v="0.08"/>
    <n v="788"/>
    <s v="UPI"/>
    <n v="6771.2"/>
    <x v="4"/>
    <n v="2024"/>
    <x v="1"/>
    <n v="0.11637523629489603"/>
    <n v="588.80000000000007"/>
    <s v="High"/>
    <s v="Repeat"/>
    <s v="Below Avg"/>
    <s v="Profit"/>
    <n v="279"/>
  </r>
  <r>
    <n v="150"/>
    <x v="149"/>
    <n v="1063"/>
    <s v="Customer_199"/>
    <s v="Corporate"/>
    <s v="East"/>
    <s v="Clothing"/>
    <s v="Product_B"/>
    <n v="2138"/>
    <n v="1"/>
    <n v="0.2"/>
    <n v="725"/>
    <s v="Card"/>
    <n v="1710.4"/>
    <x v="4"/>
    <n v="2024"/>
    <x v="1"/>
    <n v="0.42387745556594947"/>
    <n v="427.6"/>
    <s v="Low"/>
    <s v="Repeat"/>
    <s v="Below Avg"/>
    <s v="Profit"/>
    <n v="446"/>
  </r>
  <r>
    <n v="151"/>
    <x v="150"/>
    <n v="1058"/>
    <s v="Customer_134"/>
    <s v="Consumer"/>
    <s v="East"/>
    <s v="Furniture"/>
    <s v="Product_D"/>
    <n v="4818"/>
    <n v="7"/>
    <n v="0.27"/>
    <n v="841"/>
    <s v="Card"/>
    <n v="24619.98"/>
    <x v="4"/>
    <n v="2024"/>
    <x v="1"/>
    <n v="3.4159247895408529E-2"/>
    <n v="9106.02"/>
    <s v="High"/>
    <s v="Repeat"/>
    <s v="Above Avg"/>
    <s v="Profit"/>
    <n v="44"/>
  </r>
  <r>
    <n v="152"/>
    <x v="151"/>
    <n v="1077"/>
    <s v="Customer_52"/>
    <s v="Consumer"/>
    <s v="West"/>
    <s v="Electronics"/>
    <s v="Product_A"/>
    <n v="3953"/>
    <n v="3"/>
    <n v="0.13"/>
    <n v="1405"/>
    <s v="COD"/>
    <n v="10317.33"/>
    <x v="4"/>
    <n v="2024"/>
    <x v="1"/>
    <n v="0.13617864311793845"/>
    <n v="1541.67"/>
    <s v="High"/>
    <s v="Repeat"/>
    <s v="Below Avg"/>
    <s v="Profit"/>
    <n v="197"/>
  </r>
  <r>
    <n v="153"/>
    <x v="152"/>
    <n v="1008"/>
    <s v="Customer_82"/>
    <s v="Corporate"/>
    <s v="North"/>
    <s v="Furniture"/>
    <s v="Product_C"/>
    <n v="3443"/>
    <n v="7"/>
    <n v="0.01"/>
    <n v="1505"/>
    <s v="Card"/>
    <n v="23859.99"/>
    <x v="5"/>
    <n v="2024"/>
    <x v="1"/>
    <n v="6.3076304726028806E-2"/>
    <n v="241.01"/>
    <s v="High"/>
    <s v="Repeat"/>
    <s v="Above Avg"/>
    <s v="Profit"/>
    <n v="52"/>
  </r>
  <r>
    <n v="154"/>
    <x v="153"/>
    <n v="1078"/>
    <s v="Customer_154"/>
    <s v="Consumer"/>
    <s v="East"/>
    <s v="Furniture"/>
    <s v="Product_C"/>
    <n v="4783"/>
    <n v="8"/>
    <n v="0.09"/>
    <n v="605"/>
    <s v="COD"/>
    <n v="34820.239999999998"/>
    <x v="5"/>
    <n v="2024"/>
    <x v="1"/>
    <n v="1.7374952039388585E-2"/>
    <n v="3443.7599999999998"/>
    <s v="High"/>
    <s v="Repeat"/>
    <s v="Above Avg"/>
    <s v="Profit"/>
    <n v="12"/>
  </r>
  <r>
    <n v="155"/>
    <x v="154"/>
    <n v="1006"/>
    <s v="Customer_100"/>
    <s v="Consumer"/>
    <s v="South"/>
    <s v="Furniture"/>
    <s v="Product_B"/>
    <n v="4252"/>
    <n v="7"/>
    <n v="0.28999999999999998"/>
    <n v="-483"/>
    <s v="Card"/>
    <n v="21132.44"/>
    <x v="5"/>
    <n v="2024"/>
    <x v="1"/>
    <n v="-2.2855855736488549E-2"/>
    <n v="8631.56"/>
    <s v="High"/>
    <s v="Repeat"/>
    <s v="Above Avg"/>
    <s v="Loss"/>
    <n v="74"/>
  </r>
  <r>
    <n v="156"/>
    <x v="155"/>
    <n v="1065"/>
    <s v="Customer_41"/>
    <s v="Corporate"/>
    <s v="South"/>
    <s v="Furniture"/>
    <s v="Product_A"/>
    <n v="1868"/>
    <n v="5"/>
    <n v="0.03"/>
    <n v="200"/>
    <s v="Card"/>
    <n v="9059.7999999999993"/>
    <x v="5"/>
    <n v="2024"/>
    <x v="1"/>
    <n v="2.2075542506457099E-2"/>
    <n v="280.2"/>
    <s v="High"/>
    <s v="Repeat"/>
    <s v="Below Avg"/>
    <s v="Profit"/>
    <n v="230"/>
  </r>
  <r>
    <n v="157"/>
    <x v="156"/>
    <n v="1094"/>
    <s v="Customer_196"/>
    <s v="Consumer"/>
    <s v="East"/>
    <s v="Clothing"/>
    <s v="Product_D"/>
    <n v="138"/>
    <n v="9"/>
    <n v="0.23"/>
    <n v="486"/>
    <s v="COD"/>
    <n v="956.34"/>
    <x v="5"/>
    <n v="2024"/>
    <x v="1"/>
    <n v="0.50818746470920384"/>
    <n v="285.66000000000003"/>
    <s v="Low"/>
    <s v="Repeat"/>
    <s v="Below Avg"/>
    <s v="Profit"/>
    <n v="481"/>
  </r>
  <r>
    <n v="158"/>
    <x v="157"/>
    <n v="1070"/>
    <s v="Customer_182"/>
    <s v="Consumer"/>
    <s v="South"/>
    <s v="Electronics"/>
    <s v="Product_B"/>
    <n v="3662"/>
    <n v="1"/>
    <n v="0.22"/>
    <n v="-184"/>
    <s v="Card"/>
    <n v="2856.36"/>
    <x v="5"/>
    <n v="2024"/>
    <x v="1"/>
    <n v="-6.4417650436219526E-2"/>
    <n v="805.64"/>
    <s v="Medium"/>
    <s v="Repeat"/>
    <s v="Below Avg"/>
    <s v="Loss"/>
    <n v="397"/>
  </r>
  <r>
    <n v="159"/>
    <x v="158"/>
    <n v="1040"/>
    <s v="Customer_60"/>
    <s v="Corporate"/>
    <s v="North"/>
    <s v="Furniture"/>
    <s v="Product_A"/>
    <n v="1929"/>
    <n v="6"/>
    <n v="0.18"/>
    <n v="1743"/>
    <s v="COD"/>
    <n v="9490.68"/>
    <x v="5"/>
    <n v="2024"/>
    <x v="1"/>
    <n v="0.18365385831152245"/>
    <n v="2083.3199999999997"/>
    <s v="High"/>
    <s v="Repeat"/>
    <s v="Below Avg"/>
    <s v="Profit"/>
    <n v="217"/>
  </r>
  <r>
    <n v="160"/>
    <x v="159"/>
    <n v="1074"/>
    <s v="Customer_77"/>
    <s v="Consumer"/>
    <s v="South"/>
    <s v="Furniture"/>
    <s v="Product_C"/>
    <n v="2271"/>
    <n v="6"/>
    <n v="0.28000000000000003"/>
    <n v="1840"/>
    <s v="COD"/>
    <n v="9810.7199999999993"/>
    <x v="5"/>
    <n v="2024"/>
    <x v="1"/>
    <n v="0.18754994536588548"/>
    <n v="3815.28"/>
    <s v="High"/>
    <s v="Repeat"/>
    <s v="Below Avg"/>
    <s v="Profit"/>
    <n v="207"/>
  </r>
  <r>
    <n v="161"/>
    <x v="160"/>
    <n v="1076"/>
    <s v="Customer_183"/>
    <s v="Consumer"/>
    <s v="East"/>
    <s v="Clothing"/>
    <s v="Product_C"/>
    <n v="208"/>
    <n v="7"/>
    <n v="0.19"/>
    <n v="1079"/>
    <s v="Card"/>
    <n v="1179.3599999999999"/>
    <x v="5"/>
    <n v="2024"/>
    <x v="1"/>
    <n v="0.9149029982363317"/>
    <n v="276.64"/>
    <s v="Low"/>
    <s v="Repeat"/>
    <s v="Below Avg"/>
    <s v="Profit"/>
    <n v="469"/>
  </r>
  <r>
    <n v="162"/>
    <x v="161"/>
    <n v="1076"/>
    <s v="Customer_152"/>
    <s v="Consumer"/>
    <s v="South"/>
    <s v="Clothing"/>
    <s v="Product_C"/>
    <n v="4940"/>
    <n v="7"/>
    <n v="0.28999999999999998"/>
    <n v="-154"/>
    <s v="Card"/>
    <n v="24551.8"/>
    <x v="5"/>
    <n v="2024"/>
    <x v="1"/>
    <n v="-6.272452528938815E-3"/>
    <n v="10028.199999999999"/>
    <s v="High"/>
    <s v="Repeat"/>
    <s v="Above Avg"/>
    <s v="Loss"/>
    <n v="45"/>
  </r>
  <r>
    <n v="163"/>
    <x v="162"/>
    <n v="1025"/>
    <s v="Customer_119"/>
    <s v="Consumer"/>
    <s v="West"/>
    <s v="Clothing"/>
    <s v="Product_B"/>
    <n v="4228"/>
    <n v="2"/>
    <n v="0.25"/>
    <n v="115"/>
    <s v="Card"/>
    <n v="6342"/>
    <x v="5"/>
    <n v="2024"/>
    <x v="1"/>
    <n v="1.8133081046988332E-2"/>
    <n v="2114"/>
    <s v="High"/>
    <s v="Repeat"/>
    <s v="Below Avg"/>
    <s v="Profit"/>
    <n v="287"/>
  </r>
  <r>
    <n v="164"/>
    <x v="163"/>
    <n v="1007"/>
    <s v="Customer_95"/>
    <s v="Consumer"/>
    <s v="South"/>
    <s v="Electronics"/>
    <s v="Product_C"/>
    <n v="4335"/>
    <n v="5"/>
    <n v="0.24"/>
    <n v="1958"/>
    <s v="UPI"/>
    <n v="16473"/>
    <x v="5"/>
    <n v="2024"/>
    <x v="1"/>
    <n v="0.11886116675772476"/>
    <n v="5202"/>
    <s v="High"/>
    <s v="Repeat"/>
    <s v="Above Avg"/>
    <s v="Profit"/>
    <n v="116"/>
  </r>
  <r>
    <n v="165"/>
    <x v="164"/>
    <n v="1013"/>
    <s v="Customer_127"/>
    <s v="Consumer"/>
    <s v="West"/>
    <s v="Clothing"/>
    <s v="Product_B"/>
    <n v="4277"/>
    <n v="6"/>
    <n v="0.28999999999999998"/>
    <n v="-94"/>
    <s v="COD"/>
    <n v="18220.02"/>
    <x v="5"/>
    <n v="2024"/>
    <x v="1"/>
    <n v="-5.1591600887375532E-3"/>
    <n v="7441.98"/>
    <s v="High"/>
    <s v="Repeat"/>
    <s v="Above Avg"/>
    <s v="Loss"/>
    <n v="89"/>
  </r>
  <r>
    <n v="166"/>
    <x v="165"/>
    <n v="1044"/>
    <s v="Customer_168"/>
    <s v="Corporate"/>
    <s v="North"/>
    <s v="Electronics"/>
    <s v="Product_D"/>
    <n v="3206"/>
    <n v="2"/>
    <n v="0.19"/>
    <n v="1742"/>
    <s v="COD"/>
    <n v="5193.72"/>
    <x v="5"/>
    <n v="2024"/>
    <x v="1"/>
    <n v="0.33540506611831211"/>
    <n v="1218.28"/>
    <s v="High"/>
    <s v="Repeat"/>
    <s v="Below Avg"/>
    <s v="Profit"/>
    <n v="319"/>
  </r>
  <r>
    <n v="167"/>
    <x v="166"/>
    <n v="1001"/>
    <s v="Customer_192"/>
    <s v="Consumer"/>
    <s v="North"/>
    <s v="Furniture"/>
    <s v="Product_C"/>
    <n v="236"/>
    <n v="9"/>
    <n v="0.1"/>
    <n v="-188"/>
    <s v="COD"/>
    <n v="1911.6"/>
    <x v="5"/>
    <n v="2024"/>
    <x v="1"/>
    <n v="-9.8346934505126604E-2"/>
    <n v="212.4"/>
    <s v="Low"/>
    <s v="Repeat"/>
    <s v="Below Avg"/>
    <s v="Loss"/>
    <n v="436"/>
  </r>
  <r>
    <n v="168"/>
    <x v="167"/>
    <n v="1041"/>
    <s v="Customer_162"/>
    <s v="Corporate"/>
    <s v="North"/>
    <s v="Clothing"/>
    <s v="Product_C"/>
    <n v="3837"/>
    <n v="6"/>
    <n v="0.03"/>
    <n v="-151"/>
    <s v="COD"/>
    <n v="22331.34"/>
    <x v="5"/>
    <n v="2024"/>
    <x v="1"/>
    <n v="-6.7617975455122707E-3"/>
    <n v="690.66"/>
    <s v="High"/>
    <s v="Repeat"/>
    <s v="Above Avg"/>
    <s v="Loss"/>
    <n v="64"/>
  </r>
  <r>
    <n v="169"/>
    <x v="168"/>
    <n v="1078"/>
    <s v="Customer_39"/>
    <s v="Consumer"/>
    <s v="North"/>
    <s v="Furniture"/>
    <s v="Product_C"/>
    <n v="3951"/>
    <n v="5"/>
    <n v="0.21"/>
    <n v="1112"/>
    <s v="COD"/>
    <n v="15606.45"/>
    <x v="5"/>
    <n v="2024"/>
    <x v="1"/>
    <n v="7.1252591076125568E-2"/>
    <n v="4148.55"/>
    <s v="High"/>
    <s v="Repeat"/>
    <s v="Above Avg"/>
    <s v="Profit"/>
    <n v="134"/>
  </r>
  <r>
    <n v="170"/>
    <x v="169"/>
    <n v="1056"/>
    <s v="Customer_122"/>
    <s v="Corporate"/>
    <s v="West"/>
    <s v="Furniture"/>
    <s v="Product_C"/>
    <n v="430"/>
    <n v="8"/>
    <n v="0.16"/>
    <n v="403"/>
    <s v="Card"/>
    <n v="2889.6"/>
    <x v="5"/>
    <n v="2024"/>
    <x v="1"/>
    <n v="0.13946566998892582"/>
    <n v="550.4"/>
    <s v="Medium"/>
    <s v="Repeat"/>
    <s v="Below Avg"/>
    <s v="Profit"/>
    <n v="396"/>
  </r>
  <r>
    <n v="171"/>
    <x v="170"/>
    <n v="1087"/>
    <s v="Customer_1"/>
    <s v="Consumer"/>
    <s v="West"/>
    <s v="Furniture"/>
    <s v="Product_D"/>
    <n v="296"/>
    <n v="8"/>
    <n v="0.12"/>
    <n v="-8"/>
    <s v="Card"/>
    <n v="2083.84"/>
    <x v="5"/>
    <n v="2024"/>
    <x v="1"/>
    <n v="-3.8390663390663387E-3"/>
    <n v="284.15999999999997"/>
    <s v="Medium"/>
    <s v="Repeat"/>
    <s v="Below Avg"/>
    <s v="Loss"/>
    <n v="424"/>
  </r>
  <r>
    <n v="172"/>
    <x v="171"/>
    <n v="1063"/>
    <s v="Customer_123"/>
    <s v="Corporate"/>
    <s v="West"/>
    <s v="Furniture"/>
    <s v="Product_B"/>
    <n v="1515"/>
    <n v="1"/>
    <n v="0.28000000000000003"/>
    <n v="1470"/>
    <s v="UPI"/>
    <n v="1090.8"/>
    <x v="5"/>
    <n v="2024"/>
    <x v="1"/>
    <n v="1.3476347634763477"/>
    <n v="424.20000000000005"/>
    <s v="Low"/>
    <s v="Repeat"/>
    <s v="Below Avg"/>
    <s v="Profit"/>
    <n v="477"/>
  </r>
  <r>
    <n v="173"/>
    <x v="172"/>
    <n v="1097"/>
    <s v="Customer_20"/>
    <s v="Consumer"/>
    <s v="South"/>
    <s v="Clothing"/>
    <s v="Product_D"/>
    <n v="3396"/>
    <n v="7"/>
    <n v="0.27"/>
    <n v="1252"/>
    <s v="COD"/>
    <n v="17353.560000000001"/>
    <x v="5"/>
    <n v="2024"/>
    <x v="1"/>
    <n v="7.2146579721970583E-2"/>
    <n v="6418.4400000000005"/>
    <s v="High"/>
    <s v="Repeat"/>
    <s v="Above Avg"/>
    <s v="Profit"/>
    <n v="99"/>
  </r>
  <r>
    <n v="174"/>
    <x v="173"/>
    <n v="1003"/>
    <s v="Customer_111"/>
    <s v="Consumer"/>
    <s v="East"/>
    <s v="Electronics"/>
    <s v="Product_A"/>
    <n v="3120"/>
    <n v="6"/>
    <n v="0.11"/>
    <n v="-429"/>
    <s v="UPI"/>
    <n v="16660.8"/>
    <x v="5"/>
    <n v="2024"/>
    <x v="1"/>
    <n v="-2.5749063670411985E-2"/>
    <n v="2059.1999999999998"/>
    <s v="High"/>
    <s v="Repeat"/>
    <s v="Above Avg"/>
    <s v="Loss"/>
    <n v="110"/>
  </r>
  <r>
    <n v="175"/>
    <x v="174"/>
    <n v="1017"/>
    <s v="Customer_153"/>
    <s v="Corporate"/>
    <s v="East"/>
    <s v="Clothing"/>
    <s v="Product_D"/>
    <n v="3469"/>
    <n v="3"/>
    <n v="0.28000000000000003"/>
    <n v="431"/>
    <s v="UPI"/>
    <n v="7493.04"/>
    <x v="5"/>
    <n v="2024"/>
    <x v="1"/>
    <n v="5.7520045268675997E-2"/>
    <n v="2913.9600000000005"/>
    <s v="High"/>
    <s v="Repeat"/>
    <s v="Below Avg"/>
    <s v="Profit"/>
    <n v="264"/>
  </r>
  <r>
    <n v="176"/>
    <x v="175"/>
    <n v="1088"/>
    <s v="Customer_134"/>
    <s v="Corporate"/>
    <s v="East"/>
    <s v="Clothing"/>
    <s v="Product_B"/>
    <n v="4955"/>
    <n v="1"/>
    <n v="0.13"/>
    <n v="-182"/>
    <s v="Card"/>
    <n v="4310.8500000000004"/>
    <x v="5"/>
    <n v="2024"/>
    <x v="1"/>
    <n v="-4.2219051927114136E-2"/>
    <n v="644.15"/>
    <s v="Medium"/>
    <s v="Repeat"/>
    <s v="Below Avg"/>
    <s v="Loss"/>
    <n v="341"/>
  </r>
  <r>
    <n v="177"/>
    <x v="176"/>
    <n v="1087"/>
    <s v="Customer_116"/>
    <s v="Corporate"/>
    <s v="South"/>
    <s v="Clothing"/>
    <s v="Product_A"/>
    <n v="940"/>
    <n v="2"/>
    <n v="0.06"/>
    <n v="1960"/>
    <s v="Card"/>
    <n v="1767.19999999999"/>
    <x v="5"/>
    <n v="2024"/>
    <x v="1"/>
    <n v="1.109099139882306"/>
    <n v="112.8"/>
    <s v="Low"/>
    <s v="Repeat"/>
    <s v="Below Avg"/>
    <s v="Profit"/>
    <n v="442"/>
  </r>
  <r>
    <n v="178"/>
    <x v="177"/>
    <n v="1069"/>
    <s v="Customer_94"/>
    <s v="Consumer"/>
    <s v="West"/>
    <s v="Furniture"/>
    <s v="Product_C"/>
    <n v="3742"/>
    <n v="1"/>
    <n v="0.19"/>
    <n v="1388"/>
    <s v="Card"/>
    <n v="3031.02"/>
    <x v="5"/>
    <n v="2024"/>
    <x v="1"/>
    <n v="0.45793165337081249"/>
    <n v="710.98"/>
    <s v="Medium"/>
    <s v="Repeat"/>
    <s v="Below Avg"/>
    <s v="Profit"/>
    <n v="390"/>
  </r>
  <r>
    <n v="179"/>
    <x v="178"/>
    <n v="1097"/>
    <s v="Customer_120"/>
    <s v="Corporate"/>
    <s v="South"/>
    <s v="Clothing"/>
    <s v="Product_C"/>
    <n v="2769"/>
    <n v="3"/>
    <n v="0.03"/>
    <n v="-283"/>
    <s v="Card"/>
    <n v="8057.79"/>
    <x v="5"/>
    <n v="2024"/>
    <x v="1"/>
    <n v="-3.512129256284912E-2"/>
    <n v="249.20999999999998"/>
    <s v="High"/>
    <s v="Repeat"/>
    <s v="Below Avg"/>
    <s v="Loss"/>
    <n v="251"/>
  </r>
  <r>
    <n v="180"/>
    <x v="179"/>
    <n v="1050"/>
    <s v="Customer_113"/>
    <s v="Consumer"/>
    <s v="North"/>
    <s v="Furniture"/>
    <s v="Product_C"/>
    <n v="1277"/>
    <n v="6"/>
    <n v="0.05"/>
    <n v="-393"/>
    <s v="Card"/>
    <n v="7278.9"/>
    <x v="5"/>
    <n v="2024"/>
    <x v="1"/>
    <n v="-5.3991674566211928E-2"/>
    <n v="383.1"/>
    <s v="High"/>
    <s v="Repeat"/>
    <s v="Below Avg"/>
    <s v="Loss"/>
    <n v="269"/>
  </r>
  <r>
    <n v="181"/>
    <x v="180"/>
    <n v="1002"/>
    <s v="Customer_3"/>
    <s v="Consumer"/>
    <s v="South"/>
    <s v="Furniture"/>
    <s v="Product_A"/>
    <n v="1043"/>
    <n v="2"/>
    <n v="0.24"/>
    <n v="1350"/>
    <s v="Card"/>
    <n v="1585.36"/>
    <x v="5"/>
    <n v="2024"/>
    <x v="1"/>
    <n v="0.85154160569208259"/>
    <n v="500.64"/>
    <s v="Low"/>
    <s v="Repeat"/>
    <s v="Below Avg"/>
    <s v="Profit"/>
    <n v="454"/>
  </r>
  <r>
    <n v="182"/>
    <x v="181"/>
    <n v="1018"/>
    <s v="Customer_164"/>
    <s v="Consumer"/>
    <s v="South"/>
    <s v="Electronics"/>
    <s v="Product_B"/>
    <n v="3546"/>
    <n v="6"/>
    <n v="0.25"/>
    <n v="1825"/>
    <s v="UPI"/>
    <n v="15957"/>
    <x v="5"/>
    <n v="2024"/>
    <x v="1"/>
    <n v="0.11436986902299931"/>
    <n v="5319"/>
    <s v="High"/>
    <s v="Repeat"/>
    <s v="Above Avg"/>
    <s v="Profit"/>
    <n v="129"/>
  </r>
  <r>
    <n v="183"/>
    <x v="182"/>
    <n v="1046"/>
    <s v="Customer_70"/>
    <s v="Corporate"/>
    <s v="South"/>
    <s v="Furniture"/>
    <s v="Product_A"/>
    <n v="951"/>
    <n v="8"/>
    <n v="7.0000000000000007E-2"/>
    <n v="1104"/>
    <s v="COD"/>
    <n v="7075.44"/>
    <x v="6"/>
    <n v="2024"/>
    <x v="2"/>
    <n v="0.15603269902649164"/>
    <n v="532.56000000000006"/>
    <s v="High"/>
    <s v="Repeat"/>
    <s v="Below Avg"/>
    <s v="Profit"/>
    <n v="274"/>
  </r>
  <r>
    <n v="184"/>
    <x v="183"/>
    <n v="1045"/>
    <s v="Customer_166"/>
    <s v="Corporate"/>
    <s v="North"/>
    <s v="Furniture"/>
    <s v="Product_C"/>
    <n v="4700"/>
    <n v="3"/>
    <n v="0.22"/>
    <n v="140"/>
    <s v="COD"/>
    <n v="10998"/>
    <x v="6"/>
    <n v="2024"/>
    <x v="2"/>
    <n v="1.2729587197672304E-2"/>
    <n v="3102"/>
    <s v="High"/>
    <s v="Repeat"/>
    <s v="Above Avg"/>
    <s v="Profit"/>
    <n v="190"/>
  </r>
  <r>
    <n v="185"/>
    <x v="184"/>
    <n v="1057"/>
    <s v="Customer_65"/>
    <s v="Consumer"/>
    <s v="East"/>
    <s v="Electronics"/>
    <s v="Product_C"/>
    <n v="1851"/>
    <n v="3"/>
    <n v="0.28999999999999998"/>
    <n v="589"/>
    <s v="Card"/>
    <n v="3942.6299999999901"/>
    <x v="6"/>
    <n v="2024"/>
    <x v="2"/>
    <n v="0.14939266428754447"/>
    <n v="1610.37"/>
    <s v="Medium"/>
    <s v="Repeat"/>
    <s v="Below Avg"/>
    <s v="Profit"/>
    <n v="356"/>
  </r>
  <r>
    <n v="186"/>
    <x v="185"/>
    <n v="1035"/>
    <s v="Customer_83"/>
    <s v="Corporate"/>
    <s v="East"/>
    <s v="Furniture"/>
    <s v="Product_C"/>
    <n v="1945"/>
    <n v="1"/>
    <n v="0.28999999999999998"/>
    <n v="7"/>
    <s v="Card"/>
    <n v="1380.94999999999"/>
    <x v="6"/>
    <n v="2024"/>
    <x v="2"/>
    <n v="5.068974256852204E-3"/>
    <n v="564.04999999999995"/>
    <s v="Low"/>
    <s v="Repeat"/>
    <s v="Below Avg"/>
    <s v="Profit"/>
    <n v="462"/>
  </r>
  <r>
    <n v="187"/>
    <x v="186"/>
    <n v="1018"/>
    <s v="Customer_38"/>
    <s v="Corporate"/>
    <s v="North"/>
    <s v="Clothing"/>
    <s v="Product_A"/>
    <n v="4924"/>
    <n v="3"/>
    <n v="0.13"/>
    <n v="1357"/>
    <s v="UPI"/>
    <n v="12851.64"/>
    <x v="6"/>
    <n v="2024"/>
    <x v="2"/>
    <n v="0.1055896368089987"/>
    <n v="1920.3600000000001"/>
    <s v="High"/>
    <s v="Repeat"/>
    <s v="Above Avg"/>
    <s v="Profit"/>
    <n v="160"/>
  </r>
  <r>
    <n v="188"/>
    <x v="187"/>
    <n v="1091"/>
    <s v="Customer_28"/>
    <s v="Corporate"/>
    <s v="East"/>
    <s v="Furniture"/>
    <s v="Product_A"/>
    <n v="1821"/>
    <n v="7"/>
    <n v="0.26"/>
    <n v="-309"/>
    <s v="Card"/>
    <n v="9432.7800000000007"/>
    <x v="6"/>
    <n v="2024"/>
    <x v="2"/>
    <n v="-3.2758105245749396E-2"/>
    <n v="3314.2200000000003"/>
    <s v="High"/>
    <s v="Repeat"/>
    <s v="Below Avg"/>
    <s v="Loss"/>
    <n v="220"/>
  </r>
  <r>
    <n v="189"/>
    <x v="188"/>
    <n v="1046"/>
    <s v="Customer_175"/>
    <s v="Corporate"/>
    <s v="East"/>
    <s v="Clothing"/>
    <s v="Product_B"/>
    <n v="1873"/>
    <n v="9"/>
    <n v="0.17"/>
    <n v="-234"/>
    <s v="UPI"/>
    <n v="13991.31"/>
    <x v="6"/>
    <n v="2024"/>
    <x v="2"/>
    <n v="-1.672466695398787E-2"/>
    <n v="2865.69"/>
    <s v="High"/>
    <s v="Repeat"/>
    <s v="Above Avg"/>
    <s v="Loss"/>
    <n v="147"/>
  </r>
  <r>
    <n v="190"/>
    <x v="189"/>
    <n v="1054"/>
    <s v="Customer_47"/>
    <s v="Consumer"/>
    <s v="West"/>
    <s v="Furniture"/>
    <s v="Product_C"/>
    <n v="750"/>
    <n v="8"/>
    <n v="0.17"/>
    <n v="-108"/>
    <s v="Card"/>
    <n v="4980"/>
    <x v="6"/>
    <n v="2024"/>
    <x v="2"/>
    <n v="-2.1686746987951807E-2"/>
    <n v="1020.0000000000001"/>
    <s v="Medium"/>
    <s v="Repeat"/>
    <s v="Below Avg"/>
    <s v="Loss"/>
    <n v="324"/>
  </r>
  <r>
    <n v="191"/>
    <x v="190"/>
    <n v="1073"/>
    <s v="Customer_10"/>
    <s v="Consumer"/>
    <s v="East"/>
    <s v="Furniture"/>
    <s v="Product_A"/>
    <n v="1461"/>
    <n v="3"/>
    <n v="7.0000000000000007E-2"/>
    <n v="-371"/>
    <s v="COD"/>
    <n v="4076.1899999999901"/>
    <x v="6"/>
    <n v="2024"/>
    <x v="2"/>
    <n v="-9.1016365772940144E-2"/>
    <n v="306.81"/>
    <s v="Medium"/>
    <s v="Repeat"/>
    <s v="Below Avg"/>
    <s v="Loss"/>
    <n v="351"/>
  </r>
  <r>
    <n v="192"/>
    <x v="191"/>
    <n v="1081"/>
    <s v="Customer_88"/>
    <s v="Corporate"/>
    <s v="South"/>
    <s v="Clothing"/>
    <s v="Product_A"/>
    <n v="3609"/>
    <n v="5"/>
    <n v="0.12"/>
    <n v="514"/>
    <s v="COD"/>
    <n v="15879.6"/>
    <x v="6"/>
    <n v="2024"/>
    <x v="2"/>
    <n v="3.2368573515705684E-2"/>
    <n v="2165.4"/>
    <s v="High"/>
    <s v="Repeat"/>
    <s v="Above Avg"/>
    <s v="Profit"/>
    <n v="131"/>
  </r>
  <r>
    <n v="193"/>
    <x v="192"/>
    <n v="1062"/>
    <s v="Customer_133"/>
    <s v="Corporate"/>
    <s v="South"/>
    <s v="Electronics"/>
    <s v="Product_D"/>
    <n v="1568"/>
    <n v="1"/>
    <n v="0.06"/>
    <n v="1807"/>
    <s v="UPI"/>
    <n v="1473.9199999999901"/>
    <x v="6"/>
    <n v="2024"/>
    <x v="2"/>
    <n v="1.225982414242301"/>
    <n v="94.08"/>
    <s v="Low"/>
    <s v="Repeat"/>
    <s v="Below Avg"/>
    <s v="Profit"/>
    <n v="459"/>
  </r>
  <r>
    <n v="194"/>
    <x v="193"/>
    <n v="1067"/>
    <s v="Customer_141"/>
    <s v="Consumer"/>
    <s v="West"/>
    <s v="Furniture"/>
    <s v="Product_C"/>
    <n v="584"/>
    <n v="1"/>
    <n v="0.22"/>
    <n v="858"/>
    <s v="Card"/>
    <n v="455.52"/>
    <x v="6"/>
    <n v="2024"/>
    <x v="2"/>
    <n v="1.8835616438356164"/>
    <n v="128.47999999999999"/>
    <s v="Low"/>
    <s v="Repeat"/>
    <s v="Below Avg"/>
    <s v="Profit"/>
    <n v="494"/>
  </r>
  <r>
    <n v="195"/>
    <x v="194"/>
    <n v="1011"/>
    <s v="Customer_86"/>
    <s v="Corporate"/>
    <s v="South"/>
    <s v="Furniture"/>
    <s v="Product_C"/>
    <n v="851"/>
    <n v="9"/>
    <n v="0.19"/>
    <n v="1126"/>
    <s v="Card"/>
    <n v="6203.79"/>
    <x v="6"/>
    <n v="2024"/>
    <x v="2"/>
    <n v="0.18150195283850679"/>
    <n v="1455.21"/>
    <s v="High"/>
    <s v="Repeat"/>
    <s v="Below Avg"/>
    <s v="Profit"/>
    <n v="292"/>
  </r>
  <r>
    <n v="196"/>
    <x v="195"/>
    <n v="1026"/>
    <s v="Customer_34"/>
    <s v="Corporate"/>
    <s v="West"/>
    <s v="Electronics"/>
    <s v="Product_A"/>
    <n v="209"/>
    <n v="7"/>
    <n v="0.24"/>
    <n v="-125"/>
    <s v="UPI"/>
    <n v="1111.8800000000001"/>
    <x v="6"/>
    <n v="2024"/>
    <x v="2"/>
    <n v="-0.11242220383494621"/>
    <n v="351.12"/>
    <s v="Low"/>
    <s v="Repeat"/>
    <s v="Below Avg"/>
    <s v="Loss"/>
    <n v="476"/>
  </r>
  <r>
    <n v="197"/>
    <x v="196"/>
    <n v="1092"/>
    <s v="Customer_153"/>
    <s v="Corporate"/>
    <s v="South"/>
    <s v="Electronics"/>
    <s v="Product_D"/>
    <n v="2452"/>
    <n v="4"/>
    <n v="0.19"/>
    <n v="1641"/>
    <s v="Card"/>
    <n v="7944.48"/>
    <x v="6"/>
    <n v="2024"/>
    <x v="2"/>
    <n v="0.20655851610174614"/>
    <n v="1863.52"/>
    <s v="High"/>
    <s v="Repeat"/>
    <s v="Below Avg"/>
    <s v="Profit"/>
    <n v="254"/>
  </r>
  <r>
    <n v="198"/>
    <x v="197"/>
    <n v="1075"/>
    <s v="Customer_151"/>
    <s v="Consumer"/>
    <s v="East"/>
    <s v="Electronics"/>
    <s v="Product_C"/>
    <n v="4378"/>
    <n v="4"/>
    <n v="0.08"/>
    <n v="-266"/>
    <s v="COD"/>
    <n v="16111.04"/>
    <x v="6"/>
    <n v="2024"/>
    <x v="2"/>
    <n v="-1.6510417701153992E-2"/>
    <n v="1400.96"/>
    <s v="High"/>
    <s v="Repeat"/>
    <s v="Above Avg"/>
    <s v="Loss"/>
    <n v="125"/>
  </r>
  <r>
    <n v="199"/>
    <x v="198"/>
    <n v="1010"/>
    <s v="Customer_112"/>
    <s v="Corporate"/>
    <s v="South"/>
    <s v="Furniture"/>
    <s v="Product_C"/>
    <n v="3624"/>
    <n v="3"/>
    <n v="0.28999999999999998"/>
    <n v="-429"/>
    <s v="COD"/>
    <n v="7719.12"/>
    <x v="6"/>
    <n v="2024"/>
    <x v="2"/>
    <n v="-5.557628330690545E-2"/>
    <n v="3152.8799999999997"/>
    <s v="High"/>
    <s v="Repeat"/>
    <s v="Below Avg"/>
    <s v="Loss"/>
    <n v="259"/>
  </r>
  <r>
    <n v="200"/>
    <x v="199"/>
    <n v="1003"/>
    <s v="Customer_85"/>
    <s v="Corporate"/>
    <s v="South"/>
    <s v="Clothing"/>
    <s v="Product_C"/>
    <n v="1158"/>
    <n v="5"/>
    <n v="0.2"/>
    <n v="1597"/>
    <s v="COD"/>
    <n v="4632"/>
    <x v="6"/>
    <n v="2024"/>
    <x v="2"/>
    <n v="0.34477547495682209"/>
    <n v="1158"/>
    <s v="Medium"/>
    <s v="Repeat"/>
    <s v="Below Avg"/>
    <s v="Profit"/>
    <n v="335"/>
  </r>
  <r>
    <n v="201"/>
    <x v="200"/>
    <n v="1045"/>
    <s v="Customer_3"/>
    <s v="Corporate"/>
    <s v="West"/>
    <s v="Furniture"/>
    <s v="Product_A"/>
    <n v="300"/>
    <n v="8"/>
    <n v="0.14000000000000001"/>
    <n v="1580"/>
    <s v="UPI"/>
    <n v="2064"/>
    <x v="6"/>
    <n v="2024"/>
    <x v="2"/>
    <n v="0.76550387596899228"/>
    <n v="336.00000000000006"/>
    <s v="Medium"/>
    <s v="Repeat"/>
    <s v="Below Avg"/>
    <s v="Profit"/>
    <n v="425"/>
  </r>
  <r>
    <n v="202"/>
    <x v="201"/>
    <n v="1058"/>
    <s v="Customer_8"/>
    <s v="Consumer"/>
    <s v="West"/>
    <s v="Clothing"/>
    <s v="Product_A"/>
    <n v="4590"/>
    <n v="3"/>
    <n v="0.23"/>
    <n v="458"/>
    <s v="Card"/>
    <n v="10602.9"/>
    <x v="6"/>
    <n v="2024"/>
    <x v="2"/>
    <n v="4.3195729470239273E-2"/>
    <n v="3167.1000000000004"/>
    <s v="High"/>
    <s v="Repeat"/>
    <s v="Below Avg"/>
    <s v="Profit"/>
    <n v="195"/>
  </r>
  <r>
    <n v="203"/>
    <x v="202"/>
    <n v="1059"/>
    <s v="Customer_174"/>
    <s v="Consumer"/>
    <s v="West"/>
    <s v="Electronics"/>
    <s v="Product_B"/>
    <n v="3815"/>
    <n v="6"/>
    <n v="0.08"/>
    <n v="971"/>
    <s v="Card"/>
    <n v="21058.799999999999"/>
    <x v="6"/>
    <n v="2024"/>
    <x v="2"/>
    <n v="4.6108990065910689E-2"/>
    <n v="1831.2"/>
    <s v="High"/>
    <s v="Repeat"/>
    <s v="Above Avg"/>
    <s v="Profit"/>
    <n v="76"/>
  </r>
  <r>
    <n v="204"/>
    <x v="203"/>
    <n v="1023"/>
    <s v="Customer_190"/>
    <s v="Consumer"/>
    <s v="North"/>
    <s v="Furniture"/>
    <s v="Product_B"/>
    <n v="1315"/>
    <n v="4"/>
    <n v="0.24"/>
    <n v="-35"/>
    <s v="COD"/>
    <n v="3997.6"/>
    <x v="6"/>
    <n v="2024"/>
    <x v="2"/>
    <n v="-8.7552531518911344E-3"/>
    <n v="1262.3999999999999"/>
    <s v="Medium"/>
    <s v="Repeat"/>
    <s v="Below Avg"/>
    <s v="Loss"/>
    <n v="353"/>
  </r>
  <r>
    <n v="205"/>
    <x v="204"/>
    <n v="1025"/>
    <s v="Customer_167"/>
    <s v="Consumer"/>
    <s v="East"/>
    <s v="Furniture"/>
    <s v="Product_C"/>
    <n v="831"/>
    <n v="3"/>
    <n v="0.1"/>
    <n v="1324"/>
    <s v="UPI"/>
    <n v="2243.6999999999998"/>
    <x v="6"/>
    <n v="2024"/>
    <x v="2"/>
    <n v="0.59009671524713647"/>
    <n v="249.3"/>
    <s v="Medium"/>
    <s v="Repeat"/>
    <s v="Below Avg"/>
    <s v="Profit"/>
    <n v="417"/>
  </r>
  <r>
    <n v="206"/>
    <x v="205"/>
    <n v="1027"/>
    <s v="Customer_51"/>
    <s v="Consumer"/>
    <s v="North"/>
    <s v="Furniture"/>
    <s v="Product_D"/>
    <n v="473"/>
    <n v="1"/>
    <n v="0.02"/>
    <n v="-233"/>
    <s v="UPI"/>
    <n v="463.539999999999"/>
    <x v="6"/>
    <n v="2024"/>
    <x v="2"/>
    <n v="-0.50265349268671633"/>
    <n v="9.4600000000000009"/>
    <s v="Low"/>
    <s v="Repeat"/>
    <s v="Below Avg"/>
    <s v="Loss"/>
    <n v="493"/>
  </r>
  <r>
    <n v="207"/>
    <x v="206"/>
    <n v="1057"/>
    <s v="Customer_22"/>
    <s v="Consumer"/>
    <s v="South"/>
    <s v="Furniture"/>
    <s v="Product_C"/>
    <n v="3249"/>
    <n v="8"/>
    <n v="0.23"/>
    <n v="1197"/>
    <s v="UPI"/>
    <n v="20013.84"/>
    <x v="6"/>
    <n v="2024"/>
    <x v="2"/>
    <n v="5.9808612440191387E-2"/>
    <n v="5978.16"/>
    <s v="High"/>
    <s v="Repeat"/>
    <s v="Above Avg"/>
    <s v="Profit"/>
    <n v="80"/>
  </r>
  <r>
    <n v="208"/>
    <x v="207"/>
    <n v="1003"/>
    <s v="Customer_45"/>
    <s v="Corporate"/>
    <s v="South"/>
    <s v="Electronics"/>
    <s v="Product_D"/>
    <n v="3344"/>
    <n v="7"/>
    <n v="0.06"/>
    <n v="581"/>
    <s v="COD"/>
    <n v="22003.52"/>
    <x v="6"/>
    <n v="2024"/>
    <x v="2"/>
    <n v="2.6404866130510025E-2"/>
    <n v="1404.48"/>
    <s v="High"/>
    <s v="Repeat"/>
    <s v="Above Avg"/>
    <s v="Profit"/>
    <n v="67"/>
  </r>
  <r>
    <n v="209"/>
    <x v="208"/>
    <n v="1099"/>
    <s v="Customer_151"/>
    <s v="Corporate"/>
    <s v="West"/>
    <s v="Electronics"/>
    <s v="Product_A"/>
    <n v="4041"/>
    <n v="7"/>
    <n v="0.19"/>
    <n v="1642"/>
    <s v="UPI"/>
    <n v="22912.47"/>
    <x v="6"/>
    <n v="2024"/>
    <x v="2"/>
    <n v="7.1664032729775534E-2"/>
    <n v="5374.53"/>
    <s v="High"/>
    <s v="Repeat"/>
    <s v="Above Avg"/>
    <s v="Profit"/>
    <n v="60"/>
  </r>
  <r>
    <n v="210"/>
    <x v="209"/>
    <n v="1078"/>
    <s v="Customer_177"/>
    <s v="Consumer"/>
    <s v="West"/>
    <s v="Electronics"/>
    <s v="Product_B"/>
    <n v="4048"/>
    <n v="8"/>
    <n v="0.08"/>
    <n v="-375"/>
    <s v="COD"/>
    <n v="29793.279999999999"/>
    <x v="6"/>
    <n v="2024"/>
    <x v="2"/>
    <n v="-1.2586730967520193E-2"/>
    <n v="2590.7200000000003"/>
    <s v="High"/>
    <s v="Repeat"/>
    <s v="Above Avg"/>
    <s v="Loss"/>
    <n v="24"/>
  </r>
  <r>
    <n v="211"/>
    <x v="210"/>
    <n v="1085"/>
    <s v="Customer_80"/>
    <s v="Consumer"/>
    <s v="South"/>
    <s v="Furniture"/>
    <s v="Product_A"/>
    <n v="745"/>
    <n v="9"/>
    <n v="0.21"/>
    <n v="515"/>
    <s v="Card"/>
    <n v="5296.95"/>
    <x v="6"/>
    <n v="2024"/>
    <x v="2"/>
    <n v="9.7225761995110391E-2"/>
    <n v="1408.05"/>
    <s v="High"/>
    <s v="Repeat"/>
    <s v="Below Avg"/>
    <s v="Profit"/>
    <n v="316"/>
  </r>
  <r>
    <n v="212"/>
    <x v="211"/>
    <n v="1059"/>
    <s v="Customer_124"/>
    <s v="Consumer"/>
    <s v="North"/>
    <s v="Furniture"/>
    <s v="Product_D"/>
    <n v="3695"/>
    <n v="3"/>
    <n v="0.04"/>
    <n v="333"/>
    <s v="Card"/>
    <n v="10641.6"/>
    <x v="6"/>
    <n v="2024"/>
    <x v="2"/>
    <n v="3.1292286874154258E-2"/>
    <n v="443.40000000000003"/>
    <s v="High"/>
    <s v="Repeat"/>
    <s v="Above Avg"/>
    <s v="Profit"/>
    <n v="194"/>
  </r>
  <r>
    <n v="213"/>
    <x v="212"/>
    <n v="1048"/>
    <s v="Customer_179"/>
    <s v="Corporate"/>
    <s v="West"/>
    <s v="Clothing"/>
    <s v="Product_D"/>
    <n v="4178"/>
    <n v="2"/>
    <n v="0.19"/>
    <n v="1860"/>
    <s v="Card"/>
    <n v="6768.36"/>
    <x v="6"/>
    <n v="2024"/>
    <x v="2"/>
    <n v="0.27480807758452563"/>
    <n v="1587.64"/>
    <s v="High"/>
    <s v="Repeat"/>
    <s v="Below Avg"/>
    <s v="Profit"/>
    <n v="280"/>
  </r>
  <r>
    <n v="214"/>
    <x v="213"/>
    <n v="1056"/>
    <s v="Customer_28"/>
    <s v="Consumer"/>
    <s v="West"/>
    <s v="Clothing"/>
    <s v="Product_B"/>
    <n v="2035"/>
    <n v="4"/>
    <n v="0.06"/>
    <n v="1215"/>
    <s v="UPI"/>
    <n v="7651.5999999999904"/>
    <x v="7"/>
    <n v="2024"/>
    <x v="2"/>
    <n v="0.15879031836478666"/>
    <n v="488.4"/>
    <s v="High"/>
    <s v="Repeat"/>
    <s v="Below Avg"/>
    <s v="Profit"/>
    <n v="262"/>
  </r>
  <r>
    <n v="215"/>
    <x v="214"/>
    <n v="1087"/>
    <s v="Customer_99"/>
    <s v="Consumer"/>
    <s v="South"/>
    <s v="Clothing"/>
    <s v="Product_A"/>
    <n v="2833"/>
    <n v="4"/>
    <n v="0.15"/>
    <n v="-499"/>
    <s v="COD"/>
    <n v="9632.1999999999898"/>
    <x v="7"/>
    <n v="2024"/>
    <x v="2"/>
    <n v="-5.1805402711737766E-2"/>
    <n v="1699.8"/>
    <s v="High"/>
    <s v="Repeat"/>
    <s v="Below Avg"/>
    <s v="Loss"/>
    <n v="211"/>
  </r>
  <r>
    <n v="216"/>
    <x v="215"/>
    <n v="1087"/>
    <s v="Customer_106"/>
    <s v="Consumer"/>
    <s v="East"/>
    <s v="Furniture"/>
    <s v="Product_C"/>
    <n v="2661"/>
    <n v="8"/>
    <n v="0.26"/>
    <n v="-152"/>
    <s v="COD"/>
    <n v="15753.119999999901"/>
    <x v="7"/>
    <n v="2024"/>
    <x v="2"/>
    <n v="-9.6488822531664176E-3"/>
    <n v="5534.88"/>
    <s v="High"/>
    <s v="Repeat"/>
    <s v="Above Avg"/>
    <s v="Loss"/>
    <n v="133"/>
  </r>
  <r>
    <n v="217"/>
    <x v="216"/>
    <n v="1004"/>
    <s v="Customer_29"/>
    <s v="Consumer"/>
    <s v="West"/>
    <s v="Furniture"/>
    <s v="Product_A"/>
    <n v="2152"/>
    <n v="8"/>
    <n v="0.14000000000000001"/>
    <n v="925"/>
    <s v="COD"/>
    <n v="14805.76"/>
    <x v="7"/>
    <n v="2024"/>
    <x v="2"/>
    <n v="6.2475685138756808E-2"/>
    <n v="2410.2400000000002"/>
    <s v="High"/>
    <s v="Repeat"/>
    <s v="Above Avg"/>
    <s v="Profit"/>
    <n v="142"/>
  </r>
  <r>
    <n v="218"/>
    <x v="217"/>
    <n v="1069"/>
    <s v="Customer_187"/>
    <s v="Consumer"/>
    <s v="North"/>
    <s v="Clothing"/>
    <s v="Product_D"/>
    <n v="2039"/>
    <n v="7"/>
    <n v="0.23"/>
    <n v="-462"/>
    <s v="UPI"/>
    <n v="10990.21"/>
    <x v="7"/>
    <n v="2024"/>
    <x v="2"/>
    <n v="-4.2037413297835079E-2"/>
    <n v="3282.79"/>
    <s v="High"/>
    <s v="Repeat"/>
    <s v="Above Avg"/>
    <s v="Loss"/>
    <n v="192"/>
  </r>
  <r>
    <n v="219"/>
    <x v="218"/>
    <n v="1056"/>
    <s v="Customer_102"/>
    <s v="Consumer"/>
    <s v="East"/>
    <s v="Clothing"/>
    <s v="Product_A"/>
    <n v="802"/>
    <n v="5"/>
    <n v="0.04"/>
    <n v="1193"/>
    <s v="COD"/>
    <n v="3849.6"/>
    <x v="7"/>
    <n v="2024"/>
    <x v="2"/>
    <n v="0.30990232751454699"/>
    <n v="160.4"/>
    <s v="Medium"/>
    <s v="Repeat"/>
    <s v="Below Avg"/>
    <s v="Profit"/>
    <n v="361"/>
  </r>
  <r>
    <n v="220"/>
    <x v="219"/>
    <n v="1060"/>
    <s v="Customer_198"/>
    <s v="Corporate"/>
    <s v="South"/>
    <s v="Clothing"/>
    <s v="Product_B"/>
    <n v="2899"/>
    <n v="1"/>
    <n v="0.2"/>
    <n v="569"/>
    <s v="COD"/>
    <n v="2319.1999999999998"/>
    <x v="7"/>
    <n v="2024"/>
    <x v="2"/>
    <n v="0.24534322180062093"/>
    <n v="579.80000000000007"/>
    <s v="Medium"/>
    <s v="Repeat"/>
    <s v="Below Avg"/>
    <s v="Profit"/>
    <n v="415"/>
  </r>
  <r>
    <n v="221"/>
    <x v="220"/>
    <n v="1009"/>
    <s v="Customer_78"/>
    <s v="Corporate"/>
    <s v="West"/>
    <s v="Electronics"/>
    <s v="Product_A"/>
    <n v="607"/>
    <n v="6"/>
    <n v="0.05"/>
    <n v="1509"/>
    <s v="Card"/>
    <n v="3459.8999999999901"/>
    <x v="7"/>
    <n v="2024"/>
    <x v="2"/>
    <n v="0.43613977282580546"/>
    <n v="182.10000000000002"/>
    <s v="Medium"/>
    <s v="Repeat"/>
    <s v="Below Avg"/>
    <s v="Profit"/>
    <n v="378"/>
  </r>
  <r>
    <n v="222"/>
    <x v="221"/>
    <n v="1066"/>
    <s v="Customer_156"/>
    <s v="Corporate"/>
    <s v="East"/>
    <s v="Clothing"/>
    <s v="Product_A"/>
    <n v="1523"/>
    <n v="1"/>
    <n v="0.23"/>
    <n v="1244"/>
    <s v="COD"/>
    <n v="1172.71"/>
    <x v="7"/>
    <n v="2024"/>
    <x v="2"/>
    <n v="1.0607908178492551"/>
    <n v="350.29"/>
    <s v="Low"/>
    <s v="Repeat"/>
    <s v="Below Avg"/>
    <s v="Profit"/>
    <n v="471"/>
  </r>
  <r>
    <n v="223"/>
    <x v="222"/>
    <n v="1033"/>
    <s v="Customer_110"/>
    <s v="Corporate"/>
    <s v="South"/>
    <s v="Furniture"/>
    <s v="Product_D"/>
    <n v="2167"/>
    <n v="2"/>
    <n v="0.21"/>
    <n v="1682"/>
    <s v="Card"/>
    <n v="3423.86"/>
    <x v="7"/>
    <n v="2024"/>
    <x v="2"/>
    <n v="0.49125840425718337"/>
    <n v="910.14"/>
    <s v="Medium"/>
    <s v="New"/>
    <s v="Below Avg"/>
    <s v="Profit"/>
    <n v="379"/>
  </r>
  <r>
    <n v="224"/>
    <x v="223"/>
    <n v="1069"/>
    <s v="Customer_175"/>
    <s v="Corporate"/>
    <s v="North"/>
    <s v="Furniture"/>
    <s v="Product_C"/>
    <n v="4265"/>
    <n v="6"/>
    <n v="0.12"/>
    <n v="490"/>
    <s v="COD"/>
    <n v="22519.200000000001"/>
    <x v="7"/>
    <n v="2024"/>
    <x v="2"/>
    <n v="2.1759209918647198E-2"/>
    <n v="3070.7999999999997"/>
    <s v="High"/>
    <s v="Repeat"/>
    <s v="Above Avg"/>
    <s v="Profit"/>
    <n v="63"/>
  </r>
  <r>
    <n v="225"/>
    <x v="224"/>
    <n v="1009"/>
    <s v="Customer_4"/>
    <s v="Consumer"/>
    <s v="West"/>
    <s v="Clothing"/>
    <s v="Product_C"/>
    <n v="851"/>
    <n v="1"/>
    <n v="0.14000000000000001"/>
    <n v="1419"/>
    <s v="UPI"/>
    <n v="731.86"/>
    <x v="7"/>
    <n v="2024"/>
    <x v="2"/>
    <n v="1.9388954171562867"/>
    <n v="119.14000000000001"/>
    <s v="Low"/>
    <s v="Repeat"/>
    <s v="Below Avg"/>
    <s v="Profit"/>
    <n v="484"/>
  </r>
  <r>
    <n v="226"/>
    <x v="225"/>
    <n v="1079"/>
    <s v="Customer_130"/>
    <s v="Corporate"/>
    <s v="South"/>
    <s v="Furniture"/>
    <s v="Product_B"/>
    <n v="2116"/>
    <n v="6"/>
    <n v="0.05"/>
    <n v="1516"/>
    <s v="UPI"/>
    <n v="12061.199999999901"/>
    <x v="7"/>
    <n v="2024"/>
    <x v="2"/>
    <n v="0.12569230259012473"/>
    <n v="634.80000000000007"/>
    <s v="High"/>
    <s v="Repeat"/>
    <s v="Above Avg"/>
    <s v="Profit"/>
    <n v="167"/>
  </r>
  <r>
    <n v="227"/>
    <x v="226"/>
    <n v="1028"/>
    <s v="Customer_110"/>
    <s v="Consumer"/>
    <s v="West"/>
    <s v="Furniture"/>
    <s v="Product_B"/>
    <n v="648"/>
    <n v="9"/>
    <n v="0.19"/>
    <n v="730"/>
    <s v="Card"/>
    <n v="4723.92"/>
    <x v="7"/>
    <n v="2024"/>
    <x v="2"/>
    <n v="0.15453267625192638"/>
    <n v="1108.08"/>
    <s v="Medium"/>
    <s v="Repeat"/>
    <s v="Below Avg"/>
    <s v="Profit"/>
    <n v="331"/>
  </r>
  <r>
    <n v="228"/>
    <x v="227"/>
    <n v="1066"/>
    <s v="Customer_64"/>
    <s v="Consumer"/>
    <s v="West"/>
    <s v="Furniture"/>
    <s v="Product_A"/>
    <n v="2655"/>
    <n v="6"/>
    <n v="0.27"/>
    <n v="1403"/>
    <s v="COD"/>
    <n v="11628.9"/>
    <x v="7"/>
    <n v="2024"/>
    <x v="2"/>
    <n v="0.12064769668670296"/>
    <n v="4301.1000000000004"/>
    <s v="High"/>
    <s v="Repeat"/>
    <s v="Above Avg"/>
    <s v="Profit"/>
    <n v="179"/>
  </r>
  <r>
    <n v="229"/>
    <x v="228"/>
    <n v="1010"/>
    <s v="Customer_29"/>
    <s v="Consumer"/>
    <s v="North"/>
    <s v="Clothing"/>
    <s v="Product_C"/>
    <n v="738"/>
    <n v="1"/>
    <n v="0.17"/>
    <n v="1581"/>
    <s v="UPI"/>
    <n v="612.54"/>
    <x v="7"/>
    <n v="2024"/>
    <x v="2"/>
    <n v="2.5810559310412384"/>
    <n v="125.46000000000001"/>
    <s v="Low"/>
    <s v="Repeat"/>
    <s v="Below Avg"/>
    <s v="Profit"/>
    <n v="486"/>
  </r>
  <r>
    <n v="230"/>
    <x v="229"/>
    <n v="1003"/>
    <s v="Customer_89"/>
    <s v="Consumer"/>
    <s v="East"/>
    <s v="Furniture"/>
    <s v="Product_B"/>
    <n v="1820"/>
    <n v="9"/>
    <n v="0.09"/>
    <n v="631"/>
    <s v="UPI"/>
    <n v="14905.8"/>
    <x v="7"/>
    <n v="2024"/>
    <x v="2"/>
    <n v="4.2332514859987389E-2"/>
    <n v="1474.2"/>
    <s v="High"/>
    <s v="Repeat"/>
    <s v="Above Avg"/>
    <s v="Profit"/>
    <n v="141"/>
  </r>
  <r>
    <n v="231"/>
    <x v="230"/>
    <n v="1048"/>
    <s v="Customer_95"/>
    <s v="Consumer"/>
    <s v="North"/>
    <s v="Electronics"/>
    <s v="Product_C"/>
    <n v="3916"/>
    <n v="7"/>
    <n v="0.12"/>
    <n v="1533"/>
    <s v="UPI"/>
    <n v="24122.560000000001"/>
    <x v="7"/>
    <n v="2024"/>
    <x v="2"/>
    <n v="6.3550468938620111E-2"/>
    <n v="3289.44"/>
    <s v="High"/>
    <s v="Repeat"/>
    <s v="Above Avg"/>
    <s v="Profit"/>
    <n v="51"/>
  </r>
  <r>
    <n v="232"/>
    <x v="231"/>
    <n v="1003"/>
    <s v="Customer_175"/>
    <s v="Consumer"/>
    <s v="West"/>
    <s v="Clothing"/>
    <s v="Product_D"/>
    <n v="3888"/>
    <n v="5"/>
    <n v="7.0000000000000007E-2"/>
    <n v="1032"/>
    <s v="Card"/>
    <n v="18079.199999999899"/>
    <x v="7"/>
    <n v="2024"/>
    <x v="2"/>
    <n v="5.7082171777512597E-2"/>
    <n v="1360.8000000000002"/>
    <s v="High"/>
    <s v="Repeat"/>
    <s v="Above Avg"/>
    <s v="Profit"/>
    <n v="91"/>
  </r>
  <r>
    <n v="233"/>
    <x v="232"/>
    <n v="1023"/>
    <s v="Customer_15"/>
    <s v="Consumer"/>
    <s v="North"/>
    <s v="Clothing"/>
    <s v="Product_B"/>
    <n v="1813"/>
    <n v="7"/>
    <n v="0.13"/>
    <n v="937"/>
    <s v="COD"/>
    <n v="11041.17"/>
    <x v="7"/>
    <n v="2024"/>
    <x v="2"/>
    <n v="8.4864194646038421E-2"/>
    <n v="1649.8300000000002"/>
    <s v="High"/>
    <s v="Repeat"/>
    <s v="Above Avg"/>
    <s v="Profit"/>
    <n v="189"/>
  </r>
  <r>
    <n v="234"/>
    <x v="233"/>
    <n v="1091"/>
    <s v="Customer_166"/>
    <s v="Corporate"/>
    <s v="West"/>
    <s v="Furniture"/>
    <s v="Product_C"/>
    <n v="4283"/>
    <n v="6"/>
    <n v="0.15"/>
    <n v="436"/>
    <s v="COD"/>
    <n v="21843.3"/>
    <x v="7"/>
    <n v="2024"/>
    <x v="2"/>
    <n v="1.9960353975818673E-2"/>
    <n v="3854.7"/>
    <s v="High"/>
    <s v="Repeat"/>
    <s v="Above Avg"/>
    <s v="Profit"/>
    <n v="68"/>
  </r>
  <r>
    <n v="235"/>
    <x v="234"/>
    <n v="1055"/>
    <s v="Customer_97"/>
    <s v="Corporate"/>
    <s v="North"/>
    <s v="Clothing"/>
    <s v="Product_C"/>
    <n v="4730"/>
    <n v="8"/>
    <n v="0.28000000000000003"/>
    <n v="1356"/>
    <s v="Card"/>
    <n v="27244.799999999999"/>
    <x v="7"/>
    <n v="2024"/>
    <x v="2"/>
    <n v="4.9770965468639891E-2"/>
    <n v="10595.2"/>
    <s v="High"/>
    <s v="Repeat"/>
    <s v="Above Avg"/>
    <s v="Profit"/>
    <n v="34"/>
  </r>
  <r>
    <n v="236"/>
    <x v="235"/>
    <n v="1034"/>
    <s v="Customer_177"/>
    <s v="Consumer"/>
    <s v="West"/>
    <s v="Furniture"/>
    <s v="Product_C"/>
    <n v="4044"/>
    <n v="8"/>
    <n v="0.13"/>
    <n v="-288"/>
    <s v="UPI"/>
    <n v="28146.240000000002"/>
    <x v="7"/>
    <n v="2024"/>
    <x v="2"/>
    <n v="-1.0232272587741736E-2"/>
    <n v="4205.76"/>
    <s v="High"/>
    <s v="Repeat"/>
    <s v="Above Avg"/>
    <s v="Loss"/>
    <n v="29"/>
  </r>
  <r>
    <n v="237"/>
    <x v="236"/>
    <n v="1037"/>
    <s v="Customer_40"/>
    <s v="Corporate"/>
    <s v="North"/>
    <s v="Electronics"/>
    <s v="Product_D"/>
    <n v="1901"/>
    <n v="8"/>
    <n v="0.26"/>
    <n v="1933"/>
    <s v="UPI"/>
    <n v="11253.92"/>
    <x v="7"/>
    <n v="2024"/>
    <x v="2"/>
    <n v="0.17176237257773291"/>
    <n v="3954.08"/>
    <s v="High"/>
    <s v="Repeat"/>
    <s v="Above Avg"/>
    <s v="Profit"/>
    <n v="186"/>
  </r>
  <r>
    <n v="238"/>
    <x v="237"/>
    <n v="1049"/>
    <s v="Customer_144"/>
    <s v="Consumer"/>
    <s v="South"/>
    <s v="Electronics"/>
    <s v="Product_A"/>
    <n v="4270"/>
    <n v="6"/>
    <n v="0.05"/>
    <n v="1845"/>
    <s v="Card"/>
    <n v="24339"/>
    <x v="7"/>
    <n v="2024"/>
    <x v="2"/>
    <n v="7.5804264760261308E-2"/>
    <n v="1281"/>
    <s v="High"/>
    <s v="Repeat"/>
    <s v="Above Avg"/>
    <s v="Profit"/>
    <n v="48"/>
  </r>
  <r>
    <n v="239"/>
    <x v="238"/>
    <n v="1087"/>
    <s v="Customer_102"/>
    <s v="Corporate"/>
    <s v="North"/>
    <s v="Furniture"/>
    <s v="Product_B"/>
    <n v="3460"/>
    <n v="2"/>
    <n v="0.16"/>
    <n v="898"/>
    <s v="UPI"/>
    <n v="5812.8"/>
    <x v="7"/>
    <n v="2024"/>
    <x v="2"/>
    <n v="0.15448665015139004"/>
    <n v="1107.2"/>
    <s v="High"/>
    <s v="Repeat"/>
    <s v="Below Avg"/>
    <s v="Profit"/>
    <n v="300"/>
  </r>
  <r>
    <n v="240"/>
    <x v="239"/>
    <n v="1085"/>
    <s v="Customer_108"/>
    <s v="Consumer"/>
    <s v="East"/>
    <s v="Furniture"/>
    <s v="Product_C"/>
    <n v="4062"/>
    <n v="1"/>
    <n v="0.18"/>
    <n v="630"/>
    <s v="Card"/>
    <n v="3330.84"/>
    <x v="7"/>
    <n v="2024"/>
    <x v="2"/>
    <n v="0.18914147782541341"/>
    <n v="731.16"/>
    <s v="Medium"/>
    <s v="Repeat"/>
    <s v="Below Avg"/>
    <s v="Profit"/>
    <n v="385"/>
  </r>
  <r>
    <n v="241"/>
    <x v="240"/>
    <n v="1025"/>
    <s v="Customer_34"/>
    <s v="Corporate"/>
    <s v="South"/>
    <s v="Furniture"/>
    <s v="Product_C"/>
    <n v="3312"/>
    <n v="6"/>
    <n v="0.18"/>
    <n v="1603"/>
    <s v="UPI"/>
    <n v="16295.04"/>
    <x v="7"/>
    <n v="2024"/>
    <x v="2"/>
    <n v="9.8373492792898934E-2"/>
    <n v="3576.96"/>
    <s v="High"/>
    <s v="Repeat"/>
    <s v="Above Avg"/>
    <s v="Profit"/>
    <n v="119"/>
  </r>
  <r>
    <n v="242"/>
    <x v="241"/>
    <n v="1017"/>
    <s v="Customer_127"/>
    <s v="Corporate"/>
    <s v="South"/>
    <s v="Electronics"/>
    <s v="Product_B"/>
    <n v="2687"/>
    <n v="2"/>
    <n v="0.15"/>
    <n v="564"/>
    <s v="UPI"/>
    <n v="4567.8999999999996"/>
    <x v="7"/>
    <n v="2024"/>
    <x v="2"/>
    <n v="0.12347030364062261"/>
    <n v="806.1"/>
    <s v="Medium"/>
    <s v="Repeat"/>
    <s v="Below Avg"/>
    <s v="Profit"/>
    <n v="336"/>
  </r>
  <r>
    <n v="243"/>
    <x v="242"/>
    <n v="1058"/>
    <s v="Customer_134"/>
    <s v="Corporate"/>
    <s v="North"/>
    <s v="Furniture"/>
    <s v="Product_B"/>
    <n v="4904"/>
    <n v="7"/>
    <n v="0.23"/>
    <n v="984"/>
    <s v="Card"/>
    <n v="26432.560000000001"/>
    <x v="7"/>
    <n v="2024"/>
    <x v="2"/>
    <n v="3.7226814201878289E-2"/>
    <n v="7895.4400000000005"/>
    <s v="High"/>
    <s v="Repeat"/>
    <s v="Above Avg"/>
    <s v="Profit"/>
    <n v="38"/>
  </r>
  <r>
    <n v="244"/>
    <x v="243"/>
    <n v="1066"/>
    <s v="Customer_103"/>
    <s v="Consumer"/>
    <s v="North"/>
    <s v="Electronics"/>
    <s v="Product_D"/>
    <n v="1799"/>
    <n v="2"/>
    <n v="0.05"/>
    <n v="241"/>
    <s v="Card"/>
    <n v="3418.1"/>
    <x v="7"/>
    <n v="2024"/>
    <x v="2"/>
    <n v="7.0507006816652534E-2"/>
    <n v="179.9"/>
    <s v="Medium"/>
    <s v="Repeat"/>
    <s v="Below Avg"/>
    <s v="Profit"/>
    <n v="380"/>
  </r>
  <r>
    <n v="245"/>
    <x v="244"/>
    <n v="1045"/>
    <s v="Customer_87"/>
    <s v="Consumer"/>
    <s v="West"/>
    <s v="Clothing"/>
    <s v="Product_A"/>
    <n v="247"/>
    <n v="7"/>
    <n v="0.02"/>
    <n v="452"/>
    <s v="UPI"/>
    <n v="1694.42"/>
    <x v="8"/>
    <n v="2024"/>
    <x v="2"/>
    <n v="0.26675794667201758"/>
    <n v="34.58"/>
    <s v="Low"/>
    <s v="Repeat"/>
    <s v="Below Avg"/>
    <s v="Profit"/>
    <n v="447"/>
  </r>
  <r>
    <n v="246"/>
    <x v="245"/>
    <n v="1010"/>
    <s v="Customer_181"/>
    <s v="Corporate"/>
    <s v="East"/>
    <s v="Furniture"/>
    <s v="Product_C"/>
    <n v="3111"/>
    <n v="1"/>
    <n v="0.04"/>
    <n v="120"/>
    <s v="Card"/>
    <n v="2986.56"/>
    <x v="8"/>
    <n v="2024"/>
    <x v="2"/>
    <n v="4.0180006428801027E-2"/>
    <n v="124.44"/>
    <s v="Medium"/>
    <s v="Repeat"/>
    <s v="Below Avg"/>
    <s v="Profit"/>
    <n v="394"/>
  </r>
  <r>
    <n v="247"/>
    <x v="246"/>
    <n v="1008"/>
    <s v="Customer_114"/>
    <s v="Corporate"/>
    <s v="North"/>
    <s v="Electronics"/>
    <s v="Product_B"/>
    <n v="1629"/>
    <n v="6"/>
    <n v="0.17"/>
    <n v="1561"/>
    <s v="UPI"/>
    <n v="8112.4199999999901"/>
    <x v="8"/>
    <n v="2024"/>
    <x v="2"/>
    <n v="0.19242100384348959"/>
    <n v="1661.5800000000002"/>
    <s v="High"/>
    <s v="Repeat"/>
    <s v="Below Avg"/>
    <s v="Profit"/>
    <n v="247"/>
  </r>
  <r>
    <n v="248"/>
    <x v="247"/>
    <n v="1096"/>
    <s v="Customer_149"/>
    <s v="Corporate"/>
    <s v="East"/>
    <s v="Electronics"/>
    <s v="Product_A"/>
    <n v="4607"/>
    <n v="8"/>
    <n v="7.0000000000000007E-2"/>
    <n v="746"/>
    <s v="UPI"/>
    <n v="34276.0799999999"/>
    <x v="8"/>
    <n v="2024"/>
    <x v="2"/>
    <n v="2.1764449143542731E-2"/>
    <n v="2579.92"/>
    <s v="High"/>
    <s v="Repeat"/>
    <s v="Above Avg"/>
    <s v="Profit"/>
    <n v="13"/>
  </r>
  <r>
    <n v="249"/>
    <x v="248"/>
    <n v="1025"/>
    <s v="Customer_99"/>
    <s v="Corporate"/>
    <s v="West"/>
    <s v="Clothing"/>
    <s v="Product_A"/>
    <n v="217"/>
    <n v="4"/>
    <n v="0.22"/>
    <n v="-1"/>
    <s v="COD"/>
    <n v="677.04"/>
    <x v="8"/>
    <n v="2024"/>
    <x v="2"/>
    <n v="-1.4770176060498641E-3"/>
    <n v="190.96"/>
    <s v="Low"/>
    <s v="Repeat"/>
    <s v="Below Avg"/>
    <s v="Loss"/>
    <n v="485"/>
  </r>
  <r>
    <n v="250"/>
    <x v="249"/>
    <n v="1099"/>
    <s v="Customer_157"/>
    <s v="Corporate"/>
    <s v="East"/>
    <s v="Electronics"/>
    <s v="Product_A"/>
    <n v="4979"/>
    <n v="2"/>
    <n v="0.02"/>
    <n v="1538"/>
    <s v="COD"/>
    <n v="9758.84"/>
    <x v="8"/>
    <n v="2024"/>
    <x v="2"/>
    <n v="0.15760069844366748"/>
    <n v="199.16"/>
    <s v="High"/>
    <s v="Repeat"/>
    <s v="Below Avg"/>
    <s v="Profit"/>
    <n v="208"/>
  </r>
  <r>
    <n v="251"/>
    <x v="250"/>
    <n v="1067"/>
    <s v="Customer_2"/>
    <s v="Consumer"/>
    <s v="South"/>
    <s v="Furniture"/>
    <s v="Product_A"/>
    <n v="586"/>
    <n v="9"/>
    <n v="0.27"/>
    <n v="781"/>
    <s v="COD"/>
    <n v="3850.02"/>
    <x v="8"/>
    <n v="2024"/>
    <x v="2"/>
    <n v="0.20285608905927763"/>
    <n v="1423.98"/>
    <s v="Medium"/>
    <s v="Repeat"/>
    <s v="Below Avg"/>
    <s v="Profit"/>
    <n v="360"/>
  </r>
  <r>
    <n v="252"/>
    <x v="251"/>
    <n v="1065"/>
    <s v="Customer_97"/>
    <s v="Consumer"/>
    <s v="West"/>
    <s v="Furniture"/>
    <s v="Product_C"/>
    <n v="1335"/>
    <n v="6"/>
    <n v="0.28999999999999998"/>
    <n v="598"/>
    <s v="Card"/>
    <n v="5687.0999999999904"/>
    <x v="8"/>
    <n v="2024"/>
    <x v="2"/>
    <n v="0.10515025232543845"/>
    <n v="2322.8999999999996"/>
    <s v="High"/>
    <s v="Repeat"/>
    <s v="Below Avg"/>
    <s v="Profit"/>
    <n v="304"/>
  </r>
  <r>
    <n v="253"/>
    <x v="252"/>
    <n v="1007"/>
    <s v="Customer_26"/>
    <s v="Consumer"/>
    <s v="South"/>
    <s v="Electronics"/>
    <s v="Product_A"/>
    <n v="2947"/>
    <n v="2"/>
    <n v="0.24"/>
    <n v="48"/>
    <s v="COD"/>
    <n v="4479.4399999999996"/>
    <x v="8"/>
    <n v="2024"/>
    <x v="2"/>
    <n v="1.0715625167431644E-2"/>
    <n v="1414.56"/>
    <s v="Medium"/>
    <s v="Repeat"/>
    <s v="Below Avg"/>
    <s v="Profit"/>
    <n v="339"/>
  </r>
  <r>
    <n v="254"/>
    <x v="253"/>
    <n v="1070"/>
    <s v="Customer_44"/>
    <s v="Corporate"/>
    <s v="East"/>
    <s v="Electronics"/>
    <s v="Product_C"/>
    <n v="1121"/>
    <n v="5"/>
    <n v="0.26"/>
    <n v="1771"/>
    <s v="COD"/>
    <n v="4147.7"/>
    <x v="8"/>
    <n v="2024"/>
    <x v="2"/>
    <n v="0.42698362948139934"/>
    <n v="1457.3"/>
    <s v="Medium"/>
    <s v="Repeat"/>
    <s v="Below Avg"/>
    <s v="Profit"/>
    <n v="347"/>
  </r>
  <r>
    <n v="255"/>
    <x v="254"/>
    <n v="1099"/>
    <s v="Customer_18"/>
    <s v="Consumer"/>
    <s v="South"/>
    <s v="Electronics"/>
    <s v="Product_B"/>
    <n v="2319"/>
    <n v="7"/>
    <n v="0.11"/>
    <n v="-105"/>
    <s v="UPI"/>
    <n v="14447.37"/>
    <x v="8"/>
    <n v="2024"/>
    <x v="2"/>
    <n v="-7.2677587685509538E-3"/>
    <n v="1785.63"/>
    <s v="High"/>
    <s v="Repeat"/>
    <s v="Above Avg"/>
    <s v="Loss"/>
    <n v="143"/>
  </r>
  <r>
    <n v="256"/>
    <x v="255"/>
    <n v="1097"/>
    <s v="Customer_98"/>
    <s v="Corporate"/>
    <s v="South"/>
    <s v="Clothing"/>
    <s v="Product_C"/>
    <n v="3265"/>
    <n v="3"/>
    <n v="0.05"/>
    <n v="1937"/>
    <s v="Card"/>
    <n v="9305.25"/>
    <x v="8"/>
    <n v="2024"/>
    <x v="2"/>
    <n v="0.20816205905268531"/>
    <n v="489.75"/>
    <s v="High"/>
    <s v="Repeat"/>
    <s v="Below Avg"/>
    <s v="Profit"/>
    <n v="225"/>
  </r>
  <r>
    <n v="257"/>
    <x v="256"/>
    <n v="1039"/>
    <s v="Customer_30"/>
    <s v="Corporate"/>
    <s v="West"/>
    <s v="Furniture"/>
    <s v="Product_A"/>
    <n v="3199"/>
    <n v="1"/>
    <n v="0.06"/>
    <n v="1657"/>
    <s v="Card"/>
    <n v="3007.06"/>
    <x v="8"/>
    <n v="2024"/>
    <x v="2"/>
    <n v="0.55103656062732376"/>
    <n v="191.94"/>
    <s v="Medium"/>
    <s v="Repeat"/>
    <s v="Below Avg"/>
    <s v="Profit"/>
    <n v="392"/>
  </r>
  <r>
    <n v="258"/>
    <x v="257"/>
    <n v="1082"/>
    <s v="Customer_108"/>
    <s v="Corporate"/>
    <s v="South"/>
    <s v="Electronics"/>
    <s v="Product_B"/>
    <n v="316"/>
    <n v="5"/>
    <n v="0.15"/>
    <n v="897"/>
    <s v="UPI"/>
    <n v="1343"/>
    <x v="8"/>
    <n v="2024"/>
    <x v="2"/>
    <n v="0.66790766939687263"/>
    <n v="237"/>
    <s v="Low"/>
    <s v="Repeat"/>
    <s v="Below Avg"/>
    <s v="Profit"/>
    <n v="465"/>
  </r>
  <r>
    <n v="259"/>
    <x v="258"/>
    <n v="1092"/>
    <s v="Customer_23"/>
    <s v="Consumer"/>
    <s v="South"/>
    <s v="Furniture"/>
    <s v="Product_C"/>
    <n v="4046"/>
    <n v="5"/>
    <n v="0.2"/>
    <n v="-246"/>
    <s v="COD"/>
    <n v="16184"/>
    <x v="8"/>
    <n v="2024"/>
    <x v="2"/>
    <n v="-1.5200197726149283E-2"/>
    <n v="4046"/>
    <s v="High"/>
    <s v="Repeat"/>
    <s v="Above Avg"/>
    <s v="Loss"/>
    <n v="122"/>
  </r>
  <r>
    <n v="260"/>
    <x v="259"/>
    <n v="1038"/>
    <s v="Customer_48"/>
    <s v="Corporate"/>
    <s v="West"/>
    <s v="Clothing"/>
    <s v="Product_C"/>
    <n v="2805"/>
    <n v="7"/>
    <n v="0.17"/>
    <n v="1777"/>
    <s v="Card"/>
    <n v="16297.05"/>
    <x v="8"/>
    <n v="2024"/>
    <x v="2"/>
    <n v="0.10903813880426212"/>
    <n v="3337.9500000000003"/>
    <s v="High"/>
    <s v="Repeat"/>
    <s v="Above Avg"/>
    <s v="Profit"/>
    <n v="118"/>
  </r>
  <r>
    <n v="261"/>
    <x v="260"/>
    <n v="1005"/>
    <s v="Customer_183"/>
    <s v="Corporate"/>
    <s v="South"/>
    <s v="Clothing"/>
    <s v="Product_B"/>
    <n v="1983"/>
    <n v="6"/>
    <n v="0.03"/>
    <n v="722"/>
    <s v="UPI"/>
    <n v="11541.06"/>
    <x v="8"/>
    <n v="2024"/>
    <x v="2"/>
    <n v="6.2559244991361285E-2"/>
    <n v="356.94"/>
    <s v="High"/>
    <s v="Repeat"/>
    <s v="Above Avg"/>
    <s v="Profit"/>
    <n v="180"/>
  </r>
  <r>
    <n v="262"/>
    <x v="261"/>
    <n v="1009"/>
    <s v="Customer_127"/>
    <s v="Corporate"/>
    <s v="East"/>
    <s v="Furniture"/>
    <s v="Product_C"/>
    <n v="1606"/>
    <n v="1"/>
    <n v="0.22"/>
    <n v="1195"/>
    <s v="COD"/>
    <n v="1252.68"/>
    <x v="8"/>
    <n v="2024"/>
    <x v="2"/>
    <n v="0.95395472107800872"/>
    <n v="353.32"/>
    <s v="Low"/>
    <s v="Repeat"/>
    <s v="Below Avg"/>
    <s v="Profit"/>
    <n v="468"/>
  </r>
  <r>
    <n v="263"/>
    <x v="262"/>
    <n v="1040"/>
    <s v="Customer_23"/>
    <s v="Corporate"/>
    <s v="South"/>
    <s v="Clothing"/>
    <s v="Product_D"/>
    <n v="4264"/>
    <n v="1"/>
    <n v="0.24"/>
    <n v="-20"/>
    <s v="UPI"/>
    <n v="3240.64"/>
    <x v="8"/>
    <n v="2024"/>
    <x v="2"/>
    <n v="-6.1716204206576485E-3"/>
    <n v="1023.36"/>
    <s v="Medium"/>
    <s v="Repeat"/>
    <s v="Below Avg"/>
    <s v="Loss"/>
    <n v="386"/>
  </r>
  <r>
    <n v="264"/>
    <x v="263"/>
    <n v="1068"/>
    <s v="Customer_40"/>
    <s v="Corporate"/>
    <s v="East"/>
    <s v="Furniture"/>
    <s v="Product_A"/>
    <n v="2397"/>
    <n v="7"/>
    <n v="0.01"/>
    <n v="-217"/>
    <s v="COD"/>
    <n v="16611.21"/>
    <x v="8"/>
    <n v="2024"/>
    <x v="2"/>
    <n v="-1.3063467381364754E-2"/>
    <n v="167.79"/>
    <s v="High"/>
    <s v="Repeat"/>
    <s v="Above Avg"/>
    <s v="Loss"/>
    <n v="113"/>
  </r>
  <r>
    <n v="265"/>
    <x v="264"/>
    <n v="1087"/>
    <s v="Customer_64"/>
    <s v="Corporate"/>
    <s v="West"/>
    <s v="Furniture"/>
    <s v="Product_B"/>
    <n v="1811"/>
    <n v="2"/>
    <n v="0.14000000000000001"/>
    <n v="1730"/>
    <s v="UPI"/>
    <n v="3114.92"/>
    <x v="8"/>
    <n v="2024"/>
    <x v="2"/>
    <n v="0.55539147072798012"/>
    <n v="507.08000000000004"/>
    <s v="Medium"/>
    <s v="Repeat"/>
    <s v="Below Avg"/>
    <s v="Profit"/>
    <n v="389"/>
  </r>
  <r>
    <n v="266"/>
    <x v="265"/>
    <n v="1021"/>
    <s v="Customer_72"/>
    <s v="Corporate"/>
    <s v="West"/>
    <s v="Electronics"/>
    <s v="Product_A"/>
    <n v="1107"/>
    <n v="9"/>
    <n v="0.13"/>
    <n v="655"/>
    <s v="Card"/>
    <n v="8667.81"/>
    <x v="8"/>
    <n v="2024"/>
    <x v="2"/>
    <n v="7.5566954051830865E-2"/>
    <n v="1295.19"/>
    <s v="High"/>
    <s v="Repeat"/>
    <s v="Below Avg"/>
    <s v="Profit"/>
    <n v="235"/>
  </r>
  <r>
    <n v="267"/>
    <x v="266"/>
    <n v="1089"/>
    <s v="Customer_142"/>
    <s v="Consumer"/>
    <s v="South"/>
    <s v="Electronics"/>
    <s v="Product_D"/>
    <n v="2696"/>
    <n v="9"/>
    <n v="0.02"/>
    <n v="445"/>
    <s v="Card"/>
    <n v="23778.720000000001"/>
    <x v="8"/>
    <n v="2024"/>
    <x v="2"/>
    <n v="1.8714211698527085E-2"/>
    <n v="485.28000000000003"/>
    <s v="High"/>
    <s v="Repeat"/>
    <s v="Above Avg"/>
    <s v="Profit"/>
    <n v="53"/>
  </r>
  <r>
    <n v="268"/>
    <x v="267"/>
    <n v="1050"/>
    <s v="Customer_124"/>
    <s v="Corporate"/>
    <s v="West"/>
    <s v="Furniture"/>
    <s v="Product_B"/>
    <n v="3486"/>
    <n v="4"/>
    <n v="0.05"/>
    <n v="1943"/>
    <s v="COD"/>
    <n v="13246.8"/>
    <x v="8"/>
    <n v="2024"/>
    <x v="2"/>
    <n v="0.14667693329709819"/>
    <n v="697.2"/>
    <s v="High"/>
    <s v="Repeat"/>
    <s v="Above Avg"/>
    <s v="Profit"/>
    <n v="158"/>
  </r>
  <r>
    <n v="269"/>
    <x v="268"/>
    <n v="1036"/>
    <s v="Customer_110"/>
    <s v="Corporate"/>
    <s v="West"/>
    <s v="Electronics"/>
    <s v="Product_A"/>
    <n v="1882"/>
    <n v="3"/>
    <n v="0.24"/>
    <n v="1096"/>
    <s v="COD"/>
    <n v="4290.96"/>
    <x v="8"/>
    <n v="2024"/>
    <x v="2"/>
    <n v="0.25542069839849357"/>
    <n v="1355.04"/>
    <s v="Medium"/>
    <s v="Repeat"/>
    <s v="Below Avg"/>
    <s v="Profit"/>
    <n v="342"/>
  </r>
  <r>
    <n v="270"/>
    <x v="269"/>
    <n v="1044"/>
    <s v="Customer_78"/>
    <s v="Corporate"/>
    <s v="North"/>
    <s v="Furniture"/>
    <s v="Product_C"/>
    <n v="4244"/>
    <n v="8"/>
    <n v="0.18"/>
    <n v="1997"/>
    <s v="UPI"/>
    <n v="27840.639999999999"/>
    <x v="8"/>
    <n v="2024"/>
    <x v="2"/>
    <n v="7.1729672881083201E-2"/>
    <n v="6111.36"/>
    <s v="High"/>
    <s v="Repeat"/>
    <s v="Above Avg"/>
    <s v="Profit"/>
    <n v="33"/>
  </r>
  <r>
    <n v="271"/>
    <x v="270"/>
    <n v="1092"/>
    <s v="Customer_2"/>
    <s v="Consumer"/>
    <s v="East"/>
    <s v="Clothing"/>
    <s v="Product_D"/>
    <n v="2461"/>
    <n v="4"/>
    <n v="7.0000000000000007E-2"/>
    <n v="1327"/>
    <s v="Card"/>
    <n v="9154.92"/>
    <x v="8"/>
    <n v="2024"/>
    <x v="2"/>
    <n v="0.14494938240858468"/>
    <n v="689.08"/>
    <s v="High"/>
    <s v="Repeat"/>
    <s v="Below Avg"/>
    <s v="Profit"/>
    <n v="228"/>
  </r>
  <r>
    <n v="272"/>
    <x v="271"/>
    <n v="1099"/>
    <s v="Customer_122"/>
    <s v="Corporate"/>
    <s v="South"/>
    <s v="Electronics"/>
    <s v="Product_B"/>
    <n v="4549"/>
    <n v="3"/>
    <n v="0.14000000000000001"/>
    <n v="1353"/>
    <s v="COD"/>
    <n v="11736.42"/>
    <x v="8"/>
    <n v="2024"/>
    <x v="2"/>
    <n v="0.11528217292837169"/>
    <n v="1910.5800000000002"/>
    <s v="High"/>
    <s v="Repeat"/>
    <s v="Above Avg"/>
    <s v="Profit"/>
    <n v="176"/>
  </r>
  <r>
    <n v="273"/>
    <x v="272"/>
    <n v="1083"/>
    <s v="Customer_4"/>
    <s v="Corporate"/>
    <s v="South"/>
    <s v="Furniture"/>
    <s v="Product_D"/>
    <n v="1134"/>
    <n v="3"/>
    <n v="0.26"/>
    <n v="1911"/>
    <s v="UPI"/>
    <n v="2517.48"/>
    <x v="8"/>
    <n v="2024"/>
    <x v="2"/>
    <n v="0.75909242575909242"/>
    <n v="884.52"/>
    <s v="Medium"/>
    <s v="Repeat"/>
    <s v="Below Avg"/>
    <s v="Profit"/>
    <n v="409"/>
  </r>
  <r>
    <n v="274"/>
    <x v="273"/>
    <n v="1081"/>
    <s v="Customer_100"/>
    <s v="Consumer"/>
    <s v="West"/>
    <s v="Electronics"/>
    <s v="Product_C"/>
    <n v="3921"/>
    <n v="3"/>
    <n v="0.03"/>
    <n v="-471"/>
    <s v="COD"/>
    <n v="11410.11"/>
    <x v="8"/>
    <n v="2024"/>
    <x v="2"/>
    <n v="-4.1279181357585508E-2"/>
    <n v="352.89"/>
    <s v="High"/>
    <s v="Repeat"/>
    <s v="Above Avg"/>
    <s v="Loss"/>
    <n v="182"/>
  </r>
  <r>
    <n v="275"/>
    <x v="274"/>
    <n v="1061"/>
    <s v="Customer_9"/>
    <s v="Consumer"/>
    <s v="North"/>
    <s v="Electronics"/>
    <s v="Product_C"/>
    <n v="3876"/>
    <n v="1"/>
    <n v="0.28999999999999998"/>
    <n v="71"/>
    <s v="UPI"/>
    <n v="2751.96"/>
    <x v="9"/>
    <n v="2024"/>
    <x v="3"/>
    <n v="2.5799793601651185E-2"/>
    <n v="1124.04"/>
    <s v="Medium"/>
    <s v="Repeat"/>
    <s v="Below Avg"/>
    <s v="Profit"/>
    <n v="401"/>
  </r>
  <r>
    <n v="276"/>
    <x v="275"/>
    <n v="1014"/>
    <s v="Customer_16"/>
    <s v="Corporate"/>
    <s v="West"/>
    <s v="Furniture"/>
    <s v="Product_B"/>
    <n v="4808"/>
    <n v="5"/>
    <n v="0.04"/>
    <n v="860"/>
    <s v="COD"/>
    <n v="23078.3999999999"/>
    <x v="9"/>
    <n v="2024"/>
    <x v="3"/>
    <n v="3.7264281752634659E-2"/>
    <n v="961.6"/>
    <s v="High"/>
    <s v="Repeat"/>
    <s v="Above Avg"/>
    <s v="Profit"/>
    <n v="58"/>
  </r>
  <r>
    <n v="277"/>
    <x v="276"/>
    <n v="1078"/>
    <s v="Customer_96"/>
    <s v="Consumer"/>
    <s v="South"/>
    <s v="Furniture"/>
    <s v="Product_B"/>
    <n v="1839"/>
    <n v="2"/>
    <n v="0.09"/>
    <n v="1136"/>
    <s v="COD"/>
    <n v="3346.98"/>
    <x v="9"/>
    <n v="2024"/>
    <x v="3"/>
    <n v="0.33941045360294952"/>
    <n v="331.02"/>
    <s v="Medium"/>
    <s v="Repeat"/>
    <s v="Below Avg"/>
    <s v="Profit"/>
    <n v="384"/>
  </r>
  <r>
    <n v="278"/>
    <x v="277"/>
    <n v="1023"/>
    <s v="Customer_160"/>
    <s v="Consumer"/>
    <s v="West"/>
    <s v="Furniture"/>
    <s v="Product_D"/>
    <n v="535"/>
    <n v="7"/>
    <n v="0.05"/>
    <n v="-213"/>
    <s v="COD"/>
    <n v="3557.75"/>
    <x v="9"/>
    <n v="2024"/>
    <x v="3"/>
    <n v="-5.9869299416766213E-2"/>
    <n v="187.25"/>
    <s v="Medium"/>
    <s v="Repeat"/>
    <s v="Below Avg"/>
    <s v="Loss"/>
    <n v="374"/>
  </r>
  <r>
    <n v="279"/>
    <x v="278"/>
    <n v="1062"/>
    <s v="Customer_27"/>
    <s v="Corporate"/>
    <s v="North"/>
    <s v="Electronics"/>
    <s v="Product_B"/>
    <n v="592"/>
    <n v="4"/>
    <n v="0.14000000000000001"/>
    <n v="549"/>
    <s v="COD"/>
    <n v="2036.48"/>
    <x v="9"/>
    <n v="2024"/>
    <x v="3"/>
    <n v="0.26958280955373981"/>
    <n v="331.52000000000004"/>
    <s v="Medium"/>
    <s v="Repeat"/>
    <s v="Below Avg"/>
    <s v="Profit"/>
    <n v="428"/>
  </r>
  <r>
    <n v="280"/>
    <x v="279"/>
    <n v="1028"/>
    <s v="Customer_15"/>
    <s v="Consumer"/>
    <s v="West"/>
    <s v="Electronics"/>
    <s v="Product_A"/>
    <n v="4041"/>
    <n v="2"/>
    <n v="0.09"/>
    <n v="-358"/>
    <s v="UPI"/>
    <n v="7354.62"/>
    <x v="9"/>
    <n v="2024"/>
    <x v="3"/>
    <n v="-4.8676886093367164E-2"/>
    <n v="727.38"/>
    <s v="High"/>
    <s v="Repeat"/>
    <s v="Below Avg"/>
    <s v="Loss"/>
    <n v="267"/>
  </r>
  <r>
    <n v="281"/>
    <x v="280"/>
    <n v="1080"/>
    <s v="Customer_68"/>
    <s v="Consumer"/>
    <s v="North"/>
    <s v="Furniture"/>
    <s v="Product_D"/>
    <n v="2216"/>
    <n v="8"/>
    <n v="0.3"/>
    <n v="618"/>
    <s v="COD"/>
    <n v="12409.5999999999"/>
    <x v="9"/>
    <n v="2024"/>
    <x v="3"/>
    <n v="4.9800154718927681E-2"/>
    <n v="5318.4"/>
    <s v="High"/>
    <s v="Repeat"/>
    <s v="Above Avg"/>
    <s v="Profit"/>
    <n v="164"/>
  </r>
  <r>
    <n v="282"/>
    <x v="281"/>
    <n v="1024"/>
    <s v="Customer_25"/>
    <s v="Consumer"/>
    <s v="North"/>
    <s v="Furniture"/>
    <s v="Product_A"/>
    <n v="2168"/>
    <n v="8"/>
    <n v="0"/>
    <n v="853"/>
    <s v="Card"/>
    <n v="17344"/>
    <x v="9"/>
    <n v="2024"/>
    <x v="3"/>
    <n v="4.9181273062730631E-2"/>
    <n v="0"/>
    <s v="High"/>
    <s v="Repeat"/>
    <s v="Above Avg"/>
    <s v="Profit"/>
    <n v="101"/>
  </r>
  <r>
    <n v="283"/>
    <x v="282"/>
    <n v="1015"/>
    <s v="Customer_15"/>
    <s v="Consumer"/>
    <s v="West"/>
    <s v="Clothing"/>
    <s v="Product_D"/>
    <n v="1828"/>
    <n v="1"/>
    <n v="0.1"/>
    <n v="892"/>
    <s v="COD"/>
    <n v="1645.2"/>
    <x v="9"/>
    <n v="2024"/>
    <x v="3"/>
    <n v="0.54218332117675661"/>
    <n v="182.8"/>
    <s v="Low"/>
    <s v="Repeat"/>
    <s v="Below Avg"/>
    <s v="Profit"/>
    <n v="450"/>
  </r>
  <r>
    <n v="284"/>
    <x v="283"/>
    <n v="1049"/>
    <s v="Customer_12"/>
    <s v="Corporate"/>
    <s v="South"/>
    <s v="Electronics"/>
    <s v="Product_B"/>
    <n v="2743"/>
    <n v="5"/>
    <n v="0.18"/>
    <n v="-288"/>
    <s v="COD"/>
    <n v="11246.3"/>
    <x v="9"/>
    <n v="2024"/>
    <x v="3"/>
    <n v="-2.5608422325564855E-2"/>
    <n v="2468.6999999999998"/>
    <s v="High"/>
    <s v="Repeat"/>
    <s v="Above Avg"/>
    <s v="Loss"/>
    <n v="187"/>
  </r>
  <r>
    <n v="285"/>
    <x v="284"/>
    <n v="1080"/>
    <s v="Customer_71"/>
    <s v="Corporate"/>
    <s v="North"/>
    <s v="Clothing"/>
    <s v="Product_C"/>
    <n v="3747"/>
    <n v="2"/>
    <n v="0.1"/>
    <n v="-334"/>
    <s v="Card"/>
    <n v="6744.6"/>
    <x v="9"/>
    <n v="2024"/>
    <x v="3"/>
    <n v="-4.9521098360169616E-2"/>
    <n v="749.40000000000009"/>
    <s v="High"/>
    <s v="Repeat"/>
    <s v="Below Avg"/>
    <s v="Loss"/>
    <n v="281"/>
  </r>
  <r>
    <n v="286"/>
    <x v="285"/>
    <n v="1084"/>
    <s v="Customer_152"/>
    <s v="Corporate"/>
    <s v="South"/>
    <s v="Electronics"/>
    <s v="Product_C"/>
    <n v="3612"/>
    <n v="9"/>
    <n v="0.14000000000000001"/>
    <n v="74"/>
    <s v="COD"/>
    <n v="27956.880000000001"/>
    <x v="9"/>
    <n v="2024"/>
    <x v="3"/>
    <n v="2.6469334203244425E-3"/>
    <n v="4551.1200000000008"/>
    <s v="High"/>
    <s v="Repeat"/>
    <s v="Above Avg"/>
    <s v="Profit"/>
    <n v="31"/>
  </r>
  <r>
    <n v="287"/>
    <x v="286"/>
    <n v="1090"/>
    <s v="Customer_70"/>
    <s v="Corporate"/>
    <s v="North"/>
    <s v="Electronics"/>
    <s v="Product_D"/>
    <n v="1459"/>
    <n v="2"/>
    <n v="0.13"/>
    <n v="-190"/>
    <s v="UPI"/>
    <n v="2538.66"/>
    <x v="9"/>
    <n v="2024"/>
    <x v="3"/>
    <n v="-7.4842633515319112E-2"/>
    <n v="379.34000000000003"/>
    <s v="Medium"/>
    <s v="Repeat"/>
    <s v="Below Avg"/>
    <s v="Loss"/>
    <n v="408"/>
  </r>
  <r>
    <n v="288"/>
    <x v="287"/>
    <n v="1004"/>
    <s v="Customer_112"/>
    <s v="Corporate"/>
    <s v="South"/>
    <s v="Electronics"/>
    <s v="Product_A"/>
    <n v="2607"/>
    <n v="7"/>
    <n v="0.03"/>
    <n v="431"/>
    <s v="UPI"/>
    <n v="17701.53"/>
    <x v="9"/>
    <n v="2024"/>
    <x v="3"/>
    <n v="2.4348177812878322E-2"/>
    <n v="547.47"/>
    <s v="High"/>
    <s v="Repeat"/>
    <s v="Above Avg"/>
    <s v="Profit"/>
    <n v="93"/>
  </r>
  <r>
    <n v="289"/>
    <x v="288"/>
    <n v="1021"/>
    <s v="Customer_169"/>
    <s v="Consumer"/>
    <s v="South"/>
    <s v="Furniture"/>
    <s v="Product_C"/>
    <n v="3261"/>
    <n v="2"/>
    <n v="0.19"/>
    <n v="1891"/>
    <s v="COD"/>
    <n v="5282.82"/>
    <x v="9"/>
    <n v="2024"/>
    <x v="3"/>
    <n v="0.35795276007889726"/>
    <n v="1239.18"/>
    <s v="High"/>
    <s v="Repeat"/>
    <s v="Below Avg"/>
    <s v="Profit"/>
    <n v="317"/>
  </r>
  <r>
    <n v="290"/>
    <x v="289"/>
    <n v="1032"/>
    <s v="Customer_60"/>
    <s v="Corporate"/>
    <s v="West"/>
    <s v="Furniture"/>
    <s v="Product_D"/>
    <n v="3495"/>
    <n v="2"/>
    <n v="0.25"/>
    <n v="1055"/>
    <s v="UPI"/>
    <n v="5242.5"/>
    <x v="9"/>
    <n v="2024"/>
    <x v="3"/>
    <n v="0.20123986647591799"/>
    <n v="1747.5"/>
    <s v="High"/>
    <s v="Repeat"/>
    <s v="Below Avg"/>
    <s v="Profit"/>
    <n v="318"/>
  </r>
  <r>
    <n v="291"/>
    <x v="290"/>
    <n v="1039"/>
    <s v="Customer_31"/>
    <s v="Consumer"/>
    <s v="West"/>
    <s v="Furniture"/>
    <s v="Product_D"/>
    <n v="3159"/>
    <n v="1"/>
    <n v="0.16"/>
    <n v="528"/>
    <s v="COD"/>
    <n v="2653.56"/>
    <x v="9"/>
    <n v="2024"/>
    <x v="3"/>
    <n v="0.19897797675575454"/>
    <n v="505.44"/>
    <s v="Medium"/>
    <s v="Repeat"/>
    <s v="Below Avg"/>
    <s v="Profit"/>
    <n v="406"/>
  </r>
  <r>
    <n v="292"/>
    <x v="291"/>
    <n v="1001"/>
    <s v="Customer_149"/>
    <s v="Corporate"/>
    <s v="South"/>
    <s v="Furniture"/>
    <s v="Product_C"/>
    <n v="2792"/>
    <n v="1"/>
    <n v="0.04"/>
    <n v="1424"/>
    <s v="Card"/>
    <n v="2680.3199999999902"/>
    <x v="9"/>
    <n v="2024"/>
    <x v="3"/>
    <n v="0.53127984718242793"/>
    <n v="111.68"/>
    <s v="Medium"/>
    <s v="Repeat"/>
    <s v="Below Avg"/>
    <s v="Profit"/>
    <n v="404"/>
  </r>
  <r>
    <n v="293"/>
    <x v="292"/>
    <n v="1098"/>
    <s v="Customer_60"/>
    <s v="Corporate"/>
    <s v="West"/>
    <s v="Furniture"/>
    <s v="Product_C"/>
    <n v="462"/>
    <n v="9"/>
    <n v="0.14000000000000001"/>
    <n v="448"/>
    <s v="UPI"/>
    <n v="3575.88"/>
    <x v="9"/>
    <n v="2024"/>
    <x v="3"/>
    <n v="0.12528384621407876"/>
    <n v="582.12"/>
    <s v="Medium"/>
    <s v="Repeat"/>
    <s v="Below Avg"/>
    <s v="Profit"/>
    <n v="372"/>
  </r>
  <r>
    <n v="294"/>
    <x v="293"/>
    <n v="1082"/>
    <s v="Customer_75"/>
    <s v="Corporate"/>
    <s v="North"/>
    <s v="Electronics"/>
    <s v="Product_A"/>
    <n v="373"/>
    <n v="2"/>
    <n v="0"/>
    <n v="509"/>
    <s v="COD"/>
    <n v="746"/>
    <x v="9"/>
    <n v="2024"/>
    <x v="3"/>
    <n v="0.68230563002680966"/>
    <n v="0"/>
    <s v="Low"/>
    <s v="Repeat"/>
    <s v="Below Avg"/>
    <s v="Profit"/>
    <n v="483"/>
  </r>
  <r>
    <n v="295"/>
    <x v="294"/>
    <n v="1090"/>
    <s v="Customer_14"/>
    <s v="Corporate"/>
    <s v="South"/>
    <s v="Clothing"/>
    <s v="Product_B"/>
    <n v="4106"/>
    <n v="3"/>
    <n v="0.27"/>
    <n v="1883"/>
    <s v="UPI"/>
    <n v="8992.14"/>
    <x v="9"/>
    <n v="2024"/>
    <x v="3"/>
    <n v="0.20940510267856152"/>
    <n v="3325.86"/>
    <s v="High"/>
    <s v="Repeat"/>
    <s v="Below Avg"/>
    <s v="Profit"/>
    <n v="231"/>
  </r>
  <r>
    <n v="296"/>
    <x v="295"/>
    <n v="1035"/>
    <s v="Customer_102"/>
    <s v="Corporate"/>
    <s v="East"/>
    <s v="Clothing"/>
    <s v="Product_A"/>
    <n v="3188"/>
    <n v="9"/>
    <n v="7.0000000000000007E-2"/>
    <n v="956"/>
    <s v="COD"/>
    <n v="26683.559999999899"/>
    <x v="9"/>
    <n v="2024"/>
    <x v="3"/>
    <n v="3.5827303403294146E-2"/>
    <n v="2008.4400000000003"/>
    <s v="High"/>
    <s v="Repeat"/>
    <s v="Above Avg"/>
    <s v="Profit"/>
    <n v="35"/>
  </r>
  <r>
    <n v="297"/>
    <x v="296"/>
    <n v="1058"/>
    <s v="Customer_82"/>
    <s v="Consumer"/>
    <s v="South"/>
    <s v="Clothing"/>
    <s v="Product_D"/>
    <n v="3427"/>
    <n v="6"/>
    <n v="0.27"/>
    <n v="803"/>
    <s v="Card"/>
    <n v="15010.26"/>
    <x v="9"/>
    <n v="2024"/>
    <x v="3"/>
    <n v="5.3496741562104856E-2"/>
    <n v="5551.7400000000007"/>
    <s v="High"/>
    <s v="Repeat"/>
    <s v="Above Avg"/>
    <s v="Profit"/>
    <n v="138"/>
  </r>
  <r>
    <n v="298"/>
    <x v="297"/>
    <n v="1038"/>
    <s v="Customer_14"/>
    <s v="Consumer"/>
    <s v="North"/>
    <s v="Clothing"/>
    <s v="Product_D"/>
    <n v="227"/>
    <n v="6"/>
    <n v="0.18"/>
    <n v="1807"/>
    <s v="COD"/>
    <n v="1116.8399999999999"/>
    <x v="9"/>
    <n v="2024"/>
    <x v="3"/>
    <n v="1.6179578095340426"/>
    <n v="245.16"/>
    <s v="Low"/>
    <s v="Repeat"/>
    <s v="Below Avg"/>
    <s v="Profit"/>
    <n v="475"/>
  </r>
  <r>
    <n v="299"/>
    <x v="298"/>
    <n v="1001"/>
    <s v="Customer_152"/>
    <s v="Corporate"/>
    <s v="North"/>
    <s v="Furniture"/>
    <s v="Product_B"/>
    <n v="3346"/>
    <n v="9"/>
    <n v="0.28999999999999998"/>
    <n v="784"/>
    <s v="UPI"/>
    <n v="21380.94"/>
    <x v="9"/>
    <n v="2024"/>
    <x v="3"/>
    <n v="3.6668172680901778E-2"/>
    <n v="8733.06"/>
    <s v="High"/>
    <s v="Repeat"/>
    <s v="Above Avg"/>
    <s v="Profit"/>
    <n v="72"/>
  </r>
  <r>
    <n v="300"/>
    <x v="299"/>
    <n v="1052"/>
    <s v="Customer_25"/>
    <s v="Corporate"/>
    <s v="North"/>
    <s v="Clothing"/>
    <s v="Product_A"/>
    <n v="1300"/>
    <n v="7"/>
    <n v="0.25"/>
    <n v="-190"/>
    <s v="UPI"/>
    <n v="6825"/>
    <x v="9"/>
    <n v="2024"/>
    <x v="3"/>
    <n v="-2.7838827838827841E-2"/>
    <n v="2275"/>
    <s v="High"/>
    <s v="Repeat"/>
    <s v="Below Avg"/>
    <s v="Loss"/>
    <n v="276"/>
  </r>
  <r>
    <n v="301"/>
    <x v="300"/>
    <n v="1017"/>
    <s v="Customer_109"/>
    <s v="Corporate"/>
    <s v="North"/>
    <s v="Clothing"/>
    <s v="Product_A"/>
    <n v="3165"/>
    <n v="3"/>
    <n v="0"/>
    <n v="286"/>
    <s v="Card"/>
    <n v="9495"/>
    <x v="9"/>
    <n v="2024"/>
    <x v="3"/>
    <n v="3.0121116377040548E-2"/>
    <n v="0"/>
    <s v="High"/>
    <s v="Repeat"/>
    <s v="Below Avg"/>
    <s v="Profit"/>
    <n v="216"/>
  </r>
  <r>
    <n v="302"/>
    <x v="301"/>
    <n v="1045"/>
    <s v="Customer_108"/>
    <s v="Corporate"/>
    <s v="South"/>
    <s v="Clothing"/>
    <s v="Product_A"/>
    <n v="4359"/>
    <n v="9"/>
    <n v="0"/>
    <n v="198"/>
    <s v="Card"/>
    <n v="39231"/>
    <x v="9"/>
    <n v="2024"/>
    <x v="3"/>
    <n v="5.0470291351227348E-3"/>
    <n v="0"/>
    <s v="High"/>
    <s v="Repeat"/>
    <s v="Above Avg"/>
    <s v="Profit"/>
    <n v="3"/>
  </r>
  <r>
    <n v="303"/>
    <x v="302"/>
    <n v="1022"/>
    <s v="Customer_156"/>
    <s v="Consumer"/>
    <s v="West"/>
    <s v="Electronics"/>
    <s v="Product_C"/>
    <n v="4615"/>
    <n v="4"/>
    <n v="0.22"/>
    <n v="247"/>
    <s v="COD"/>
    <n v="14398.8"/>
    <x v="9"/>
    <n v="2024"/>
    <x v="3"/>
    <n v="1.7154207295052366E-2"/>
    <n v="4061.2"/>
    <s v="High"/>
    <s v="Repeat"/>
    <s v="Above Avg"/>
    <s v="Profit"/>
    <n v="145"/>
  </r>
  <r>
    <n v="304"/>
    <x v="303"/>
    <n v="1053"/>
    <s v="Customer_88"/>
    <s v="Consumer"/>
    <s v="North"/>
    <s v="Clothing"/>
    <s v="Product_D"/>
    <n v="3662"/>
    <n v="3"/>
    <n v="0.16"/>
    <n v="1555"/>
    <s v="COD"/>
    <n v="9228.24"/>
    <x v="9"/>
    <n v="2024"/>
    <x v="3"/>
    <n v="0.16850450356731078"/>
    <n v="1757.76"/>
    <s v="High"/>
    <s v="New"/>
    <s v="Below Avg"/>
    <s v="Profit"/>
    <n v="226"/>
  </r>
  <r>
    <n v="305"/>
    <x v="304"/>
    <n v="1089"/>
    <s v="Customer_18"/>
    <s v="Corporate"/>
    <s v="South"/>
    <s v="Electronics"/>
    <s v="Product_A"/>
    <n v="170"/>
    <n v="9"/>
    <n v="0.23"/>
    <n v="291"/>
    <s v="COD"/>
    <n v="1178.0999999999999"/>
    <x v="9"/>
    <n v="2024"/>
    <x v="3"/>
    <n v="0.24700789406671761"/>
    <n v="351.90000000000003"/>
    <s v="Low"/>
    <s v="Repeat"/>
    <s v="Below Avg"/>
    <s v="Profit"/>
    <n v="470"/>
  </r>
  <r>
    <n v="306"/>
    <x v="305"/>
    <n v="1074"/>
    <s v="Customer_57"/>
    <s v="Corporate"/>
    <s v="South"/>
    <s v="Electronics"/>
    <s v="Product_C"/>
    <n v="4005"/>
    <n v="3"/>
    <n v="0.18"/>
    <n v="940"/>
    <s v="COD"/>
    <n v="9852.2999999999993"/>
    <x v="10"/>
    <n v="2024"/>
    <x v="3"/>
    <n v="9.5409193792312469E-2"/>
    <n v="2162.6999999999998"/>
    <s v="High"/>
    <s v="Repeat"/>
    <s v="Below Avg"/>
    <s v="Profit"/>
    <n v="206"/>
  </r>
  <r>
    <n v="307"/>
    <x v="306"/>
    <n v="1000"/>
    <s v="Customer_98"/>
    <s v="Consumer"/>
    <s v="South"/>
    <s v="Electronics"/>
    <s v="Product_C"/>
    <n v="568"/>
    <n v="1"/>
    <n v="7.0000000000000007E-2"/>
    <n v="1894"/>
    <s v="UPI"/>
    <n v="528.24"/>
    <x v="10"/>
    <n v="2024"/>
    <x v="3"/>
    <n v="3.585491443283356"/>
    <n v="39.760000000000005"/>
    <s v="Low"/>
    <s v="Repeat"/>
    <s v="Below Avg"/>
    <s v="Profit"/>
    <n v="490"/>
  </r>
  <r>
    <n v="308"/>
    <x v="307"/>
    <n v="1035"/>
    <s v="Customer_170"/>
    <s v="Consumer"/>
    <s v="North"/>
    <s v="Clothing"/>
    <s v="Product_A"/>
    <n v="3660"/>
    <n v="3"/>
    <n v="0.24"/>
    <n v="1824"/>
    <s v="COD"/>
    <n v="8344.7999999999993"/>
    <x v="10"/>
    <n v="2024"/>
    <x v="3"/>
    <n v="0.21857923497267762"/>
    <n v="2635.2"/>
    <s v="High"/>
    <s v="Repeat"/>
    <s v="Below Avg"/>
    <s v="Profit"/>
    <n v="241"/>
  </r>
  <r>
    <n v="309"/>
    <x v="308"/>
    <n v="1083"/>
    <s v="Customer_67"/>
    <s v="Corporate"/>
    <s v="East"/>
    <s v="Furniture"/>
    <s v="Product_D"/>
    <n v="2023"/>
    <n v="3"/>
    <n v="0.01"/>
    <n v="356"/>
    <s v="Card"/>
    <n v="6008.31"/>
    <x v="10"/>
    <n v="2024"/>
    <x v="3"/>
    <n v="5.9251270323934679E-2"/>
    <n v="60.69"/>
    <s v="High"/>
    <s v="Repeat"/>
    <s v="Below Avg"/>
    <s v="Profit"/>
    <n v="297"/>
  </r>
  <r>
    <n v="310"/>
    <x v="309"/>
    <n v="1094"/>
    <s v="Customer_140"/>
    <s v="Consumer"/>
    <s v="North"/>
    <s v="Clothing"/>
    <s v="Product_B"/>
    <n v="3079"/>
    <n v="5"/>
    <n v="0.24"/>
    <n v="1522"/>
    <s v="UPI"/>
    <n v="11700.2"/>
    <x v="10"/>
    <n v="2024"/>
    <x v="3"/>
    <n v="0.13008324644023178"/>
    <n v="3694.7999999999997"/>
    <s v="High"/>
    <s v="Repeat"/>
    <s v="Above Avg"/>
    <s v="Profit"/>
    <n v="178"/>
  </r>
  <r>
    <n v="311"/>
    <x v="310"/>
    <n v="1071"/>
    <s v="Customer_164"/>
    <s v="Corporate"/>
    <s v="South"/>
    <s v="Furniture"/>
    <s v="Product_B"/>
    <n v="4122"/>
    <n v="9"/>
    <n v="0.2"/>
    <n v="-297"/>
    <s v="Card"/>
    <n v="29678.400000000001"/>
    <x v="10"/>
    <n v="2024"/>
    <x v="3"/>
    <n v="-1.0007278020378457E-2"/>
    <n v="7419.6"/>
    <s v="High"/>
    <s v="Repeat"/>
    <s v="Above Avg"/>
    <s v="Loss"/>
    <n v="25"/>
  </r>
  <r>
    <n v="312"/>
    <x v="311"/>
    <n v="1039"/>
    <s v="Customer_69"/>
    <s v="Corporate"/>
    <s v="North"/>
    <s v="Clothing"/>
    <s v="Product_A"/>
    <n v="4319"/>
    <n v="7"/>
    <n v="0.2"/>
    <n v="1668"/>
    <s v="UPI"/>
    <n v="24186.400000000001"/>
    <x v="10"/>
    <n v="2024"/>
    <x v="3"/>
    <n v="6.896437667449476E-2"/>
    <n v="6046.6"/>
    <s v="High"/>
    <s v="Repeat"/>
    <s v="Above Avg"/>
    <s v="Profit"/>
    <n v="50"/>
  </r>
  <r>
    <n v="313"/>
    <x v="312"/>
    <n v="1087"/>
    <s v="Customer_83"/>
    <s v="Consumer"/>
    <s v="West"/>
    <s v="Clothing"/>
    <s v="Product_D"/>
    <n v="4618"/>
    <n v="3"/>
    <n v="0.01"/>
    <n v="1802"/>
    <s v="COD"/>
    <n v="13715.46"/>
    <x v="10"/>
    <n v="2024"/>
    <x v="3"/>
    <n v="0.13138458352836874"/>
    <n v="138.54"/>
    <s v="High"/>
    <s v="Repeat"/>
    <s v="Above Avg"/>
    <s v="Profit"/>
    <n v="150"/>
  </r>
  <r>
    <n v="314"/>
    <x v="313"/>
    <n v="1083"/>
    <s v="Customer_76"/>
    <s v="Corporate"/>
    <s v="East"/>
    <s v="Furniture"/>
    <s v="Product_B"/>
    <n v="666"/>
    <n v="3"/>
    <n v="0.06"/>
    <n v="-107"/>
    <s v="UPI"/>
    <n v="1878.12"/>
    <x v="10"/>
    <n v="2024"/>
    <x v="3"/>
    <n v="-5.6971865482503783E-2"/>
    <n v="119.88"/>
    <s v="Low"/>
    <s v="Repeat"/>
    <s v="Below Avg"/>
    <s v="Loss"/>
    <n v="437"/>
  </r>
  <r>
    <n v="315"/>
    <x v="314"/>
    <n v="1078"/>
    <s v="Customer_91"/>
    <s v="Corporate"/>
    <s v="East"/>
    <s v="Electronics"/>
    <s v="Product_D"/>
    <n v="3227"/>
    <n v="4"/>
    <n v="0.15"/>
    <n v="200"/>
    <s v="COD"/>
    <n v="10971.8"/>
    <x v="10"/>
    <n v="2024"/>
    <x v="3"/>
    <n v="1.8228549554311965E-2"/>
    <n v="1936.1999999999998"/>
    <s v="High"/>
    <s v="Repeat"/>
    <s v="Above Avg"/>
    <s v="Profit"/>
    <n v="193"/>
  </r>
  <r>
    <n v="316"/>
    <x v="315"/>
    <n v="1029"/>
    <s v="Customer_17"/>
    <s v="Corporate"/>
    <s v="North"/>
    <s v="Electronics"/>
    <s v="Product_B"/>
    <n v="4116"/>
    <n v="7"/>
    <n v="0.13"/>
    <n v="1791"/>
    <s v="UPI"/>
    <n v="25066.44"/>
    <x v="10"/>
    <n v="2024"/>
    <x v="3"/>
    <n v="7.1450114176564369E-2"/>
    <n v="3745.56"/>
    <s v="High"/>
    <s v="Repeat"/>
    <s v="Above Avg"/>
    <s v="Profit"/>
    <n v="41"/>
  </r>
  <r>
    <n v="317"/>
    <x v="316"/>
    <n v="1019"/>
    <s v="Customer_171"/>
    <s v="Corporate"/>
    <s v="East"/>
    <s v="Electronics"/>
    <s v="Product_C"/>
    <n v="1265"/>
    <n v="4"/>
    <n v="0.01"/>
    <n v="458"/>
    <s v="Card"/>
    <n v="5009.3999999999996"/>
    <x v="10"/>
    <n v="2024"/>
    <x v="3"/>
    <n v="9.1428115143530164E-2"/>
    <n v="50.6"/>
    <s v="High"/>
    <s v="Repeat"/>
    <s v="Below Avg"/>
    <s v="Profit"/>
    <n v="322"/>
  </r>
  <r>
    <n v="318"/>
    <x v="317"/>
    <n v="1037"/>
    <s v="Customer_92"/>
    <s v="Corporate"/>
    <s v="East"/>
    <s v="Furniture"/>
    <s v="Product_D"/>
    <n v="4336"/>
    <n v="9"/>
    <n v="0.1"/>
    <n v="-99"/>
    <s v="COD"/>
    <n v="35121.599999999999"/>
    <x v="10"/>
    <n v="2024"/>
    <x v="3"/>
    <n v="-2.8187781877818778E-3"/>
    <n v="3902.4"/>
    <s v="High"/>
    <s v="Repeat"/>
    <s v="Above Avg"/>
    <s v="Loss"/>
    <n v="10"/>
  </r>
  <r>
    <n v="319"/>
    <x v="318"/>
    <n v="1001"/>
    <s v="Customer_40"/>
    <s v="Corporate"/>
    <s v="South"/>
    <s v="Clothing"/>
    <s v="Product_B"/>
    <n v="1915"/>
    <n v="3"/>
    <n v="0.28999999999999998"/>
    <n v="1599"/>
    <s v="Card"/>
    <n v="4078.95"/>
    <x v="10"/>
    <n v="2024"/>
    <x v="3"/>
    <n v="0.39201265031441918"/>
    <n v="1666.05"/>
    <s v="Medium"/>
    <s v="Repeat"/>
    <s v="Below Avg"/>
    <s v="Profit"/>
    <n v="349"/>
  </r>
  <r>
    <n v="320"/>
    <x v="319"/>
    <n v="1005"/>
    <s v="Customer_22"/>
    <s v="Corporate"/>
    <s v="South"/>
    <s v="Clothing"/>
    <s v="Product_A"/>
    <n v="4067"/>
    <n v="7"/>
    <n v="0.09"/>
    <n v="1720"/>
    <s v="UPI"/>
    <n v="25906.79"/>
    <x v="10"/>
    <n v="2024"/>
    <x v="3"/>
    <n v="6.6391860975443112E-2"/>
    <n v="2562.21"/>
    <s v="High"/>
    <s v="Repeat"/>
    <s v="Above Avg"/>
    <s v="Profit"/>
    <n v="40"/>
  </r>
  <r>
    <n v="321"/>
    <x v="320"/>
    <n v="1081"/>
    <s v="Customer_192"/>
    <s v="Corporate"/>
    <s v="East"/>
    <s v="Furniture"/>
    <s v="Product_D"/>
    <n v="240"/>
    <n v="9"/>
    <n v="0.19"/>
    <n v="271"/>
    <s v="Card"/>
    <n v="1749.6"/>
    <x v="10"/>
    <n v="2024"/>
    <x v="3"/>
    <n v="0.15489254686785553"/>
    <n v="410.4"/>
    <s v="Low"/>
    <s v="Repeat"/>
    <s v="Below Avg"/>
    <s v="Profit"/>
    <n v="443"/>
  </r>
  <r>
    <n v="322"/>
    <x v="321"/>
    <n v="1035"/>
    <s v="Customer_138"/>
    <s v="Consumer"/>
    <s v="North"/>
    <s v="Electronics"/>
    <s v="Product_D"/>
    <n v="3410"/>
    <n v="5"/>
    <n v="0.2"/>
    <n v="1549"/>
    <s v="Card"/>
    <n v="13640"/>
    <x v="10"/>
    <n v="2024"/>
    <x v="3"/>
    <n v="0.11356304985337243"/>
    <n v="3410"/>
    <s v="High"/>
    <s v="Repeat"/>
    <s v="Above Avg"/>
    <s v="Profit"/>
    <n v="151"/>
  </r>
  <r>
    <n v="323"/>
    <x v="322"/>
    <n v="1077"/>
    <s v="Customer_105"/>
    <s v="Consumer"/>
    <s v="East"/>
    <s v="Clothing"/>
    <s v="Product_D"/>
    <n v="601"/>
    <n v="4"/>
    <n v="0.19"/>
    <n v="-310"/>
    <s v="COD"/>
    <n v="1947.24"/>
    <x v="10"/>
    <n v="2024"/>
    <x v="3"/>
    <n v="-0.15919968776319304"/>
    <n v="456.76"/>
    <s v="Low"/>
    <s v="Repeat"/>
    <s v="Below Avg"/>
    <s v="Loss"/>
    <n v="433"/>
  </r>
  <r>
    <n v="324"/>
    <x v="323"/>
    <n v="1025"/>
    <s v="Customer_134"/>
    <s v="Corporate"/>
    <s v="South"/>
    <s v="Furniture"/>
    <s v="Product_B"/>
    <n v="1554"/>
    <n v="2"/>
    <n v="0.09"/>
    <n v="1816"/>
    <s v="COD"/>
    <n v="2828.28"/>
    <x v="10"/>
    <n v="2024"/>
    <x v="3"/>
    <n v="0.64208635637207057"/>
    <n v="279.71999999999997"/>
    <s v="Medium"/>
    <s v="Repeat"/>
    <s v="Below Avg"/>
    <s v="Profit"/>
    <n v="398"/>
  </r>
  <r>
    <n v="325"/>
    <x v="324"/>
    <n v="1097"/>
    <s v="Customer_17"/>
    <s v="Consumer"/>
    <s v="South"/>
    <s v="Furniture"/>
    <s v="Product_C"/>
    <n v="4379"/>
    <n v="5"/>
    <n v="0.17"/>
    <n v="884"/>
    <s v="UPI"/>
    <n v="18172.849999999999"/>
    <x v="10"/>
    <n v="2024"/>
    <x v="3"/>
    <n v="4.8643993649867802E-2"/>
    <n v="3722.15"/>
    <s v="High"/>
    <s v="Repeat"/>
    <s v="Above Avg"/>
    <s v="Profit"/>
    <n v="90"/>
  </r>
  <r>
    <n v="326"/>
    <x v="325"/>
    <n v="1093"/>
    <s v="Customer_76"/>
    <s v="Corporate"/>
    <s v="East"/>
    <s v="Clothing"/>
    <s v="Product_C"/>
    <n v="635"/>
    <n v="3"/>
    <n v="0.21"/>
    <n v="895"/>
    <s v="Card"/>
    <n v="1504.95"/>
    <x v="10"/>
    <n v="2024"/>
    <x v="3"/>
    <n v="0.59470414299478391"/>
    <n v="400.05"/>
    <s v="Low"/>
    <s v="Repeat"/>
    <s v="Below Avg"/>
    <s v="Profit"/>
    <n v="457"/>
  </r>
  <r>
    <n v="327"/>
    <x v="326"/>
    <n v="1070"/>
    <s v="Customer_191"/>
    <s v="Consumer"/>
    <s v="East"/>
    <s v="Furniture"/>
    <s v="Product_B"/>
    <n v="2260"/>
    <n v="3"/>
    <n v="0.11"/>
    <n v="1691"/>
    <s v="UPI"/>
    <n v="6034.2"/>
    <x v="10"/>
    <n v="2024"/>
    <x v="3"/>
    <n v="0.28023598820058998"/>
    <n v="745.8"/>
    <s v="High"/>
    <s v="Repeat"/>
    <s v="Below Avg"/>
    <s v="Profit"/>
    <n v="295"/>
  </r>
  <r>
    <n v="328"/>
    <x v="327"/>
    <n v="1058"/>
    <s v="Customer_198"/>
    <s v="Consumer"/>
    <s v="West"/>
    <s v="Furniture"/>
    <s v="Product_C"/>
    <n v="4341"/>
    <n v="7"/>
    <n v="0.08"/>
    <n v="-164"/>
    <s v="COD"/>
    <n v="27956.04"/>
    <x v="10"/>
    <n v="2024"/>
    <x v="3"/>
    <n v="-5.8663530314021581E-3"/>
    <n v="2430.96"/>
    <s v="High"/>
    <s v="Repeat"/>
    <s v="Above Avg"/>
    <s v="Loss"/>
    <n v="32"/>
  </r>
  <r>
    <n v="329"/>
    <x v="328"/>
    <n v="1029"/>
    <s v="Customer_178"/>
    <s v="Consumer"/>
    <s v="West"/>
    <s v="Electronics"/>
    <s v="Product_C"/>
    <n v="2929"/>
    <n v="6"/>
    <n v="0.08"/>
    <n v="122"/>
    <s v="COD"/>
    <n v="16168.08"/>
    <x v="10"/>
    <n v="2024"/>
    <x v="3"/>
    <n v="7.5457320844528235E-3"/>
    <n v="1405.92"/>
    <s v="High"/>
    <s v="Repeat"/>
    <s v="Above Avg"/>
    <s v="Profit"/>
    <n v="123"/>
  </r>
  <r>
    <n v="330"/>
    <x v="329"/>
    <n v="1081"/>
    <s v="Customer_80"/>
    <s v="Corporate"/>
    <s v="North"/>
    <s v="Furniture"/>
    <s v="Product_A"/>
    <n v="4483"/>
    <n v="3"/>
    <n v="0.28000000000000003"/>
    <n v="1527"/>
    <s v="Card"/>
    <n v="9683.2799999999897"/>
    <x v="10"/>
    <n v="2024"/>
    <x v="3"/>
    <n v="0.15769450021067258"/>
    <n v="3765.7200000000003"/>
    <s v="High"/>
    <s v="Repeat"/>
    <s v="Below Avg"/>
    <s v="Profit"/>
    <n v="209"/>
  </r>
  <r>
    <n v="331"/>
    <x v="330"/>
    <n v="1021"/>
    <s v="Customer_196"/>
    <s v="Corporate"/>
    <s v="South"/>
    <s v="Electronics"/>
    <s v="Product_C"/>
    <n v="1725"/>
    <n v="9"/>
    <n v="0.19"/>
    <n v="508"/>
    <s v="COD"/>
    <n v="12575.25"/>
    <x v="10"/>
    <n v="2024"/>
    <x v="3"/>
    <n v="4.0396811196596487E-2"/>
    <n v="2949.75"/>
    <s v="High"/>
    <s v="Repeat"/>
    <s v="Above Avg"/>
    <s v="Profit"/>
    <n v="162"/>
  </r>
  <r>
    <n v="332"/>
    <x v="331"/>
    <n v="1016"/>
    <s v="Customer_153"/>
    <s v="Consumer"/>
    <s v="South"/>
    <s v="Furniture"/>
    <s v="Product_B"/>
    <n v="4547"/>
    <n v="7"/>
    <n v="0.23"/>
    <n v="695"/>
    <s v="UPI"/>
    <n v="24508.33"/>
    <x v="10"/>
    <n v="2024"/>
    <x v="3"/>
    <n v="2.8357705318967058E-2"/>
    <n v="7320.67"/>
    <s v="High"/>
    <s v="Repeat"/>
    <s v="Above Avg"/>
    <s v="Profit"/>
    <n v="47"/>
  </r>
  <r>
    <n v="333"/>
    <x v="332"/>
    <n v="1030"/>
    <s v="Customer_33"/>
    <s v="Consumer"/>
    <s v="South"/>
    <s v="Electronics"/>
    <s v="Product_B"/>
    <n v="2252"/>
    <n v="8"/>
    <n v="0.17"/>
    <n v="1739"/>
    <s v="Card"/>
    <n v="14953.279999999901"/>
    <x v="10"/>
    <n v="2024"/>
    <x v="3"/>
    <n v="0.11629555522266764"/>
    <n v="3062.7200000000003"/>
    <s v="High"/>
    <s v="Repeat"/>
    <s v="Above Avg"/>
    <s v="Profit"/>
    <n v="140"/>
  </r>
  <r>
    <n v="334"/>
    <x v="333"/>
    <n v="1055"/>
    <s v="Customer_1"/>
    <s v="Corporate"/>
    <s v="West"/>
    <s v="Clothing"/>
    <s v="Product_B"/>
    <n v="3427"/>
    <n v="4"/>
    <n v="0.19"/>
    <n v="922"/>
    <s v="Card"/>
    <n v="11103.48"/>
    <x v="10"/>
    <n v="2024"/>
    <x v="3"/>
    <n v="8.3037029832088688E-2"/>
    <n v="2604.52"/>
    <s v="High"/>
    <s v="Repeat"/>
    <s v="Above Avg"/>
    <s v="Profit"/>
    <n v="188"/>
  </r>
  <r>
    <n v="335"/>
    <x v="334"/>
    <n v="1080"/>
    <s v="Customer_79"/>
    <s v="Consumer"/>
    <s v="North"/>
    <s v="Clothing"/>
    <s v="Product_A"/>
    <n v="370"/>
    <n v="7"/>
    <n v="0.08"/>
    <n v="1381"/>
    <s v="Card"/>
    <n v="2382.8000000000002"/>
    <x v="10"/>
    <n v="2024"/>
    <x v="3"/>
    <n v="0.57957025348329694"/>
    <n v="207.20000000000002"/>
    <s v="Medium"/>
    <s v="Repeat"/>
    <s v="Below Avg"/>
    <s v="Profit"/>
    <n v="413"/>
  </r>
  <r>
    <n v="336"/>
    <x v="335"/>
    <n v="1030"/>
    <s v="Customer_128"/>
    <s v="Consumer"/>
    <s v="South"/>
    <s v="Electronics"/>
    <s v="Product_D"/>
    <n v="4426"/>
    <n v="9"/>
    <n v="0.27"/>
    <n v="-447"/>
    <s v="Card"/>
    <n v="29078.82"/>
    <x v="11"/>
    <n v="2024"/>
    <x v="3"/>
    <n v="-1.537201303216568E-2"/>
    <n v="10755.18"/>
    <s v="High"/>
    <s v="Repeat"/>
    <s v="Above Avg"/>
    <s v="Loss"/>
    <n v="26"/>
  </r>
  <r>
    <n v="337"/>
    <x v="336"/>
    <n v="1012"/>
    <s v="Customer_145"/>
    <s v="Corporate"/>
    <s v="West"/>
    <s v="Clothing"/>
    <s v="Product_C"/>
    <n v="3915"/>
    <n v="8"/>
    <n v="0.15"/>
    <n v="-47"/>
    <s v="Card"/>
    <n v="26622"/>
    <x v="11"/>
    <n v="2024"/>
    <x v="3"/>
    <n v="-1.7654571407106905E-3"/>
    <n v="4698"/>
    <s v="High"/>
    <s v="Repeat"/>
    <s v="Above Avg"/>
    <s v="Loss"/>
    <n v="36"/>
  </r>
  <r>
    <n v="338"/>
    <x v="337"/>
    <n v="1090"/>
    <s v="Customer_171"/>
    <s v="Consumer"/>
    <s v="North"/>
    <s v="Furniture"/>
    <s v="Product_B"/>
    <n v="1456"/>
    <n v="7"/>
    <n v="0.24"/>
    <n v="-31"/>
    <s v="Card"/>
    <n v="7745.92"/>
    <x v="11"/>
    <n v="2024"/>
    <x v="3"/>
    <n v="-4.0021069156407499E-3"/>
    <n v="2446.08"/>
    <s v="High"/>
    <s v="Repeat"/>
    <s v="Below Avg"/>
    <s v="Loss"/>
    <n v="258"/>
  </r>
  <r>
    <n v="339"/>
    <x v="338"/>
    <n v="1083"/>
    <s v="Customer_186"/>
    <s v="Corporate"/>
    <s v="East"/>
    <s v="Electronics"/>
    <s v="Product_A"/>
    <n v="4189"/>
    <n v="5"/>
    <n v="0.16"/>
    <n v="798"/>
    <s v="Card"/>
    <n v="17593.8"/>
    <x v="11"/>
    <n v="2024"/>
    <x v="3"/>
    <n v="4.5356887085223209E-2"/>
    <n v="3351.2000000000003"/>
    <s v="High"/>
    <s v="Repeat"/>
    <s v="Above Avg"/>
    <s v="Profit"/>
    <n v="95"/>
  </r>
  <r>
    <n v="340"/>
    <x v="339"/>
    <n v="1016"/>
    <s v="Customer_147"/>
    <s v="Consumer"/>
    <s v="East"/>
    <s v="Electronics"/>
    <s v="Product_C"/>
    <n v="190"/>
    <n v="8"/>
    <n v="0.03"/>
    <n v="728"/>
    <s v="Card"/>
    <n v="1474.3999999999901"/>
    <x v="11"/>
    <n v="2024"/>
    <x v="3"/>
    <n v="0.4937601736299545"/>
    <n v="45.6"/>
    <s v="Low"/>
    <s v="Repeat"/>
    <s v="Below Avg"/>
    <s v="Profit"/>
    <n v="458"/>
  </r>
  <r>
    <n v="341"/>
    <x v="340"/>
    <n v="1092"/>
    <s v="Customer_54"/>
    <s v="Corporate"/>
    <s v="East"/>
    <s v="Clothing"/>
    <s v="Product_D"/>
    <n v="2277"/>
    <n v="8"/>
    <n v="0.03"/>
    <n v="297"/>
    <s v="UPI"/>
    <n v="17669.52"/>
    <x v="11"/>
    <n v="2024"/>
    <x v="3"/>
    <n v="1.6808606006275213E-2"/>
    <n v="546.48"/>
    <s v="High"/>
    <s v="Repeat"/>
    <s v="Above Avg"/>
    <s v="Profit"/>
    <n v="94"/>
  </r>
  <r>
    <n v="342"/>
    <x v="341"/>
    <n v="1038"/>
    <s v="Customer_114"/>
    <s v="Corporate"/>
    <s v="West"/>
    <s v="Electronics"/>
    <s v="Product_A"/>
    <n v="1830"/>
    <n v="4"/>
    <n v="0.14000000000000001"/>
    <n v="898"/>
    <s v="COD"/>
    <n v="6295.2"/>
    <x v="11"/>
    <n v="2024"/>
    <x v="3"/>
    <n v="0.14264836700978523"/>
    <n v="1024.8000000000002"/>
    <s v="High"/>
    <s v="Repeat"/>
    <s v="Below Avg"/>
    <s v="Profit"/>
    <n v="291"/>
  </r>
  <r>
    <n v="343"/>
    <x v="342"/>
    <n v="1098"/>
    <s v="Customer_83"/>
    <s v="Corporate"/>
    <s v="East"/>
    <s v="Clothing"/>
    <s v="Product_B"/>
    <n v="2458"/>
    <n v="9"/>
    <n v="0.13"/>
    <n v="-443"/>
    <s v="COD"/>
    <n v="19246.14"/>
    <x v="11"/>
    <n v="2024"/>
    <x v="3"/>
    <n v="-2.3017602490681251E-2"/>
    <n v="2875.86"/>
    <s v="High"/>
    <s v="Repeat"/>
    <s v="Above Avg"/>
    <s v="Loss"/>
    <n v="83"/>
  </r>
  <r>
    <n v="344"/>
    <x v="343"/>
    <n v="1007"/>
    <s v="Customer_84"/>
    <s v="Consumer"/>
    <s v="East"/>
    <s v="Electronics"/>
    <s v="Product_B"/>
    <n v="2809"/>
    <n v="1"/>
    <n v="0.27"/>
    <n v="-352"/>
    <s v="COD"/>
    <n v="2050.5700000000002"/>
    <x v="11"/>
    <n v="2024"/>
    <x v="3"/>
    <n v="-0.17165958733425338"/>
    <n v="758.43000000000006"/>
    <s v="Medium"/>
    <s v="Repeat"/>
    <s v="Below Avg"/>
    <s v="Loss"/>
    <n v="426"/>
  </r>
  <r>
    <n v="345"/>
    <x v="344"/>
    <n v="1037"/>
    <s v="Customer_1"/>
    <s v="Consumer"/>
    <s v="North"/>
    <s v="Clothing"/>
    <s v="Product_D"/>
    <n v="448"/>
    <n v="9"/>
    <n v="0.04"/>
    <n v="1096"/>
    <s v="COD"/>
    <n v="3870.72"/>
    <x v="11"/>
    <n v="2024"/>
    <x v="3"/>
    <n v="0.28315145502645506"/>
    <n v="161.28"/>
    <s v="Medium"/>
    <s v="Repeat"/>
    <s v="Below Avg"/>
    <s v="Profit"/>
    <n v="358"/>
  </r>
  <r>
    <n v="346"/>
    <x v="345"/>
    <n v="1014"/>
    <s v="Customer_144"/>
    <s v="Consumer"/>
    <s v="East"/>
    <s v="Clothing"/>
    <s v="Product_C"/>
    <n v="4977"/>
    <n v="1"/>
    <n v="0.21"/>
    <n v="294"/>
    <s v="Card"/>
    <n v="3931.83"/>
    <x v="11"/>
    <n v="2024"/>
    <x v="3"/>
    <n v="7.4774341718741658E-2"/>
    <n v="1045.17"/>
    <s v="Medium"/>
    <s v="Repeat"/>
    <s v="Below Avg"/>
    <s v="Profit"/>
    <n v="357"/>
  </r>
  <r>
    <n v="347"/>
    <x v="346"/>
    <n v="1000"/>
    <s v="Customer_152"/>
    <s v="Consumer"/>
    <s v="East"/>
    <s v="Furniture"/>
    <s v="Product_A"/>
    <n v="4432"/>
    <n v="5"/>
    <n v="0.28000000000000003"/>
    <n v="1809"/>
    <s v="UPI"/>
    <n v="15955.199999999901"/>
    <x v="11"/>
    <n v="2024"/>
    <x v="3"/>
    <n v="0.11337996389891768"/>
    <n v="6204.8"/>
    <s v="High"/>
    <s v="Repeat"/>
    <s v="Above Avg"/>
    <s v="Profit"/>
    <n v="130"/>
  </r>
  <r>
    <n v="348"/>
    <x v="347"/>
    <n v="1096"/>
    <s v="Customer_192"/>
    <s v="Corporate"/>
    <s v="West"/>
    <s v="Furniture"/>
    <s v="Product_A"/>
    <n v="1393"/>
    <n v="6"/>
    <n v="0.12"/>
    <n v="1693"/>
    <s v="Card"/>
    <n v="7355.04"/>
    <x v="11"/>
    <n v="2024"/>
    <x v="3"/>
    <n v="0.23018229676521135"/>
    <n v="1002.9599999999999"/>
    <s v="High"/>
    <s v="Repeat"/>
    <s v="Below Avg"/>
    <s v="Profit"/>
    <n v="266"/>
  </r>
  <r>
    <n v="349"/>
    <x v="348"/>
    <n v="1002"/>
    <s v="Customer_186"/>
    <s v="Consumer"/>
    <s v="West"/>
    <s v="Electronics"/>
    <s v="Product_C"/>
    <n v="4564"/>
    <n v="5"/>
    <n v="0.27"/>
    <n v="710"/>
    <s v="UPI"/>
    <n v="16658.599999999999"/>
    <x v="11"/>
    <n v="2024"/>
    <x v="3"/>
    <n v="4.2620628384137924E-2"/>
    <n v="6161.4000000000005"/>
    <s v="High"/>
    <s v="Repeat"/>
    <s v="Above Avg"/>
    <s v="Profit"/>
    <n v="111"/>
  </r>
  <r>
    <n v="350"/>
    <x v="349"/>
    <n v="1037"/>
    <s v="Customer_152"/>
    <s v="Consumer"/>
    <s v="West"/>
    <s v="Clothing"/>
    <s v="Product_B"/>
    <n v="2447"/>
    <n v="4"/>
    <n v="0.04"/>
    <n v="-339"/>
    <s v="UPI"/>
    <n v="9396.48"/>
    <x v="11"/>
    <n v="2024"/>
    <x v="3"/>
    <n v="-3.6077339599509609E-2"/>
    <n v="391.52"/>
    <s v="High"/>
    <s v="Repeat"/>
    <s v="Below Avg"/>
    <s v="Loss"/>
    <n v="221"/>
  </r>
  <r>
    <n v="351"/>
    <x v="350"/>
    <n v="1047"/>
    <s v="Customer_186"/>
    <s v="Consumer"/>
    <s v="East"/>
    <s v="Furniture"/>
    <s v="Product_C"/>
    <n v="3091"/>
    <n v="5"/>
    <n v="0.03"/>
    <n v="644"/>
    <s v="UPI"/>
    <n v="14991.35"/>
    <x v="11"/>
    <n v="2024"/>
    <x v="3"/>
    <n v="4.2958105841034995E-2"/>
    <n v="463.65"/>
    <s v="High"/>
    <s v="Repeat"/>
    <s v="Above Avg"/>
    <s v="Profit"/>
    <n v="139"/>
  </r>
  <r>
    <n v="352"/>
    <x v="351"/>
    <n v="1062"/>
    <s v="Customer_101"/>
    <s v="Consumer"/>
    <s v="North"/>
    <s v="Electronics"/>
    <s v="Product_C"/>
    <n v="2900"/>
    <n v="7"/>
    <n v="7.0000000000000007E-2"/>
    <n v="1932"/>
    <s v="UPI"/>
    <n v="18879"/>
    <x v="11"/>
    <n v="2024"/>
    <x v="3"/>
    <n v="0.10233592880978866"/>
    <n v="1421.0000000000002"/>
    <s v="High"/>
    <s v="Repeat"/>
    <s v="Above Avg"/>
    <s v="Profit"/>
    <n v="85"/>
  </r>
  <r>
    <n v="353"/>
    <x v="352"/>
    <n v="1061"/>
    <s v="Customer_192"/>
    <s v="Consumer"/>
    <s v="South"/>
    <s v="Clothing"/>
    <s v="Product_C"/>
    <n v="4356"/>
    <n v="2"/>
    <n v="0.16"/>
    <n v="332"/>
    <s v="COD"/>
    <n v="7318.08"/>
    <x v="11"/>
    <n v="2024"/>
    <x v="3"/>
    <n v="4.5367090821636279E-2"/>
    <n v="1393.92"/>
    <s v="High"/>
    <s v="Repeat"/>
    <s v="Below Avg"/>
    <s v="Profit"/>
    <n v="268"/>
  </r>
  <r>
    <n v="354"/>
    <x v="353"/>
    <n v="1014"/>
    <s v="Customer_169"/>
    <s v="Corporate"/>
    <s v="West"/>
    <s v="Furniture"/>
    <s v="Product_B"/>
    <n v="1224"/>
    <n v="7"/>
    <n v="0.19"/>
    <n v="210"/>
    <s v="COD"/>
    <n v="6940.08"/>
    <x v="11"/>
    <n v="2024"/>
    <x v="3"/>
    <n v="3.0259017187121762E-2"/>
    <n v="1627.92"/>
    <s v="High"/>
    <s v="Repeat"/>
    <s v="Below Avg"/>
    <s v="Profit"/>
    <n v="275"/>
  </r>
  <r>
    <n v="355"/>
    <x v="354"/>
    <n v="1061"/>
    <s v="Customer_161"/>
    <s v="Consumer"/>
    <s v="North"/>
    <s v="Clothing"/>
    <s v="Product_B"/>
    <n v="673"/>
    <n v="9"/>
    <n v="0.23"/>
    <n v="944"/>
    <s v="UPI"/>
    <n v="4663.8900000000003"/>
    <x v="11"/>
    <n v="2024"/>
    <x v="3"/>
    <n v="0.20240614594255008"/>
    <n v="1393.1100000000001"/>
    <s v="Medium"/>
    <s v="Repeat"/>
    <s v="Below Avg"/>
    <s v="Profit"/>
    <n v="332"/>
  </r>
  <r>
    <n v="356"/>
    <x v="355"/>
    <n v="1081"/>
    <s v="Customer_186"/>
    <s v="Corporate"/>
    <s v="East"/>
    <s v="Furniture"/>
    <s v="Product_A"/>
    <n v="4179"/>
    <n v="7"/>
    <n v="0.23"/>
    <n v="-144"/>
    <s v="UPI"/>
    <n v="22524.81"/>
    <x v="11"/>
    <n v="2024"/>
    <x v="3"/>
    <n v="-6.3929507063544598E-3"/>
    <n v="6728.1900000000005"/>
    <s v="High"/>
    <s v="Repeat"/>
    <s v="Above Avg"/>
    <s v="Loss"/>
    <n v="62"/>
  </r>
  <r>
    <n v="357"/>
    <x v="356"/>
    <n v="1037"/>
    <s v="Customer_125"/>
    <s v="Consumer"/>
    <s v="West"/>
    <s v="Clothing"/>
    <s v="Product_C"/>
    <n v="928"/>
    <n v="4"/>
    <n v="0.03"/>
    <n v="182"/>
    <s v="Card"/>
    <n v="3600.64"/>
    <x v="11"/>
    <n v="2024"/>
    <x v="3"/>
    <n v="5.0546569498755779E-2"/>
    <n v="111.36"/>
    <s v="Medium"/>
    <s v="Repeat"/>
    <s v="Below Avg"/>
    <s v="Profit"/>
    <n v="368"/>
  </r>
  <r>
    <n v="358"/>
    <x v="357"/>
    <n v="1094"/>
    <s v="Customer_184"/>
    <s v="Consumer"/>
    <s v="North"/>
    <s v="Electronics"/>
    <s v="Product_C"/>
    <n v="570"/>
    <n v="8"/>
    <n v="0.26"/>
    <n v="1134"/>
    <s v="UPI"/>
    <n v="3374.4"/>
    <x v="11"/>
    <n v="2024"/>
    <x v="3"/>
    <n v="0.33605974395448079"/>
    <n v="1185.6000000000001"/>
    <s v="Medium"/>
    <s v="Repeat"/>
    <s v="Below Avg"/>
    <s v="Profit"/>
    <n v="382"/>
  </r>
  <r>
    <n v="359"/>
    <x v="358"/>
    <n v="1019"/>
    <s v="Customer_95"/>
    <s v="Corporate"/>
    <s v="South"/>
    <s v="Furniture"/>
    <s v="Product_B"/>
    <n v="4250"/>
    <n v="8"/>
    <n v="0.03"/>
    <n v="335"/>
    <s v="Card"/>
    <n v="32980"/>
    <x v="11"/>
    <n v="2024"/>
    <x v="3"/>
    <n v="1.015767131594906E-2"/>
    <n v="1020"/>
    <s v="High"/>
    <s v="Repeat"/>
    <s v="Above Avg"/>
    <s v="Profit"/>
    <n v="17"/>
  </r>
  <r>
    <n v="360"/>
    <x v="359"/>
    <n v="1058"/>
    <s v="Customer_15"/>
    <s v="Corporate"/>
    <s v="North"/>
    <s v="Clothing"/>
    <s v="Product_B"/>
    <n v="2351"/>
    <n v="9"/>
    <n v="0.27"/>
    <n v="28"/>
    <s v="COD"/>
    <n v="15446.07"/>
    <x v="11"/>
    <n v="2024"/>
    <x v="3"/>
    <n v="1.8127588441590645E-3"/>
    <n v="5712.93"/>
    <s v="High"/>
    <s v="Repeat"/>
    <s v="Above Avg"/>
    <s v="Profit"/>
    <n v="135"/>
  </r>
  <r>
    <n v="361"/>
    <x v="360"/>
    <n v="1006"/>
    <s v="Customer_65"/>
    <s v="Corporate"/>
    <s v="East"/>
    <s v="Furniture"/>
    <s v="Product_C"/>
    <n v="4067"/>
    <n v="6"/>
    <n v="0.28999999999999998"/>
    <n v="1213"/>
    <s v="UPI"/>
    <n v="17325.419999999998"/>
    <x v="11"/>
    <n v="2024"/>
    <x v="3"/>
    <n v="7.0012732736060665E-2"/>
    <n v="7076.58"/>
    <s v="High"/>
    <s v="Repeat"/>
    <s v="Above Avg"/>
    <s v="Profit"/>
    <n v="102"/>
  </r>
  <r>
    <n v="362"/>
    <x v="361"/>
    <n v="1090"/>
    <s v="Customer_113"/>
    <s v="Corporate"/>
    <s v="West"/>
    <s v="Furniture"/>
    <s v="Product_D"/>
    <n v="2732"/>
    <n v="1"/>
    <n v="0.18"/>
    <n v="547"/>
    <s v="COD"/>
    <n v="2240.2399999999998"/>
    <x v="11"/>
    <n v="2024"/>
    <x v="3"/>
    <n v="0.24417026747134238"/>
    <n v="491.76"/>
    <s v="Medium"/>
    <s v="Repeat"/>
    <s v="Below Avg"/>
    <s v="Profit"/>
    <n v="418"/>
  </r>
  <r>
    <n v="363"/>
    <x v="362"/>
    <n v="1071"/>
    <s v="Customer_140"/>
    <s v="Consumer"/>
    <s v="North"/>
    <s v="Clothing"/>
    <s v="Product_B"/>
    <n v="4332"/>
    <n v="9"/>
    <n v="0.21"/>
    <n v="1493"/>
    <s v="COD"/>
    <n v="30800.52"/>
    <x v="11"/>
    <n v="2024"/>
    <x v="3"/>
    <n v="4.8473207595196445E-2"/>
    <n v="8187.48"/>
    <s v="High"/>
    <s v="Repeat"/>
    <s v="Above Avg"/>
    <s v="Profit"/>
    <n v="22"/>
  </r>
  <r>
    <n v="364"/>
    <x v="363"/>
    <n v="1077"/>
    <s v="Customer_163"/>
    <s v="Consumer"/>
    <s v="North"/>
    <s v="Electronics"/>
    <s v="Product_D"/>
    <n v="1198"/>
    <n v="9"/>
    <n v="0.11"/>
    <n v="-189"/>
    <s v="UPI"/>
    <n v="9595.98"/>
    <x v="11"/>
    <n v="2024"/>
    <x v="3"/>
    <n v="-1.9695747594305115E-2"/>
    <n v="1186.02"/>
    <s v="High"/>
    <s v="Repeat"/>
    <s v="Below Avg"/>
    <s v="Loss"/>
    <n v="212"/>
  </r>
  <r>
    <n v="365"/>
    <x v="364"/>
    <n v="1078"/>
    <s v="Customer_37"/>
    <s v="Consumer"/>
    <s v="North"/>
    <s v="Furniture"/>
    <s v="Product_C"/>
    <n v="3189"/>
    <n v="1"/>
    <n v="0.17"/>
    <n v="159"/>
    <s v="UPI"/>
    <n v="2646.87"/>
    <x v="11"/>
    <n v="2024"/>
    <x v="3"/>
    <n v="6.0070951727889926E-2"/>
    <n v="542.13"/>
    <s v="Medium"/>
    <s v="Repeat"/>
    <s v="Below Avg"/>
    <s v="Profit"/>
    <n v="407"/>
  </r>
  <r>
    <n v="366"/>
    <x v="365"/>
    <n v="1070"/>
    <s v="Customer_30"/>
    <s v="Corporate"/>
    <s v="West"/>
    <s v="Clothing"/>
    <s v="Product_C"/>
    <n v="531"/>
    <n v="9"/>
    <n v="0.25"/>
    <n v="1369"/>
    <s v="COD"/>
    <n v="3584.25"/>
    <x v="11"/>
    <n v="2024"/>
    <x v="3"/>
    <n v="0.38194880379437818"/>
    <n v="1194.75"/>
    <s v="Medium"/>
    <s v="Repeat"/>
    <s v="Below Avg"/>
    <s v="Profit"/>
    <n v="371"/>
  </r>
  <r>
    <n v="367"/>
    <x v="366"/>
    <n v="1096"/>
    <s v="Customer_11"/>
    <s v="Corporate"/>
    <s v="North"/>
    <s v="Electronics"/>
    <s v="Product_D"/>
    <n v="1333"/>
    <n v="1"/>
    <n v="0.05"/>
    <n v="-123"/>
    <s v="UPI"/>
    <n v="1266.3499999999999"/>
    <x v="0"/>
    <n v="2025"/>
    <x v="0"/>
    <n v="-9.7129545544280813E-2"/>
    <n v="66.650000000000006"/>
    <s v="Low"/>
    <s v="Repeat"/>
    <s v="Below Avg"/>
    <s v="Loss"/>
    <n v="466"/>
  </r>
  <r>
    <n v="368"/>
    <x v="367"/>
    <n v="1051"/>
    <s v="Customer_188"/>
    <s v="Consumer"/>
    <s v="East"/>
    <s v="Clothing"/>
    <s v="Product_D"/>
    <n v="1629"/>
    <n v="2"/>
    <n v="0.15"/>
    <n v="-281"/>
    <s v="Card"/>
    <n v="2769.2999999999902"/>
    <x v="0"/>
    <n v="2025"/>
    <x v="0"/>
    <n v="-0.10146968548008559"/>
    <n v="488.7"/>
    <s v="Medium"/>
    <s v="Repeat"/>
    <s v="Below Avg"/>
    <s v="Loss"/>
    <n v="400"/>
  </r>
  <r>
    <n v="369"/>
    <x v="368"/>
    <n v="1097"/>
    <s v="Customer_32"/>
    <s v="Corporate"/>
    <s v="East"/>
    <s v="Clothing"/>
    <s v="Product_C"/>
    <n v="4451"/>
    <n v="6"/>
    <n v="0.12"/>
    <n v="978"/>
    <s v="UPI"/>
    <n v="23501.279999999999"/>
    <x v="0"/>
    <n v="2025"/>
    <x v="0"/>
    <n v="4.1614754600600483E-2"/>
    <n v="3204.72"/>
    <s v="High"/>
    <s v="Repeat"/>
    <s v="Above Avg"/>
    <s v="Profit"/>
    <n v="57"/>
  </r>
  <r>
    <n v="370"/>
    <x v="369"/>
    <n v="1003"/>
    <s v="Customer_2"/>
    <s v="Consumer"/>
    <s v="South"/>
    <s v="Furniture"/>
    <s v="Product_D"/>
    <n v="1480"/>
    <n v="7"/>
    <n v="0.26"/>
    <n v="1989"/>
    <s v="UPI"/>
    <n v="7666.4"/>
    <x v="0"/>
    <n v="2025"/>
    <x v="0"/>
    <n v="0.25944380674110407"/>
    <n v="2693.6"/>
    <s v="High"/>
    <s v="Repeat"/>
    <s v="Below Avg"/>
    <s v="Profit"/>
    <n v="261"/>
  </r>
  <r>
    <n v="371"/>
    <x v="370"/>
    <n v="1000"/>
    <s v="Customer_138"/>
    <s v="Corporate"/>
    <s v="South"/>
    <s v="Clothing"/>
    <s v="Product_C"/>
    <n v="241"/>
    <n v="7"/>
    <n v="0.04"/>
    <n v="967"/>
    <s v="COD"/>
    <n v="1619.52"/>
    <x v="0"/>
    <n v="2025"/>
    <x v="0"/>
    <n v="0.5970904959494171"/>
    <n v="67.48"/>
    <s v="Low"/>
    <s v="Repeat"/>
    <s v="Below Avg"/>
    <s v="Profit"/>
    <n v="452"/>
  </r>
  <r>
    <n v="372"/>
    <x v="371"/>
    <n v="1077"/>
    <s v="Customer_124"/>
    <s v="Corporate"/>
    <s v="South"/>
    <s v="Clothing"/>
    <s v="Product_D"/>
    <n v="1316"/>
    <n v="6"/>
    <n v="0.27"/>
    <n v="-31"/>
    <s v="COD"/>
    <n v="5764.08"/>
    <x v="0"/>
    <n v="2025"/>
    <x v="0"/>
    <n v="-5.3781349322008024E-3"/>
    <n v="2131.92"/>
    <s v="High"/>
    <s v="Repeat"/>
    <s v="Below Avg"/>
    <s v="Loss"/>
    <n v="302"/>
  </r>
  <r>
    <n v="373"/>
    <x v="372"/>
    <n v="1094"/>
    <s v="Customer_174"/>
    <s v="Consumer"/>
    <s v="West"/>
    <s v="Electronics"/>
    <s v="Product_C"/>
    <n v="3947"/>
    <n v="8"/>
    <n v="0.08"/>
    <n v="655"/>
    <s v="COD"/>
    <n v="29049.919999999998"/>
    <x v="0"/>
    <n v="2025"/>
    <x v="0"/>
    <n v="2.2547394278538462E-2"/>
    <n v="2526.08"/>
    <s v="High"/>
    <s v="Repeat"/>
    <s v="Above Avg"/>
    <s v="Profit"/>
    <n v="27"/>
  </r>
  <r>
    <n v="374"/>
    <x v="373"/>
    <n v="1037"/>
    <s v="Customer_22"/>
    <s v="Consumer"/>
    <s v="East"/>
    <s v="Furniture"/>
    <s v="Product_B"/>
    <n v="4287"/>
    <n v="8"/>
    <n v="0.18"/>
    <n v="312"/>
    <s v="UPI"/>
    <n v="28122.720000000001"/>
    <x v="0"/>
    <n v="2025"/>
    <x v="0"/>
    <n v="1.1094232705798016E-2"/>
    <n v="6173.28"/>
    <s v="High"/>
    <s v="Repeat"/>
    <s v="Above Avg"/>
    <s v="Profit"/>
    <n v="30"/>
  </r>
  <r>
    <n v="375"/>
    <x v="374"/>
    <n v="1052"/>
    <s v="Customer_73"/>
    <s v="Corporate"/>
    <s v="East"/>
    <s v="Clothing"/>
    <s v="Product_C"/>
    <n v="1876"/>
    <n v="1"/>
    <n v="0.11"/>
    <n v="486"/>
    <s v="Card"/>
    <n v="1669.64"/>
    <x v="0"/>
    <n v="2025"/>
    <x v="0"/>
    <n v="0.29108071200977453"/>
    <n v="206.36"/>
    <s v="Low"/>
    <s v="Repeat"/>
    <s v="Below Avg"/>
    <s v="Profit"/>
    <n v="448"/>
  </r>
  <r>
    <n v="376"/>
    <x v="375"/>
    <n v="1083"/>
    <s v="Customer_118"/>
    <s v="Corporate"/>
    <s v="South"/>
    <s v="Furniture"/>
    <s v="Product_C"/>
    <n v="3751"/>
    <n v="9"/>
    <n v="0.28000000000000003"/>
    <n v="339"/>
    <s v="COD"/>
    <n v="24306.48"/>
    <x v="0"/>
    <n v="2025"/>
    <x v="0"/>
    <n v="1.3946898111120985E-2"/>
    <n v="9452.52"/>
    <s v="High"/>
    <s v="Repeat"/>
    <s v="Above Avg"/>
    <s v="Profit"/>
    <n v="49"/>
  </r>
  <r>
    <n v="377"/>
    <x v="376"/>
    <n v="1002"/>
    <s v="Customer_55"/>
    <s v="Consumer"/>
    <s v="South"/>
    <s v="Electronics"/>
    <s v="Product_B"/>
    <n v="2552"/>
    <n v="4"/>
    <n v="0.06"/>
    <n v="-131"/>
    <s v="UPI"/>
    <n v="9595.5199999999895"/>
    <x v="0"/>
    <n v="2025"/>
    <x v="0"/>
    <n v="-1.3652204362035632E-2"/>
    <n v="612.48"/>
    <s v="High"/>
    <s v="Repeat"/>
    <s v="Below Avg"/>
    <s v="Loss"/>
    <n v="213"/>
  </r>
  <r>
    <n v="378"/>
    <x v="377"/>
    <n v="1098"/>
    <s v="Customer_187"/>
    <s v="Corporate"/>
    <s v="North"/>
    <s v="Electronics"/>
    <s v="Product_C"/>
    <n v="817"/>
    <n v="4"/>
    <n v="0.15"/>
    <n v="514"/>
    <s v="UPI"/>
    <n v="2777.7999999999902"/>
    <x v="0"/>
    <n v="2025"/>
    <x v="0"/>
    <n v="0.18503851969184312"/>
    <n v="490.2"/>
    <s v="Medium"/>
    <s v="Repeat"/>
    <s v="Below Avg"/>
    <s v="Profit"/>
    <n v="399"/>
  </r>
  <r>
    <n v="379"/>
    <x v="378"/>
    <n v="1096"/>
    <s v="Customer_30"/>
    <s v="Corporate"/>
    <s v="South"/>
    <s v="Clothing"/>
    <s v="Product_B"/>
    <n v="660"/>
    <n v="9"/>
    <n v="7.0000000000000007E-2"/>
    <n v="-250"/>
    <s v="UPI"/>
    <n v="5524.2"/>
    <x v="0"/>
    <n v="2025"/>
    <x v="0"/>
    <n v="-4.5255421599507621E-2"/>
    <n v="415.8"/>
    <s v="High"/>
    <s v="Repeat"/>
    <s v="Below Avg"/>
    <s v="Loss"/>
    <n v="308"/>
  </r>
  <r>
    <n v="380"/>
    <x v="379"/>
    <n v="1014"/>
    <s v="Customer_181"/>
    <s v="Consumer"/>
    <s v="West"/>
    <s v="Furniture"/>
    <s v="Product_B"/>
    <n v="1004"/>
    <n v="2"/>
    <n v="0.24"/>
    <n v="-339"/>
    <s v="UPI"/>
    <n v="1526.08"/>
    <x v="0"/>
    <n v="2025"/>
    <x v="0"/>
    <n v="-0.2221377647305515"/>
    <n v="481.91999999999996"/>
    <s v="Low"/>
    <s v="Repeat"/>
    <s v="Below Avg"/>
    <s v="Loss"/>
    <n v="456"/>
  </r>
  <r>
    <n v="381"/>
    <x v="380"/>
    <n v="1002"/>
    <s v="Customer_89"/>
    <s v="Consumer"/>
    <s v="South"/>
    <s v="Clothing"/>
    <s v="Product_D"/>
    <n v="1036"/>
    <n v="6"/>
    <n v="0.08"/>
    <n v="162"/>
    <s v="COD"/>
    <n v="5718.72"/>
    <x v="0"/>
    <n v="2025"/>
    <x v="0"/>
    <n v="2.8328017458452238E-2"/>
    <n v="497.28000000000003"/>
    <s v="High"/>
    <s v="Repeat"/>
    <s v="Below Avg"/>
    <s v="Profit"/>
    <n v="303"/>
  </r>
  <r>
    <n v="382"/>
    <x v="381"/>
    <n v="1091"/>
    <s v="Customer_21"/>
    <s v="Consumer"/>
    <s v="East"/>
    <s v="Furniture"/>
    <s v="Product_C"/>
    <n v="396"/>
    <n v="2"/>
    <n v="0.28999999999999998"/>
    <n v="1960"/>
    <s v="Card"/>
    <n v="562.31999999999903"/>
    <x v="0"/>
    <n v="2025"/>
    <x v="0"/>
    <n v="3.4855598235879985"/>
    <n v="229.67999999999998"/>
    <s v="Low"/>
    <s v="Repeat"/>
    <s v="Below Avg"/>
    <s v="Profit"/>
    <n v="488"/>
  </r>
  <r>
    <n v="383"/>
    <x v="382"/>
    <n v="1090"/>
    <s v="Customer_82"/>
    <s v="Consumer"/>
    <s v="West"/>
    <s v="Furniture"/>
    <s v="Product_B"/>
    <n v="4994"/>
    <n v="9"/>
    <n v="0.28000000000000003"/>
    <n v="992"/>
    <s v="COD"/>
    <n v="32361.119999999999"/>
    <x v="0"/>
    <n v="2025"/>
    <x v="0"/>
    <n v="3.0654068833217144E-2"/>
    <n v="12584.880000000001"/>
    <s v="High"/>
    <s v="Repeat"/>
    <s v="Above Avg"/>
    <s v="Profit"/>
    <n v="20"/>
  </r>
  <r>
    <n v="384"/>
    <x v="383"/>
    <n v="1032"/>
    <s v="Customer_20"/>
    <s v="Corporate"/>
    <s v="North"/>
    <s v="Electronics"/>
    <s v="Product_A"/>
    <n v="1860"/>
    <n v="3"/>
    <n v="0.14000000000000001"/>
    <n v="1994"/>
    <s v="Card"/>
    <n v="4798.8"/>
    <x v="0"/>
    <n v="2025"/>
    <x v="0"/>
    <n v="0.41552054680336747"/>
    <n v="781.2"/>
    <s v="Medium"/>
    <s v="Repeat"/>
    <s v="Below Avg"/>
    <s v="Profit"/>
    <n v="330"/>
  </r>
  <r>
    <n v="385"/>
    <x v="384"/>
    <n v="1082"/>
    <s v="Customer_113"/>
    <s v="Corporate"/>
    <s v="West"/>
    <s v="Clothing"/>
    <s v="Product_C"/>
    <n v="1299"/>
    <n v="6"/>
    <n v="0"/>
    <n v="92"/>
    <s v="UPI"/>
    <n v="7794"/>
    <x v="0"/>
    <n v="2025"/>
    <x v="0"/>
    <n v="1.1803951757762381E-2"/>
    <n v="0"/>
    <s v="High"/>
    <s v="Repeat"/>
    <s v="Below Avg"/>
    <s v="Profit"/>
    <n v="256"/>
  </r>
  <r>
    <n v="386"/>
    <x v="385"/>
    <n v="1055"/>
    <s v="Customer_167"/>
    <s v="Consumer"/>
    <s v="North"/>
    <s v="Furniture"/>
    <s v="Product_C"/>
    <n v="4386"/>
    <n v="3"/>
    <n v="0.28999999999999998"/>
    <n v="838"/>
    <s v="COD"/>
    <n v="9342.18"/>
    <x v="0"/>
    <n v="2025"/>
    <x v="0"/>
    <n v="8.9700690845177455E-2"/>
    <n v="3815.8199999999997"/>
    <s v="High"/>
    <s v="Repeat"/>
    <s v="Below Avg"/>
    <s v="Profit"/>
    <n v="224"/>
  </r>
  <r>
    <n v="387"/>
    <x v="386"/>
    <n v="1032"/>
    <s v="Customer_35"/>
    <s v="Consumer"/>
    <s v="North"/>
    <s v="Electronics"/>
    <s v="Product_A"/>
    <n v="3993"/>
    <n v="5"/>
    <n v="0.21"/>
    <n v="1730"/>
    <s v="COD"/>
    <n v="15772.35"/>
    <x v="0"/>
    <n v="2025"/>
    <x v="0"/>
    <n v="0.10968562072234005"/>
    <n v="4192.6499999999996"/>
    <s v="High"/>
    <s v="Repeat"/>
    <s v="Above Avg"/>
    <s v="Profit"/>
    <n v="132"/>
  </r>
  <r>
    <n v="388"/>
    <x v="387"/>
    <n v="1030"/>
    <s v="Customer_29"/>
    <s v="Consumer"/>
    <s v="East"/>
    <s v="Electronics"/>
    <s v="Product_B"/>
    <n v="1045"/>
    <n v="3"/>
    <n v="0.15"/>
    <n v="1869"/>
    <s v="Card"/>
    <n v="2664.75"/>
    <x v="0"/>
    <n v="2025"/>
    <x v="0"/>
    <n v="0.70137911623979732"/>
    <n v="470.25"/>
    <s v="Medium"/>
    <s v="Repeat"/>
    <s v="Below Avg"/>
    <s v="Profit"/>
    <n v="405"/>
  </r>
  <r>
    <n v="389"/>
    <x v="388"/>
    <n v="1003"/>
    <s v="Customer_110"/>
    <s v="Corporate"/>
    <s v="West"/>
    <s v="Furniture"/>
    <s v="Product_C"/>
    <n v="1736"/>
    <n v="8"/>
    <n v="0.18"/>
    <n v="492"/>
    <s v="COD"/>
    <n v="11388.16"/>
    <x v="0"/>
    <n v="2025"/>
    <x v="0"/>
    <n v="4.3202764976958526E-2"/>
    <n v="2499.8399999999997"/>
    <s v="High"/>
    <s v="Repeat"/>
    <s v="Above Avg"/>
    <s v="Profit"/>
    <n v="183"/>
  </r>
  <r>
    <n v="390"/>
    <x v="389"/>
    <n v="1095"/>
    <s v="Customer_56"/>
    <s v="Consumer"/>
    <s v="North"/>
    <s v="Clothing"/>
    <s v="Product_A"/>
    <n v="2341"/>
    <n v="4"/>
    <n v="0.03"/>
    <n v="1730"/>
    <s v="Card"/>
    <n v="9083.08"/>
    <x v="0"/>
    <n v="2025"/>
    <x v="0"/>
    <n v="0.19046402762058684"/>
    <n v="280.92"/>
    <s v="High"/>
    <s v="Repeat"/>
    <s v="Below Avg"/>
    <s v="Profit"/>
    <n v="229"/>
  </r>
  <r>
    <n v="391"/>
    <x v="390"/>
    <n v="1091"/>
    <s v="Customer_116"/>
    <s v="Consumer"/>
    <s v="West"/>
    <s v="Clothing"/>
    <s v="Product_C"/>
    <n v="3013"/>
    <n v="3"/>
    <n v="0.05"/>
    <n v="1502"/>
    <s v="COD"/>
    <n v="8587.0499999999993"/>
    <x v="0"/>
    <n v="2025"/>
    <x v="0"/>
    <n v="0.17491455156310959"/>
    <n v="451.95000000000005"/>
    <s v="High"/>
    <s v="Repeat"/>
    <s v="Below Avg"/>
    <s v="Profit"/>
    <n v="237"/>
  </r>
  <r>
    <n v="392"/>
    <x v="391"/>
    <n v="1079"/>
    <s v="Customer_183"/>
    <s v="Corporate"/>
    <s v="North"/>
    <s v="Clothing"/>
    <s v="Product_D"/>
    <n v="3266"/>
    <n v="8"/>
    <n v="0.19"/>
    <n v="658"/>
    <s v="UPI"/>
    <n v="21163.68"/>
    <x v="0"/>
    <n v="2025"/>
    <x v="0"/>
    <n v="3.1091001186939134E-2"/>
    <n v="4964.32"/>
    <s v="High"/>
    <s v="Repeat"/>
    <s v="Above Avg"/>
    <s v="Profit"/>
    <n v="73"/>
  </r>
  <r>
    <n v="393"/>
    <x v="392"/>
    <n v="1091"/>
    <s v="Customer_181"/>
    <s v="Consumer"/>
    <s v="South"/>
    <s v="Clothing"/>
    <s v="Product_C"/>
    <n v="4888"/>
    <n v="7"/>
    <n v="0.01"/>
    <n v="249"/>
    <s v="COD"/>
    <n v="33873.839999999997"/>
    <x v="0"/>
    <n v="2025"/>
    <x v="0"/>
    <n v="7.3508052231456497E-3"/>
    <n v="342.16"/>
    <s v="High"/>
    <s v="Repeat"/>
    <s v="Above Avg"/>
    <s v="Profit"/>
    <n v="15"/>
  </r>
  <r>
    <n v="394"/>
    <x v="393"/>
    <n v="1078"/>
    <s v="Customer_176"/>
    <s v="Corporate"/>
    <s v="South"/>
    <s v="Electronics"/>
    <s v="Product_B"/>
    <n v="4543"/>
    <n v="1"/>
    <n v="0.21"/>
    <n v="62"/>
    <s v="UPI"/>
    <n v="3588.97"/>
    <x v="0"/>
    <n v="2025"/>
    <x v="0"/>
    <n v="1.7275151366548065E-2"/>
    <n v="954.03"/>
    <s v="Medium"/>
    <s v="Repeat"/>
    <s v="Below Avg"/>
    <s v="Profit"/>
    <n v="370"/>
  </r>
  <r>
    <n v="395"/>
    <x v="394"/>
    <n v="1021"/>
    <s v="Customer_67"/>
    <s v="Corporate"/>
    <s v="West"/>
    <s v="Clothing"/>
    <s v="Product_B"/>
    <n v="2496"/>
    <n v="3"/>
    <n v="0.28000000000000003"/>
    <n v="455"/>
    <s v="Card"/>
    <n v="5391.36"/>
    <x v="0"/>
    <n v="2025"/>
    <x v="0"/>
    <n v="8.4394290123456797E-2"/>
    <n v="2096.6400000000003"/>
    <s v="High"/>
    <s v="Repeat"/>
    <s v="Below Avg"/>
    <s v="Profit"/>
    <n v="313"/>
  </r>
  <r>
    <n v="396"/>
    <x v="395"/>
    <n v="1030"/>
    <s v="Customer_183"/>
    <s v="Consumer"/>
    <s v="West"/>
    <s v="Clothing"/>
    <s v="Product_C"/>
    <n v="1506"/>
    <n v="3"/>
    <n v="0.21"/>
    <n v="-309"/>
    <s v="UPI"/>
    <n v="3569.22"/>
    <x v="0"/>
    <n v="2025"/>
    <x v="0"/>
    <n v="-8.6573537075327389E-2"/>
    <n v="948.78"/>
    <s v="Medium"/>
    <s v="Repeat"/>
    <s v="Below Avg"/>
    <s v="Loss"/>
    <n v="373"/>
  </r>
  <r>
    <n v="397"/>
    <x v="396"/>
    <n v="1059"/>
    <s v="Customer_32"/>
    <s v="Corporate"/>
    <s v="North"/>
    <s v="Furniture"/>
    <s v="Product_A"/>
    <n v="593"/>
    <n v="4"/>
    <n v="0.17"/>
    <n v="1059"/>
    <s v="Card"/>
    <n v="1968.76"/>
    <x v="0"/>
    <n v="2025"/>
    <x v="0"/>
    <n v="0.53790202970397616"/>
    <n v="403.24"/>
    <s v="Low"/>
    <s v="Repeat"/>
    <s v="Below Avg"/>
    <s v="Profit"/>
    <n v="432"/>
  </r>
  <r>
    <n v="398"/>
    <x v="397"/>
    <n v="1084"/>
    <s v="Customer_58"/>
    <s v="Corporate"/>
    <s v="North"/>
    <s v="Furniture"/>
    <s v="Product_A"/>
    <n v="2132"/>
    <n v="1"/>
    <n v="0.24"/>
    <n v="1264"/>
    <s v="COD"/>
    <n v="1620.32"/>
    <x v="1"/>
    <n v="2025"/>
    <x v="0"/>
    <n v="0.78009282117112677"/>
    <n v="511.68"/>
    <s v="Low"/>
    <s v="Repeat"/>
    <s v="Below Avg"/>
    <s v="Profit"/>
    <n v="451"/>
  </r>
  <r>
    <n v="399"/>
    <x v="398"/>
    <n v="1031"/>
    <s v="Customer_78"/>
    <s v="Consumer"/>
    <s v="North"/>
    <s v="Furniture"/>
    <s v="Product_A"/>
    <n v="160"/>
    <n v="9"/>
    <n v="0.22"/>
    <n v="121"/>
    <s v="UPI"/>
    <n v="1123.2"/>
    <x v="1"/>
    <n v="2025"/>
    <x v="0"/>
    <n v="0.10772792022792023"/>
    <n v="316.8"/>
    <s v="Low"/>
    <s v="New"/>
    <s v="Below Avg"/>
    <s v="Profit"/>
    <n v="473"/>
  </r>
  <r>
    <n v="400"/>
    <x v="399"/>
    <n v="1070"/>
    <s v="Customer_69"/>
    <s v="Consumer"/>
    <s v="East"/>
    <s v="Furniture"/>
    <s v="Product_B"/>
    <n v="1845"/>
    <n v="2"/>
    <n v="0.18"/>
    <n v="-188"/>
    <s v="COD"/>
    <n v="3025.8"/>
    <x v="1"/>
    <n v="2025"/>
    <x v="0"/>
    <n v="-6.2132328640359571E-2"/>
    <n v="664.19999999999993"/>
    <s v="Medium"/>
    <s v="Repeat"/>
    <s v="Below Avg"/>
    <s v="Loss"/>
    <n v="391"/>
  </r>
  <r>
    <n v="401"/>
    <x v="400"/>
    <n v="1096"/>
    <s v="Customer_28"/>
    <s v="Consumer"/>
    <s v="East"/>
    <s v="Electronics"/>
    <s v="Product_C"/>
    <n v="3601"/>
    <n v="7"/>
    <n v="0.06"/>
    <n v="774"/>
    <s v="Card"/>
    <n v="23694.5799999999"/>
    <x v="1"/>
    <n v="2025"/>
    <x v="0"/>
    <n v="3.2665698231410023E-2"/>
    <n v="1512.4199999999998"/>
    <s v="High"/>
    <s v="Repeat"/>
    <s v="Above Avg"/>
    <s v="Profit"/>
    <n v="54"/>
  </r>
  <r>
    <n v="402"/>
    <x v="401"/>
    <n v="1007"/>
    <s v="Customer_72"/>
    <s v="Consumer"/>
    <s v="West"/>
    <s v="Clothing"/>
    <s v="Product_D"/>
    <n v="1056"/>
    <n v="2"/>
    <n v="0"/>
    <n v="1283"/>
    <s v="UPI"/>
    <n v="2112"/>
    <x v="1"/>
    <n v="2025"/>
    <x v="0"/>
    <n v="0.60748106060606055"/>
    <n v="0"/>
    <s v="Medium"/>
    <s v="Repeat"/>
    <s v="Below Avg"/>
    <s v="Profit"/>
    <n v="422"/>
  </r>
  <r>
    <n v="403"/>
    <x v="402"/>
    <n v="1077"/>
    <s v="Customer_109"/>
    <s v="Consumer"/>
    <s v="West"/>
    <s v="Clothing"/>
    <s v="Product_D"/>
    <n v="4889"/>
    <n v="8"/>
    <n v="0.14000000000000001"/>
    <n v="517"/>
    <s v="UPI"/>
    <n v="33636.32"/>
    <x v="1"/>
    <n v="2025"/>
    <x v="0"/>
    <n v="1.5370290210106219E-2"/>
    <n v="5475.68"/>
    <s v="High"/>
    <s v="Repeat"/>
    <s v="Above Avg"/>
    <s v="Profit"/>
    <n v="16"/>
  </r>
  <r>
    <n v="404"/>
    <x v="403"/>
    <n v="1061"/>
    <s v="Customer_60"/>
    <s v="Consumer"/>
    <s v="South"/>
    <s v="Electronics"/>
    <s v="Product_D"/>
    <n v="4231"/>
    <n v="3"/>
    <n v="7.0000000000000007E-2"/>
    <n v="-225"/>
    <s v="UPI"/>
    <n v="11804.49"/>
    <x v="1"/>
    <n v="2025"/>
    <x v="0"/>
    <n v="-1.9060543911681063E-2"/>
    <n v="888.5100000000001"/>
    <s v="High"/>
    <s v="Repeat"/>
    <s v="Above Avg"/>
    <s v="Loss"/>
    <n v="172"/>
  </r>
  <r>
    <n v="405"/>
    <x v="404"/>
    <n v="1088"/>
    <s v="Customer_13"/>
    <s v="Corporate"/>
    <s v="South"/>
    <s v="Electronics"/>
    <s v="Product_B"/>
    <n v="2954"/>
    <n v="6"/>
    <n v="7.0000000000000007E-2"/>
    <n v="-111"/>
    <s v="COD"/>
    <n v="16483.32"/>
    <x v="1"/>
    <n v="2025"/>
    <x v="0"/>
    <n v="-6.7340802702368216E-3"/>
    <n v="1240.68"/>
    <s v="High"/>
    <s v="Repeat"/>
    <s v="Above Avg"/>
    <s v="Loss"/>
    <n v="115"/>
  </r>
  <r>
    <n v="406"/>
    <x v="405"/>
    <n v="1095"/>
    <s v="Customer_18"/>
    <s v="Corporate"/>
    <s v="West"/>
    <s v="Electronics"/>
    <s v="Product_D"/>
    <n v="3263"/>
    <n v="8"/>
    <n v="0.15"/>
    <n v="562"/>
    <s v="COD"/>
    <n v="22188.3999999999"/>
    <x v="1"/>
    <n v="2025"/>
    <x v="0"/>
    <n v="2.5328550053181055E-2"/>
    <n v="3915.6"/>
    <s v="High"/>
    <s v="Repeat"/>
    <s v="Above Avg"/>
    <s v="Profit"/>
    <n v="65"/>
  </r>
  <r>
    <n v="407"/>
    <x v="406"/>
    <n v="1027"/>
    <s v="Customer_179"/>
    <s v="Corporate"/>
    <s v="North"/>
    <s v="Electronics"/>
    <s v="Product_D"/>
    <n v="1024"/>
    <n v="5"/>
    <n v="0.11"/>
    <n v="538"/>
    <s v="COD"/>
    <n v="4556.8"/>
    <x v="1"/>
    <n v="2025"/>
    <x v="0"/>
    <n v="0.11806530898876404"/>
    <n v="563.20000000000005"/>
    <s v="Medium"/>
    <s v="Repeat"/>
    <s v="Below Avg"/>
    <s v="Profit"/>
    <n v="337"/>
  </r>
  <r>
    <n v="408"/>
    <x v="407"/>
    <n v="1065"/>
    <s v="Customer_50"/>
    <s v="Consumer"/>
    <s v="East"/>
    <s v="Clothing"/>
    <s v="Product_A"/>
    <n v="2288"/>
    <n v="7"/>
    <n v="0.15"/>
    <n v="634"/>
    <s v="Card"/>
    <n v="13613.6"/>
    <x v="1"/>
    <n v="2025"/>
    <x v="0"/>
    <n v="4.6571075982840687E-2"/>
    <n v="2402.4"/>
    <s v="High"/>
    <s v="Repeat"/>
    <s v="Above Avg"/>
    <s v="Profit"/>
    <n v="152"/>
  </r>
  <r>
    <n v="409"/>
    <x v="408"/>
    <n v="1016"/>
    <s v="Customer_43"/>
    <s v="Consumer"/>
    <s v="West"/>
    <s v="Electronics"/>
    <s v="Product_A"/>
    <n v="4617"/>
    <n v="9"/>
    <n v="0.08"/>
    <n v="1491"/>
    <s v="Card"/>
    <n v="38228.76"/>
    <x v="1"/>
    <n v="2025"/>
    <x v="0"/>
    <n v="3.9002049765673799E-2"/>
    <n v="3324.2400000000002"/>
    <s v="High"/>
    <s v="Repeat"/>
    <s v="Above Avg"/>
    <s v="Profit"/>
    <n v="5"/>
  </r>
  <r>
    <n v="410"/>
    <x v="409"/>
    <n v="1090"/>
    <s v="Customer_85"/>
    <s v="Consumer"/>
    <s v="West"/>
    <s v="Clothing"/>
    <s v="Product_D"/>
    <n v="1303"/>
    <n v="5"/>
    <n v="0.18"/>
    <n v="826"/>
    <s v="Card"/>
    <n v="5342.3"/>
    <x v="1"/>
    <n v="2025"/>
    <x v="0"/>
    <n v="0.15461505344140164"/>
    <n v="1172.7"/>
    <s v="High"/>
    <s v="Repeat"/>
    <s v="Below Avg"/>
    <s v="Profit"/>
    <n v="315"/>
  </r>
  <r>
    <n v="411"/>
    <x v="410"/>
    <n v="1001"/>
    <s v="Customer_46"/>
    <s v="Consumer"/>
    <s v="South"/>
    <s v="Furniture"/>
    <s v="Product_A"/>
    <n v="2942"/>
    <n v="7"/>
    <n v="0.19"/>
    <n v="90"/>
    <s v="UPI"/>
    <n v="16681.14"/>
    <x v="1"/>
    <n v="2025"/>
    <x v="0"/>
    <n v="5.3953147087069595E-3"/>
    <n v="3912.86"/>
    <s v="High"/>
    <s v="Repeat"/>
    <s v="Above Avg"/>
    <s v="Profit"/>
    <n v="109"/>
  </r>
  <r>
    <n v="412"/>
    <x v="411"/>
    <n v="1007"/>
    <s v="Customer_24"/>
    <s v="Consumer"/>
    <s v="West"/>
    <s v="Furniture"/>
    <s v="Product_C"/>
    <n v="3138"/>
    <n v="8"/>
    <n v="0.06"/>
    <n v="281"/>
    <s v="COD"/>
    <n v="23597.759999999998"/>
    <x v="1"/>
    <n v="2025"/>
    <x v="0"/>
    <n v="1.1907909903312858E-2"/>
    <n v="1506.24"/>
    <s v="High"/>
    <s v="Repeat"/>
    <s v="Above Avg"/>
    <s v="Profit"/>
    <n v="55"/>
  </r>
  <r>
    <n v="413"/>
    <x v="412"/>
    <n v="1037"/>
    <s v="Customer_5"/>
    <s v="Corporate"/>
    <s v="South"/>
    <s v="Electronics"/>
    <s v="Product_C"/>
    <n v="2851"/>
    <n v="4"/>
    <n v="0.17"/>
    <n v="385"/>
    <s v="Card"/>
    <n v="9465.32"/>
    <x v="1"/>
    <n v="2025"/>
    <x v="0"/>
    <n v="4.0674800218059193E-2"/>
    <n v="1938.68"/>
    <s v="High"/>
    <s v="Repeat"/>
    <s v="Below Avg"/>
    <s v="Profit"/>
    <n v="219"/>
  </r>
  <r>
    <n v="414"/>
    <x v="413"/>
    <n v="1019"/>
    <s v="Customer_158"/>
    <s v="Consumer"/>
    <s v="East"/>
    <s v="Clothing"/>
    <s v="Product_A"/>
    <n v="1181"/>
    <n v="8"/>
    <n v="0.13"/>
    <n v="-134"/>
    <s v="COD"/>
    <n v="8219.76"/>
    <x v="1"/>
    <n v="2025"/>
    <x v="0"/>
    <n v="-1.6302179139050289E-2"/>
    <n v="1228.24"/>
    <s v="High"/>
    <s v="Repeat"/>
    <s v="Below Avg"/>
    <s v="Loss"/>
    <n v="243"/>
  </r>
  <r>
    <n v="415"/>
    <x v="414"/>
    <n v="1063"/>
    <s v="Customer_43"/>
    <s v="Corporate"/>
    <s v="West"/>
    <s v="Furniture"/>
    <s v="Product_A"/>
    <n v="4382"/>
    <n v="8"/>
    <n v="0.28999999999999998"/>
    <n v="420"/>
    <s v="UPI"/>
    <n v="24889.759999999998"/>
    <x v="1"/>
    <n v="2025"/>
    <x v="0"/>
    <n v="1.6874409395671152E-2"/>
    <n v="10166.24"/>
    <s v="High"/>
    <s v="Repeat"/>
    <s v="Above Avg"/>
    <s v="Profit"/>
    <n v="43"/>
  </r>
  <r>
    <n v="416"/>
    <x v="415"/>
    <n v="1020"/>
    <s v="Customer_53"/>
    <s v="Consumer"/>
    <s v="East"/>
    <s v="Furniture"/>
    <s v="Product_C"/>
    <n v="346"/>
    <n v="1"/>
    <n v="0.22"/>
    <n v="1283"/>
    <s v="COD"/>
    <n v="269.88"/>
    <x v="1"/>
    <n v="2025"/>
    <x v="0"/>
    <n v="4.7539647250629908"/>
    <n v="76.12"/>
    <s v="Low"/>
    <s v="Repeat"/>
    <s v="Below Avg"/>
    <s v="Profit"/>
    <n v="497"/>
  </r>
  <r>
    <n v="417"/>
    <x v="416"/>
    <n v="1089"/>
    <s v="Customer_152"/>
    <s v="Consumer"/>
    <s v="South"/>
    <s v="Electronics"/>
    <s v="Product_B"/>
    <n v="895"/>
    <n v="7"/>
    <n v="0.05"/>
    <n v="305"/>
    <s v="Card"/>
    <n v="5951.75"/>
    <x v="1"/>
    <n v="2025"/>
    <x v="0"/>
    <n v="5.1245432015793672E-2"/>
    <n v="313.25"/>
    <s v="High"/>
    <s v="Repeat"/>
    <s v="Below Avg"/>
    <s v="Profit"/>
    <n v="299"/>
  </r>
  <r>
    <n v="418"/>
    <x v="417"/>
    <n v="1030"/>
    <s v="Customer_103"/>
    <s v="Consumer"/>
    <s v="North"/>
    <s v="Clothing"/>
    <s v="Product_D"/>
    <n v="3786"/>
    <n v="6"/>
    <n v="0.26"/>
    <n v="1046"/>
    <s v="UPI"/>
    <n v="16809.84"/>
    <x v="1"/>
    <n v="2025"/>
    <x v="0"/>
    <n v="6.2225458421971892E-2"/>
    <n v="5906.16"/>
    <s v="High"/>
    <s v="Repeat"/>
    <s v="Above Avg"/>
    <s v="Profit"/>
    <n v="106"/>
  </r>
  <r>
    <n v="419"/>
    <x v="418"/>
    <n v="1083"/>
    <s v="Customer_142"/>
    <s v="Corporate"/>
    <s v="North"/>
    <s v="Electronics"/>
    <s v="Product_A"/>
    <n v="1037"/>
    <n v="9"/>
    <n v="0.14000000000000001"/>
    <n v="1107"/>
    <s v="Card"/>
    <n v="8026.38"/>
    <x v="1"/>
    <n v="2025"/>
    <x v="0"/>
    <n v="0.13792020811374492"/>
    <n v="1306.6200000000001"/>
    <s v="High"/>
    <s v="Repeat"/>
    <s v="Below Avg"/>
    <s v="Profit"/>
    <n v="253"/>
  </r>
  <r>
    <n v="420"/>
    <x v="419"/>
    <n v="1069"/>
    <s v="Customer_164"/>
    <s v="Corporate"/>
    <s v="East"/>
    <s v="Clothing"/>
    <s v="Product_B"/>
    <n v="2011"/>
    <n v="8"/>
    <n v="0.25"/>
    <n v="1506"/>
    <s v="Card"/>
    <n v="12066"/>
    <x v="1"/>
    <n v="2025"/>
    <x v="0"/>
    <n v="0.12481352560914968"/>
    <n v="4022"/>
    <s v="High"/>
    <s v="Repeat"/>
    <s v="Above Avg"/>
    <s v="Profit"/>
    <n v="166"/>
  </r>
  <r>
    <n v="421"/>
    <x v="420"/>
    <n v="1014"/>
    <s v="Customer_154"/>
    <s v="Consumer"/>
    <s v="North"/>
    <s v="Clothing"/>
    <s v="Product_D"/>
    <n v="1278"/>
    <n v="4"/>
    <n v="0.25"/>
    <n v="-41"/>
    <s v="Card"/>
    <n v="3834"/>
    <x v="1"/>
    <n v="2025"/>
    <x v="0"/>
    <n v="-1.069379238393323E-2"/>
    <n v="1278"/>
    <s v="Medium"/>
    <s v="Repeat"/>
    <s v="Below Avg"/>
    <s v="Loss"/>
    <n v="362"/>
  </r>
  <r>
    <n v="422"/>
    <x v="421"/>
    <n v="1056"/>
    <s v="Customer_13"/>
    <s v="Corporate"/>
    <s v="East"/>
    <s v="Clothing"/>
    <s v="Product_A"/>
    <n v="837"/>
    <n v="2"/>
    <n v="0.01"/>
    <n v="1937"/>
    <s v="COD"/>
    <n v="1657.26"/>
    <x v="1"/>
    <n v="2025"/>
    <x v="0"/>
    <n v="1.1687966885099501"/>
    <n v="16.740000000000002"/>
    <s v="Low"/>
    <s v="Repeat"/>
    <s v="Below Avg"/>
    <s v="Profit"/>
    <n v="449"/>
  </r>
  <r>
    <n v="423"/>
    <x v="422"/>
    <n v="1000"/>
    <s v="Customer_21"/>
    <s v="Consumer"/>
    <s v="North"/>
    <s v="Clothing"/>
    <s v="Product_A"/>
    <n v="734"/>
    <n v="3"/>
    <n v="7.0000000000000007E-2"/>
    <n v="1682"/>
    <s v="UPI"/>
    <n v="2047.86"/>
    <x v="1"/>
    <n v="2025"/>
    <x v="0"/>
    <n v="0.82134520914515641"/>
    <n v="154.14000000000001"/>
    <s v="Medium"/>
    <s v="Repeat"/>
    <s v="Below Avg"/>
    <s v="Profit"/>
    <n v="427"/>
  </r>
  <r>
    <n v="424"/>
    <x v="423"/>
    <n v="1089"/>
    <s v="Customer_90"/>
    <s v="Corporate"/>
    <s v="West"/>
    <s v="Electronics"/>
    <s v="Product_B"/>
    <n v="316"/>
    <n v="7"/>
    <n v="0.27"/>
    <n v="1139"/>
    <s v="Card"/>
    <n v="1614.76"/>
    <x v="1"/>
    <n v="2025"/>
    <x v="0"/>
    <n v="0.70536798038098536"/>
    <n v="597.24"/>
    <s v="Low"/>
    <s v="Repeat"/>
    <s v="Below Avg"/>
    <s v="Profit"/>
    <n v="453"/>
  </r>
  <r>
    <n v="425"/>
    <x v="424"/>
    <n v="1028"/>
    <s v="Customer_98"/>
    <s v="Consumer"/>
    <s v="South"/>
    <s v="Furniture"/>
    <s v="Product_D"/>
    <n v="519"/>
    <n v="9"/>
    <n v="0.23"/>
    <n v="411"/>
    <s v="Card"/>
    <n v="3596.67"/>
    <x v="1"/>
    <n v="2025"/>
    <x v="0"/>
    <n v="0.11427236860762872"/>
    <n v="1074.3300000000002"/>
    <s v="Medium"/>
    <s v="Repeat"/>
    <s v="Below Avg"/>
    <s v="Profit"/>
    <n v="369"/>
  </r>
  <r>
    <n v="426"/>
    <x v="425"/>
    <n v="1065"/>
    <s v="Customer_40"/>
    <s v="Consumer"/>
    <s v="North"/>
    <s v="Clothing"/>
    <s v="Product_A"/>
    <n v="2662"/>
    <n v="3"/>
    <n v="0.04"/>
    <n v="1264"/>
    <s v="UPI"/>
    <n v="7666.5599999999904"/>
    <x v="2"/>
    <n v="2025"/>
    <x v="0"/>
    <n v="0.16487185908673532"/>
    <n v="319.44"/>
    <s v="High"/>
    <s v="Repeat"/>
    <s v="Below Avg"/>
    <s v="Profit"/>
    <n v="260"/>
  </r>
  <r>
    <n v="427"/>
    <x v="426"/>
    <n v="1021"/>
    <s v="Customer_43"/>
    <s v="Consumer"/>
    <s v="East"/>
    <s v="Clothing"/>
    <s v="Product_D"/>
    <n v="408"/>
    <n v="7"/>
    <n v="0.06"/>
    <n v="1876"/>
    <s v="Card"/>
    <n v="2684.64"/>
    <x v="2"/>
    <n v="2025"/>
    <x v="0"/>
    <n v="0.69879015435961622"/>
    <n v="171.35999999999999"/>
    <s v="Medium"/>
    <s v="Repeat"/>
    <s v="Below Avg"/>
    <s v="Profit"/>
    <n v="402"/>
  </r>
  <r>
    <n v="428"/>
    <x v="427"/>
    <n v="1060"/>
    <s v="Customer_59"/>
    <s v="Consumer"/>
    <s v="South"/>
    <s v="Clothing"/>
    <s v="Product_D"/>
    <n v="4903"/>
    <n v="1"/>
    <n v="0.19"/>
    <n v="1541"/>
    <s v="UPI"/>
    <n v="3971.43"/>
    <x v="2"/>
    <n v="2025"/>
    <x v="0"/>
    <n v="0.38802144315775428"/>
    <n v="931.57"/>
    <s v="Medium"/>
    <s v="Repeat"/>
    <s v="Below Avg"/>
    <s v="Profit"/>
    <n v="355"/>
  </r>
  <r>
    <n v="429"/>
    <x v="428"/>
    <n v="1028"/>
    <s v="Customer_49"/>
    <s v="Corporate"/>
    <s v="West"/>
    <s v="Electronics"/>
    <s v="Product_D"/>
    <n v="1966"/>
    <n v="3"/>
    <n v="0.08"/>
    <n v="919"/>
    <s v="Card"/>
    <n v="5426.16"/>
    <x v="2"/>
    <n v="2025"/>
    <x v="0"/>
    <n v="0.16936470726996625"/>
    <n v="471.84000000000003"/>
    <s v="High"/>
    <s v="Repeat"/>
    <s v="Below Avg"/>
    <s v="Profit"/>
    <n v="311"/>
  </r>
  <r>
    <n v="430"/>
    <x v="429"/>
    <n v="1008"/>
    <s v="Customer_175"/>
    <s v="Corporate"/>
    <s v="West"/>
    <s v="Clothing"/>
    <s v="Product_B"/>
    <n v="1083"/>
    <n v="2"/>
    <n v="0.06"/>
    <n v="25"/>
    <s v="Card"/>
    <n v="2036.04"/>
    <x v="2"/>
    <n v="2025"/>
    <x v="0"/>
    <n v="1.2278737156440934E-2"/>
    <n v="129.96"/>
    <s v="Medium"/>
    <s v="Repeat"/>
    <s v="Below Avg"/>
    <s v="Profit"/>
    <n v="429"/>
  </r>
  <r>
    <n v="431"/>
    <x v="430"/>
    <n v="1040"/>
    <s v="Customer_147"/>
    <s v="Corporate"/>
    <s v="East"/>
    <s v="Furniture"/>
    <s v="Product_D"/>
    <n v="3878"/>
    <n v="6"/>
    <n v="0.3"/>
    <n v="227"/>
    <s v="Card"/>
    <n v="16287.5999999999"/>
    <x v="2"/>
    <n v="2025"/>
    <x v="0"/>
    <n v="1.3936982735332485E-2"/>
    <n v="6980.4"/>
    <s v="High"/>
    <s v="Repeat"/>
    <s v="Above Avg"/>
    <s v="Profit"/>
    <n v="120"/>
  </r>
  <r>
    <n v="432"/>
    <x v="431"/>
    <n v="1020"/>
    <s v="Customer_140"/>
    <s v="Consumer"/>
    <s v="North"/>
    <s v="Clothing"/>
    <s v="Product_C"/>
    <n v="2387"/>
    <n v="9"/>
    <n v="0.14000000000000001"/>
    <n v="-68"/>
    <s v="COD"/>
    <n v="18475.38"/>
    <x v="2"/>
    <n v="2025"/>
    <x v="0"/>
    <n v="-3.6805738231094568E-3"/>
    <n v="3007.6200000000003"/>
    <s v="High"/>
    <s v="Repeat"/>
    <s v="Above Avg"/>
    <s v="Loss"/>
    <n v="88"/>
  </r>
  <r>
    <n v="433"/>
    <x v="432"/>
    <n v="1054"/>
    <s v="Customer_36"/>
    <s v="Consumer"/>
    <s v="North"/>
    <s v="Furniture"/>
    <s v="Product_A"/>
    <n v="3414"/>
    <n v="3"/>
    <n v="0.16"/>
    <n v="1361"/>
    <s v="UPI"/>
    <n v="8603.2799999999897"/>
    <x v="2"/>
    <n v="2025"/>
    <x v="0"/>
    <n v="0.15819547893361621"/>
    <n v="1638.72"/>
    <s v="High"/>
    <s v="Repeat"/>
    <s v="Below Avg"/>
    <s v="Profit"/>
    <n v="236"/>
  </r>
  <r>
    <n v="434"/>
    <x v="433"/>
    <n v="1095"/>
    <s v="Customer_122"/>
    <s v="Consumer"/>
    <s v="South"/>
    <s v="Furniture"/>
    <s v="Product_D"/>
    <n v="661"/>
    <n v="8"/>
    <n v="0.2"/>
    <n v="31"/>
    <s v="COD"/>
    <n v="4230.3999999999996"/>
    <x v="2"/>
    <n v="2025"/>
    <x v="0"/>
    <n v="7.3279122541603636E-3"/>
    <n v="1057.6000000000001"/>
    <s v="Medium"/>
    <s v="Repeat"/>
    <s v="Below Avg"/>
    <s v="Profit"/>
    <n v="345"/>
  </r>
  <r>
    <n v="435"/>
    <x v="434"/>
    <n v="1095"/>
    <s v="Customer_94"/>
    <s v="Consumer"/>
    <s v="East"/>
    <s v="Electronics"/>
    <s v="Product_A"/>
    <n v="3695"/>
    <n v="9"/>
    <n v="0.02"/>
    <n v="1064"/>
    <s v="COD"/>
    <n v="32589.8999999999"/>
    <x v="2"/>
    <n v="2025"/>
    <x v="0"/>
    <n v="3.2648151727989447E-2"/>
    <n v="665.1"/>
    <s v="High"/>
    <s v="Repeat"/>
    <s v="Above Avg"/>
    <s v="Profit"/>
    <n v="19"/>
  </r>
  <r>
    <n v="436"/>
    <x v="435"/>
    <n v="1039"/>
    <s v="Customer_108"/>
    <s v="Corporate"/>
    <s v="East"/>
    <s v="Furniture"/>
    <s v="Product_C"/>
    <n v="4987"/>
    <n v="8"/>
    <n v="0.12"/>
    <n v="1901"/>
    <s v="UPI"/>
    <n v="35108.480000000003"/>
    <x v="2"/>
    <n v="2025"/>
    <x v="0"/>
    <n v="5.4146462620996406E-2"/>
    <n v="4787.5199999999995"/>
    <s v="High"/>
    <s v="Repeat"/>
    <s v="Above Avg"/>
    <s v="Profit"/>
    <n v="11"/>
  </r>
  <r>
    <n v="437"/>
    <x v="436"/>
    <n v="1025"/>
    <s v="Customer_33"/>
    <s v="Corporate"/>
    <s v="South"/>
    <s v="Clothing"/>
    <s v="Product_C"/>
    <n v="1502"/>
    <n v="9"/>
    <n v="0.27"/>
    <n v="407"/>
    <s v="UPI"/>
    <n v="9868.14"/>
    <x v="2"/>
    <n v="2025"/>
    <x v="0"/>
    <n v="4.1243841291266646E-2"/>
    <n v="3649.86"/>
    <s v="High"/>
    <s v="Repeat"/>
    <s v="Below Avg"/>
    <s v="Profit"/>
    <n v="205"/>
  </r>
  <r>
    <n v="438"/>
    <x v="437"/>
    <n v="1047"/>
    <s v="Customer_108"/>
    <s v="Corporate"/>
    <s v="South"/>
    <s v="Furniture"/>
    <s v="Product_C"/>
    <n v="2678"/>
    <n v="9"/>
    <n v="0.28000000000000003"/>
    <n v="-115"/>
    <s v="UPI"/>
    <n v="17353.439999999999"/>
    <x v="2"/>
    <n v="2025"/>
    <x v="0"/>
    <n v="-6.626928147963747E-3"/>
    <n v="6748.56"/>
    <s v="High"/>
    <s v="Repeat"/>
    <s v="Above Avg"/>
    <s v="Loss"/>
    <n v="100"/>
  </r>
  <r>
    <n v="439"/>
    <x v="438"/>
    <n v="1076"/>
    <s v="Customer_127"/>
    <s v="Corporate"/>
    <s v="North"/>
    <s v="Clothing"/>
    <s v="Product_C"/>
    <n v="3044"/>
    <n v="3"/>
    <n v="0.15"/>
    <n v="151"/>
    <s v="UPI"/>
    <n v="7762.2"/>
    <x v="2"/>
    <n v="2025"/>
    <x v="0"/>
    <n v="1.9453247790574838E-2"/>
    <n v="1369.8"/>
    <s v="High"/>
    <s v="Repeat"/>
    <s v="Below Avg"/>
    <s v="Profit"/>
    <n v="257"/>
  </r>
  <r>
    <n v="440"/>
    <x v="439"/>
    <n v="1002"/>
    <s v="Customer_87"/>
    <s v="Consumer"/>
    <s v="South"/>
    <s v="Furniture"/>
    <s v="Product_A"/>
    <n v="670"/>
    <n v="9"/>
    <n v="0.27"/>
    <n v="-290"/>
    <s v="Card"/>
    <n v="4401.8999999999996"/>
    <x v="2"/>
    <n v="2025"/>
    <x v="0"/>
    <n v="-6.5880642449851201E-2"/>
    <n v="1628.1000000000001"/>
    <s v="Medium"/>
    <s v="Repeat"/>
    <s v="Below Avg"/>
    <s v="Loss"/>
    <n v="340"/>
  </r>
  <r>
    <n v="441"/>
    <x v="440"/>
    <n v="1095"/>
    <s v="Customer_62"/>
    <s v="Consumer"/>
    <s v="East"/>
    <s v="Clothing"/>
    <s v="Product_D"/>
    <n v="2551"/>
    <n v="1"/>
    <n v="0.15"/>
    <n v="453"/>
    <s v="COD"/>
    <n v="2168.35"/>
    <x v="2"/>
    <n v="2025"/>
    <x v="0"/>
    <n v="0.20891461249337054"/>
    <n v="382.65"/>
    <s v="Medium"/>
    <s v="Repeat"/>
    <s v="Below Avg"/>
    <s v="Profit"/>
    <n v="420"/>
  </r>
  <r>
    <n v="442"/>
    <x v="441"/>
    <n v="1032"/>
    <s v="Customer_169"/>
    <s v="Corporate"/>
    <s v="West"/>
    <s v="Electronics"/>
    <s v="Product_B"/>
    <n v="1755"/>
    <n v="4"/>
    <n v="0.3"/>
    <n v="678"/>
    <s v="COD"/>
    <n v="4914"/>
    <x v="2"/>
    <n v="2025"/>
    <x v="0"/>
    <n v="0.13797313797313798"/>
    <n v="2106"/>
    <s v="Medium"/>
    <s v="Repeat"/>
    <s v="Below Avg"/>
    <s v="Profit"/>
    <n v="327"/>
  </r>
  <r>
    <n v="443"/>
    <x v="442"/>
    <n v="1096"/>
    <s v="Customer_19"/>
    <s v="Corporate"/>
    <s v="West"/>
    <s v="Clothing"/>
    <s v="Product_D"/>
    <n v="4413"/>
    <n v="1"/>
    <n v="0.24"/>
    <n v="-325"/>
    <s v="Card"/>
    <n v="3353.88"/>
    <x v="2"/>
    <n v="2025"/>
    <x v="0"/>
    <n v="-9.6902691807697353E-2"/>
    <n v="1059.1199999999999"/>
    <s v="Medium"/>
    <s v="Repeat"/>
    <s v="Below Avg"/>
    <s v="Loss"/>
    <n v="383"/>
  </r>
  <r>
    <n v="444"/>
    <x v="443"/>
    <n v="1041"/>
    <s v="Customer_101"/>
    <s v="Consumer"/>
    <s v="West"/>
    <s v="Electronics"/>
    <s v="Product_D"/>
    <n v="4983"/>
    <n v="2"/>
    <n v="0.25"/>
    <n v="159"/>
    <s v="COD"/>
    <n v="7474.5"/>
    <x v="2"/>
    <n v="2025"/>
    <x v="0"/>
    <n v="2.1272325908087499E-2"/>
    <n v="2491.5"/>
    <s v="High"/>
    <s v="Repeat"/>
    <s v="Below Avg"/>
    <s v="Profit"/>
    <n v="265"/>
  </r>
  <r>
    <n v="445"/>
    <x v="444"/>
    <n v="1076"/>
    <s v="Customer_31"/>
    <s v="Consumer"/>
    <s v="West"/>
    <s v="Clothing"/>
    <s v="Product_A"/>
    <n v="2328"/>
    <n v="4"/>
    <n v="0.06"/>
    <n v="878"/>
    <s v="COD"/>
    <n v="8753.2799999999897"/>
    <x v="2"/>
    <n v="2025"/>
    <x v="0"/>
    <n v="0.10030525700080439"/>
    <n v="558.72"/>
    <s v="High"/>
    <s v="Repeat"/>
    <s v="Below Avg"/>
    <s v="Profit"/>
    <n v="234"/>
  </r>
  <r>
    <n v="446"/>
    <x v="445"/>
    <n v="1042"/>
    <s v="Customer_50"/>
    <s v="Consumer"/>
    <s v="East"/>
    <s v="Furniture"/>
    <s v="Product_D"/>
    <n v="4886"/>
    <n v="8"/>
    <n v="0"/>
    <n v="-420"/>
    <s v="UPI"/>
    <n v="39088"/>
    <x v="2"/>
    <n v="2025"/>
    <x v="0"/>
    <n v="-1.0744985673352435E-2"/>
    <n v="0"/>
    <s v="High"/>
    <s v="New"/>
    <s v="Above Avg"/>
    <s v="Loss"/>
    <n v="4"/>
  </r>
  <r>
    <n v="447"/>
    <x v="446"/>
    <n v="1069"/>
    <s v="Customer_170"/>
    <s v="Consumer"/>
    <s v="West"/>
    <s v="Clothing"/>
    <s v="Product_C"/>
    <n v="2947"/>
    <n v="6"/>
    <n v="0.15"/>
    <n v="963"/>
    <s v="Card"/>
    <n v="15029.699999999901"/>
    <x v="2"/>
    <n v="2025"/>
    <x v="0"/>
    <n v="6.4073135192319636E-2"/>
    <n v="2652.2999999999997"/>
    <s v="High"/>
    <s v="Repeat"/>
    <s v="Above Avg"/>
    <s v="Profit"/>
    <n v="137"/>
  </r>
  <r>
    <n v="448"/>
    <x v="447"/>
    <n v="1003"/>
    <s v="Customer_103"/>
    <s v="Corporate"/>
    <s v="East"/>
    <s v="Furniture"/>
    <s v="Product_A"/>
    <n v="3985"/>
    <n v="4"/>
    <n v="0.28999999999999998"/>
    <n v="735"/>
    <s v="Card"/>
    <n v="11317.4"/>
    <x v="2"/>
    <n v="2025"/>
    <x v="0"/>
    <n v="6.494424514464453E-2"/>
    <n v="4622.5999999999995"/>
    <s v="High"/>
    <s v="Repeat"/>
    <s v="Above Avg"/>
    <s v="Profit"/>
    <n v="185"/>
  </r>
  <r>
    <n v="449"/>
    <x v="448"/>
    <n v="1063"/>
    <s v="Customer_17"/>
    <s v="Consumer"/>
    <s v="North"/>
    <s v="Clothing"/>
    <s v="Product_B"/>
    <n v="444"/>
    <n v="4"/>
    <n v="0.28999999999999998"/>
    <n v="1226"/>
    <s v="Card"/>
    <n v="1260.96"/>
    <x v="2"/>
    <n v="2025"/>
    <x v="0"/>
    <n v="0.97227509199340179"/>
    <n v="515.04"/>
    <s v="Low"/>
    <s v="Repeat"/>
    <s v="Below Avg"/>
    <s v="Profit"/>
    <n v="467"/>
  </r>
  <r>
    <n v="450"/>
    <x v="449"/>
    <n v="1069"/>
    <s v="Customer_196"/>
    <s v="Consumer"/>
    <s v="West"/>
    <s v="Clothing"/>
    <s v="Product_A"/>
    <n v="3283"/>
    <n v="6"/>
    <n v="0.18"/>
    <n v="-475"/>
    <s v="Card"/>
    <n v="16152.36"/>
    <x v="2"/>
    <n v="2025"/>
    <x v="0"/>
    <n v="-2.9407467391761945E-2"/>
    <n v="3545.64"/>
    <s v="High"/>
    <s v="Repeat"/>
    <s v="Above Avg"/>
    <s v="Loss"/>
    <n v="124"/>
  </r>
  <r>
    <n v="451"/>
    <x v="450"/>
    <n v="1050"/>
    <s v="Customer_6"/>
    <s v="Consumer"/>
    <s v="East"/>
    <s v="Clothing"/>
    <s v="Product_A"/>
    <n v="3777"/>
    <n v="1"/>
    <n v="0.06"/>
    <n v="658"/>
    <s v="UPI"/>
    <n v="3550.3799999999901"/>
    <x v="2"/>
    <n v="2025"/>
    <x v="0"/>
    <n v="0.18533227429176646"/>
    <n v="226.62"/>
    <s v="Medium"/>
    <s v="Repeat"/>
    <s v="Below Avg"/>
    <s v="Profit"/>
    <n v="375"/>
  </r>
  <r>
    <n v="452"/>
    <x v="451"/>
    <n v="1066"/>
    <s v="Customer_60"/>
    <s v="Corporate"/>
    <s v="North"/>
    <s v="Electronics"/>
    <s v="Product_B"/>
    <n v="4411"/>
    <n v="5"/>
    <n v="0"/>
    <n v="1052"/>
    <s v="COD"/>
    <n v="22055"/>
    <x v="2"/>
    <n v="2025"/>
    <x v="0"/>
    <n v="4.7698934481976873E-2"/>
    <n v="0"/>
    <s v="High"/>
    <s v="Repeat"/>
    <s v="Above Avg"/>
    <s v="Profit"/>
    <n v="66"/>
  </r>
  <r>
    <n v="453"/>
    <x v="452"/>
    <n v="1090"/>
    <s v="Customer_19"/>
    <s v="Corporate"/>
    <s v="North"/>
    <s v="Furniture"/>
    <s v="Product_A"/>
    <n v="2976"/>
    <n v="4"/>
    <n v="0.15"/>
    <n v="1151"/>
    <s v="Card"/>
    <n v="10118.4"/>
    <x v="2"/>
    <n v="2025"/>
    <x v="0"/>
    <n v="0.11375316255534472"/>
    <n v="1785.6"/>
    <s v="High"/>
    <s v="Repeat"/>
    <s v="Below Avg"/>
    <s v="Profit"/>
    <n v="199"/>
  </r>
  <r>
    <n v="454"/>
    <x v="453"/>
    <n v="1083"/>
    <s v="Customer_186"/>
    <s v="Corporate"/>
    <s v="North"/>
    <s v="Electronics"/>
    <s v="Product_C"/>
    <n v="504"/>
    <n v="8"/>
    <n v="0.09"/>
    <n v="1073"/>
    <s v="UPI"/>
    <n v="3669.12"/>
    <x v="2"/>
    <n v="2025"/>
    <x v="0"/>
    <n v="0.2924406942264085"/>
    <n v="362.88"/>
    <s v="Medium"/>
    <s v="Repeat"/>
    <s v="Below Avg"/>
    <s v="Profit"/>
    <n v="367"/>
  </r>
  <r>
    <n v="455"/>
    <x v="454"/>
    <n v="1017"/>
    <s v="Customer_40"/>
    <s v="Corporate"/>
    <s v="West"/>
    <s v="Electronics"/>
    <s v="Product_D"/>
    <n v="2002"/>
    <n v="9"/>
    <n v="0.1"/>
    <n v="-460"/>
    <s v="UPI"/>
    <n v="16216.2"/>
    <x v="2"/>
    <n v="2025"/>
    <x v="0"/>
    <n v="-2.83666950333617E-2"/>
    <n v="1801.8000000000002"/>
    <s v="High"/>
    <s v="Repeat"/>
    <s v="Above Avg"/>
    <s v="Loss"/>
    <n v="121"/>
  </r>
  <r>
    <n v="456"/>
    <x v="455"/>
    <n v="1019"/>
    <s v="Customer_124"/>
    <s v="Consumer"/>
    <s v="South"/>
    <s v="Electronics"/>
    <s v="Product_A"/>
    <n v="272"/>
    <n v="2"/>
    <n v="0.25"/>
    <n v="237"/>
    <s v="COD"/>
    <n v="408"/>
    <x v="2"/>
    <n v="2025"/>
    <x v="0"/>
    <n v="0.58088235294117652"/>
    <n v="136"/>
    <s v="Low"/>
    <s v="Repeat"/>
    <s v="Below Avg"/>
    <s v="Profit"/>
    <n v="495"/>
  </r>
  <r>
    <n v="457"/>
    <x v="456"/>
    <n v="1029"/>
    <s v="Customer_45"/>
    <s v="Consumer"/>
    <s v="East"/>
    <s v="Electronics"/>
    <s v="Product_B"/>
    <n v="1217"/>
    <n v="2"/>
    <n v="0.03"/>
    <n v="1969"/>
    <s v="COD"/>
    <n v="2360.98"/>
    <x v="3"/>
    <n v="2025"/>
    <x v="1"/>
    <n v="0.83397572194597158"/>
    <n v="73.02"/>
    <s v="Medium"/>
    <s v="Repeat"/>
    <s v="Below Avg"/>
    <s v="Profit"/>
    <n v="414"/>
  </r>
  <r>
    <n v="458"/>
    <x v="457"/>
    <n v="1073"/>
    <s v="Customer_42"/>
    <s v="Corporate"/>
    <s v="West"/>
    <s v="Clothing"/>
    <s v="Product_D"/>
    <n v="1801"/>
    <n v="8"/>
    <n v="0.03"/>
    <n v="1897"/>
    <s v="Card"/>
    <n v="13975.76"/>
    <x v="3"/>
    <n v="2025"/>
    <x v="1"/>
    <n v="0.13573501548395223"/>
    <n v="432.24"/>
    <s v="High"/>
    <s v="Repeat"/>
    <s v="Above Avg"/>
    <s v="Profit"/>
    <n v="148"/>
  </r>
  <r>
    <n v="459"/>
    <x v="458"/>
    <n v="1051"/>
    <s v="Customer_70"/>
    <s v="Corporate"/>
    <s v="East"/>
    <s v="Clothing"/>
    <s v="Product_C"/>
    <n v="4044"/>
    <n v="6"/>
    <n v="0.13"/>
    <n v="-422"/>
    <s v="Card"/>
    <n v="21109.68"/>
    <x v="3"/>
    <n v="2025"/>
    <x v="1"/>
    <n v="-1.9990828851976911E-2"/>
    <n v="3154.32"/>
    <s v="High"/>
    <s v="Repeat"/>
    <s v="Above Avg"/>
    <s v="Loss"/>
    <n v="75"/>
  </r>
  <r>
    <n v="460"/>
    <x v="459"/>
    <n v="1022"/>
    <s v="Customer_152"/>
    <s v="Corporate"/>
    <s v="East"/>
    <s v="Electronics"/>
    <s v="Product_D"/>
    <n v="1017"/>
    <n v="8"/>
    <n v="0.12"/>
    <n v="622"/>
    <s v="COD"/>
    <n v="7159.68"/>
    <x v="3"/>
    <n v="2025"/>
    <x v="1"/>
    <n v="8.68753910789309E-2"/>
    <n v="976.31999999999994"/>
    <s v="High"/>
    <s v="Repeat"/>
    <s v="Below Avg"/>
    <s v="Profit"/>
    <n v="272"/>
  </r>
  <r>
    <n v="461"/>
    <x v="460"/>
    <n v="1046"/>
    <s v="Customer_150"/>
    <s v="Consumer"/>
    <s v="South"/>
    <s v="Electronics"/>
    <s v="Product_C"/>
    <n v="3058"/>
    <n v="1"/>
    <n v="0.02"/>
    <n v="1633"/>
    <s v="Card"/>
    <n v="2996.84"/>
    <x v="3"/>
    <n v="2025"/>
    <x v="1"/>
    <n v="0.54490730235848428"/>
    <n v="61.160000000000004"/>
    <s v="Medium"/>
    <s v="Repeat"/>
    <s v="Below Avg"/>
    <s v="Profit"/>
    <n v="393"/>
  </r>
  <r>
    <n v="462"/>
    <x v="461"/>
    <n v="1002"/>
    <s v="Customer_53"/>
    <s v="Consumer"/>
    <s v="West"/>
    <s v="Electronics"/>
    <s v="Product_C"/>
    <n v="3212"/>
    <n v="3"/>
    <n v="0.16"/>
    <n v="-72"/>
    <s v="COD"/>
    <n v="8094.24"/>
    <x v="3"/>
    <n v="2025"/>
    <x v="1"/>
    <n v="-8.8952143746664301E-3"/>
    <n v="1541.76"/>
    <s v="High"/>
    <s v="Repeat"/>
    <s v="Below Avg"/>
    <s v="Loss"/>
    <n v="249"/>
  </r>
  <r>
    <n v="463"/>
    <x v="462"/>
    <n v="1049"/>
    <s v="Customer_78"/>
    <s v="Consumer"/>
    <s v="South"/>
    <s v="Furniture"/>
    <s v="Product_C"/>
    <n v="1965"/>
    <n v="7"/>
    <n v="0.13"/>
    <n v="510"/>
    <s v="COD"/>
    <n v="11966.85"/>
    <x v="3"/>
    <n v="2025"/>
    <x v="1"/>
    <n v="4.2617731483222399E-2"/>
    <n v="1788.15"/>
    <s v="High"/>
    <s v="Repeat"/>
    <s v="Above Avg"/>
    <s v="Profit"/>
    <n v="168"/>
  </r>
  <r>
    <n v="464"/>
    <x v="463"/>
    <n v="1008"/>
    <s v="Customer_152"/>
    <s v="Consumer"/>
    <s v="North"/>
    <s v="Furniture"/>
    <s v="Product_A"/>
    <n v="406"/>
    <n v="7"/>
    <n v="0.3"/>
    <n v="648"/>
    <s v="COD"/>
    <n v="1989.3999999999901"/>
    <x v="3"/>
    <n v="2025"/>
    <x v="1"/>
    <n v="0.32572634965316338"/>
    <n v="852.6"/>
    <s v="Low"/>
    <s v="Repeat"/>
    <s v="Below Avg"/>
    <s v="Profit"/>
    <n v="431"/>
  </r>
  <r>
    <n v="465"/>
    <x v="464"/>
    <n v="1018"/>
    <s v="Customer_153"/>
    <s v="Consumer"/>
    <s v="West"/>
    <s v="Clothing"/>
    <s v="Product_C"/>
    <n v="1951"/>
    <n v="5"/>
    <n v="0.02"/>
    <n v="575"/>
    <s v="Card"/>
    <n v="9559.9"/>
    <x v="3"/>
    <n v="2025"/>
    <x v="1"/>
    <n v="6.0147072668124149E-2"/>
    <n v="195.1"/>
    <s v="High"/>
    <s v="Repeat"/>
    <s v="Below Avg"/>
    <s v="Profit"/>
    <n v="214"/>
  </r>
  <r>
    <n v="466"/>
    <x v="465"/>
    <n v="1035"/>
    <s v="Customer_145"/>
    <s v="Consumer"/>
    <s v="North"/>
    <s v="Furniture"/>
    <s v="Product_D"/>
    <n v="930"/>
    <n v="9"/>
    <n v="0.04"/>
    <n v="-226"/>
    <s v="Card"/>
    <n v="8035.2"/>
    <x v="3"/>
    <n v="2025"/>
    <x v="1"/>
    <n v="-2.8126244524093989E-2"/>
    <n v="334.8"/>
    <s v="High"/>
    <s v="Repeat"/>
    <s v="Below Avg"/>
    <s v="Loss"/>
    <n v="252"/>
  </r>
  <r>
    <n v="467"/>
    <x v="466"/>
    <n v="1039"/>
    <s v="Customer_123"/>
    <s v="Consumer"/>
    <s v="South"/>
    <s v="Electronics"/>
    <s v="Product_A"/>
    <n v="524"/>
    <n v="2"/>
    <n v="0.05"/>
    <n v="563"/>
    <s v="Card"/>
    <n v="995.599999999999"/>
    <x v="3"/>
    <n v="2025"/>
    <x v="1"/>
    <n v="0.56548814785054291"/>
    <n v="52.400000000000006"/>
    <s v="Low"/>
    <s v="Repeat"/>
    <s v="Below Avg"/>
    <s v="Profit"/>
    <n v="480"/>
  </r>
  <r>
    <n v="468"/>
    <x v="467"/>
    <n v="1026"/>
    <s v="Customer_115"/>
    <s v="Corporate"/>
    <s v="North"/>
    <s v="Furniture"/>
    <s v="Product_B"/>
    <n v="3851"/>
    <n v="1"/>
    <n v="0.1"/>
    <n v="1436"/>
    <s v="UPI"/>
    <n v="3465.9"/>
    <x v="3"/>
    <n v="2025"/>
    <x v="1"/>
    <n v="0.41432239822268385"/>
    <n v="385.1"/>
    <s v="Medium"/>
    <s v="Repeat"/>
    <s v="Below Avg"/>
    <s v="Profit"/>
    <n v="377"/>
  </r>
  <r>
    <n v="469"/>
    <x v="468"/>
    <n v="1091"/>
    <s v="Customer_110"/>
    <s v="Corporate"/>
    <s v="East"/>
    <s v="Electronics"/>
    <s v="Product_A"/>
    <n v="4972"/>
    <n v="3"/>
    <n v="0.2"/>
    <n v="1594"/>
    <s v="COD"/>
    <n v="11932.8"/>
    <x v="3"/>
    <n v="2025"/>
    <x v="1"/>
    <n v="0.13358138911236256"/>
    <n v="2983.2000000000003"/>
    <s v="High"/>
    <s v="Repeat"/>
    <s v="Above Avg"/>
    <s v="Profit"/>
    <n v="169"/>
  </r>
  <r>
    <n v="470"/>
    <x v="469"/>
    <n v="1071"/>
    <s v="Customer_163"/>
    <s v="Consumer"/>
    <s v="South"/>
    <s v="Furniture"/>
    <s v="Product_C"/>
    <n v="1905"/>
    <n v="7"/>
    <n v="0.28999999999999998"/>
    <n v="-284"/>
    <s v="UPI"/>
    <n v="9467.85"/>
    <x v="3"/>
    <n v="2025"/>
    <x v="1"/>
    <n v="-2.9996250468691414E-2"/>
    <n v="3867.1499999999996"/>
    <s v="High"/>
    <s v="Repeat"/>
    <s v="Below Avg"/>
    <s v="Loss"/>
    <n v="218"/>
  </r>
  <r>
    <n v="471"/>
    <x v="470"/>
    <n v="1071"/>
    <s v="Customer_56"/>
    <s v="Corporate"/>
    <s v="North"/>
    <s v="Furniture"/>
    <s v="Product_B"/>
    <n v="4820"/>
    <n v="8"/>
    <n v="0.27"/>
    <n v="148"/>
    <s v="COD"/>
    <n v="28148.799999999999"/>
    <x v="3"/>
    <n v="2025"/>
    <x v="1"/>
    <n v="5.257772977888933E-3"/>
    <n v="10411.200000000001"/>
    <s v="High"/>
    <s v="Repeat"/>
    <s v="Above Avg"/>
    <s v="Profit"/>
    <n v="28"/>
  </r>
  <r>
    <n v="472"/>
    <x v="471"/>
    <n v="1081"/>
    <s v="Customer_28"/>
    <s v="Corporate"/>
    <s v="North"/>
    <s v="Furniture"/>
    <s v="Product_C"/>
    <n v="2519"/>
    <n v="8"/>
    <n v="0.13"/>
    <n v="1049"/>
    <s v="COD"/>
    <n v="17532.240000000002"/>
    <x v="3"/>
    <n v="2025"/>
    <x v="1"/>
    <n v="5.9832628346406388E-2"/>
    <n v="2619.7600000000002"/>
    <s v="High"/>
    <s v="Repeat"/>
    <s v="Above Avg"/>
    <s v="Profit"/>
    <n v="96"/>
  </r>
  <r>
    <n v="473"/>
    <x v="472"/>
    <n v="1020"/>
    <s v="Customer_194"/>
    <s v="Corporate"/>
    <s v="North"/>
    <s v="Clothing"/>
    <s v="Product_B"/>
    <n v="191"/>
    <n v="2"/>
    <n v="0.02"/>
    <n v="453"/>
    <s v="Card"/>
    <n v="374.36"/>
    <x v="3"/>
    <n v="2025"/>
    <x v="1"/>
    <n v="1.2100651779036222"/>
    <n v="7.6400000000000006"/>
    <s v="Low"/>
    <s v="Repeat"/>
    <s v="Below Avg"/>
    <s v="Profit"/>
    <n v="496"/>
  </r>
  <r>
    <n v="474"/>
    <x v="473"/>
    <n v="1012"/>
    <s v="Customer_34"/>
    <s v="Corporate"/>
    <s v="North"/>
    <s v="Furniture"/>
    <s v="Product_A"/>
    <n v="958"/>
    <n v="6"/>
    <n v="0.19"/>
    <n v="1374"/>
    <s v="Card"/>
    <n v="4655.88"/>
    <x v="3"/>
    <n v="2025"/>
    <x v="1"/>
    <n v="0.2951106987293487"/>
    <n v="1092.1200000000001"/>
    <s v="Medium"/>
    <s v="Repeat"/>
    <s v="Below Avg"/>
    <s v="Profit"/>
    <n v="333"/>
  </r>
  <r>
    <n v="475"/>
    <x v="474"/>
    <n v="1026"/>
    <s v="Customer_65"/>
    <s v="Corporate"/>
    <s v="West"/>
    <s v="Clothing"/>
    <s v="Product_D"/>
    <n v="4109"/>
    <n v="5"/>
    <n v="0.13"/>
    <n v="630"/>
    <s v="UPI"/>
    <n v="17874.150000000001"/>
    <x v="3"/>
    <n v="2025"/>
    <x v="1"/>
    <n v="3.5246431298830989E-2"/>
    <n v="2670.85"/>
    <s v="High"/>
    <s v="Repeat"/>
    <s v="Above Avg"/>
    <s v="Profit"/>
    <n v="92"/>
  </r>
  <r>
    <n v="476"/>
    <x v="475"/>
    <n v="1061"/>
    <s v="Customer_111"/>
    <s v="Corporate"/>
    <s v="North"/>
    <s v="Clothing"/>
    <s v="Product_A"/>
    <n v="911"/>
    <n v="2"/>
    <n v="0.01"/>
    <n v="61"/>
    <s v="UPI"/>
    <n v="1803.78"/>
    <x v="3"/>
    <n v="2025"/>
    <x v="1"/>
    <n v="3.3817871359034919E-2"/>
    <n v="18.22"/>
    <s v="Low"/>
    <s v="Repeat"/>
    <s v="Below Avg"/>
    <s v="Profit"/>
    <n v="440"/>
  </r>
  <r>
    <n v="477"/>
    <x v="476"/>
    <n v="1039"/>
    <s v="Customer_128"/>
    <s v="Consumer"/>
    <s v="North"/>
    <s v="Furniture"/>
    <s v="Product_D"/>
    <n v="1853"/>
    <n v="1"/>
    <n v="0.25"/>
    <n v="1755"/>
    <s v="COD"/>
    <n v="1389.75"/>
    <x v="3"/>
    <n v="2025"/>
    <x v="1"/>
    <n v="1.2628170534268754"/>
    <n v="463.25"/>
    <s v="Low"/>
    <s v="Repeat"/>
    <s v="Below Avg"/>
    <s v="Profit"/>
    <n v="461"/>
  </r>
  <r>
    <n v="478"/>
    <x v="477"/>
    <n v="1052"/>
    <s v="Customer_131"/>
    <s v="Corporate"/>
    <s v="West"/>
    <s v="Electronics"/>
    <s v="Product_C"/>
    <n v="3861"/>
    <n v="4"/>
    <n v="0.16"/>
    <n v="1739"/>
    <s v="Card"/>
    <n v="12972.96"/>
    <x v="3"/>
    <n v="2025"/>
    <x v="1"/>
    <n v="0.1340480507147174"/>
    <n v="2471.04"/>
    <s v="High"/>
    <s v="Repeat"/>
    <s v="Above Avg"/>
    <s v="Profit"/>
    <n v="159"/>
  </r>
  <r>
    <n v="479"/>
    <x v="478"/>
    <n v="1079"/>
    <s v="Customer_187"/>
    <s v="Corporate"/>
    <s v="North"/>
    <s v="Electronics"/>
    <s v="Product_C"/>
    <n v="3679"/>
    <n v="6"/>
    <n v="0.13"/>
    <n v="1506"/>
    <s v="COD"/>
    <n v="19204.38"/>
    <x v="3"/>
    <n v="2025"/>
    <x v="1"/>
    <n v="7.8419610526348674E-2"/>
    <n v="2869.62"/>
    <s v="High"/>
    <s v="Repeat"/>
    <s v="Above Avg"/>
    <s v="Profit"/>
    <n v="84"/>
  </r>
  <r>
    <n v="480"/>
    <x v="479"/>
    <n v="1039"/>
    <s v="Customer_56"/>
    <s v="Consumer"/>
    <s v="North"/>
    <s v="Electronics"/>
    <s v="Product_A"/>
    <n v="1431"/>
    <n v="9"/>
    <n v="0.22"/>
    <n v="822"/>
    <s v="UPI"/>
    <n v="10045.620000000001"/>
    <x v="3"/>
    <n v="2025"/>
    <x v="1"/>
    <n v="8.1826706564652046E-2"/>
    <n v="2833.38"/>
    <s v="High"/>
    <s v="Repeat"/>
    <s v="Below Avg"/>
    <s v="Profit"/>
    <n v="200"/>
  </r>
  <r>
    <n v="481"/>
    <x v="480"/>
    <n v="1008"/>
    <s v="Customer_22"/>
    <s v="Consumer"/>
    <s v="North"/>
    <s v="Furniture"/>
    <s v="Product_C"/>
    <n v="2112"/>
    <n v="9"/>
    <n v="0.26"/>
    <n v="645"/>
    <s v="UPI"/>
    <n v="14065.92"/>
    <x v="3"/>
    <n v="2025"/>
    <x v="1"/>
    <n v="4.5855514605514604E-2"/>
    <n v="4942.08"/>
    <s v="High"/>
    <s v="Repeat"/>
    <s v="Above Avg"/>
    <s v="Profit"/>
    <n v="146"/>
  </r>
  <r>
    <n v="482"/>
    <x v="481"/>
    <n v="1026"/>
    <s v="Customer_170"/>
    <s v="Consumer"/>
    <s v="West"/>
    <s v="Clothing"/>
    <s v="Product_D"/>
    <n v="3792"/>
    <n v="3"/>
    <n v="0.28000000000000003"/>
    <n v="1742"/>
    <s v="Card"/>
    <n v="8190.7199999999903"/>
    <x v="3"/>
    <n v="2025"/>
    <x v="1"/>
    <n v="0.2126797155805597"/>
    <n v="3185.28"/>
    <s v="High"/>
    <s v="Repeat"/>
    <s v="Below Avg"/>
    <s v="Profit"/>
    <n v="244"/>
  </r>
  <r>
    <n v="483"/>
    <x v="482"/>
    <n v="1080"/>
    <s v="Customer_132"/>
    <s v="Consumer"/>
    <s v="East"/>
    <s v="Furniture"/>
    <s v="Product_C"/>
    <n v="2486"/>
    <n v="9"/>
    <n v="0.1"/>
    <n v="-143"/>
    <s v="UPI"/>
    <n v="20136.599999999999"/>
    <x v="3"/>
    <n v="2025"/>
    <x v="1"/>
    <n v="-7.1014967770130014E-3"/>
    <n v="2237.4"/>
    <s v="High"/>
    <s v="Repeat"/>
    <s v="Above Avg"/>
    <s v="Loss"/>
    <n v="78"/>
  </r>
  <r>
    <n v="484"/>
    <x v="483"/>
    <n v="1002"/>
    <s v="Customer_100"/>
    <s v="Corporate"/>
    <s v="East"/>
    <s v="Clothing"/>
    <s v="Product_D"/>
    <n v="306"/>
    <n v="6"/>
    <n v="0.06"/>
    <n v="-483"/>
    <s v="Card"/>
    <n v="1725.84"/>
    <x v="3"/>
    <n v="2025"/>
    <x v="1"/>
    <n v="-0.27986371853706021"/>
    <n v="110.16"/>
    <s v="Low"/>
    <s v="Repeat"/>
    <s v="Below Avg"/>
    <s v="Loss"/>
    <n v="445"/>
  </r>
  <r>
    <n v="485"/>
    <x v="484"/>
    <n v="1055"/>
    <s v="Customer_118"/>
    <s v="Consumer"/>
    <s v="West"/>
    <s v="Electronics"/>
    <s v="Product_B"/>
    <n v="3682"/>
    <n v="8"/>
    <n v="0.1"/>
    <n v="1715"/>
    <s v="Card"/>
    <n v="26510.400000000001"/>
    <x v="3"/>
    <n v="2025"/>
    <x v="1"/>
    <n v="6.4691592733417819E-2"/>
    <n v="2945.6000000000004"/>
    <s v="High"/>
    <s v="Repeat"/>
    <s v="Above Avg"/>
    <s v="Profit"/>
    <n v="37"/>
  </r>
  <r>
    <n v="486"/>
    <x v="485"/>
    <n v="1052"/>
    <s v="Customer_12"/>
    <s v="Consumer"/>
    <s v="East"/>
    <s v="Furniture"/>
    <s v="Product_C"/>
    <n v="4317"/>
    <n v="8"/>
    <n v="0.28999999999999998"/>
    <n v="227"/>
    <s v="UPI"/>
    <n v="24520.559999999899"/>
    <x v="3"/>
    <n v="2025"/>
    <x v="1"/>
    <n v="9.2575373482498332E-3"/>
    <n v="10015.439999999999"/>
    <s v="High"/>
    <s v="Repeat"/>
    <s v="Above Avg"/>
    <s v="Profit"/>
    <n v="46"/>
  </r>
  <r>
    <n v="487"/>
    <x v="486"/>
    <n v="1003"/>
    <s v="Customer_37"/>
    <s v="Corporate"/>
    <s v="East"/>
    <s v="Electronics"/>
    <s v="Product_D"/>
    <n v="1839"/>
    <n v="3"/>
    <n v="0.03"/>
    <n v="1247"/>
    <s v="UPI"/>
    <n v="5351.49"/>
    <x v="4"/>
    <n v="2025"/>
    <x v="1"/>
    <n v="0.23301921520922211"/>
    <n v="165.51"/>
    <s v="High"/>
    <s v="Repeat"/>
    <s v="Below Avg"/>
    <s v="Profit"/>
    <n v="314"/>
  </r>
  <r>
    <n v="488"/>
    <x v="487"/>
    <n v="1039"/>
    <s v="Customer_41"/>
    <s v="Consumer"/>
    <s v="West"/>
    <s v="Furniture"/>
    <s v="Product_A"/>
    <n v="3996"/>
    <n v="3"/>
    <n v="0.28999999999999998"/>
    <n v="56"/>
    <s v="Card"/>
    <n v="8511.48"/>
    <x v="4"/>
    <n v="2025"/>
    <x v="1"/>
    <n v="6.5793493023539977E-3"/>
    <n v="3476.52"/>
    <s v="High"/>
    <s v="Repeat"/>
    <s v="Below Avg"/>
    <s v="Profit"/>
    <n v="238"/>
  </r>
  <r>
    <n v="489"/>
    <x v="488"/>
    <n v="1051"/>
    <s v="Customer_58"/>
    <s v="Corporate"/>
    <s v="South"/>
    <s v="Electronics"/>
    <s v="Product_C"/>
    <n v="3116"/>
    <n v="9"/>
    <n v="0.19"/>
    <n v="942"/>
    <s v="COD"/>
    <n v="22715.64"/>
    <x v="4"/>
    <n v="2025"/>
    <x v="1"/>
    <n v="4.1469225608435425E-2"/>
    <n v="5328.36"/>
    <s v="High"/>
    <s v="Repeat"/>
    <s v="Above Avg"/>
    <s v="Profit"/>
    <n v="61"/>
  </r>
  <r>
    <n v="490"/>
    <x v="489"/>
    <n v="1055"/>
    <s v="Customer_63"/>
    <s v="Consumer"/>
    <s v="West"/>
    <s v="Furniture"/>
    <s v="Product_D"/>
    <n v="2104"/>
    <n v="3"/>
    <n v="0"/>
    <n v="1145"/>
    <s v="UPI"/>
    <n v="6312"/>
    <x v="4"/>
    <n v="2025"/>
    <x v="1"/>
    <n v="0.18140050697084917"/>
    <n v="0"/>
    <s v="High"/>
    <s v="Repeat"/>
    <s v="Below Avg"/>
    <s v="Profit"/>
    <n v="289"/>
  </r>
  <r>
    <n v="491"/>
    <x v="490"/>
    <n v="1064"/>
    <s v="Customer_71"/>
    <s v="Corporate"/>
    <s v="East"/>
    <s v="Clothing"/>
    <s v="Product_B"/>
    <n v="1692"/>
    <n v="4"/>
    <n v="0.26"/>
    <n v="-81"/>
    <s v="COD"/>
    <n v="5008.32"/>
    <x v="4"/>
    <n v="2025"/>
    <x v="1"/>
    <n v="-1.6173087981598621E-2"/>
    <n v="1759.68"/>
    <s v="High"/>
    <s v="Repeat"/>
    <s v="Below Avg"/>
    <s v="Loss"/>
    <n v="323"/>
  </r>
  <r>
    <n v="492"/>
    <x v="491"/>
    <n v="1077"/>
    <s v="Customer_133"/>
    <s v="Consumer"/>
    <s v="East"/>
    <s v="Clothing"/>
    <s v="Product_B"/>
    <n v="2103"/>
    <n v="7"/>
    <n v="0.2"/>
    <n v="439"/>
    <s v="COD"/>
    <n v="11776.8"/>
    <x v="4"/>
    <n v="2025"/>
    <x v="1"/>
    <n v="3.7276679573398551E-2"/>
    <n v="2944.2000000000003"/>
    <s v="High"/>
    <s v="Repeat"/>
    <s v="Above Avg"/>
    <s v="Profit"/>
    <n v="173"/>
  </r>
  <r>
    <n v="493"/>
    <x v="492"/>
    <n v="1071"/>
    <s v="Customer_91"/>
    <s v="Corporate"/>
    <s v="North"/>
    <s v="Electronics"/>
    <s v="Product_C"/>
    <n v="3019"/>
    <n v="9"/>
    <n v="0.04"/>
    <n v="660"/>
    <s v="COD"/>
    <n v="26084.16"/>
    <x v="4"/>
    <n v="2025"/>
    <x v="1"/>
    <n v="2.5302712450774725E-2"/>
    <n v="1086.8399999999999"/>
    <s v="High"/>
    <s v="Repeat"/>
    <s v="Above Avg"/>
    <s v="Profit"/>
    <n v="39"/>
  </r>
  <r>
    <n v="494"/>
    <x v="493"/>
    <n v="1070"/>
    <s v="Customer_89"/>
    <s v="Consumer"/>
    <s v="South"/>
    <s v="Clothing"/>
    <s v="Product_D"/>
    <n v="208"/>
    <n v="3"/>
    <n v="0.1"/>
    <n v="1549"/>
    <s v="Card"/>
    <n v="561.6"/>
    <x v="4"/>
    <n v="2025"/>
    <x v="1"/>
    <n v="2.758190883190883"/>
    <n v="62.400000000000006"/>
    <s v="Low"/>
    <s v="Repeat"/>
    <s v="Below Avg"/>
    <s v="Profit"/>
    <n v="489"/>
  </r>
  <r>
    <n v="495"/>
    <x v="494"/>
    <n v="1029"/>
    <s v="Customer_17"/>
    <s v="Corporate"/>
    <s v="East"/>
    <s v="Furniture"/>
    <s v="Product_B"/>
    <n v="3081"/>
    <n v="1"/>
    <n v="0.26"/>
    <n v="606"/>
    <s v="Card"/>
    <n v="2279.94"/>
    <x v="4"/>
    <n v="2025"/>
    <x v="1"/>
    <n v="0.26579646832811388"/>
    <n v="801.06000000000006"/>
    <s v="Medium"/>
    <s v="Repeat"/>
    <s v="Below Avg"/>
    <s v="Profit"/>
    <n v="416"/>
  </r>
  <r>
    <n v="496"/>
    <x v="495"/>
    <n v="1024"/>
    <s v="Customer_156"/>
    <s v="Consumer"/>
    <s v="North"/>
    <s v="Clothing"/>
    <s v="Product_A"/>
    <n v="2595"/>
    <n v="2"/>
    <n v="0.22"/>
    <n v="1965"/>
    <s v="Card"/>
    <n v="4048.2"/>
    <x v="4"/>
    <n v="2025"/>
    <x v="1"/>
    <n v="0.48540091892693049"/>
    <n v="1141.8"/>
    <s v="Medium"/>
    <s v="Repeat"/>
    <s v="Below Avg"/>
    <s v="Profit"/>
    <n v="352"/>
  </r>
  <r>
    <n v="497"/>
    <x v="496"/>
    <n v="1038"/>
    <s v="Customer_119"/>
    <s v="Corporate"/>
    <s v="South"/>
    <s v="Electronics"/>
    <s v="Product_A"/>
    <n v="1791"/>
    <n v="4"/>
    <n v="0.1"/>
    <n v="-437"/>
    <s v="UPI"/>
    <n v="6447.6"/>
    <x v="4"/>
    <n v="2025"/>
    <x v="1"/>
    <n v="-6.7777157391897755E-2"/>
    <n v="716.40000000000009"/>
    <s v="High"/>
    <s v="Repeat"/>
    <s v="Below Avg"/>
    <s v="Loss"/>
    <n v="286"/>
  </r>
  <r>
    <n v="498"/>
    <x v="497"/>
    <n v="1079"/>
    <s v="Customer_155"/>
    <s v="Consumer"/>
    <s v="East"/>
    <s v="Electronics"/>
    <s v="Product_D"/>
    <n v="4085"/>
    <n v="7"/>
    <n v="0.24"/>
    <n v="1108"/>
    <s v="UPI"/>
    <n v="21732.2"/>
    <x v="4"/>
    <n v="2025"/>
    <x v="1"/>
    <n v="5.0984253780105099E-2"/>
    <n v="6862.8"/>
    <s v="High"/>
    <s v="Repeat"/>
    <s v="Above Avg"/>
    <s v="Profit"/>
    <n v="70"/>
  </r>
  <r>
    <n v="499"/>
    <x v="498"/>
    <n v="1074"/>
    <s v="Customer_181"/>
    <s v="Corporate"/>
    <s v="South"/>
    <s v="Electronics"/>
    <s v="Product_A"/>
    <n v="4431"/>
    <n v="1"/>
    <n v="0.08"/>
    <n v="394"/>
    <s v="Card"/>
    <n v="4076.52"/>
    <x v="4"/>
    <n v="2025"/>
    <x v="1"/>
    <n v="9.665106512417454E-2"/>
    <n v="354.48"/>
    <s v="Medium"/>
    <s v="Repeat"/>
    <s v="Below Avg"/>
    <s v="Profit"/>
    <n v="350"/>
  </r>
  <r>
    <n v="500"/>
    <x v="499"/>
    <n v="1024"/>
    <s v="Customer_26"/>
    <s v="Consumer"/>
    <s v="North"/>
    <s v="Furniture"/>
    <s v="Product_B"/>
    <n v="1822"/>
    <n v="4"/>
    <n v="0.16"/>
    <n v="1668"/>
    <s v="Card"/>
    <n v="6121.92"/>
    <x v="4"/>
    <n v="2025"/>
    <x v="1"/>
    <n v="0.27246354084992941"/>
    <n v="1166.08"/>
    <s v="High"/>
    <s v="Repeat"/>
    <s v="Below Avg"/>
    <s v="Profit"/>
    <n v="29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066"/>
    <s v="Customer_33"/>
    <s v="Consumer"/>
    <s v="South"/>
    <s v="Electronics"/>
    <s v="Product_A"/>
    <n v="2755"/>
    <n v="3"/>
    <n v="0.25"/>
    <n v="559"/>
    <s v="UPI"/>
    <n v="6198.75"/>
    <s v="Jan"/>
    <n v="2024"/>
    <s v="Q1"/>
    <n v="9.017947166767494E-2"/>
    <n v="2066.25"/>
    <x v="0"/>
    <x v="0"/>
    <s v="Below Avg"/>
    <s v="Profit"/>
    <n v="293"/>
  </r>
  <r>
    <n v="2"/>
    <x v="1"/>
    <n v="1092"/>
    <s v="Customer_191"/>
    <s v="Consumer"/>
    <s v="East"/>
    <s v="Clothing"/>
    <s v="Product_A"/>
    <n v="1709"/>
    <n v="3"/>
    <n v="0.04"/>
    <n v="1735"/>
    <s v="UPI"/>
    <n v="4921.92"/>
    <s v="Jan"/>
    <n v="2024"/>
    <s v="Q1"/>
    <n v="0.35250471360769781"/>
    <n v="205.08"/>
    <x v="1"/>
    <x v="0"/>
    <s v="Below Avg"/>
    <s v="Profit"/>
    <n v="326"/>
  </r>
  <r>
    <n v="3"/>
    <x v="2"/>
    <n v="1098"/>
    <s v="Customer_54"/>
    <s v="Corporate"/>
    <s v="East"/>
    <s v="Clothing"/>
    <s v="Product_D"/>
    <n v="3914"/>
    <n v="7"/>
    <n v="0.16"/>
    <n v="-225"/>
    <s v="Card"/>
    <n v="23014.32"/>
    <s v="Jan"/>
    <n v="2024"/>
    <s v="Q1"/>
    <n v="-9.7765217481985134E-3"/>
    <n v="4383.68"/>
    <x v="0"/>
    <x v="0"/>
    <s v="Above Avg"/>
    <s v="Loss"/>
    <n v="59"/>
  </r>
  <r>
    <n v="4"/>
    <x v="3"/>
    <n v="1017"/>
    <s v="Customer_116"/>
    <s v="Consumer"/>
    <s v="West"/>
    <s v="Electronics"/>
    <s v="Product_B"/>
    <n v="759"/>
    <n v="5"/>
    <n v="0.01"/>
    <n v="-75"/>
    <s v="UPI"/>
    <n v="3757.05"/>
    <s v="Jan"/>
    <n v="2024"/>
    <s v="Q1"/>
    <n v="-1.9962470555355931E-2"/>
    <n v="37.950000000000003"/>
    <x v="1"/>
    <x v="0"/>
    <s v="Below Avg"/>
    <s v="Loss"/>
    <n v="365"/>
  </r>
  <r>
    <n v="5"/>
    <x v="4"/>
    <n v="1083"/>
    <s v="Customer_179"/>
    <s v="Consumer"/>
    <s v="West"/>
    <s v="Electronics"/>
    <s v="Product_B"/>
    <n v="243"/>
    <n v="1"/>
    <n v="0.17"/>
    <n v="-482"/>
    <s v="COD"/>
    <n v="201.69"/>
    <s v="Jan"/>
    <n v="2024"/>
    <s v="Q1"/>
    <n v="-2.3898061381327782"/>
    <n v="41.31"/>
    <x v="2"/>
    <x v="0"/>
    <s v="Below Avg"/>
    <s v="Loss"/>
    <n v="499"/>
  </r>
  <r>
    <n v="6"/>
    <x v="5"/>
    <n v="1057"/>
    <s v="Customer_112"/>
    <s v="Consumer"/>
    <s v="North"/>
    <s v="Furniture"/>
    <s v="Product_D"/>
    <n v="2090"/>
    <n v="8"/>
    <n v="0.04"/>
    <n v="1271"/>
    <s v="UPI"/>
    <n v="16051.199999999901"/>
    <s v="Jan"/>
    <n v="2024"/>
    <s v="Q1"/>
    <n v="7.9184110845295544E-2"/>
    <n v="668.80000000000007"/>
    <x v="0"/>
    <x v="0"/>
    <s v="Above Avg"/>
    <s v="Profit"/>
    <n v="127"/>
  </r>
  <r>
    <n v="7"/>
    <x v="6"/>
    <n v="1086"/>
    <s v="Customer_180"/>
    <s v="Corporate"/>
    <s v="North"/>
    <s v="Furniture"/>
    <s v="Product_D"/>
    <n v="550"/>
    <n v="5"/>
    <n v="0.24"/>
    <n v="1300"/>
    <s v="COD"/>
    <n v="2090"/>
    <s v="Jan"/>
    <n v="2024"/>
    <s v="Q1"/>
    <n v="0.62200956937799046"/>
    <n v="660"/>
    <x v="1"/>
    <x v="0"/>
    <s v="Below Avg"/>
    <s v="Profit"/>
    <n v="423"/>
  </r>
  <r>
    <n v="8"/>
    <x v="7"/>
    <n v="1097"/>
    <s v="Customer_180"/>
    <s v="Corporate"/>
    <s v="South"/>
    <s v="Furniture"/>
    <s v="Product_A"/>
    <n v="1291"/>
    <n v="4"/>
    <n v="7.0000000000000007E-2"/>
    <n v="829"/>
    <s v="COD"/>
    <n v="4802.5199999999904"/>
    <s v="Jan"/>
    <n v="2024"/>
    <s v="Q1"/>
    <n v="0.17261770903608972"/>
    <n v="361.48"/>
    <x v="1"/>
    <x v="0"/>
    <s v="Below Avg"/>
    <s v="Profit"/>
    <n v="329"/>
  </r>
  <r>
    <n v="9"/>
    <x v="8"/>
    <n v="1096"/>
    <s v="Customer_184"/>
    <s v="Consumer"/>
    <s v="West"/>
    <s v="Electronics"/>
    <s v="Product_C"/>
    <n v="4121"/>
    <n v="4"/>
    <n v="0.03"/>
    <n v="-169"/>
    <s v="Card"/>
    <n v="15989.48"/>
    <s v="Jan"/>
    <n v="2024"/>
    <s v="Q1"/>
    <n v="-1.056944941298904E-2"/>
    <n v="494.52"/>
    <x v="0"/>
    <x v="0"/>
    <s v="Above Avg"/>
    <s v="Loss"/>
    <n v="128"/>
  </r>
  <r>
    <n v="10"/>
    <x v="9"/>
    <n v="1047"/>
    <s v="Customer_114"/>
    <s v="Corporate"/>
    <s v="West"/>
    <s v="Electronics"/>
    <s v="Product_B"/>
    <n v="735"/>
    <n v="2"/>
    <n v="0.01"/>
    <n v="-250"/>
    <s v="COD"/>
    <n v="1455.3"/>
    <s v="Jan"/>
    <n v="2024"/>
    <s v="Q1"/>
    <n v="-0.17178588607160036"/>
    <n v="14.700000000000001"/>
    <x v="2"/>
    <x v="0"/>
    <s v="Below Avg"/>
    <s v="Loss"/>
    <n v="460"/>
  </r>
  <r>
    <n v="11"/>
    <x v="10"/>
    <n v="1073"/>
    <s v="Customer_73"/>
    <s v="Consumer"/>
    <s v="West"/>
    <s v="Clothing"/>
    <s v="Product_A"/>
    <n v="2257"/>
    <n v="1"/>
    <n v="0.17"/>
    <n v="960"/>
    <s v="Card"/>
    <n v="1873.31"/>
    <s v="Jan"/>
    <n v="2024"/>
    <s v="Q1"/>
    <n v="0.51246189899162442"/>
    <n v="383.69000000000005"/>
    <x v="2"/>
    <x v="0"/>
    <s v="Below Avg"/>
    <s v="Profit"/>
    <n v="438"/>
  </r>
  <r>
    <n v="12"/>
    <x v="11"/>
    <n v="1032"/>
    <s v="Customer_1"/>
    <s v="Consumer"/>
    <s v="West"/>
    <s v="Electronics"/>
    <s v="Product_C"/>
    <n v="3851"/>
    <n v="6"/>
    <n v="0.2"/>
    <n v="-7"/>
    <s v="UPI"/>
    <n v="18484.8"/>
    <s v="Jan"/>
    <n v="2024"/>
    <s v="Q1"/>
    <n v="-3.7868951787414524E-4"/>
    <n v="4621.2"/>
    <x v="0"/>
    <x v="0"/>
    <s v="Above Avg"/>
    <s v="Loss"/>
    <n v="87"/>
  </r>
  <r>
    <n v="13"/>
    <x v="12"/>
    <n v="1046"/>
    <s v="Customer_31"/>
    <s v="Corporate"/>
    <s v="East"/>
    <s v="Clothing"/>
    <s v="Product_B"/>
    <n v="999"/>
    <n v="3"/>
    <n v="0.27"/>
    <n v="-134"/>
    <s v="Card"/>
    <n v="2187.81"/>
    <s v="Jan"/>
    <n v="2024"/>
    <s v="Q1"/>
    <n v="-6.1248463074947093E-2"/>
    <n v="809.19"/>
    <x v="1"/>
    <x v="0"/>
    <s v="Below Avg"/>
    <s v="Loss"/>
    <n v="419"/>
  </r>
  <r>
    <n v="14"/>
    <x v="13"/>
    <n v="1096"/>
    <s v="Customer_21"/>
    <s v="Consumer"/>
    <s v="North"/>
    <s v="Clothing"/>
    <s v="Product_A"/>
    <n v="4554"/>
    <n v="9"/>
    <n v="0.02"/>
    <n v="1529"/>
    <s v="Card"/>
    <n v="40166.28"/>
    <s v="Jan"/>
    <n v="2024"/>
    <s v="Q1"/>
    <n v="3.8066756493257532E-2"/>
    <n v="819.72"/>
    <x v="0"/>
    <x v="0"/>
    <s v="Above Avg"/>
    <s v="Profit"/>
    <n v="2"/>
  </r>
  <r>
    <n v="15"/>
    <x v="14"/>
    <n v="1025"/>
    <s v="Customer_24"/>
    <s v="Corporate"/>
    <s v="South"/>
    <s v="Clothing"/>
    <s v="Product_A"/>
    <n v="2930"/>
    <n v="4"/>
    <n v="0.12"/>
    <n v="1243"/>
    <s v="Card"/>
    <n v="10313.6"/>
    <s v="Jan"/>
    <n v="2024"/>
    <s v="Q1"/>
    <n v="0.12052047781569965"/>
    <n v="1406.3999999999999"/>
    <x v="0"/>
    <x v="0"/>
    <s v="Below Avg"/>
    <s v="Profit"/>
    <n v="198"/>
  </r>
  <r>
    <n v="16"/>
    <x v="15"/>
    <n v="1083"/>
    <s v="Customer_19"/>
    <s v="Consumer"/>
    <s v="North"/>
    <s v="Furniture"/>
    <s v="Product_D"/>
    <n v="2870"/>
    <n v="2"/>
    <n v="0.05"/>
    <n v="1714"/>
    <s v="Card"/>
    <n v="5453"/>
    <s v="Jan"/>
    <n v="2024"/>
    <s v="Q1"/>
    <n v="0.31432239134421419"/>
    <n v="287"/>
    <x v="0"/>
    <x v="0"/>
    <s v="Below Avg"/>
    <s v="Profit"/>
    <n v="310"/>
  </r>
  <r>
    <n v="17"/>
    <x v="16"/>
    <n v="1078"/>
    <s v="Customer_61"/>
    <s v="Corporate"/>
    <s v="North"/>
    <s v="Clothing"/>
    <s v="Product_C"/>
    <n v="1320"/>
    <n v="4"/>
    <n v="0.15"/>
    <n v="644"/>
    <s v="UPI"/>
    <n v="4488"/>
    <s v="Jan"/>
    <n v="2024"/>
    <s v="Q1"/>
    <n v="0.14349376114081996"/>
    <n v="792"/>
    <x v="1"/>
    <x v="0"/>
    <s v="Below Avg"/>
    <s v="Profit"/>
    <n v="338"/>
  </r>
  <r>
    <n v="18"/>
    <x v="17"/>
    <n v="1036"/>
    <s v="Customer_112"/>
    <s v="Consumer"/>
    <s v="North"/>
    <s v="Furniture"/>
    <s v="Product_A"/>
    <n v="4545"/>
    <n v="4"/>
    <n v="7.0000000000000007E-2"/>
    <n v="1171"/>
    <s v="UPI"/>
    <n v="16907.3999999999"/>
    <s v="Jan"/>
    <n v="2024"/>
    <s v="Q1"/>
    <n v="6.9259614133456771E-2"/>
    <n v="1272.6000000000001"/>
    <x v="0"/>
    <x v="0"/>
    <s v="Above Avg"/>
    <s v="Profit"/>
    <n v="105"/>
  </r>
  <r>
    <n v="19"/>
    <x v="18"/>
    <n v="1096"/>
    <s v="Customer_188"/>
    <s v="Consumer"/>
    <s v="North"/>
    <s v="Electronics"/>
    <s v="Product_A"/>
    <n v="4690"/>
    <n v="1"/>
    <n v="0.12"/>
    <n v="-18"/>
    <s v="COD"/>
    <n v="4127.2"/>
    <s v="Jan"/>
    <n v="2024"/>
    <s v="Q1"/>
    <n v="-4.3613103314595857E-3"/>
    <n v="562.79999999999995"/>
    <x v="1"/>
    <x v="0"/>
    <s v="Below Avg"/>
    <s v="Loss"/>
    <n v="348"/>
  </r>
  <r>
    <n v="20"/>
    <x v="19"/>
    <n v="1080"/>
    <s v="Customer_124"/>
    <s v="Corporate"/>
    <s v="East"/>
    <s v="Furniture"/>
    <s v="Product_A"/>
    <n v="1487"/>
    <n v="8"/>
    <n v="0.11"/>
    <n v="992"/>
    <s v="Card"/>
    <n v="10587.44"/>
    <s v="Jan"/>
    <n v="2024"/>
    <s v="Q1"/>
    <n v="9.3695926494034437E-2"/>
    <n v="1308.56"/>
    <x v="0"/>
    <x v="0"/>
    <s v="Below Avg"/>
    <s v="Profit"/>
    <n v="196"/>
  </r>
  <r>
    <n v="21"/>
    <x v="20"/>
    <n v="1068"/>
    <s v="Customer_153"/>
    <s v="Consumer"/>
    <s v="South"/>
    <s v="Clothing"/>
    <s v="Product_B"/>
    <n v="2066"/>
    <n v="4"/>
    <n v="0.21"/>
    <n v="-488"/>
    <s v="UPI"/>
    <n v="6528.56"/>
    <s v="Jan"/>
    <n v="2024"/>
    <s v="Q1"/>
    <n v="-7.4748489712892274E-2"/>
    <n v="1735.4399999999998"/>
    <x v="0"/>
    <x v="0"/>
    <s v="Below Avg"/>
    <s v="Loss"/>
    <n v="285"/>
  </r>
  <r>
    <n v="22"/>
    <x v="21"/>
    <n v="1049"/>
    <s v="Customer_20"/>
    <s v="Corporate"/>
    <s v="East"/>
    <s v="Clothing"/>
    <s v="Product_D"/>
    <n v="4415"/>
    <n v="4"/>
    <n v="0.22"/>
    <n v="316"/>
    <s v="COD"/>
    <n v="13774.8"/>
    <s v="Jan"/>
    <n v="2024"/>
    <s v="Q1"/>
    <n v="2.2940441966489533E-2"/>
    <n v="3885.2"/>
    <x v="0"/>
    <x v="0"/>
    <s v="Above Avg"/>
    <s v="Profit"/>
    <n v="149"/>
  </r>
  <r>
    <n v="23"/>
    <x v="22"/>
    <n v="1055"/>
    <s v="Customer_117"/>
    <s v="Consumer"/>
    <s v="West"/>
    <s v="Furniture"/>
    <s v="Product_A"/>
    <n v="790"/>
    <n v="7"/>
    <n v="0.13"/>
    <n v="1889"/>
    <s v="COD"/>
    <n v="4811.1000000000004"/>
    <s v="Jan"/>
    <n v="2024"/>
    <s v="Q1"/>
    <n v="0.3926337012325663"/>
    <n v="718.9"/>
    <x v="1"/>
    <x v="0"/>
    <s v="Below Avg"/>
    <s v="Profit"/>
    <n v="328"/>
  </r>
  <r>
    <n v="24"/>
    <x v="23"/>
    <n v="1067"/>
    <s v="Customer_154"/>
    <s v="Corporate"/>
    <s v="North"/>
    <s v="Clothing"/>
    <s v="Product_A"/>
    <n v="4346"/>
    <n v="2"/>
    <n v="7.0000000000000007E-2"/>
    <n v="-8"/>
    <s v="Card"/>
    <n v="8083.5599999999904"/>
    <s v="Jan"/>
    <n v="2024"/>
    <s v="Q1"/>
    <n v="-9.8966297027547378E-4"/>
    <n v="608.44000000000005"/>
    <x v="0"/>
    <x v="0"/>
    <s v="Below Avg"/>
    <s v="Loss"/>
    <n v="250"/>
  </r>
  <r>
    <n v="25"/>
    <x v="24"/>
    <n v="1002"/>
    <s v="Customer_127"/>
    <s v="Consumer"/>
    <s v="South"/>
    <s v="Furniture"/>
    <s v="Product_D"/>
    <n v="2176"/>
    <n v="6"/>
    <n v="0.24"/>
    <n v="337"/>
    <s v="UPI"/>
    <n v="9922.56"/>
    <s v="Jan"/>
    <n v="2024"/>
    <s v="Q1"/>
    <n v="3.3963009545923635E-2"/>
    <n v="3133.44"/>
    <x v="0"/>
    <x v="0"/>
    <s v="Below Avg"/>
    <s v="Profit"/>
    <n v="201"/>
  </r>
  <r>
    <n v="26"/>
    <x v="25"/>
    <n v="1084"/>
    <s v="Customer_7"/>
    <s v="Corporate"/>
    <s v="North"/>
    <s v="Clothing"/>
    <s v="Product_C"/>
    <n v="1857"/>
    <n v="6"/>
    <n v="0.25"/>
    <n v="1296"/>
    <s v="Card"/>
    <n v="8356.5"/>
    <s v="Jan"/>
    <n v="2024"/>
    <s v="Q1"/>
    <n v="0.15508885298869143"/>
    <n v="2785.5"/>
    <x v="0"/>
    <x v="0"/>
    <s v="Below Avg"/>
    <s v="Profit"/>
    <n v="240"/>
  </r>
  <r>
    <n v="27"/>
    <x v="26"/>
    <n v="1039"/>
    <s v="Customer_195"/>
    <s v="Consumer"/>
    <s v="East"/>
    <s v="Furniture"/>
    <s v="Product_D"/>
    <n v="4258"/>
    <n v="7"/>
    <n v="0.16"/>
    <n v="1331"/>
    <s v="COD"/>
    <n v="25037.040000000001"/>
    <s v="Jan"/>
    <n v="2024"/>
    <s v="Q1"/>
    <n v="5.3161236312279724E-2"/>
    <n v="4768.96"/>
    <x v="0"/>
    <x v="0"/>
    <s v="Above Avg"/>
    <s v="Profit"/>
    <n v="42"/>
  </r>
  <r>
    <n v="28"/>
    <x v="27"/>
    <n v="1066"/>
    <s v="Customer_56"/>
    <s v="Consumer"/>
    <s v="South"/>
    <s v="Furniture"/>
    <s v="Product_D"/>
    <n v="270"/>
    <n v="2"/>
    <n v="7.0000000000000007E-2"/>
    <n v="1695"/>
    <s v="Card"/>
    <n v="502.2"/>
    <s v="Jan"/>
    <n v="2024"/>
    <s v="Q1"/>
    <n v="3.3751493428912784"/>
    <n v="37.800000000000004"/>
    <x v="2"/>
    <x v="0"/>
    <s v="Below Avg"/>
    <s v="Profit"/>
    <n v="491"/>
  </r>
  <r>
    <n v="29"/>
    <x v="28"/>
    <n v="1084"/>
    <s v="Customer_72"/>
    <s v="Corporate"/>
    <s v="North"/>
    <s v="Furniture"/>
    <s v="Product_A"/>
    <n v="1757"/>
    <n v="7"/>
    <n v="0.24"/>
    <n v="1198"/>
    <s v="Card"/>
    <n v="9347.24"/>
    <s v="Jan"/>
    <n v="2024"/>
    <s v="Q1"/>
    <n v="0.1281661752560114"/>
    <n v="2951.7599999999998"/>
    <x v="0"/>
    <x v="0"/>
    <s v="Below Avg"/>
    <s v="Profit"/>
    <n v="223"/>
  </r>
  <r>
    <n v="30"/>
    <x v="29"/>
    <n v="1047"/>
    <s v="Customer_94"/>
    <s v="Corporate"/>
    <s v="West"/>
    <s v="Electronics"/>
    <s v="Product_A"/>
    <n v="2171"/>
    <n v="2"/>
    <n v="0.11"/>
    <n v="1464"/>
    <s v="UPI"/>
    <n v="3864.38"/>
    <s v="Jan"/>
    <n v="2024"/>
    <s v="Q1"/>
    <n v="0.37884473059067691"/>
    <n v="477.62"/>
    <x v="1"/>
    <x v="0"/>
    <s v="Below Avg"/>
    <s v="Profit"/>
    <n v="359"/>
  </r>
  <r>
    <n v="31"/>
    <x v="30"/>
    <n v="1061"/>
    <s v="Customer_11"/>
    <s v="Consumer"/>
    <s v="North"/>
    <s v="Furniture"/>
    <s v="Product_D"/>
    <n v="4589"/>
    <n v="2"/>
    <n v="0.28000000000000003"/>
    <n v="1849"/>
    <s v="COD"/>
    <n v="6608.16"/>
    <s v="Jan"/>
    <n v="2024"/>
    <s v="Q1"/>
    <n v="0.27980557371492215"/>
    <n v="2569.84"/>
    <x v="0"/>
    <x v="0"/>
    <s v="Below Avg"/>
    <s v="Profit"/>
    <n v="284"/>
  </r>
  <r>
    <n v="32"/>
    <x v="31"/>
    <n v="1048"/>
    <s v="Customer_145"/>
    <s v="Consumer"/>
    <s v="North"/>
    <s v="Furniture"/>
    <s v="Product_A"/>
    <n v="1491"/>
    <n v="1"/>
    <n v="0.08"/>
    <n v="-440"/>
    <s v="UPI"/>
    <n v="1371.72"/>
    <s v="Feb"/>
    <n v="2024"/>
    <s v="Q1"/>
    <n v="-0.32076517073455224"/>
    <n v="119.28"/>
    <x v="2"/>
    <x v="0"/>
    <s v="Below Avg"/>
    <s v="Loss"/>
    <n v="464"/>
  </r>
  <r>
    <n v="33"/>
    <x v="32"/>
    <n v="1007"/>
    <s v="Customer_72"/>
    <s v="Corporate"/>
    <s v="North"/>
    <s v="Electronics"/>
    <s v="Product_D"/>
    <n v="4961"/>
    <n v="9"/>
    <n v="0.28000000000000003"/>
    <n v="1103"/>
    <s v="Card"/>
    <n v="32147.279999999999"/>
    <s v="Feb"/>
    <n v="2024"/>
    <s v="Q1"/>
    <n v="3.4310834384744214E-2"/>
    <n v="12501.720000000001"/>
    <x v="0"/>
    <x v="0"/>
    <s v="Above Avg"/>
    <s v="Profit"/>
    <n v="21"/>
  </r>
  <r>
    <n v="34"/>
    <x v="33"/>
    <n v="1099"/>
    <s v="Customer_175"/>
    <s v="Consumer"/>
    <s v="West"/>
    <s v="Electronics"/>
    <s v="Product_A"/>
    <n v="2141"/>
    <n v="9"/>
    <n v="0.13"/>
    <n v="191"/>
    <s v="COD"/>
    <n v="16764.03"/>
    <s v="Feb"/>
    <n v="2024"/>
    <s v="Q1"/>
    <n v="1.1393441791741009E-2"/>
    <n v="2504.9700000000003"/>
    <x v="0"/>
    <x v="0"/>
    <s v="Above Avg"/>
    <s v="Profit"/>
    <n v="108"/>
  </r>
  <r>
    <n v="35"/>
    <x v="34"/>
    <n v="1092"/>
    <s v="Customer_172"/>
    <s v="Consumer"/>
    <s v="West"/>
    <s v="Furniture"/>
    <s v="Product_B"/>
    <n v="4536"/>
    <n v="5"/>
    <n v="0.23"/>
    <n v="954"/>
    <s v="UPI"/>
    <n v="17463.599999999999"/>
    <s v="Feb"/>
    <n v="2024"/>
    <s v="Q1"/>
    <n v="5.4627911770768915E-2"/>
    <n v="5216.4000000000005"/>
    <x v="0"/>
    <x v="0"/>
    <s v="Above Avg"/>
    <s v="Profit"/>
    <n v="98"/>
  </r>
  <r>
    <n v="36"/>
    <x v="35"/>
    <n v="1052"/>
    <s v="Customer_192"/>
    <s v="Corporate"/>
    <s v="South"/>
    <s v="Electronics"/>
    <s v="Product_A"/>
    <n v="2529"/>
    <n v="7"/>
    <n v="0.06"/>
    <n v="-454"/>
    <s v="Card"/>
    <n v="16640.82"/>
    <s v="Feb"/>
    <n v="2024"/>
    <s v="Q1"/>
    <n v="-2.7282309405425934E-2"/>
    <n v="1062.18"/>
    <x v="0"/>
    <x v="0"/>
    <s v="Above Avg"/>
    <s v="Loss"/>
    <n v="112"/>
  </r>
  <r>
    <n v="37"/>
    <x v="36"/>
    <n v="1097"/>
    <s v="Customer_158"/>
    <s v="Consumer"/>
    <s v="East"/>
    <s v="Clothing"/>
    <s v="Product_C"/>
    <n v="3484"/>
    <n v="7"/>
    <n v="0.19"/>
    <n v="-398"/>
    <s v="UPI"/>
    <n v="19754.28"/>
    <s v="Feb"/>
    <n v="2024"/>
    <s v="Q1"/>
    <n v="-2.0147532585343533E-2"/>
    <n v="4633.72"/>
    <x v="0"/>
    <x v="0"/>
    <s v="Above Avg"/>
    <s v="Loss"/>
    <n v="81"/>
  </r>
  <r>
    <n v="38"/>
    <x v="37"/>
    <n v="1085"/>
    <s v="Customer_43"/>
    <s v="Consumer"/>
    <s v="North"/>
    <s v="Furniture"/>
    <s v="Product_B"/>
    <n v="100"/>
    <n v="3"/>
    <n v="0.17"/>
    <n v="-325"/>
    <s v="COD"/>
    <n v="249"/>
    <s v="Feb"/>
    <n v="2024"/>
    <s v="Q1"/>
    <n v="-1.3052208835341366"/>
    <n v="51.000000000000007"/>
    <x v="2"/>
    <x v="0"/>
    <s v="Below Avg"/>
    <s v="Loss"/>
    <n v="498"/>
  </r>
  <r>
    <n v="39"/>
    <x v="38"/>
    <n v="1094"/>
    <s v="Customer_16"/>
    <s v="Consumer"/>
    <s v="East"/>
    <s v="Electronics"/>
    <s v="Product_D"/>
    <n v="1152"/>
    <n v="2"/>
    <n v="0.13"/>
    <n v="-297"/>
    <s v="UPI"/>
    <n v="2004.48"/>
    <s v="Feb"/>
    <n v="2024"/>
    <s v="Q1"/>
    <n v="-0.14816810344827586"/>
    <n v="299.52"/>
    <x v="1"/>
    <x v="0"/>
    <s v="Below Avg"/>
    <s v="Loss"/>
    <n v="430"/>
  </r>
  <r>
    <n v="40"/>
    <x v="39"/>
    <n v="1027"/>
    <s v="Customer_119"/>
    <s v="Corporate"/>
    <s v="South"/>
    <s v="Electronics"/>
    <s v="Product_A"/>
    <n v="1345"/>
    <n v="4"/>
    <n v="0.22"/>
    <n v="1624"/>
    <s v="COD"/>
    <n v="4196.3999999999996"/>
    <s v="Feb"/>
    <n v="2024"/>
    <s v="Q1"/>
    <n v="0.38699837956343536"/>
    <n v="1183.5999999999999"/>
    <x v="1"/>
    <x v="0"/>
    <s v="Below Avg"/>
    <s v="Profit"/>
    <n v="346"/>
  </r>
  <r>
    <n v="41"/>
    <x v="40"/>
    <n v="1034"/>
    <s v="Customer_4"/>
    <s v="Corporate"/>
    <s v="West"/>
    <s v="Furniture"/>
    <s v="Product_D"/>
    <n v="3274"/>
    <n v="8"/>
    <n v="0.25"/>
    <n v="578"/>
    <s v="Card"/>
    <n v="19644"/>
    <s v="Feb"/>
    <n v="2024"/>
    <s v="Q1"/>
    <n v="2.942374261861128E-2"/>
    <n v="6548"/>
    <x v="0"/>
    <x v="0"/>
    <s v="Above Avg"/>
    <s v="Profit"/>
    <n v="82"/>
  </r>
  <r>
    <n v="42"/>
    <x v="41"/>
    <n v="1097"/>
    <s v="Customer_85"/>
    <s v="Corporate"/>
    <s v="South"/>
    <s v="Furniture"/>
    <s v="Product_C"/>
    <n v="2350"/>
    <n v="1"/>
    <n v="0.22"/>
    <n v="1840"/>
    <s v="UPI"/>
    <n v="1833"/>
    <s v="Feb"/>
    <n v="2024"/>
    <s v="Q1"/>
    <n v="1.0038188761593017"/>
    <n v="517"/>
    <x v="2"/>
    <x v="0"/>
    <s v="Below Avg"/>
    <s v="Profit"/>
    <n v="439"/>
  </r>
  <r>
    <n v="43"/>
    <x v="42"/>
    <n v="1076"/>
    <s v="Customer_50"/>
    <s v="Consumer"/>
    <s v="West"/>
    <s v="Electronics"/>
    <s v="Product_D"/>
    <n v="1934"/>
    <n v="8"/>
    <n v="0.24"/>
    <n v="1168"/>
    <s v="Card"/>
    <n v="11758.72"/>
    <s v="Feb"/>
    <n v="2024"/>
    <s v="Q1"/>
    <n v="9.933053937843575E-2"/>
    <n v="3713.2799999999997"/>
    <x v="0"/>
    <x v="0"/>
    <s v="Above Avg"/>
    <s v="Profit"/>
    <n v="175"/>
  </r>
  <r>
    <n v="44"/>
    <x v="43"/>
    <n v="1040"/>
    <s v="Customer_34"/>
    <s v="Corporate"/>
    <s v="North"/>
    <s v="Electronics"/>
    <s v="Product_C"/>
    <n v="3605"/>
    <n v="2"/>
    <n v="0.22"/>
    <n v="1510"/>
    <s v="Card"/>
    <n v="5623.8"/>
    <s v="Feb"/>
    <n v="2024"/>
    <s v="Q1"/>
    <n v="0.26850172481240442"/>
    <n v="1586.2"/>
    <x v="0"/>
    <x v="0"/>
    <s v="Below Avg"/>
    <s v="Profit"/>
    <n v="305"/>
  </r>
  <r>
    <n v="45"/>
    <x v="44"/>
    <n v="1003"/>
    <s v="Customer_35"/>
    <s v="Corporate"/>
    <s v="East"/>
    <s v="Furniture"/>
    <s v="Product_B"/>
    <n v="4693"/>
    <n v="8"/>
    <n v="0.04"/>
    <n v="1809"/>
    <s v="UPI"/>
    <n v="36042.239999999998"/>
    <s v="Feb"/>
    <n v="2024"/>
    <s v="Q1"/>
    <n v="5.019110909865758E-2"/>
    <n v="1501.76"/>
    <x v="0"/>
    <x v="0"/>
    <s v="Above Avg"/>
    <s v="Profit"/>
    <n v="7"/>
  </r>
  <r>
    <n v="46"/>
    <x v="45"/>
    <n v="1069"/>
    <s v="Customer_64"/>
    <s v="Consumer"/>
    <s v="South"/>
    <s v="Furniture"/>
    <s v="Product_C"/>
    <n v="4092"/>
    <n v="2"/>
    <n v="0.23"/>
    <n v="779"/>
    <s v="Card"/>
    <n v="6301.68"/>
    <s v="Feb"/>
    <n v="2024"/>
    <s v="Q1"/>
    <n v="0.12361782889642127"/>
    <n v="1882.3200000000002"/>
    <x v="0"/>
    <x v="0"/>
    <s v="Below Avg"/>
    <s v="Profit"/>
    <n v="290"/>
  </r>
  <r>
    <n v="47"/>
    <x v="46"/>
    <n v="1064"/>
    <s v="Customer_13"/>
    <s v="Corporate"/>
    <s v="West"/>
    <s v="Electronics"/>
    <s v="Product_B"/>
    <n v="1788"/>
    <n v="7"/>
    <n v="0.06"/>
    <n v="-196"/>
    <s v="Card"/>
    <n v="11765.039999999901"/>
    <s v="Feb"/>
    <n v="2024"/>
    <s v="Q1"/>
    <n v="-1.6659526869437048E-2"/>
    <n v="750.95999999999992"/>
    <x v="0"/>
    <x v="0"/>
    <s v="Above Avg"/>
    <s v="Loss"/>
    <n v="174"/>
  </r>
  <r>
    <n v="48"/>
    <x v="47"/>
    <n v="1075"/>
    <s v="Customer_107"/>
    <s v="Corporate"/>
    <s v="West"/>
    <s v="Clothing"/>
    <s v="Product_C"/>
    <n v="343"/>
    <n v="3"/>
    <n v="0.03"/>
    <n v="1062"/>
    <s v="UPI"/>
    <n v="998.13"/>
    <s v="Feb"/>
    <n v="2024"/>
    <s v="Q1"/>
    <n v="1.0639896606654444"/>
    <n v="30.869999999999997"/>
    <x v="2"/>
    <x v="0"/>
    <s v="Below Avg"/>
    <s v="Profit"/>
    <n v="479"/>
  </r>
  <r>
    <n v="49"/>
    <x v="48"/>
    <n v="1034"/>
    <s v="Customer_27"/>
    <s v="Consumer"/>
    <s v="South"/>
    <s v="Electronics"/>
    <s v="Product_B"/>
    <n v="1734"/>
    <n v="6"/>
    <n v="0.27"/>
    <n v="318"/>
    <s v="UPI"/>
    <n v="7594.92"/>
    <s v="Feb"/>
    <n v="2024"/>
    <s v="Q1"/>
    <n v="4.1870092114202652E-2"/>
    <n v="2809.0800000000004"/>
    <x v="0"/>
    <x v="0"/>
    <s v="Below Avg"/>
    <s v="Profit"/>
    <n v="263"/>
  </r>
  <r>
    <n v="50"/>
    <x v="49"/>
    <n v="1058"/>
    <s v="Customer_169"/>
    <s v="Consumer"/>
    <s v="East"/>
    <s v="Furniture"/>
    <s v="Product_C"/>
    <n v="2310"/>
    <n v="7"/>
    <n v="0.18"/>
    <n v="-22"/>
    <s v="COD"/>
    <n v="13259.4"/>
    <s v="Feb"/>
    <n v="2024"/>
    <s v="Q1"/>
    <n v="-1.6592002654720426E-3"/>
    <n v="2910.6"/>
    <x v="0"/>
    <x v="0"/>
    <s v="Above Avg"/>
    <s v="Loss"/>
    <n v="157"/>
  </r>
  <r>
    <n v="51"/>
    <x v="50"/>
    <n v="1010"/>
    <s v="Customer_42"/>
    <s v="Consumer"/>
    <s v="East"/>
    <s v="Clothing"/>
    <s v="Product_B"/>
    <n v="274"/>
    <n v="6"/>
    <n v="0.05"/>
    <n v="-327"/>
    <s v="COD"/>
    <n v="1561.8"/>
    <s v="Feb"/>
    <n v="2024"/>
    <s v="Q1"/>
    <n v="-0.20937379946215906"/>
    <n v="82.2"/>
    <x v="2"/>
    <x v="0"/>
    <s v="Below Avg"/>
    <s v="Loss"/>
    <n v="455"/>
  </r>
  <r>
    <n v="52"/>
    <x v="51"/>
    <n v="1022"/>
    <s v="Customer_157"/>
    <s v="Corporate"/>
    <s v="West"/>
    <s v="Clothing"/>
    <s v="Product_A"/>
    <n v="2319"/>
    <n v="5"/>
    <n v="0.19"/>
    <n v="51"/>
    <s v="COD"/>
    <n v="9391.9500000000007"/>
    <s v="Feb"/>
    <n v="2024"/>
    <s v="Q1"/>
    <n v="5.4301822305272062E-3"/>
    <n v="2203.0500000000002"/>
    <x v="0"/>
    <x v="0"/>
    <s v="Below Avg"/>
    <s v="Profit"/>
    <n v="222"/>
  </r>
  <r>
    <n v="53"/>
    <x v="52"/>
    <n v="1077"/>
    <s v="Customer_144"/>
    <s v="Corporate"/>
    <s v="North"/>
    <s v="Electronics"/>
    <s v="Product_B"/>
    <n v="3756"/>
    <n v="9"/>
    <n v="0.1"/>
    <n v="1822"/>
    <s v="Card"/>
    <n v="30423.599999999999"/>
    <s v="Feb"/>
    <n v="2024"/>
    <s v="Q1"/>
    <n v="5.9887718744658758E-2"/>
    <n v="3380.4"/>
    <x v="0"/>
    <x v="0"/>
    <s v="Above Avg"/>
    <s v="Profit"/>
    <n v="23"/>
  </r>
  <r>
    <n v="54"/>
    <x v="53"/>
    <n v="1018"/>
    <s v="Customer_181"/>
    <s v="Corporate"/>
    <s v="North"/>
    <s v="Furniture"/>
    <s v="Product_D"/>
    <n v="366"/>
    <n v="9"/>
    <n v="0.04"/>
    <n v="-461"/>
    <s v="UPI"/>
    <n v="3162.24"/>
    <s v="Feb"/>
    <n v="2024"/>
    <s v="Q1"/>
    <n v="-0.14578273628820079"/>
    <n v="131.76"/>
    <x v="1"/>
    <x v="0"/>
    <s v="Below Avg"/>
    <s v="Loss"/>
    <n v="388"/>
  </r>
  <r>
    <n v="55"/>
    <x v="54"/>
    <n v="1015"/>
    <s v="Customer_46"/>
    <s v="Corporate"/>
    <s v="North"/>
    <s v="Clothing"/>
    <s v="Product_A"/>
    <n v="1482"/>
    <n v="3"/>
    <n v="0.24"/>
    <n v="1102"/>
    <s v="COD"/>
    <n v="3378.96"/>
    <s v="Feb"/>
    <n v="2024"/>
    <s v="Q1"/>
    <n v="0.32613585245164189"/>
    <n v="1067.04"/>
    <x v="1"/>
    <x v="0"/>
    <s v="Below Avg"/>
    <s v="Profit"/>
    <n v="381"/>
  </r>
  <r>
    <n v="56"/>
    <x v="55"/>
    <n v="1027"/>
    <s v="Customer_197"/>
    <s v="Corporate"/>
    <s v="North"/>
    <s v="Electronics"/>
    <s v="Product_C"/>
    <n v="879"/>
    <n v="7"/>
    <n v="0.03"/>
    <n v="1934"/>
    <s v="Card"/>
    <n v="5968.41"/>
    <s v="Feb"/>
    <n v="2024"/>
    <s v="Q1"/>
    <n v="0.3240394007784318"/>
    <n v="184.59"/>
    <x v="0"/>
    <x v="0"/>
    <s v="Below Avg"/>
    <s v="Profit"/>
    <n v="298"/>
  </r>
  <r>
    <n v="57"/>
    <x v="56"/>
    <n v="1030"/>
    <s v="Customer_37"/>
    <s v="Corporate"/>
    <s v="East"/>
    <s v="Furniture"/>
    <s v="Product_B"/>
    <n v="4731"/>
    <n v="2"/>
    <n v="0.28999999999999998"/>
    <n v="1177"/>
    <s v="COD"/>
    <n v="6718.0199999999904"/>
    <s v="Feb"/>
    <n v="2024"/>
    <s v="Q1"/>
    <n v="0.17520043107939567"/>
    <n v="2743.98"/>
    <x v="0"/>
    <x v="0"/>
    <s v="Below Avg"/>
    <s v="Profit"/>
    <n v="282"/>
  </r>
  <r>
    <n v="58"/>
    <x v="57"/>
    <n v="1052"/>
    <s v="Customer_104"/>
    <s v="Consumer"/>
    <s v="West"/>
    <s v="Furniture"/>
    <s v="Product_B"/>
    <n v="766"/>
    <n v="1"/>
    <n v="0.23"/>
    <n v="993"/>
    <s v="COD"/>
    <n v="589.82000000000005"/>
    <s v="Feb"/>
    <n v="2024"/>
    <s v="Q1"/>
    <n v="1.6835644772981586"/>
    <n v="176.18"/>
    <x v="2"/>
    <x v="0"/>
    <s v="Below Avg"/>
    <s v="Profit"/>
    <n v="487"/>
  </r>
  <r>
    <n v="59"/>
    <x v="58"/>
    <n v="1070"/>
    <s v="Customer_188"/>
    <s v="Consumer"/>
    <s v="West"/>
    <s v="Furniture"/>
    <s v="Product_B"/>
    <n v="1257"/>
    <n v="4"/>
    <n v="0.21"/>
    <n v="-182"/>
    <s v="UPI"/>
    <n v="3972.12"/>
    <s v="Feb"/>
    <n v="2024"/>
    <s v="Q1"/>
    <n v="-4.581936094579217E-2"/>
    <n v="1055.8799999999999"/>
    <x v="1"/>
    <x v="0"/>
    <s v="Below Avg"/>
    <s v="Loss"/>
    <n v="354"/>
  </r>
  <r>
    <n v="60"/>
    <x v="59"/>
    <n v="1026"/>
    <s v="Customer_143"/>
    <s v="Consumer"/>
    <s v="North"/>
    <s v="Electronics"/>
    <s v="Product_C"/>
    <n v="4776"/>
    <n v="3"/>
    <n v="7.0000000000000007E-2"/>
    <n v="1297"/>
    <s v="UPI"/>
    <n v="13325.039999999901"/>
    <s v="Feb"/>
    <n v="2024"/>
    <s v="Q1"/>
    <n v="9.7335542707564823E-2"/>
    <n v="1002.9600000000002"/>
    <x v="0"/>
    <x v="0"/>
    <s v="Above Avg"/>
    <s v="Profit"/>
    <n v="156"/>
  </r>
  <r>
    <n v="61"/>
    <x v="60"/>
    <n v="1080"/>
    <s v="Customer_149"/>
    <s v="Consumer"/>
    <s v="West"/>
    <s v="Furniture"/>
    <s v="Product_D"/>
    <n v="963"/>
    <n v="4"/>
    <n v="0.23"/>
    <n v="-271"/>
    <s v="Card"/>
    <n v="2966.04"/>
    <s v="Mar"/>
    <n v="2024"/>
    <s v="Q1"/>
    <n v="-9.1367614732100713E-2"/>
    <n v="885.96"/>
    <x v="1"/>
    <x v="0"/>
    <s v="Below Avg"/>
    <s v="Loss"/>
    <n v="395"/>
  </r>
  <r>
    <n v="62"/>
    <x v="61"/>
    <n v="1006"/>
    <s v="Customer_34"/>
    <s v="Corporate"/>
    <s v="East"/>
    <s v="Clothing"/>
    <s v="Product_C"/>
    <n v="4000"/>
    <n v="3"/>
    <n v="0.01"/>
    <n v="1902"/>
    <s v="COD"/>
    <n v="11880"/>
    <s v="Mar"/>
    <n v="2024"/>
    <s v="Q1"/>
    <n v="0.1601010101010101"/>
    <n v="120"/>
    <x v="0"/>
    <x v="0"/>
    <s v="Above Avg"/>
    <s v="Profit"/>
    <n v="171"/>
  </r>
  <r>
    <n v="63"/>
    <x v="62"/>
    <n v="1014"/>
    <s v="Customer_9"/>
    <s v="Consumer"/>
    <s v="South"/>
    <s v="Electronics"/>
    <s v="Product_B"/>
    <n v="156"/>
    <n v="9"/>
    <n v="0.17"/>
    <n v="325"/>
    <s v="COD"/>
    <n v="1165.32"/>
    <s v="Mar"/>
    <n v="2024"/>
    <s v="Q1"/>
    <n v="0.2788933511825078"/>
    <n v="238.68"/>
    <x v="2"/>
    <x v="0"/>
    <s v="Below Avg"/>
    <s v="Profit"/>
    <n v="472"/>
  </r>
  <r>
    <n v="64"/>
    <x v="63"/>
    <n v="1075"/>
    <s v="Customer_154"/>
    <s v="Consumer"/>
    <s v="South"/>
    <s v="Electronics"/>
    <s v="Product_A"/>
    <n v="3350"/>
    <n v="4"/>
    <n v="0.09"/>
    <n v="1332"/>
    <s v="COD"/>
    <n v="12194"/>
    <s v="Mar"/>
    <n v="2024"/>
    <s v="Q1"/>
    <n v="0.109234049532557"/>
    <n v="1206"/>
    <x v="0"/>
    <x v="0"/>
    <s v="Above Avg"/>
    <s v="Profit"/>
    <n v="165"/>
  </r>
  <r>
    <n v="65"/>
    <x v="64"/>
    <n v="1054"/>
    <s v="Customer_77"/>
    <s v="Consumer"/>
    <s v="West"/>
    <s v="Electronics"/>
    <s v="Product_B"/>
    <n v="642"/>
    <n v="4"/>
    <n v="0.25"/>
    <n v="30"/>
    <s v="UPI"/>
    <n v="1926"/>
    <s v="Mar"/>
    <n v="2024"/>
    <s v="Q1"/>
    <n v="1.5576323987538941E-2"/>
    <n v="642"/>
    <x v="2"/>
    <x v="0"/>
    <s v="Below Avg"/>
    <s v="Profit"/>
    <n v="434"/>
  </r>
  <r>
    <n v="66"/>
    <x v="65"/>
    <n v="1071"/>
    <s v="Customer_146"/>
    <s v="Corporate"/>
    <s v="West"/>
    <s v="Electronics"/>
    <s v="Product_A"/>
    <n v="1032"/>
    <n v="7"/>
    <n v="0.23"/>
    <n v="-33"/>
    <s v="UPI"/>
    <n v="5562.48"/>
    <s v="Mar"/>
    <n v="2024"/>
    <s v="Q1"/>
    <n v="-5.9326056003796875E-3"/>
    <n v="1661.52"/>
    <x v="0"/>
    <x v="0"/>
    <s v="Below Avg"/>
    <s v="Loss"/>
    <n v="307"/>
  </r>
  <r>
    <n v="67"/>
    <x v="66"/>
    <n v="1001"/>
    <s v="Customer_1"/>
    <s v="Consumer"/>
    <s v="West"/>
    <s v="Furniture"/>
    <s v="Product_B"/>
    <n v="950"/>
    <n v="4"/>
    <n v="0.15"/>
    <n v="1734"/>
    <s v="COD"/>
    <n v="3230"/>
    <s v="Mar"/>
    <n v="2024"/>
    <s v="Q1"/>
    <n v="0.5368421052631579"/>
    <n v="570"/>
    <x v="1"/>
    <x v="0"/>
    <s v="Below Avg"/>
    <s v="Profit"/>
    <n v="387"/>
  </r>
  <r>
    <n v="68"/>
    <x v="67"/>
    <n v="1043"/>
    <s v="Customer_23"/>
    <s v="Corporate"/>
    <s v="North"/>
    <s v="Electronics"/>
    <s v="Product_D"/>
    <n v="1275"/>
    <n v="9"/>
    <n v="0.14000000000000001"/>
    <n v="1604"/>
    <s v="Card"/>
    <n v="9868.5"/>
    <s v="Mar"/>
    <n v="2024"/>
    <s v="Q1"/>
    <n v="0.16253736636773572"/>
    <n v="1606.5000000000002"/>
    <x v="0"/>
    <x v="1"/>
    <s v="Below Avg"/>
    <s v="Profit"/>
    <n v="204"/>
  </r>
  <r>
    <n v="69"/>
    <x v="68"/>
    <n v="1058"/>
    <s v="Customer_33"/>
    <s v="Consumer"/>
    <s v="North"/>
    <s v="Clothing"/>
    <s v="Product_D"/>
    <n v="622"/>
    <n v="9"/>
    <n v="0.02"/>
    <n v="442"/>
    <s v="Card"/>
    <n v="5486.04"/>
    <s v="Mar"/>
    <n v="2024"/>
    <s v="Q1"/>
    <n v="8.0568132933773726E-2"/>
    <n v="111.96000000000001"/>
    <x v="0"/>
    <x v="0"/>
    <s v="Below Avg"/>
    <s v="Profit"/>
    <n v="309"/>
  </r>
  <r>
    <n v="70"/>
    <x v="69"/>
    <n v="1055"/>
    <s v="Customer_175"/>
    <s v="Consumer"/>
    <s v="West"/>
    <s v="Clothing"/>
    <s v="Product_C"/>
    <n v="209"/>
    <n v="9"/>
    <n v="7.0000000000000007E-2"/>
    <n v="79"/>
    <s v="Card"/>
    <n v="1749.33"/>
    <s v="Mar"/>
    <n v="2024"/>
    <s v="Q1"/>
    <n v="4.5160147027719186E-2"/>
    <n v="131.67000000000002"/>
    <x v="2"/>
    <x v="0"/>
    <s v="Below Avg"/>
    <s v="Profit"/>
    <n v="444"/>
  </r>
  <r>
    <n v="71"/>
    <x v="70"/>
    <n v="1025"/>
    <s v="Customer_95"/>
    <s v="Consumer"/>
    <s v="South"/>
    <s v="Clothing"/>
    <s v="Product_D"/>
    <n v="3545"/>
    <n v="6"/>
    <n v="0.21"/>
    <n v="706"/>
    <s v="Card"/>
    <n v="16803.3"/>
    <s v="Mar"/>
    <n v="2024"/>
    <s v="Q1"/>
    <n v="4.2015556468074727E-2"/>
    <n v="4466.7"/>
    <x v="0"/>
    <x v="0"/>
    <s v="Above Avg"/>
    <s v="Profit"/>
    <n v="107"/>
  </r>
  <r>
    <n v="72"/>
    <x v="71"/>
    <n v="1050"/>
    <s v="Customer_122"/>
    <s v="Corporate"/>
    <s v="East"/>
    <s v="Clothing"/>
    <s v="Product_A"/>
    <n v="156"/>
    <n v="9"/>
    <n v="0.02"/>
    <n v="56"/>
    <s v="COD"/>
    <n v="1375.92"/>
    <s v="Mar"/>
    <n v="2024"/>
    <s v="Q1"/>
    <n v="4.0700040700040699E-2"/>
    <n v="28.080000000000002"/>
    <x v="2"/>
    <x v="0"/>
    <s v="Below Avg"/>
    <s v="Profit"/>
    <n v="463"/>
  </r>
  <r>
    <n v="73"/>
    <x v="72"/>
    <n v="1084"/>
    <s v="Customer_21"/>
    <s v="Consumer"/>
    <s v="West"/>
    <s v="Clothing"/>
    <s v="Product_C"/>
    <n v="3923"/>
    <n v="3"/>
    <n v="0.24"/>
    <n v="1141"/>
    <s v="UPI"/>
    <n v="8944.44"/>
    <s v="Mar"/>
    <n v="2024"/>
    <s v="Q1"/>
    <n v="0.12756528077777926"/>
    <n v="2824.56"/>
    <x v="0"/>
    <x v="0"/>
    <s v="Below Avg"/>
    <s v="Profit"/>
    <n v="232"/>
  </r>
  <r>
    <n v="74"/>
    <x v="73"/>
    <n v="1056"/>
    <s v="Customer_61"/>
    <s v="Corporate"/>
    <s v="East"/>
    <s v="Electronics"/>
    <s v="Product_D"/>
    <n v="1766"/>
    <n v="2"/>
    <n v="0.28999999999999998"/>
    <n v="620"/>
    <s v="Card"/>
    <n v="2507.7199999999998"/>
    <s v="Mar"/>
    <n v="2024"/>
    <s v="Q1"/>
    <n v="0.24723653358429173"/>
    <n v="1024.28"/>
    <x v="1"/>
    <x v="0"/>
    <s v="Below Avg"/>
    <s v="Profit"/>
    <n v="410"/>
  </r>
  <r>
    <n v="75"/>
    <x v="74"/>
    <n v="1049"/>
    <s v="Customer_27"/>
    <s v="Consumer"/>
    <s v="East"/>
    <s v="Furniture"/>
    <s v="Product_B"/>
    <n v="4017"/>
    <n v="2"/>
    <n v="0.02"/>
    <n v="755"/>
    <s v="COD"/>
    <n v="7873.32"/>
    <s v="Mar"/>
    <n v="2024"/>
    <s v="Q1"/>
    <n v="9.58934731472873E-2"/>
    <n v="160.68"/>
    <x v="0"/>
    <x v="0"/>
    <s v="Below Avg"/>
    <s v="Profit"/>
    <n v="255"/>
  </r>
  <r>
    <n v="76"/>
    <x v="75"/>
    <n v="1012"/>
    <s v="Customer_191"/>
    <s v="Consumer"/>
    <s v="East"/>
    <s v="Clothing"/>
    <s v="Product_D"/>
    <n v="1527"/>
    <n v="7"/>
    <n v="0.14000000000000001"/>
    <n v="-113"/>
    <s v="COD"/>
    <n v="9192.53999999999"/>
    <s v="Mar"/>
    <n v="2024"/>
    <s v="Q1"/>
    <n v="-1.2292576371710117E-2"/>
    <n v="1496.46"/>
    <x v="0"/>
    <x v="0"/>
    <s v="Below Avg"/>
    <s v="Loss"/>
    <n v="227"/>
  </r>
  <r>
    <n v="77"/>
    <x v="76"/>
    <n v="1018"/>
    <s v="Customer_102"/>
    <s v="Consumer"/>
    <s v="East"/>
    <s v="Furniture"/>
    <s v="Product_C"/>
    <n v="604"/>
    <n v="5"/>
    <n v="0.17"/>
    <n v="213"/>
    <s v="COD"/>
    <n v="2506.6"/>
    <s v="Mar"/>
    <n v="2024"/>
    <s v="Q1"/>
    <n v="8.497566424638954E-2"/>
    <n v="513.40000000000009"/>
    <x v="1"/>
    <x v="0"/>
    <s v="Below Avg"/>
    <s v="Profit"/>
    <n v="411"/>
  </r>
  <r>
    <n v="78"/>
    <x v="77"/>
    <n v="1081"/>
    <s v="Customer_180"/>
    <s v="Consumer"/>
    <s v="North"/>
    <s v="Clothing"/>
    <s v="Product_D"/>
    <n v="3795"/>
    <n v="4"/>
    <n v="0.24"/>
    <n v="842"/>
    <s v="UPI"/>
    <n v="11536.8"/>
    <s v="Mar"/>
    <n v="2024"/>
    <s v="Q1"/>
    <n v="7.2983843006726307E-2"/>
    <n v="3643.2"/>
    <x v="0"/>
    <x v="0"/>
    <s v="Above Avg"/>
    <s v="Profit"/>
    <n v="181"/>
  </r>
  <r>
    <n v="79"/>
    <x v="78"/>
    <n v="1001"/>
    <s v="Customer_192"/>
    <s v="Consumer"/>
    <s v="West"/>
    <s v="Clothing"/>
    <s v="Product_A"/>
    <n v="4704"/>
    <n v="2"/>
    <n v="0.05"/>
    <n v="-31"/>
    <s v="Card"/>
    <n v="8937.6"/>
    <s v="Mar"/>
    <n v="2024"/>
    <s v="Q1"/>
    <n v="-3.4684926602219835E-3"/>
    <n v="470.40000000000003"/>
    <x v="0"/>
    <x v="0"/>
    <s v="Below Avg"/>
    <s v="Loss"/>
    <n v="233"/>
  </r>
  <r>
    <n v="80"/>
    <x v="79"/>
    <n v="1051"/>
    <s v="Customer_142"/>
    <s v="Corporate"/>
    <s v="East"/>
    <s v="Clothing"/>
    <s v="Product_A"/>
    <n v="1428"/>
    <n v="4"/>
    <n v="0.11"/>
    <n v="361"/>
    <s v="UPI"/>
    <n v="5083.68"/>
    <s v="Mar"/>
    <n v="2024"/>
    <s v="Q1"/>
    <n v="7.10115506876908E-2"/>
    <n v="628.32000000000005"/>
    <x v="0"/>
    <x v="0"/>
    <s v="Below Avg"/>
    <s v="Profit"/>
    <n v="320"/>
  </r>
  <r>
    <n v="81"/>
    <x v="80"/>
    <n v="1044"/>
    <s v="Customer_101"/>
    <s v="Corporate"/>
    <s v="East"/>
    <s v="Furniture"/>
    <s v="Product_A"/>
    <n v="783"/>
    <n v="6"/>
    <n v="0.25"/>
    <n v="-54"/>
    <s v="COD"/>
    <n v="3523.5"/>
    <s v="Mar"/>
    <n v="2024"/>
    <s v="Q1"/>
    <n v="-1.532567049808429E-2"/>
    <n v="1174.5"/>
    <x v="1"/>
    <x v="0"/>
    <s v="Below Avg"/>
    <s v="Loss"/>
    <n v="376"/>
  </r>
  <r>
    <n v="82"/>
    <x v="81"/>
    <n v="1048"/>
    <s v="Customer_175"/>
    <s v="Consumer"/>
    <s v="South"/>
    <s v="Electronics"/>
    <s v="Product_A"/>
    <n v="222"/>
    <n v="6"/>
    <n v="0.16"/>
    <n v="9"/>
    <s v="UPI"/>
    <n v="1118.8799999999901"/>
    <s v="Mar"/>
    <n v="2024"/>
    <s v="Q1"/>
    <n v="8.043758043758115E-3"/>
    <n v="213.12"/>
    <x v="2"/>
    <x v="0"/>
    <s v="Below Avg"/>
    <s v="Profit"/>
    <n v="474"/>
  </r>
  <r>
    <n v="83"/>
    <x v="82"/>
    <n v="1056"/>
    <s v="Customer_7"/>
    <s v="Corporate"/>
    <s v="West"/>
    <s v="Clothing"/>
    <s v="Product_A"/>
    <n v="1447"/>
    <n v="8"/>
    <n v="0.05"/>
    <n v="1686"/>
    <s v="UPI"/>
    <n v="10997.199999999901"/>
    <s v="Mar"/>
    <n v="2024"/>
    <s v="Q1"/>
    <n v="0.15331175208234962"/>
    <n v="578.80000000000007"/>
    <x v="0"/>
    <x v="0"/>
    <s v="Above Avg"/>
    <s v="Profit"/>
    <n v="191"/>
  </r>
  <r>
    <n v="84"/>
    <x v="83"/>
    <n v="1091"/>
    <s v="Customer_76"/>
    <s v="Corporate"/>
    <s v="East"/>
    <s v="Electronics"/>
    <s v="Product_C"/>
    <n v="4171"/>
    <n v="6"/>
    <n v="0.26"/>
    <n v="1941"/>
    <s v="UPI"/>
    <n v="18519.2399999999"/>
    <s v="Mar"/>
    <n v="2024"/>
    <s v="Q1"/>
    <n v="0.10480991660564962"/>
    <n v="6506.76"/>
    <x v="0"/>
    <x v="0"/>
    <s v="Above Avg"/>
    <s v="Profit"/>
    <n v="86"/>
  </r>
  <r>
    <n v="85"/>
    <x v="84"/>
    <n v="1049"/>
    <s v="Customer_156"/>
    <s v="Corporate"/>
    <s v="North"/>
    <s v="Clothing"/>
    <s v="Product_D"/>
    <n v="2001"/>
    <n v="5"/>
    <n v="0.28000000000000003"/>
    <n v="832"/>
    <s v="UPI"/>
    <n v="7203.5999999999904"/>
    <s v="Mar"/>
    <n v="2024"/>
    <s v="Q1"/>
    <n v="0.1154978066522296"/>
    <n v="2801.4"/>
    <x v="0"/>
    <x v="0"/>
    <s v="Below Avg"/>
    <s v="Profit"/>
    <n v="271"/>
  </r>
  <r>
    <n v="86"/>
    <x v="85"/>
    <n v="1086"/>
    <s v="Customer_131"/>
    <s v="Consumer"/>
    <s v="South"/>
    <s v="Electronics"/>
    <s v="Product_C"/>
    <n v="1745"/>
    <n v="7"/>
    <n v="0.22"/>
    <n v="1411"/>
    <s v="UPI"/>
    <n v="9527.7000000000007"/>
    <s v="Mar"/>
    <n v="2024"/>
    <s v="Q1"/>
    <n v="0.14809450339536298"/>
    <n v="2687.3"/>
    <x v="0"/>
    <x v="0"/>
    <s v="Below Avg"/>
    <s v="Profit"/>
    <n v="215"/>
  </r>
  <r>
    <n v="87"/>
    <x v="86"/>
    <n v="1003"/>
    <s v="Customer_150"/>
    <s v="Corporate"/>
    <s v="South"/>
    <s v="Electronics"/>
    <s v="Product_D"/>
    <n v="2969"/>
    <n v="3"/>
    <n v="0.28999999999999998"/>
    <n v="735"/>
    <s v="UPI"/>
    <n v="6323.9699999999903"/>
    <s v="Mar"/>
    <n v="2024"/>
    <s v="Q1"/>
    <n v="0.11622446026783827"/>
    <n v="2583.0299999999997"/>
    <x v="0"/>
    <x v="0"/>
    <s v="Below Avg"/>
    <s v="Profit"/>
    <n v="288"/>
  </r>
  <r>
    <n v="88"/>
    <x v="87"/>
    <n v="1067"/>
    <s v="Customer_85"/>
    <s v="Corporate"/>
    <s v="South"/>
    <s v="Clothing"/>
    <s v="Product_A"/>
    <n v="1478"/>
    <n v="4"/>
    <n v="0.28000000000000003"/>
    <n v="-370"/>
    <s v="COD"/>
    <n v="4256.6399999999903"/>
    <s v="Mar"/>
    <n v="2024"/>
    <s v="Q1"/>
    <n v="-8.6923019094873155E-2"/>
    <n v="1655.3600000000001"/>
    <x v="1"/>
    <x v="0"/>
    <s v="Below Avg"/>
    <s v="Loss"/>
    <n v="343"/>
  </r>
  <r>
    <n v="89"/>
    <x v="88"/>
    <n v="1011"/>
    <s v="Customer_191"/>
    <s v="Corporate"/>
    <s v="South"/>
    <s v="Electronics"/>
    <s v="Product_B"/>
    <n v="2972"/>
    <n v="6"/>
    <n v="0.04"/>
    <n v="64"/>
    <s v="UPI"/>
    <n v="17118.72"/>
    <s v="Mar"/>
    <n v="2024"/>
    <s v="Q1"/>
    <n v="3.7385972783011813E-3"/>
    <n v="713.28"/>
    <x v="0"/>
    <x v="0"/>
    <s v="Above Avg"/>
    <s v="Profit"/>
    <n v="104"/>
  </r>
  <r>
    <n v="90"/>
    <x v="89"/>
    <n v="1021"/>
    <s v="Customer_29"/>
    <s v="Consumer"/>
    <s v="East"/>
    <s v="Furniture"/>
    <s v="Product_B"/>
    <n v="1596"/>
    <n v="9"/>
    <n v="0.12"/>
    <n v="1887"/>
    <s v="UPI"/>
    <n v="12640.32"/>
    <s v="Mar"/>
    <n v="2024"/>
    <s v="Q1"/>
    <n v="0.14928419533682691"/>
    <n v="1723.6799999999998"/>
    <x v="0"/>
    <x v="0"/>
    <s v="Above Avg"/>
    <s v="Profit"/>
    <n v="161"/>
  </r>
  <r>
    <n v="91"/>
    <x v="90"/>
    <n v="1089"/>
    <s v="Customer_148"/>
    <s v="Corporate"/>
    <s v="North"/>
    <s v="Electronics"/>
    <s v="Product_B"/>
    <n v="775"/>
    <n v="6"/>
    <n v="0.18"/>
    <n v="1459"/>
    <s v="UPI"/>
    <n v="3813"/>
    <s v="Mar"/>
    <n v="2024"/>
    <s v="Q1"/>
    <n v="0.38263834251245737"/>
    <n v="837"/>
    <x v="1"/>
    <x v="0"/>
    <s v="Below Avg"/>
    <s v="Profit"/>
    <n v="364"/>
  </r>
  <r>
    <n v="92"/>
    <x v="91"/>
    <n v="1098"/>
    <s v="Customer_67"/>
    <s v="Corporate"/>
    <s v="South"/>
    <s v="Furniture"/>
    <s v="Product_D"/>
    <n v="2608"/>
    <n v="4"/>
    <n v="0.22"/>
    <n v="1774"/>
    <s v="UPI"/>
    <n v="8136.96"/>
    <s v="Apr"/>
    <n v="2024"/>
    <s v="Q2"/>
    <n v="0.21801753971999371"/>
    <n v="2295.04"/>
    <x v="0"/>
    <x v="0"/>
    <s v="Below Avg"/>
    <s v="Profit"/>
    <n v="246"/>
  </r>
  <r>
    <n v="93"/>
    <x v="92"/>
    <n v="1003"/>
    <s v="Customer_105"/>
    <s v="Corporate"/>
    <s v="North"/>
    <s v="Electronics"/>
    <s v="Product_D"/>
    <n v="2396"/>
    <n v="8"/>
    <n v="0.16"/>
    <n v="943"/>
    <s v="Card"/>
    <n v="16101.119999999901"/>
    <s v="Apr"/>
    <n v="2024"/>
    <s v="Q2"/>
    <n v="5.8567354320693578E-2"/>
    <n v="3066.88"/>
    <x v="0"/>
    <x v="0"/>
    <s v="Above Avg"/>
    <s v="Profit"/>
    <n v="126"/>
  </r>
  <r>
    <n v="94"/>
    <x v="93"/>
    <n v="1011"/>
    <s v="Customer_161"/>
    <s v="Consumer"/>
    <s v="East"/>
    <s v="Furniture"/>
    <s v="Product_C"/>
    <n v="662"/>
    <n v="5"/>
    <n v="0.19"/>
    <n v="-45"/>
    <s v="COD"/>
    <n v="2681.1"/>
    <s v="Apr"/>
    <n v="2024"/>
    <s v="Q2"/>
    <n v="-1.6784155756965426E-2"/>
    <n v="628.9"/>
    <x v="1"/>
    <x v="0"/>
    <s v="Below Avg"/>
    <s v="Loss"/>
    <n v="403"/>
  </r>
  <r>
    <n v="95"/>
    <x v="94"/>
    <n v="1003"/>
    <s v="Customer_94"/>
    <s v="Consumer"/>
    <s v="West"/>
    <s v="Clothing"/>
    <s v="Product_C"/>
    <n v="4372"/>
    <n v="5"/>
    <n v="0.04"/>
    <n v="1771"/>
    <s v="UPI"/>
    <n v="20985.599999999999"/>
    <s v="Apr"/>
    <n v="2024"/>
    <s v="Q2"/>
    <n v="8.4391201585849354E-2"/>
    <n v="874.4"/>
    <x v="0"/>
    <x v="0"/>
    <s v="Above Avg"/>
    <s v="Profit"/>
    <n v="77"/>
  </r>
  <r>
    <n v="96"/>
    <x v="95"/>
    <n v="1094"/>
    <s v="Customer_48"/>
    <s v="Consumer"/>
    <s v="North"/>
    <s v="Furniture"/>
    <s v="Product_D"/>
    <n v="301"/>
    <n v="8"/>
    <n v="0.12"/>
    <n v="1297"/>
    <s v="UPI"/>
    <n v="2119.04"/>
    <s v="Apr"/>
    <n v="2024"/>
    <s v="Q2"/>
    <n v="0.61206961643008151"/>
    <n v="288.95999999999998"/>
    <x v="1"/>
    <x v="0"/>
    <s v="Below Avg"/>
    <s v="Profit"/>
    <n v="421"/>
  </r>
  <r>
    <n v="97"/>
    <x v="96"/>
    <n v="1006"/>
    <s v="Customer_103"/>
    <s v="Corporate"/>
    <s v="East"/>
    <s v="Furniture"/>
    <s v="Product_A"/>
    <n v="4572"/>
    <n v="9"/>
    <n v="0"/>
    <n v="519"/>
    <s v="UPI"/>
    <n v="41148"/>
    <s v="Apr"/>
    <n v="2024"/>
    <s v="Q2"/>
    <n v="1.2613006707494897E-2"/>
    <n v="0"/>
    <x v="0"/>
    <x v="0"/>
    <s v="Above Avg"/>
    <s v="Profit"/>
    <n v="1"/>
  </r>
  <r>
    <n v="98"/>
    <x v="97"/>
    <n v="1009"/>
    <s v="Customer_41"/>
    <s v="Consumer"/>
    <s v="South"/>
    <s v="Electronics"/>
    <s v="Product_A"/>
    <n v="3094"/>
    <n v="4"/>
    <n v="0.2"/>
    <n v="236"/>
    <s v="Card"/>
    <n v="9900.7999999999993"/>
    <s v="Apr"/>
    <n v="2024"/>
    <s v="Q2"/>
    <n v="2.3836457659987074E-2"/>
    <n v="2475.2000000000003"/>
    <x v="0"/>
    <x v="0"/>
    <s v="Below Avg"/>
    <s v="Profit"/>
    <n v="203"/>
  </r>
  <r>
    <n v="99"/>
    <x v="98"/>
    <n v="1087"/>
    <s v="Customer_123"/>
    <s v="Consumer"/>
    <s v="West"/>
    <s v="Electronics"/>
    <s v="Product_A"/>
    <n v="4656"/>
    <n v="8"/>
    <n v="0.05"/>
    <n v="115"/>
    <s v="Card"/>
    <n v="35385.599999999999"/>
    <s v="Apr"/>
    <n v="2024"/>
    <s v="Q2"/>
    <n v="3.2499095677337676E-3"/>
    <n v="1862.4"/>
    <x v="0"/>
    <x v="0"/>
    <s v="Above Avg"/>
    <s v="Profit"/>
    <n v="9"/>
  </r>
  <r>
    <n v="100"/>
    <x v="99"/>
    <n v="1014"/>
    <s v="Customer_137"/>
    <s v="Corporate"/>
    <s v="North"/>
    <s v="Clothing"/>
    <s v="Product_B"/>
    <n v="4815"/>
    <n v="8"/>
    <n v="0.12"/>
    <n v="271"/>
    <s v="UPI"/>
    <n v="33897.599999999999"/>
    <s v="Apr"/>
    <n v="2024"/>
    <s v="Q2"/>
    <n v="7.9946662890588126E-3"/>
    <n v="4622.3999999999996"/>
    <x v="0"/>
    <x v="0"/>
    <s v="Above Avg"/>
    <s v="Profit"/>
    <n v="14"/>
  </r>
  <r>
    <n v="101"/>
    <x v="100"/>
    <n v="1083"/>
    <s v="Customer_176"/>
    <s v="Consumer"/>
    <s v="South"/>
    <s v="Furniture"/>
    <s v="Product_C"/>
    <n v="4598"/>
    <n v="3"/>
    <n v="0.15"/>
    <n v="93"/>
    <s v="Card"/>
    <n v="11724.9"/>
    <s v="Apr"/>
    <n v="2024"/>
    <s v="Q2"/>
    <n v="7.9318373717473072E-3"/>
    <n v="2069.1"/>
    <x v="0"/>
    <x v="0"/>
    <s v="Above Avg"/>
    <s v="Profit"/>
    <n v="177"/>
  </r>
  <r>
    <n v="102"/>
    <x v="101"/>
    <n v="1070"/>
    <s v="Customer_182"/>
    <s v="Consumer"/>
    <s v="East"/>
    <s v="Electronics"/>
    <s v="Product_B"/>
    <n v="4505"/>
    <n v="4"/>
    <n v="0.2"/>
    <n v="-150"/>
    <s v="UPI"/>
    <n v="14416"/>
    <s v="Apr"/>
    <n v="2024"/>
    <s v="Q2"/>
    <n v="-1.0405105438401776E-2"/>
    <n v="3604"/>
    <x v="0"/>
    <x v="0"/>
    <s v="Above Avg"/>
    <s v="Loss"/>
    <n v="144"/>
  </r>
  <r>
    <n v="103"/>
    <x v="102"/>
    <n v="1012"/>
    <s v="Customer_23"/>
    <s v="Consumer"/>
    <s v="East"/>
    <s v="Electronics"/>
    <s v="Product_C"/>
    <n v="3765"/>
    <n v="2"/>
    <n v="0.23"/>
    <n v="820"/>
    <s v="COD"/>
    <n v="5798.1"/>
    <s v="Apr"/>
    <n v="2024"/>
    <s v="Q2"/>
    <n v="0.14142563943360756"/>
    <n v="1731.9"/>
    <x v="0"/>
    <x v="0"/>
    <s v="Below Avg"/>
    <s v="Profit"/>
    <n v="301"/>
  </r>
  <r>
    <n v="104"/>
    <x v="103"/>
    <n v="1054"/>
    <s v="Customer_193"/>
    <s v="Corporate"/>
    <s v="East"/>
    <s v="Furniture"/>
    <s v="Product_A"/>
    <n v="4195"/>
    <n v="5"/>
    <n v="0.21"/>
    <n v="-479"/>
    <s v="Card"/>
    <n v="16570.25"/>
    <s v="Apr"/>
    <n v="2024"/>
    <s v="Q2"/>
    <n v="-2.8907228315806943E-2"/>
    <n v="4404.75"/>
    <x v="0"/>
    <x v="0"/>
    <s v="Above Avg"/>
    <s v="Loss"/>
    <n v="114"/>
  </r>
  <r>
    <n v="105"/>
    <x v="104"/>
    <n v="1027"/>
    <s v="Customer_149"/>
    <s v="Corporate"/>
    <s v="South"/>
    <s v="Furniture"/>
    <s v="Product_A"/>
    <n v="1628"/>
    <n v="6"/>
    <n v="0.17"/>
    <n v="1224"/>
    <s v="Card"/>
    <n v="8107.44"/>
    <s v="Apr"/>
    <n v="2024"/>
    <s v="Q2"/>
    <n v="0.15097244012906663"/>
    <n v="1660.5600000000002"/>
    <x v="0"/>
    <x v="0"/>
    <s v="Below Avg"/>
    <s v="Profit"/>
    <n v="248"/>
  </r>
  <r>
    <n v="106"/>
    <x v="105"/>
    <n v="1038"/>
    <s v="Customer_160"/>
    <s v="Corporate"/>
    <s v="North"/>
    <s v="Clothing"/>
    <s v="Product_A"/>
    <n v="759"/>
    <n v="6"/>
    <n v="0.16"/>
    <n v="879"/>
    <s v="UPI"/>
    <n v="3825.3599999999901"/>
    <s v="Apr"/>
    <n v="2024"/>
    <s v="Q2"/>
    <n v="0.22978229499968689"/>
    <n v="728.64"/>
    <x v="1"/>
    <x v="0"/>
    <s v="Below Avg"/>
    <s v="Profit"/>
    <n v="363"/>
  </r>
  <r>
    <n v="107"/>
    <x v="106"/>
    <n v="1017"/>
    <s v="Customer_109"/>
    <s v="Consumer"/>
    <s v="East"/>
    <s v="Electronics"/>
    <s v="Product_B"/>
    <n v="101"/>
    <n v="2"/>
    <n v="0.26"/>
    <n v="1747"/>
    <s v="COD"/>
    <n v="149.47999999999999"/>
    <s v="Apr"/>
    <n v="2024"/>
    <s v="Q2"/>
    <n v="11.687182231736688"/>
    <n v="52.52"/>
    <x v="2"/>
    <x v="0"/>
    <s v="Below Avg"/>
    <s v="Profit"/>
    <n v="500"/>
  </r>
  <r>
    <n v="108"/>
    <x v="107"/>
    <n v="1061"/>
    <s v="Customer_154"/>
    <s v="Corporate"/>
    <s v="East"/>
    <s v="Furniture"/>
    <s v="Product_A"/>
    <n v="608"/>
    <n v="4"/>
    <n v="0.26"/>
    <n v="1152"/>
    <s v="UPI"/>
    <n v="1799.68"/>
    <s v="Apr"/>
    <n v="2024"/>
    <s v="Q2"/>
    <n v="0.64011379800853485"/>
    <n v="632.32000000000005"/>
    <x v="2"/>
    <x v="0"/>
    <s v="Below Avg"/>
    <s v="Profit"/>
    <n v="441"/>
  </r>
  <r>
    <n v="109"/>
    <x v="108"/>
    <n v="1074"/>
    <s v="Customer_33"/>
    <s v="Consumer"/>
    <s v="West"/>
    <s v="Clothing"/>
    <s v="Product_A"/>
    <n v="239"/>
    <n v="2"/>
    <n v="0.02"/>
    <n v="1292"/>
    <s v="COD"/>
    <n v="468.44"/>
    <s v="Apr"/>
    <n v="2024"/>
    <s v="Q2"/>
    <n v="2.7580906839723336"/>
    <n v="9.56"/>
    <x v="2"/>
    <x v="0"/>
    <s v="Below Avg"/>
    <s v="Profit"/>
    <n v="492"/>
  </r>
  <r>
    <n v="110"/>
    <x v="109"/>
    <n v="1099"/>
    <s v="Customer_188"/>
    <s v="Corporate"/>
    <s v="North"/>
    <s v="Furniture"/>
    <s v="Product_B"/>
    <n v="3354"/>
    <n v="5"/>
    <n v="0.08"/>
    <n v="556"/>
    <s v="Card"/>
    <n v="15428.4"/>
    <s v="Apr"/>
    <n v="2024"/>
    <s v="Q2"/>
    <n v="3.603743745300874E-2"/>
    <n v="1341.6000000000001"/>
    <x v="0"/>
    <x v="0"/>
    <s v="Above Avg"/>
    <s v="Profit"/>
    <n v="136"/>
  </r>
  <r>
    <n v="111"/>
    <x v="110"/>
    <n v="1099"/>
    <s v="Customer_137"/>
    <s v="Corporate"/>
    <s v="East"/>
    <s v="Furniture"/>
    <s v="Product_A"/>
    <n v="3754"/>
    <n v="2"/>
    <n v="0.28000000000000003"/>
    <n v="853"/>
    <s v="Card"/>
    <n v="5405.76"/>
    <s v="Apr"/>
    <n v="2024"/>
    <s v="Q2"/>
    <n v="0.15779464867104717"/>
    <n v="2102.2400000000002"/>
    <x v="0"/>
    <x v="0"/>
    <s v="Below Avg"/>
    <s v="Profit"/>
    <n v="312"/>
  </r>
  <r>
    <n v="112"/>
    <x v="111"/>
    <n v="1065"/>
    <s v="Customer_81"/>
    <s v="Consumer"/>
    <s v="North"/>
    <s v="Clothing"/>
    <s v="Product_A"/>
    <n v="1685"/>
    <n v="9"/>
    <n v="0.18"/>
    <n v="1489"/>
    <s v="COD"/>
    <n v="12435.3"/>
    <s v="Apr"/>
    <n v="2024"/>
    <s v="Q2"/>
    <n v="0.11973977306538645"/>
    <n v="2729.7"/>
    <x v="0"/>
    <x v="0"/>
    <s v="Above Avg"/>
    <s v="Profit"/>
    <n v="163"/>
  </r>
  <r>
    <n v="113"/>
    <x v="112"/>
    <n v="1047"/>
    <s v="Customer_70"/>
    <s v="Corporate"/>
    <s v="East"/>
    <s v="Furniture"/>
    <s v="Product_B"/>
    <n v="4837"/>
    <n v="1"/>
    <n v="0.04"/>
    <n v="216"/>
    <s v="Card"/>
    <n v="4643.5199999999904"/>
    <s v="Apr"/>
    <n v="2024"/>
    <s v="Q2"/>
    <n v="4.6516435807318679E-2"/>
    <n v="193.48000000000002"/>
    <x v="1"/>
    <x v="0"/>
    <s v="Below Avg"/>
    <s v="Profit"/>
    <n v="334"/>
  </r>
  <r>
    <n v="114"/>
    <x v="113"/>
    <n v="1016"/>
    <s v="Customer_174"/>
    <s v="Corporate"/>
    <s v="South"/>
    <s v="Electronics"/>
    <s v="Product_D"/>
    <n v="327"/>
    <n v="6"/>
    <n v="0.02"/>
    <n v="-476"/>
    <s v="UPI"/>
    <n v="1922.76"/>
    <s v="Apr"/>
    <n v="2024"/>
    <s v="Q2"/>
    <n v="-0.24756079801951361"/>
    <n v="39.24"/>
    <x v="2"/>
    <x v="0"/>
    <s v="Below Avg"/>
    <s v="Loss"/>
    <n v="435"/>
  </r>
  <r>
    <n v="115"/>
    <x v="114"/>
    <n v="1005"/>
    <s v="Customer_7"/>
    <s v="Corporate"/>
    <s v="East"/>
    <s v="Clothing"/>
    <s v="Product_C"/>
    <n v="2697"/>
    <n v="9"/>
    <n v="0.03"/>
    <n v="196"/>
    <s v="Card"/>
    <n v="23544.809999999899"/>
    <s v="Apr"/>
    <n v="2024"/>
    <s v="Q2"/>
    <n v="8.324552204923329E-3"/>
    <n v="728.18999999999994"/>
    <x v="0"/>
    <x v="0"/>
    <s v="Above Avg"/>
    <s v="Profit"/>
    <n v="56"/>
  </r>
  <r>
    <n v="116"/>
    <x v="115"/>
    <n v="1086"/>
    <s v="Customer_128"/>
    <s v="Consumer"/>
    <s v="West"/>
    <s v="Clothing"/>
    <s v="Product_A"/>
    <n v="2905"/>
    <n v="3"/>
    <n v="0.23"/>
    <n v="1412"/>
    <s v="Card"/>
    <n v="6710.55"/>
    <s v="Apr"/>
    <n v="2024"/>
    <s v="Q2"/>
    <n v="0.21041494363353228"/>
    <n v="2004.45"/>
    <x v="0"/>
    <x v="0"/>
    <s v="Below Avg"/>
    <s v="Profit"/>
    <n v="283"/>
  </r>
  <r>
    <n v="117"/>
    <x v="116"/>
    <n v="1046"/>
    <s v="Customer_7"/>
    <s v="Corporate"/>
    <s v="East"/>
    <s v="Furniture"/>
    <s v="Product_A"/>
    <n v="4460"/>
    <n v="9"/>
    <n v="7.0000000000000007E-2"/>
    <n v="683"/>
    <s v="UPI"/>
    <n v="37330.199999999997"/>
    <s v="Apr"/>
    <n v="2024"/>
    <s v="Q2"/>
    <n v="1.8296178429261029E-2"/>
    <n v="2809.8"/>
    <x v="0"/>
    <x v="0"/>
    <s v="Above Avg"/>
    <s v="Profit"/>
    <n v="6"/>
  </r>
  <r>
    <n v="118"/>
    <x v="117"/>
    <n v="1015"/>
    <s v="Customer_121"/>
    <s v="Consumer"/>
    <s v="East"/>
    <s v="Clothing"/>
    <s v="Product_B"/>
    <n v="3646"/>
    <n v="2"/>
    <n v="7.0000000000000007E-2"/>
    <n v="1559"/>
    <s v="COD"/>
    <n v="6781.5599999999904"/>
    <s v="Apr"/>
    <n v="2024"/>
    <s v="Q2"/>
    <n v="0.22988810834085405"/>
    <n v="510.44000000000005"/>
    <x v="0"/>
    <x v="0"/>
    <s v="Below Avg"/>
    <s v="Profit"/>
    <n v="278"/>
  </r>
  <r>
    <n v="119"/>
    <x v="118"/>
    <n v="1059"/>
    <s v="Customer_197"/>
    <s v="Corporate"/>
    <s v="West"/>
    <s v="Furniture"/>
    <s v="Product_D"/>
    <n v="3772"/>
    <n v="2"/>
    <n v="0.04"/>
    <n v="189"/>
    <s v="Card"/>
    <n v="7242.24"/>
    <s v="Apr"/>
    <n v="2024"/>
    <s v="Q2"/>
    <n v="2.6096898197242844E-2"/>
    <n v="301.76"/>
    <x v="0"/>
    <x v="0"/>
    <s v="Below Avg"/>
    <s v="Profit"/>
    <n v="270"/>
  </r>
  <r>
    <n v="120"/>
    <x v="119"/>
    <n v="1040"/>
    <s v="Customer_161"/>
    <s v="Corporate"/>
    <s v="East"/>
    <s v="Clothing"/>
    <s v="Product_B"/>
    <n v="4990"/>
    <n v="2"/>
    <n v="0.18"/>
    <n v="829"/>
    <s v="UPI"/>
    <n v="8183.6"/>
    <s v="Apr"/>
    <n v="2024"/>
    <s v="Q2"/>
    <n v="0.10130016129820617"/>
    <n v="1796.3999999999999"/>
    <x v="0"/>
    <x v="0"/>
    <s v="Below Avg"/>
    <s v="Profit"/>
    <n v="245"/>
  </r>
  <r>
    <n v="121"/>
    <x v="120"/>
    <n v="1025"/>
    <s v="Customer_114"/>
    <s v="Corporate"/>
    <s v="South"/>
    <s v="Clothing"/>
    <s v="Product_D"/>
    <n v="4660"/>
    <n v="3"/>
    <n v="0.15"/>
    <n v="697"/>
    <s v="UPI"/>
    <n v="11883"/>
    <s v="Apr"/>
    <n v="2024"/>
    <s v="Q2"/>
    <n v="5.8655221745350504E-2"/>
    <n v="2097"/>
    <x v="0"/>
    <x v="0"/>
    <s v="Above Avg"/>
    <s v="Profit"/>
    <n v="170"/>
  </r>
  <r>
    <n v="122"/>
    <x v="121"/>
    <n v="1045"/>
    <s v="Customer_138"/>
    <s v="Corporate"/>
    <s v="East"/>
    <s v="Furniture"/>
    <s v="Product_B"/>
    <n v="2622"/>
    <n v="4"/>
    <n v="0.08"/>
    <n v="-69"/>
    <s v="COD"/>
    <n v="9648.9599999999991"/>
    <s v="May"/>
    <n v="2024"/>
    <s v="Q2"/>
    <n v="-7.1510297482837533E-3"/>
    <n v="839.04"/>
    <x v="0"/>
    <x v="0"/>
    <s v="Below Avg"/>
    <s v="Loss"/>
    <n v="210"/>
  </r>
  <r>
    <n v="123"/>
    <x v="122"/>
    <n v="1049"/>
    <s v="Customer_104"/>
    <s v="Consumer"/>
    <s v="West"/>
    <s v="Furniture"/>
    <s v="Product_B"/>
    <n v="438"/>
    <n v="3"/>
    <n v="0.2"/>
    <n v="1254"/>
    <s v="UPI"/>
    <n v="1051.2"/>
    <s v="May"/>
    <n v="2024"/>
    <s v="Q2"/>
    <n v="1.1929223744292237"/>
    <n v="262.8"/>
    <x v="2"/>
    <x v="0"/>
    <s v="Below Avg"/>
    <s v="Profit"/>
    <n v="478"/>
  </r>
  <r>
    <n v="124"/>
    <x v="123"/>
    <n v="1000"/>
    <s v="Customer_28"/>
    <s v="Consumer"/>
    <s v="East"/>
    <s v="Clothing"/>
    <s v="Product_D"/>
    <n v="918"/>
    <n v="6"/>
    <n v="0.23"/>
    <n v="-299"/>
    <s v="UPI"/>
    <n v="4241.16"/>
    <s v="May"/>
    <n v="2024"/>
    <s v="Q2"/>
    <n v="-7.0499580303501869E-2"/>
    <n v="1266.8400000000001"/>
    <x v="1"/>
    <x v="0"/>
    <s v="Below Avg"/>
    <s v="Loss"/>
    <n v="344"/>
  </r>
  <r>
    <n v="125"/>
    <x v="124"/>
    <n v="1035"/>
    <s v="Customer_175"/>
    <s v="Corporate"/>
    <s v="West"/>
    <s v="Furniture"/>
    <s v="Product_D"/>
    <n v="2666"/>
    <n v="6"/>
    <n v="0.28999999999999998"/>
    <n v="1830"/>
    <s v="Card"/>
    <n v="11357.16"/>
    <s v="May"/>
    <n v="2024"/>
    <s v="Q2"/>
    <n v="0.16113183225383812"/>
    <n v="4638.8399999999992"/>
    <x v="0"/>
    <x v="0"/>
    <s v="Above Avg"/>
    <s v="Profit"/>
    <n v="184"/>
  </r>
  <r>
    <n v="126"/>
    <x v="125"/>
    <n v="1029"/>
    <s v="Customer_46"/>
    <s v="Consumer"/>
    <s v="North"/>
    <s v="Electronics"/>
    <s v="Product_C"/>
    <n v="3817"/>
    <n v="5"/>
    <n v="0.14000000000000001"/>
    <n v="381"/>
    <s v="COD"/>
    <n v="16413.099999999999"/>
    <s v="May"/>
    <n v="2024"/>
    <s v="Q2"/>
    <n v="2.3213165093736103E-2"/>
    <n v="2671.9"/>
    <x v="0"/>
    <x v="0"/>
    <s v="Above Avg"/>
    <s v="Profit"/>
    <n v="117"/>
  </r>
  <r>
    <n v="127"/>
    <x v="126"/>
    <n v="1001"/>
    <s v="Customer_22"/>
    <s v="Consumer"/>
    <s v="West"/>
    <s v="Furniture"/>
    <s v="Product_B"/>
    <n v="3162"/>
    <n v="2"/>
    <n v="0.12"/>
    <n v="1730"/>
    <s v="UPI"/>
    <n v="5565.12"/>
    <s v="May"/>
    <n v="2024"/>
    <s v="Q2"/>
    <n v="0.31086481513426484"/>
    <n v="758.88"/>
    <x v="0"/>
    <x v="0"/>
    <s v="Below Avg"/>
    <s v="Profit"/>
    <n v="306"/>
  </r>
  <r>
    <n v="128"/>
    <x v="127"/>
    <n v="1083"/>
    <s v="Customer_21"/>
    <s v="Corporate"/>
    <s v="West"/>
    <s v="Furniture"/>
    <s v="Product_A"/>
    <n v="1353"/>
    <n v="4"/>
    <n v="0.09"/>
    <n v="558"/>
    <s v="Card"/>
    <n v="4924.92"/>
    <s v="May"/>
    <n v="2024"/>
    <s v="Q2"/>
    <n v="0.11330133281352793"/>
    <n v="487.08"/>
    <x v="1"/>
    <x v="0"/>
    <s v="Below Avg"/>
    <s v="Profit"/>
    <n v="325"/>
  </r>
  <r>
    <n v="129"/>
    <x v="128"/>
    <n v="1068"/>
    <s v="Customer_111"/>
    <s v="Consumer"/>
    <s v="South"/>
    <s v="Electronics"/>
    <s v="Product_A"/>
    <n v="3250"/>
    <n v="7"/>
    <n v="0.24"/>
    <n v="170"/>
    <s v="COD"/>
    <n v="17290"/>
    <s v="May"/>
    <n v="2024"/>
    <s v="Q2"/>
    <n v="9.8322729901677269E-3"/>
    <n v="5460"/>
    <x v="0"/>
    <x v="0"/>
    <s v="Above Avg"/>
    <s v="Profit"/>
    <n v="103"/>
  </r>
  <r>
    <n v="130"/>
    <x v="129"/>
    <n v="1030"/>
    <s v="Customer_184"/>
    <s v="Corporate"/>
    <s v="East"/>
    <s v="Furniture"/>
    <s v="Product_D"/>
    <n v="2350"/>
    <n v="8"/>
    <n v="0.28999999999999998"/>
    <n v="188"/>
    <s v="Card"/>
    <n v="13348"/>
    <s v="May"/>
    <n v="2024"/>
    <s v="Q2"/>
    <n v="1.4084507042253521E-2"/>
    <n v="5452"/>
    <x v="0"/>
    <x v="0"/>
    <s v="Above Avg"/>
    <s v="Profit"/>
    <n v="155"/>
  </r>
  <r>
    <n v="131"/>
    <x v="130"/>
    <n v="1007"/>
    <s v="Customer_32"/>
    <s v="Consumer"/>
    <s v="South"/>
    <s v="Electronics"/>
    <s v="Product_C"/>
    <n v="4420"/>
    <n v="9"/>
    <n v="0.18"/>
    <n v="-333"/>
    <s v="UPI"/>
    <n v="32619.599999999999"/>
    <s v="May"/>
    <n v="2024"/>
    <s v="Q2"/>
    <n v="-1.0208586248758415E-2"/>
    <n v="7160.4"/>
    <x v="0"/>
    <x v="0"/>
    <s v="Above Avg"/>
    <s v="Loss"/>
    <n v="18"/>
  </r>
  <r>
    <n v="132"/>
    <x v="131"/>
    <n v="1093"/>
    <s v="Customer_160"/>
    <s v="Consumer"/>
    <s v="North"/>
    <s v="Furniture"/>
    <s v="Product_B"/>
    <n v="3715"/>
    <n v="2"/>
    <n v="0.19"/>
    <n v="931"/>
    <s v="COD"/>
    <n v="6018.3"/>
    <s v="May"/>
    <n v="2024"/>
    <s v="Q2"/>
    <n v="0.15469484738215111"/>
    <n v="1411.7"/>
    <x v="0"/>
    <x v="0"/>
    <s v="Below Avg"/>
    <s v="Profit"/>
    <n v="296"/>
  </r>
  <r>
    <n v="133"/>
    <x v="132"/>
    <n v="1060"/>
    <s v="Customer_115"/>
    <s v="Corporate"/>
    <s v="East"/>
    <s v="Clothing"/>
    <s v="Product_C"/>
    <n v="1879"/>
    <n v="9"/>
    <n v="0.21"/>
    <n v="738"/>
    <s v="UPI"/>
    <n v="13359.69"/>
    <s v="May"/>
    <n v="2024"/>
    <s v="Q2"/>
    <n v="5.5240802743177421E-2"/>
    <n v="3551.31"/>
    <x v="0"/>
    <x v="0"/>
    <s v="Above Avg"/>
    <s v="Profit"/>
    <n v="154"/>
  </r>
  <r>
    <n v="134"/>
    <x v="133"/>
    <n v="1065"/>
    <s v="Customer_164"/>
    <s v="Consumer"/>
    <s v="South"/>
    <s v="Electronics"/>
    <s v="Product_D"/>
    <n v="1391"/>
    <n v="7"/>
    <n v="0.13"/>
    <n v="1496"/>
    <s v="COD"/>
    <n v="8471.19"/>
    <s v="May"/>
    <n v="2024"/>
    <s v="Q2"/>
    <n v="0.17659856525470446"/>
    <n v="1265.81"/>
    <x v="0"/>
    <x v="0"/>
    <s v="Below Avg"/>
    <s v="Profit"/>
    <n v="239"/>
  </r>
  <r>
    <n v="135"/>
    <x v="134"/>
    <n v="1076"/>
    <s v="Customer_159"/>
    <s v="Consumer"/>
    <s v="East"/>
    <s v="Furniture"/>
    <s v="Product_D"/>
    <n v="778"/>
    <n v="7"/>
    <n v="7.0000000000000007E-2"/>
    <n v="1345"/>
    <s v="UPI"/>
    <n v="5064.78"/>
    <s v="May"/>
    <n v="2024"/>
    <s v="Q2"/>
    <n v="0.26555941225482649"/>
    <n v="381.22"/>
    <x v="0"/>
    <x v="0"/>
    <s v="Below Avg"/>
    <s v="Profit"/>
    <n v="321"/>
  </r>
  <r>
    <n v="136"/>
    <x v="135"/>
    <n v="1067"/>
    <s v="Customer_70"/>
    <s v="Consumer"/>
    <s v="East"/>
    <s v="Electronics"/>
    <s v="Product_D"/>
    <n v="2652"/>
    <n v="1"/>
    <n v="0.08"/>
    <n v="-241"/>
    <s v="Card"/>
    <n v="2439.84"/>
    <s v="May"/>
    <n v="2024"/>
    <s v="Q2"/>
    <n v="-9.8776968981572552E-2"/>
    <n v="212.16"/>
    <x v="1"/>
    <x v="0"/>
    <s v="Below Avg"/>
    <s v="Loss"/>
    <n v="412"/>
  </r>
  <r>
    <n v="137"/>
    <x v="136"/>
    <n v="1044"/>
    <s v="Customer_54"/>
    <s v="Corporate"/>
    <s v="East"/>
    <s v="Clothing"/>
    <s v="Product_C"/>
    <n v="3324"/>
    <n v="8"/>
    <n v="0.19"/>
    <n v="1450"/>
    <s v="UPI"/>
    <n v="21539.52"/>
    <s v="May"/>
    <n v="2024"/>
    <s v="Q2"/>
    <n v="6.731812036665627E-2"/>
    <n v="5052.4800000000005"/>
    <x v="0"/>
    <x v="0"/>
    <s v="Above Avg"/>
    <s v="Profit"/>
    <n v="71"/>
  </r>
  <r>
    <n v="138"/>
    <x v="137"/>
    <n v="1051"/>
    <s v="Customer_21"/>
    <s v="Corporate"/>
    <s v="South"/>
    <s v="Electronics"/>
    <s v="Product_A"/>
    <n v="314"/>
    <n v="3"/>
    <n v="0.19"/>
    <n v="1084"/>
    <s v="COD"/>
    <n v="763.02"/>
    <s v="May"/>
    <n v="2024"/>
    <s v="Q2"/>
    <n v="1.4206704935650443"/>
    <n v="178.98"/>
    <x v="2"/>
    <x v="0"/>
    <s v="Below Avg"/>
    <s v="Profit"/>
    <n v="482"/>
  </r>
  <r>
    <n v="139"/>
    <x v="138"/>
    <n v="1007"/>
    <s v="Customer_35"/>
    <s v="Consumer"/>
    <s v="East"/>
    <s v="Clothing"/>
    <s v="Product_A"/>
    <n v="1085"/>
    <n v="4"/>
    <n v="0.14000000000000001"/>
    <n v="1745"/>
    <s v="Card"/>
    <n v="3732.4"/>
    <s v="May"/>
    <n v="2024"/>
    <s v="Q2"/>
    <n v="0.46752759618476047"/>
    <n v="607.6"/>
    <x v="1"/>
    <x v="0"/>
    <s v="Below Avg"/>
    <s v="Profit"/>
    <n v="366"/>
  </r>
  <r>
    <n v="140"/>
    <x v="139"/>
    <n v="1088"/>
    <s v="Customer_23"/>
    <s v="Corporate"/>
    <s v="North"/>
    <s v="Furniture"/>
    <s v="Product_A"/>
    <n v="3383"/>
    <n v="4"/>
    <n v="0.01"/>
    <n v="1826"/>
    <s v="COD"/>
    <n v="13396.68"/>
    <s v="May"/>
    <n v="2024"/>
    <s v="Q2"/>
    <n v="0.13630242716852234"/>
    <n v="135.32"/>
    <x v="0"/>
    <x v="0"/>
    <s v="Above Avg"/>
    <s v="Profit"/>
    <n v="153"/>
  </r>
  <r>
    <n v="141"/>
    <x v="140"/>
    <n v="1070"/>
    <s v="Customer_170"/>
    <s v="Consumer"/>
    <s v="South"/>
    <s v="Clothing"/>
    <s v="Product_C"/>
    <n v="4806"/>
    <n v="2"/>
    <n v="0.26"/>
    <n v="126"/>
    <s v="UPI"/>
    <n v="7112.88"/>
    <s v="May"/>
    <n v="2024"/>
    <s v="Q2"/>
    <n v="1.7714343557040185E-2"/>
    <n v="2499.12"/>
    <x v="0"/>
    <x v="0"/>
    <s v="Below Avg"/>
    <s v="Profit"/>
    <n v="273"/>
  </r>
  <r>
    <n v="142"/>
    <x v="141"/>
    <n v="1013"/>
    <s v="Customer_24"/>
    <s v="Corporate"/>
    <s v="West"/>
    <s v="Electronics"/>
    <s v="Product_B"/>
    <n v="2445"/>
    <n v="3"/>
    <n v="7.0000000000000007E-2"/>
    <n v="834"/>
    <s v="COD"/>
    <n v="6821.5499999999902"/>
    <s v="May"/>
    <n v="2024"/>
    <s v="Q2"/>
    <n v="0.12225960375574484"/>
    <n v="513.45000000000005"/>
    <x v="0"/>
    <x v="0"/>
    <s v="Below Avg"/>
    <s v="Profit"/>
    <n v="277"/>
  </r>
  <r>
    <n v="143"/>
    <x v="142"/>
    <n v="1028"/>
    <s v="Customer_94"/>
    <s v="Consumer"/>
    <s v="North"/>
    <s v="Furniture"/>
    <s v="Product_C"/>
    <n v="4838"/>
    <n v="5"/>
    <n v="0.17"/>
    <n v="-431"/>
    <s v="UPI"/>
    <n v="20077.7"/>
    <s v="May"/>
    <n v="2024"/>
    <s v="Q2"/>
    <n v="-2.1466602250257746E-2"/>
    <n v="4112.3"/>
    <x v="0"/>
    <x v="0"/>
    <s v="Above Avg"/>
    <s v="Loss"/>
    <n v="79"/>
  </r>
  <r>
    <n v="144"/>
    <x v="143"/>
    <n v="1063"/>
    <s v="Customer_74"/>
    <s v="Consumer"/>
    <s v="West"/>
    <s v="Furniture"/>
    <s v="Product_A"/>
    <n v="3533"/>
    <n v="3"/>
    <n v="0.22"/>
    <n v="1071"/>
    <s v="UPI"/>
    <n v="8267.2199999999993"/>
    <s v="May"/>
    <n v="2024"/>
    <s v="Q2"/>
    <n v="0.1295477802695465"/>
    <n v="2331.7800000000002"/>
    <x v="0"/>
    <x v="0"/>
    <s v="Below Avg"/>
    <s v="Profit"/>
    <n v="242"/>
  </r>
  <r>
    <n v="145"/>
    <x v="144"/>
    <n v="1084"/>
    <s v="Customer_69"/>
    <s v="Corporate"/>
    <s v="West"/>
    <s v="Furniture"/>
    <s v="Product_D"/>
    <n v="3727"/>
    <n v="5"/>
    <n v="0.06"/>
    <n v="1304"/>
    <s v="COD"/>
    <n v="17516.8999999999"/>
    <s v="May"/>
    <n v="2024"/>
    <s v="Q2"/>
    <n v="7.4442395629364069E-2"/>
    <n v="1118.0999999999999"/>
    <x v="0"/>
    <x v="0"/>
    <s v="Above Avg"/>
    <s v="Profit"/>
    <n v="97"/>
  </r>
  <r>
    <n v="146"/>
    <x v="145"/>
    <n v="1036"/>
    <s v="Customer_127"/>
    <s v="Consumer"/>
    <s v="North"/>
    <s v="Clothing"/>
    <s v="Product_D"/>
    <n v="3173"/>
    <n v="8"/>
    <n v="0.14000000000000001"/>
    <n v="1176"/>
    <s v="Card"/>
    <n v="21830.2399999999"/>
    <s v="May"/>
    <n v="2024"/>
    <s v="Q2"/>
    <n v="5.3870227720813214E-2"/>
    <n v="3553.76"/>
    <x v="0"/>
    <x v="0"/>
    <s v="Above Avg"/>
    <s v="Profit"/>
    <n v="69"/>
  </r>
  <r>
    <n v="147"/>
    <x v="146"/>
    <n v="1096"/>
    <s v="Customer_125"/>
    <s v="Consumer"/>
    <s v="East"/>
    <s v="Furniture"/>
    <s v="Product_A"/>
    <n v="4473"/>
    <n v="8"/>
    <n v="0"/>
    <n v="126"/>
    <s v="Card"/>
    <n v="35784"/>
    <s v="May"/>
    <n v="2024"/>
    <s v="Q2"/>
    <n v="3.5211267605633804E-3"/>
    <n v="0"/>
    <x v="0"/>
    <x v="0"/>
    <s v="Above Avg"/>
    <s v="Profit"/>
    <n v="8"/>
  </r>
  <r>
    <n v="148"/>
    <x v="147"/>
    <n v="1040"/>
    <s v="Customer_170"/>
    <s v="Consumer"/>
    <s v="North"/>
    <s v="Clothing"/>
    <s v="Product_B"/>
    <n v="3339"/>
    <n v="3"/>
    <n v="0.01"/>
    <n v="-386"/>
    <s v="Card"/>
    <n v="9916.83"/>
    <s v="May"/>
    <n v="2024"/>
    <s v="Q2"/>
    <n v="-3.8923728651191966E-2"/>
    <n v="100.17"/>
    <x v="0"/>
    <x v="0"/>
    <s v="Below Avg"/>
    <s v="Loss"/>
    <n v="202"/>
  </r>
  <r>
    <n v="149"/>
    <x v="148"/>
    <n v="1088"/>
    <s v="Customer_158"/>
    <s v="Corporate"/>
    <s v="South"/>
    <s v="Clothing"/>
    <s v="Product_D"/>
    <n v="1472"/>
    <n v="5"/>
    <n v="0.08"/>
    <n v="788"/>
    <s v="UPI"/>
    <n v="6771.2"/>
    <s v="May"/>
    <n v="2024"/>
    <s v="Q2"/>
    <n v="0.11637523629489603"/>
    <n v="588.80000000000007"/>
    <x v="0"/>
    <x v="0"/>
    <s v="Below Avg"/>
    <s v="Profit"/>
    <n v="279"/>
  </r>
  <r>
    <n v="150"/>
    <x v="149"/>
    <n v="1063"/>
    <s v="Customer_199"/>
    <s v="Corporate"/>
    <s v="East"/>
    <s v="Clothing"/>
    <s v="Product_B"/>
    <n v="2138"/>
    <n v="1"/>
    <n v="0.2"/>
    <n v="725"/>
    <s v="Card"/>
    <n v="1710.4"/>
    <s v="May"/>
    <n v="2024"/>
    <s v="Q2"/>
    <n v="0.42387745556594947"/>
    <n v="427.6"/>
    <x v="2"/>
    <x v="0"/>
    <s v="Below Avg"/>
    <s v="Profit"/>
    <n v="446"/>
  </r>
  <r>
    <n v="151"/>
    <x v="150"/>
    <n v="1058"/>
    <s v="Customer_134"/>
    <s v="Consumer"/>
    <s v="East"/>
    <s v="Furniture"/>
    <s v="Product_D"/>
    <n v="4818"/>
    <n v="7"/>
    <n v="0.27"/>
    <n v="841"/>
    <s v="Card"/>
    <n v="24619.98"/>
    <s v="May"/>
    <n v="2024"/>
    <s v="Q2"/>
    <n v="3.4159247895408529E-2"/>
    <n v="9106.02"/>
    <x v="0"/>
    <x v="0"/>
    <s v="Above Avg"/>
    <s v="Profit"/>
    <n v="44"/>
  </r>
  <r>
    <n v="152"/>
    <x v="151"/>
    <n v="1077"/>
    <s v="Customer_52"/>
    <s v="Consumer"/>
    <s v="West"/>
    <s v="Electronics"/>
    <s v="Product_A"/>
    <n v="3953"/>
    <n v="3"/>
    <n v="0.13"/>
    <n v="1405"/>
    <s v="COD"/>
    <n v="10317.33"/>
    <s v="May"/>
    <n v="2024"/>
    <s v="Q2"/>
    <n v="0.13617864311793845"/>
    <n v="1541.67"/>
    <x v="0"/>
    <x v="0"/>
    <s v="Below Avg"/>
    <s v="Profit"/>
    <n v="197"/>
  </r>
  <r>
    <n v="153"/>
    <x v="152"/>
    <n v="1008"/>
    <s v="Customer_82"/>
    <s v="Corporate"/>
    <s v="North"/>
    <s v="Furniture"/>
    <s v="Product_C"/>
    <n v="3443"/>
    <n v="7"/>
    <n v="0.01"/>
    <n v="1505"/>
    <s v="Card"/>
    <n v="23859.99"/>
    <s v="Jun"/>
    <n v="2024"/>
    <s v="Q2"/>
    <n v="6.3076304726028806E-2"/>
    <n v="241.01"/>
    <x v="0"/>
    <x v="0"/>
    <s v="Above Avg"/>
    <s v="Profit"/>
    <n v="52"/>
  </r>
  <r>
    <n v="154"/>
    <x v="153"/>
    <n v="1078"/>
    <s v="Customer_154"/>
    <s v="Consumer"/>
    <s v="East"/>
    <s v="Furniture"/>
    <s v="Product_C"/>
    <n v="4783"/>
    <n v="8"/>
    <n v="0.09"/>
    <n v="605"/>
    <s v="COD"/>
    <n v="34820.239999999998"/>
    <s v="Jun"/>
    <n v="2024"/>
    <s v="Q2"/>
    <n v="1.7374952039388585E-2"/>
    <n v="3443.7599999999998"/>
    <x v="0"/>
    <x v="0"/>
    <s v="Above Avg"/>
    <s v="Profit"/>
    <n v="12"/>
  </r>
  <r>
    <n v="155"/>
    <x v="154"/>
    <n v="1006"/>
    <s v="Customer_100"/>
    <s v="Consumer"/>
    <s v="South"/>
    <s v="Furniture"/>
    <s v="Product_B"/>
    <n v="4252"/>
    <n v="7"/>
    <n v="0.28999999999999998"/>
    <n v="-483"/>
    <s v="Card"/>
    <n v="21132.44"/>
    <s v="Jun"/>
    <n v="2024"/>
    <s v="Q2"/>
    <n v="-2.2855855736488549E-2"/>
    <n v="8631.56"/>
    <x v="0"/>
    <x v="0"/>
    <s v="Above Avg"/>
    <s v="Loss"/>
    <n v="74"/>
  </r>
  <r>
    <n v="156"/>
    <x v="155"/>
    <n v="1065"/>
    <s v="Customer_41"/>
    <s v="Corporate"/>
    <s v="South"/>
    <s v="Furniture"/>
    <s v="Product_A"/>
    <n v="1868"/>
    <n v="5"/>
    <n v="0.03"/>
    <n v="200"/>
    <s v="Card"/>
    <n v="9059.7999999999993"/>
    <s v="Jun"/>
    <n v="2024"/>
    <s v="Q2"/>
    <n v="2.2075542506457099E-2"/>
    <n v="280.2"/>
    <x v="0"/>
    <x v="0"/>
    <s v="Below Avg"/>
    <s v="Profit"/>
    <n v="230"/>
  </r>
  <r>
    <n v="157"/>
    <x v="156"/>
    <n v="1094"/>
    <s v="Customer_196"/>
    <s v="Consumer"/>
    <s v="East"/>
    <s v="Clothing"/>
    <s v="Product_D"/>
    <n v="138"/>
    <n v="9"/>
    <n v="0.23"/>
    <n v="486"/>
    <s v="COD"/>
    <n v="956.34"/>
    <s v="Jun"/>
    <n v="2024"/>
    <s v="Q2"/>
    <n v="0.50818746470920384"/>
    <n v="285.66000000000003"/>
    <x v="2"/>
    <x v="0"/>
    <s v="Below Avg"/>
    <s v="Profit"/>
    <n v="481"/>
  </r>
  <r>
    <n v="158"/>
    <x v="157"/>
    <n v="1070"/>
    <s v="Customer_182"/>
    <s v="Consumer"/>
    <s v="South"/>
    <s v="Electronics"/>
    <s v="Product_B"/>
    <n v="3662"/>
    <n v="1"/>
    <n v="0.22"/>
    <n v="-184"/>
    <s v="Card"/>
    <n v="2856.36"/>
    <s v="Jun"/>
    <n v="2024"/>
    <s v="Q2"/>
    <n v="-6.4417650436219526E-2"/>
    <n v="805.64"/>
    <x v="1"/>
    <x v="0"/>
    <s v="Below Avg"/>
    <s v="Loss"/>
    <n v="397"/>
  </r>
  <r>
    <n v="159"/>
    <x v="158"/>
    <n v="1040"/>
    <s v="Customer_60"/>
    <s v="Corporate"/>
    <s v="North"/>
    <s v="Furniture"/>
    <s v="Product_A"/>
    <n v="1929"/>
    <n v="6"/>
    <n v="0.18"/>
    <n v="1743"/>
    <s v="COD"/>
    <n v="9490.68"/>
    <s v="Jun"/>
    <n v="2024"/>
    <s v="Q2"/>
    <n v="0.18365385831152245"/>
    <n v="2083.3199999999997"/>
    <x v="0"/>
    <x v="0"/>
    <s v="Below Avg"/>
    <s v="Profit"/>
    <n v="217"/>
  </r>
  <r>
    <n v="160"/>
    <x v="159"/>
    <n v="1074"/>
    <s v="Customer_77"/>
    <s v="Consumer"/>
    <s v="South"/>
    <s v="Furniture"/>
    <s v="Product_C"/>
    <n v="2271"/>
    <n v="6"/>
    <n v="0.28000000000000003"/>
    <n v="1840"/>
    <s v="COD"/>
    <n v="9810.7199999999993"/>
    <s v="Jun"/>
    <n v="2024"/>
    <s v="Q2"/>
    <n v="0.18754994536588548"/>
    <n v="3815.28"/>
    <x v="0"/>
    <x v="0"/>
    <s v="Below Avg"/>
    <s v="Profit"/>
    <n v="207"/>
  </r>
  <r>
    <n v="161"/>
    <x v="160"/>
    <n v="1076"/>
    <s v="Customer_183"/>
    <s v="Consumer"/>
    <s v="East"/>
    <s v="Clothing"/>
    <s v="Product_C"/>
    <n v="208"/>
    <n v="7"/>
    <n v="0.19"/>
    <n v="1079"/>
    <s v="Card"/>
    <n v="1179.3599999999999"/>
    <s v="Jun"/>
    <n v="2024"/>
    <s v="Q2"/>
    <n v="0.9149029982363317"/>
    <n v="276.64"/>
    <x v="2"/>
    <x v="0"/>
    <s v="Below Avg"/>
    <s v="Profit"/>
    <n v="469"/>
  </r>
  <r>
    <n v="162"/>
    <x v="161"/>
    <n v="1076"/>
    <s v="Customer_152"/>
    <s v="Consumer"/>
    <s v="South"/>
    <s v="Clothing"/>
    <s v="Product_C"/>
    <n v="4940"/>
    <n v="7"/>
    <n v="0.28999999999999998"/>
    <n v="-154"/>
    <s v="Card"/>
    <n v="24551.8"/>
    <s v="Jun"/>
    <n v="2024"/>
    <s v="Q2"/>
    <n v="-6.272452528938815E-3"/>
    <n v="10028.199999999999"/>
    <x v="0"/>
    <x v="0"/>
    <s v="Above Avg"/>
    <s v="Loss"/>
    <n v="45"/>
  </r>
  <r>
    <n v="163"/>
    <x v="162"/>
    <n v="1025"/>
    <s v="Customer_119"/>
    <s v="Consumer"/>
    <s v="West"/>
    <s v="Clothing"/>
    <s v="Product_B"/>
    <n v="4228"/>
    <n v="2"/>
    <n v="0.25"/>
    <n v="115"/>
    <s v="Card"/>
    <n v="6342"/>
    <s v="Jun"/>
    <n v="2024"/>
    <s v="Q2"/>
    <n v="1.8133081046988332E-2"/>
    <n v="2114"/>
    <x v="0"/>
    <x v="0"/>
    <s v="Below Avg"/>
    <s v="Profit"/>
    <n v="287"/>
  </r>
  <r>
    <n v="164"/>
    <x v="163"/>
    <n v="1007"/>
    <s v="Customer_95"/>
    <s v="Consumer"/>
    <s v="South"/>
    <s v="Electronics"/>
    <s v="Product_C"/>
    <n v="4335"/>
    <n v="5"/>
    <n v="0.24"/>
    <n v="1958"/>
    <s v="UPI"/>
    <n v="16473"/>
    <s v="Jun"/>
    <n v="2024"/>
    <s v="Q2"/>
    <n v="0.11886116675772476"/>
    <n v="5202"/>
    <x v="0"/>
    <x v="0"/>
    <s v="Above Avg"/>
    <s v="Profit"/>
    <n v="116"/>
  </r>
  <r>
    <n v="165"/>
    <x v="164"/>
    <n v="1013"/>
    <s v="Customer_127"/>
    <s v="Consumer"/>
    <s v="West"/>
    <s v="Clothing"/>
    <s v="Product_B"/>
    <n v="4277"/>
    <n v="6"/>
    <n v="0.28999999999999998"/>
    <n v="-94"/>
    <s v="COD"/>
    <n v="18220.02"/>
    <s v="Jun"/>
    <n v="2024"/>
    <s v="Q2"/>
    <n v="-5.1591600887375532E-3"/>
    <n v="7441.98"/>
    <x v="0"/>
    <x v="0"/>
    <s v="Above Avg"/>
    <s v="Loss"/>
    <n v="89"/>
  </r>
  <r>
    <n v="166"/>
    <x v="165"/>
    <n v="1044"/>
    <s v="Customer_168"/>
    <s v="Corporate"/>
    <s v="North"/>
    <s v="Electronics"/>
    <s v="Product_D"/>
    <n v="3206"/>
    <n v="2"/>
    <n v="0.19"/>
    <n v="1742"/>
    <s v="COD"/>
    <n v="5193.72"/>
    <s v="Jun"/>
    <n v="2024"/>
    <s v="Q2"/>
    <n v="0.33540506611831211"/>
    <n v="1218.28"/>
    <x v="0"/>
    <x v="0"/>
    <s v="Below Avg"/>
    <s v="Profit"/>
    <n v="319"/>
  </r>
  <r>
    <n v="167"/>
    <x v="166"/>
    <n v="1001"/>
    <s v="Customer_192"/>
    <s v="Consumer"/>
    <s v="North"/>
    <s v="Furniture"/>
    <s v="Product_C"/>
    <n v="236"/>
    <n v="9"/>
    <n v="0.1"/>
    <n v="-188"/>
    <s v="COD"/>
    <n v="1911.6"/>
    <s v="Jun"/>
    <n v="2024"/>
    <s v="Q2"/>
    <n v="-9.8346934505126604E-2"/>
    <n v="212.4"/>
    <x v="2"/>
    <x v="0"/>
    <s v="Below Avg"/>
    <s v="Loss"/>
    <n v="436"/>
  </r>
  <r>
    <n v="168"/>
    <x v="167"/>
    <n v="1041"/>
    <s v="Customer_162"/>
    <s v="Corporate"/>
    <s v="North"/>
    <s v="Clothing"/>
    <s v="Product_C"/>
    <n v="3837"/>
    <n v="6"/>
    <n v="0.03"/>
    <n v="-151"/>
    <s v="COD"/>
    <n v="22331.34"/>
    <s v="Jun"/>
    <n v="2024"/>
    <s v="Q2"/>
    <n v="-6.7617975455122707E-3"/>
    <n v="690.66"/>
    <x v="0"/>
    <x v="0"/>
    <s v="Above Avg"/>
    <s v="Loss"/>
    <n v="64"/>
  </r>
  <r>
    <n v="169"/>
    <x v="168"/>
    <n v="1078"/>
    <s v="Customer_39"/>
    <s v="Consumer"/>
    <s v="North"/>
    <s v="Furniture"/>
    <s v="Product_C"/>
    <n v="3951"/>
    <n v="5"/>
    <n v="0.21"/>
    <n v="1112"/>
    <s v="COD"/>
    <n v="15606.45"/>
    <s v="Jun"/>
    <n v="2024"/>
    <s v="Q2"/>
    <n v="7.1252591076125568E-2"/>
    <n v="4148.55"/>
    <x v="0"/>
    <x v="0"/>
    <s v="Above Avg"/>
    <s v="Profit"/>
    <n v="134"/>
  </r>
  <r>
    <n v="170"/>
    <x v="169"/>
    <n v="1056"/>
    <s v="Customer_122"/>
    <s v="Corporate"/>
    <s v="West"/>
    <s v="Furniture"/>
    <s v="Product_C"/>
    <n v="430"/>
    <n v="8"/>
    <n v="0.16"/>
    <n v="403"/>
    <s v="Card"/>
    <n v="2889.6"/>
    <s v="Jun"/>
    <n v="2024"/>
    <s v="Q2"/>
    <n v="0.13946566998892582"/>
    <n v="550.4"/>
    <x v="1"/>
    <x v="0"/>
    <s v="Below Avg"/>
    <s v="Profit"/>
    <n v="396"/>
  </r>
  <r>
    <n v="171"/>
    <x v="170"/>
    <n v="1087"/>
    <s v="Customer_1"/>
    <s v="Consumer"/>
    <s v="West"/>
    <s v="Furniture"/>
    <s v="Product_D"/>
    <n v="296"/>
    <n v="8"/>
    <n v="0.12"/>
    <n v="-8"/>
    <s v="Card"/>
    <n v="2083.84"/>
    <s v="Jun"/>
    <n v="2024"/>
    <s v="Q2"/>
    <n v="-3.8390663390663387E-3"/>
    <n v="284.15999999999997"/>
    <x v="1"/>
    <x v="0"/>
    <s v="Below Avg"/>
    <s v="Loss"/>
    <n v="424"/>
  </r>
  <r>
    <n v="172"/>
    <x v="171"/>
    <n v="1063"/>
    <s v="Customer_123"/>
    <s v="Corporate"/>
    <s v="West"/>
    <s v="Furniture"/>
    <s v="Product_B"/>
    <n v="1515"/>
    <n v="1"/>
    <n v="0.28000000000000003"/>
    <n v="1470"/>
    <s v="UPI"/>
    <n v="1090.8"/>
    <s v="Jun"/>
    <n v="2024"/>
    <s v="Q2"/>
    <n v="1.3476347634763477"/>
    <n v="424.20000000000005"/>
    <x v="2"/>
    <x v="0"/>
    <s v="Below Avg"/>
    <s v="Profit"/>
    <n v="477"/>
  </r>
  <r>
    <n v="173"/>
    <x v="172"/>
    <n v="1097"/>
    <s v="Customer_20"/>
    <s v="Consumer"/>
    <s v="South"/>
    <s v="Clothing"/>
    <s v="Product_D"/>
    <n v="3396"/>
    <n v="7"/>
    <n v="0.27"/>
    <n v="1252"/>
    <s v="COD"/>
    <n v="17353.560000000001"/>
    <s v="Jun"/>
    <n v="2024"/>
    <s v="Q2"/>
    <n v="7.2146579721970583E-2"/>
    <n v="6418.4400000000005"/>
    <x v="0"/>
    <x v="0"/>
    <s v="Above Avg"/>
    <s v="Profit"/>
    <n v="99"/>
  </r>
  <r>
    <n v="174"/>
    <x v="173"/>
    <n v="1003"/>
    <s v="Customer_111"/>
    <s v="Consumer"/>
    <s v="East"/>
    <s v="Electronics"/>
    <s v="Product_A"/>
    <n v="3120"/>
    <n v="6"/>
    <n v="0.11"/>
    <n v="-429"/>
    <s v="UPI"/>
    <n v="16660.8"/>
    <s v="Jun"/>
    <n v="2024"/>
    <s v="Q2"/>
    <n v="-2.5749063670411985E-2"/>
    <n v="2059.1999999999998"/>
    <x v="0"/>
    <x v="0"/>
    <s v="Above Avg"/>
    <s v="Loss"/>
    <n v="110"/>
  </r>
  <r>
    <n v="175"/>
    <x v="174"/>
    <n v="1017"/>
    <s v="Customer_153"/>
    <s v="Corporate"/>
    <s v="East"/>
    <s v="Clothing"/>
    <s v="Product_D"/>
    <n v="3469"/>
    <n v="3"/>
    <n v="0.28000000000000003"/>
    <n v="431"/>
    <s v="UPI"/>
    <n v="7493.04"/>
    <s v="Jun"/>
    <n v="2024"/>
    <s v="Q2"/>
    <n v="5.7520045268675997E-2"/>
    <n v="2913.9600000000005"/>
    <x v="0"/>
    <x v="0"/>
    <s v="Below Avg"/>
    <s v="Profit"/>
    <n v="264"/>
  </r>
  <r>
    <n v="176"/>
    <x v="175"/>
    <n v="1088"/>
    <s v="Customer_134"/>
    <s v="Corporate"/>
    <s v="East"/>
    <s v="Clothing"/>
    <s v="Product_B"/>
    <n v="4955"/>
    <n v="1"/>
    <n v="0.13"/>
    <n v="-182"/>
    <s v="Card"/>
    <n v="4310.8500000000004"/>
    <s v="Jun"/>
    <n v="2024"/>
    <s v="Q2"/>
    <n v="-4.2219051927114136E-2"/>
    <n v="644.15"/>
    <x v="1"/>
    <x v="0"/>
    <s v="Below Avg"/>
    <s v="Loss"/>
    <n v="341"/>
  </r>
  <r>
    <n v="177"/>
    <x v="176"/>
    <n v="1087"/>
    <s v="Customer_116"/>
    <s v="Corporate"/>
    <s v="South"/>
    <s v="Clothing"/>
    <s v="Product_A"/>
    <n v="940"/>
    <n v="2"/>
    <n v="0.06"/>
    <n v="1960"/>
    <s v="Card"/>
    <n v="1767.19999999999"/>
    <s v="Jun"/>
    <n v="2024"/>
    <s v="Q2"/>
    <n v="1.109099139882306"/>
    <n v="112.8"/>
    <x v="2"/>
    <x v="0"/>
    <s v="Below Avg"/>
    <s v="Profit"/>
    <n v="442"/>
  </r>
  <r>
    <n v="178"/>
    <x v="177"/>
    <n v="1069"/>
    <s v="Customer_94"/>
    <s v="Consumer"/>
    <s v="West"/>
    <s v="Furniture"/>
    <s v="Product_C"/>
    <n v="3742"/>
    <n v="1"/>
    <n v="0.19"/>
    <n v="1388"/>
    <s v="Card"/>
    <n v="3031.02"/>
    <s v="Jun"/>
    <n v="2024"/>
    <s v="Q2"/>
    <n v="0.45793165337081249"/>
    <n v="710.98"/>
    <x v="1"/>
    <x v="0"/>
    <s v="Below Avg"/>
    <s v="Profit"/>
    <n v="390"/>
  </r>
  <r>
    <n v="179"/>
    <x v="178"/>
    <n v="1097"/>
    <s v="Customer_120"/>
    <s v="Corporate"/>
    <s v="South"/>
    <s v="Clothing"/>
    <s v="Product_C"/>
    <n v="2769"/>
    <n v="3"/>
    <n v="0.03"/>
    <n v="-283"/>
    <s v="Card"/>
    <n v="8057.79"/>
    <s v="Jun"/>
    <n v="2024"/>
    <s v="Q2"/>
    <n v="-3.512129256284912E-2"/>
    <n v="249.20999999999998"/>
    <x v="0"/>
    <x v="0"/>
    <s v="Below Avg"/>
    <s v="Loss"/>
    <n v="251"/>
  </r>
  <r>
    <n v="180"/>
    <x v="179"/>
    <n v="1050"/>
    <s v="Customer_113"/>
    <s v="Consumer"/>
    <s v="North"/>
    <s v="Furniture"/>
    <s v="Product_C"/>
    <n v="1277"/>
    <n v="6"/>
    <n v="0.05"/>
    <n v="-393"/>
    <s v="Card"/>
    <n v="7278.9"/>
    <s v="Jun"/>
    <n v="2024"/>
    <s v="Q2"/>
    <n v="-5.3991674566211928E-2"/>
    <n v="383.1"/>
    <x v="0"/>
    <x v="0"/>
    <s v="Below Avg"/>
    <s v="Loss"/>
    <n v="269"/>
  </r>
  <r>
    <n v="181"/>
    <x v="180"/>
    <n v="1002"/>
    <s v="Customer_3"/>
    <s v="Consumer"/>
    <s v="South"/>
    <s v="Furniture"/>
    <s v="Product_A"/>
    <n v="1043"/>
    <n v="2"/>
    <n v="0.24"/>
    <n v="1350"/>
    <s v="Card"/>
    <n v="1585.36"/>
    <s v="Jun"/>
    <n v="2024"/>
    <s v="Q2"/>
    <n v="0.85154160569208259"/>
    <n v="500.64"/>
    <x v="2"/>
    <x v="0"/>
    <s v="Below Avg"/>
    <s v="Profit"/>
    <n v="454"/>
  </r>
  <r>
    <n v="182"/>
    <x v="181"/>
    <n v="1018"/>
    <s v="Customer_164"/>
    <s v="Consumer"/>
    <s v="South"/>
    <s v="Electronics"/>
    <s v="Product_B"/>
    <n v="3546"/>
    <n v="6"/>
    <n v="0.25"/>
    <n v="1825"/>
    <s v="UPI"/>
    <n v="15957"/>
    <s v="Jun"/>
    <n v="2024"/>
    <s v="Q2"/>
    <n v="0.11436986902299931"/>
    <n v="5319"/>
    <x v="0"/>
    <x v="0"/>
    <s v="Above Avg"/>
    <s v="Profit"/>
    <n v="129"/>
  </r>
  <r>
    <n v="183"/>
    <x v="182"/>
    <n v="1046"/>
    <s v="Customer_70"/>
    <s v="Corporate"/>
    <s v="South"/>
    <s v="Furniture"/>
    <s v="Product_A"/>
    <n v="951"/>
    <n v="8"/>
    <n v="7.0000000000000007E-2"/>
    <n v="1104"/>
    <s v="COD"/>
    <n v="7075.44"/>
    <s v="Jul"/>
    <n v="2024"/>
    <s v="Q3"/>
    <n v="0.15603269902649164"/>
    <n v="532.56000000000006"/>
    <x v="0"/>
    <x v="0"/>
    <s v="Below Avg"/>
    <s v="Profit"/>
    <n v="274"/>
  </r>
  <r>
    <n v="184"/>
    <x v="183"/>
    <n v="1045"/>
    <s v="Customer_166"/>
    <s v="Corporate"/>
    <s v="North"/>
    <s v="Furniture"/>
    <s v="Product_C"/>
    <n v="4700"/>
    <n v="3"/>
    <n v="0.22"/>
    <n v="140"/>
    <s v="COD"/>
    <n v="10998"/>
    <s v="Jul"/>
    <n v="2024"/>
    <s v="Q3"/>
    <n v="1.2729587197672304E-2"/>
    <n v="3102"/>
    <x v="0"/>
    <x v="0"/>
    <s v="Above Avg"/>
    <s v="Profit"/>
    <n v="190"/>
  </r>
  <r>
    <n v="185"/>
    <x v="184"/>
    <n v="1057"/>
    <s v="Customer_65"/>
    <s v="Consumer"/>
    <s v="East"/>
    <s v="Electronics"/>
    <s v="Product_C"/>
    <n v="1851"/>
    <n v="3"/>
    <n v="0.28999999999999998"/>
    <n v="589"/>
    <s v="Card"/>
    <n v="3942.6299999999901"/>
    <s v="Jul"/>
    <n v="2024"/>
    <s v="Q3"/>
    <n v="0.14939266428754447"/>
    <n v="1610.37"/>
    <x v="1"/>
    <x v="0"/>
    <s v="Below Avg"/>
    <s v="Profit"/>
    <n v="356"/>
  </r>
  <r>
    <n v="186"/>
    <x v="185"/>
    <n v="1035"/>
    <s v="Customer_83"/>
    <s v="Corporate"/>
    <s v="East"/>
    <s v="Furniture"/>
    <s v="Product_C"/>
    <n v="1945"/>
    <n v="1"/>
    <n v="0.28999999999999998"/>
    <n v="7"/>
    <s v="Card"/>
    <n v="1380.94999999999"/>
    <s v="Jul"/>
    <n v="2024"/>
    <s v="Q3"/>
    <n v="5.068974256852204E-3"/>
    <n v="564.04999999999995"/>
    <x v="2"/>
    <x v="0"/>
    <s v="Below Avg"/>
    <s v="Profit"/>
    <n v="462"/>
  </r>
  <r>
    <n v="187"/>
    <x v="186"/>
    <n v="1018"/>
    <s v="Customer_38"/>
    <s v="Corporate"/>
    <s v="North"/>
    <s v="Clothing"/>
    <s v="Product_A"/>
    <n v="4924"/>
    <n v="3"/>
    <n v="0.13"/>
    <n v="1357"/>
    <s v="UPI"/>
    <n v="12851.64"/>
    <s v="Jul"/>
    <n v="2024"/>
    <s v="Q3"/>
    <n v="0.1055896368089987"/>
    <n v="1920.3600000000001"/>
    <x v="0"/>
    <x v="0"/>
    <s v="Above Avg"/>
    <s v="Profit"/>
    <n v="160"/>
  </r>
  <r>
    <n v="188"/>
    <x v="187"/>
    <n v="1091"/>
    <s v="Customer_28"/>
    <s v="Corporate"/>
    <s v="East"/>
    <s v="Furniture"/>
    <s v="Product_A"/>
    <n v="1821"/>
    <n v="7"/>
    <n v="0.26"/>
    <n v="-309"/>
    <s v="Card"/>
    <n v="9432.7800000000007"/>
    <s v="Jul"/>
    <n v="2024"/>
    <s v="Q3"/>
    <n v="-3.2758105245749396E-2"/>
    <n v="3314.2200000000003"/>
    <x v="0"/>
    <x v="0"/>
    <s v="Below Avg"/>
    <s v="Loss"/>
    <n v="220"/>
  </r>
  <r>
    <n v="189"/>
    <x v="188"/>
    <n v="1046"/>
    <s v="Customer_175"/>
    <s v="Corporate"/>
    <s v="East"/>
    <s v="Clothing"/>
    <s v="Product_B"/>
    <n v="1873"/>
    <n v="9"/>
    <n v="0.17"/>
    <n v="-234"/>
    <s v="UPI"/>
    <n v="13991.31"/>
    <s v="Jul"/>
    <n v="2024"/>
    <s v="Q3"/>
    <n v="-1.672466695398787E-2"/>
    <n v="2865.69"/>
    <x v="0"/>
    <x v="0"/>
    <s v="Above Avg"/>
    <s v="Loss"/>
    <n v="147"/>
  </r>
  <r>
    <n v="190"/>
    <x v="189"/>
    <n v="1054"/>
    <s v="Customer_47"/>
    <s v="Consumer"/>
    <s v="West"/>
    <s v="Furniture"/>
    <s v="Product_C"/>
    <n v="750"/>
    <n v="8"/>
    <n v="0.17"/>
    <n v="-108"/>
    <s v="Card"/>
    <n v="4980"/>
    <s v="Jul"/>
    <n v="2024"/>
    <s v="Q3"/>
    <n v="-2.1686746987951807E-2"/>
    <n v="1020.0000000000001"/>
    <x v="1"/>
    <x v="0"/>
    <s v="Below Avg"/>
    <s v="Loss"/>
    <n v="324"/>
  </r>
  <r>
    <n v="191"/>
    <x v="190"/>
    <n v="1073"/>
    <s v="Customer_10"/>
    <s v="Consumer"/>
    <s v="East"/>
    <s v="Furniture"/>
    <s v="Product_A"/>
    <n v="1461"/>
    <n v="3"/>
    <n v="7.0000000000000007E-2"/>
    <n v="-371"/>
    <s v="COD"/>
    <n v="4076.1899999999901"/>
    <s v="Jul"/>
    <n v="2024"/>
    <s v="Q3"/>
    <n v="-9.1016365772940144E-2"/>
    <n v="306.81"/>
    <x v="1"/>
    <x v="0"/>
    <s v="Below Avg"/>
    <s v="Loss"/>
    <n v="351"/>
  </r>
  <r>
    <n v="192"/>
    <x v="191"/>
    <n v="1081"/>
    <s v="Customer_88"/>
    <s v="Corporate"/>
    <s v="South"/>
    <s v="Clothing"/>
    <s v="Product_A"/>
    <n v="3609"/>
    <n v="5"/>
    <n v="0.12"/>
    <n v="514"/>
    <s v="COD"/>
    <n v="15879.6"/>
    <s v="Jul"/>
    <n v="2024"/>
    <s v="Q3"/>
    <n v="3.2368573515705684E-2"/>
    <n v="2165.4"/>
    <x v="0"/>
    <x v="0"/>
    <s v="Above Avg"/>
    <s v="Profit"/>
    <n v="131"/>
  </r>
  <r>
    <n v="193"/>
    <x v="192"/>
    <n v="1062"/>
    <s v="Customer_133"/>
    <s v="Corporate"/>
    <s v="South"/>
    <s v="Electronics"/>
    <s v="Product_D"/>
    <n v="1568"/>
    <n v="1"/>
    <n v="0.06"/>
    <n v="1807"/>
    <s v="UPI"/>
    <n v="1473.9199999999901"/>
    <s v="Jul"/>
    <n v="2024"/>
    <s v="Q3"/>
    <n v="1.225982414242301"/>
    <n v="94.08"/>
    <x v="2"/>
    <x v="0"/>
    <s v="Below Avg"/>
    <s v="Profit"/>
    <n v="459"/>
  </r>
  <r>
    <n v="194"/>
    <x v="193"/>
    <n v="1067"/>
    <s v="Customer_141"/>
    <s v="Consumer"/>
    <s v="West"/>
    <s v="Furniture"/>
    <s v="Product_C"/>
    <n v="584"/>
    <n v="1"/>
    <n v="0.22"/>
    <n v="858"/>
    <s v="Card"/>
    <n v="455.52"/>
    <s v="Jul"/>
    <n v="2024"/>
    <s v="Q3"/>
    <n v="1.8835616438356164"/>
    <n v="128.47999999999999"/>
    <x v="2"/>
    <x v="0"/>
    <s v="Below Avg"/>
    <s v="Profit"/>
    <n v="494"/>
  </r>
  <r>
    <n v="195"/>
    <x v="194"/>
    <n v="1011"/>
    <s v="Customer_86"/>
    <s v="Corporate"/>
    <s v="South"/>
    <s v="Furniture"/>
    <s v="Product_C"/>
    <n v="851"/>
    <n v="9"/>
    <n v="0.19"/>
    <n v="1126"/>
    <s v="Card"/>
    <n v="6203.79"/>
    <s v="Jul"/>
    <n v="2024"/>
    <s v="Q3"/>
    <n v="0.18150195283850679"/>
    <n v="1455.21"/>
    <x v="0"/>
    <x v="0"/>
    <s v="Below Avg"/>
    <s v="Profit"/>
    <n v="292"/>
  </r>
  <r>
    <n v="196"/>
    <x v="195"/>
    <n v="1026"/>
    <s v="Customer_34"/>
    <s v="Corporate"/>
    <s v="West"/>
    <s v="Electronics"/>
    <s v="Product_A"/>
    <n v="209"/>
    <n v="7"/>
    <n v="0.24"/>
    <n v="-125"/>
    <s v="UPI"/>
    <n v="1111.8800000000001"/>
    <s v="Jul"/>
    <n v="2024"/>
    <s v="Q3"/>
    <n v="-0.11242220383494621"/>
    <n v="351.12"/>
    <x v="2"/>
    <x v="0"/>
    <s v="Below Avg"/>
    <s v="Loss"/>
    <n v="476"/>
  </r>
  <r>
    <n v="197"/>
    <x v="196"/>
    <n v="1092"/>
    <s v="Customer_153"/>
    <s v="Corporate"/>
    <s v="South"/>
    <s v="Electronics"/>
    <s v="Product_D"/>
    <n v="2452"/>
    <n v="4"/>
    <n v="0.19"/>
    <n v="1641"/>
    <s v="Card"/>
    <n v="7944.48"/>
    <s v="Jul"/>
    <n v="2024"/>
    <s v="Q3"/>
    <n v="0.20655851610174614"/>
    <n v="1863.52"/>
    <x v="0"/>
    <x v="0"/>
    <s v="Below Avg"/>
    <s v="Profit"/>
    <n v="254"/>
  </r>
  <r>
    <n v="198"/>
    <x v="197"/>
    <n v="1075"/>
    <s v="Customer_151"/>
    <s v="Consumer"/>
    <s v="East"/>
    <s v="Electronics"/>
    <s v="Product_C"/>
    <n v="4378"/>
    <n v="4"/>
    <n v="0.08"/>
    <n v="-266"/>
    <s v="COD"/>
    <n v="16111.04"/>
    <s v="Jul"/>
    <n v="2024"/>
    <s v="Q3"/>
    <n v="-1.6510417701153992E-2"/>
    <n v="1400.96"/>
    <x v="0"/>
    <x v="0"/>
    <s v="Above Avg"/>
    <s v="Loss"/>
    <n v="125"/>
  </r>
  <r>
    <n v="199"/>
    <x v="198"/>
    <n v="1010"/>
    <s v="Customer_112"/>
    <s v="Corporate"/>
    <s v="South"/>
    <s v="Furniture"/>
    <s v="Product_C"/>
    <n v="3624"/>
    <n v="3"/>
    <n v="0.28999999999999998"/>
    <n v="-429"/>
    <s v="COD"/>
    <n v="7719.12"/>
    <s v="Jul"/>
    <n v="2024"/>
    <s v="Q3"/>
    <n v="-5.557628330690545E-2"/>
    <n v="3152.8799999999997"/>
    <x v="0"/>
    <x v="0"/>
    <s v="Below Avg"/>
    <s v="Loss"/>
    <n v="259"/>
  </r>
  <r>
    <n v="200"/>
    <x v="199"/>
    <n v="1003"/>
    <s v="Customer_85"/>
    <s v="Corporate"/>
    <s v="South"/>
    <s v="Clothing"/>
    <s v="Product_C"/>
    <n v="1158"/>
    <n v="5"/>
    <n v="0.2"/>
    <n v="1597"/>
    <s v="COD"/>
    <n v="4632"/>
    <s v="Jul"/>
    <n v="2024"/>
    <s v="Q3"/>
    <n v="0.34477547495682209"/>
    <n v="1158"/>
    <x v="1"/>
    <x v="0"/>
    <s v="Below Avg"/>
    <s v="Profit"/>
    <n v="335"/>
  </r>
  <r>
    <n v="201"/>
    <x v="200"/>
    <n v="1045"/>
    <s v="Customer_3"/>
    <s v="Corporate"/>
    <s v="West"/>
    <s v="Furniture"/>
    <s v="Product_A"/>
    <n v="300"/>
    <n v="8"/>
    <n v="0.14000000000000001"/>
    <n v="1580"/>
    <s v="UPI"/>
    <n v="2064"/>
    <s v="Jul"/>
    <n v="2024"/>
    <s v="Q3"/>
    <n v="0.76550387596899228"/>
    <n v="336.00000000000006"/>
    <x v="1"/>
    <x v="0"/>
    <s v="Below Avg"/>
    <s v="Profit"/>
    <n v="425"/>
  </r>
  <r>
    <n v="202"/>
    <x v="201"/>
    <n v="1058"/>
    <s v="Customer_8"/>
    <s v="Consumer"/>
    <s v="West"/>
    <s v="Clothing"/>
    <s v="Product_A"/>
    <n v="4590"/>
    <n v="3"/>
    <n v="0.23"/>
    <n v="458"/>
    <s v="Card"/>
    <n v="10602.9"/>
    <s v="Jul"/>
    <n v="2024"/>
    <s v="Q3"/>
    <n v="4.3195729470239273E-2"/>
    <n v="3167.1000000000004"/>
    <x v="0"/>
    <x v="0"/>
    <s v="Below Avg"/>
    <s v="Profit"/>
    <n v="195"/>
  </r>
  <r>
    <n v="203"/>
    <x v="202"/>
    <n v="1059"/>
    <s v="Customer_174"/>
    <s v="Consumer"/>
    <s v="West"/>
    <s v="Electronics"/>
    <s v="Product_B"/>
    <n v="3815"/>
    <n v="6"/>
    <n v="0.08"/>
    <n v="971"/>
    <s v="Card"/>
    <n v="21058.799999999999"/>
    <s v="Jul"/>
    <n v="2024"/>
    <s v="Q3"/>
    <n v="4.6108990065910689E-2"/>
    <n v="1831.2"/>
    <x v="0"/>
    <x v="0"/>
    <s v="Above Avg"/>
    <s v="Profit"/>
    <n v="76"/>
  </r>
  <r>
    <n v="204"/>
    <x v="203"/>
    <n v="1023"/>
    <s v="Customer_190"/>
    <s v="Consumer"/>
    <s v="North"/>
    <s v="Furniture"/>
    <s v="Product_B"/>
    <n v="1315"/>
    <n v="4"/>
    <n v="0.24"/>
    <n v="-35"/>
    <s v="COD"/>
    <n v="3997.6"/>
    <s v="Jul"/>
    <n v="2024"/>
    <s v="Q3"/>
    <n v="-8.7552531518911344E-3"/>
    <n v="1262.3999999999999"/>
    <x v="1"/>
    <x v="0"/>
    <s v="Below Avg"/>
    <s v="Loss"/>
    <n v="353"/>
  </r>
  <r>
    <n v="205"/>
    <x v="204"/>
    <n v="1025"/>
    <s v="Customer_167"/>
    <s v="Consumer"/>
    <s v="East"/>
    <s v="Furniture"/>
    <s v="Product_C"/>
    <n v="831"/>
    <n v="3"/>
    <n v="0.1"/>
    <n v="1324"/>
    <s v="UPI"/>
    <n v="2243.6999999999998"/>
    <s v="Jul"/>
    <n v="2024"/>
    <s v="Q3"/>
    <n v="0.59009671524713647"/>
    <n v="249.3"/>
    <x v="1"/>
    <x v="0"/>
    <s v="Below Avg"/>
    <s v="Profit"/>
    <n v="417"/>
  </r>
  <r>
    <n v="206"/>
    <x v="205"/>
    <n v="1027"/>
    <s v="Customer_51"/>
    <s v="Consumer"/>
    <s v="North"/>
    <s v="Furniture"/>
    <s v="Product_D"/>
    <n v="473"/>
    <n v="1"/>
    <n v="0.02"/>
    <n v="-233"/>
    <s v="UPI"/>
    <n v="463.539999999999"/>
    <s v="Jul"/>
    <n v="2024"/>
    <s v="Q3"/>
    <n v="-0.50265349268671633"/>
    <n v="9.4600000000000009"/>
    <x v="2"/>
    <x v="0"/>
    <s v="Below Avg"/>
    <s v="Loss"/>
    <n v="493"/>
  </r>
  <r>
    <n v="207"/>
    <x v="206"/>
    <n v="1057"/>
    <s v="Customer_22"/>
    <s v="Consumer"/>
    <s v="South"/>
    <s v="Furniture"/>
    <s v="Product_C"/>
    <n v="3249"/>
    <n v="8"/>
    <n v="0.23"/>
    <n v="1197"/>
    <s v="UPI"/>
    <n v="20013.84"/>
    <s v="Jul"/>
    <n v="2024"/>
    <s v="Q3"/>
    <n v="5.9808612440191387E-2"/>
    <n v="5978.16"/>
    <x v="0"/>
    <x v="0"/>
    <s v="Above Avg"/>
    <s v="Profit"/>
    <n v="80"/>
  </r>
  <r>
    <n v="208"/>
    <x v="207"/>
    <n v="1003"/>
    <s v="Customer_45"/>
    <s v="Corporate"/>
    <s v="South"/>
    <s v="Electronics"/>
    <s v="Product_D"/>
    <n v="3344"/>
    <n v="7"/>
    <n v="0.06"/>
    <n v="581"/>
    <s v="COD"/>
    <n v="22003.52"/>
    <s v="Jul"/>
    <n v="2024"/>
    <s v="Q3"/>
    <n v="2.6404866130510025E-2"/>
    <n v="1404.48"/>
    <x v="0"/>
    <x v="0"/>
    <s v="Above Avg"/>
    <s v="Profit"/>
    <n v="67"/>
  </r>
  <r>
    <n v="209"/>
    <x v="208"/>
    <n v="1099"/>
    <s v="Customer_151"/>
    <s v="Corporate"/>
    <s v="West"/>
    <s v="Electronics"/>
    <s v="Product_A"/>
    <n v="4041"/>
    <n v="7"/>
    <n v="0.19"/>
    <n v="1642"/>
    <s v="UPI"/>
    <n v="22912.47"/>
    <s v="Jul"/>
    <n v="2024"/>
    <s v="Q3"/>
    <n v="7.1664032729775534E-2"/>
    <n v="5374.53"/>
    <x v="0"/>
    <x v="0"/>
    <s v="Above Avg"/>
    <s v="Profit"/>
    <n v="60"/>
  </r>
  <r>
    <n v="210"/>
    <x v="209"/>
    <n v="1078"/>
    <s v="Customer_177"/>
    <s v="Consumer"/>
    <s v="West"/>
    <s v="Electronics"/>
    <s v="Product_B"/>
    <n v="4048"/>
    <n v="8"/>
    <n v="0.08"/>
    <n v="-375"/>
    <s v="COD"/>
    <n v="29793.279999999999"/>
    <s v="Jul"/>
    <n v="2024"/>
    <s v="Q3"/>
    <n v="-1.2586730967520193E-2"/>
    <n v="2590.7200000000003"/>
    <x v="0"/>
    <x v="0"/>
    <s v="Above Avg"/>
    <s v="Loss"/>
    <n v="24"/>
  </r>
  <r>
    <n v="211"/>
    <x v="210"/>
    <n v="1085"/>
    <s v="Customer_80"/>
    <s v="Consumer"/>
    <s v="South"/>
    <s v="Furniture"/>
    <s v="Product_A"/>
    <n v="745"/>
    <n v="9"/>
    <n v="0.21"/>
    <n v="515"/>
    <s v="Card"/>
    <n v="5296.95"/>
    <s v="Jul"/>
    <n v="2024"/>
    <s v="Q3"/>
    <n v="9.7225761995110391E-2"/>
    <n v="1408.05"/>
    <x v="0"/>
    <x v="0"/>
    <s v="Below Avg"/>
    <s v="Profit"/>
    <n v="316"/>
  </r>
  <r>
    <n v="212"/>
    <x v="211"/>
    <n v="1059"/>
    <s v="Customer_124"/>
    <s v="Consumer"/>
    <s v="North"/>
    <s v="Furniture"/>
    <s v="Product_D"/>
    <n v="3695"/>
    <n v="3"/>
    <n v="0.04"/>
    <n v="333"/>
    <s v="Card"/>
    <n v="10641.6"/>
    <s v="Jul"/>
    <n v="2024"/>
    <s v="Q3"/>
    <n v="3.1292286874154258E-2"/>
    <n v="443.40000000000003"/>
    <x v="0"/>
    <x v="0"/>
    <s v="Above Avg"/>
    <s v="Profit"/>
    <n v="194"/>
  </r>
  <r>
    <n v="213"/>
    <x v="212"/>
    <n v="1048"/>
    <s v="Customer_179"/>
    <s v="Corporate"/>
    <s v="West"/>
    <s v="Clothing"/>
    <s v="Product_D"/>
    <n v="4178"/>
    <n v="2"/>
    <n v="0.19"/>
    <n v="1860"/>
    <s v="Card"/>
    <n v="6768.36"/>
    <s v="Jul"/>
    <n v="2024"/>
    <s v="Q3"/>
    <n v="0.27480807758452563"/>
    <n v="1587.64"/>
    <x v="0"/>
    <x v="0"/>
    <s v="Below Avg"/>
    <s v="Profit"/>
    <n v="280"/>
  </r>
  <r>
    <n v="214"/>
    <x v="213"/>
    <n v="1056"/>
    <s v="Customer_28"/>
    <s v="Consumer"/>
    <s v="West"/>
    <s v="Clothing"/>
    <s v="Product_B"/>
    <n v="2035"/>
    <n v="4"/>
    <n v="0.06"/>
    <n v="1215"/>
    <s v="UPI"/>
    <n v="7651.5999999999904"/>
    <s v="Aug"/>
    <n v="2024"/>
    <s v="Q3"/>
    <n v="0.15879031836478666"/>
    <n v="488.4"/>
    <x v="0"/>
    <x v="0"/>
    <s v="Below Avg"/>
    <s v="Profit"/>
    <n v="262"/>
  </r>
  <r>
    <n v="215"/>
    <x v="214"/>
    <n v="1087"/>
    <s v="Customer_99"/>
    <s v="Consumer"/>
    <s v="South"/>
    <s v="Clothing"/>
    <s v="Product_A"/>
    <n v="2833"/>
    <n v="4"/>
    <n v="0.15"/>
    <n v="-499"/>
    <s v="COD"/>
    <n v="9632.1999999999898"/>
    <s v="Aug"/>
    <n v="2024"/>
    <s v="Q3"/>
    <n v="-5.1805402711737766E-2"/>
    <n v="1699.8"/>
    <x v="0"/>
    <x v="0"/>
    <s v="Below Avg"/>
    <s v="Loss"/>
    <n v="211"/>
  </r>
  <r>
    <n v="216"/>
    <x v="215"/>
    <n v="1087"/>
    <s v="Customer_106"/>
    <s v="Consumer"/>
    <s v="East"/>
    <s v="Furniture"/>
    <s v="Product_C"/>
    <n v="2661"/>
    <n v="8"/>
    <n v="0.26"/>
    <n v="-152"/>
    <s v="COD"/>
    <n v="15753.119999999901"/>
    <s v="Aug"/>
    <n v="2024"/>
    <s v="Q3"/>
    <n v="-9.6488822531664176E-3"/>
    <n v="5534.88"/>
    <x v="0"/>
    <x v="0"/>
    <s v="Above Avg"/>
    <s v="Loss"/>
    <n v="133"/>
  </r>
  <r>
    <n v="217"/>
    <x v="216"/>
    <n v="1004"/>
    <s v="Customer_29"/>
    <s v="Consumer"/>
    <s v="West"/>
    <s v="Furniture"/>
    <s v="Product_A"/>
    <n v="2152"/>
    <n v="8"/>
    <n v="0.14000000000000001"/>
    <n v="925"/>
    <s v="COD"/>
    <n v="14805.76"/>
    <s v="Aug"/>
    <n v="2024"/>
    <s v="Q3"/>
    <n v="6.2475685138756808E-2"/>
    <n v="2410.2400000000002"/>
    <x v="0"/>
    <x v="0"/>
    <s v="Above Avg"/>
    <s v="Profit"/>
    <n v="142"/>
  </r>
  <r>
    <n v="218"/>
    <x v="217"/>
    <n v="1069"/>
    <s v="Customer_187"/>
    <s v="Consumer"/>
    <s v="North"/>
    <s v="Clothing"/>
    <s v="Product_D"/>
    <n v="2039"/>
    <n v="7"/>
    <n v="0.23"/>
    <n v="-462"/>
    <s v="UPI"/>
    <n v="10990.21"/>
    <s v="Aug"/>
    <n v="2024"/>
    <s v="Q3"/>
    <n v="-4.2037413297835079E-2"/>
    <n v="3282.79"/>
    <x v="0"/>
    <x v="0"/>
    <s v="Above Avg"/>
    <s v="Loss"/>
    <n v="192"/>
  </r>
  <r>
    <n v="219"/>
    <x v="218"/>
    <n v="1056"/>
    <s v="Customer_102"/>
    <s v="Consumer"/>
    <s v="East"/>
    <s v="Clothing"/>
    <s v="Product_A"/>
    <n v="802"/>
    <n v="5"/>
    <n v="0.04"/>
    <n v="1193"/>
    <s v="COD"/>
    <n v="3849.6"/>
    <s v="Aug"/>
    <n v="2024"/>
    <s v="Q3"/>
    <n v="0.30990232751454699"/>
    <n v="160.4"/>
    <x v="1"/>
    <x v="0"/>
    <s v="Below Avg"/>
    <s v="Profit"/>
    <n v="361"/>
  </r>
  <r>
    <n v="220"/>
    <x v="219"/>
    <n v="1060"/>
    <s v="Customer_198"/>
    <s v="Corporate"/>
    <s v="South"/>
    <s v="Clothing"/>
    <s v="Product_B"/>
    <n v="2899"/>
    <n v="1"/>
    <n v="0.2"/>
    <n v="569"/>
    <s v="COD"/>
    <n v="2319.1999999999998"/>
    <s v="Aug"/>
    <n v="2024"/>
    <s v="Q3"/>
    <n v="0.24534322180062093"/>
    <n v="579.80000000000007"/>
    <x v="1"/>
    <x v="0"/>
    <s v="Below Avg"/>
    <s v="Profit"/>
    <n v="415"/>
  </r>
  <r>
    <n v="221"/>
    <x v="220"/>
    <n v="1009"/>
    <s v="Customer_78"/>
    <s v="Corporate"/>
    <s v="West"/>
    <s v="Electronics"/>
    <s v="Product_A"/>
    <n v="607"/>
    <n v="6"/>
    <n v="0.05"/>
    <n v="1509"/>
    <s v="Card"/>
    <n v="3459.8999999999901"/>
    <s v="Aug"/>
    <n v="2024"/>
    <s v="Q3"/>
    <n v="0.43613977282580546"/>
    <n v="182.10000000000002"/>
    <x v="1"/>
    <x v="0"/>
    <s v="Below Avg"/>
    <s v="Profit"/>
    <n v="378"/>
  </r>
  <r>
    <n v="222"/>
    <x v="221"/>
    <n v="1066"/>
    <s v="Customer_156"/>
    <s v="Corporate"/>
    <s v="East"/>
    <s v="Clothing"/>
    <s v="Product_A"/>
    <n v="1523"/>
    <n v="1"/>
    <n v="0.23"/>
    <n v="1244"/>
    <s v="COD"/>
    <n v="1172.71"/>
    <s v="Aug"/>
    <n v="2024"/>
    <s v="Q3"/>
    <n v="1.0607908178492551"/>
    <n v="350.29"/>
    <x v="2"/>
    <x v="0"/>
    <s v="Below Avg"/>
    <s v="Profit"/>
    <n v="471"/>
  </r>
  <r>
    <n v="223"/>
    <x v="222"/>
    <n v="1033"/>
    <s v="Customer_110"/>
    <s v="Corporate"/>
    <s v="South"/>
    <s v="Furniture"/>
    <s v="Product_D"/>
    <n v="2167"/>
    <n v="2"/>
    <n v="0.21"/>
    <n v="1682"/>
    <s v="Card"/>
    <n v="3423.86"/>
    <s v="Aug"/>
    <n v="2024"/>
    <s v="Q3"/>
    <n v="0.49125840425718337"/>
    <n v="910.14"/>
    <x v="1"/>
    <x v="1"/>
    <s v="Below Avg"/>
    <s v="Profit"/>
    <n v="379"/>
  </r>
  <r>
    <n v="224"/>
    <x v="223"/>
    <n v="1069"/>
    <s v="Customer_175"/>
    <s v="Corporate"/>
    <s v="North"/>
    <s v="Furniture"/>
    <s v="Product_C"/>
    <n v="4265"/>
    <n v="6"/>
    <n v="0.12"/>
    <n v="490"/>
    <s v="COD"/>
    <n v="22519.200000000001"/>
    <s v="Aug"/>
    <n v="2024"/>
    <s v="Q3"/>
    <n v="2.1759209918647198E-2"/>
    <n v="3070.7999999999997"/>
    <x v="0"/>
    <x v="0"/>
    <s v="Above Avg"/>
    <s v="Profit"/>
    <n v="63"/>
  </r>
  <r>
    <n v="225"/>
    <x v="224"/>
    <n v="1009"/>
    <s v="Customer_4"/>
    <s v="Consumer"/>
    <s v="West"/>
    <s v="Clothing"/>
    <s v="Product_C"/>
    <n v="851"/>
    <n v="1"/>
    <n v="0.14000000000000001"/>
    <n v="1419"/>
    <s v="UPI"/>
    <n v="731.86"/>
    <s v="Aug"/>
    <n v="2024"/>
    <s v="Q3"/>
    <n v="1.9388954171562867"/>
    <n v="119.14000000000001"/>
    <x v="2"/>
    <x v="0"/>
    <s v="Below Avg"/>
    <s v="Profit"/>
    <n v="484"/>
  </r>
  <r>
    <n v="226"/>
    <x v="225"/>
    <n v="1079"/>
    <s v="Customer_130"/>
    <s v="Corporate"/>
    <s v="South"/>
    <s v="Furniture"/>
    <s v="Product_B"/>
    <n v="2116"/>
    <n v="6"/>
    <n v="0.05"/>
    <n v="1516"/>
    <s v="UPI"/>
    <n v="12061.199999999901"/>
    <s v="Aug"/>
    <n v="2024"/>
    <s v="Q3"/>
    <n v="0.12569230259012473"/>
    <n v="634.80000000000007"/>
    <x v="0"/>
    <x v="0"/>
    <s v="Above Avg"/>
    <s v="Profit"/>
    <n v="167"/>
  </r>
  <r>
    <n v="227"/>
    <x v="226"/>
    <n v="1028"/>
    <s v="Customer_110"/>
    <s v="Consumer"/>
    <s v="West"/>
    <s v="Furniture"/>
    <s v="Product_B"/>
    <n v="648"/>
    <n v="9"/>
    <n v="0.19"/>
    <n v="730"/>
    <s v="Card"/>
    <n v="4723.92"/>
    <s v="Aug"/>
    <n v="2024"/>
    <s v="Q3"/>
    <n v="0.15453267625192638"/>
    <n v="1108.08"/>
    <x v="1"/>
    <x v="0"/>
    <s v="Below Avg"/>
    <s v="Profit"/>
    <n v="331"/>
  </r>
  <r>
    <n v="228"/>
    <x v="227"/>
    <n v="1066"/>
    <s v="Customer_64"/>
    <s v="Consumer"/>
    <s v="West"/>
    <s v="Furniture"/>
    <s v="Product_A"/>
    <n v="2655"/>
    <n v="6"/>
    <n v="0.27"/>
    <n v="1403"/>
    <s v="COD"/>
    <n v="11628.9"/>
    <s v="Aug"/>
    <n v="2024"/>
    <s v="Q3"/>
    <n v="0.12064769668670296"/>
    <n v="4301.1000000000004"/>
    <x v="0"/>
    <x v="0"/>
    <s v="Above Avg"/>
    <s v="Profit"/>
    <n v="179"/>
  </r>
  <r>
    <n v="229"/>
    <x v="228"/>
    <n v="1010"/>
    <s v="Customer_29"/>
    <s v="Consumer"/>
    <s v="North"/>
    <s v="Clothing"/>
    <s v="Product_C"/>
    <n v="738"/>
    <n v="1"/>
    <n v="0.17"/>
    <n v="1581"/>
    <s v="UPI"/>
    <n v="612.54"/>
    <s v="Aug"/>
    <n v="2024"/>
    <s v="Q3"/>
    <n v="2.5810559310412384"/>
    <n v="125.46000000000001"/>
    <x v="2"/>
    <x v="0"/>
    <s v="Below Avg"/>
    <s v="Profit"/>
    <n v="486"/>
  </r>
  <r>
    <n v="230"/>
    <x v="229"/>
    <n v="1003"/>
    <s v="Customer_89"/>
    <s v="Consumer"/>
    <s v="East"/>
    <s v="Furniture"/>
    <s v="Product_B"/>
    <n v="1820"/>
    <n v="9"/>
    <n v="0.09"/>
    <n v="631"/>
    <s v="UPI"/>
    <n v="14905.8"/>
    <s v="Aug"/>
    <n v="2024"/>
    <s v="Q3"/>
    <n v="4.2332514859987389E-2"/>
    <n v="1474.2"/>
    <x v="0"/>
    <x v="0"/>
    <s v="Above Avg"/>
    <s v="Profit"/>
    <n v="141"/>
  </r>
  <r>
    <n v="231"/>
    <x v="230"/>
    <n v="1048"/>
    <s v="Customer_95"/>
    <s v="Consumer"/>
    <s v="North"/>
    <s v="Electronics"/>
    <s v="Product_C"/>
    <n v="3916"/>
    <n v="7"/>
    <n v="0.12"/>
    <n v="1533"/>
    <s v="UPI"/>
    <n v="24122.560000000001"/>
    <s v="Aug"/>
    <n v="2024"/>
    <s v="Q3"/>
    <n v="6.3550468938620111E-2"/>
    <n v="3289.44"/>
    <x v="0"/>
    <x v="0"/>
    <s v="Above Avg"/>
    <s v="Profit"/>
    <n v="51"/>
  </r>
  <r>
    <n v="232"/>
    <x v="231"/>
    <n v="1003"/>
    <s v="Customer_175"/>
    <s v="Consumer"/>
    <s v="West"/>
    <s v="Clothing"/>
    <s v="Product_D"/>
    <n v="3888"/>
    <n v="5"/>
    <n v="7.0000000000000007E-2"/>
    <n v="1032"/>
    <s v="Card"/>
    <n v="18079.199999999899"/>
    <s v="Aug"/>
    <n v="2024"/>
    <s v="Q3"/>
    <n v="5.7082171777512597E-2"/>
    <n v="1360.8000000000002"/>
    <x v="0"/>
    <x v="0"/>
    <s v="Above Avg"/>
    <s v="Profit"/>
    <n v="91"/>
  </r>
  <r>
    <n v="233"/>
    <x v="232"/>
    <n v="1023"/>
    <s v="Customer_15"/>
    <s v="Consumer"/>
    <s v="North"/>
    <s v="Clothing"/>
    <s v="Product_B"/>
    <n v="1813"/>
    <n v="7"/>
    <n v="0.13"/>
    <n v="937"/>
    <s v="COD"/>
    <n v="11041.17"/>
    <s v="Aug"/>
    <n v="2024"/>
    <s v="Q3"/>
    <n v="8.4864194646038421E-2"/>
    <n v="1649.8300000000002"/>
    <x v="0"/>
    <x v="0"/>
    <s v="Above Avg"/>
    <s v="Profit"/>
    <n v="189"/>
  </r>
  <r>
    <n v="234"/>
    <x v="233"/>
    <n v="1091"/>
    <s v="Customer_166"/>
    <s v="Corporate"/>
    <s v="West"/>
    <s v="Furniture"/>
    <s v="Product_C"/>
    <n v="4283"/>
    <n v="6"/>
    <n v="0.15"/>
    <n v="436"/>
    <s v="COD"/>
    <n v="21843.3"/>
    <s v="Aug"/>
    <n v="2024"/>
    <s v="Q3"/>
    <n v="1.9960353975818673E-2"/>
    <n v="3854.7"/>
    <x v="0"/>
    <x v="0"/>
    <s v="Above Avg"/>
    <s v="Profit"/>
    <n v="68"/>
  </r>
  <r>
    <n v="235"/>
    <x v="234"/>
    <n v="1055"/>
    <s v="Customer_97"/>
    <s v="Corporate"/>
    <s v="North"/>
    <s v="Clothing"/>
    <s v="Product_C"/>
    <n v="4730"/>
    <n v="8"/>
    <n v="0.28000000000000003"/>
    <n v="1356"/>
    <s v="Card"/>
    <n v="27244.799999999999"/>
    <s v="Aug"/>
    <n v="2024"/>
    <s v="Q3"/>
    <n v="4.9770965468639891E-2"/>
    <n v="10595.2"/>
    <x v="0"/>
    <x v="0"/>
    <s v="Above Avg"/>
    <s v="Profit"/>
    <n v="34"/>
  </r>
  <r>
    <n v="236"/>
    <x v="235"/>
    <n v="1034"/>
    <s v="Customer_177"/>
    <s v="Consumer"/>
    <s v="West"/>
    <s v="Furniture"/>
    <s v="Product_C"/>
    <n v="4044"/>
    <n v="8"/>
    <n v="0.13"/>
    <n v="-288"/>
    <s v="UPI"/>
    <n v="28146.240000000002"/>
    <s v="Aug"/>
    <n v="2024"/>
    <s v="Q3"/>
    <n v="-1.0232272587741736E-2"/>
    <n v="4205.76"/>
    <x v="0"/>
    <x v="0"/>
    <s v="Above Avg"/>
    <s v="Loss"/>
    <n v="29"/>
  </r>
  <r>
    <n v="237"/>
    <x v="236"/>
    <n v="1037"/>
    <s v="Customer_40"/>
    <s v="Corporate"/>
    <s v="North"/>
    <s v="Electronics"/>
    <s v="Product_D"/>
    <n v="1901"/>
    <n v="8"/>
    <n v="0.26"/>
    <n v="1933"/>
    <s v="UPI"/>
    <n v="11253.92"/>
    <s v="Aug"/>
    <n v="2024"/>
    <s v="Q3"/>
    <n v="0.17176237257773291"/>
    <n v="3954.08"/>
    <x v="0"/>
    <x v="0"/>
    <s v="Above Avg"/>
    <s v="Profit"/>
    <n v="186"/>
  </r>
  <r>
    <n v="238"/>
    <x v="237"/>
    <n v="1049"/>
    <s v="Customer_144"/>
    <s v="Consumer"/>
    <s v="South"/>
    <s v="Electronics"/>
    <s v="Product_A"/>
    <n v="4270"/>
    <n v="6"/>
    <n v="0.05"/>
    <n v="1845"/>
    <s v="Card"/>
    <n v="24339"/>
    <s v="Aug"/>
    <n v="2024"/>
    <s v="Q3"/>
    <n v="7.5804264760261308E-2"/>
    <n v="1281"/>
    <x v="0"/>
    <x v="0"/>
    <s v="Above Avg"/>
    <s v="Profit"/>
    <n v="48"/>
  </r>
  <r>
    <n v="239"/>
    <x v="238"/>
    <n v="1087"/>
    <s v="Customer_102"/>
    <s v="Corporate"/>
    <s v="North"/>
    <s v="Furniture"/>
    <s v="Product_B"/>
    <n v="3460"/>
    <n v="2"/>
    <n v="0.16"/>
    <n v="898"/>
    <s v="UPI"/>
    <n v="5812.8"/>
    <s v="Aug"/>
    <n v="2024"/>
    <s v="Q3"/>
    <n v="0.15448665015139004"/>
    <n v="1107.2"/>
    <x v="0"/>
    <x v="0"/>
    <s v="Below Avg"/>
    <s v="Profit"/>
    <n v="300"/>
  </r>
  <r>
    <n v="240"/>
    <x v="239"/>
    <n v="1085"/>
    <s v="Customer_108"/>
    <s v="Consumer"/>
    <s v="East"/>
    <s v="Furniture"/>
    <s v="Product_C"/>
    <n v="4062"/>
    <n v="1"/>
    <n v="0.18"/>
    <n v="630"/>
    <s v="Card"/>
    <n v="3330.84"/>
    <s v="Aug"/>
    <n v="2024"/>
    <s v="Q3"/>
    <n v="0.18914147782541341"/>
    <n v="731.16"/>
    <x v="1"/>
    <x v="0"/>
    <s v="Below Avg"/>
    <s v="Profit"/>
    <n v="385"/>
  </r>
  <r>
    <n v="241"/>
    <x v="240"/>
    <n v="1025"/>
    <s v="Customer_34"/>
    <s v="Corporate"/>
    <s v="South"/>
    <s v="Furniture"/>
    <s v="Product_C"/>
    <n v="3312"/>
    <n v="6"/>
    <n v="0.18"/>
    <n v="1603"/>
    <s v="UPI"/>
    <n v="16295.04"/>
    <s v="Aug"/>
    <n v="2024"/>
    <s v="Q3"/>
    <n v="9.8373492792898934E-2"/>
    <n v="3576.96"/>
    <x v="0"/>
    <x v="0"/>
    <s v="Above Avg"/>
    <s v="Profit"/>
    <n v="119"/>
  </r>
  <r>
    <n v="242"/>
    <x v="241"/>
    <n v="1017"/>
    <s v="Customer_127"/>
    <s v="Corporate"/>
    <s v="South"/>
    <s v="Electronics"/>
    <s v="Product_B"/>
    <n v="2687"/>
    <n v="2"/>
    <n v="0.15"/>
    <n v="564"/>
    <s v="UPI"/>
    <n v="4567.8999999999996"/>
    <s v="Aug"/>
    <n v="2024"/>
    <s v="Q3"/>
    <n v="0.12347030364062261"/>
    <n v="806.1"/>
    <x v="1"/>
    <x v="0"/>
    <s v="Below Avg"/>
    <s v="Profit"/>
    <n v="336"/>
  </r>
  <r>
    <n v="243"/>
    <x v="242"/>
    <n v="1058"/>
    <s v="Customer_134"/>
    <s v="Corporate"/>
    <s v="North"/>
    <s v="Furniture"/>
    <s v="Product_B"/>
    <n v="4904"/>
    <n v="7"/>
    <n v="0.23"/>
    <n v="984"/>
    <s v="Card"/>
    <n v="26432.560000000001"/>
    <s v="Aug"/>
    <n v="2024"/>
    <s v="Q3"/>
    <n v="3.7226814201878289E-2"/>
    <n v="7895.4400000000005"/>
    <x v="0"/>
    <x v="0"/>
    <s v="Above Avg"/>
    <s v="Profit"/>
    <n v="38"/>
  </r>
  <r>
    <n v="244"/>
    <x v="243"/>
    <n v="1066"/>
    <s v="Customer_103"/>
    <s v="Consumer"/>
    <s v="North"/>
    <s v="Electronics"/>
    <s v="Product_D"/>
    <n v="1799"/>
    <n v="2"/>
    <n v="0.05"/>
    <n v="241"/>
    <s v="Card"/>
    <n v="3418.1"/>
    <s v="Aug"/>
    <n v="2024"/>
    <s v="Q3"/>
    <n v="7.0507006816652534E-2"/>
    <n v="179.9"/>
    <x v="1"/>
    <x v="0"/>
    <s v="Below Avg"/>
    <s v="Profit"/>
    <n v="380"/>
  </r>
  <r>
    <n v="245"/>
    <x v="244"/>
    <n v="1045"/>
    <s v="Customer_87"/>
    <s v="Consumer"/>
    <s v="West"/>
    <s v="Clothing"/>
    <s v="Product_A"/>
    <n v="247"/>
    <n v="7"/>
    <n v="0.02"/>
    <n v="452"/>
    <s v="UPI"/>
    <n v="1694.42"/>
    <s v="Sep"/>
    <n v="2024"/>
    <s v="Q3"/>
    <n v="0.26675794667201758"/>
    <n v="34.58"/>
    <x v="2"/>
    <x v="0"/>
    <s v="Below Avg"/>
    <s v="Profit"/>
    <n v="447"/>
  </r>
  <r>
    <n v="246"/>
    <x v="245"/>
    <n v="1010"/>
    <s v="Customer_181"/>
    <s v="Corporate"/>
    <s v="East"/>
    <s v="Furniture"/>
    <s v="Product_C"/>
    <n v="3111"/>
    <n v="1"/>
    <n v="0.04"/>
    <n v="120"/>
    <s v="Card"/>
    <n v="2986.56"/>
    <s v="Sep"/>
    <n v="2024"/>
    <s v="Q3"/>
    <n v="4.0180006428801027E-2"/>
    <n v="124.44"/>
    <x v="1"/>
    <x v="0"/>
    <s v="Below Avg"/>
    <s v="Profit"/>
    <n v="394"/>
  </r>
  <r>
    <n v="247"/>
    <x v="246"/>
    <n v="1008"/>
    <s v="Customer_114"/>
    <s v="Corporate"/>
    <s v="North"/>
    <s v="Electronics"/>
    <s v="Product_B"/>
    <n v="1629"/>
    <n v="6"/>
    <n v="0.17"/>
    <n v="1561"/>
    <s v="UPI"/>
    <n v="8112.4199999999901"/>
    <s v="Sep"/>
    <n v="2024"/>
    <s v="Q3"/>
    <n v="0.19242100384348959"/>
    <n v="1661.5800000000002"/>
    <x v="0"/>
    <x v="0"/>
    <s v="Below Avg"/>
    <s v="Profit"/>
    <n v="247"/>
  </r>
  <r>
    <n v="248"/>
    <x v="247"/>
    <n v="1096"/>
    <s v="Customer_149"/>
    <s v="Corporate"/>
    <s v="East"/>
    <s v="Electronics"/>
    <s v="Product_A"/>
    <n v="4607"/>
    <n v="8"/>
    <n v="7.0000000000000007E-2"/>
    <n v="746"/>
    <s v="UPI"/>
    <n v="34276.0799999999"/>
    <s v="Sep"/>
    <n v="2024"/>
    <s v="Q3"/>
    <n v="2.1764449143542731E-2"/>
    <n v="2579.92"/>
    <x v="0"/>
    <x v="0"/>
    <s v="Above Avg"/>
    <s v="Profit"/>
    <n v="13"/>
  </r>
  <r>
    <n v="249"/>
    <x v="248"/>
    <n v="1025"/>
    <s v="Customer_99"/>
    <s v="Corporate"/>
    <s v="West"/>
    <s v="Clothing"/>
    <s v="Product_A"/>
    <n v="217"/>
    <n v="4"/>
    <n v="0.22"/>
    <n v="-1"/>
    <s v="COD"/>
    <n v="677.04"/>
    <s v="Sep"/>
    <n v="2024"/>
    <s v="Q3"/>
    <n v="-1.4770176060498641E-3"/>
    <n v="190.96"/>
    <x v="2"/>
    <x v="0"/>
    <s v="Below Avg"/>
    <s v="Loss"/>
    <n v="485"/>
  </r>
  <r>
    <n v="250"/>
    <x v="249"/>
    <n v="1099"/>
    <s v="Customer_157"/>
    <s v="Corporate"/>
    <s v="East"/>
    <s v="Electronics"/>
    <s v="Product_A"/>
    <n v="4979"/>
    <n v="2"/>
    <n v="0.02"/>
    <n v="1538"/>
    <s v="COD"/>
    <n v="9758.84"/>
    <s v="Sep"/>
    <n v="2024"/>
    <s v="Q3"/>
    <n v="0.15760069844366748"/>
    <n v="199.16"/>
    <x v="0"/>
    <x v="0"/>
    <s v="Below Avg"/>
    <s v="Profit"/>
    <n v="208"/>
  </r>
  <r>
    <n v="251"/>
    <x v="250"/>
    <n v="1067"/>
    <s v="Customer_2"/>
    <s v="Consumer"/>
    <s v="South"/>
    <s v="Furniture"/>
    <s v="Product_A"/>
    <n v="586"/>
    <n v="9"/>
    <n v="0.27"/>
    <n v="781"/>
    <s v="COD"/>
    <n v="3850.02"/>
    <s v="Sep"/>
    <n v="2024"/>
    <s v="Q3"/>
    <n v="0.20285608905927763"/>
    <n v="1423.98"/>
    <x v="1"/>
    <x v="0"/>
    <s v="Below Avg"/>
    <s v="Profit"/>
    <n v="360"/>
  </r>
  <r>
    <n v="252"/>
    <x v="251"/>
    <n v="1065"/>
    <s v="Customer_97"/>
    <s v="Consumer"/>
    <s v="West"/>
    <s v="Furniture"/>
    <s v="Product_C"/>
    <n v="1335"/>
    <n v="6"/>
    <n v="0.28999999999999998"/>
    <n v="598"/>
    <s v="Card"/>
    <n v="5687.0999999999904"/>
    <s v="Sep"/>
    <n v="2024"/>
    <s v="Q3"/>
    <n v="0.10515025232543845"/>
    <n v="2322.8999999999996"/>
    <x v="0"/>
    <x v="0"/>
    <s v="Below Avg"/>
    <s v="Profit"/>
    <n v="304"/>
  </r>
  <r>
    <n v="253"/>
    <x v="252"/>
    <n v="1007"/>
    <s v="Customer_26"/>
    <s v="Consumer"/>
    <s v="South"/>
    <s v="Electronics"/>
    <s v="Product_A"/>
    <n v="2947"/>
    <n v="2"/>
    <n v="0.24"/>
    <n v="48"/>
    <s v="COD"/>
    <n v="4479.4399999999996"/>
    <s v="Sep"/>
    <n v="2024"/>
    <s v="Q3"/>
    <n v="1.0715625167431644E-2"/>
    <n v="1414.56"/>
    <x v="1"/>
    <x v="0"/>
    <s v="Below Avg"/>
    <s v="Profit"/>
    <n v="339"/>
  </r>
  <r>
    <n v="254"/>
    <x v="253"/>
    <n v="1070"/>
    <s v="Customer_44"/>
    <s v="Corporate"/>
    <s v="East"/>
    <s v="Electronics"/>
    <s v="Product_C"/>
    <n v="1121"/>
    <n v="5"/>
    <n v="0.26"/>
    <n v="1771"/>
    <s v="COD"/>
    <n v="4147.7"/>
    <s v="Sep"/>
    <n v="2024"/>
    <s v="Q3"/>
    <n v="0.42698362948139934"/>
    <n v="1457.3"/>
    <x v="1"/>
    <x v="0"/>
    <s v="Below Avg"/>
    <s v="Profit"/>
    <n v="347"/>
  </r>
  <r>
    <n v="255"/>
    <x v="254"/>
    <n v="1099"/>
    <s v="Customer_18"/>
    <s v="Consumer"/>
    <s v="South"/>
    <s v="Electronics"/>
    <s v="Product_B"/>
    <n v="2319"/>
    <n v="7"/>
    <n v="0.11"/>
    <n v="-105"/>
    <s v="UPI"/>
    <n v="14447.37"/>
    <s v="Sep"/>
    <n v="2024"/>
    <s v="Q3"/>
    <n v="-7.2677587685509538E-3"/>
    <n v="1785.63"/>
    <x v="0"/>
    <x v="0"/>
    <s v="Above Avg"/>
    <s v="Loss"/>
    <n v="143"/>
  </r>
  <r>
    <n v="256"/>
    <x v="255"/>
    <n v="1097"/>
    <s v="Customer_98"/>
    <s v="Corporate"/>
    <s v="South"/>
    <s v="Clothing"/>
    <s v="Product_C"/>
    <n v="3265"/>
    <n v="3"/>
    <n v="0.05"/>
    <n v="1937"/>
    <s v="Card"/>
    <n v="9305.25"/>
    <s v="Sep"/>
    <n v="2024"/>
    <s v="Q3"/>
    <n v="0.20816205905268531"/>
    <n v="489.75"/>
    <x v="0"/>
    <x v="0"/>
    <s v="Below Avg"/>
    <s v="Profit"/>
    <n v="225"/>
  </r>
  <r>
    <n v="257"/>
    <x v="256"/>
    <n v="1039"/>
    <s v="Customer_30"/>
    <s v="Corporate"/>
    <s v="West"/>
    <s v="Furniture"/>
    <s v="Product_A"/>
    <n v="3199"/>
    <n v="1"/>
    <n v="0.06"/>
    <n v="1657"/>
    <s v="Card"/>
    <n v="3007.06"/>
    <s v="Sep"/>
    <n v="2024"/>
    <s v="Q3"/>
    <n v="0.55103656062732376"/>
    <n v="191.94"/>
    <x v="1"/>
    <x v="0"/>
    <s v="Below Avg"/>
    <s v="Profit"/>
    <n v="392"/>
  </r>
  <r>
    <n v="258"/>
    <x v="257"/>
    <n v="1082"/>
    <s v="Customer_108"/>
    <s v="Corporate"/>
    <s v="South"/>
    <s v="Electronics"/>
    <s v="Product_B"/>
    <n v="316"/>
    <n v="5"/>
    <n v="0.15"/>
    <n v="897"/>
    <s v="UPI"/>
    <n v="1343"/>
    <s v="Sep"/>
    <n v="2024"/>
    <s v="Q3"/>
    <n v="0.66790766939687263"/>
    <n v="237"/>
    <x v="2"/>
    <x v="0"/>
    <s v="Below Avg"/>
    <s v="Profit"/>
    <n v="465"/>
  </r>
  <r>
    <n v="259"/>
    <x v="258"/>
    <n v="1092"/>
    <s v="Customer_23"/>
    <s v="Consumer"/>
    <s v="South"/>
    <s v="Furniture"/>
    <s v="Product_C"/>
    <n v="4046"/>
    <n v="5"/>
    <n v="0.2"/>
    <n v="-246"/>
    <s v="COD"/>
    <n v="16184"/>
    <s v="Sep"/>
    <n v="2024"/>
    <s v="Q3"/>
    <n v="-1.5200197726149283E-2"/>
    <n v="4046"/>
    <x v="0"/>
    <x v="0"/>
    <s v="Above Avg"/>
    <s v="Loss"/>
    <n v="122"/>
  </r>
  <r>
    <n v="260"/>
    <x v="259"/>
    <n v="1038"/>
    <s v="Customer_48"/>
    <s v="Corporate"/>
    <s v="West"/>
    <s v="Clothing"/>
    <s v="Product_C"/>
    <n v="2805"/>
    <n v="7"/>
    <n v="0.17"/>
    <n v="1777"/>
    <s v="Card"/>
    <n v="16297.05"/>
    <s v="Sep"/>
    <n v="2024"/>
    <s v="Q3"/>
    <n v="0.10903813880426212"/>
    <n v="3337.9500000000003"/>
    <x v="0"/>
    <x v="0"/>
    <s v="Above Avg"/>
    <s v="Profit"/>
    <n v="118"/>
  </r>
  <r>
    <n v="261"/>
    <x v="260"/>
    <n v="1005"/>
    <s v="Customer_183"/>
    <s v="Corporate"/>
    <s v="South"/>
    <s v="Clothing"/>
    <s v="Product_B"/>
    <n v="1983"/>
    <n v="6"/>
    <n v="0.03"/>
    <n v="722"/>
    <s v="UPI"/>
    <n v="11541.06"/>
    <s v="Sep"/>
    <n v="2024"/>
    <s v="Q3"/>
    <n v="6.2559244991361285E-2"/>
    <n v="356.94"/>
    <x v="0"/>
    <x v="0"/>
    <s v="Above Avg"/>
    <s v="Profit"/>
    <n v="180"/>
  </r>
  <r>
    <n v="262"/>
    <x v="261"/>
    <n v="1009"/>
    <s v="Customer_127"/>
    <s v="Corporate"/>
    <s v="East"/>
    <s v="Furniture"/>
    <s v="Product_C"/>
    <n v="1606"/>
    <n v="1"/>
    <n v="0.22"/>
    <n v="1195"/>
    <s v="COD"/>
    <n v="1252.68"/>
    <s v="Sep"/>
    <n v="2024"/>
    <s v="Q3"/>
    <n v="0.95395472107800872"/>
    <n v="353.32"/>
    <x v="2"/>
    <x v="0"/>
    <s v="Below Avg"/>
    <s v="Profit"/>
    <n v="468"/>
  </r>
  <r>
    <n v="263"/>
    <x v="262"/>
    <n v="1040"/>
    <s v="Customer_23"/>
    <s v="Corporate"/>
    <s v="South"/>
    <s v="Clothing"/>
    <s v="Product_D"/>
    <n v="4264"/>
    <n v="1"/>
    <n v="0.24"/>
    <n v="-20"/>
    <s v="UPI"/>
    <n v="3240.64"/>
    <s v="Sep"/>
    <n v="2024"/>
    <s v="Q3"/>
    <n v="-6.1716204206576485E-3"/>
    <n v="1023.36"/>
    <x v="1"/>
    <x v="0"/>
    <s v="Below Avg"/>
    <s v="Loss"/>
    <n v="386"/>
  </r>
  <r>
    <n v="264"/>
    <x v="263"/>
    <n v="1068"/>
    <s v="Customer_40"/>
    <s v="Corporate"/>
    <s v="East"/>
    <s v="Furniture"/>
    <s v="Product_A"/>
    <n v="2397"/>
    <n v="7"/>
    <n v="0.01"/>
    <n v="-217"/>
    <s v="COD"/>
    <n v="16611.21"/>
    <s v="Sep"/>
    <n v="2024"/>
    <s v="Q3"/>
    <n v="-1.3063467381364754E-2"/>
    <n v="167.79"/>
    <x v="0"/>
    <x v="0"/>
    <s v="Above Avg"/>
    <s v="Loss"/>
    <n v="113"/>
  </r>
  <r>
    <n v="265"/>
    <x v="264"/>
    <n v="1087"/>
    <s v="Customer_64"/>
    <s v="Corporate"/>
    <s v="West"/>
    <s v="Furniture"/>
    <s v="Product_B"/>
    <n v="1811"/>
    <n v="2"/>
    <n v="0.14000000000000001"/>
    <n v="1730"/>
    <s v="UPI"/>
    <n v="3114.92"/>
    <s v="Sep"/>
    <n v="2024"/>
    <s v="Q3"/>
    <n v="0.55539147072798012"/>
    <n v="507.08000000000004"/>
    <x v="1"/>
    <x v="0"/>
    <s v="Below Avg"/>
    <s v="Profit"/>
    <n v="389"/>
  </r>
  <r>
    <n v="266"/>
    <x v="265"/>
    <n v="1021"/>
    <s v="Customer_72"/>
    <s v="Corporate"/>
    <s v="West"/>
    <s v="Electronics"/>
    <s v="Product_A"/>
    <n v="1107"/>
    <n v="9"/>
    <n v="0.13"/>
    <n v="655"/>
    <s v="Card"/>
    <n v="8667.81"/>
    <s v="Sep"/>
    <n v="2024"/>
    <s v="Q3"/>
    <n v="7.5566954051830865E-2"/>
    <n v="1295.19"/>
    <x v="0"/>
    <x v="0"/>
    <s v="Below Avg"/>
    <s v="Profit"/>
    <n v="235"/>
  </r>
  <r>
    <n v="267"/>
    <x v="266"/>
    <n v="1089"/>
    <s v="Customer_142"/>
    <s v="Consumer"/>
    <s v="South"/>
    <s v="Electronics"/>
    <s v="Product_D"/>
    <n v="2696"/>
    <n v="9"/>
    <n v="0.02"/>
    <n v="445"/>
    <s v="Card"/>
    <n v="23778.720000000001"/>
    <s v="Sep"/>
    <n v="2024"/>
    <s v="Q3"/>
    <n v="1.8714211698527085E-2"/>
    <n v="485.28000000000003"/>
    <x v="0"/>
    <x v="0"/>
    <s v="Above Avg"/>
    <s v="Profit"/>
    <n v="53"/>
  </r>
  <r>
    <n v="268"/>
    <x v="267"/>
    <n v="1050"/>
    <s v="Customer_124"/>
    <s v="Corporate"/>
    <s v="West"/>
    <s v="Furniture"/>
    <s v="Product_B"/>
    <n v="3486"/>
    <n v="4"/>
    <n v="0.05"/>
    <n v="1943"/>
    <s v="COD"/>
    <n v="13246.8"/>
    <s v="Sep"/>
    <n v="2024"/>
    <s v="Q3"/>
    <n v="0.14667693329709819"/>
    <n v="697.2"/>
    <x v="0"/>
    <x v="0"/>
    <s v="Above Avg"/>
    <s v="Profit"/>
    <n v="158"/>
  </r>
  <r>
    <n v="269"/>
    <x v="268"/>
    <n v="1036"/>
    <s v="Customer_110"/>
    <s v="Corporate"/>
    <s v="West"/>
    <s v="Electronics"/>
    <s v="Product_A"/>
    <n v="1882"/>
    <n v="3"/>
    <n v="0.24"/>
    <n v="1096"/>
    <s v="COD"/>
    <n v="4290.96"/>
    <s v="Sep"/>
    <n v="2024"/>
    <s v="Q3"/>
    <n v="0.25542069839849357"/>
    <n v="1355.04"/>
    <x v="1"/>
    <x v="0"/>
    <s v="Below Avg"/>
    <s v="Profit"/>
    <n v="342"/>
  </r>
  <r>
    <n v="270"/>
    <x v="269"/>
    <n v="1044"/>
    <s v="Customer_78"/>
    <s v="Corporate"/>
    <s v="North"/>
    <s v="Furniture"/>
    <s v="Product_C"/>
    <n v="4244"/>
    <n v="8"/>
    <n v="0.18"/>
    <n v="1997"/>
    <s v="UPI"/>
    <n v="27840.639999999999"/>
    <s v="Sep"/>
    <n v="2024"/>
    <s v="Q3"/>
    <n v="7.1729672881083201E-2"/>
    <n v="6111.36"/>
    <x v="0"/>
    <x v="0"/>
    <s v="Above Avg"/>
    <s v="Profit"/>
    <n v="33"/>
  </r>
  <r>
    <n v="271"/>
    <x v="270"/>
    <n v="1092"/>
    <s v="Customer_2"/>
    <s v="Consumer"/>
    <s v="East"/>
    <s v="Clothing"/>
    <s v="Product_D"/>
    <n v="2461"/>
    <n v="4"/>
    <n v="7.0000000000000007E-2"/>
    <n v="1327"/>
    <s v="Card"/>
    <n v="9154.92"/>
    <s v="Sep"/>
    <n v="2024"/>
    <s v="Q3"/>
    <n v="0.14494938240858468"/>
    <n v="689.08"/>
    <x v="0"/>
    <x v="0"/>
    <s v="Below Avg"/>
    <s v="Profit"/>
    <n v="228"/>
  </r>
  <r>
    <n v="272"/>
    <x v="271"/>
    <n v="1099"/>
    <s v="Customer_122"/>
    <s v="Corporate"/>
    <s v="South"/>
    <s v="Electronics"/>
    <s v="Product_B"/>
    <n v="4549"/>
    <n v="3"/>
    <n v="0.14000000000000001"/>
    <n v="1353"/>
    <s v="COD"/>
    <n v="11736.42"/>
    <s v="Sep"/>
    <n v="2024"/>
    <s v="Q3"/>
    <n v="0.11528217292837169"/>
    <n v="1910.5800000000002"/>
    <x v="0"/>
    <x v="0"/>
    <s v="Above Avg"/>
    <s v="Profit"/>
    <n v="176"/>
  </r>
  <r>
    <n v="273"/>
    <x v="272"/>
    <n v="1083"/>
    <s v="Customer_4"/>
    <s v="Corporate"/>
    <s v="South"/>
    <s v="Furniture"/>
    <s v="Product_D"/>
    <n v="1134"/>
    <n v="3"/>
    <n v="0.26"/>
    <n v="1911"/>
    <s v="UPI"/>
    <n v="2517.48"/>
    <s v="Sep"/>
    <n v="2024"/>
    <s v="Q3"/>
    <n v="0.75909242575909242"/>
    <n v="884.52"/>
    <x v="1"/>
    <x v="0"/>
    <s v="Below Avg"/>
    <s v="Profit"/>
    <n v="409"/>
  </r>
  <r>
    <n v="274"/>
    <x v="273"/>
    <n v="1081"/>
    <s v="Customer_100"/>
    <s v="Consumer"/>
    <s v="West"/>
    <s v="Electronics"/>
    <s v="Product_C"/>
    <n v="3921"/>
    <n v="3"/>
    <n v="0.03"/>
    <n v="-471"/>
    <s v="COD"/>
    <n v="11410.11"/>
    <s v="Sep"/>
    <n v="2024"/>
    <s v="Q3"/>
    <n v="-4.1279181357585508E-2"/>
    <n v="352.89"/>
    <x v="0"/>
    <x v="0"/>
    <s v="Above Avg"/>
    <s v="Loss"/>
    <n v="182"/>
  </r>
  <r>
    <n v="275"/>
    <x v="274"/>
    <n v="1061"/>
    <s v="Customer_9"/>
    <s v="Consumer"/>
    <s v="North"/>
    <s v="Electronics"/>
    <s v="Product_C"/>
    <n v="3876"/>
    <n v="1"/>
    <n v="0.28999999999999998"/>
    <n v="71"/>
    <s v="UPI"/>
    <n v="2751.96"/>
    <s v="Oct"/>
    <n v="2024"/>
    <s v="Q4"/>
    <n v="2.5799793601651185E-2"/>
    <n v="1124.04"/>
    <x v="1"/>
    <x v="0"/>
    <s v="Below Avg"/>
    <s v="Profit"/>
    <n v="401"/>
  </r>
  <r>
    <n v="276"/>
    <x v="275"/>
    <n v="1014"/>
    <s v="Customer_16"/>
    <s v="Corporate"/>
    <s v="West"/>
    <s v="Furniture"/>
    <s v="Product_B"/>
    <n v="4808"/>
    <n v="5"/>
    <n v="0.04"/>
    <n v="860"/>
    <s v="COD"/>
    <n v="23078.3999999999"/>
    <s v="Oct"/>
    <n v="2024"/>
    <s v="Q4"/>
    <n v="3.7264281752634659E-2"/>
    <n v="961.6"/>
    <x v="0"/>
    <x v="0"/>
    <s v="Above Avg"/>
    <s v="Profit"/>
    <n v="58"/>
  </r>
  <r>
    <n v="277"/>
    <x v="276"/>
    <n v="1078"/>
    <s v="Customer_96"/>
    <s v="Consumer"/>
    <s v="South"/>
    <s v="Furniture"/>
    <s v="Product_B"/>
    <n v="1839"/>
    <n v="2"/>
    <n v="0.09"/>
    <n v="1136"/>
    <s v="COD"/>
    <n v="3346.98"/>
    <s v="Oct"/>
    <n v="2024"/>
    <s v="Q4"/>
    <n v="0.33941045360294952"/>
    <n v="331.02"/>
    <x v="1"/>
    <x v="0"/>
    <s v="Below Avg"/>
    <s v="Profit"/>
    <n v="384"/>
  </r>
  <r>
    <n v="278"/>
    <x v="277"/>
    <n v="1023"/>
    <s v="Customer_160"/>
    <s v="Consumer"/>
    <s v="West"/>
    <s v="Furniture"/>
    <s v="Product_D"/>
    <n v="535"/>
    <n v="7"/>
    <n v="0.05"/>
    <n v="-213"/>
    <s v="COD"/>
    <n v="3557.75"/>
    <s v="Oct"/>
    <n v="2024"/>
    <s v="Q4"/>
    <n v="-5.9869299416766213E-2"/>
    <n v="187.25"/>
    <x v="1"/>
    <x v="0"/>
    <s v="Below Avg"/>
    <s v="Loss"/>
    <n v="374"/>
  </r>
  <r>
    <n v="279"/>
    <x v="278"/>
    <n v="1062"/>
    <s v="Customer_27"/>
    <s v="Corporate"/>
    <s v="North"/>
    <s v="Electronics"/>
    <s v="Product_B"/>
    <n v="592"/>
    <n v="4"/>
    <n v="0.14000000000000001"/>
    <n v="549"/>
    <s v="COD"/>
    <n v="2036.48"/>
    <s v="Oct"/>
    <n v="2024"/>
    <s v="Q4"/>
    <n v="0.26958280955373981"/>
    <n v="331.52000000000004"/>
    <x v="1"/>
    <x v="0"/>
    <s v="Below Avg"/>
    <s v="Profit"/>
    <n v="428"/>
  </r>
  <r>
    <n v="280"/>
    <x v="279"/>
    <n v="1028"/>
    <s v="Customer_15"/>
    <s v="Consumer"/>
    <s v="West"/>
    <s v="Electronics"/>
    <s v="Product_A"/>
    <n v="4041"/>
    <n v="2"/>
    <n v="0.09"/>
    <n v="-358"/>
    <s v="UPI"/>
    <n v="7354.62"/>
    <s v="Oct"/>
    <n v="2024"/>
    <s v="Q4"/>
    <n v="-4.8676886093367164E-2"/>
    <n v="727.38"/>
    <x v="0"/>
    <x v="0"/>
    <s v="Below Avg"/>
    <s v="Loss"/>
    <n v="267"/>
  </r>
  <r>
    <n v="281"/>
    <x v="280"/>
    <n v="1080"/>
    <s v="Customer_68"/>
    <s v="Consumer"/>
    <s v="North"/>
    <s v="Furniture"/>
    <s v="Product_D"/>
    <n v="2216"/>
    <n v="8"/>
    <n v="0.3"/>
    <n v="618"/>
    <s v="COD"/>
    <n v="12409.5999999999"/>
    <s v="Oct"/>
    <n v="2024"/>
    <s v="Q4"/>
    <n v="4.9800154718927681E-2"/>
    <n v="5318.4"/>
    <x v="0"/>
    <x v="0"/>
    <s v="Above Avg"/>
    <s v="Profit"/>
    <n v="164"/>
  </r>
  <r>
    <n v="282"/>
    <x v="281"/>
    <n v="1024"/>
    <s v="Customer_25"/>
    <s v="Consumer"/>
    <s v="North"/>
    <s v="Furniture"/>
    <s v="Product_A"/>
    <n v="2168"/>
    <n v="8"/>
    <n v="0"/>
    <n v="853"/>
    <s v="Card"/>
    <n v="17344"/>
    <s v="Oct"/>
    <n v="2024"/>
    <s v="Q4"/>
    <n v="4.9181273062730631E-2"/>
    <n v="0"/>
    <x v="0"/>
    <x v="0"/>
    <s v="Above Avg"/>
    <s v="Profit"/>
    <n v="101"/>
  </r>
  <r>
    <n v="283"/>
    <x v="282"/>
    <n v="1015"/>
    <s v="Customer_15"/>
    <s v="Consumer"/>
    <s v="West"/>
    <s v="Clothing"/>
    <s v="Product_D"/>
    <n v="1828"/>
    <n v="1"/>
    <n v="0.1"/>
    <n v="892"/>
    <s v="COD"/>
    <n v="1645.2"/>
    <s v="Oct"/>
    <n v="2024"/>
    <s v="Q4"/>
    <n v="0.54218332117675661"/>
    <n v="182.8"/>
    <x v="2"/>
    <x v="0"/>
    <s v="Below Avg"/>
    <s v="Profit"/>
    <n v="450"/>
  </r>
  <r>
    <n v="284"/>
    <x v="283"/>
    <n v="1049"/>
    <s v="Customer_12"/>
    <s v="Corporate"/>
    <s v="South"/>
    <s v="Electronics"/>
    <s v="Product_B"/>
    <n v="2743"/>
    <n v="5"/>
    <n v="0.18"/>
    <n v="-288"/>
    <s v="COD"/>
    <n v="11246.3"/>
    <s v="Oct"/>
    <n v="2024"/>
    <s v="Q4"/>
    <n v="-2.5608422325564855E-2"/>
    <n v="2468.6999999999998"/>
    <x v="0"/>
    <x v="0"/>
    <s v="Above Avg"/>
    <s v="Loss"/>
    <n v="187"/>
  </r>
  <r>
    <n v="285"/>
    <x v="284"/>
    <n v="1080"/>
    <s v="Customer_71"/>
    <s v="Corporate"/>
    <s v="North"/>
    <s v="Clothing"/>
    <s v="Product_C"/>
    <n v="3747"/>
    <n v="2"/>
    <n v="0.1"/>
    <n v="-334"/>
    <s v="Card"/>
    <n v="6744.6"/>
    <s v="Oct"/>
    <n v="2024"/>
    <s v="Q4"/>
    <n v="-4.9521098360169616E-2"/>
    <n v="749.40000000000009"/>
    <x v="0"/>
    <x v="0"/>
    <s v="Below Avg"/>
    <s v="Loss"/>
    <n v="281"/>
  </r>
  <r>
    <n v="286"/>
    <x v="285"/>
    <n v="1084"/>
    <s v="Customer_152"/>
    <s v="Corporate"/>
    <s v="South"/>
    <s v="Electronics"/>
    <s v="Product_C"/>
    <n v="3612"/>
    <n v="9"/>
    <n v="0.14000000000000001"/>
    <n v="74"/>
    <s v="COD"/>
    <n v="27956.880000000001"/>
    <s v="Oct"/>
    <n v="2024"/>
    <s v="Q4"/>
    <n v="2.6469334203244425E-3"/>
    <n v="4551.1200000000008"/>
    <x v="0"/>
    <x v="0"/>
    <s v="Above Avg"/>
    <s v="Profit"/>
    <n v="31"/>
  </r>
  <r>
    <n v="287"/>
    <x v="286"/>
    <n v="1090"/>
    <s v="Customer_70"/>
    <s v="Corporate"/>
    <s v="North"/>
    <s v="Electronics"/>
    <s v="Product_D"/>
    <n v="1459"/>
    <n v="2"/>
    <n v="0.13"/>
    <n v="-190"/>
    <s v="UPI"/>
    <n v="2538.66"/>
    <s v="Oct"/>
    <n v="2024"/>
    <s v="Q4"/>
    <n v="-7.4842633515319112E-2"/>
    <n v="379.34000000000003"/>
    <x v="1"/>
    <x v="0"/>
    <s v="Below Avg"/>
    <s v="Loss"/>
    <n v="408"/>
  </r>
  <r>
    <n v="288"/>
    <x v="287"/>
    <n v="1004"/>
    <s v="Customer_112"/>
    <s v="Corporate"/>
    <s v="South"/>
    <s v="Electronics"/>
    <s v="Product_A"/>
    <n v="2607"/>
    <n v="7"/>
    <n v="0.03"/>
    <n v="431"/>
    <s v="UPI"/>
    <n v="17701.53"/>
    <s v="Oct"/>
    <n v="2024"/>
    <s v="Q4"/>
    <n v="2.4348177812878322E-2"/>
    <n v="547.47"/>
    <x v="0"/>
    <x v="0"/>
    <s v="Above Avg"/>
    <s v="Profit"/>
    <n v="93"/>
  </r>
  <r>
    <n v="289"/>
    <x v="288"/>
    <n v="1021"/>
    <s v="Customer_169"/>
    <s v="Consumer"/>
    <s v="South"/>
    <s v="Furniture"/>
    <s v="Product_C"/>
    <n v="3261"/>
    <n v="2"/>
    <n v="0.19"/>
    <n v="1891"/>
    <s v="COD"/>
    <n v="5282.82"/>
    <s v="Oct"/>
    <n v="2024"/>
    <s v="Q4"/>
    <n v="0.35795276007889726"/>
    <n v="1239.18"/>
    <x v="0"/>
    <x v="0"/>
    <s v="Below Avg"/>
    <s v="Profit"/>
    <n v="317"/>
  </r>
  <r>
    <n v="290"/>
    <x v="289"/>
    <n v="1032"/>
    <s v="Customer_60"/>
    <s v="Corporate"/>
    <s v="West"/>
    <s v="Furniture"/>
    <s v="Product_D"/>
    <n v="3495"/>
    <n v="2"/>
    <n v="0.25"/>
    <n v="1055"/>
    <s v="UPI"/>
    <n v="5242.5"/>
    <s v="Oct"/>
    <n v="2024"/>
    <s v="Q4"/>
    <n v="0.20123986647591799"/>
    <n v="1747.5"/>
    <x v="0"/>
    <x v="0"/>
    <s v="Below Avg"/>
    <s v="Profit"/>
    <n v="318"/>
  </r>
  <r>
    <n v="291"/>
    <x v="290"/>
    <n v="1039"/>
    <s v="Customer_31"/>
    <s v="Consumer"/>
    <s v="West"/>
    <s v="Furniture"/>
    <s v="Product_D"/>
    <n v="3159"/>
    <n v="1"/>
    <n v="0.16"/>
    <n v="528"/>
    <s v="COD"/>
    <n v="2653.56"/>
    <s v="Oct"/>
    <n v="2024"/>
    <s v="Q4"/>
    <n v="0.19897797675575454"/>
    <n v="505.44"/>
    <x v="1"/>
    <x v="0"/>
    <s v="Below Avg"/>
    <s v="Profit"/>
    <n v="406"/>
  </r>
  <r>
    <n v="292"/>
    <x v="291"/>
    <n v="1001"/>
    <s v="Customer_149"/>
    <s v="Corporate"/>
    <s v="South"/>
    <s v="Furniture"/>
    <s v="Product_C"/>
    <n v="2792"/>
    <n v="1"/>
    <n v="0.04"/>
    <n v="1424"/>
    <s v="Card"/>
    <n v="2680.3199999999902"/>
    <s v="Oct"/>
    <n v="2024"/>
    <s v="Q4"/>
    <n v="0.53127984718242793"/>
    <n v="111.68"/>
    <x v="1"/>
    <x v="0"/>
    <s v="Below Avg"/>
    <s v="Profit"/>
    <n v="404"/>
  </r>
  <r>
    <n v="293"/>
    <x v="292"/>
    <n v="1098"/>
    <s v="Customer_60"/>
    <s v="Corporate"/>
    <s v="West"/>
    <s v="Furniture"/>
    <s v="Product_C"/>
    <n v="462"/>
    <n v="9"/>
    <n v="0.14000000000000001"/>
    <n v="448"/>
    <s v="UPI"/>
    <n v="3575.88"/>
    <s v="Oct"/>
    <n v="2024"/>
    <s v="Q4"/>
    <n v="0.12528384621407876"/>
    <n v="582.12"/>
    <x v="1"/>
    <x v="0"/>
    <s v="Below Avg"/>
    <s v="Profit"/>
    <n v="372"/>
  </r>
  <r>
    <n v="294"/>
    <x v="293"/>
    <n v="1082"/>
    <s v="Customer_75"/>
    <s v="Corporate"/>
    <s v="North"/>
    <s v="Electronics"/>
    <s v="Product_A"/>
    <n v="373"/>
    <n v="2"/>
    <n v="0"/>
    <n v="509"/>
    <s v="COD"/>
    <n v="746"/>
    <s v="Oct"/>
    <n v="2024"/>
    <s v="Q4"/>
    <n v="0.68230563002680966"/>
    <n v="0"/>
    <x v="2"/>
    <x v="0"/>
    <s v="Below Avg"/>
    <s v="Profit"/>
    <n v="483"/>
  </r>
  <r>
    <n v="295"/>
    <x v="294"/>
    <n v="1090"/>
    <s v="Customer_14"/>
    <s v="Corporate"/>
    <s v="South"/>
    <s v="Clothing"/>
    <s v="Product_B"/>
    <n v="4106"/>
    <n v="3"/>
    <n v="0.27"/>
    <n v="1883"/>
    <s v="UPI"/>
    <n v="8992.14"/>
    <s v="Oct"/>
    <n v="2024"/>
    <s v="Q4"/>
    <n v="0.20940510267856152"/>
    <n v="3325.86"/>
    <x v="0"/>
    <x v="0"/>
    <s v="Below Avg"/>
    <s v="Profit"/>
    <n v="231"/>
  </r>
  <r>
    <n v="296"/>
    <x v="295"/>
    <n v="1035"/>
    <s v="Customer_102"/>
    <s v="Corporate"/>
    <s v="East"/>
    <s v="Clothing"/>
    <s v="Product_A"/>
    <n v="3188"/>
    <n v="9"/>
    <n v="7.0000000000000007E-2"/>
    <n v="956"/>
    <s v="COD"/>
    <n v="26683.559999999899"/>
    <s v="Oct"/>
    <n v="2024"/>
    <s v="Q4"/>
    <n v="3.5827303403294146E-2"/>
    <n v="2008.4400000000003"/>
    <x v="0"/>
    <x v="0"/>
    <s v="Above Avg"/>
    <s v="Profit"/>
    <n v="35"/>
  </r>
  <r>
    <n v="297"/>
    <x v="296"/>
    <n v="1058"/>
    <s v="Customer_82"/>
    <s v="Consumer"/>
    <s v="South"/>
    <s v="Clothing"/>
    <s v="Product_D"/>
    <n v="3427"/>
    <n v="6"/>
    <n v="0.27"/>
    <n v="803"/>
    <s v="Card"/>
    <n v="15010.26"/>
    <s v="Oct"/>
    <n v="2024"/>
    <s v="Q4"/>
    <n v="5.3496741562104856E-2"/>
    <n v="5551.7400000000007"/>
    <x v="0"/>
    <x v="0"/>
    <s v="Above Avg"/>
    <s v="Profit"/>
    <n v="138"/>
  </r>
  <r>
    <n v="298"/>
    <x v="297"/>
    <n v="1038"/>
    <s v="Customer_14"/>
    <s v="Consumer"/>
    <s v="North"/>
    <s v="Clothing"/>
    <s v="Product_D"/>
    <n v="227"/>
    <n v="6"/>
    <n v="0.18"/>
    <n v="1807"/>
    <s v="COD"/>
    <n v="1116.8399999999999"/>
    <s v="Oct"/>
    <n v="2024"/>
    <s v="Q4"/>
    <n v="1.6179578095340426"/>
    <n v="245.16"/>
    <x v="2"/>
    <x v="0"/>
    <s v="Below Avg"/>
    <s v="Profit"/>
    <n v="475"/>
  </r>
  <r>
    <n v="299"/>
    <x v="298"/>
    <n v="1001"/>
    <s v="Customer_152"/>
    <s v="Corporate"/>
    <s v="North"/>
    <s v="Furniture"/>
    <s v="Product_B"/>
    <n v="3346"/>
    <n v="9"/>
    <n v="0.28999999999999998"/>
    <n v="784"/>
    <s v="UPI"/>
    <n v="21380.94"/>
    <s v="Oct"/>
    <n v="2024"/>
    <s v="Q4"/>
    <n v="3.6668172680901778E-2"/>
    <n v="8733.06"/>
    <x v="0"/>
    <x v="0"/>
    <s v="Above Avg"/>
    <s v="Profit"/>
    <n v="72"/>
  </r>
  <r>
    <n v="300"/>
    <x v="299"/>
    <n v="1052"/>
    <s v="Customer_25"/>
    <s v="Corporate"/>
    <s v="North"/>
    <s v="Clothing"/>
    <s v="Product_A"/>
    <n v="1300"/>
    <n v="7"/>
    <n v="0.25"/>
    <n v="-190"/>
    <s v="UPI"/>
    <n v="6825"/>
    <s v="Oct"/>
    <n v="2024"/>
    <s v="Q4"/>
    <n v="-2.7838827838827841E-2"/>
    <n v="2275"/>
    <x v="0"/>
    <x v="0"/>
    <s v="Below Avg"/>
    <s v="Loss"/>
    <n v="276"/>
  </r>
  <r>
    <n v="301"/>
    <x v="300"/>
    <n v="1017"/>
    <s v="Customer_109"/>
    <s v="Corporate"/>
    <s v="North"/>
    <s v="Clothing"/>
    <s v="Product_A"/>
    <n v="3165"/>
    <n v="3"/>
    <n v="0"/>
    <n v="286"/>
    <s v="Card"/>
    <n v="9495"/>
    <s v="Oct"/>
    <n v="2024"/>
    <s v="Q4"/>
    <n v="3.0121116377040548E-2"/>
    <n v="0"/>
    <x v="0"/>
    <x v="0"/>
    <s v="Below Avg"/>
    <s v="Profit"/>
    <n v="216"/>
  </r>
  <r>
    <n v="302"/>
    <x v="301"/>
    <n v="1045"/>
    <s v="Customer_108"/>
    <s v="Corporate"/>
    <s v="South"/>
    <s v="Clothing"/>
    <s v="Product_A"/>
    <n v="4359"/>
    <n v="9"/>
    <n v="0"/>
    <n v="198"/>
    <s v="Card"/>
    <n v="39231"/>
    <s v="Oct"/>
    <n v="2024"/>
    <s v="Q4"/>
    <n v="5.0470291351227348E-3"/>
    <n v="0"/>
    <x v="0"/>
    <x v="0"/>
    <s v="Above Avg"/>
    <s v="Profit"/>
    <n v="3"/>
  </r>
  <r>
    <n v="303"/>
    <x v="302"/>
    <n v="1022"/>
    <s v="Customer_156"/>
    <s v="Consumer"/>
    <s v="West"/>
    <s v="Electronics"/>
    <s v="Product_C"/>
    <n v="4615"/>
    <n v="4"/>
    <n v="0.22"/>
    <n v="247"/>
    <s v="COD"/>
    <n v="14398.8"/>
    <s v="Oct"/>
    <n v="2024"/>
    <s v="Q4"/>
    <n v="1.7154207295052366E-2"/>
    <n v="4061.2"/>
    <x v="0"/>
    <x v="0"/>
    <s v="Above Avg"/>
    <s v="Profit"/>
    <n v="145"/>
  </r>
  <r>
    <n v="304"/>
    <x v="303"/>
    <n v="1053"/>
    <s v="Customer_88"/>
    <s v="Consumer"/>
    <s v="North"/>
    <s v="Clothing"/>
    <s v="Product_D"/>
    <n v="3662"/>
    <n v="3"/>
    <n v="0.16"/>
    <n v="1555"/>
    <s v="COD"/>
    <n v="9228.24"/>
    <s v="Oct"/>
    <n v="2024"/>
    <s v="Q4"/>
    <n v="0.16850450356731078"/>
    <n v="1757.76"/>
    <x v="0"/>
    <x v="1"/>
    <s v="Below Avg"/>
    <s v="Profit"/>
    <n v="226"/>
  </r>
  <r>
    <n v="305"/>
    <x v="304"/>
    <n v="1089"/>
    <s v="Customer_18"/>
    <s v="Corporate"/>
    <s v="South"/>
    <s v="Electronics"/>
    <s v="Product_A"/>
    <n v="170"/>
    <n v="9"/>
    <n v="0.23"/>
    <n v="291"/>
    <s v="COD"/>
    <n v="1178.0999999999999"/>
    <s v="Oct"/>
    <n v="2024"/>
    <s v="Q4"/>
    <n v="0.24700789406671761"/>
    <n v="351.90000000000003"/>
    <x v="2"/>
    <x v="0"/>
    <s v="Below Avg"/>
    <s v="Profit"/>
    <n v="470"/>
  </r>
  <r>
    <n v="306"/>
    <x v="305"/>
    <n v="1074"/>
    <s v="Customer_57"/>
    <s v="Corporate"/>
    <s v="South"/>
    <s v="Electronics"/>
    <s v="Product_C"/>
    <n v="4005"/>
    <n v="3"/>
    <n v="0.18"/>
    <n v="940"/>
    <s v="COD"/>
    <n v="9852.2999999999993"/>
    <s v="Nov"/>
    <n v="2024"/>
    <s v="Q4"/>
    <n v="9.5409193792312469E-2"/>
    <n v="2162.6999999999998"/>
    <x v="0"/>
    <x v="0"/>
    <s v="Below Avg"/>
    <s v="Profit"/>
    <n v="206"/>
  </r>
  <r>
    <n v="307"/>
    <x v="306"/>
    <n v="1000"/>
    <s v="Customer_98"/>
    <s v="Consumer"/>
    <s v="South"/>
    <s v="Electronics"/>
    <s v="Product_C"/>
    <n v="568"/>
    <n v="1"/>
    <n v="7.0000000000000007E-2"/>
    <n v="1894"/>
    <s v="UPI"/>
    <n v="528.24"/>
    <s v="Nov"/>
    <n v="2024"/>
    <s v="Q4"/>
    <n v="3.585491443283356"/>
    <n v="39.760000000000005"/>
    <x v="2"/>
    <x v="0"/>
    <s v="Below Avg"/>
    <s v="Profit"/>
    <n v="490"/>
  </r>
  <r>
    <n v="308"/>
    <x v="307"/>
    <n v="1035"/>
    <s v="Customer_170"/>
    <s v="Consumer"/>
    <s v="North"/>
    <s v="Clothing"/>
    <s v="Product_A"/>
    <n v="3660"/>
    <n v="3"/>
    <n v="0.24"/>
    <n v="1824"/>
    <s v="COD"/>
    <n v="8344.7999999999993"/>
    <s v="Nov"/>
    <n v="2024"/>
    <s v="Q4"/>
    <n v="0.21857923497267762"/>
    <n v="2635.2"/>
    <x v="0"/>
    <x v="0"/>
    <s v="Below Avg"/>
    <s v="Profit"/>
    <n v="241"/>
  </r>
  <r>
    <n v="309"/>
    <x v="308"/>
    <n v="1083"/>
    <s v="Customer_67"/>
    <s v="Corporate"/>
    <s v="East"/>
    <s v="Furniture"/>
    <s v="Product_D"/>
    <n v="2023"/>
    <n v="3"/>
    <n v="0.01"/>
    <n v="356"/>
    <s v="Card"/>
    <n v="6008.31"/>
    <s v="Nov"/>
    <n v="2024"/>
    <s v="Q4"/>
    <n v="5.9251270323934679E-2"/>
    <n v="60.69"/>
    <x v="0"/>
    <x v="0"/>
    <s v="Below Avg"/>
    <s v="Profit"/>
    <n v="297"/>
  </r>
  <r>
    <n v="310"/>
    <x v="309"/>
    <n v="1094"/>
    <s v="Customer_140"/>
    <s v="Consumer"/>
    <s v="North"/>
    <s v="Clothing"/>
    <s v="Product_B"/>
    <n v="3079"/>
    <n v="5"/>
    <n v="0.24"/>
    <n v="1522"/>
    <s v="UPI"/>
    <n v="11700.2"/>
    <s v="Nov"/>
    <n v="2024"/>
    <s v="Q4"/>
    <n v="0.13008324644023178"/>
    <n v="3694.7999999999997"/>
    <x v="0"/>
    <x v="0"/>
    <s v="Above Avg"/>
    <s v="Profit"/>
    <n v="178"/>
  </r>
  <r>
    <n v="311"/>
    <x v="310"/>
    <n v="1071"/>
    <s v="Customer_164"/>
    <s v="Corporate"/>
    <s v="South"/>
    <s v="Furniture"/>
    <s v="Product_B"/>
    <n v="4122"/>
    <n v="9"/>
    <n v="0.2"/>
    <n v="-297"/>
    <s v="Card"/>
    <n v="29678.400000000001"/>
    <s v="Nov"/>
    <n v="2024"/>
    <s v="Q4"/>
    <n v="-1.0007278020378457E-2"/>
    <n v="7419.6"/>
    <x v="0"/>
    <x v="0"/>
    <s v="Above Avg"/>
    <s v="Loss"/>
    <n v="25"/>
  </r>
  <r>
    <n v="312"/>
    <x v="311"/>
    <n v="1039"/>
    <s v="Customer_69"/>
    <s v="Corporate"/>
    <s v="North"/>
    <s v="Clothing"/>
    <s v="Product_A"/>
    <n v="4319"/>
    <n v="7"/>
    <n v="0.2"/>
    <n v="1668"/>
    <s v="UPI"/>
    <n v="24186.400000000001"/>
    <s v="Nov"/>
    <n v="2024"/>
    <s v="Q4"/>
    <n v="6.896437667449476E-2"/>
    <n v="6046.6"/>
    <x v="0"/>
    <x v="0"/>
    <s v="Above Avg"/>
    <s v="Profit"/>
    <n v="50"/>
  </r>
  <r>
    <n v="313"/>
    <x v="312"/>
    <n v="1087"/>
    <s v="Customer_83"/>
    <s v="Consumer"/>
    <s v="West"/>
    <s v="Clothing"/>
    <s v="Product_D"/>
    <n v="4618"/>
    <n v="3"/>
    <n v="0.01"/>
    <n v="1802"/>
    <s v="COD"/>
    <n v="13715.46"/>
    <s v="Nov"/>
    <n v="2024"/>
    <s v="Q4"/>
    <n v="0.13138458352836874"/>
    <n v="138.54"/>
    <x v="0"/>
    <x v="0"/>
    <s v="Above Avg"/>
    <s v="Profit"/>
    <n v="150"/>
  </r>
  <r>
    <n v="314"/>
    <x v="313"/>
    <n v="1083"/>
    <s v="Customer_76"/>
    <s v="Corporate"/>
    <s v="East"/>
    <s v="Furniture"/>
    <s v="Product_B"/>
    <n v="666"/>
    <n v="3"/>
    <n v="0.06"/>
    <n v="-107"/>
    <s v="UPI"/>
    <n v="1878.12"/>
    <s v="Nov"/>
    <n v="2024"/>
    <s v="Q4"/>
    <n v="-5.6971865482503783E-2"/>
    <n v="119.88"/>
    <x v="2"/>
    <x v="0"/>
    <s v="Below Avg"/>
    <s v="Loss"/>
    <n v="437"/>
  </r>
  <r>
    <n v="315"/>
    <x v="314"/>
    <n v="1078"/>
    <s v="Customer_91"/>
    <s v="Corporate"/>
    <s v="East"/>
    <s v="Electronics"/>
    <s v="Product_D"/>
    <n v="3227"/>
    <n v="4"/>
    <n v="0.15"/>
    <n v="200"/>
    <s v="COD"/>
    <n v="10971.8"/>
    <s v="Nov"/>
    <n v="2024"/>
    <s v="Q4"/>
    <n v="1.8228549554311965E-2"/>
    <n v="1936.1999999999998"/>
    <x v="0"/>
    <x v="0"/>
    <s v="Above Avg"/>
    <s v="Profit"/>
    <n v="193"/>
  </r>
  <r>
    <n v="316"/>
    <x v="315"/>
    <n v="1029"/>
    <s v="Customer_17"/>
    <s v="Corporate"/>
    <s v="North"/>
    <s v="Electronics"/>
    <s v="Product_B"/>
    <n v="4116"/>
    <n v="7"/>
    <n v="0.13"/>
    <n v="1791"/>
    <s v="UPI"/>
    <n v="25066.44"/>
    <s v="Nov"/>
    <n v="2024"/>
    <s v="Q4"/>
    <n v="7.1450114176564369E-2"/>
    <n v="3745.56"/>
    <x v="0"/>
    <x v="0"/>
    <s v="Above Avg"/>
    <s v="Profit"/>
    <n v="41"/>
  </r>
  <r>
    <n v="317"/>
    <x v="316"/>
    <n v="1019"/>
    <s v="Customer_171"/>
    <s v="Corporate"/>
    <s v="East"/>
    <s v="Electronics"/>
    <s v="Product_C"/>
    <n v="1265"/>
    <n v="4"/>
    <n v="0.01"/>
    <n v="458"/>
    <s v="Card"/>
    <n v="5009.3999999999996"/>
    <s v="Nov"/>
    <n v="2024"/>
    <s v="Q4"/>
    <n v="9.1428115143530164E-2"/>
    <n v="50.6"/>
    <x v="0"/>
    <x v="0"/>
    <s v="Below Avg"/>
    <s v="Profit"/>
    <n v="322"/>
  </r>
  <r>
    <n v="318"/>
    <x v="317"/>
    <n v="1037"/>
    <s v="Customer_92"/>
    <s v="Corporate"/>
    <s v="East"/>
    <s v="Furniture"/>
    <s v="Product_D"/>
    <n v="4336"/>
    <n v="9"/>
    <n v="0.1"/>
    <n v="-99"/>
    <s v="COD"/>
    <n v="35121.599999999999"/>
    <s v="Nov"/>
    <n v="2024"/>
    <s v="Q4"/>
    <n v="-2.8187781877818778E-3"/>
    <n v="3902.4"/>
    <x v="0"/>
    <x v="0"/>
    <s v="Above Avg"/>
    <s v="Loss"/>
    <n v="10"/>
  </r>
  <r>
    <n v="319"/>
    <x v="318"/>
    <n v="1001"/>
    <s v="Customer_40"/>
    <s v="Corporate"/>
    <s v="South"/>
    <s v="Clothing"/>
    <s v="Product_B"/>
    <n v="1915"/>
    <n v="3"/>
    <n v="0.28999999999999998"/>
    <n v="1599"/>
    <s v="Card"/>
    <n v="4078.95"/>
    <s v="Nov"/>
    <n v="2024"/>
    <s v="Q4"/>
    <n v="0.39201265031441918"/>
    <n v="1666.05"/>
    <x v="1"/>
    <x v="0"/>
    <s v="Below Avg"/>
    <s v="Profit"/>
    <n v="349"/>
  </r>
  <r>
    <n v="320"/>
    <x v="319"/>
    <n v="1005"/>
    <s v="Customer_22"/>
    <s v="Corporate"/>
    <s v="South"/>
    <s v="Clothing"/>
    <s v="Product_A"/>
    <n v="4067"/>
    <n v="7"/>
    <n v="0.09"/>
    <n v="1720"/>
    <s v="UPI"/>
    <n v="25906.79"/>
    <s v="Nov"/>
    <n v="2024"/>
    <s v="Q4"/>
    <n v="6.6391860975443112E-2"/>
    <n v="2562.21"/>
    <x v="0"/>
    <x v="0"/>
    <s v="Above Avg"/>
    <s v="Profit"/>
    <n v="40"/>
  </r>
  <r>
    <n v="321"/>
    <x v="320"/>
    <n v="1081"/>
    <s v="Customer_192"/>
    <s v="Corporate"/>
    <s v="East"/>
    <s v="Furniture"/>
    <s v="Product_D"/>
    <n v="240"/>
    <n v="9"/>
    <n v="0.19"/>
    <n v="271"/>
    <s v="Card"/>
    <n v="1749.6"/>
    <s v="Nov"/>
    <n v="2024"/>
    <s v="Q4"/>
    <n v="0.15489254686785553"/>
    <n v="410.4"/>
    <x v="2"/>
    <x v="0"/>
    <s v="Below Avg"/>
    <s v="Profit"/>
    <n v="443"/>
  </r>
  <r>
    <n v="322"/>
    <x v="321"/>
    <n v="1035"/>
    <s v="Customer_138"/>
    <s v="Consumer"/>
    <s v="North"/>
    <s v="Electronics"/>
    <s v="Product_D"/>
    <n v="3410"/>
    <n v="5"/>
    <n v="0.2"/>
    <n v="1549"/>
    <s v="Card"/>
    <n v="13640"/>
    <s v="Nov"/>
    <n v="2024"/>
    <s v="Q4"/>
    <n v="0.11356304985337243"/>
    <n v="3410"/>
    <x v="0"/>
    <x v="0"/>
    <s v="Above Avg"/>
    <s v="Profit"/>
    <n v="151"/>
  </r>
  <r>
    <n v="323"/>
    <x v="322"/>
    <n v="1077"/>
    <s v="Customer_105"/>
    <s v="Consumer"/>
    <s v="East"/>
    <s v="Clothing"/>
    <s v="Product_D"/>
    <n v="601"/>
    <n v="4"/>
    <n v="0.19"/>
    <n v="-310"/>
    <s v="COD"/>
    <n v="1947.24"/>
    <s v="Nov"/>
    <n v="2024"/>
    <s v="Q4"/>
    <n v="-0.15919968776319304"/>
    <n v="456.76"/>
    <x v="2"/>
    <x v="0"/>
    <s v="Below Avg"/>
    <s v="Loss"/>
    <n v="433"/>
  </r>
  <r>
    <n v="324"/>
    <x v="323"/>
    <n v="1025"/>
    <s v="Customer_134"/>
    <s v="Corporate"/>
    <s v="South"/>
    <s v="Furniture"/>
    <s v="Product_B"/>
    <n v="1554"/>
    <n v="2"/>
    <n v="0.09"/>
    <n v="1816"/>
    <s v="COD"/>
    <n v="2828.28"/>
    <s v="Nov"/>
    <n v="2024"/>
    <s v="Q4"/>
    <n v="0.64208635637207057"/>
    <n v="279.71999999999997"/>
    <x v="1"/>
    <x v="0"/>
    <s v="Below Avg"/>
    <s v="Profit"/>
    <n v="398"/>
  </r>
  <r>
    <n v="325"/>
    <x v="324"/>
    <n v="1097"/>
    <s v="Customer_17"/>
    <s v="Consumer"/>
    <s v="South"/>
    <s v="Furniture"/>
    <s v="Product_C"/>
    <n v="4379"/>
    <n v="5"/>
    <n v="0.17"/>
    <n v="884"/>
    <s v="UPI"/>
    <n v="18172.849999999999"/>
    <s v="Nov"/>
    <n v="2024"/>
    <s v="Q4"/>
    <n v="4.8643993649867802E-2"/>
    <n v="3722.15"/>
    <x v="0"/>
    <x v="0"/>
    <s v="Above Avg"/>
    <s v="Profit"/>
    <n v="90"/>
  </r>
  <r>
    <n v="326"/>
    <x v="325"/>
    <n v="1093"/>
    <s v="Customer_76"/>
    <s v="Corporate"/>
    <s v="East"/>
    <s v="Clothing"/>
    <s v="Product_C"/>
    <n v="635"/>
    <n v="3"/>
    <n v="0.21"/>
    <n v="895"/>
    <s v="Card"/>
    <n v="1504.95"/>
    <s v="Nov"/>
    <n v="2024"/>
    <s v="Q4"/>
    <n v="0.59470414299478391"/>
    <n v="400.05"/>
    <x v="2"/>
    <x v="0"/>
    <s v="Below Avg"/>
    <s v="Profit"/>
    <n v="457"/>
  </r>
  <r>
    <n v="327"/>
    <x v="326"/>
    <n v="1070"/>
    <s v="Customer_191"/>
    <s v="Consumer"/>
    <s v="East"/>
    <s v="Furniture"/>
    <s v="Product_B"/>
    <n v="2260"/>
    <n v="3"/>
    <n v="0.11"/>
    <n v="1691"/>
    <s v="UPI"/>
    <n v="6034.2"/>
    <s v="Nov"/>
    <n v="2024"/>
    <s v="Q4"/>
    <n v="0.28023598820058998"/>
    <n v="745.8"/>
    <x v="0"/>
    <x v="0"/>
    <s v="Below Avg"/>
    <s v="Profit"/>
    <n v="295"/>
  </r>
  <r>
    <n v="328"/>
    <x v="327"/>
    <n v="1058"/>
    <s v="Customer_198"/>
    <s v="Consumer"/>
    <s v="West"/>
    <s v="Furniture"/>
    <s v="Product_C"/>
    <n v="4341"/>
    <n v="7"/>
    <n v="0.08"/>
    <n v="-164"/>
    <s v="COD"/>
    <n v="27956.04"/>
    <s v="Nov"/>
    <n v="2024"/>
    <s v="Q4"/>
    <n v="-5.8663530314021581E-3"/>
    <n v="2430.96"/>
    <x v="0"/>
    <x v="0"/>
    <s v="Above Avg"/>
    <s v="Loss"/>
    <n v="32"/>
  </r>
  <r>
    <n v="329"/>
    <x v="328"/>
    <n v="1029"/>
    <s v="Customer_178"/>
    <s v="Consumer"/>
    <s v="West"/>
    <s v="Electronics"/>
    <s v="Product_C"/>
    <n v="2929"/>
    <n v="6"/>
    <n v="0.08"/>
    <n v="122"/>
    <s v="COD"/>
    <n v="16168.08"/>
    <s v="Nov"/>
    <n v="2024"/>
    <s v="Q4"/>
    <n v="7.5457320844528235E-3"/>
    <n v="1405.92"/>
    <x v="0"/>
    <x v="0"/>
    <s v="Above Avg"/>
    <s v="Profit"/>
    <n v="123"/>
  </r>
  <r>
    <n v="330"/>
    <x v="329"/>
    <n v="1081"/>
    <s v="Customer_80"/>
    <s v="Corporate"/>
    <s v="North"/>
    <s v="Furniture"/>
    <s v="Product_A"/>
    <n v="4483"/>
    <n v="3"/>
    <n v="0.28000000000000003"/>
    <n v="1527"/>
    <s v="Card"/>
    <n v="9683.2799999999897"/>
    <s v="Nov"/>
    <n v="2024"/>
    <s v="Q4"/>
    <n v="0.15769450021067258"/>
    <n v="3765.7200000000003"/>
    <x v="0"/>
    <x v="0"/>
    <s v="Below Avg"/>
    <s v="Profit"/>
    <n v="209"/>
  </r>
  <r>
    <n v="331"/>
    <x v="330"/>
    <n v="1021"/>
    <s v="Customer_196"/>
    <s v="Corporate"/>
    <s v="South"/>
    <s v="Electronics"/>
    <s v="Product_C"/>
    <n v="1725"/>
    <n v="9"/>
    <n v="0.19"/>
    <n v="508"/>
    <s v="COD"/>
    <n v="12575.25"/>
    <s v="Nov"/>
    <n v="2024"/>
    <s v="Q4"/>
    <n v="4.0396811196596487E-2"/>
    <n v="2949.75"/>
    <x v="0"/>
    <x v="0"/>
    <s v="Above Avg"/>
    <s v="Profit"/>
    <n v="162"/>
  </r>
  <r>
    <n v="332"/>
    <x v="331"/>
    <n v="1016"/>
    <s v="Customer_153"/>
    <s v="Consumer"/>
    <s v="South"/>
    <s v="Furniture"/>
    <s v="Product_B"/>
    <n v="4547"/>
    <n v="7"/>
    <n v="0.23"/>
    <n v="695"/>
    <s v="UPI"/>
    <n v="24508.33"/>
    <s v="Nov"/>
    <n v="2024"/>
    <s v="Q4"/>
    <n v="2.8357705318967058E-2"/>
    <n v="7320.67"/>
    <x v="0"/>
    <x v="0"/>
    <s v="Above Avg"/>
    <s v="Profit"/>
    <n v="47"/>
  </r>
  <r>
    <n v="333"/>
    <x v="332"/>
    <n v="1030"/>
    <s v="Customer_33"/>
    <s v="Consumer"/>
    <s v="South"/>
    <s v="Electronics"/>
    <s v="Product_B"/>
    <n v="2252"/>
    <n v="8"/>
    <n v="0.17"/>
    <n v="1739"/>
    <s v="Card"/>
    <n v="14953.279999999901"/>
    <s v="Nov"/>
    <n v="2024"/>
    <s v="Q4"/>
    <n v="0.11629555522266764"/>
    <n v="3062.7200000000003"/>
    <x v="0"/>
    <x v="0"/>
    <s v="Above Avg"/>
    <s v="Profit"/>
    <n v="140"/>
  </r>
  <r>
    <n v="334"/>
    <x v="333"/>
    <n v="1055"/>
    <s v="Customer_1"/>
    <s v="Corporate"/>
    <s v="West"/>
    <s v="Clothing"/>
    <s v="Product_B"/>
    <n v="3427"/>
    <n v="4"/>
    <n v="0.19"/>
    <n v="922"/>
    <s v="Card"/>
    <n v="11103.48"/>
    <s v="Nov"/>
    <n v="2024"/>
    <s v="Q4"/>
    <n v="8.3037029832088688E-2"/>
    <n v="2604.52"/>
    <x v="0"/>
    <x v="0"/>
    <s v="Above Avg"/>
    <s v="Profit"/>
    <n v="188"/>
  </r>
  <r>
    <n v="335"/>
    <x v="334"/>
    <n v="1080"/>
    <s v="Customer_79"/>
    <s v="Consumer"/>
    <s v="North"/>
    <s v="Clothing"/>
    <s v="Product_A"/>
    <n v="370"/>
    <n v="7"/>
    <n v="0.08"/>
    <n v="1381"/>
    <s v="Card"/>
    <n v="2382.8000000000002"/>
    <s v="Nov"/>
    <n v="2024"/>
    <s v="Q4"/>
    <n v="0.57957025348329694"/>
    <n v="207.20000000000002"/>
    <x v="1"/>
    <x v="0"/>
    <s v="Below Avg"/>
    <s v="Profit"/>
    <n v="413"/>
  </r>
  <r>
    <n v="336"/>
    <x v="335"/>
    <n v="1030"/>
    <s v="Customer_128"/>
    <s v="Consumer"/>
    <s v="South"/>
    <s v="Electronics"/>
    <s v="Product_D"/>
    <n v="4426"/>
    <n v="9"/>
    <n v="0.27"/>
    <n v="-447"/>
    <s v="Card"/>
    <n v="29078.82"/>
    <s v="Dec"/>
    <n v="2024"/>
    <s v="Q4"/>
    <n v="-1.537201303216568E-2"/>
    <n v="10755.18"/>
    <x v="0"/>
    <x v="0"/>
    <s v="Above Avg"/>
    <s v="Loss"/>
    <n v="26"/>
  </r>
  <r>
    <n v="337"/>
    <x v="336"/>
    <n v="1012"/>
    <s v="Customer_145"/>
    <s v="Corporate"/>
    <s v="West"/>
    <s v="Clothing"/>
    <s v="Product_C"/>
    <n v="3915"/>
    <n v="8"/>
    <n v="0.15"/>
    <n v="-47"/>
    <s v="Card"/>
    <n v="26622"/>
    <s v="Dec"/>
    <n v="2024"/>
    <s v="Q4"/>
    <n v="-1.7654571407106905E-3"/>
    <n v="4698"/>
    <x v="0"/>
    <x v="0"/>
    <s v="Above Avg"/>
    <s v="Loss"/>
    <n v="36"/>
  </r>
  <r>
    <n v="338"/>
    <x v="337"/>
    <n v="1090"/>
    <s v="Customer_171"/>
    <s v="Consumer"/>
    <s v="North"/>
    <s v="Furniture"/>
    <s v="Product_B"/>
    <n v="1456"/>
    <n v="7"/>
    <n v="0.24"/>
    <n v="-31"/>
    <s v="Card"/>
    <n v="7745.92"/>
    <s v="Dec"/>
    <n v="2024"/>
    <s v="Q4"/>
    <n v="-4.0021069156407499E-3"/>
    <n v="2446.08"/>
    <x v="0"/>
    <x v="0"/>
    <s v="Below Avg"/>
    <s v="Loss"/>
    <n v="258"/>
  </r>
  <r>
    <n v="339"/>
    <x v="338"/>
    <n v="1083"/>
    <s v="Customer_186"/>
    <s v="Corporate"/>
    <s v="East"/>
    <s v="Electronics"/>
    <s v="Product_A"/>
    <n v="4189"/>
    <n v="5"/>
    <n v="0.16"/>
    <n v="798"/>
    <s v="Card"/>
    <n v="17593.8"/>
    <s v="Dec"/>
    <n v="2024"/>
    <s v="Q4"/>
    <n v="4.5356887085223209E-2"/>
    <n v="3351.2000000000003"/>
    <x v="0"/>
    <x v="0"/>
    <s v="Above Avg"/>
    <s v="Profit"/>
    <n v="95"/>
  </r>
  <r>
    <n v="340"/>
    <x v="339"/>
    <n v="1016"/>
    <s v="Customer_147"/>
    <s v="Consumer"/>
    <s v="East"/>
    <s v="Electronics"/>
    <s v="Product_C"/>
    <n v="190"/>
    <n v="8"/>
    <n v="0.03"/>
    <n v="728"/>
    <s v="Card"/>
    <n v="1474.3999999999901"/>
    <s v="Dec"/>
    <n v="2024"/>
    <s v="Q4"/>
    <n v="0.4937601736299545"/>
    <n v="45.6"/>
    <x v="2"/>
    <x v="0"/>
    <s v="Below Avg"/>
    <s v="Profit"/>
    <n v="458"/>
  </r>
  <r>
    <n v="341"/>
    <x v="340"/>
    <n v="1092"/>
    <s v="Customer_54"/>
    <s v="Corporate"/>
    <s v="East"/>
    <s v="Clothing"/>
    <s v="Product_D"/>
    <n v="2277"/>
    <n v="8"/>
    <n v="0.03"/>
    <n v="297"/>
    <s v="UPI"/>
    <n v="17669.52"/>
    <s v="Dec"/>
    <n v="2024"/>
    <s v="Q4"/>
    <n v="1.6808606006275213E-2"/>
    <n v="546.48"/>
    <x v="0"/>
    <x v="0"/>
    <s v="Above Avg"/>
    <s v="Profit"/>
    <n v="94"/>
  </r>
  <r>
    <n v="342"/>
    <x v="341"/>
    <n v="1038"/>
    <s v="Customer_114"/>
    <s v="Corporate"/>
    <s v="West"/>
    <s v="Electronics"/>
    <s v="Product_A"/>
    <n v="1830"/>
    <n v="4"/>
    <n v="0.14000000000000001"/>
    <n v="898"/>
    <s v="COD"/>
    <n v="6295.2"/>
    <s v="Dec"/>
    <n v="2024"/>
    <s v="Q4"/>
    <n v="0.14264836700978523"/>
    <n v="1024.8000000000002"/>
    <x v="0"/>
    <x v="0"/>
    <s v="Below Avg"/>
    <s v="Profit"/>
    <n v="291"/>
  </r>
  <r>
    <n v="343"/>
    <x v="342"/>
    <n v="1098"/>
    <s v="Customer_83"/>
    <s v="Corporate"/>
    <s v="East"/>
    <s v="Clothing"/>
    <s v="Product_B"/>
    <n v="2458"/>
    <n v="9"/>
    <n v="0.13"/>
    <n v="-443"/>
    <s v="COD"/>
    <n v="19246.14"/>
    <s v="Dec"/>
    <n v="2024"/>
    <s v="Q4"/>
    <n v="-2.3017602490681251E-2"/>
    <n v="2875.86"/>
    <x v="0"/>
    <x v="0"/>
    <s v="Above Avg"/>
    <s v="Loss"/>
    <n v="83"/>
  </r>
  <r>
    <n v="344"/>
    <x v="343"/>
    <n v="1007"/>
    <s v="Customer_84"/>
    <s v="Consumer"/>
    <s v="East"/>
    <s v="Electronics"/>
    <s v="Product_B"/>
    <n v="2809"/>
    <n v="1"/>
    <n v="0.27"/>
    <n v="-352"/>
    <s v="COD"/>
    <n v="2050.5700000000002"/>
    <s v="Dec"/>
    <n v="2024"/>
    <s v="Q4"/>
    <n v="-0.17165958733425338"/>
    <n v="758.43000000000006"/>
    <x v="1"/>
    <x v="0"/>
    <s v="Below Avg"/>
    <s v="Loss"/>
    <n v="426"/>
  </r>
  <r>
    <n v="345"/>
    <x v="344"/>
    <n v="1037"/>
    <s v="Customer_1"/>
    <s v="Consumer"/>
    <s v="North"/>
    <s v="Clothing"/>
    <s v="Product_D"/>
    <n v="448"/>
    <n v="9"/>
    <n v="0.04"/>
    <n v="1096"/>
    <s v="COD"/>
    <n v="3870.72"/>
    <s v="Dec"/>
    <n v="2024"/>
    <s v="Q4"/>
    <n v="0.28315145502645506"/>
    <n v="161.28"/>
    <x v="1"/>
    <x v="0"/>
    <s v="Below Avg"/>
    <s v="Profit"/>
    <n v="358"/>
  </r>
  <r>
    <n v="346"/>
    <x v="345"/>
    <n v="1014"/>
    <s v="Customer_144"/>
    <s v="Consumer"/>
    <s v="East"/>
    <s v="Clothing"/>
    <s v="Product_C"/>
    <n v="4977"/>
    <n v="1"/>
    <n v="0.21"/>
    <n v="294"/>
    <s v="Card"/>
    <n v="3931.83"/>
    <s v="Dec"/>
    <n v="2024"/>
    <s v="Q4"/>
    <n v="7.4774341718741658E-2"/>
    <n v="1045.17"/>
    <x v="1"/>
    <x v="0"/>
    <s v="Below Avg"/>
    <s v="Profit"/>
    <n v="357"/>
  </r>
  <r>
    <n v="347"/>
    <x v="346"/>
    <n v="1000"/>
    <s v="Customer_152"/>
    <s v="Consumer"/>
    <s v="East"/>
    <s v="Furniture"/>
    <s v="Product_A"/>
    <n v="4432"/>
    <n v="5"/>
    <n v="0.28000000000000003"/>
    <n v="1809"/>
    <s v="UPI"/>
    <n v="15955.199999999901"/>
    <s v="Dec"/>
    <n v="2024"/>
    <s v="Q4"/>
    <n v="0.11337996389891768"/>
    <n v="6204.8"/>
    <x v="0"/>
    <x v="0"/>
    <s v="Above Avg"/>
    <s v="Profit"/>
    <n v="130"/>
  </r>
  <r>
    <n v="348"/>
    <x v="347"/>
    <n v="1096"/>
    <s v="Customer_192"/>
    <s v="Corporate"/>
    <s v="West"/>
    <s v="Furniture"/>
    <s v="Product_A"/>
    <n v="1393"/>
    <n v="6"/>
    <n v="0.12"/>
    <n v="1693"/>
    <s v="Card"/>
    <n v="7355.04"/>
    <s v="Dec"/>
    <n v="2024"/>
    <s v="Q4"/>
    <n v="0.23018229676521135"/>
    <n v="1002.9599999999999"/>
    <x v="0"/>
    <x v="0"/>
    <s v="Below Avg"/>
    <s v="Profit"/>
    <n v="266"/>
  </r>
  <r>
    <n v="349"/>
    <x v="348"/>
    <n v="1002"/>
    <s v="Customer_186"/>
    <s v="Consumer"/>
    <s v="West"/>
    <s v="Electronics"/>
    <s v="Product_C"/>
    <n v="4564"/>
    <n v="5"/>
    <n v="0.27"/>
    <n v="710"/>
    <s v="UPI"/>
    <n v="16658.599999999999"/>
    <s v="Dec"/>
    <n v="2024"/>
    <s v="Q4"/>
    <n v="4.2620628384137924E-2"/>
    <n v="6161.4000000000005"/>
    <x v="0"/>
    <x v="0"/>
    <s v="Above Avg"/>
    <s v="Profit"/>
    <n v="111"/>
  </r>
  <r>
    <n v="350"/>
    <x v="349"/>
    <n v="1037"/>
    <s v="Customer_152"/>
    <s v="Consumer"/>
    <s v="West"/>
    <s v="Clothing"/>
    <s v="Product_B"/>
    <n v="2447"/>
    <n v="4"/>
    <n v="0.04"/>
    <n v="-339"/>
    <s v="UPI"/>
    <n v="9396.48"/>
    <s v="Dec"/>
    <n v="2024"/>
    <s v="Q4"/>
    <n v="-3.6077339599509609E-2"/>
    <n v="391.52"/>
    <x v="0"/>
    <x v="0"/>
    <s v="Below Avg"/>
    <s v="Loss"/>
    <n v="221"/>
  </r>
  <r>
    <n v="351"/>
    <x v="350"/>
    <n v="1047"/>
    <s v="Customer_186"/>
    <s v="Consumer"/>
    <s v="East"/>
    <s v="Furniture"/>
    <s v="Product_C"/>
    <n v="3091"/>
    <n v="5"/>
    <n v="0.03"/>
    <n v="644"/>
    <s v="UPI"/>
    <n v="14991.35"/>
    <s v="Dec"/>
    <n v="2024"/>
    <s v="Q4"/>
    <n v="4.2958105841034995E-2"/>
    <n v="463.65"/>
    <x v="0"/>
    <x v="0"/>
    <s v="Above Avg"/>
    <s v="Profit"/>
    <n v="139"/>
  </r>
  <r>
    <n v="352"/>
    <x v="351"/>
    <n v="1062"/>
    <s v="Customer_101"/>
    <s v="Consumer"/>
    <s v="North"/>
    <s v="Electronics"/>
    <s v="Product_C"/>
    <n v="2900"/>
    <n v="7"/>
    <n v="7.0000000000000007E-2"/>
    <n v="1932"/>
    <s v="UPI"/>
    <n v="18879"/>
    <s v="Dec"/>
    <n v="2024"/>
    <s v="Q4"/>
    <n v="0.10233592880978866"/>
    <n v="1421.0000000000002"/>
    <x v="0"/>
    <x v="0"/>
    <s v="Above Avg"/>
    <s v="Profit"/>
    <n v="85"/>
  </r>
  <r>
    <n v="353"/>
    <x v="352"/>
    <n v="1061"/>
    <s v="Customer_192"/>
    <s v="Consumer"/>
    <s v="South"/>
    <s v="Clothing"/>
    <s v="Product_C"/>
    <n v="4356"/>
    <n v="2"/>
    <n v="0.16"/>
    <n v="332"/>
    <s v="COD"/>
    <n v="7318.08"/>
    <s v="Dec"/>
    <n v="2024"/>
    <s v="Q4"/>
    <n v="4.5367090821636279E-2"/>
    <n v="1393.92"/>
    <x v="0"/>
    <x v="0"/>
    <s v="Below Avg"/>
    <s v="Profit"/>
    <n v="268"/>
  </r>
  <r>
    <n v="354"/>
    <x v="353"/>
    <n v="1014"/>
    <s v="Customer_169"/>
    <s v="Corporate"/>
    <s v="West"/>
    <s v="Furniture"/>
    <s v="Product_B"/>
    <n v="1224"/>
    <n v="7"/>
    <n v="0.19"/>
    <n v="210"/>
    <s v="COD"/>
    <n v="6940.08"/>
    <s v="Dec"/>
    <n v="2024"/>
    <s v="Q4"/>
    <n v="3.0259017187121762E-2"/>
    <n v="1627.92"/>
    <x v="0"/>
    <x v="0"/>
    <s v="Below Avg"/>
    <s v="Profit"/>
    <n v="275"/>
  </r>
  <r>
    <n v="355"/>
    <x v="354"/>
    <n v="1061"/>
    <s v="Customer_161"/>
    <s v="Consumer"/>
    <s v="North"/>
    <s v="Clothing"/>
    <s v="Product_B"/>
    <n v="673"/>
    <n v="9"/>
    <n v="0.23"/>
    <n v="944"/>
    <s v="UPI"/>
    <n v="4663.8900000000003"/>
    <s v="Dec"/>
    <n v="2024"/>
    <s v="Q4"/>
    <n v="0.20240614594255008"/>
    <n v="1393.1100000000001"/>
    <x v="1"/>
    <x v="0"/>
    <s v="Below Avg"/>
    <s v="Profit"/>
    <n v="332"/>
  </r>
  <r>
    <n v="356"/>
    <x v="355"/>
    <n v="1081"/>
    <s v="Customer_186"/>
    <s v="Corporate"/>
    <s v="East"/>
    <s v="Furniture"/>
    <s v="Product_A"/>
    <n v="4179"/>
    <n v="7"/>
    <n v="0.23"/>
    <n v="-144"/>
    <s v="UPI"/>
    <n v="22524.81"/>
    <s v="Dec"/>
    <n v="2024"/>
    <s v="Q4"/>
    <n v="-6.3929507063544598E-3"/>
    <n v="6728.1900000000005"/>
    <x v="0"/>
    <x v="0"/>
    <s v="Above Avg"/>
    <s v="Loss"/>
    <n v="62"/>
  </r>
  <r>
    <n v="357"/>
    <x v="356"/>
    <n v="1037"/>
    <s v="Customer_125"/>
    <s v="Consumer"/>
    <s v="West"/>
    <s v="Clothing"/>
    <s v="Product_C"/>
    <n v="928"/>
    <n v="4"/>
    <n v="0.03"/>
    <n v="182"/>
    <s v="Card"/>
    <n v="3600.64"/>
    <s v="Dec"/>
    <n v="2024"/>
    <s v="Q4"/>
    <n v="5.0546569498755779E-2"/>
    <n v="111.36"/>
    <x v="1"/>
    <x v="0"/>
    <s v="Below Avg"/>
    <s v="Profit"/>
    <n v="368"/>
  </r>
  <r>
    <n v="358"/>
    <x v="357"/>
    <n v="1094"/>
    <s v="Customer_184"/>
    <s v="Consumer"/>
    <s v="North"/>
    <s v="Electronics"/>
    <s v="Product_C"/>
    <n v="570"/>
    <n v="8"/>
    <n v="0.26"/>
    <n v="1134"/>
    <s v="UPI"/>
    <n v="3374.4"/>
    <s v="Dec"/>
    <n v="2024"/>
    <s v="Q4"/>
    <n v="0.33605974395448079"/>
    <n v="1185.6000000000001"/>
    <x v="1"/>
    <x v="0"/>
    <s v="Below Avg"/>
    <s v="Profit"/>
    <n v="382"/>
  </r>
  <r>
    <n v="359"/>
    <x v="358"/>
    <n v="1019"/>
    <s v="Customer_95"/>
    <s v="Corporate"/>
    <s v="South"/>
    <s v="Furniture"/>
    <s v="Product_B"/>
    <n v="4250"/>
    <n v="8"/>
    <n v="0.03"/>
    <n v="335"/>
    <s v="Card"/>
    <n v="32980"/>
    <s v="Dec"/>
    <n v="2024"/>
    <s v="Q4"/>
    <n v="1.015767131594906E-2"/>
    <n v="1020"/>
    <x v="0"/>
    <x v="0"/>
    <s v="Above Avg"/>
    <s v="Profit"/>
    <n v="17"/>
  </r>
  <r>
    <n v="360"/>
    <x v="359"/>
    <n v="1058"/>
    <s v="Customer_15"/>
    <s v="Corporate"/>
    <s v="North"/>
    <s v="Clothing"/>
    <s v="Product_B"/>
    <n v="2351"/>
    <n v="9"/>
    <n v="0.27"/>
    <n v="28"/>
    <s v="COD"/>
    <n v="15446.07"/>
    <s v="Dec"/>
    <n v="2024"/>
    <s v="Q4"/>
    <n v="1.8127588441590645E-3"/>
    <n v="5712.93"/>
    <x v="0"/>
    <x v="0"/>
    <s v="Above Avg"/>
    <s v="Profit"/>
    <n v="135"/>
  </r>
  <r>
    <n v="361"/>
    <x v="360"/>
    <n v="1006"/>
    <s v="Customer_65"/>
    <s v="Corporate"/>
    <s v="East"/>
    <s v="Furniture"/>
    <s v="Product_C"/>
    <n v="4067"/>
    <n v="6"/>
    <n v="0.28999999999999998"/>
    <n v="1213"/>
    <s v="UPI"/>
    <n v="17325.419999999998"/>
    <s v="Dec"/>
    <n v="2024"/>
    <s v="Q4"/>
    <n v="7.0012732736060665E-2"/>
    <n v="7076.58"/>
    <x v="0"/>
    <x v="0"/>
    <s v="Above Avg"/>
    <s v="Profit"/>
    <n v="102"/>
  </r>
  <r>
    <n v="362"/>
    <x v="361"/>
    <n v="1090"/>
    <s v="Customer_113"/>
    <s v="Corporate"/>
    <s v="West"/>
    <s v="Furniture"/>
    <s v="Product_D"/>
    <n v="2732"/>
    <n v="1"/>
    <n v="0.18"/>
    <n v="547"/>
    <s v="COD"/>
    <n v="2240.2399999999998"/>
    <s v="Dec"/>
    <n v="2024"/>
    <s v="Q4"/>
    <n v="0.24417026747134238"/>
    <n v="491.76"/>
    <x v="1"/>
    <x v="0"/>
    <s v="Below Avg"/>
    <s v="Profit"/>
    <n v="418"/>
  </r>
  <r>
    <n v="363"/>
    <x v="362"/>
    <n v="1071"/>
    <s v="Customer_140"/>
    <s v="Consumer"/>
    <s v="North"/>
    <s v="Clothing"/>
    <s v="Product_B"/>
    <n v="4332"/>
    <n v="9"/>
    <n v="0.21"/>
    <n v="1493"/>
    <s v="COD"/>
    <n v="30800.52"/>
    <s v="Dec"/>
    <n v="2024"/>
    <s v="Q4"/>
    <n v="4.8473207595196445E-2"/>
    <n v="8187.48"/>
    <x v="0"/>
    <x v="0"/>
    <s v="Above Avg"/>
    <s v="Profit"/>
    <n v="22"/>
  </r>
  <r>
    <n v="364"/>
    <x v="363"/>
    <n v="1077"/>
    <s v="Customer_163"/>
    <s v="Consumer"/>
    <s v="North"/>
    <s v="Electronics"/>
    <s v="Product_D"/>
    <n v="1198"/>
    <n v="9"/>
    <n v="0.11"/>
    <n v="-189"/>
    <s v="UPI"/>
    <n v="9595.98"/>
    <s v="Dec"/>
    <n v="2024"/>
    <s v="Q4"/>
    <n v="-1.9695747594305115E-2"/>
    <n v="1186.02"/>
    <x v="0"/>
    <x v="0"/>
    <s v="Below Avg"/>
    <s v="Loss"/>
    <n v="212"/>
  </r>
  <r>
    <n v="365"/>
    <x v="364"/>
    <n v="1078"/>
    <s v="Customer_37"/>
    <s v="Consumer"/>
    <s v="North"/>
    <s v="Furniture"/>
    <s v="Product_C"/>
    <n v="3189"/>
    <n v="1"/>
    <n v="0.17"/>
    <n v="159"/>
    <s v="UPI"/>
    <n v="2646.87"/>
    <s v="Dec"/>
    <n v="2024"/>
    <s v="Q4"/>
    <n v="6.0070951727889926E-2"/>
    <n v="542.13"/>
    <x v="1"/>
    <x v="0"/>
    <s v="Below Avg"/>
    <s v="Profit"/>
    <n v="407"/>
  </r>
  <r>
    <n v="366"/>
    <x v="365"/>
    <n v="1070"/>
    <s v="Customer_30"/>
    <s v="Corporate"/>
    <s v="West"/>
    <s v="Clothing"/>
    <s v="Product_C"/>
    <n v="531"/>
    <n v="9"/>
    <n v="0.25"/>
    <n v="1369"/>
    <s v="COD"/>
    <n v="3584.25"/>
    <s v="Dec"/>
    <n v="2024"/>
    <s v="Q4"/>
    <n v="0.38194880379437818"/>
    <n v="1194.75"/>
    <x v="1"/>
    <x v="0"/>
    <s v="Below Avg"/>
    <s v="Profit"/>
    <n v="371"/>
  </r>
  <r>
    <n v="367"/>
    <x v="366"/>
    <n v="1096"/>
    <s v="Customer_11"/>
    <s v="Corporate"/>
    <s v="North"/>
    <s v="Electronics"/>
    <s v="Product_D"/>
    <n v="1333"/>
    <n v="1"/>
    <n v="0.05"/>
    <n v="-123"/>
    <s v="UPI"/>
    <n v="1266.3499999999999"/>
    <s v="Jan"/>
    <n v="2025"/>
    <s v="Q1"/>
    <n v="-9.7129545544280813E-2"/>
    <n v="66.650000000000006"/>
    <x v="2"/>
    <x v="0"/>
    <s v="Below Avg"/>
    <s v="Loss"/>
    <n v="466"/>
  </r>
  <r>
    <n v="368"/>
    <x v="367"/>
    <n v="1051"/>
    <s v="Customer_188"/>
    <s v="Consumer"/>
    <s v="East"/>
    <s v="Clothing"/>
    <s v="Product_D"/>
    <n v="1629"/>
    <n v="2"/>
    <n v="0.15"/>
    <n v="-281"/>
    <s v="Card"/>
    <n v="2769.2999999999902"/>
    <s v="Jan"/>
    <n v="2025"/>
    <s v="Q1"/>
    <n v="-0.10146968548008559"/>
    <n v="488.7"/>
    <x v="1"/>
    <x v="0"/>
    <s v="Below Avg"/>
    <s v="Loss"/>
    <n v="400"/>
  </r>
  <r>
    <n v="369"/>
    <x v="368"/>
    <n v="1097"/>
    <s v="Customer_32"/>
    <s v="Corporate"/>
    <s v="East"/>
    <s v="Clothing"/>
    <s v="Product_C"/>
    <n v="4451"/>
    <n v="6"/>
    <n v="0.12"/>
    <n v="978"/>
    <s v="UPI"/>
    <n v="23501.279999999999"/>
    <s v="Jan"/>
    <n v="2025"/>
    <s v="Q1"/>
    <n v="4.1614754600600483E-2"/>
    <n v="3204.72"/>
    <x v="0"/>
    <x v="0"/>
    <s v="Above Avg"/>
    <s v="Profit"/>
    <n v="57"/>
  </r>
  <r>
    <n v="370"/>
    <x v="369"/>
    <n v="1003"/>
    <s v="Customer_2"/>
    <s v="Consumer"/>
    <s v="South"/>
    <s v="Furniture"/>
    <s v="Product_D"/>
    <n v="1480"/>
    <n v="7"/>
    <n v="0.26"/>
    <n v="1989"/>
    <s v="UPI"/>
    <n v="7666.4"/>
    <s v="Jan"/>
    <n v="2025"/>
    <s v="Q1"/>
    <n v="0.25944380674110407"/>
    <n v="2693.6"/>
    <x v="0"/>
    <x v="0"/>
    <s v="Below Avg"/>
    <s v="Profit"/>
    <n v="261"/>
  </r>
  <r>
    <n v="371"/>
    <x v="370"/>
    <n v="1000"/>
    <s v="Customer_138"/>
    <s v="Corporate"/>
    <s v="South"/>
    <s v="Clothing"/>
    <s v="Product_C"/>
    <n v="241"/>
    <n v="7"/>
    <n v="0.04"/>
    <n v="967"/>
    <s v="COD"/>
    <n v="1619.52"/>
    <s v="Jan"/>
    <n v="2025"/>
    <s v="Q1"/>
    <n v="0.5970904959494171"/>
    <n v="67.48"/>
    <x v="2"/>
    <x v="0"/>
    <s v="Below Avg"/>
    <s v="Profit"/>
    <n v="452"/>
  </r>
  <r>
    <n v="372"/>
    <x v="371"/>
    <n v="1077"/>
    <s v="Customer_124"/>
    <s v="Corporate"/>
    <s v="South"/>
    <s v="Clothing"/>
    <s v="Product_D"/>
    <n v="1316"/>
    <n v="6"/>
    <n v="0.27"/>
    <n v="-31"/>
    <s v="COD"/>
    <n v="5764.08"/>
    <s v="Jan"/>
    <n v="2025"/>
    <s v="Q1"/>
    <n v="-5.3781349322008024E-3"/>
    <n v="2131.92"/>
    <x v="0"/>
    <x v="0"/>
    <s v="Below Avg"/>
    <s v="Loss"/>
    <n v="302"/>
  </r>
  <r>
    <n v="373"/>
    <x v="372"/>
    <n v="1094"/>
    <s v="Customer_174"/>
    <s v="Consumer"/>
    <s v="West"/>
    <s v="Electronics"/>
    <s v="Product_C"/>
    <n v="3947"/>
    <n v="8"/>
    <n v="0.08"/>
    <n v="655"/>
    <s v="COD"/>
    <n v="29049.919999999998"/>
    <s v="Jan"/>
    <n v="2025"/>
    <s v="Q1"/>
    <n v="2.2547394278538462E-2"/>
    <n v="2526.08"/>
    <x v="0"/>
    <x v="0"/>
    <s v="Above Avg"/>
    <s v="Profit"/>
    <n v="27"/>
  </r>
  <r>
    <n v="374"/>
    <x v="373"/>
    <n v="1037"/>
    <s v="Customer_22"/>
    <s v="Consumer"/>
    <s v="East"/>
    <s v="Furniture"/>
    <s v="Product_B"/>
    <n v="4287"/>
    <n v="8"/>
    <n v="0.18"/>
    <n v="312"/>
    <s v="UPI"/>
    <n v="28122.720000000001"/>
    <s v="Jan"/>
    <n v="2025"/>
    <s v="Q1"/>
    <n v="1.1094232705798016E-2"/>
    <n v="6173.28"/>
    <x v="0"/>
    <x v="0"/>
    <s v="Above Avg"/>
    <s v="Profit"/>
    <n v="30"/>
  </r>
  <r>
    <n v="375"/>
    <x v="374"/>
    <n v="1052"/>
    <s v="Customer_73"/>
    <s v="Corporate"/>
    <s v="East"/>
    <s v="Clothing"/>
    <s v="Product_C"/>
    <n v="1876"/>
    <n v="1"/>
    <n v="0.11"/>
    <n v="486"/>
    <s v="Card"/>
    <n v="1669.64"/>
    <s v="Jan"/>
    <n v="2025"/>
    <s v="Q1"/>
    <n v="0.29108071200977453"/>
    <n v="206.36"/>
    <x v="2"/>
    <x v="0"/>
    <s v="Below Avg"/>
    <s v="Profit"/>
    <n v="448"/>
  </r>
  <r>
    <n v="376"/>
    <x v="375"/>
    <n v="1083"/>
    <s v="Customer_118"/>
    <s v="Corporate"/>
    <s v="South"/>
    <s v="Furniture"/>
    <s v="Product_C"/>
    <n v="3751"/>
    <n v="9"/>
    <n v="0.28000000000000003"/>
    <n v="339"/>
    <s v="COD"/>
    <n v="24306.48"/>
    <s v="Jan"/>
    <n v="2025"/>
    <s v="Q1"/>
    <n v="1.3946898111120985E-2"/>
    <n v="9452.52"/>
    <x v="0"/>
    <x v="0"/>
    <s v="Above Avg"/>
    <s v="Profit"/>
    <n v="49"/>
  </r>
  <r>
    <n v="377"/>
    <x v="376"/>
    <n v="1002"/>
    <s v="Customer_55"/>
    <s v="Consumer"/>
    <s v="South"/>
    <s v="Electronics"/>
    <s v="Product_B"/>
    <n v="2552"/>
    <n v="4"/>
    <n v="0.06"/>
    <n v="-131"/>
    <s v="UPI"/>
    <n v="9595.5199999999895"/>
    <s v="Jan"/>
    <n v="2025"/>
    <s v="Q1"/>
    <n v="-1.3652204362035632E-2"/>
    <n v="612.48"/>
    <x v="0"/>
    <x v="0"/>
    <s v="Below Avg"/>
    <s v="Loss"/>
    <n v="213"/>
  </r>
  <r>
    <n v="378"/>
    <x v="377"/>
    <n v="1098"/>
    <s v="Customer_187"/>
    <s v="Corporate"/>
    <s v="North"/>
    <s v="Electronics"/>
    <s v="Product_C"/>
    <n v="817"/>
    <n v="4"/>
    <n v="0.15"/>
    <n v="514"/>
    <s v="UPI"/>
    <n v="2777.7999999999902"/>
    <s v="Jan"/>
    <n v="2025"/>
    <s v="Q1"/>
    <n v="0.18503851969184312"/>
    <n v="490.2"/>
    <x v="1"/>
    <x v="0"/>
    <s v="Below Avg"/>
    <s v="Profit"/>
    <n v="399"/>
  </r>
  <r>
    <n v="379"/>
    <x v="378"/>
    <n v="1096"/>
    <s v="Customer_30"/>
    <s v="Corporate"/>
    <s v="South"/>
    <s v="Clothing"/>
    <s v="Product_B"/>
    <n v="660"/>
    <n v="9"/>
    <n v="7.0000000000000007E-2"/>
    <n v="-250"/>
    <s v="UPI"/>
    <n v="5524.2"/>
    <s v="Jan"/>
    <n v="2025"/>
    <s v="Q1"/>
    <n v="-4.5255421599507621E-2"/>
    <n v="415.8"/>
    <x v="0"/>
    <x v="0"/>
    <s v="Below Avg"/>
    <s v="Loss"/>
    <n v="308"/>
  </r>
  <r>
    <n v="380"/>
    <x v="379"/>
    <n v="1014"/>
    <s v="Customer_181"/>
    <s v="Consumer"/>
    <s v="West"/>
    <s v="Furniture"/>
    <s v="Product_B"/>
    <n v="1004"/>
    <n v="2"/>
    <n v="0.24"/>
    <n v="-339"/>
    <s v="UPI"/>
    <n v="1526.08"/>
    <s v="Jan"/>
    <n v="2025"/>
    <s v="Q1"/>
    <n v="-0.2221377647305515"/>
    <n v="481.91999999999996"/>
    <x v="2"/>
    <x v="0"/>
    <s v="Below Avg"/>
    <s v="Loss"/>
    <n v="456"/>
  </r>
  <r>
    <n v="381"/>
    <x v="380"/>
    <n v="1002"/>
    <s v="Customer_89"/>
    <s v="Consumer"/>
    <s v="South"/>
    <s v="Clothing"/>
    <s v="Product_D"/>
    <n v="1036"/>
    <n v="6"/>
    <n v="0.08"/>
    <n v="162"/>
    <s v="COD"/>
    <n v="5718.72"/>
    <s v="Jan"/>
    <n v="2025"/>
    <s v="Q1"/>
    <n v="2.8328017458452238E-2"/>
    <n v="497.28000000000003"/>
    <x v="0"/>
    <x v="0"/>
    <s v="Below Avg"/>
    <s v="Profit"/>
    <n v="303"/>
  </r>
  <r>
    <n v="382"/>
    <x v="381"/>
    <n v="1091"/>
    <s v="Customer_21"/>
    <s v="Consumer"/>
    <s v="East"/>
    <s v="Furniture"/>
    <s v="Product_C"/>
    <n v="396"/>
    <n v="2"/>
    <n v="0.28999999999999998"/>
    <n v="1960"/>
    <s v="Card"/>
    <n v="562.31999999999903"/>
    <s v="Jan"/>
    <n v="2025"/>
    <s v="Q1"/>
    <n v="3.4855598235879985"/>
    <n v="229.67999999999998"/>
    <x v="2"/>
    <x v="0"/>
    <s v="Below Avg"/>
    <s v="Profit"/>
    <n v="488"/>
  </r>
  <r>
    <n v="383"/>
    <x v="382"/>
    <n v="1090"/>
    <s v="Customer_82"/>
    <s v="Consumer"/>
    <s v="West"/>
    <s v="Furniture"/>
    <s v="Product_B"/>
    <n v="4994"/>
    <n v="9"/>
    <n v="0.28000000000000003"/>
    <n v="992"/>
    <s v="COD"/>
    <n v="32361.119999999999"/>
    <s v="Jan"/>
    <n v="2025"/>
    <s v="Q1"/>
    <n v="3.0654068833217144E-2"/>
    <n v="12584.880000000001"/>
    <x v="0"/>
    <x v="0"/>
    <s v="Above Avg"/>
    <s v="Profit"/>
    <n v="20"/>
  </r>
  <r>
    <n v="384"/>
    <x v="383"/>
    <n v="1032"/>
    <s v="Customer_20"/>
    <s v="Corporate"/>
    <s v="North"/>
    <s v="Electronics"/>
    <s v="Product_A"/>
    <n v="1860"/>
    <n v="3"/>
    <n v="0.14000000000000001"/>
    <n v="1994"/>
    <s v="Card"/>
    <n v="4798.8"/>
    <s v="Jan"/>
    <n v="2025"/>
    <s v="Q1"/>
    <n v="0.41552054680336747"/>
    <n v="781.2"/>
    <x v="1"/>
    <x v="0"/>
    <s v="Below Avg"/>
    <s v="Profit"/>
    <n v="330"/>
  </r>
  <r>
    <n v="385"/>
    <x v="384"/>
    <n v="1082"/>
    <s v="Customer_113"/>
    <s v="Corporate"/>
    <s v="West"/>
    <s v="Clothing"/>
    <s v="Product_C"/>
    <n v="1299"/>
    <n v="6"/>
    <n v="0"/>
    <n v="92"/>
    <s v="UPI"/>
    <n v="7794"/>
    <s v="Jan"/>
    <n v="2025"/>
    <s v="Q1"/>
    <n v="1.1803951757762381E-2"/>
    <n v="0"/>
    <x v="0"/>
    <x v="0"/>
    <s v="Below Avg"/>
    <s v="Profit"/>
    <n v="256"/>
  </r>
  <r>
    <n v="386"/>
    <x v="385"/>
    <n v="1055"/>
    <s v="Customer_167"/>
    <s v="Consumer"/>
    <s v="North"/>
    <s v="Furniture"/>
    <s v="Product_C"/>
    <n v="4386"/>
    <n v="3"/>
    <n v="0.28999999999999998"/>
    <n v="838"/>
    <s v="COD"/>
    <n v="9342.18"/>
    <s v="Jan"/>
    <n v="2025"/>
    <s v="Q1"/>
    <n v="8.9700690845177455E-2"/>
    <n v="3815.8199999999997"/>
    <x v="0"/>
    <x v="0"/>
    <s v="Below Avg"/>
    <s v="Profit"/>
    <n v="224"/>
  </r>
  <r>
    <n v="387"/>
    <x v="386"/>
    <n v="1032"/>
    <s v="Customer_35"/>
    <s v="Consumer"/>
    <s v="North"/>
    <s v="Electronics"/>
    <s v="Product_A"/>
    <n v="3993"/>
    <n v="5"/>
    <n v="0.21"/>
    <n v="1730"/>
    <s v="COD"/>
    <n v="15772.35"/>
    <s v="Jan"/>
    <n v="2025"/>
    <s v="Q1"/>
    <n v="0.10968562072234005"/>
    <n v="4192.6499999999996"/>
    <x v="0"/>
    <x v="0"/>
    <s v="Above Avg"/>
    <s v="Profit"/>
    <n v="132"/>
  </r>
  <r>
    <n v="388"/>
    <x v="387"/>
    <n v="1030"/>
    <s v="Customer_29"/>
    <s v="Consumer"/>
    <s v="East"/>
    <s v="Electronics"/>
    <s v="Product_B"/>
    <n v="1045"/>
    <n v="3"/>
    <n v="0.15"/>
    <n v="1869"/>
    <s v="Card"/>
    <n v="2664.75"/>
    <s v="Jan"/>
    <n v="2025"/>
    <s v="Q1"/>
    <n v="0.70137911623979732"/>
    <n v="470.25"/>
    <x v="1"/>
    <x v="0"/>
    <s v="Below Avg"/>
    <s v="Profit"/>
    <n v="405"/>
  </r>
  <r>
    <n v="389"/>
    <x v="388"/>
    <n v="1003"/>
    <s v="Customer_110"/>
    <s v="Corporate"/>
    <s v="West"/>
    <s v="Furniture"/>
    <s v="Product_C"/>
    <n v="1736"/>
    <n v="8"/>
    <n v="0.18"/>
    <n v="492"/>
    <s v="COD"/>
    <n v="11388.16"/>
    <s v="Jan"/>
    <n v="2025"/>
    <s v="Q1"/>
    <n v="4.3202764976958526E-2"/>
    <n v="2499.8399999999997"/>
    <x v="0"/>
    <x v="0"/>
    <s v="Above Avg"/>
    <s v="Profit"/>
    <n v="183"/>
  </r>
  <r>
    <n v="390"/>
    <x v="389"/>
    <n v="1095"/>
    <s v="Customer_56"/>
    <s v="Consumer"/>
    <s v="North"/>
    <s v="Clothing"/>
    <s v="Product_A"/>
    <n v="2341"/>
    <n v="4"/>
    <n v="0.03"/>
    <n v="1730"/>
    <s v="Card"/>
    <n v="9083.08"/>
    <s v="Jan"/>
    <n v="2025"/>
    <s v="Q1"/>
    <n v="0.19046402762058684"/>
    <n v="280.92"/>
    <x v="0"/>
    <x v="0"/>
    <s v="Below Avg"/>
    <s v="Profit"/>
    <n v="229"/>
  </r>
  <r>
    <n v="391"/>
    <x v="390"/>
    <n v="1091"/>
    <s v="Customer_116"/>
    <s v="Consumer"/>
    <s v="West"/>
    <s v="Clothing"/>
    <s v="Product_C"/>
    <n v="3013"/>
    <n v="3"/>
    <n v="0.05"/>
    <n v="1502"/>
    <s v="COD"/>
    <n v="8587.0499999999993"/>
    <s v="Jan"/>
    <n v="2025"/>
    <s v="Q1"/>
    <n v="0.17491455156310959"/>
    <n v="451.95000000000005"/>
    <x v="0"/>
    <x v="0"/>
    <s v="Below Avg"/>
    <s v="Profit"/>
    <n v="237"/>
  </r>
  <r>
    <n v="392"/>
    <x v="391"/>
    <n v="1079"/>
    <s v="Customer_183"/>
    <s v="Corporate"/>
    <s v="North"/>
    <s v="Clothing"/>
    <s v="Product_D"/>
    <n v="3266"/>
    <n v="8"/>
    <n v="0.19"/>
    <n v="658"/>
    <s v="UPI"/>
    <n v="21163.68"/>
    <s v="Jan"/>
    <n v="2025"/>
    <s v="Q1"/>
    <n v="3.1091001186939134E-2"/>
    <n v="4964.32"/>
    <x v="0"/>
    <x v="0"/>
    <s v="Above Avg"/>
    <s v="Profit"/>
    <n v="73"/>
  </r>
  <r>
    <n v="393"/>
    <x v="392"/>
    <n v="1091"/>
    <s v="Customer_181"/>
    <s v="Consumer"/>
    <s v="South"/>
    <s v="Clothing"/>
    <s v="Product_C"/>
    <n v="4888"/>
    <n v="7"/>
    <n v="0.01"/>
    <n v="249"/>
    <s v="COD"/>
    <n v="33873.839999999997"/>
    <s v="Jan"/>
    <n v="2025"/>
    <s v="Q1"/>
    <n v="7.3508052231456497E-3"/>
    <n v="342.16"/>
    <x v="0"/>
    <x v="0"/>
    <s v="Above Avg"/>
    <s v="Profit"/>
    <n v="15"/>
  </r>
  <r>
    <n v="394"/>
    <x v="393"/>
    <n v="1078"/>
    <s v="Customer_176"/>
    <s v="Corporate"/>
    <s v="South"/>
    <s v="Electronics"/>
    <s v="Product_B"/>
    <n v="4543"/>
    <n v="1"/>
    <n v="0.21"/>
    <n v="62"/>
    <s v="UPI"/>
    <n v="3588.97"/>
    <s v="Jan"/>
    <n v="2025"/>
    <s v="Q1"/>
    <n v="1.7275151366548065E-2"/>
    <n v="954.03"/>
    <x v="1"/>
    <x v="0"/>
    <s v="Below Avg"/>
    <s v="Profit"/>
    <n v="370"/>
  </r>
  <r>
    <n v="395"/>
    <x v="394"/>
    <n v="1021"/>
    <s v="Customer_67"/>
    <s v="Corporate"/>
    <s v="West"/>
    <s v="Clothing"/>
    <s v="Product_B"/>
    <n v="2496"/>
    <n v="3"/>
    <n v="0.28000000000000003"/>
    <n v="455"/>
    <s v="Card"/>
    <n v="5391.36"/>
    <s v="Jan"/>
    <n v="2025"/>
    <s v="Q1"/>
    <n v="8.4394290123456797E-2"/>
    <n v="2096.6400000000003"/>
    <x v="0"/>
    <x v="0"/>
    <s v="Below Avg"/>
    <s v="Profit"/>
    <n v="313"/>
  </r>
  <r>
    <n v="396"/>
    <x v="395"/>
    <n v="1030"/>
    <s v="Customer_183"/>
    <s v="Consumer"/>
    <s v="West"/>
    <s v="Clothing"/>
    <s v="Product_C"/>
    <n v="1506"/>
    <n v="3"/>
    <n v="0.21"/>
    <n v="-309"/>
    <s v="UPI"/>
    <n v="3569.22"/>
    <s v="Jan"/>
    <n v="2025"/>
    <s v="Q1"/>
    <n v="-8.6573537075327389E-2"/>
    <n v="948.78"/>
    <x v="1"/>
    <x v="0"/>
    <s v="Below Avg"/>
    <s v="Loss"/>
    <n v="373"/>
  </r>
  <r>
    <n v="397"/>
    <x v="396"/>
    <n v="1059"/>
    <s v="Customer_32"/>
    <s v="Corporate"/>
    <s v="North"/>
    <s v="Furniture"/>
    <s v="Product_A"/>
    <n v="593"/>
    <n v="4"/>
    <n v="0.17"/>
    <n v="1059"/>
    <s v="Card"/>
    <n v="1968.76"/>
    <s v="Jan"/>
    <n v="2025"/>
    <s v="Q1"/>
    <n v="0.53790202970397616"/>
    <n v="403.24"/>
    <x v="2"/>
    <x v="0"/>
    <s v="Below Avg"/>
    <s v="Profit"/>
    <n v="432"/>
  </r>
  <r>
    <n v="398"/>
    <x v="397"/>
    <n v="1084"/>
    <s v="Customer_58"/>
    <s v="Corporate"/>
    <s v="North"/>
    <s v="Furniture"/>
    <s v="Product_A"/>
    <n v="2132"/>
    <n v="1"/>
    <n v="0.24"/>
    <n v="1264"/>
    <s v="COD"/>
    <n v="1620.32"/>
    <s v="Feb"/>
    <n v="2025"/>
    <s v="Q1"/>
    <n v="0.78009282117112677"/>
    <n v="511.68"/>
    <x v="2"/>
    <x v="0"/>
    <s v="Below Avg"/>
    <s v="Profit"/>
    <n v="451"/>
  </r>
  <r>
    <n v="399"/>
    <x v="398"/>
    <n v="1031"/>
    <s v="Customer_78"/>
    <s v="Consumer"/>
    <s v="North"/>
    <s v="Furniture"/>
    <s v="Product_A"/>
    <n v="160"/>
    <n v="9"/>
    <n v="0.22"/>
    <n v="121"/>
    <s v="UPI"/>
    <n v="1123.2"/>
    <s v="Feb"/>
    <n v="2025"/>
    <s v="Q1"/>
    <n v="0.10772792022792023"/>
    <n v="316.8"/>
    <x v="2"/>
    <x v="1"/>
    <s v="Below Avg"/>
    <s v="Profit"/>
    <n v="473"/>
  </r>
  <r>
    <n v="400"/>
    <x v="399"/>
    <n v="1070"/>
    <s v="Customer_69"/>
    <s v="Consumer"/>
    <s v="East"/>
    <s v="Furniture"/>
    <s v="Product_B"/>
    <n v="1845"/>
    <n v="2"/>
    <n v="0.18"/>
    <n v="-188"/>
    <s v="COD"/>
    <n v="3025.8"/>
    <s v="Feb"/>
    <n v="2025"/>
    <s v="Q1"/>
    <n v="-6.2132328640359571E-2"/>
    <n v="664.19999999999993"/>
    <x v="1"/>
    <x v="0"/>
    <s v="Below Avg"/>
    <s v="Loss"/>
    <n v="391"/>
  </r>
  <r>
    <n v="401"/>
    <x v="400"/>
    <n v="1096"/>
    <s v="Customer_28"/>
    <s v="Consumer"/>
    <s v="East"/>
    <s v="Electronics"/>
    <s v="Product_C"/>
    <n v="3601"/>
    <n v="7"/>
    <n v="0.06"/>
    <n v="774"/>
    <s v="Card"/>
    <n v="23694.5799999999"/>
    <s v="Feb"/>
    <n v="2025"/>
    <s v="Q1"/>
    <n v="3.2665698231410023E-2"/>
    <n v="1512.4199999999998"/>
    <x v="0"/>
    <x v="0"/>
    <s v="Above Avg"/>
    <s v="Profit"/>
    <n v="54"/>
  </r>
  <r>
    <n v="402"/>
    <x v="401"/>
    <n v="1007"/>
    <s v="Customer_72"/>
    <s v="Consumer"/>
    <s v="West"/>
    <s v="Clothing"/>
    <s v="Product_D"/>
    <n v="1056"/>
    <n v="2"/>
    <n v="0"/>
    <n v="1283"/>
    <s v="UPI"/>
    <n v="2112"/>
    <s v="Feb"/>
    <n v="2025"/>
    <s v="Q1"/>
    <n v="0.60748106060606055"/>
    <n v="0"/>
    <x v="1"/>
    <x v="0"/>
    <s v="Below Avg"/>
    <s v="Profit"/>
    <n v="422"/>
  </r>
  <r>
    <n v="403"/>
    <x v="402"/>
    <n v="1077"/>
    <s v="Customer_109"/>
    <s v="Consumer"/>
    <s v="West"/>
    <s v="Clothing"/>
    <s v="Product_D"/>
    <n v="4889"/>
    <n v="8"/>
    <n v="0.14000000000000001"/>
    <n v="517"/>
    <s v="UPI"/>
    <n v="33636.32"/>
    <s v="Feb"/>
    <n v="2025"/>
    <s v="Q1"/>
    <n v="1.5370290210106219E-2"/>
    <n v="5475.68"/>
    <x v="0"/>
    <x v="0"/>
    <s v="Above Avg"/>
    <s v="Profit"/>
    <n v="16"/>
  </r>
  <r>
    <n v="404"/>
    <x v="403"/>
    <n v="1061"/>
    <s v="Customer_60"/>
    <s v="Consumer"/>
    <s v="South"/>
    <s v="Electronics"/>
    <s v="Product_D"/>
    <n v="4231"/>
    <n v="3"/>
    <n v="7.0000000000000007E-2"/>
    <n v="-225"/>
    <s v="UPI"/>
    <n v="11804.49"/>
    <s v="Feb"/>
    <n v="2025"/>
    <s v="Q1"/>
    <n v="-1.9060543911681063E-2"/>
    <n v="888.5100000000001"/>
    <x v="0"/>
    <x v="0"/>
    <s v="Above Avg"/>
    <s v="Loss"/>
    <n v="172"/>
  </r>
  <r>
    <n v="405"/>
    <x v="404"/>
    <n v="1088"/>
    <s v="Customer_13"/>
    <s v="Corporate"/>
    <s v="South"/>
    <s v="Electronics"/>
    <s v="Product_B"/>
    <n v="2954"/>
    <n v="6"/>
    <n v="7.0000000000000007E-2"/>
    <n v="-111"/>
    <s v="COD"/>
    <n v="16483.32"/>
    <s v="Feb"/>
    <n v="2025"/>
    <s v="Q1"/>
    <n v="-6.7340802702368216E-3"/>
    <n v="1240.68"/>
    <x v="0"/>
    <x v="0"/>
    <s v="Above Avg"/>
    <s v="Loss"/>
    <n v="115"/>
  </r>
  <r>
    <n v="406"/>
    <x v="405"/>
    <n v="1095"/>
    <s v="Customer_18"/>
    <s v="Corporate"/>
    <s v="West"/>
    <s v="Electronics"/>
    <s v="Product_D"/>
    <n v="3263"/>
    <n v="8"/>
    <n v="0.15"/>
    <n v="562"/>
    <s v="COD"/>
    <n v="22188.3999999999"/>
    <s v="Feb"/>
    <n v="2025"/>
    <s v="Q1"/>
    <n v="2.5328550053181055E-2"/>
    <n v="3915.6"/>
    <x v="0"/>
    <x v="0"/>
    <s v="Above Avg"/>
    <s v="Profit"/>
    <n v="65"/>
  </r>
  <r>
    <n v="407"/>
    <x v="406"/>
    <n v="1027"/>
    <s v="Customer_179"/>
    <s v="Corporate"/>
    <s v="North"/>
    <s v="Electronics"/>
    <s v="Product_D"/>
    <n v="1024"/>
    <n v="5"/>
    <n v="0.11"/>
    <n v="538"/>
    <s v="COD"/>
    <n v="4556.8"/>
    <s v="Feb"/>
    <n v="2025"/>
    <s v="Q1"/>
    <n v="0.11806530898876404"/>
    <n v="563.20000000000005"/>
    <x v="1"/>
    <x v="0"/>
    <s v="Below Avg"/>
    <s v="Profit"/>
    <n v="337"/>
  </r>
  <r>
    <n v="408"/>
    <x v="407"/>
    <n v="1065"/>
    <s v="Customer_50"/>
    <s v="Consumer"/>
    <s v="East"/>
    <s v="Clothing"/>
    <s v="Product_A"/>
    <n v="2288"/>
    <n v="7"/>
    <n v="0.15"/>
    <n v="634"/>
    <s v="Card"/>
    <n v="13613.6"/>
    <s v="Feb"/>
    <n v="2025"/>
    <s v="Q1"/>
    <n v="4.6571075982840687E-2"/>
    <n v="2402.4"/>
    <x v="0"/>
    <x v="0"/>
    <s v="Above Avg"/>
    <s v="Profit"/>
    <n v="152"/>
  </r>
  <r>
    <n v="409"/>
    <x v="408"/>
    <n v="1016"/>
    <s v="Customer_43"/>
    <s v="Consumer"/>
    <s v="West"/>
    <s v="Electronics"/>
    <s v="Product_A"/>
    <n v="4617"/>
    <n v="9"/>
    <n v="0.08"/>
    <n v="1491"/>
    <s v="Card"/>
    <n v="38228.76"/>
    <s v="Feb"/>
    <n v="2025"/>
    <s v="Q1"/>
    <n v="3.9002049765673799E-2"/>
    <n v="3324.2400000000002"/>
    <x v="0"/>
    <x v="0"/>
    <s v="Above Avg"/>
    <s v="Profit"/>
    <n v="5"/>
  </r>
  <r>
    <n v="410"/>
    <x v="409"/>
    <n v="1090"/>
    <s v="Customer_85"/>
    <s v="Consumer"/>
    <s v="West"/>
    <s v="Clothing"/>
    <s v="Product_D"/>
    <n v="1303"/>
    <n v="5"/>
    <n v="0.18"/>
    <n v="826"/>
    <s v="Card"/>
    <n v="5342.3"/>
    <s v="Feb"/>
    <n v="2025"/>
    <s v="Q1"/>
    <n v="0.15461505344140164"/>
    <n v="1172.7"/>
    <x v="0"/>
    <x v="0"/>
    <s v="Below Avg"/>
    <s v="Profit"/>
    <n v="315"/>
  </r>
  <r>
    <n v="411"/>
    <x v="410"/>
    <n v="1001"/>
    <s v="Customer_46"/>
    <s v="Consumer"/>
    <s v="South"/>
    <s v="Furniture"/>
    <s v="Product_A"/>
    <n v="2942"/>
    <n v="7"/>
    <n v="0.19"/>
    <n v="90"/>
    <s v="UPI"/>
    <n v="16681.14"/>
    <s v="Feb"/>
    <n v="2025"/>
    <s v="Q1"/>
    <n v="5.3953147087069595E-3"/>
    <n v="3912.86"/>
    <x v="0"/>
    <x v="0"/>
    <s v="Above Avg"/>
    <s v="Profit"/>
    <n v="109"/>
  </r>
  <r>
    <n v="412"/>
    <x v="411"/>
    <n v="1007"/>
    <s v="Customer_24"/>
    <s v="Consumer"/>
    <s v="West"/>
    <s v="Furniture"/>
    <s v="Product_C"/>
    <n v="3138"/>
    <n v="8"/>
    <n v="0.06"/>
    <n v="281"/>
    <s v="COD"/>
    <n v="23597.759999999998"/>
    <s v="Feb"/>
    <n v="2025"/>
    <s v="Q1"/>
    <n v="1.1907909903312858E-2"/>
    <n v="1506.24"/>
    <x v="0"/>
    <x v="0"/>
    <s v="Above Avg"/>
    <s v="Profit"/>
    <n v="55"/>
  </r>
  <r>
    <n v="413"/>
    <x v="412"/>
    <n v="1037"/>
    <s v="Customer_5"/>
    <s v="Corporate"/>
    <s v="South"/>
    <s v="Electronics"/>
    <s v="Product_C"/>
    <n v="2851"/>
    <n v="4"/>
    <n v="0.17"/>
    <n v="385"/>
    <s v="Card"/>
    <n v="9465.32"/>
    <s v="Feb"/>
    <n v="2025"/>
    <s v="Q1"/>
    <n v="4.0674800218059193E-2"/>
    <n v="1938.68"/>
    <x v="0"/>
    <x v="0"/>
    <s v="Below Avg"/>
    <s v="Profit"/>
    <n v="219"/>
  </r>
  <r>
    <n v="414"/>
    <x v="413"/>
    <n v="1019"/>
    <s v="Customer_158"/>
    <s v="Consumer"/>
    <s v="East"/>
    <s v="Clothing"/>
    <s v="Product_A"/>
    <n v="1181"/>
    <n v="8"/>
    <n v="0.13"/>
    <n v="-134"/>
    <s v="COD"/>
    <n v="8219.76"/>
    <s v="Feb"/>
    <n v="2025"/>
    <s v="Q1"/>
    <n v="-1.6302179139050289E-2"/>
    <n v="1228.24"/>
    <x v="0"/>
    <x v="0"/>
    <s v="Below Avg"/>
    <s v="Loss"/>
    <n v="243"/>
  </r>
  <r>
    <n v="415"/>
    <x v="414"/>
    <n v="1063"/>
    <s v="Customer_43"/>
    <s v="Corporate"/>
    <s v="West"/>
    <s v="Furniture"/>
    <s v="Product_A"/>
    <n v="4382"/>
    <n v="8"/>
    <n v="0.28999999999999998"/>
    <n v="420"/>
    <s v="UPI"/>
    <n v="24889.759999999998"/>
    <s v="Feb"/>
    <n v="2025"/>
    <s v="Q1"/>
    <n v="1.6874409395671152E-2"/>
    <n v="10166.24"/>
    <x v="0"/>
    <x v="0"/>
    <s v="Above Avg"/>
    <s v="Profit"/>
    <n v="43"/>
  </r>
  <r>
    <n v="416"/>
    <x v="415"/>
    <n v="1020"/>
    <s v="Customer_53"/>
    <s v="Consumer"/>
    <s v="East"/>
    <s v="Furniture"/>
    <s v="Product_C"/>
    <n v="346"/>
    <n v="1"/>
    <n v="0.22"/>
    <n v="1283"/>
    <s v="COD"/>
    <n v="269.88"/>
    <s v="Feb"/>
    <n v="2025"/>
    <s v="Q1"/>
    <n v="4.7539647250629908"/>
    <n v="76.12"/>
    <x v="2"/>
    <x v="0"/>
    <s v="Below Avg"/>
    <s v="Profit"/>
    <n v="497"/>
  </r>
  <r>
    <n v="417"/>
    <x v="416"/>
    <n v="1089"/>
    <s v="Customer_152"/>
    <s v="Consumer"/>
    <s v="South"/>
    <s v="Electronics"/>
    <s v="Product_B"/>
    <n v="895"/>
    <n v="7"/>
    <n v="0.05"/>
    <n v="305"/>
    <s v="Card"/>
    <n v="5951.75"/>
    <s v="Feb"/>
    <n v="2025"/>
    <s v="Q1"/>
    <n v="5.1245432015793672E-2"/>
    <n v="313.25"/>
    <x v="0"/>
    <x v="0"/>
    <s v="Below Avg"/>
    <s v="Profit"/>
    <n v="299"/>
  </r>
  <r>
    <n v="418"/>
    <x v="417"/>
    <n v="1030"/>
    <s v="Customer_103"/>
    <s v="Consumer"/>
    <s v="North"/>
    <s v="Clothing"/>
    <s v="Product_D"/>
    <n v="3786"/>
    <n v="6"/>
    <n v="0.26"/>
    <n v="1046"/>
    <s v="UPI"/>
    <n v="16809.84"/>
    <s v="Feb"/>
    <n v="2025"/>
    <s v="Q1"/>
    <n v="6.2225458421971892E-2"/>
    <n v="5906.16"/>
    <x v="0"/>
    <x v="0"/>
    <s v="Above Avg"/>
    <s v="Profit"/>
    <n v="106"/>
  </r>
  <r>
    <n v="419"/>
    <x v="418"/>
    <n v="1083"/>
    <s v="Customer_142"/>
    <s v="Corporate"/>
    <s v="North"/>
    <s v="Electronics"/>
    <s v="Product_A"/>
    <n v="1037"/>
    <n v="9"/>
    <n v="0.14000000000000001"/>
    <n v="1107"/>
    <s v="Card"/>
    <n v="8026.38"/>
    <s v="Feb"/>
    <n v="2025"/>
    <s v="Q1"/>
    <n v="0.13792020811374492"/>
    <n v="1306.6200000000001"/>
    <x v="0"/>
    <x v="0"/>
    <s v="Below Avg"/>
    <s v="Profit"/>
    <n v="253"/>
  </r>
  <r>
    <n v="420"/>
    <x v="419"/>
    <n v="1069"/>
    <s v="Customer_164"/>
    <s v="Corporate"/>
    <s v="East"/>
    <s v="Clothing"/>
    <s v="Product_B"/>
    <n v="2011"/>
    <n v="8"/>
    <n v="0.25"/>
    <n v="1506"/>
    <s v="Card"/>
    <n v="12066"/>
    <s v="Feb"/>
    <n v="2025"/>
    <s v="Q1"/>
    <n v="0.12481352560914968"/>
    <n v="4022"/>
    <x v="0"/>
    <x v="0"/>
    <s v="Above Avg"/>
    <s v="Profit"/>
    <n v="166"/>
  </r>
  <r>
    <n v="421"/>
    <x v="420"/>
    <n v="1014"/>
    <s v="Customer_154"/>
    <s v="Consumer"/>
    <s v="North"/>
    <s v="Clothing"/>
    <s v="Product_D"/>
    <n v="1278"/>
    <n v="4"/>
    <n v="0.25"/>
    <n v="-41"/>
    <s v="Card"/>
    <n v="3834"/>
    <s v="Feb"/>
    <n v="2025"/>
    <s v="Q1"/>
    <n v="-1.069379238393323E-2"/>
    <n v="1278"/>
    <x v="1"/>
    <x v="0"/>
    <s v="Below Avg"/>
    <s v="Loss"/>
    <n v="362"/>
  </r>
  <r>
    <n v="422"/>
    <x v="421"/>
    <n v="1056"/>
    <s v="Customer_13"/>
    <s v="Corporate"/>
    <s v="East"/>
    <s v="Clothing"/>
    <s v="Product_A"/>
    <n v="837"/>
    <n v="2"/>
    <n v="0.01"/>
    <n v="1937"/>
    <s v="COD"/>
    <n v="1657.26"/>
    <s v="Feb"/>
    <n v="2025"/>
    <s v="Q1"/>
    <n v="1.1687966885099501"/>
    <n v="16.740000000000002"/>
    <x v="2"/>
    <x v="0"/>
    <s v="Below Avg"/>
    <s v="Profit"/>
    <n v="449"/>
  </r>
  <r>
    <n v="423"/>
    <x v="422"/>
    <n v="1000"/>
    <s v="Customer_21"/>
    <s v="Consumer"/>
    <s v="North"/>
    <s v="Clothing"/>
    <s v="Product_A"/>
    <n v="734"/>
    <n v="3"/>
    <n v="7.0000000000000007E-2"/>
    <n v="1682"/>
    <s v="UPI"/>
    <n v="2047.86"/>
    <s v="Feb"/>
    <n v="2025"/>
    <s v="Q1"/>
    <n v="0.82134520914515641"/>
    <n v="154.14000000000001"/>
    <x v="1"/>
    <x v="0"/>
    <s v="Below Avg"/>
    <s v="Profit"/>
    <n v="427"/>
  </r>
  <r>
    <n v="424"/>
    <x v="423"/>
    <n v="1089"/>
    <s v="Customer_90"/>
    <s v="Corporate"/>
    <s v="West"/>
    <s v="Electronics"/>
    <s v="Product_B"/>
    <n v="316"/>
    <n v="7"/>
    <n v="0.27"/>
    <n v="1139"/>
    <s v="Card"/>
    <n v="1614.76"/>
    <s v="Feb"/>
    <n v="2025"/>
    <s v="Q1"/>
    <n v="0.70536798038098536"/>
    <n v="597.24"/>
    <x v="2"/>
    <x v="0"/>
    <s v="Below Avg"/>
    <s v="Profit"/>
    <n v="453"/>
  </r>
  <r>
    <n v="425"/>
    <x v="424"/>
    <n v="1028"/>
    <s v="Customer_98"/>
    <s v="Consumer"/>
    <s v="South"/>
    <s v="Furniture"/>
    <s v="Product_D"/>
    <n v="519"/>
    <n v="9"/>
    <n v="0.23"/>
    <n v="411"/>
    <s v="Card"/>
    <n v="3596.67"/>
    <s v="Feb"/>
    <n v="2025"/>
    <s v="Q1"/>
    <n v="0.11427236860762872"/>
    <n v="1074.3300000000002"/>
    <x v="1"/>
    <x v="0"/>
    <s v="Below Avg"/>
    <s v="Profit"/>
    <n v="369"/>
  </r>
  <r>
    <n v="426"/>
    <x v="425"/>
    <n v="1065"/>
    <s v="Customer_40"/>
    <s v="Consumer"/>
    <s v="North"/>
    <s v="Clothing"/>
    <s v="Product_A"/>
    <n v="2662"/>
    <n v="3"/>
    <n v="0.04"/>
    <n v="1264"/>
    <s v="UPI"/>
    <n v="7666.5599999999904"/>
    <s v="Mar"/>
    <n v="2025"/>
    <s v="Q1"/>
    <n v="0.16487185908673532"/>
    <n v="319.44"/>
    <x v="0"/>
    <x v="0"/>
    <s v="Below Avg"/>
    <s v="Profit"/>
    <n v="260"/>
  </r>
  <r>
    <n v="427"/>
    <x v="426"/>
    <n v="1021"/>
    <s v="Customer_43"/>
    <s v="Consumer"/>
    <s v="East"/>
    <s v="Clothing"/>
    <s v="Product_D"/>
    <n v="408"/>
    <n v="7"/>
    <n v="0.06"/>
    <n v="1876"/>
    <s v="Card"/>
    <n v="2684.64"/>
    <s v="Mar"/>
    <n v="2025"/>
    <s v="Q1"/>
    <n v="0.69879015435961622"/>
    <n v="171.35999999999999"/>
    <x v="1"/>
    <x v="0"/>
    <s v="Below Avg"/>
    <s v="Profit"/>
    <n v="402"/>
  </r>
  <r>
    <n v="428"/>
    <x v="427"/>
    <n v="1060"/>
    <s v="Customer_59"/>
    <s v="Consumer"/>
    <s v="South"/>
    <s v="Clothing"/>
    <s v="Product_D"/>
    <n v="4903"/>
    <n v="1"/>
    <n v="0.19"/>
    <n v="1541"/>
    <s v="UPI"/>
    <n v="3971.43"/>
    <s v="Mar"/>
    <n v="2025"/>
    <s v="Q1"/>
    <n v="0.38802144315775428"/>
    <n v="931.57"/>
    <x v="1"/>
    <x v="0"/>
    <s v="Below Avg"/>
    <s v="Profit"/>
    <n v="355"/>
  </r>
  <r>
    <n v="429"/>
    <x v="428"/>
    <n v="1028"/>
    <s v="Customer_49"/>
    <s v="Corporate"/>
    <s v="West"/>
    <s v="Electronics"/>
    <s v="Product_D"/>
    <n v="1966"/>
    <n v="3"/>
    <n v="0.08"/>
    <n v="919"/>
    <s v="Card"/>
    <n v="5426.16"/>
    <s v="Mar"/>
    <n v="2025"/>
    <s v="Q1"/>
    <n v="0.16936470726996625"/>
    <n v="471.84000000000003"/>
    <x v="0"/>
    <x v="0"/>
    <s v="Below Avg"/>
    <s v="Profit"/>
    <n v="311"/>
  </r>
  <r>
    <n v="430"/>
    <x v="429"/>
    <n v="1008"/>
    <s v="Customer_175"/>
    <s v="Corporate"/>
    <s v="West"/>
    <s v="Clothing"/>
    <s v="Product_B"/>
    <n v="1083"/>
    <n v="2"/>
    <n v="0.06"/>
    <n v="25"/>
    <s v="Card"/>
    <n v="2036.04"/>
    <s v="Mar"/>
    <n v="2025"/>
    <s v="Q1"/>
    <n v="1.2278737156440934E-2"/>
    <n v="129.96"/>
    <x v="1"/>
    <x v="0"/>
    <s v="Below Avg"/>
    <s v="Profit"/>
    <n v="429"/>
  </r>
  <r>
    <n v="431"/>
    <x v="430"/>
    <n v="1040"/>
    <s v="Customer_147"/>
    <s v="Corporate"/>
    <s v="East"/>
    <s v="Furniture"/>
    <s v="Product_D"/>
    <n v="3878"/>
    <n v="6"/>
    <n v="0.3"/>
    <n v="227"/>
    <s v="Card"/>
    <n v="16287.5999999999"/>
    <s v="Mar"/>
    <n v="2025"/>
    <s v="Q1"/>
    <n v="1.3936982735332485E-2"/>
    <n v="6980.4"/>
    <x v="0"/>
    <x v="0"/>
    <s v="Above Avg"/>
    <s v="Profit"/>
    <n v="120"/>
  </r>
  <r>
    <n v="432"/>
    <x v="431"/>
    <n v="1020"/>
    <s v="Customer_140"/>
    <s v="Consumer"/>
    <s v="North"/>
    <s v="Clothing"/>
    <s v="Product_C"/>
    <n v="2387"/>
    <n v="9"/>
    <n v="0.14000000000000001"/>
    <n v="-68"/>
    <s v="COD"/>
    <n v="18475.38"/>
    <s v="Mar"/>
    <n v="2025"/>
    <s v="Q1"/>
    <n v="-3.6805738231094568E-3"/>
    <n v="3007.6200000000003"/>
    <x v="0"/>
    <x v="0"/>
    <s v="Above Avg"/>
    <s v="Loss"/>
    <n v="88"/>
  </r>
  <r>
    <n v="433"/>
    <x v="432"/>
    <n v="1054"/>
    <s v="Customer_36"/>
    <s v="Consumer"/>
    <s v="North"/>
    <s v="Furniture"/>
    <s v="Product_A"/>
    <n v="3414"/>
    <n v="3"/>
    <n v="0.16"/>
    <n v="1361"/>
    <s v="UPI"/>
    <n v="8603.2799999999897"/>
    <s v="Mar"/>
    <n v="2025"/>
    <s v="Q1"/>
    <n v="0.15819547893361621"/>
    <n v="1638.72"/>
    <x v="0"/>
    <x v="0"/>
    <s v="Below Avg"/>
    <s v="Profit"/>
    <n v="236"/>
  </r>
  <r>
    <n v="434"/>
    <x v="433"/>
    <n v="1095"/>
    <s v="Customer_122"/>
    <s v="Consumer"/>
    <s v="South"/>
    <s v="Furniture"/>
    <s v="Product_D"/>
    <n v="661"/>
    <n v="8"/>
    <n v="0.2"/>
    <n v="31"/>
    <s v="COD"/>
    <n v="4230.3999999999996"/>
    <s v="Mar"/>
    <n v="2025"/>
    <s v="Q1"/>
    <n v="7.3279122541603636E-3"/>
    <n v="1057.6000000000001"/>
    <x v="1"/>
    <x v="0"/>
    <s v="Below Avg"/>
    <s v="Profit"/>
    <n v="345"/>
  </r>
  <r>
    <n v="435"/>
    <x v="434"/>
    <n v="1095"/>
    <s v="Customer_94"/>
    <s v="Consumer"/>
    <s v="East"/>
    <s v="Electronics"/>
    <s v="Product_A"/>
    <n v="3695"/>
    <n v="9"/>
    <n v="0.02"/>
    <n v="1064"/>
    <s v="COD"/>
    <n v="32589.8999999999"/>
    <s v="Mar"/>
    <n v="2025"/>
    <s v="Q1"/>
    <n v="3.2648151727989447E-2"/>
    <n v="665.1"/>
    <x v="0"/>
    <x v="0"/>
    <s v="Above Avg"/>
    <s v="Profit"/>
    <n v="19"/>
  </r>
  <r>
    <n v="436"/>
    <x v="435"/>
    <n v="1039"/>
    <s v="Customer_108"/>
    <s v="Corporate"/>
    <s v="East"/>
    <s v="Furniture"/>
    <s v="Product_C"/>
    <n v="4987"/>
    <n v="8"/>
    <n v="0.12"/>
    <n v="1901"/>
    <s v="UPI"/>
    <n v="35108.480000000003"/>
    <s v="Mar"/>
    <n v="2025"/>
    <s v="Q1"/>
    <n v="5.4146462620996406E-2"/>
    <n v="4787.5199999999995"/>
    <x v="0"/>
    <x v="0"/>
    <s v="Above Avg"/>
    <s v="Profit"/>
    <n v="11"/>
  </r>
  <r>
    <n v="437"/>
    <x v="436"/>
    <n v="1025"/>
    <s v="Customer_33"/>
    <s v="Corporate"/>
    <s v="South"/>
    <s v="Clothing"/>
    <s v="Product_C"/>
    <n v="1502"/>
    <n v="9"/>
    <n v="0.27"/>
    <n v="407"/>
    <s v="UPI"/>
    <n v="9868.14"/>
    <s v="Mar"/>
    <n v="2025"/>
    <s v="Q1"/>
    <n v="4.1243841291266646E-2"/>
    <n v="3649.86"/>
    <x v="0"/>
    <x v="0"/>
    <s v="Below Avg"/>
    <s v="Profit"/>
    <n v="205"/>
  </r>
  <r>
    <n v="438"/>
    <x v="437"/>
    <n v="1047"/>
    <s v="Customer_108"/>
    <s v="Corporate"/>
    <s v="South"/>
    <s v="Furniture"/>
    <s v="Product_C"/>
    <n v="2678"/>
    <n v="9"/>
    <n v="0.28000000000000003"/>
    <n v="-115"/>
    <s v="UPI"/>
    <n v="17353.439999999999"/>
    <s v="Mar"/>
    <n v="2025"/>
    <s v="Q1"/>
    <n v="-6.626928147963747E-3"/>
    <n v="6748.56"/>
    <x v="0"/>
    <x v="0"/>
    <s v="Above Avg"/>
    <s v="Loss"/>
    <n v="100"/>
  </r>
  <r>
    <n v="439"/>
    <x v="438"/>
    <n v="1076"/>
    <s v="Customer_127"/>
    <s v="Corporate"/>
    <s v="North"/>
    <s v="Clothing"/>
    <s v="Product_C"/>
    <n v="3044"/>
    <n v="3"/>
    <n v="0.15"/>
    <n v="151"/>
    <s v="UPI"/>
    <n v="7762.2"/>
    <s v="Mar"/>
    <n v="2025"/>
    <s v="Q1"/>
    <n v="1.9453247790574838E-2"/>
    <n v="1369.8"/>
    <x v="0"/>
    <x v="0"/>
    <s v="Below Avg"/>
    <s v="Profit"/>
    <n v="257"/>
  </r>
  <r>
    <n v="440"/>
    <x v="439"/>
    <n v="1002"/>
    <s v="Customer_87"/>
    <s v="Consumer"/>
    <s v="South"/>
    <s v="Furniture"/>
    <s v="Product_A"/>
    <n v="670"/>
    <n v="9"/>
    <n v="0.27"/>
    <n v="-290"/>
    <s v="Card"/>
    <n v="4401.8999999999996"/>
    <s v="Mar"/>
    <n v="2025"/>
    <s v="Q1"/>
    <n v="-6.5880642449851201E-2"/>
    <n v="1628.1000000000001"/>
    <x v="1"/>
    <x v="0"/>
    <s v="Below Avg"/>
    <s v="Loss"/>
    <n v="340"/>
  </r>
  <r>
    <n v="441"/>
    <x v="440"/>
    <n v="1095"/>
    <s v="Customer_62"/>
    <s v="Consumer"/>
    <s v="East"/>
    <s v="Clothing"/>
    <s v="Product_D"/>
    <n v="2551"/>
    <n v="1"/>
    <n v="0.15"/>
    <n v="453"/>
    <s v="COD"/>
    <n v="2168.35"/>
    <s v="Mar"/>
    <n v="2025"/>
    <s v="Q1"/>
    <n v="0.20891461249337054"/>
    <n v="382.65"/>
    <x v="1"/>
    <x v="0"/>
    <s v="Below Avg"/>
    <s v="Profit"/>
    <n v="420"/>
  </r>
  <r>
    <n v="442"/>
    <x v="441"/>
    <n v="1032"/>
    <s v="Customer_169"/>
    <s v="Corporate"/>
    <s v="West"/>
    <s v="Electronics"/>
    <s v="Product_B"/>
    <n v="1755"/>
    <n v="4"/>
    <n v="0.3"/>
    <n v="678"/>
    <s v="COD"/>
    <n v="4914"/>
    <s v="Mar"/>
    <n v="2025"/>
    <s v="Q1"/>
    <n v="0.13797313797313798"/>
    <n v="2106"/>
    <x v="1"/>
    <x v="0"/>
    <s v="Below Avg"/>
    <s v="Profit"/>
    <n v="327"/>
  </r>
  <r>
    <n v="443"/>
    <x v="442"/>
    <n v="1096"/>
    <s v="Customer_19"/>
    <s v="Corporate"/>
    <s v="West"/>
    <s v="Clothing"/>
    <s v="Product_D"/>
    <n v="4413"/>
    <n v="1"/>
    <n v="0.24"/>
    <n v="-325"/>
    <s v="Card"/>
    <n v="3353.88"/>
    <s v="Mar"/>
    <n v="2025"/>
    <s v="Q1"/>
    <n v="-9.6902691807697353E-2"/>
    <n v="1059.1199999999999"/>
    <x v="1"/>
    <x v="0"/>
    <s v="Below Avg"/>
    <s v="Loss"/>
    <n v="383"/>
  </r>
  <r>
    <n v="444"/>
    <x v="443"/>
    <n v="1041"/>
    <s v="Customer_101"/>
    <s v="Consumer"/>
    <s v="West"/>
    <s v="Electronics"/>
    <s v="Product_D"/>
    <n v="4983"/>
    <n v="2"/>
    <n v="0.25"/>
    <n v="159"/>
    <s v="COD"/>
    <n v="7474.5"/>
    <s v="Mar"/>
    <n v="2025"/>
    <s v="Q1"/>
    <n v="2.1272325908087499E-2"/>
    <n v="2491.5"/>
    <x v="0"/>
    <x v="0"/>
    <s v="Below Avg"/>
    <s v="Profit"/>
    <n v="265"/>
  </r>
  <r>
    <n v="445"/>
    <x v="444"/>
    <n v="1076"/>
    <s v="Customer_31"/>
    <s v="Consumer"/>
    <s v="West"/>
    <s v="Clothing"/>
    <s v="Product_A"/>
    <n v="2328"/>
    <n v="4"/>
    <n v="0.06"/>
    <n v="878"/>
    <s v="COD"/>
    <n v="8753.2799999999897"/>
    <s v="Mar"/>
    <n v="2025"/>
    <s v="Q1"/>
    <n v="0.10030525700080439"/>
    <n v="558.72"/>
    <x v="0"/>
    <x v="0"/>
    <s v="Below Avg"/>
    <s v="Profit"/>
    <n v="234"/>
  </r>
  <r>
    <n v="446"/>
    <x v="445"/>
    <n v="1042"/>
    <s v="Customer_50"/>
    <s v="Consumer"/>
    <s v="East"/>
    <s v="Furniture"/>
    <s v="Product_D"/>
    <n v="4886"/>
    <n v="8"/>
    <n v="0"/>
    <n v="-420"/>
    <s v="UPI"/>
    <n v="39088"/>
    <s v="Mar"/>
    <n v="2025"/>
    <s v="Q1"/>
    <n v="-1.0744985673352435E-2"/>
    <n v="0"/>
    <x v="0"/>
    <x v="1"/>
    <s v="Above Avg"/>
    <s v="Loss"/>
    <n v="4"/>
  </r>
  <r>
    <n v="447"/>
    <x v="446"/>
    <n v="1069"/>
    <s v="Customer_170"/>
    <s v="Consumer"/>
    <s v="West"/>
    <s v="Clothing"/>
    <s v="Product_C"/>
    <n v="2947"/>
    <n v="6"/>
    <n v="0.15"/>
    <n v="963"/>
    <s v="Card"/>
    <n v="15029.699999999901"/>
    <s v="Mar"/>
    <n v="2025"/>
    <s v="Q1"/>
    <n v="6.4073135192319636E-2"/>
    <n v="2652.2999999999997"/>
    <x v="0"/>
    <x v="0"/>
    <s v="Above Avg"/>
    <s v="Profit"/>
    <n v="137"/>
  </r>
  <r>
    <n v="448"/>
    <x v="447"/>
    <n v="1003"/>
    <s v="Customer_103"/>
    <s v="Corporate"/>
    <s v="East"/>
    <s v="Furniture"/>
    <s v="Product_A"/>
    <n v="3985"/>
    <n v="4"/>
    <n v="0.28999999999999998"/>
    <n v="735"/>
    <s v="Card"/>
    <n v="11317.4"/>
    <s v="Mar"/>
    <n v="2025"/>
    <s v="Q1"/>
    <n v="6.494424514464453E-2"/>
    <n v="4622.5999999999995"/>
    <x v="0"/>
    <x v="0"/>
    <s v="Above Avg"/>
    <s v="Profit"/>
    <n v="185"/>
  </r>
  <r>
    <n v="449"/>
    <x v="448"/>
    <n v="1063"/>
    <s v="Customer_17"/>
    <s v="Consumer"/>
    <s v="North"/>
    <s v="Clothing"/>
    <s v="Product_B"/>
    <n v="444"/>
    <n v="4"/>
    <n v="0.28999999999999998"/>
    <n v="1226"/>
    <s v="Card"/>
    <n v="1260.96"/>
    <s v="Mar"/>
    <n v="2025"/>
    <s v="Q1"/>
    <n v="0.97227509199340179"/>
    <n v="515.04"/>
    <x v="2"/>
    <x v="0"/>
    <s v="Below Avg"/>
    <s v="Profit"/>
    <n v="467"/>
  </r>
  <r>
    <n v="450"/>
    <x v="449"/>
    <n v="1069"/>
    <s v="Customer_196"/>
    <s v="Consumer"/>
    <s v="West"/>
    <s v="Clothing"/>
    <s v="Product_A"/>
    <n v="3283"/>
    <n v="6"/>
    <n v="0.18"/>
    <n v="-475"/>
    <s v="Card"/>
    <n v="16152.36"/>
    <s v="Mar"/>
    <n v="2025"/>
    <s v="Q1"/>
    <n v="-2.9407467391761945E-2"/>
    <n v="3545.64"/>
    <x v="0"/>
    <x v="0"/>
    <s v="Above Avg"/>
    <s v="Loss"/>
    <n v="124"/>
  </r>
  <r>
    <n v="451"/>
    <x v="450"/>
    <n v="1050"/>
    <s v="Customer_6"/>
    <s v="Consumer"/>
    <s v="East"/>
    <s v="Clothing"/>
    <s v="Product_A"/>
    <n v="3777"/>
    <n v="1"/>
    <n v="0.06"/>
    <n v="658"/>
    <s v="UPI"/>
    <n v="3550.3799999999901"/>
    <s v="Mar"/>
    <n v="2025"/>
    <s v="Q1"/>
    <n v="0.18533227429176646"/>
    <n v="226.62"/>
    <x v="1"/>
    <x v="0"/>
    <s v="Below Avg"/>
    <s v="Profit"/>
    <n v="375"/>
  </r>
  <r>
    <n v="452"/>
    <x v="451"/>
    <n v="1066"/>
    <s v="Customer_60"/>
    <s v="Corporate"/>
    <s v="North"/>
    <s v="Electronics"/>
    <s v="Product_B"/>
    <n v="4411"/>
    <n v="5"/>
    <n v="0"/>
    <n v="1052"/>
    <s v="COD"/>
    <n v="22055"/>
    <s v="Mar"/>
    <n v="2025"/>
    <s v="Q1"/>
    <n v="4.7698934481976873E-2"/>
    <n v="0"/>
    <x v="0"/>
    <x v="0"/>
    <s v="Above Avg"/>
    <s v="Profit"/>
    <n v="66"/>
  </r>
  <r>
    <n v="453"/>
    <x v="452"/>
    <n v="1090"/>
    <s v="Customer_19"/>
    <s v="Corporate"/>
    <s v="North"/>
    <s v="Furniture"/>
    <s v="Product_A"/>
    <n v="2976"/>
    <n v="4"/>
    <n v="0.15"/>
    <n v="1151"/>
    <s v="Card"/>
    <n v="10118.4"/>
    <s v="Mar"/>
    <n v="2025"/>
    <s v="Q1"/>
    <n v="0.11375316255534472"/>
    <n v="1785.6"/>
    <x v="0"/>
    <x v="0"/>
    <s v="Below Avg"/>
    <s v="Profit"/>
    <n v="199"/>
  </r>
  <r>
    <n v="454"/>
    <x v="453"/>
    <n v="1083"/>
    <s v="Customer_186"/>
    <s v="Corporate"/>
    <s v="North"/>
    <s v="Electronics"/>
    <s v="Product_C"/>
    <n v="504"/>
    <n v="8"/>
    <n v="0.09"/>
    <n v="1073"/>
    <s v="UPI"/>
    <n v="3669.12"/>
    <s v="Mar"/>
    <n v="2025"/>
    <s v="Q1"/>
    <n v="0.2924406942264085"/>
    <n v="362.88"/>
    <x v="1"/>
    <x v="0"/>
    <s v="Below Avg"/>
    <s v="Profit"/>
    <n v="367"/>
  </r>
  <r>
    <n v="455"/>
    <x v="454"/>
    <n v="1017"/>
    <s v="Customer_40"/>
    <s v="Corporate"/>
    <s v="West"/>
    <s v="Electronics"/>
    <s v="Product_D"/>
    <n v="2002"/>
    <n v="9"/>
    <n v="0.1"/>
    <n v="-460"/>
    <s v="UPI"/>
    <n v="16216.2"/>
    <s v="Mar"/>
    <n v="2025"/>
    <s v="Q1"/>
    <n v="-2.83666950333617E-2"/>
    <n v="1801.8000000000002"/>
    <x v="0"/>
    <x v="0"/>
    <s v="Above Avg"/>
    <s v="Loss"/>
    <n v="121"/>
  </r>
  <r>
    <n v="456"/>
    <x v="455"/>
    <n v="1019"/>
    <s v="Customer_124"/>
    <s v="Consumer"/>
    <s v="South"/>
    <s v="Electronics"/>
    <s v="Product_A"/>
    <n v="272"/>
    <n v="2"/>
    <n v="0.25"/>
    <n v="237"/>
    <s v="COD"/>
    <n v="408"/>
    <s v="Mar"/>
    <n v="2025"/>
    <s v="Q1"/>
    <n v="0.58088235294117652"/>
    <n v="136"/>
    <x v="2"/>
    <x v="0"/>
    <s v="Below Avg"/>
    <s v="Profit"/>
    <n v="495"/>
  </r>
  <r>
    <n v="457"/>
    <x v="456"/>
    <n v="1029"/>
    <s v="Customer_45"/>
    <s v="Consumer"/>
    <s v="East"/>
    <s v="Electronics"/>
    <s v="Product_B"/>
    <n v="1217"/>
    <n v="2"/>
    <n v="0.03"/>
    <n v="1969"/>
    <s v="COD"/>
    <n v="2360.98"/>
    <s v="Apr"/>
    <n v="2025"/>
    <s v="Q2"/>
    <n v="0.83397572194597158"/>
    <n v="73.02"/>
    <x v="1"/>
    <x v="0"/>
    <s v="Below Avg"/>
    <s v="Profit"/>
    <n v="414"/>
  </r>
  <r>
    <n v="458"/>
    <x v="457"/>
    <n v="1073"/>
    <s v="Customer_42"/>
    <s v="Corporate"/>
    <s v="West"/>
    <s v="Clothing"/>
    <s v="Product_D"/>
    <n v="1801"/>
    <n v="8"/>
    <n v="0.03"/>
    <n v="1897"/>
    <s v="Card"/>
    <n v="13975.76"/>
    <s v="Apr"/>
    <n v="2025"/>
    <s v="Q2"/>
    <n v="0.13573501548395223"/>
    <n v="432.24"/>
    <x v="0"/>
    <x v="0"/>
    <s v="Above Avg"/>
    <s v="Profit"/>
    <n v="148"/>
  </r>
  <r>
    <n v="459"/>
    <x v="458"/>
    <n v="1051"/>
    <s v="Customer_70"/>
    <s v="Corporate"/>
    <s v="East"/>
    <s v="Clothing"/>
    <s v="Product_C"/>
    <n v="4044"/>
    <n v="6"/>
    <n v="0.13"/>
    <n v="-422"/>
    <s v="Card"/>
    <n v="21109.68"/>
    <s v="Apr"/>
    <n v="2025"/>
    <s v="Q2"/>
    <n v="-1.9990828851976911E-2"/>
    <n v="3154.32"/>
    <x v="0"/>
    <x v="0"/>
    <s v="Above Avg"/>
    <s v="Loss"/>
    <n v="75"/>
  </r>
  <r>
    <n v="460"/>
    <x v="459"/>
    <n v="1022"/>
    <s v="Customer_152"/>
    <s v="Corporate"/>
    <s v="East"/>
    <s v="Electronics"/>
    <s v="Product_D"/>
    <n v="1017"/>
    <n v="8"/>
    <n v="0.12"/>
    <n v="622"/>
    <s v="COD"/>
    <n v="7159.68"/>
    <s v="Apr"/>
    <n v="2025"/>
    <s v="Q2"/>
    <n v="8.68753910789309E-2"/>
    <n v="976.31999999999994"/>
    <x v="0"/>
    <x v="0"/>
    <s v="Below Avg"/>
    <s v="Profit"/>
    <n v="272"/>
  </r>
  <r>
    <n v="461"/>
    <x v="460"/>
    <n v="1046"/>
    <s v="Customer_150"/>
    <s v="Consumer"/>
    <s v="South"/>
    <s v="Electronics"/>
    <s v="Product_C"/>
    <n v="3058"/>
    <n v="1"/>
    <n v="0.02"/>
    <n v="1633"/>
    <s v="Card"/>
    <n v="2996.84"/>
    <s v="Apr"/>
    <n v="2025"/>
    <s v="Q2"/>
    <n v="0.54490730235848428"/>
    <n v="61.160000000000004"/>
    <x v="1"/>
    <x v="0"/>
    <s v="Below Avg"/>
    <s v="Profit"/>
    <n v="393"/>
  </r>
  <r>
    <n v="462"/>
    <x v="461"/>
    <n v="1002"/>
    <s v="Customer_53"/>
    <s v="Consumer"/>
    <s v="West"/>
    <s v="Electronics"/>
    <s v="Product_C"/>
    <n v="3212"/>
    <n v="3"/>
    <n v="0.16"/>
    <n v="-72"/>
    <s v="COD"/>
    <n v="8094.24"/>
    <s v="Apr"/>
    <n v="2025"/>
    <s v="Q2"/>
    <n v="-8.8952143746664301E-3"/>
    <n v="1541.76"/>
    <x v="0"/>
    <x v="0"/>
    <s v="Below Avg"/>
    <s v="Loss"/>
    <n v="249"/>
  </r>
  <r>
    <n v="463"/>
    <x v="462"/>
    <n v="1049"/>
    <s v="Customer_78"/>
    <s v="Consumer"/>
    <s v="South"/>
    <s v="Furniture"/>
    <s v="Product_C"/>
    <n v="1965"/>
    <n v="7"/>
    <n v="0.13"/>
    <n v="510"/>
    <s v="COD"/>
    <n v="11966.85"/>
    <s v="Apr"/>
    <n v="2025"/>
    <s v="Q2"/>
    <n v="4.2617731483222399E-2"/>
    <n v="1788.15"/>
    <x v="0"/>
    <x v="0"/>
    <s v="Above Avg"/>
    <s v="Profit"/>
    <n v="168"/>
  </r>
  <r>
    <n v="464"/>
    <x v="463"/>
    <n v="1008"/>
    <s v="Customer_152"/>
    <s v="Consumer"/>
    <s v="North"/>
    <s v="Furniture"/>
    <s v="Product_A"/>
    <n v="406"/>
    <n v="7"/>
    <n v="0.3"/>
    <n v="648"/>
    <s v="COD"/>
    <n v="1989.3999999999901"/>
    <s v="Apr"/>
    <n v="2025"/>
    <s v="Q2"/>
    <n v="0.32572634965316338"/>
    <n v="852.6"/>
    <x v="2"/>
    <x v="0"/>
    <s v="Below Avg"/>
    <s v="Profit"/>
    <n v="431"/>
  </r>
  <r>
    <n v="465"/>
    <x v="464"/>
    <n v="1018"/>
    <s v="Customer_153"/>
    <s v="Consumer"/>
    <s v="West"/>
    <s v="Clothing"/>
    <s v="Product_C"/>
    <n v="1951"/>
    <n v="5"/>
    <n v="0.02"/>
    <n v="575"/>
    <s v="Card"/>
    <n v="9559.9"/>
    <s v="Apr"/>
    <n v="2025"/>
    <s v="Q2"/>
    <n v="6.0147072668124149E-2"/>
    <n v="195.1"/>
    <x v="0"/>
    <x v="0"/>
    <s v="Below Avg"/>
    <s v="Profit"/>
    <n v="214"/>
  </r>
  <r>
    <n v="466"/>
    <x v="465"/>
    <n v="1035"/>
    <s v="Customer_145"/>
    <s v="Consumer"/>
    <s v="North"/>
    <s v="Furniture"/>
    <s v="Product_D"/>
    <n v="930"/>
    <n v="9"/>
    <n v="0.04"/>
    <n v="-226"/>
    <s v="Card"/>
    <n v="8035.2"/>
    <s v="Apr"/>
    <n v="2025"/>
    <s v="Q2"/>
    <n v="-2.8126244524093989E-2"/>
    <n v="334.8"/>
    <x v="0"/>
    <x v="0"/>
    <s v="Below Avg"/>
    <s v="Loss"/>
    <n v="252"/>
  </r>
  <r>
    <n v="467"/>
    <x v="466"/>
    <n v="1039"/>
    <s v="Customer_123"/>
    <s v="Consumer"/>
    <s v="South"/>
    <s v="Electronics"/>
    <s v="Product_A"/>
    <n v="524"/>
    <n v="2"/>
    <n v="0.05"/>
    <n v="563"/>
    <s v="Card"/>
    <n v="995.599999999999"/>
    <s v="Apr"/>
    <n v="2025"/>
    <s v="Q2"/>
    <n v="0.56548814785054291"/>
    <n v="52.400000000000006"/>
    <x v="2"/>
    <x v="0"/>
    <s v="Below Avg"/>
    <s v="Profit"/>
    <n v="480"/>
  </r>
  <r>
    <n v="468"/>
    <x v="467"/>
    <n v="1026"/>
    <s v="Customer_115"/>
    <s v="Corporate"/>
    <s v="North"/>
    <s v="Furniture"/>
    <s v="Product_B"/>
    <n v="3851"/>
    <n v="1"/>
    <n v="0.1"/>
    <n v="1436"/>
    <s v="UPI"/>
    <n v="3465.9"/>
    <s v="Apr"/>
    <n v="2025"/>
    <s v="Q2"/>
    <n v="0.41432239822268385"/>
    <n v="385.1"/>
    <x v="1"/>
    <x v="0"/>
    <s v="Below Avg"/>
    <s v="Profit"/>
    <n v="377"/>
  </r>
  <r>
    <n v="469"/>
    <x v="468"/>
    <n v="1091"/>
    <s v="Customer_110"/>
    <s v="Corporate"/>
    <s v="East"/>
    <s v="Electronics"/>
    <s v="Product_A"/>
    <n v="4972"/>
    <n v="3"/>
    <n v="0.2"/>
    <n v="1594"/>
    <s v="COD"/>
    <n v="11932.8"/>
    <s v="Apr"/>
    <n v="2025"/>
    <s v="Q2"/>
    <n v="0.13358138911236256"/>
    <n v="2983.2000000000003"/>
    <x v="0"/>
    <x v="0"/>
    <s v="Above Avg"/>
    <s v="Profit"/>
    <n v="169"/>
  </r>
  <r>
    <n v="470"/>
    <x v="469"/>
    <n v="1071"/>
    <s v="Customer_163"/>
    <s v="Consumer"/>
    <s v="South"/>
    <s v="Furniture"/>
    <s v="Product_C"/>
    <n v="1905"/>
    <n v="7"/>
    <n v="0.28999999999999998"/>
    <n v="-284"/>
    <s v="UPI"/>
    <n v="9467.85"/>
    <s v="Apr"/>
    <n v="2025"/>
    <s v="Q2"/>
    <n v="-2.9996250468691414E-2"/>
    <n v="3867.1499999999996"/>
    <x v="0"/>
    <x v="0"/>
    <s v="Below Avg"/>
    <s v="Loss"/>
    <n v="218"/>
  </r>
  <r>
    <n v="471"/>
    <x v="470"/>
    <n v="1071"/>
    <s v="Customer_56"/>
    <s v="Corporate"/>
    <s v="North"/>
    <s v="Furniture"/>
    <s v="Product_B"/>
    <n v="4820"/>
    <n v="8"/>
    <n v="0.27"/>
    <n v="148"/>
    <s v="COD"/>
    <n v="28148.799999999999"/>
    <s v="Apr"/>
    <n v="2025"/>
    <s v="Q2"/>
    <n v="5.257772977888933E-3"/>
    <n v="10411.200000000001"/>
    <x v="0"/>
    <x v="0"/>
    <s v="Above Avg"/>
    <s v="Profit"/>
    <n v="28"/>
  </r>
  <r>
    <n v="472"/>
    <x v="471"/>
    <n v="1081"/>
    <s v="Customer_28"/>
    <s v="Corporate"/>
    <s v="North"/>
    <s v="Furniture"/>
    <s v="Product_C"/>
    <n v="2519"/>
    <n v="8"/>
    <n v="0.13"/>
    <n v="1049"/>
    <s v="COD"/>
    <n v="17532.240000000002"/>
    <s v="Apr"/>
    <n v="2025"/>
    <s v="Q2"/>
    <n v="5.9832628346406388E-2"/>
    <n v="2619.7600000000002"/>
    <x v="0"/>
    <x v="0"/>
    <s v="Above Avg"/>
    <s v="Profit"/>
    <n v="96"/>
  </r>
  <r>
    <n v="473"/>
    <x v="472"/>
    <n v="1020"/>
    <s v="Customer_194"/>
    <s v="Corporate"/>
    <s v="North"/>
    <s v="Clothing"/>
    <s v="Product_B"/>
    <n v="191"/>
    <n v="2"/>
    <n v="0.02"/>
    <n v="453"/>
    <s v="Card"/>
    <n v="374.36"/>
    <s v="Apr"/>
    <n v="2025"/>
    <s v="Q2"/>
    <n v="1.2100651779036222"/>
    <n v="7.6400000000000006"/>
    <x v="2"/>
    <x v="0"/>
    <s v="Below Avg"/>
    <s v="Profit"/>
    <n v="496"/>
  </r>
  <r>
    <n v="474"/>
    <x v="473"/>
    <n v="1012"/>
    <s v="Customer_34"/>
    <s v="Corporate"/>
    <s v="North"/>
    <s v="Furniture"/>
    <s v="Product_A"/>
    <n v="958"/>
    <n v="6"/>
    <n v="0.19"/>
    <n v="1374"/>
    <s v="Card"/>
    <n v="4655.88"/>
    <s v="Apr"/>
    <n v="2025"/>
    <s v="Q2"/>
    <n v="0.2951106987293487"/>
    <n v="1092.1200000000001"/>
    <x v="1"/>
    <x v="0"/>
    <s v="Below Avg"/>
    <s v="Profit"/>
    <n v="333"/>
  </r>
  <r>
    <n v="475"/>
    <x v="474"/>
    <n v="1026"/>
    <s v="Customer_65"/>
    <s v="Corporate"/>
    <s v="West"/>
    <s v="Clothing"/>
    <s v="Product_D"/>
    <n v="4109"/>
    <n v="5"/>
    <n v="0.13"/>
    <n v="630"/>
    <s v="UPI"/>
    <n v="17874.150000000001"/>
    <s v="Apr"/>
    <n v="2025"/>
    <s v="Q2"/>
    <n v="3.5246431298830989E-2"/>
    <n v="2670.85"/>
    <x v="0"/>
    <x v="0"/>
    <s v="Above Avg"/>
    <s v="Profit"/>
    <n v="92"/>
  </r>
  <r>
    <n v="476"/>
    <x v="475"/>
    <n v="1061"/>
    <s v="Customer_111"/>
    <s v="Corporate"/>
    <s v="North"/>
    <s v="Clothing"/>
    <s v="Product_A"/>
    <n v="911"/>
    <n v="2"/>
    <n v="0.01"/>
    <n v="61"/>
    <s v="UPI"/>
    <n v="1803.78"/>
    <s v="Apr"/>
    <n v="2025"/>
    <s v="Q2"/>
    <n v="3.3817871359034919E-2"/>
    <n v="18.22"/>
    <x v="2"/>
    <x v="0"/>
    <s v="Below Avg"/>
    <s v="Profit"/>
    <n v="440"/>
  </r>
  <r>
    <n v="477"/>
    <x v="476"/>
    <n v="1039"/>
    <s v="Customer_128"/>
    <s v="Consumer"/>
    <s v="North"/>
    <s v="Furniture"/>
    <s v="Product_D"/>
    <n v="1853"/>
    <n v="1"/>
    <n v="0.25"/>
    <n v="1755"/>
    <s v="COD"/>
    <n v="1389.75"/>
    <s v="Apr"/>
    <n v="2025"/>
    <s v="Q2"/>
    <n v="1.2628170534268754"/>
    <n v="463.25"/>
    <x v="2"/>
    <x v="0"/>
    <s v="Below Avg"/>
    <s v="Profit"/>
    <n v="461"/>
  </r>
  <r>
    <n v="478"/>
    <x v="477"/>
    <n v="1052"/>
    <s v="Customer_131"/>
    <s v="Corporate"/>
    <s v="West"/>
    <s v="Electronics"/>
    <s v="Product_C"/>
    <n v="3861"/>
    <n v="4"/>
    <n v="0.16"/>
    <n v="1739"/>
    <s v="Card"/>
    <n v="12972.96"/>
    <s v="Apr"/>
    <n v="2025"/>
    <s v="Q2"/>
    <n v="0.1340480507147174"/>
    <n v="2471.04"/>
    <x v="0"/>
    <x v="0"/>
    <s v="Above Avg"/>
    <s v="Profit"/>
    <n v="159"/>
  </r>
  <r>
    <n v="479"/>
    <x v="478"/>
    <n v="1079"/>
    <s v="Customer_187"/>
    <s v="Corporate"/>
    <s v="North"/>
    <s v="Electronics"/>
    <s v="Product_C"/>
    <n v="3679"/>
    <n v="6"/>
    <n v="0.13"/>
    <n v="1506"/>
    <s v="COD"/>
    <n v="19204.38"/>
    <s v="Apr"/>
    <n v="2025"/>
    <s v="Q2"/>
    <n v="7.8419610526348674E-2"/>
    <n v="2869.62"/>
    <x v="0"/>
    <x v="0"/>
    <s v="Above Avg"/>
    <s v="Profit"/>
    <n v="84"/>
  </r>
  <r>
    <n v="480"/>
    <x v="479"/>
    <n v="1039"/>
    <s v="Customer_56"/>
    <s v="Consumer"/>
    <s v="North"/>
    <s v="Electronics"/>
    <s v="Product_A"/>
    <n v="1431"/>
    <n v="9"/>
    <n v="0.22"/>
    <n v="822"/>
    <s v="UPI"/>
    <n v="10045.620000000001"/>
    <s v="Apr"/>
    <n v="2025"/>
    <s v="Q2"/>
    <n v="8.1826706564652046E-2"/>
    <n v="2833.38"/>
    <x v="0"/>
    <x v="0"/>
    <s v="Below Avg"/>
    <s v="Profit"/>
    <n v="200"/>
  </r>
  <r>
    <n v="481"/>
    <x v="480"/>
    <n v="1008"/>
    <s v="Customer_22"/>
    <s v="Consumer"/>
    <s v="North"/>
    <s v="Furniture"/>
    <s v="Product_C"/>
    <n v="2112"/>
    <n v="9"/>
    <n v="0.26"/>
    <n v="645"/>
    <s v="UPI"/>
    <n v="14065.92"/>
    <s v="Apr"/>
    <n v="2025"/>
    <s v="Q2"/>
    <n v="4.5855514605514604E-2"/>
    <n v="4942.08"/>
    <x v="0"/>
    <x v="0"/>
    <s v="Above Avg"/>
    <s v="Profit"/>
    <n v="146"/>
  </r>
  <r>
    <n v="482"/>
    <x v="481"/>
    <n v="1026"/>
    <s v="Customer_170"/>
    <s v="Consumer"/>
    <s v="West"/>
    <s v="Clothing"/>
    <s v="Product_D"/>
    <n v="3792"/>
    <n v="3"/>
    <n v="0.28000000000000003"/>
    <n v="1742"/>
    <s v="Card"/>
    <n v="8190.7199999999903"/>
    <s v="Apr"/>
    <n v="2025"/>
    <s v="Q2"/>
    <n v="0.2126797155805597"/>
    <n v="3185.28"/>
    <x v="0"/>
    <x v="0"/>
    <s v="Below Avg"/>
    <s v="Profit"/>
    <n v="244"/>
  </r>
  <r>
    <n v="483"/>
    <x v="482"/>
    <n v="1080"/>
    <s v="Customer_132"/>
    <s v="Consumer"/>
    <s v="East"/>
    <s v="Furniture"/>
    <s v="Product_C"/>
    <n v="2486"/>
    <n v="9"/>
    <n v="0.1"/>
    <n v="-143"/>
    <s v="UPI"/>
    <n v="20136.599999999999"/>
    <s v="Apr"/>
    <n v="2025"/>
    <s v="Q2"/>
    <n v="-7.1014967770130014E-3"/>
    <n v="2237.4"/>
    <x v="0"/>
    <x v="0"/>
    <s v="Above Avg"/>
    <s v="Loss"/>
    <n v="78"/>
  </r>
  <r>
    <n v="484"/>
    <x v="483"/>
    <n v="1002"/>
    <s v="Customer_100"/>
    <s v="Corporate"/>
    <s v="East"/>
    <s v="Clothing"/>
    <s v="Product_D"/>
    <n v="306"/>
    <n v="6"/>
    <n v="0.06"/>
    <n v="-483"/>
    <s v="Card"/>
    <n v="1725.84"/>
    <s v="Apr"/>
    <n v="2025"/>
    <s v="Q2"/>
    <n v="-0.27986371853706021"/>
    <n v="110.16"/>
    <x v="2"/>
    <x v="0"/>
    <s v="Below Avg"/>
    <s v="Loss"/>
    <n v="445"/>
  </r>
  <r>
    <n v="485"/>
    <x v="484"/>
    <n v="1055"/>
    <s v="Customer_118"/>
    <s v="Consumer"/>
    <s v="West"/>
    <s v="Electronics"/>
    <s v="Product_B"/>
    <n v="3682"/>
    <n v="8"/>
    <n v="0.1"/>
    <n v="1715"/>
    <s v="Card"/>
    <n v="26510.400000000001"/>
    <s v="Apr"/>
    <n v="2025"/>
    <s v="Q2"/>
    <n v="6.4691592733417819E-2"/>
    <n v="2945.6000000000004"/>
    <x v="0"/>
    <x v="0"/>
    <s v="Above Avg"/>
    <s v="Profit"/>
    <n v="37"/>
  </r>
  <r>
    <n v="486"/>
    <x v="485"/>
    <n v="1052"/>
    <s v="Customer_12"/>
    <s v="Consumer"/>
    <s v="East"/>
    <s v="Furniture"/>
    <s v="Product_C"/>
    <n v="4317"/>
    <n v="8"/>
    <n v="0.28999999999999998"/>
    <n v="227"/>
    <s v="UPI"/>
    <n v="24520.559999999899"/>
    <s v="Apr"/>
    <n v="2025"/>
    <s v="Q2"/>
    <n v="9.2575373482498332E-3"/>
    <n v="10015.439999999999"/>
    <x v="0"/>
    <x v="0"/>
    <s v="Above Avg"/>
    <s v="Profit"/>
    <n v="46"/>
  </r>
  <r>
    <n v="487"/>
    <x v="486"/>
    <n v="1003"/>
    <s v="Customer_37"/>
    <s v="Corporate"/>
    <s v="East"/>
    <s v="Electronics"/>
    <s v="Product_D"/>
    <n v="1839"/>
    <n v="3"/>
    <n v="0.03"/>
    <n v="1247"/>
    <s v="UPI"/>
    <n v="5351.49"/>
    <s v="May"/>
    <n v="2025"/>
    <s v="Q2"/>
    <n v="0.23301921520922211"/>
    <n v="165.51"/>
    <x v="0"/>
    <x v="0"/>
    <s v="Below Avg"/>
    <s v="Profit"/>
    <n v="314"/>
  </r>
  <r>
    <n v="488"/>
    <x v="487"/>
    <n v="1039"/>
    <s v="Customer_41"/>
    <s v="Consumer"/>
    <s v="West"/>
    <s v="Furniture"/>
    <s v="Product_A"/>
    <n v="3996"/>
    <n v="3"/>
    <n v="0.28999999999999998"/>
    <n v="56"/>
    <s v="Card"/>
    <n v="8511.48"/>
    <s v="May"/>
    <n v="2025"/>
    <s v="Q2"/>
    <n v="6.5793493023539977E-3"/>
    <n v="3476.52"/>
    <x v="0"/>
    <x v="0"/>
    <s v="Below Avg"/>
    <s v="Profit"/>
    <n v="238"/>
  </r>
  <r>
    <n v="489"/>
    <x v="488"/>
    <n v="1051"/>
    <s v="Customer_58"/>
    <s v="Corporate"/>
    <s v="South"/>
    <s v="Electronics"/>
    <s v="Product_C"/>
    <n v="3116"/>
    <n v="9"/>
    <n v="0.19"/>
    <n v="942"/>
    <s v="COD"/>
    <n v="22715.64"/>
    <s v="May"/>
    <n v="2025"/>
    <s v="Q2"/>
    <n v="4.1469225608435425E-2"/>
    <n v="5328.36"/>
    <x v="0"/>
    <x v="0"/>
    <s v="Above Avg"/>
    <s v="Profit"/>
    <n v="61"/>
  </r>
  <r>
    <n v="490"/>
    <x v="489"/>
    <n v="1055"/>
    <s v="Customer_63"/>
    <s v="Consumer"/>
    <s v="West"/>
    <s v="Furniture"/>
    <s v="Product_D"/>
    <n v="2104"/>
    <n v="3"/>
    <n v="0"/>
    <n v="1145"/>
    <s v="UPI"/>
    <n v="6312"/>
    <s v="May"/>
    <n v="2025"/>
    <s v="Q2"/>
    <n v="0.18140050697084917"/>
    <n v="0"/>
    <x v="0"/>
    <x v="0"/>
    <s v="Below Avg"/>
    <s v="Profit"/>
    <n v="289"/>
  </r>
  <r>
    <n v="491"/>
    <x v="490"/>
    <n v="1064"/>
    <s v="Customer_71"/>
    <s v="Corporate"/>
    <s v="East"/>
    <s v="Clothing"/>
    <s v="Product_B"/>
    <n v="1692"/>
    <n v="4"/>
    <n v="0.26"/>
    <n v="-81"/>
    <s v="COD"/>
    <n v="5008.32"/>
    <s v="May"/>
    <n v="2025"/>
    <s v="Q2"/>
    <n v="-1.6173087981598621E-2"/>
    <n v="1759.68"/>
    <x v="0"/>
    <x v="0"/>
    <s v="Below Avg"/>
    <s v="Loss"/>
    <n v="323"/>
  </r>
  <r>
    <n v="492"/>
    <x v="491"/>
    <n v="1077"/>
    <s v="Customer_133"/>
    <s v="Consumer"/>
    <s v="East"/>
    <s v="Clothing"/>
    <s v="Product_B"/>
    <n v="2103"/>
    <n v="7"/>
    <n v="0.2"/>
    <n v="439"/>
    <s v="COD"/>
    <n v="11776.8"/>
    <s v="May"/>
    <n v="2025"/>
    <s v="Q2"/>
    <n v="3.7276679573398551E-2"/>
    <n v="2944.2000000000003"/>
    <x v="0"/>
    <x v="0"/>
    <s v="Above Avg"/>
    <s v="Profit"/>
    <n v="173"/>
  </r>
  <r>
    <n v="493"/>
    <x v="492"/>
    <n v="1071"/>
    <s v="Customer_91"/>
    <s v="Corporate"/>
    <s v="North"/>
    <s v="Electronics"/>
    <s v="Product_C"/>
    <n v="3019"/>
    <n v="9"/>
    <n v="0.04"/>
    <n v="660"/>
    <s v="COD"/>
    <n v="26084.16"/>
    <s v="May"/>
    <n v="2025"/>
    <s v="Q2"/>
    <n v="2.5302712450774725E-2"/>
    <n v="1086.8399999999999"/>
    <x v="0"/>
    <x v="0"/>
    <s v="Above Avg"/>
    <s v="Profit"/>
    <n v="39"/>
  </r>
  <r>
    <n v="494"/>
    <x v="493"/>
    <n v="1070"/>
    <s v="Customer_89"/>
    <s v="Consumer"/>
    <s v="South"/>
    <s v="Clothing"/>
    <s v="Product_D"/>
    <n v="208"/>
    <n v="3"/>
    <n v="0.1"/>
    <n v="1549"/>
    <s v="Card"/>
    <n v="561.6"/>
    <s v="May"/>
    <n v="2025"/>
    <s v="Q2"/>
    <n v="2.758190883190883"/>
    <n v="62.400000000000006"/>
    <x v="2"/>
    <x v="0"/>
    <s v="Below Avg"/>
    <s v="Profit"/>
    <n v="489"/>
  </r>
  <r>
    <n v="495"/>
    <x v="494"/>
    <n v="1029"/>
    <s v="Customer_17"/>
    <s v="Corporate"/>
    <s v="East"/>
    <s v="Furniture"/>
    <s v="Product_B"/>
    <n v="3081"/>
    <n v="1"/>
    <n v="0.26"/>
    <n v="606"/>
    <s v="Card"/>
    <n v="2279.94"/>
    <s v="May"/>
    <n v="2025"/>
    <s v="Q2"/>
    <n v="0.26579646832811388"/>
    <n v="801.06000000000006"/>
    <x v="1"/>
    <x v="0"/>
    <s v="Below Avg"/>
    <s v="Profit"/>
    <n v="416"/>
  </r>
  <r>
    <n v="496"/>
    <x v="495"/>
    <n v="1024"/>
    <s v="Customer_156"/>
    <s v="Consumer"/>
    <s v="North"/>
    <s v="Clothing"/>
    <s v="Product_A"/>
    <n v="2595"/>
    <n v="2"/>
    <n v="0.22"/>
    <n v="1965"/>
    <s v="Card"/>
    <n v="4048.2"/>
    <s v="May"/>
    <n v="2025"/>
    <s v="Q2"/>
    <n v="0.48540091892693049"/>
    <n v="1141.8"/>
    <x v="1"/>
    <x v="0"/>
    <s v="Below Avg"/>
    <s v="Profit"/>
    <n v="352"/>
  </r>
  <r>
    <n v="497"/>
    <x v="496"/>
    <n v="1038"/>
    <s v="Customer_119"/>
    <s v="Corporate"/>
    <s v="South"/>
    <s v="Electronics"/>
    <s v="Product_A"/>
    <n v="1791"/>
    <n v="4"/>
    <n v="0.1"/>
    <n v="-437"/>
    <s v="UPI"/>
    <n v="6447.6"/>
    <s v="May"/>
    <n v="2025"/>
    <s v="Q2"/>
    <n v="-6.7777157391897755E-2"/>
    <n v="716.40000000000009"/>
    <x v="0"/>
    <x v="0"/>
    <s v="Below Avg"/>
    <s v="Loss"/>
    <n v="286"/>
  </r>
  <r>
    <n v="498"/>
    <x v="497"/>
    <n v="1079"/>
    <s v="Customer_155"/>
    <s v="Consumer"/>
    <s v="East"/>
    <s v="Electronics"/>
    <s v="Product_D"/>
    <n v="4085"/>
    <n v="7"/>
    <n v="0.24"/>
    <n v="1108"/>
    <s v="UPI"/>
    <n v="21732.2"/>
    <s v="May"/>
    <n v="2025"/>
    <s v="Q2"/>
    <n v="5.0984253780105099E-2"/>
    <n v="6862.8"/>
    <x v="0"/>
    <x v="0"/>
    <s v="Above Avg"/>
    <s v="Profit"/>
    <n v="70"/>
  </r>
  <r>
    <n v="499"/>
    <x v="498"/>
    <n v="1074"/>
    <s v="Customer_181"/>
    <s v="Corporate"/>
    <s v="South"/>
    <s v="Electronics"/>
    <s v="Product_A"/>
    <n v="4431"/>
    <n v="1"/>
    <n v="0.08"/>
    <n v="394"/>
    <s v="Card"/>
    <n v="4076.52"/>
    <s v="May"/>
    <n v="2025"/>
    <s v="Q2"/>
    <n v="9.665106512417454E-2"/>
    <n v="354.48"/>
    <x v="1"/>
    <x v="0"/>
    <s v="Below Avg"/>
    <s v="Profit"/>
    <n v="350"/>
  </r>
  <r>
    <n v="500"/>
    <x v="499"/>
    <n v="1024"/>
    <s v="Customer_26"/>
    <s v="Consumer"/>
    <s v="North"/>
    <s v="Furniture"/>
    <s v="Product_B"/>
    <n v="1822"/>
    <n v="4"/>
    <n v="0.16"/>
    <n v="1668"/>
    <s v="Card"/>
    <n v="6121.92"/>
    <s v="May"/>
    <n v="2025"/>
    <s v="Q2"/>
    <n v="0.27246354084992941"/>
    <n v="1166.08"/>
    <x v="0"/>
    <x v="0"/>
    <s v="Below Avg"/>
    <s v="Profit"/>
    <n v="2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BD9FC-90C4-4783-ABDC-B81F022039DE}"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B15" firstHeaderRow="1" firstDataRow="1" firstDataCol="1"/>
  <pivotFields count="24">
    <pivotField showAll="0"/>
    <pivotField numFmtId="14" showAll="0"/>
    <pivotField showAll="0"/>
    <pivotField showAll="0"/>
    <pivotField showAll="0"/>
    <pivotField showAll="0"/>
    <pivotField showAll="0"/>
    <pivotField axis="axisRow" showAll="0" measureFilter="1">
      <items count="5">
        <item x="0"/>
        <item x="2"/>
        <item x="3"/>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2"/>
    </i>
    <i t="grand">
      <x/>
    </i>
  </rowItems>
  <colItems count="1">
    <i/>
  </colItems>
  <dataFields count="1">
    <dataField name="Sum of Sales" fld="13" baseField="0" baseItem="0"/>
  </dataFields>
  <formats count="6">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2">
            <x v="0"/>
            <x v="2"/>
          </reference>
        </references>
      </pivotArea>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0F5D57-14B2-4759-A108-3115E67E4D31}"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0:E25" firstHeaderRow="1" firstDataRow="1" firstDataCol="1"/>
  <pivotFields count="24">
    <pivotField showAll="0"/>
    <pivotField numFmtId="14"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Profit" fld="11" baseField="0" baseItem="0"/>
  </dataFields>
  <formats count="6">
    <format dxfId="101">
      <pivotArea type="all" dataOnly="0" outline="0" fieldPosition="0"/>
    </format>
    <format dxfId="100">
      <pivotArea outline="0" collapsedLevelsAreSubtotals="1" fieldPosition="0"/>
    </format>
    <format dxfId="99">
      <pivotArea field="5" type="button" dataOnly="0" labelOnly="1" outline="0" axis="axisRow" fieldPosition="0"/>
    </format>
    <format dxfId="98">
      <pivotArea dataOnly="0" labelOnly="1" fieldPosition="0">
        <references count="1">
          <reference field="5" count="0"/>
        </references>
      </pivotArea>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B16CE-9451-412B-8B67-5BD162832FAB}" name="PivotTable2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8:G42" firstHeaderRow="1" firstDataRow="1" firstDataCol="1"/>
  <pivotFields count="24">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sd="0" x="0"/>
        <item sd="0" x="2"/>
        <item sd="0" x="1"/>
        <item t="default" sd="0"/>
      </items>
    </pivotField>
    <pivotField showAll="0"/>
    <pivotField showAll="0"/>
    <pivotField showAll="0"/>
    <pivotField showAll="0"/>
  </pivotFields>
  <rowFields count="2">
    <field x="19"/>
    <field x="1"/>
  </rowFields>
  <rowItems count="4">
    <i>
      <x/>
    </i>
    <i>
      <x v="1"/>
    </i>
    <i>
      <x v="2"/>
    </i>
    <i t="grand">
      <x/>
    </i>
  </rowItems>
  <colItems count="1">
    <i/>
  </colItems>
  <dataFields count="1">
    <dataField name="Sum of Discount" fld="10" baseField="0" baseItem="0"/>
  </dataFields>
  <formats count="6">
    <format dxfId="107">
      <pivotArea type="all" dataOnly="0" outline="0" fieldPosition="0"/>
    </format>
    <format dxfId="106">
      <pivotArea outline="0" collapsedLevelsAreSubtotals="1" fieldPosition="0"/>
    </format>
    <format dxfId="105">
      <pivotArea field="19" type="button" dataOnly="0" labelOnly="1" outline="0" axis="axisRow" fieldPosition="0"/>
    </format>
    <format dxfId="104">
      <pivotArea dataOnly="0" labelOnly="1" fieldPosition="0">
        <references count="1">
          <reference field="19" count="0"/>
        </references>
      </pivotArea>
    </format>
    <format dxfId="103">
      <pivotArea dataOnly="0" labelOnly="1" grandRow="1" outline="0"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38311-1995-48E3-9935-96B67783E222}" name="PivotTable1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D34" firstHeaderRow="0" firstDataRow="1" firstDataCol="1"/>
  <pivotFields count="24">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axis="axisRow" showAll="0">
      <items count="5">
        <item sd="0" x="0"/>
        <item sd="0" x="2"/>
        <item sd="0" x="3"/>
        <item sd="0" x="1"/>
        <item t="default" sd="0"/>
      </items>
    </pivotField>
    <pivotField showAll="0"/>
    <pivotField showAll="0"/>
    <pivotField showAll="0"/>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s>
  <rowFields count="2">
    <field x="7"/>
    <field x="1"/>
  </rowFields>
  <rowItems count="5">
    <i>
      <x/>
    </i>
    <i>
      <x v="1"/>
    </i>
    <i>
      <x v="2"/>
    </i>
    <i>
      <x v="3"/>
    </i>
    <i t="grand">
      <x/>
    </i>
  </rowItems>
  <colFields count="1">
    <field x="-2"/>
  </colFields>
  <colItems count="3">
    <i>
      <x/>
    </i>
    <i i="1">
      <x v="1"/>
    </i>
    <i i="2">
      <x v="2"/>
    </i>
  </colItems>
  <dataFields count="3">
    <dataField name="Sum of Sales" fld="13" baseField="0" baseItem="0"/>
    <dataField name="Sum of Profit Margin" fld="17" baseField="0" baseItem="0"/>
    <dataField name="Sum of Discount Amount" fld="18" baseField="0" baseItem="0"/>
  </dataFields>
  <formats count="6">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grandRow="1" outline="0" fieldPosition="0"/>
    </format>
    <format dxfId="10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6AFA2-C0AE-4CFB-8E5F-687203A5EEEB}"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3:E7" firstHeaderRow="1" firstDataRow="1" firstDataCol="1"/>
  <pivotFields count="24">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Sales" fld="13" baseField="0" baseItem="0"/>
  </dataFields>
  <formats count="6">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fieldPosition="0">
        <references count="1">
          <reference field="6" count="0"/>
        </references>
      </pivotArea>
    </format>
    <format dxfId="115">
      <pivotArea dataOnly="0" labelOnly="1" grandRow="1" outline="0" fieldPosition="0"/>
    </format>
    <format dxfId="1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838C4A-0C9D-47DD-BE0A-C430C121E3F2}" name="PivotTable3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6:G49" firstHeaderRow="1" firstDataRow="1" firstDataCol="1"/>
  <pivotFields count="2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0"/>
  </rowFields>
  <rowItems count="3">
    <i>
      <x/>
    </i>
    <i>
      <x v="1"/>
    </i>
    <i t="grand">
      <x/>
    </i>
  </rowItems>
  <colItems count="1">
    <i/>
  </colItems>
  <dataFields count="1">
    <dataField name="Sum of Sales" fld="13" baseField="0" baseItem="0"/>
  </dataFields>
  <formats count="7">
    <format dxfId="126">
      <pivotArea type="all" dataOnly="0" outline="0" fieldPosition="0"/>
    </format>
    <format dxfId="125">
      <pivotArea outline="0" collapsedLevelsAreSubtotals="1" fieldPosition="0"/>
    </format>
    <format dxfId="124">
      <pivotArea field="20" type="button" dataOnly="0" labelOnly="1" outline="0" axis="axisRow" fieldPosition="0"/>
    </format>
    <format dxfId="123">
      <pivotArea dataOnly="0" labelOnly="1" fieldPosition="0">
        <references count="1">
          <reference field="20" count="0"/>
        </references>
      </pivotArea>
    </format>
    <format dxfId="122">
      <pivotArea dataOnly="0" labelOnly="1" grandRow="1" outline="0" fieldPosition="0"/>
    </format>
    <format dxfId="121">
      <pivotArea dataOnly="0" labelOnly="1" outline="0" axis="axisValues"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DD6C00-EB76-4BBD-863F-E4D1072C30B2}" name="PivotTable2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8:D55" firstHeaderRow="0" firstDataRow="1" firstDataCol="1"/>
  <pivotFields count="24">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axis="axisRow" showAll="0">
      <items count="13">
        <item sd="0" x="0"/>
        <item sd="0" x="1"/>
        <item sd="0" x="2"/>
        <item sd="0" x="3"/>
        <item sd="0" x="4"/>
        <item sd="0" x="5"/>
        <item sd="0" x="6"/>
        <item sd="0" x="7"/>
        <item sd="0" x="8"/>
        <item sd="0" x="9"/>
        <item sd="0" x="10"/>
        <item sd="0" x="11"/>
        <item t="default" sd="0"/>
      </items>
    </pivotField>
    <pivotField showAll="0"/>
    <pivotField axis="axisRow" showAll="0">
      <items count="5">
        <item x="0"/>
        <item x="1"/>
        <item x="2"/>
        <item x="3"/>
        <item t="default"/>
      </items>
    </pivotField>
    <pivotField showAll="0"/>
    <pivotField dataField="1" showAll="0"/>
    <pivotField showAll="0"/>
    <pivotField showAll="0"/>
    <pivotField showAll="0"/>
    <pivotField showAll="0"/>
    <pivotField showAll="0"/>
  </pivotFields>
  <rowFields count="3">
    <field x="16"/>
    <field x="14"/>
    <field x="1"/>
  </rowFields>
  <rowItems count="17">
    <i>
      <x/>
    </i>
    <i r="1">
      <x/>
    </i>
    <i r="1">
      <x v="1"/>
    </i>
    <i r="1">
      <x v="2"/>
    </i>
    <i>
      <x v="1"/>
    </i>
    <i r="1">
      <x v="3"/>
    </i>
    <i r="1">
      <x v="4"/>
    </i>
    <i r="1">
      <x v="5"/>
    </i>
    <i>
      <x v="2"/>
    </i>
    <i r="1">
      <x v="6"/>
    </i>
    <i r="1">
      <x v="7"/>
    </i>
    <i r="1">
      <x v="8"/>
    </i>
    <i>
      <x v="3"/>
    </i>
    <i r="1">
      <x v="9"/>
    </i>
    <i r="1">
      <x v="10"/>
    </i>
    <i r="1">
      <x v="11"/>
    </i>
    <i t="grand">
      <x/>
    </i>
  </rowItems>
  <colFields count="1">
    <field x="-2"/>
  </colFields>
  <colItems count="3">
    <i>
      <x/>
    </i>
    <i i="1">
      <x v="1"/>
    </i>
    <i i="2">
      <x v="2"/>
    </i>
  </colItems>
  <dataFields count="3">
    <dataField name="Sum of Discount Amount" fld="18" baseField="0" baseItem="0"/>
    <dataField name="Sum of Profit" fld="11" baseField="0" baseItem="0"/>
    <dataField name="Sum of Discount" fld="10" baseField="0" baseItem="0"/>
  </dataFields>
  <formats count="10">
    <format dxfId="136">
      <pivotArea type="all" dataOnly="0" outline="0" fieldPosition="0"/>
    </format>
    <format dxfId="135">
      <pivotArea outline="0" collapsedLevelsAreSubtotals="1" fieldPosition="0"/>
    </format>
    <format dxfId="134">
      <pivotArea field="16" type="button" dataOnly="0" labelOnly="1" outline="0" axis="axisRow" fieldPosition="0"/>
    </format>
    <format dxfId="133">
      <pivotArea dataOnly="0" labelOnly="1" fieldPosition="0">
        <references count="1">
          <reference field="16" count="0"/>
        </references>
      </pivotArea>
    </format>
    <format dxfId="132">
      <pivotArea dataOnly="0" labelOnly="1" grandRow="1" outline="0" fieldPosition="0"/>
    </format>
    <format dxfId="131">
      <pivotArea dataOnly="0" labelOnly="1" fieldPosition="0">
        <references count="2">
          <reference field="14" count="3">
            <x v="0"/>
            <x v="1"/>
            <x v="2"/>
          </reference>
          <reference field="16" count="1" selected="0">
            <x v="0"/>
          </reference>
        </references>
      </pivotArea>
    </format>
    <format dxfId="130">
      <pivotArea dataOnly="0" labelOnly="1" fieldPosition="0">
        <references count="2">
          <reference field="14" count="3">
            <x v="3"/>
            <x v="4"/>
            <x v="5"/>
          </reference>
          <reference field="16" count="1" selected="0">
            <x v="1"/>
          </reference>
        </references>
      </pivotArea>
    </format>
    <format dxfId="129">
      <pivotArea dataOnly="0" labelOnly="1" fieldPosition="0">
        <references count="2">
          <reference field="14" count="3">
            <x v="6"/>
            <x v="7"/>
            <x v="8"/>
          </reference>
          <reference field="16" count="1" selected="0">
            <x v="2"/>
          </reference>
        </references>
      </pivotArea>
    </format>
    <format dxfId="128">
      <pivotArea dataOnly="0" labelOnly="1" fieldPosition="0">
        <references count="2">
          <reference field="14" count="3">
            <x v="9"/>
            <x v="10"/>
            <x v="11"/>
          </reference>
          <reference field="16" count="1" selected="0">
            <x v="3"/>
          </reference>
        </references>
      </pivotArea>
    </format>
    <format dxfId="127">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E85E2A-2815-470A-87BE-D470082519FB}" name="PivotTable3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8:J42" firstHeaderRow="1" firstDataRow="1" firstDataCol="1"/>
  <pivotFields count="24">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s>
  <rowFields count="1">
    <field x="19"/>
  </rowFields>
  <rowItems count="4">
    <i>
      <x/>
    </i>
    <i>
      <x v="1"/>
    </i>
    <i>
      <x v="2"/>
    </i>
    <i t="grand">
      <x/>
    </i>
  </rowItems>
  <colItems count="1">
    <i/>
  </colItems>
  <dataFields count="1">
    <dataField name="Count of Order_ID" fld="0" subtotal="count" baseField="19" baseItem="0"/>
  </dataFields>
  <formats count="24">
    <format dxfId="160">
      <pivotArea type="all" dataOnly="0" outline="0" fieldPosition="0"/>
    </format>
    <format dxfId="159">
      <pivotArea outline="0" collapsedLevelsAreSubtotals="1" fieldPosition="0"/>
    </format>
    <format dxfId="158">
      <pivotArea field="19" type="button" dataOnly="0" labelOnly="1" outline="0" axis="axisRow" fieldPosition="0"/>
    </format>
    <format dxfId="157">
      <pivotArea dataOnly="0" labelOnly="1" fieldPosition="0">
        <references count="1">
          <reference field="19" count="0"/>
        </references>
      </pivotArea>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19" type="button" dataOnly="0" labelOnly="1" outline="0" axis="axisRow" fieldPosition="0"/>
    </format>
    <format dxfId="151">
      <pivotArea dataOnly="0" labelOnly="1" fieldPosition="0">
        <references count="1">
          <reference field="19"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19" type="button" dataOnly="0" labelOnly="1" outline="0" axis="axisRow" fieldPosition="0"/>
    </format>
    <format dxfId="145">
      <pivotArea dataOnly="0" labelOnly="1" fieldPosition="0">
        <references count="1">
          <reference field="19"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9" type="button" dataOnly="0" labelOnly="1" outline="0" axis="axisRow" fieldPosition="0"/>
    </format>
    <format dxfId="139">
      <pivotArea dataOnly="0" labelOnly="1" fieldPosition="0">
        <references count="1">
          <reference field="19" count="0"/>
        </references>
      </pivotArea>
    </format>
    <format dxfId="138">
      <pivotArea dataOnly="0" labelOnly="1" grandRow="1" outline="0" fieldPosition="0"/>
    </format>
    <format dxfId="1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5ACB7-9951-487F-BDE9-C173CED2F192}"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2:E16" firstHeaderRow="1" firstDataRow="1" firstDataCol="1"/>
  <pivotFields count="24">
    <pivotField dataField="1"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Order_ID" fld="0" subtotal="count" baseField="12" baseItem="0"/>
  </dataFields>
  <formats count="6">
    <format dxfId="166">
      <pivotArea type="all" dataOnly="0" outline="0" fieldPosition="0"/>
    </format>
    <format dxfId="165">
      <pivotArea outline="0" collapsedLevelsAreSubtotals="1" fieldPosition="0"/>
    </format>
    <format dxfId="164">
      <pivotArea field="12" type="button" dataOnly="0" labelOnly="1" outline="0" axis="axisRow" fieldPosition="0"/>
    </format>
    <format dxfId="163">
      <pivotArea dataOnly="0" labelOnly="1" fieldPosition="0">
        <references count="1">
          <reference field="12" count="0"/>
        </references>
      </pivotArea>
    </format>
    <format dxfId="162">
      <pivotArea dataOnly="0" labelOnly="1" grandRow="1" outline="0"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252246-ED92-431A-ACC8-342FEDD07961}"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6" firstHeaderRow="1" firstDataRow="1" firstDataCol="1"/>
  <pivotFields count="2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13" baseField="0" baseItem="0"/>
  </dataFields>
  <formats count="6">
    <format dxfId="172">
      <pivotArea type="all" dataOnly="0" outline="0" fieldPosition="0"/>
    </format>
    <format dxfId="171">
      <pivotArea outline="0" collapsedLevelsAreSubtotals="1" fieldPosition="0"/>
    </format>
    <format dxfId="170">
      <pivotArea field="14" type="button" dataOnly="0" labelOnly="1" outline="0" axis="axisRow" fieldPosition="0"/>
    </format>
    <format dxfId="169">
      <pivotArea dataOnly="0" labelOnly="1" fieldPosition="0">
        <references count="1">
          <reference field="14" count="0"/>
        </references>
      </pivotArea>
    </format>
    <format dxfId="168">
      <pivotArea dataOnly="0" labelOnly="1" grandRow="1" outline="0" fieldPosition="0"/>
    </format>
    <format dxfId="1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197F16-68BB-49F7-B082-765841B098EF}" name="PivotTable2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9:I33" firstHeaderRow="0" firstDataRow="1" firstDataCol="1"/>
  <pivotFields count="24">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4">
        <item sd="0" x="1"/>
        <item sd="0" x="2"/>
        <item sd="0" x="0"/>
        <item t="default" sd="0"/>
      </items>
    </pivotField>
    <pivotField showAll="0"/>
    <pivotField showAll="0"/>
    <pivotField showAll="0"/>
    <pivotField showAll="0"/>
    <pivotField dataField="1" showAll="0"/>
    <pivotField dataField="1" showAll="0"/>
    <pivotField showAll="0"/>
    <pivotField showAll="0"/>
    <pivotField showAll="0"/>
    <pivotField showAll="0"/>
    <pivotField showAll="0"/>
  </pivotFields>
  <rowFields count="2">
    <field x="12"/>
    <field x="1"/>
  </rowFields>
  <rowItems count="4">
    <i>
      <x/>
    </i>
    <i>
      <x v="1"/>
    </i>
    <i>
      <x v="2"/>
    </i>
    <i t="grand">
      <x/>
    </i>
  </rowItems>
  <colFields count="1">
    <field x="-2"/>
  </colFields>
  <colItems count="3">
    <i>
      <x/>
    </i>
    <i i="1">
      <x v="1"/>
    </i>
    <i i="2">
      <x v="2"/>
    </i>
  </colItems>
  <dataFields count="3">
    <dataField name="Sum of Profit Margin" fld="17" baseField="0" baseItem="0"/>
    <dataField name="Sum of Discount Amount" fld="18" baseField="0" baseItem="0"/>
    <dataField name="Sum of Profit" fld="11" baseField="0" baseItem="0"/>
  </dataFields>
  <formats count="6">
    <format dxfId="178">
      <pivotArea type="all" dataOnly="0" outline="0" fieldPosition="0"/>
    </format>
    <format dxfId="177">
      <pivotArea outline="0" collapsedLevelsAreSubtotals="1" fieldPosition="0"/>
    </format>
    <format dxfId="176">
      <pivotArea field="12" type="button" dataOnly="0" labelOnly="1" outline="0" axis="axisRow" fieldPosition="0"/>
    </format>
    <format dxfId="175">
      <pivotArea dataOnly="0" labelOnly="1" fieldPosition="0">
        <references count="1">
          <reference field="12" count="0"/>
        </references>
      </pivotArea>
    </format>
    <format dxfId="174">
      <pivotArea dataOnly="0" labelOnly="1" grandRow="1" outline="0" fieldPosition="0"/>
    </format>
    <format dxfId="17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1AE86E-00F1-4D8D-A0E9-BDA882624283}"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0:H25" firstHeaderRow="1" firstDataRow="1" firstDataCol="1"/>
  <pivotFields count="24">
    <pivotField showAll="0"/>
    <pivotField numFmtId="14" showAll="0"/>
    <pivotField showAll="0"/>
    <pivotField showAll="0"/>
    <pivotField showAll="0"/>
    <pivotField axis="axisRow" showAll="0">
      <items count="5">
        <item x="1"/>
        <item x="3"/>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Discount" fld="10" baseField="0" baseItem="0"/>
  </dataFields>
  <formats count="6">
    <format dxfId="184">
      <pivotArea type="all" dataOnly="0" outline="0" fieldPosition="0"/>
    </format>
    <format dxfId="183">
      <pivotArea outline="0" collapsedLevelsAreSubtotals="1" fieldPosition="0"/>
    </format>
    <format dxfId="182">
      <pivotArea field="5" type="button" dataOnly="0" labelOnly="1" outline="0" axis="axisRow" fieldPosition="0"/>
    </format>
    <format dxfId="181">
      <pivotArea dataOnly="0" labelOnly="1" fieldPosition="0">
        <references count="1">
          <reference field="5" count="0"/>
        </references>
      </pivotArea>
    </format>
    <format dxfId="180">
      <pivotArea dataOnly="0" labelOnly="1" grandRow="1" outline="0" fieldPosition="0"/>
    </format>
    <format dxfId="1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D3DAE7-C939-4FBC-9753-660107361C52}"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24">
    <pivotField showAll="0"/>
    <pivotField numFmtId="14" showAll="0"/>
    <pivotField showAll="0"/>
    <pivotField showAll="0"/>
    <pivotField showAll="0">
      <items count="3">
        <item x="0"/>
        <item x="1"/>
        <item t="default"/>
      </items>
    </pivotField>
    <pivotField axis="axisRow" showAll="0">
      <items count="5">
        <item x="1"/>
        <item x="3"/>
        <item x="0"/>
        <item x="2"/>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s>
  <rowFields count="1">
    <field x="5"/>
  </rowFields>
  <rowItems count="5">
    <i>
      <x/>
    </i>
    <i>
      <x v="1"/>
    </i>
    <i>
      <x v="2"/>
    </i>
    <i>
      <x v="3"/>
    </i>
    <i t="grand">
      <x/>
    </i>
  </rowItems>
  <colItems count="1">
    <i/>
  </colItems>
  <dataFields count="1">
    <dataField name="Sum of Sales" fld="13" baseField="0" baseItem="0"/>
  </dataFields>
  <formats count="6">
    <format dxfId="190">
      <pivotArea type="all" dataOnly="0" outline="0" fieldPosition="0"/>
    </format>
    <format dxfId="189">
      <pivotArea outline="0" collapsedLevelsAreSubtotals="1" fieldPosition="0"/>
    </format>
    <format dxfId="188">
      <pivotArea field="5" type="button" dataOnly="0" labelOnly="1" outline="0" axis="axisRow" fieldPosition="0"/>
    </format>
    <format dxfId="187">
      <pivotArea dataOnly="0" labelOnly="1" fieldPosition="0">
        <references count="1">
          <reference field="5" count="0"/>
        </references>
      </pivotArea>
    </format>
    <format dxfId="186">
      <pivotArea dataOnly="0" labelOnly="1" grandRow="1" outline="0" fieldPosition="0"/>
    </format>
    <format dxfId="1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AB6BE4-EE7C-4B97-8B8E-E01F14FD6688}"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B23" firstHeaderRow="1" firstDataRow="1" firstDataCol="1"/>
  <pivotFields count="24">
    <pivotField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Sales" fld="13" baseField="0" baseItem="0"/>
  </dataFields>
  <formats count="6">
    <format dxfId="196">
      <pivotArea type="all" dataOnly="0" outline="0" fieldPosition="0"/>
    </format>
    <format dxfId="195">
      <pivotArea outline="0" collapsedLevelsAreSubtotals="1" fieldPosition="0"/>
    </format>
    <format dxfId="194">
      <pivotArea field="4" type="button" dataOnly="0" labelOnly="1" outline="0" axis="axisRow" fieldPosition="0"/>
    </format>
    <format dxfId="193">
      <pivotArea dataOnly="0" labelOnly="1" fieldPosition="0">
        <references count="1">
          <reference field="4" count="0"/>
        </references>
      </pivotArea>
    </format>
    <format dxfId="192">
      <pivotArea dataOnly="0" labelOnly="1" grandRow="1" outline="0" fieldPosition="0"/>
    </format>
    <format dxfId="1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CBA8257-AF97-4B2A-A3B4-7E5F4F51F9F1}" sourceName="Segment">
  <pivotTables>
    <pivotTable tabId="2" name="PivotTable1"/>
  </pivotTables>
  <data>
    <tabular pivotCacheId="17971380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BF7B5F-A3B1-400C-B494-3D6364073B8D}" sourceName="Region">
  <pivotTables>
    <pivotTable tabId="2" name="PivotTable1"/>
  </pivotTables>
  <data>
    <tabular pivotCacheId="179713805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53194E-2EBF-4D59-BCD9-A683B990C344}" sourceName="Category">
  <pivotTables>
    <pivotTable tabId="2" name="PivotTable1"/>
  </pivotTables>
  <data>
    <tabular pivotCacheId="179713805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233271B-B6EF-4AD0-A754-D0E4DFF96032}" sourceName="Payment_Mode">
  <pivotTables>
    <pivotTable tabId="2" name="PivotTable1"/>
  </pivotTables>
  <data>
    <tabular pivotCacheId="1797138054">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4F6259C-679B-469F-925F-3FF1F1695975}" sourceName="Customer Type">
  <pivotTables>
    <pivotTable tabId="2" name="PivotTable1"/>
  </pivotTables>
  <data>
    <tabular pivotCacheId="17971380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C68A3DE-CD98-4002-9B07-8668FDFFCC3F}" cache="Slicer_Segment" caption="Segment" rowHeight="234950"/>
  <slicer name="Region" xr10:uid="{526C3814-0E08-48BA-A0A2-E88A6739CDCB}" cache="Slicer_Region" caption="Region" rowHeight="234950"/>
  <slicer name="Category" xr10:uid="{F66EAF9D-E2DA-4606-809E-21CA018249EB}" cache="Slicer_Category" caption="Category" rowHeight="234950"/>
  <slicer name="Payment_Mode" xr10:uid="{563D8AE6-D90D-40CA-97C0-68164669A828}" cache="Slicer_Payment_Mode" caption="Payment_Mode" rowHeight="234950"/>
  <slicer name="Customer Type" xr10:uid="{49EA05C3-74BA-4C35-8AE9-543588D43BA7}" cache="Slicer_Customer_Type" caption="Custo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275259-FCF9-408B-974F-8A4E8D415393}" name="SalesData" displayName="SalesData" ref="A1:X501" totalsRowShown="0">
  <autoFilter ref="A1:X501" xr:uid="{A9275259-FCF9-408B-974F-8A4E8D415393}"/>
  <tableColumns count="24">
    <tableColumn id="1" xr3:uid="{FD8B7AAD-D9B9-4676-B45F-0D43A4442215}" name="Order_ID"/>
    <tableColumn id="2" xr3:uid="{7E52A387-C078-417E-A5A9-3933AFA70020}" name="Order_Date" dataDxfId="207"/>
    <tableColumn id="3" xr3:uid="{7A946BD7-E662-4F83-82BA-F3B1327FF406}" name="Customer_ID"/>
    <tableColumn id="4" xr3:uid="{C1E7472E-B904-48A2-B888-5BFADE8EDD9B}" name="Customer_Name"/>
    <tableColumn id="5" xr3:uid="{A9626EAE-CE8E-4E1D-AF26-58283AE0F8C2}" name="Segment"/>
    <tableColumn id="6" xr3:uid="{1081DEFB-2000-4D4E-AC41-2E7EFF9395D5}" name="Region"/>
    <tableColumn id="7" xr3:uid="{368C6347-7199-4810-89C0-7A63EDAE4F9F}" name="Category"/>
    <tableColumn id="8" xr3:uid="{2880C968-7FF6-4F67-873B-D914E7B90771}" name="Product_Name"/>
    <tableColumn id="9" xr3:uid="{9A51F1A9-A84A-4F37-99D9-B7B261CF2BFC}" name="Price"/>
    <tableColumn id="10" xr3:uid="{7FD5AA40-7BBC-4CCA-8CF6-C2EF7DA60DD2}" name="Quantity"/>
    <tableColumn id="11" xr3:uid="{F4E1E672-8310-4FB6-9202-DF30E0DF05AD}" name="Discount"/>
    <tableColumn id="12" xr3:uid="{B290BF51-9D8C-40B8-9BA6-9148F42A42C4}" name="Profit"/>
    <tableColumn id="13" xr3:uid="{809A4EF0-BFD9-4A52-99CF-A81842F87712}" name="Payment_Mode"/>
    <tableColumn id="14" xr3:uid="{04B0E923-7BC0-41D9-B182-0210F10DA847}" name="Sales"/>
    <tableColumn id="15" xr3:uid="{A291DF76-4918-4240-B545-71EF391E277D}" name="Months" dataDxfId="206">
      <calculatedColumnFormula>TEXT(SalesData[[#This Row],[Order_Date]],"mmm")</calculatedColumnFormula>
    </tableColumn>
    <tableColumn id="16" xr3:uid="{F8F86F6C-1106-4C4D-8D39-48FEF1C7169D}" name="Year" dataDxfId="205">
      <calculatedColumnFormula>YEAR(SalesData[[#This Row],[Order_Date]])</calculatedColumnFormula>
    </tableColumn>
    <tableColumn id="17" xr3:uid="{92E7C794-1A55-4B7F-AE09-FCB2EB82785A}" name="Quarter" dataDxfId="204">
      <calculatedColumnFormula>"Q"&amp;ROUNDUP(MONTH(SalesData[[#This Row],[Order_Date]])/3,0)</calculatedColumnFormula>
    </tableColumn>
    <tableColumn id="18" xr3:uid="{0C549CA9-5006-4CBD-8D86-AE148705422C}" name="Profit Margin" dataDxfId="203">
      <calculatedColumnFormula>IFERROR(SalesData[[#This Row],[Profit]]/SalesData[[#This Row],[Sales]],0)</calculatedColumnFormula>
    </tableColumn>
    <tableColumn id="19" xr3:uid="{A0030589-DF58-45E1-B778-5939ED2E4C10}" name="Discount Amount" dataDxfId="202">
      <calculatedColumnFormula>SalesData[[#This Row],[Price]]*SalesData[[#This Row],[Quantity]]*SalesData[[#This Row],[Discount]]</calculatedColumnFormula>
    </tableColumn>
    <tableColumn id="20" xr3:uid="{FC6D8E9B-D92B-451F-8AB4-07BA9B0026FD}" name="Order Category" dataDxfId="201">
      <calculatedColumnFormula>IF(SalesData[[#This Row],[Sales]]&gt;5000,"High",IF(SalesData[[#This Row],[Sales]]&gt;2000,"Medium","Low"))</calculatedColumnFormula>
    </tableColumn>
    <tableColumn id="21" xr3:uid="{6F00237D-8E6F-4330-81A0-0EB723723A49}" name="Customer Type" dataDxfId="200">
      <calculatedColumnFormula>IF(COUNTIFS(SalesData[Customer_ID],SalesData[[#This Row],[Customer_ID]])&gt;1,"Repeat","New")</calculatedColumnFormula>
    </tableColumn>
    <tableColumn id="22" xr3:uid="{F39B7B09-813F-4AB5-BF21-3CEEE28288DF}" name="Sales Performance" dataDxfId="199">
      <calculatedColumnFormula>IF(SalesData[[#This Row],[Sales]]&gt;AVERAGE(SalesData[Sales]),"Above Avg","Below Avg")</calculatedColumnFormula>
    </tableColumn>
    <tableColumn id="23" xr3:uid="{B3C3E929-5D25-4935-A7BA-35E1F31A8400}" name="Profit Status" dataDxfId="198">
      <calculatedColumnFormula>IF(SalesData[[#This Row],[Profit]]&gt;0,"Profit","Loss")</calculatedColumnFormula>
    </tableColumn>
    <tableColumn id="24" xr3:uid="{0EADA1DB-7874-4F6A-9DAE-05ED7D4843AA}" name="Rank Sales" dataDxfId="197">
      <calculatedColumnFormula>RANK(SalesData[[#This Row],[Sales]],SalesData[Sales])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BAE5-084A-4D72-9343-EECAB1841380}">
  <dimension ref="A1:X501"/>
  <sheetViews>
    <sheetView tabSelected="1" topLeftCell="A2" zoomScale="54" workbookViewId="0">
      <selection activeCell="A2" sqref="A2"/>
    </sheetView>
  </sheetViews>
  <sheetFormatPr defaultRowHeight="14.4" x14ac:dyDescent="0.3"/>
  <cols>
    <col min="1" max="1" width="16" bestFit="1" customWidth="1"/>
    <col min="2" max="2" width="18.88671875" bestFit="1" customWidth="1"/>
    <col min="3" max="3" width="21" bestFit="1" customWidth="1"/>
    <col min="4" max="4" width="25.109375" bestFit="1" customWidth="1"/>
    <col min="5" max="5" width="15.77734375" bestFit="1" customWidth="1"/>
    <col min="6" max="6" width="14" bestFit="1" customWidth="1"/>
    <col min="7" max="7" width="16.21875" bestFit="1" customWidth="1"/>
    <col min="8" max="8" width="23" bestFit="1" customWidth="1"/>
    <col min="9" max="9" width="12.109375" bestFit="1" customWidth="1"/>
    <col min="10" max="10" width="15.33203125" bestFit="1" customWidth="1"/>
    <col min="11" max="11" width="16.21875" bestFit="1" customWidth="1"/>
    <col min="12" max="12" width="12.77734375" bestFit="1" customWidth="1"/>
    <col min="13" max="13" width="23.88671875" customWidth="1"/>
    <col min="14" max="14" width="12.33203125" bestFit="1" customWidth="1"/>
    <col min="15" max="15" width="14.6640625" bestFit="1" customWidth="1"/>
    <col min="16" max="16" width="11.21875" bestFit="1" customWidth="1"/>
    <col min="17" max="17" width="14.44140625" bestFit="1" customWidth="1"/>
    <col min="18" max="18" width="21.21875" bestFit="1" customWidth="1"/>
    <col min="19" max="19" width="26" bestFit="1" customWidth="1"/>
    <col min="20" max="21" width="23.21875" bestFit="1" customWidth="1"/>
    <col min="22" max="22" width="27.77734375" bestFit="1" customWidth="1"/>
    <col min="23" max="23" width="20.77734375" bestFit="1" customWidth="1"/>
    <col min="24" max="24" width="18.66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218</v>
      </c>
      <c r="P1" t="s">
        <v>219</v>
      </c>
      <c r="Q1" t="s">
        <v>220</v>
      </c>
      <c r="R1" t="s">
        <v>221</v>
      </c>
      <c r="S1" t="s">
        <v>222</v>
      </c>
      <c r="T1" t="s">
        <v>223</v>
      </c>
      <c r="U1" t="s">
        <v>224</v>
      </c>
      <c r="V1" t="s">
        <v>225</v>
      </c>
      <c r="W1" t="s">
        <v>226</v>
      </c>
      <c r="X1" t="s">
        <v>227</v>
      </c>
    </row>
    <row r="2" spans="1:24" x14ac:dyDescent="0.3">
      <c r="A2">
        <v>1</v>
      </c>
      <c r="B2" s="1">
        <v>45292</v>
      </c>
      <c r="C2">
        <v>1066</v>
      </c>
      <c r="D2" t="s">
        <v>14</v>
      </c>
      <c r="E2" t="s">
        <v>15</v>
      </c>
      <c r="F2" t="s">
        <v>16</v>
      </c>
      <c r="G2" t="s">
        <v>17</v>
      </c>
      <c r="H2" t="s">
        <v>18</v>
      </c>
      <c r="I2">
        <v>2755</v>
      </c>
      <c r="J2">
        <v>3</v>
      </c>
      <c r="K2">
        <v>0.25</v>
      </c>
      <c r="L2">
        <v>559</v>
      </c>
      <c r="M2" t="s">
        <v>19</v>
      </c>
      <c r="N2">
        <v>6198.75</v>
      </c>
      <c r="O2" t="str">
        <f>TEXT(SalesData[[#This Row],[Order_Date]],"mmm")</f>
        <v>Jan</v>
      </c>
      <c r="P2">
        <f>YEAR(SalesData[[#This Row],[Order_Date]])</f>
        <v>2024</v>
      </c>
      <c r="Q2" t="str">
        <f>"Q"&amp;ROUNDUP(MONTH(SalesData[[#This Row],[Order_Date]])/3,0)</f>
        <v>Q1</v>
      </c>
      <c r="R2" s="2">
        <f>IFERROR(SalesData[[#This Row],[Profit]]/SalesData[[#This Row],[Sales]],0)</f>
        <v>9.017947166767494E-2</v>
      </c>
      <c r="S2" s="2">
        <f>SalesData[[#This Row],[Price]]*SalesData[[#This Row],[Quantity]]*SalesData[[#This Row],[Discount]]</f>
        <v>2066.25</v>
      </c>
      <c r="T2" s="2" t="str">
        <f>IF(SalesData[[#This Row],[Sales]]&gt;5000,"High",IF(SalesData[[#This Row],[Sales]]&gt;2000,"Medium","Low"))</f>
        <v>High</v>
      </c>
      <c r="U2" s="2" t="str">
        <f>IF(COUNTIFS(SalesData[Customer_ID],SalesData[[#This Row],[Customer_ID]])&gt;1,"Repeat","New")</f>
        <v>Repeat</v>
      </c>
      <c r="V2" s="2" t="str">
        <f>IF(SalesData[[#This Row],[Sales]]&gt;AVERAGE(SalesData[Sales]),"Above Avg","Below Avg")</f>
        <v>Below Avg</v>
      </c>
      <c r="W2" s="2" t="str">
        <f>IF(SalesData[[#This Row],[Profit]]&gt;0,"Profit","Loss")</f>
        <v>Profit</v>
      </c>
      <c r="X2">
        <f>RANK(SalesData[[#This Row],[Sales]],SalesData[Sales])</f>
        <v>293</v>
      </c>
    </row>
    <row r="3" spans="1:24" x14ac:dyDescent="0.3">
      <c r="A3">
        <v>2</v>
      </c>
      <c r="B3" s="1">
        <v>45293</v>
      </c>
      <c r="C3">
        <v>1092</v>
      </c>
      <c r="D3" t="s">
        <v>20</v>
      </c>
      <c r="E3" t="s">
        <v>15</v>
      </c>
      <c r="F3" t="s">
        <v>21</v>
      </c>
      <c r="G3" t="s">
        <v>22</v>
      </c>
      <c r="H3" t="s">
        <v>18</v>
      </c>
      <c r="I3">
        <v>1709</v>
      </c>
      <c r="J3">
        <v>3</v>
      </c>
      <c r="K3">
        <v>0.04</v>
      </c>
      <c r="L3">
        <v>1735</v>
      </c>
      <c r="M3" t="s">
        <v>19</v>
      </c>
      <c r="N3">
        <v>4921.92</v>
      </c>
      <c r="O3" t="str">
        <f>TEXT(SalesData[[#This Row],[Order_Date]],"mmm")</f>
        <v>Jan</v>
      </c>
      <c r="P3">
        <f>YEAR(SalesData[[#This Row],[Order_Date]])</f>
        <v>2024</v>
      </c>
      <c r="Q3" t="str">
        <f>"Q"&amp;ROUNDUP(MONTH(SalesData[[#This Row],[Order_Date]])/3,0)</f>
        <v>Q1</v>
      </c>
      <c r="R3" s="2">
        <f>IFERROR(SalesData[[#This Row],[Profit]]/SalesData[[#This Row],[Sales]],0)</f>
        <v>0.35250471360769781</v>
      </c>
      <c r="S3" s="2">
        <f>SalesData[[#This Row],[Price]]*SalesData[[#This Row],[Quantity]]*SalesData[[#This Row],[Discount]]</f>
        <v>205.08</v>
      </c>
      <c r="T3" s="2" t="str">
        <f>IF(SalesData[[#This Row],[Sales]]&gt;5000,"High",IF(SalesData[[#This Row],[Sales]]&gt;2000,"Medium","Low"))</f>
        <v>Medium</v>
      </c>
      <c r="U3" s="2" t="str">
        <f>IF(COUNTIFS(SalesData[Customer_ID],SalesData[[#This Row],[Customer_ID]])&gt;1,"Repeat","New")</f>
        <v>Repeat</v>
      </c>
      <c r="V3" s="2" t="str">
        <f>IF(SalesData[[#This Row],[Sales]]&gt;AVERAGE(SalesData[Sales]),"Above Avg","Below Avg")</f>
        <v>Below Avg</v>
      </c>
      <c r="W3" s="2" t="str">
        <f>IF(SalesData[[#This Row],[Profit]]&gt;0,"Profit","Loss")</f>
        <v>Profit</v>
      </c>
      <c r="X3" s="2">
        <f>RANK(SalesData[[#This Row],[Sales]],SalesData[Sales])</f>
        <v>326</v>
      </c>
    </row>
    <row r="4" spans="1:24" x14ac:dyDescent="0.3">
      <c r="A4">
        <v>3</v>
      </c>
      <c r="B4" s="1">
        <v>45294</v>
      </c>
      <c r="C4">
        <v>1098</v>
      </c>
      <c r="D4" t="s">
        <v>23</v>
      </c>
      <c r="E4" t="s">
        <v>24</v>
      </c>
      <c r="F4" t="s">
        <v>21</v>
      </c>
      <c r="G4" t="s">
        <v>22</v>
      </c>
      <c r="H4" t="s">
        <v>25</v>
      </c>
      <c r="I4">
        <v>3914</v>
      </c>
      <c r="J4">
        <v>7</v>
      </c>
      <c r="K4">
        <v>0.16</v>
      </c>
      <c r="L4">
        <v>-225</v>
      </c>
      <c r="M4" t="s">
        <v>26</v>
      </c>
      <c r="N4">
        <v>23014.32</v>
      </c>
      <c r="O4" t="str">
        <f>TEXT(SalesData[[#This Row],[Order_Date]],"mmm")</f>
        <v>Jan</v>
      </c>
      <c r="P4">
        <f>YEAR(SalesData[[#This Row],[Order_Date]])</f>
        <v>2024</v>
      </c>
      <c r="Q4" t="str">
        <f>"Q"&amp;ROUNDUP(MONTH(SalesData[[#This Row],[Order_Date]])/3,0)</f>
        <v>Q1</v>
      </c>
      <c r="R4" s="2">
        <f>IFERROR(SalesData[[#This Row],[Profit]]/SalesData[[#This Row],[Sales]],0)</f>
        <v>-9.7765217481985134E-3</v>
      </c>
      <c r="S4" s="2">
        <f>SalesData[[#This Row],[Price]]*SalesData[[#This Row],[Quantity]]*SalesData[[#This Row],[Discount]]</f>
        <v>4383.68</v>
      </c>
      <c r="T4" s="2" t="str">
        <f>IF(SalesData[[#This Row],[Sales]]&gt;5000,"High",IF(SalesData[[#This Row],[Sales]]&gt;2000,"Medium","Low"))</f>
        <v>High</v>
      </c>
      <c r="U4" s="2" t="str">
        <f>IF(COUNTIFS(SalesData[Customer_ID],SalesData[[#This Row],[Customer_ID]])&gt;1,"Repeat","New")</f>
        <v>Repeat</v>
      </c>
      <c r="V4" s="2" t="str">
        <f>IF(SalesData[[#This Row],[Sales]]&gt;AVERAGE(SalesData[Sales]),"Above Avg","Below Avg")</f>
        <v>Above Avg</v>
      </c>
      <c r="W4" s="2" t="str">
        <f>IF(SalesData[[#This Row],[Profit]]&gt;0,"Profit","Loss")</f>
        <v>Loss</v>
      </c>
      <c r="X4" s="2">
        <f>RANK(SalesData[[#This Row],[Sales]],SalesData[Sales])</f>
        <v>59</v>
      </c>
    </row>
    <row r="5" spans="1:24" x14ac:dyDescent="0.3">
      <c r="A5">
        <v>4</v>
      </c>
      <c r="B5" s="1">
        <v>45295</v>
      </c>
      <c r="C5">
        <v>1017</v>
      </c>
      <c r="D5" t="s">
        <v>27</v>
      </c>
      <c r="E5" t="s">
        <v>15</v>
      </c>
      <c r="F5" t="s">
        <v>28</v>
      </c>
      <c r="G5" t="s">
        <v>17</v>
      </c>
      <c r="H5" t="s">
        <v>29</v>
      </c>
      <c r="I5">
        <v>759</v>
      </c>
      <c r="J5">
        <v>5</v>
      </c>
      <c r="K5">
        <v>0.01</v>
      </c>
      <c r="L5">
        <v>-75</v>
      </c>
      <c r="M5" t="s">
        <v>19</v>
      </c>
      <c r="N5">
        <v>3757.05</v>
      </c>
      <c r="O5" t="str">
        <f>TEXT(SalesData[[#This Row],[Order_Date]],"mmm")</f>
        <v>Jan</v>
      </c>
      <c r="P5">
        <f>YEAR(SalesData[[#This Row],[Order_Date]])</f>
        <v>2024</v>
      </c>
      <c r="Q5" t="str">
        <f>"Q"&amp;ROUNDUP(MONTH(SalesData[[#This Row],[Order_Date]])/3,0)</f>
        <v>Q1</v>
      </c>
      <c r="R5" s="2">
        <f>IFERROR(SalesData[[#This Row],[Profit]]/SalesData[[#This Row],[Sales]],0)</f>
        <v>-1.9962470555355931E-2</v>
      </c>
      <c r="S5" s="2">
        <f>SalesData[[#This Row],[Price]]*SalesData[[#This Row],[Quantity]]*SalesData[[#This Row],[Discount]]</f>
        <v>37.950000000000003</v>
      </c>
      <c r="T5" s="2" t="str">
        <f>IF(SalesData[[#This Row],[Sales]]&gt;5000,"High",IF(SalesData[[#This Row],[Sales]]&gt;2000,"Medium","Low"))</f>
        <v>Medium</v>
      </c>
      <c r="U5" s="2" t="str">
        <f>IF(COUNTIFS(SalesData[Customer_ID],SalesData[[#This Row],[Customer_ID]])&gt;1,"Repeat","New")</f>
        <v>Repeat</v>
      </c>
      <c r="V5" s="2" t="str">
        <f>IF(SalesData[[#This Row],[Sales]]&gt;AVERAGE(SalesData[Sales]),"Above Avg","Below Avg")</f>
        <v>Below Avg</v>
      </c>
      <c r="W5" s="2" t="str">
        <f>IF(SalesData[[#This Row],[Profit]]&gt;0,"Profit","Loss")</f>
        <v>Loss</v>
      </c>
      <c r="X5" s="2">
        <f>RANK(SalesData[[#This Row],[Sales]],SalesData[Sales])</f>
        <v>365</v>
      </c>
    </row>
    <row r="6" spans="1:24" x14ac:dyDescent="0.3">
      <c r="A6">
        <v>5</v>
      </c>
      <c r="B6" s="1">
        <v>45296</v>
      </c>
      <c r="C6">
        <v>1083</v>
      </c>
      <c r="D6" t="s">
        <v>30</v>
      </c>
      <c r="E6" t="s">
        <v>15</v>
      </c>
      <c r="F6" t="s">
        <v>28</v>
      </c>
      <c r="G6" t="s">
        <v>17</v>
      </c>
      <c r="H6" t="s">
        <v>29</v>
      </c>
      <c r="I6">
        <v>243</v>
      </c>
      <c r="J6">
        <v>1</v>
      </c>
      <c r="K6">
        <v>0.17</v>
      </c>
      <c r="L6">
        <v>-482</v>
      </c>
      <c r="M6" t="s">
        <v>31</v>
      </c>
      <c r="N6">
        <v>201.69</v>
      </c>
      <c r="O6" t="str">
        <f>TEXT(SalesData[[#This Row],[Order_Date]],"mmm")</f>
        <v>Jan</v>
      </c>
      <c r="P6">
        <f>YEAR(SalesData[[#This Row],[Order_Date]])</f>
        <v>2024</v>
      </c>
      <c r="Q6" t="str">
        <f>"Q"&amp;ROUNDUP(MONTH(SalesData[[#This Row],[Order_Date]])/3,0)</f>
        <v>Q1</v>
      </c>
      <c r="R6" s="2">
        <f>IFERROR(SalesData[[#This Row],[Profit]]/SalesData[[#This Row],[Sales]],0)</f>
        <v>-2.3898061381327782</v>
      </c>
      <c r="S6" s="2">
        <f>SalesData[[#This Row],[Price]]*SalesData[[#This Row],[Quantity]]*SalesData[[#This Row],[Discount]]</f>
        <v>41.31</v>
      </c>
      <c r="T6" s="2" t="str">
        <f>IF(SalesData[[#This Row],[Sales]]&gt;5000,"High",IF(SalesData[[#This Row],[Sales]]&gt;2000,"Medium","Low"))</f>
        <v>Low</v>
      </c>
      <c r="U6" s="2" t="str">
        <f>IF(COUNTIFS(SalesData[Customer_ID],SalesData[[#This Row],[Customer_ID]])&gt;1,"Repeat","New")</f>
        <v>Repeat</v>
      </c>
      <c r="V6" s="2" t="str">
        <f>IF(SalesData[[#This Row],[Sales]]&gt;AVERAGE(SalesData[Sales]),"Above Avg","Below Avg")</f>
        <v>Below Avg</v>
      </c>
      <c r="W6" s="2" t="str">
        <f>IF(SalesData[[#This Row],[Profit]]&gt;0,"Profit","Loss")</f>
        <v>Loss</v>
      </c>
      <c r="X6" s="2">
        <f>RANK(SalesData[[#This Row],[Sales]],SalesData[Sales])</f>
        <v>499</v>
      </c>
    </row>
    <row r="7" spans="1:24" x14ac:dyDescent="0.3">
      <c r="A7">
        <v>6</v>
      </c>
      <c r="B7" s="1">
        <v>45297</v>
      </c>
      <c r="C7">
        <v>1057</v>
      </c>
      <c r="D7" t="s">
        <v>32</v>
      </c>
      <c r="E7" t="s">
        <v>15</v>
      </c>
      <c r="F7" t="s">
        <v>33</v>
      </c>
      <c r="G7" t="s">
        <v>34</v>
      </c>
      <c r="H7" t="s">
        <v>25</v>
      </c>
      <c r="I7">
        <v>2090</v>
      </c>
      <c r="J7">
        <v>8</v>
      </c>
      <c r="K7">
        <v>0.04</v>
      </c>
      <c r="L7">
        <v>1271</v>
      </c>
      <c r="M7" t="s">
        <v>19</v>
      </c>
      <c r="N7">
        <v>16051.199999999901</v>
      </c>
      <c r="O7" t="str">
        <f>TEXT(SalesData[[#This Row],[Order_Date]],"mmm")</f>
        <v>Jan</v>
      </c>
      <c r="P7">
        <f>YEAR(SalesData[[#This Row],[Order_Date]])</f>
        <v>2024</v>
      </c>
      <c r="Q7" t="str">
        <f>"Q"&amp;ROUNDUP(MONTH(SalesData[[#This Row],[Order_Date]])/3,0)</f>
        <v>Q1</v>
      </c>
      <c r="R7" s="2">
        <f>IFERROR(SalesData[[#This Row],[Profit]]/SalesData[[#This Row],[Sales]],0)</f>
        <v>7.9184110845295544E-2</v>
      </c>
      <c r="S7" s="2">
        <f>SalesData[[#This Row],[Price]]*SalesData[[#This Row],[Quantity]]*SalesData[[#This Row],[Discount]]</f>
        <v>668.80000000000007</v>
      </c>
      <c r="T7" s="2" t="str">
        <f>IF(SalesData[[#This Row],[Sales]]&gt;5000,"High",IF(SalesData[[#This Row],[Sales]]&gt;2000,"Medium","Low"))</f>
        <v>High</v>
      </c>
      <c r="U7" s="2" t="str">
        <f>IF(COUNTIFS(SalesData[Customer_ID],SalesData[[#This Row],[Customer_ID]])&gt;1,"Repeat","New")</f>
        <v>Repeat</v>
      </c>
      <c r="V7" s="2" t="str">
        <f>IF(SalesData[[#This Row],[Sales]]&gt;AVERAGE(SalesData[Sales]),"Above Avg","Below Avg")</f>
        <v>Above Avg</v>
      </c>
      <c r="W7" s="2" t="str">
        <f>IF(SalesData[[#This Row],[Profit]]&gt;0,"Profit","Loss")</f>
        <v>Profit</v>
      </c>
      <c r="X7" s="2">
        <f>RANK(SalesData[[#This Row],[Sales]],SalesData[Sales])</f>
        <v>127</v>
      </c>
    </row>
    <row r="8" spans="1:24" x14ac:dyDescent="0.3">
      <c r="A8">
        <v>7</v>
      </c>
      <c r="B8" s="1">
        <v>45298</v>
      </c>
      <c r="C8">
        <v>1086</v>
      </c>
      <c r="D8" t="s">
        <v>35</v>
      </c>
      <c r="E8" t="s">
        <v>24</v>
      </c>
      <c r="F8" t="s">
        <v>33</v>
      </c>
      <c r="G8" t="s">
        <v>34</v>
      </c>
      <c r="H8" t="s">
        <v>25</v>
      </c>
      <c r="I8">
        <v>550</v>
      </c>
      <c r="J8">
        <v>5</v>
      </c>
      <c r="K8">
        <v>0.24</v>
      </c>
      <c r="L8">
        <v>1300</v>
      </c>
      <c r="M8" t="s">
        <v>31</v>
      </c>
      <c r="N8">
        <v>2090</v>
      </c>
      <c r="O8" t="str">
        <f>TEXT(SalesData[[#This Row],[Order_Date]],"mmm")</f>
        <v>Jan</v>
      </c>
      <c r="P8">
        <f>YEAR(SalesData[[#This Row],[Order_Date]])</f>
        <v>2024</v>
      </c>
      <c r="Q8" t="str">
        <f>"Q"&amp;ROUNDUP(MONTH(SalesData[[#This Row],[Order_Date]])/3,0)</f>
        <v>Q1</v>
      </c>
      <c r="R8" s="2">
        <f>IFERROR(SalesData[[#This Row],[Profit]]/SalesData[[#This Row],[Sales]],0)</f>
        <v>0.62200956937799046</v>
      </c>
      <c r="S8" s="2">
        <f>SalesData[[#This Row],[Price]]*SalesData[[#This Row],[Quantity]]*SalesData[[#This Row],[Discount]]</f>
        <v>660</v>
      </c>
      <c r="T8" s="2" t="str">
        <f>IF(SalesData[[#This Row],[Sales]]&gt;5000,"High",IF(SalesData[[#This Row],[Sales]]&gt;2000,"Medium","Low"))</f>
        <v>Medium</v>
      </c>
      <c r="U8" s="2" t="str">
        <f>IF(COUNTIFS(SalesData[Customer_ID],SalesData[[#This Row],[Customer_ID]])&gt;1,"Repeat","New")</f>
        <v>Repeat</v>
      </c>
      <c r="V8" s="2" t="str">
        <f>IF(SalesData[[#This Row],[Sales]]&gt;AVERAGE(SalesData[Sales]),"Above Avg","Below Avg")</f>
        <v>Below Avg</v>
      </c>
      <c r="W8" s="2" t="str">
        <f>IF(SalesData[[#This Row],[Profit]]&gt;0,"Profit","Loss")</f>
        <v>Profit</v>
      </c>
      <c r="X8" s="2">
        <f>RANK(SalesData[[#This Row],[Sales]],SalesData[Sales])</f>
        <v>423</v>
      </c>
    </row>
    <row r="9" spans="1:24" x14ac:dyDescent="0.3">
      <c r="A9">
        <v>8</v>
      </c>
      <c r="B9" s="1">
        <v>45299</v>
      </c>
      <c r="C9">
        <v>1097</v>
      </c>
      <c r="D9" t="s">
        <v>35</v>
      </c>
      <c r="E9" t="s">
        <v>24</v>
      </c>
      <c r="F9" t="s">
        <v>16</v>
      </c>
      <c r="G9" t="s">
        <v>34</v>
      </c>
      <c r="H9" t="s">
        <v>18</v>
      </c>
      <c r="I9">
        <v>1291</v>
      </c>
      <c r="J9">
        <v>4</v>
      </c>
      <c r="K9">
        <v>7.0000000000000007E-2</v>
      </c>
      <c r="L9">
        <v>829</v>
      </c>
      <c r="M9" t="s">
        <v>31</v>
      </c>
      <c r="N9">
        <v>4802.5199999999904</v>
      </c>
      <c r="O9" t="str">
        <f>TEXT(SalesData[[#This Row],[Order_Date]],"mmm")</f>
        <v>Jan</v>
      </c>
      <c r="P9">
        <f>YEAR(SalesData[[#This Row],[Order_Date]])</f>
        <v>2024</v>
      </c>
      <c r="Q9" t="str">
        <f>"Q"&amp;ROUNDUP(MONTH(SalesData[[#This Row],[Order_Date]])/3,0)</f>
        <v>Q1</v>
      </c>
      <c r="R9" s="2">
        <f>IFERROR(SalesData[[#This Row],[Profit]]/SalesData[[#This Row],[Sales]],0)</f>
        <v>0.17261770903608972</v>
      </c>
      <c r="S9" s="2">
        <f>SalesData[[#This Row],[Price]]*SalesData[[#This Row],[Quantity]]*SalesData[[#This Row],[Discount]]</f>
        <v>361.48</v>
      </c>
      <c r="T9" s="2" t="str">
        <f>IF(SalesData[[#This Row],[Sales]]&gt;5000,"High",IF(SalesData[[#This Row],[Sales]]&gt;2000,"Medium","Low"))</f>
        <v>Medium</v>
      </c>
      <c r="U9" s="2" t="str">
        <f>IF(COUNTIFS(SalesData[Customer_ID],SalesData[[#This Row],[Customer_ID]])&gt;1,"Repeat","New")</f>
        <v>Repeat</v>
      </c>
      <c r="V9" s="2" t="str">
        <f>IF(SalesData[[#This Row],[Sales]]&gt;AVERAGE(SalesData[Sales]),"Above Avg","Below Avg")</f>
        <v>Below Avg</v>
      </c>
      <c r="W9" s="2" t="str">
        <f>IF(SalesData[[#This Row],[Profit]]&gt;0,"Profit","Loss")</f>
        <v>Profit</v>
      </c>
      <c r="X9" s="2">
        <f>RANK(SalesData[[#This Row],[Sales]],SalesData[Sales])</f>
        <v>329</v>
      </c>
    </row>
    <row r="10" spans="1:24" x14ac:dyDescent="0.3">
      <c r="A10">
        <v>9</v>
      </c>
      <c r="B10" s="1">
        <v>45300</v>
      </c>
      <c r="C10">
        <v>1096</v>
      </c>
      <c r="D10" t="s">
        <v>36</v>
      </c>
      <c r="E10" t="s">
        <v>15</v>
      </c>
      <c r="F10" t="s">
        <v>28</v>
      </c>
      <c r="G10" t="s">
        <v>17</v>
      </c>
      <c r="H10" t="s">
        <v>37</v>
      </c>
      <c r="I10">
        <v>4121</v>
      </c>
      <c r="J10">
        <v>4</v>
      </c>
      <c r="K10">
        <v>0.03</v>
      </c>
      <c r="L10">
        <v>-169</v>
      </c>
      <c r="M10" t="s">
        <v>26</v>
      </c>
      <c r="N10">
        <v>15989.48</v>
      </c>
      <c r="O10" t="str">
        <f>TEXT(SalesData[[#This Row],[Order_Date]],"mmm")</f>
        <v>Jan</v>
      </c>
      <c r="P10">
        <f>YEAR(SalesData[[#This Row],[Order_Date]])</f>
        <v>2024</v>
      </c>
      <c r="Q10" t="str">
        <f>"Q"&amp;ROUNDUP(MONTH(SalesData[[#This Row],[Order_Date]])/3,0)</f>
        <v>Q1</v>
      </c>
      <c r="R10" s="2">
        <f>IFERROR(SalesData[[#This Row],[Profit]]/SalesData[[#This Row],[Sales]],0)</f>
        <v>-1.056944941298904E-2</v>
      </c>
      <c r="S10" s="2">
        <f>SalesData[[#This Row],[Price]]*SalesData[[#This Row],[Quantity]]*SalesData[[#This Row],[Discount]]</f>
        <v>494.52</v>
      </c>
      <c r="T10" s="2" t="str">
        <f>IF(SalesData[[#This Row],[Sales]]&gt;5000,"High",IF(SalesData[[#This Row],[Sales]]&gt;2000,"Medium","Low"))</f>
        <v>High</v>
      </c>
      <c r="U10" s="2" t="str">
        <f>IF(COUNTIFS(SalesData[Customer_ID],SalesData[[#This Row],[Customer_ID]])&gt;1,"Repeat","New")</f>
        <v>Repeat</v>
      </c>
      <c r="V10" s="2" t="str">
        <f>IF(SalesData[[#This Row],[Sales]]&gt;AVERAGE(SalesData[Sales]),"Above Avg","Below Avg")</f>
        <v>Above Avg</v>
      </c>
      <c r="W10" s="2" t="str">
        <f>IF(SalesData[[#This Row],[Profit]]&gt;0,"Profit","Loss")</f>
        <v>Loss</v>
      </c>
      <c r="X10" s="2">
        <f>RANK(SalesData[[#This Row],[Sales]],SalesData[Sales])</f>
        <v>128</v>
      </c>
    </row>
    <row r="11" spans="1:24" x14ac:dyDescent="0.3">
      <c r="A11">
        <v>10</v>
      </c>
      <c r="B11" s="1">
        <v>45301</v>
      </c>
      <c r="C11">
        <v>1047</v>
      </c>
      <c r="D11" t="s">
        <v>38</v>
      </c>
      <c r="E11" t="s">
        <v>24</v>
      </c>
      <c r="F11" t="s">
        <v>28</v>
      </c>
      <c r="G11" t="s">
        <v>17</v>
      </c>
      <c r="H11" t="s">
        <v>29</v>
      </c>
      <c r="I11">
        <v>735</v>
      </c>
      <c r="J11">
        <v>2</v>
      </c>
      <c r="K11">
        <v>0.01</v>
      </c>
      <c r="L11">
        <v>-250</v>
      </c>
      <c r="M11" t="s">
        <v>31</v>
      </c>
      <c r="N11">
        <v>1455.3</v>
      </c>
      <c r="O11" t="str">
        <f>TEXT(SalesData[[#This Row],[Order_Date]],"mmm")</f>
        <v>Jan</v>
      </c>
      <c r="P11">
        <f>YEAR(SalesData[[#This Row],[Order_Date]])</f>
        <v>2024</v>
      </c>
      <c r="Q11" t="str">
        <f>"Q"&amp;ROUNDUP(MONTH(SalesData[[#This Row],[Order_Date]])/3,0)</f>
        <v>Q1</v>
      </c>
      <c r="R11" s="2">
        <f>IFERROR(SalesData[[#This Row],[Profit]]/SalesData[[#This Row],[Sales]],0)</f>
        <v>-0.17178588607160036</v>
      </c>
      <c r="S11" s="2">
        <f>SalesData[[#This Row],[Price]]*SalesData[[#This Row],[Quantity]]*SalesData[[#This Row],[Discount]]</f>
        <v>14.700000000000001</v>
      </c>
      <c r="T11" s="2" t="str">
        <f>IF(SalesData[[#This Row],[Sales]]&gt;5000,"High",IF(SalesData[[#This Row],[Sales]]&gt;2000,"Medium","Low"))</f>
        <v>Low</v>
      </c>
      <c r="U11" s="2" t="str">
        <f>IF(COUNTIFS(SalesData[Customer_ID],SalesData[[#This Row],[Customer_ID]])&gt;1,"Repeat","New")</f>
        <v>Repeat</v>
      </c>
      <c r="V11" s="2" t="str">
        <f>IF(SalesData[[#This Row],[Sales]]&gt;AVERAGE(SalesData[Sales]),"Above Avg","Below Avg")</f>
        <v>Below Avg</v>
      </c>
      <c r="W11" s="2" t="str">
        <f>IF(SalesData[[#This Row],[Profit]]&gt;0,"Profit","Loss")</f>
        <v>Loss</v>
      </c>
      <c r="X11" s="2">
        <f>RANK(SalesData[[#This Row],[Sales]],SalesData[Sales])</f>
        <v>460</v>
      </c>
    </row>
    <row r="12" spans="1:24" x14ac:dyDescent="0.3">
      <c r="A12">
        <v>11</v>
      </c>
      <c r="B12" s="1">
        <v>45302</v>
      </c>
      <c r="C12">
        <v>1073</v>
      </c>
      <c r="D12" t="s">
        <v>39</v>
      </c>
      <c r="E12" t="s">
        <v>15</v>
      </c>
      <c r="F12" t="s">
        <v>28</v>
      </c>
      <c r="G12" t="s">
        <v>22</v>
      </c>
      <c r="H12" t="s">
        <v>18</v>
      </c>
      <c r="I12">
        <v>2257</v>
      </c>
      <c r="J12">
        <v>1</v>
      </c>
      <c r="K12">
        <v>0.17</v>
      </c>
      <c r="L12">
        <v>960</v>
      </c>
      <c r="M12" t="s">
        <v>26</v>
      </c>
      <c r="N12">
        <v>1873.31</v>
      </c>
      <c r="O12" t="str">
        <f>TEXT(SalesData[[#This Row],[Order_Date]],"mmm")</f>
        <v>Jan</v>
      </c>
      <c r="P12">
        <f>YEAR(SalesData[[#This Row],[Order_Date]])</f>
        <v>2024</v>
      </c>
      <c r="Q12" t="str">
        <f>"Q"&amp;ROUNDUP(MONTH(SalesData[[#This Row],[Order_Date]])/3,0)</f>
        <v>Q1</v>
      </c>
      <c r="R12" s="2">
        <f>IFERROR(SalesData[[#This Row],[Profit]]/SalesData[[#This Row],[Sales]],0)</f>
        <v>0.51246189899162442</v>
      </c>
      <c r="S12" s="2">
        <f>SalesData[[#This Row],[Price]]*SalesData[[#This Row],[Quantity]]*SalesData[[#This Row],[Discount]]</f>
        <v>383.69000000000005</v>
      </c>
      <c r="T12" s="2" t="str">
        <f>IF(SalesData[[#This Row],[Sales]]&gt;5000,"High",IF(SalesData[[#This Row],[Sales]]&gt;2000,"Medium","Low"))</f>
        <v>Low</v>
      </c>
      <c r="U12" s="2" t="str">
        <f>IF(COUNTIFS(SalesData[Customer_ID],SalesData[[#This Row],[Customer_ID]])&gt;1,"Repeat","New")</f>
        <v>Repeat</v>
      </c>
      <c r="V12" s="2" t="str">
        <f>IF(SalesData[[#This Row],[Sales]]&gt;AVERAGE(SalesData[Sales]),"Above Avg","Below Avg")</f>
        <v>Below Avg</v>
      </c>
      <c r="W12" s="2" t="str">
        <f>IF(SalesData[[#This Row],[Profit]]&gt;0,"Profit","Loss")</f>
        <v>Profit</v>
      </c>
      <c r="X12" s="2">
        <f>RANK(SalesData[[#This Row],[Sales]],SalesData[Sales])</f>
        <v>438</v>
      </c>
    </row>
    <row r="13" spans="1:24" x14ac:dyDescent="0.3">
      <c r="A13">
        <v>12</v>
      </c>
      <c r="B13" s="1">
        <v>45303</v>
      </c>
      <c r="C13">
        <v>1032</v>
      </c>
      <c r="D13" t="s">
        <v>40</v>
      </c>
      <c r="E13" t="s">
        <v>15</v>
      </c>
      <c r="F13" t="s">
        <v>28</v>
      </c>
      <c r="G13" t="s">
        <v>17</v>
      </c>
      <c r="H13" t="s">
        <v>37</v>
      </c>
      <c r="I13">
        <v>3851</v>
      </c>
      <c r="J13">
        <v>6</v>
      </c>
      <c r="K13">
        <v>0.2</v>
      </c>
      <c r="L13">
        <v>-7</v>
      </c>
      <c r="M13" t="s">
        <v>19</v>
      </c>
      <c r="N13">
        <v>18484.8</v>
      </c>
      <c r="O13" t="str">
        <f>TEXT(SalesData[[#This Row],[Order_Date]],"mmm")</f>
        <v>Jan</v>
      </c>
      <c r="P13">
        <f>YEAR(SalesData[[#This Row],[Order_Date]])</f>
        <v>2024</v>
      </c>
      <c r="Q13" t="str">
        <f>"Q"&amp;ROUNDUP(MONTH(SalesData[[#This Row],[Order_Date]])/3,0)</f>
        <v>Q1</v>
      </c>
      <c r="R13" s="2">
        <f>IFERROR(SalesData[[#This Row],[Profit]]/SalesData[[#This Row],[Sales]],0)</f>
        <v>-3.7868951787414524E-4</v>
      </c>
      <c r="S13" s="2">
        <f>SalesData[[#This Row],[Price]]*SalesData[[#This Row],[Quantity]]*SalesData[[#This Row],[Discount]]</f>
        <v>4621.2</v>
      </c>
      <c r="T13" s="2" t="str">
        <f>IF(SalesData[[#This Row],[Sales]]&gt;5000,"High",IF(SalesData[[#This Row],[Sales]]&gt;2000,"Medium","Low"))</f>
        <v>High</v>
      </c>
      <c r="U13" s="2" t="str">
        <f>IF(COUNTIFS(SalesData[Customer_ID],SalesData[[#This Row],[Customer_ID]])&gt;1,"Repeat","New")</f>
        <v>Repeat</v>
      </c>
      <c r="V13" s="2" t="str">
        <f>IF(SalesData[[#This Row],[Sales]]&gt;AVERAGE(SalesData[Sales]),"Above Avg","Below Avg")</f>
        <v>Above Avg</v>
      </c>
      <c r="W13" s="2" t="str">
        <f>IF(SalesData[[#This Row],[Profit]]&gt;0,"Profit","Loss")</f>
        <v>Loss</v>
      </c>
      <c r="X13" s="2">
        <f>RANK(SalesData[[#This Row],[Sales]],SalesData[Sales])</f>
        <v>87</v>
      </c>
    </row>
    <row r="14" spans="1:24" x14ac:dyDescent="0.3">
      <c r="A14">
        <v>13</v>
      </c>
      <c r="B14" s="1">
        <v>45304</v>
      </c>
      <c r="C14">
        <v>1046</v>
      </c>
      <c r="D14" t="s">
        <v>41</v>
      </c>
      <c r="E14" t="s">
        <v>24</v>
      </c>
      <c r="F14" t="s">
        <v>21</v>
      </c>
      <c r="G14" t="s">
        <v>22</v>
      </c>
      <c r="H14" t="s">
        <v>29</v>
      </c>
      <c r="I14">
        <v>999</v>
      </c>
      <c r="J14">
        <v>3</v>
      </c>
      <c r="K14">
        <v>0.27</v>
      </c>
      <c r="L14">
        <v>-134</v>
      </c>
      <c r="M14" t="s">
        <v>26</v>
      </c>
      <c r="N14">
        <v>2187.81</v>
      </c>
      <c r="O14" t="str">
        <f>TEXT(SalesData[[#This Row],[Order_Date]],"mmm")</f>
        <v>Jan</v>
      </c>
      <c r="P14">
        <f>YEAR(SalesData[[#This Row],[Order_Date]])</f>
        <v>2024</v>
      </c>
      <c r="Q14" t="str">
        <f>"Q"&amp;ROUNDUP(MONTH(SalesData[[#This Row],[Order_Date]])/3,0)</f>
        <v>Q1</v>
      </c>
      <c r="R14" s="2">
        <f>IFERROR(SalesData[[#This Row],[Profit]]/SalesData[[#This Row],[Sales]],0)</f>
        <v>-6.1248463074947093E-2</v>
      </c>
      <c r="S14" s="2">
        <f>SalesData[[#This Row],[Price]]*SalesData[[#This Row],[Quantity]]*SalesData[[#This Row],[Discount]]</f>
        <v>809.19</v>
      </c>
      <c r="T14" s="2" t="str">
        <f>IF(SalesData[[#This Row],[Sales]]&gt;5000,"High",IF(SalesData[[#This Row],[Sales]]&gt;2000,"Medium","Low"))</f>
        <v>Medium</v>
      </c>
      <c r="U14" s="2" t="str">
        <f>IF(COUNTIFS(SalesData[Customer_ID],SalesData[[#This Row],[Customer_ID]])&gt;1,"Repeat","New")</f>
        <v>Repeat</v>
      </c>
      <c r="V14" s="2" t="str">
        <f>IF(SalesData[[#This Row],[Sales]]&gt;AVERAGE(SalesData[Sales]),"Above Avg","Below Avg")</f>
        <v>Below Avg</v>
      </c>
      <c r="W14" s="2" t="str">
        <f>IF(SalesData[[#This Row],[Profit]]&gt;0,"Profit","Loss")</f>
        <v>Loss</v>
      </c>
      <c r="X14" s="2">
        <f>RANK(SalesData[[#This Row],[Sales]],SalesData[Sales])</f>
        <v>419</v>
      </c>
    </row>
    <row r="15" spans="1:24" x14ac:dyDescent="0.3">
      <c r="A15">
        <v>14</v>
      </c>
      <c r="B15" s="1">
        <v>45305</v>
      </c>
      <c r="C15">
        <v>1096</v>
      </c>
      <c r="D15" t="s">
        <v>42</v>
      </c>
      <c r="E15" t="s">
        <v>15</v>
      </c>
      <c r="F15" t="s">
        <v>33</v>
      </c>
      <c r="G15" t="s">
        <v>22</v>
      </c>
      <c r="H15" t="s">
        <v>18</v>
      </c>
      <c r="I15">
        <v>4554</v>
      </c>
      <c r="J15">
        <v>9</v>
      </c>
      <c r="K15">
        <v>0.02</v>
      </c>
      <c r="L15">
        <v>1529</v>
      </c>
      <c r="M15" t="s">
        <v>26</v>
      </c>
      <c r="N15">
        <v>40166.28</v>
      </c>
      <c r="O15" t="str">
        <f>TEXT(SalesData[[#This Row],[Order_Date]],"mmm")</f>
        <v>Jan</v>
      </c>
      <c r="P15">
        <f>YEAR(SalesData[[#This Row],[Order_Date]])</f>
        <v>2024</v>
      </c>
      <c r="Q15" t="str">
        <f>"Q"&amp;ROUNDUP(MONTH(SalesData[[#This Row],[Order_Date]])/3,0)</f>
        <v>Q1</v>
      </c>
      <c r="R15" s="2">
        <f>IFERROR(SalesData[[#This Row],[Profit]]/SalesData[[#This Row],[Sales]],0)</f>
        <v>3.8066756493257532E-2</v>
      </c>
      <c r="S15" s="2">
        <f>SalesData[[#This Row],[Price]]*SalesData[[#This Row],[Quantity]]*SalesData[[#This Row],[Discount]]</f>
        <v>819.72</v>
      </c>
      <c r="T15" s="2" t="str">
        <f>IF(SalesData[[#This Row],[Sales]]&gt;5000,"High",IF(SalesData[[#This Row],[Sales]]&gt;2000,"Medium","Low"))</f>
        <v>High</v>
      </c>
      <c r="U15" s="2" t="str">
        <f>IF(COUNTIFS(SalesData[Customer_ID],SalesData[[#This Row],[Customer_ID]])&gt;1,"Repeat","New")</f>
        <v>Repeat</v>
      </c>
      <c r="V15" s="2" t="str">
        <f>IF(SalesData[[#This Row],[Sales]]&gt;AVERAGE(SalesData[Sales]),"Above Avg","Below Avg")</f>
        <v>Above Avg</v>
      </c>
      <c r="W15" s="2" t="str">
        <f>IF(SalesData[[#This Row],[Profit]]&gt;0,"Profit","Loss")</f>
        <v>Profit</v>
      </c>
      <c r="X15" s="2">
        <f>RANK(SalesData[[#This Row],[Sales]],SalesData[Sales])</f>
        <v>2</v>
      </c>
    </row>
    <row r="16" spans="1:24" x14ac:dyDescent="0.3">
      <c r="A16">
        <v>15</v>
      </c>
      <c r="B16" s="1">
        <v>45306</v>
      </c>
      <c r="C16">
        <v>1025</v>
      </c>
      <c r="D16" t="s">
        <v>43</v>
      </c>
      <c r="E16" t="s">
        <v>24</v>
      </c>
      <c r="F16" t="s">
        <v>16</v>
      </c>
      <c r="G16" t="s">
        <v>22</v>
      </c>
      <c r="H16" t="s">
        <v>18</v>
      </c>
      <c r="I16">
        <v>2930</v>
      </c>
      <c r="J16">
        <v>4</v>
      </c>
      <c r="K16">
        <v>0.12</v>
      </c>
      <c r="L16">
        <v>1243</v>
      </c>
      <c r="M16" t="s">
        <v>26</v>
      </c>
      <c r="N16">
        <v>10313.6</v>
      </c>
      <c r="O16" t="str">
        <f>TEXT(SalesData[[#This Row],[Order_Date]],"mmm")</f>
        <v>Jan</v>
      </c>
      <c r="P16">
        <f>YEAR(SalesData[[#This Row],[Order_Date]])</f>
        <v>2024</v>
      </c>
      <c r="Q16" t="str">
        <f>"Q"&amp;ROUNDUP(MONTH(SalesData[[#This Row],[Order_Date]])/3,0)</f>
        <v>Q1</v>
      </c>
      <c r="R16" s="2">
        <f>IFERROR(SalesData[[#This Row],[Profit]]/SalesData[[#This Row],[Sales]],0)</f>
        <v>0.12052047781569965</v>
      </c>
      <c r="S16" s="2">
        <f>SalesData[[#This Row],[Price]]*SalesData[[#This Row],[Quantity]]*SalesData[[#This Row],[Discount]]</f>
        <v>1406.3999999999999</v>
      </c>
      <c r="T16" s="2" t="str">
        <f>IF(SalesData[[#This Row],[Sales]]&gt;5000,"High",IF(SalesData[[#This Row],[Sales]]&gt;2000,"Medium","Low"))</f>
        <v>High</v>
      </c>
      <c r="U16" s="2" t="str">
        <f>IF(COUNTIFS(SalesData[Customer_ID],SalesData[[#This Row],[Customer_ID]])&gt;1,"Repeat","New")</f>
        <v>Repeat</v>
      </c>
      <c r="V16" s="2" t="str">
        <f>IF(SalesData[[#This Row],[Sales]]&gt;AVERAGE(SalesData[Sales]),"Above Avg","Below Avg")</f>
        <v>Below Avg</v>
      </c>
      <c r="W16" s="2" t="str">
        <f>IF(SalesData[[#This Row],[Profit]]&gt;0,"Profit","Loss")</f>
        <v>Profit</v>
      </c>
      <c r="X16" s="2">
        <f>RANK(SalesData[[#This Row],[Sales]],SalesData[Sales])</f>
        <v>198</v>
      </c>
    </row>
    <row r="17" spans="1:24" x14ac:dyDescent="0.3">
      <c r="A17">
        <v>16</v>
      </c>
      <c r="B17" s="1">
        <v>45307</v>
      </c>
      <c r="C17">
        <v>1083</v>
      </c>
      <c r="D17" t="s">
        <v>44</v>
      </c>
      <c r="E17" t="s">
        <v>15</v>
      </c>
      <c r="F17" t="s">
        <v>33</v>
      </c>
      <c r="G17" t="s">
        <v>34</v>
      </c>
      <c r="H17" t="s">
        <v>25</v>
      </c>
      <c r="I17">
        <v>2870</v>
      </c>
      <c r="J17">
        <v>2</v>
      </c>
      <c r="K17">
        <v>0.05</v>
      </c>
      <c r="L17">
        <v>1714</v>
      </c>
      <c r="M17" t="s">
        <v>26</v>
      </c>
      <c r="N17">
        <v>5453</v>
      </c>
      <c r="O17" t="str">
        <f>TEXT(SalesData[[#This Row],[Order_Date]],"mmm")</f>
        <v>Jan</v>
      </c>
      <c r="P17">
        <f>YEAR(SalesData[[#This Row],[Order_Date]])</f>
        <v>2024</v>
      </c>
      <c r="Q17" t="str">
        <f>"Q"&amp;ROUNDUP(MONTH(SalesData[[#This Row],[Order_Date]])/3,0)</f>
        <v>Q1</v>
      </c>
      <c r="R17" s="2">
        <f>IFERROR(SalesData[[#This Row],[Profit]]/SalesData[[#This Row],[Sales]],0)</f>
        <v>0.31432239134421419</v>
      </c>
      <c r="S17" s="2">
        <f>SalesData[[#This Row],[Price]]*SalesData[[#This Row],[Quantity]]*SalesData[[#This Row],[Discount]]</f>
        <v>287</v>
      </c>
      <c r="T17" s="2" t="str">
        <f>IF(SalesData[[#This Row],[Sales]]&gt;5000,"High",IF(SalesData[[#This Row],[Sales]]&gt;2000,"Medium","Low"))</f>
        <v>High</v>
      </c>
      <c r="U17" s="2" t="str">
        <f>IF(COUNTIFS(SalesData[Customer_ID],SalesData[[#This Row],[Customer_ID]])&gt;1,"Repeat","New")</f>
        <v>Repeat</v>
      </c>
      <c r="V17" s="2" t="str">
        <f>IF(SalesData[[#This Row],[Sales]]&gt;AVERAGE(SalesData[Sales]),"Above Avg","Below Avg")</f>
        <v>Below Avg</v>
      </c>
      <c r="W17" s="2" t="str">
        <f>IF(SalesData[[#This Row],[Profit]]&gt;0,"Profit","Loss")</f>
        <v>Profit</v>
      </c>
      <c r="X17" s="2">
        <f>RANK(SalesData[[#This Row],[Sales]],SalesData[Sales])</f>
        <v>310</v>
      </c>
    </row>
    <row r="18" spans="1:24" x14ac:dyDescent="0.3">
      <c r="A18">
        <v>17</v>
      </c>
      <c r="B18" s="1">
        <v>45308</v>
      </c>
      <c r="C18">
        <v>1078</v>
      </c>
      <c r="D18" t="s">
        <v>45</v>
      </c>
      <c r="E18" t="s">
        <v>24</v>
      </c>
      <c r="F18" t="s">
        <v>33</v>
      </c>
      <c r="G18" t="s">
        <v>22</v>
      </c>
      <c r="H18" t="s">
        <v>37</v>
      </c>
      <c r="I18">
        <v>1320</v>
      </c>
      <c r="J18">
        <v>4</v>
      </c>
      <c r="K18">
        <v>0.15</v>
      </c>
      <c r="L18">
        <v>644</v>
      </c>
      <c r="M18" t="s">
        <v>19</v>
      </c>
      <c r="N18">
        <v>4488</v>
      </c>
      <c r="O18" t="str">
        <f>TEXT(SalesData[[#This Row],[Order_Date]],"mmm")</f>
        <v>Jan</v>
      </c>
      <c r="P18">
        <f>YEAR(SalesData[[#This Row],[Order_Date]])</f>
        <v>2024</v>
      </c>
      <c r="Q18" t="str">
        <f>"Q"&amp;ROUNDUP(MONTH(SalesData[[#This Row],[Order_Date]])/3,0)</f>
        <v>Q1</v>
      </c>
      <c r="R18" s="2">
        <f>IFERROR(SalesData[[#This Row],[Profit]]/SalesData[[#This Row],[Sales]],0)</f>
        <v>0.14349376114081996</v>
      </c>
      <c r="S18" s="2">
        <f>SalesData[[#This Row],[Price]]*SalesData[[#This Row],[Quantity]]*SalesData[[#This Row],[Discount]]</f>
        <v>792</v>
      </c>
      <c r="T18" s="2" t="str">
        <f>IF(SalesData[[#This Row],[Sales]]&gt;5000,"High",IF(SalesData[[#This Row],[Sales]]&gt;2000,"Medium","Low"))</f>
        <v>Medium</v>
      </c>
      <c r="U18" s="2" t="str">
        <f>IF(COUNTIFS(SalesData[Customer_ID],SalesData[[#This Row],[Customer_ID]])&gt;1,"Repeat","New")</f>
        <v>Repeat</v>
      </c>
      <c r="V18" s="2" t="str">
        <f>IF(SalesData[[#This Row],[Sales]]&gt;AVERAGE(SalesData[Sales]),"Above Avg","Below Avg")</f>
        <v>Below Avg</v>
      </c>
      <c r="W18" s="2" t="str">
        <f>IF(SalesData[[#This Row],[Profit]]&gt;0,"Profit","Loss")</f>
        <v>Profit</v>
      </c>
      <c r="X18" s="2">
        <f>RANK(SalesData[[#This Row],[Sales]],SalesData[Sales])</f>
        <v>338</v>
      </c>
    </row>
    <row r="19" spans="1:24" x14ac:dyDescent="0.3">
      <c r="A19">
        <v>18</v>
      </c>
      <c r="B19" s="1">
        <v>45309</v>
      </c>
      <c r="C19">
        <v>1036</v>
      </c>
      <c r="D19" t="s">
        <v>32</v>
      </c>
      <c r="E19" t="s">
        <v>15</v>
      </c>
      <c r="F19" t="s">
        <v>33</v>
      </c>
      <c r="G19" t="s">
        <v>34</v>
      </c>
      <c r="H19" t="s">
        <v>18</v>
      </c>
      <c r="I19">
        <v>4545</v>
      </c>
      <c r="J19">
        <v>4</v>
      </c>
      <c r="K19">
        <v>7.0000000000000007E-2</v>
      </c>
      <c r="L19">
        <v>1171</v>
      </c>
      <c r="M19" t="s">
        <v>19</v>
      </c>
      <c r="N19">
        <v>16907.3999999999</v>
      </c>
      <c r="O19" t="str">
        <f>TEXT(SalesData[[#This Row],[Order_Date]],"mmm")</f>
        <v>Jan</v>
      </c>
      <c r="P19">
        <f>YEAR(SalesData[[#This Row],[Order_Date]])</f>
        <v>2024</v>
      </c>
      <c r="Q19" t="str">
        <f>"Q"&amp;ROUNDUP(MONTH(SalesData[[#This Row],[Order_Date]])/3,0)</f>
        <v>Q1</v>
      </c>
      <c r="R19" s="2">
        <f>IFERROR(SalesData[[#This Row],[Profit]]/SalesData[[#This Row],[Sales]],0)</f>
        <v>6.9259614133456771E-2</v>
      </c>
      <c r="S19" s="2">
        <f>SalesData[[#This Row],[Price]]*SalesData[[#This Row],[Quantity]]*SalesData[[#This Row],[Discount]]</f>
        <v>1272.6000000000001</v>
      </c>
      <c r="T19" s="2" t="str">
        <f>IF(SalesData[[#This Row],[Sales]]&gt;5000,"High",IF(SalesData[[#This Row],[Sales]]&gt;2000,"Medium","Low"))</f>
        <v>High</v>
      </c>
      <c r="U19" s="2" t="str">
        <f>IF(COUNTIFS(SalesData[Customer_ID],SalesData[[#This Row],[Customer_ID]])&gt;1,"Repeat","New")</f>
        <v>Repeat</v>
      </c>
      <c r="V19" s="2" t="str">
        <f>IF(SalesData[[#This Row],[Sales]]&gt;AVERAGE(SalesData[Sales]),"Above Avg","Below Avg")</f>
        <v>Above Avg</v>
      </c>
      <c r="W19" s="2" t="str">
        <f>IF(SalesData[[#This Row],[Profit]]&gt;0,"Profit","Loss")</f>
        <v>Profit</v>
      </c>
      <c r="X19" s="2">
        <f>RANK(SalesData[[#This Row],[Sales]],SalesData[Sales])</f>
        <v>105</v>
      </c>
    </row>
    <row r="20" spans="1:24" x14ac:dyDescent="0.3">
      <c r="A20">
        <v>19</v>
      </c>
      <c r="B20" s="1">
        <v>45310</v>
      </c>
      <c r="C20">
        <v>1096</v>
      </c>
      <c r="D20" t="s">
        <v>46</v>
      </c>
      <c r="E20" t="s">
        <v>15</v>
      </c>
      <c r="F20" t="s">
        <v>33</v>
      </c>
      <c r="G20" t="s">
        <v>17</v>
      </c>
      <c r="H20" t="s">
        <v>18</v>
      </c>
      <c r="I20">
        <v>4690</v>
      </c>
      <c r="J20">
        <v>1</v>
      </c>
      <c r="K20">
        <v>0.12</v>
      </c>
      <c r="L20">
        <v>-18</v>
      </c>
      <c r="M20" t="s">
        <v>31</v>
      </c>
      <c r="N20">
        <v>4127.2</v>
      </c>
      <c r="O20" t="str">
        <f>TEXT(SalesData[[#This Row],[Order_Date]],"mmm")</f>
        <v>Jan</v>
      </c>
      <c r="P20">
        <f>YEAR(SalesData[[#This Row],[Order_Date]])</f>
        <v>2024</v>
      </c>
      <c r="Q20" t="str">
        <f>"Q"&amp;ROUNDUP(MONTH(SalesData[[#This Row],[Order_Date]])/3,0)</f>
        <v>Q1</v>
      </c>
      <c r="R20" s="2">
        <f>IFERROR(SalesData[[#This Row],[Profit]]/SalesData[[#This Row],[Sales]],0)</f>
        <v>-4.3613103314595857E-3</v>
      </c>
      <c r="S20" s="2">
        <f>SalesData[[#This Row],[Price]]*SalesData[[#This Row],[Quantity]]*SalesData[[#This Row],[Discount]]</f>
        <v>562.79999999999995</v>
      </c>
      <c r="T20" s="2" t="str">
        <f>IF(SalesData[[#This Row],[Sales]]&gt;5000,"High",IF(SalesData[[#This Row],[Sales]]&gt;2000,"Medium","Low"))</f>
        <v>Medium</v>
      </c>
      <c r="U20" s="2" t="str">
        <f>IF(COUNTIFS(SalesData[Customer_ID],SalesData[[#This Row],[Customer_ID]])&gt;1,"Repeat","New")</f>
        <v>Repeat</v>
      </c>
      <c r="V20" s="2" t="str">
        <f>IF(SalesData[[#This Row],[Sales]]&gt;AVERAGE(SalesData[Sales]),"Above Avg","Below Avg")</f>
        <v>Below Avg</v>
      </c>
      <c r="W20" s="2" t="str">
        <f>IF(SalesData[[#This Row],[Profit]]&gt;0,"Profit","Loss")</f>
        <v>Loss</v>
      </c>
      <c r="X20" s="2">
        <f>RANK(SalesData[[#This Row],[Sales]],SalesData[Sales])</f>
        <v>348</v>
      </c>
    </row>
    <row r="21" spans="1:24" x14ac:dyDescent="0.3">
      <c r="A21">
        <v>20</v>
      </c>
      <c r="B21" s="1">
        <v>45311</v>
      </c>
      <c r="C21">
        <v>1080</v>
      </c>
      <c r="D21" t="s">
        <v>47</v>
      </c>
      <c r="E21" t="s">
        <v>24</v>
      </c>
      <c r="F21" t="s">
        <v>21</v>
      </c>
      <c r="G21" t="s">
        <v>34</v>
      </c>
      <c r="H21" t="s">
        <v>18</v>
      </c>
      <c r="I21">
        <v>1487</v>
      </c>
      <c r="J21">
        <v>8</v>
      </c>
      <c r="K21">
        <v>0.11</v>
      </c>
      <c r="L21">
        <v>992</v>
      </c>
      <c r="M21" t="s">
        <v>26</v>
      </c>
      <c r="N21">
        <v>10587.44</v>
      </c>
      <c r="O21" t="str">
        <f>TEXT(SalesData[[#This Row],[Order_Date]],"mmm")</f>
        <v>Jan</v>
      </c>
      <c r="P21">
        <f>YEAR(SalesData[[#This Row],[Order_Date]])</f>
        <v>2024</v>
      </c>
      <c r="Q21" t="str">
        <f>"Q"&amp;ROUNDUP(MONTH(SalesData[[#This Row],[Order_Date]])/3,0)</f>
        <v>Q1</v>
      </c>
      <c r="R21" s="2">
        <f>IFERROR(SalesData[[#This Row],[Profit]]/SalesData[[#This Row],[Sales]],0)</f>
        <v>9.3695926494034437E-2</v>
      </c>
      <c r="S21" s="2">
        <f>SalesData[[#This Row],[Price]]*SalesData[[#This Row],[Quantity]]*SalesData[[#This Row],[Discount]]</f>
        <v>1308.56</v>
      </c>
      <c r="T21" s="2" t="str">
        <f>IF(SalesData[[#This Row],[Sales]]&gt;5000,"High",IF(SalesData[[#This Row],[Sales]]&gt;2000,"Medium","Low"))</f>
        <v>High</v>
      </c>
      <c r="U21" s="2" t="str">
        <f>IF(COUNTIFS(SalesData[Customer_ID],SalesData[[#This Row],[Customer_ID]])&gt;1,"Repeat","New")</f>
        <v>Repeat</v>
      </c>
      <c r="V21" s="2" t="str">
        <f>IF(SalesData[[#This Row],[Sales]]&gt;AVERAGE(SalesData[Sales]),"Above Avg","Below Avg")</f>
        <v>Below Avg</v>
      </c>
      <c r="W21" s="2" t="str">
        <f>IF(SalesData[[#This Row],[Profit]]&gt;0,"Profit","Loss")</f>
        <v>Profit</v>
      </c>
      <c r="X21" s="2">
        <f>RANK(SalesData[[#This Row],[Sales]],SalesData[Sales])</f>
        <v>196</v>
      </c>
    </row>
    <row r="22" spans="1:24" x14ac:dyDescent="0.3">
      <c r="A22">
        <v>21</v>
      </c>
      <c r="B22" s="1">
        <v>45312</v>
      </c>
      <c r="C22">
        <v>1068</v>
      </c>
      <c r="D22" t="s">
        <v>48</v>
      </c>
      <c r="E22" t="s">
        <v>15</v>
      </c>
      <c r="F22" t="s">
        <v>16</v>
      </c>
      <c r="G22" t="s">
        <v>22</v>
      </c>
      <c r="H22" t="s">
        <v>29</v>
      </c>
      <c r="I22">
        <v>2066</v>
      </c>
      <c r="J22">
        <v>4</v>
      </c>
      <c r="K22">
        <v>0.21</v>
      </c>
      <c r="L22">
        <v>-488</v>
      </c>
      <c r="M22" t="s">
        <v>19</v>
      </c>
      <c r="N22">
        <v>6528.56</v>
      </c>
      <c r="O22" t="str">
        <f>TEXT(SalesData[[#This Row],[Order_Date]],"mmm")</f>
        <v>Jan</v>
      </c>
      <c r="P22">
        <f>YEAR(SalesData[[#This Row],[Order_Date]])</f>
        <v>2024</v>
      </c>
      <c r="Q22" t="str">
        <f>"Q"&amp;ROUNDUP(MONTH(SalesData[[#This Row],[Order_Date]])/3,0)</f>
        <v>Q1</v>
      </c>
      <c r="R22" s="2">
        <f>IFERROR(SalesData[[#This Row],[Profit]]/SalesData[[#This Row],[Sales]],0)</f>
        <v>-7.4748489712892274E-2</v>
      </c>
      <c r="S22" s="2">
        <f>SalesData[[#This Row],[Price]]*SalesData[[#This Row],[Quantity]]*SalesData[[#This Row],[Discount]]</f>
        <v>1735.4399999999998</v>
      </c>
      <c r="T22" s="2" t="str">
        <f>IF(SalesData[[#This Row],[Sales]]&gt;5000,"High",IF(SalesData[[#This Row],[Sales]]&gt;2000,"Medium","Low"))</f>
        <v>High</v>
      </c>
      <c r="U22" s="2" t="str">
        <f>IF(COUNTIFS(SalesData[Customer_ID],SalesData[[#This Row],[Customer_ID]])&gt;1,"Repeat","New")</f>
        <v>Repeat</v>
      </c>
      <c r="V22" s="2" t="str">
        <f>IF(SalesData[[#This Row],[Sales]]&gt;AVERAGE(SalesData[Sales]),"Above Avg","Below Avg")</f>
        <v>Below Avg</v>
      </c>
      <c r="W22" s="2" t="str">
        <f>IF(SalesData[[#This Row],[Profit]]&gt;0,"Profit","Loss")</f>
        <v>Loss</v>
      </c>
      <c r="X22" s="2">
        <f>RANK(SalesData[[#This Row],[Sales]],SalesData[Sales])</f>
        <v>285</v>
      </c>
    </row>
    <row r="23" spans="1:24" x14ac:dyDescent="0.3">
      <c r="A23">
        <v>22</v>
      </c>
      <c r="B23" s="1">
        <v>45313</v>
      </c>
      <c r="C23">
        <v>1049</v>
      </c>
      <c r="D23" t="s">
        <v>49</v>
      </c>
      <c r="E23" t="s">
        <v>24</v>
      </c>
      <c r="F23" t="s">
        <v>21</v>
      </c>
      <c r="G23" t="s">
        <v>22</v>
      </c>
      <c r="H23" t="s">
        <v>25</v>
      </c>
      <c r="I23">
        <v>4415</v>
      </c>
      <c r="J23">
        <v>4</v>
      </c>
      <c r="K23">
        <v>0.22</v>
      </c>
      <c r="L23">
        <v>316</v>
      </c>
      <c r="M23" t="s">
        <v>31</v>
      </c>
      <c r="N23">
        <v>13774.8</v>
      </c>
      <c r="O23" t="str">
        <f>TEXT(SalesData[[#This Row],[Order_Date]],"mmm")</f>
        <v>Jan</v>
      </c>
      <c r="P23">
        <f>YEAR(SalesData[[#This Row],[Order_Date]])</f>
        <v>2024</v>
      </c>
      <c r="Q23" t="str">
        <f>"Q"&amp;ROUNDUP(MONTH(SalesData[[#This Row],[Order_Date]])/3,0)</f>
        <v>Q1</v>
      </c>
      <c r="R23" s="2">
        <f>IFERROR(SalesData[[#This Row],[Profit]]/SalesData[[#This Row],[Sales]],0)</f>
        <v>2.2940441966489533E-2</v>
      </c>
      <c r="S23" s="2">
        <f>SalesData[[#This Row],[Price]]*SalesData[[#This Row],[Quantity]]*SalesData[[#This Row],[Discount]]</f>
        <v>3885.2</v>
      </c>
      <c r="T23" s="2" t="str">
        <f>IF(SalesData[[#This Row],[Sales]]&gt;5000,"High",IF(SalesData[[#This Row],[Sales]]&gt;2000,"Medium","Low"))</f>
        <v>High</v>
      </c>
      <c r="U23" s="2" t="str">
        <f>IF(COUNTIFS(SalesData[Customer_ID],SalesData[[#This Row],[Customer_ID]])&gt;1,"Repeat","New")</f>
        <v>Repeat</v>
      </c>
      <c r="V23" s="2" t="str">
        <f>IF(SalesData[[#This Row],[Sales]]&gt;AVERAGE(SalesData[Sales]),"Above Avg","Below Avg")</f>
        <v>Above Avg</v>
      </c>
      <c r="W23" s="2" t="str">
        <f>IF(SalesData[[#This Row],[Profit]]&gt;0,"Profit","Loss")</f>
        <v>Profit</v>
      </c>
      <c r="X23" s="2">
        <f>RANK(SalesData[[#This Row],[Sales]],SalesData[Sales])</f>
        <v>149</v>
      </c>
    </row>
    <row r="24" spans="1:24" x14ac:dyDescent="0.3">
      <c r="A24">
        <v>23</v>
      </c>
      <c r="B24" s="1">
        <v>45314</v>
      </c>
      <c r="C24">
        <v>1055</v>
      </c>
      <c r="D24" t="s">
        <v>50</v>
      </c>
      <c r="E24" t="s">
        <v>15</v>
      </c>
      <c r="F24" t="s">
        <v>28</v>
      </c>
      <c r="G24" t="s">
        <v>34</v>
      </c>
      <c r="H24" t="s">
        <v>18</v>
      </c>
      <c r="I24">
        <v>790</v>
      </c>
      <c r="J24">
        <v>7</v>
      </c>
      <c r="K24">
        <v>0.13</v>
      </c>
      <c r="L24">
        <v>1889</v>
      </c>
      <c r="M24" t="s">
        <v>31</v>
      </c>
      <c r="N24">
        <v>4811.1000000000004</v>
      </c>
      <c r="O24" t="str">
        <f>TEXT(SalesData[[#This Row],[Order_Date]],"mmm")</f>
        <v>Jan</v>
      </c>
      <c r="P24">
        <f>YEAR(SalesData[[#This Row],[Order_Date]])</f>
        <v>2024</v>
      </c>
      <c r="Q24" t="str">
        <f>"Q"&amp;ROUNDUP(MONTH(SalesData[[#This Row],[Order_Date]])/3,0)</f>
        <v>Q1</v>
      </c>
      <c r="R24" s="2">
        <f>IFERROR(SalesData[[#This Row],[Profit]]/SalesData[[#This Row],[Sales]],0)</f>
        <v>0.3926337012325663</v>
      </c>
      <c r="S24" s="2">
        <f>SalesData[[#This Row],[Price]]*SalesData[[#This Row],[Quantity]]*SalesData[[#This Row],[Discount]]</f>
        <v>718.9</v>
      </c>
      <c r="T24" s="2" t="str">
        <f>IF(SalesData[[#This Row],[Sales]]&gt;5000,"High",IF(SalesData[[#This Row],[Sales]]&gt;2000,"Medium","Low"))</f>
        <v>Medium</v>
      </c>
      <c r="U24" s="2" t="str">
        <f>IF(COUNTIFS(SalesData[Customer_ID],SalesData[[#This Row],[Customer_ID]])&gt;1,"Repeat","New")</f>
        <v>Repeat</v>
      </c>
      <c r="V24" s="2" t="str">
        <f>IF(SalesData[[#This Row],[Sales]]&gt;AVERAGE(SalesData[Sales]),"Above Avg","Below Avg")</f>
        <v>Below Avg</v>
      </c>
      <c r="W24" s="2" t="str">
        <f>IF(SalesData[[#This Row],[Profit]]&gt;0,"Profit","Loss")</f>
        <v>Profit</v>
      </c>
      <c r="X24" s="2">
        <f>RANK(SalesData[[#This Row],[Sales]],SalesData[Sales])</f>
        <v>328</v>
      </c>
    </row>
    <row r="25" spans="1:24" x14ac:dyDescent="0.3">
      <c r="A25">
        <v>24</v>
      </c>
      <c r="B25" s="1">
        <v>45315</v>
      </c>
      <c r="C25">
        <v>1067</v>
      </c>
      <c r="D25" t="s">
        <v>51</v>
      </c>
      <c r="E25" t="s">
        <v>24</v>
      </c>
      <c r="F25" t="s">
        <v>33</v>
      </c>
      <c r="G25" t="s">
        <v>22</v>
      </c>
      <c r="H25" t="s">
        <v>18</v>
      </c>
      <c r="I25">
        <v>4346</v>
      </c>
      <c r="J25">
        <v>2</v>
      </c>
      <c r="K25">
        <v>7.0000000000000007E-2</v>
      </c>
      <c r="L25">
        <v>-8</v>
      </c>
      <c r="M25" t="s">
        <v>26</v>
      </c>
      <c r="N25">
        <v>8083.5599999999904</v>
      </c>
      <c r="O25" t="str">
        <f>TEXT(SalesData[[#This Row],[Order_Date]],"mmm")</f>
        <v>Jan</v>
      </c>
      <c r="P25">
        <f>YEAR(SalesData[[#This Row],[Order_Date]])</f>
        <v>2024</v>
      </c>
      <c r="Q25" t="str">
        <f>"Q"&amp;ROUNDUP(MONTH(SalesData[[#This Row],[Order_Date]])/3,0)</f>
        <v>Q1</v>
      </c>
      <c r="R25" s="2">
        <f>IFERROR(SalesData[[#This Row],[Profit]]/SalesData[[#This Row],[Sales]],0)</f>
        <v>-9.8966297027547378E-4</v>
      </c>
      <c r="S25" s="2">
        <f>SalesData[[#This Row],[Price]]*SalesData[[#This Row],[Quantity]]*SalesData[[#This Row],[Discount]]</f>
        <v>608.44000000000005</v>
      </c>
      <c r="T25" s="2" t="str">
        <f>IF(SalesData[[#This Row],[Sales]]&gt;5000,"High",IF(SalesData[[#This Row],[Sales]]&gt;2000,"Medium","Low"))</f>
        <v>High</v>
      </c>
      <c r="U25" s="2" t="str">
        <f>IF(COUNTIFS(SalesData[Customer_ID],SalesData[[#This Row],[Customer_ID]])&gt;1,"Repeat","New")</f>
        <v>Repeat</v>
      </c>
      <c r="V25" s="2" t="str">
        <f>IF(SalesData[[#This Row],[Sales]]&gt;AVERAGE(SalesData[Sales]),"Above Avg","Below Avg")</f>
        <v>Below Avg</v>
      </c>
      <c r="W25" s="2" t="str">
        <f>IF(SalesData[[#This Row],[Profit]]&gt;0,"Profit","Loss")</f>
        <v>Loss</v>
      </c>
      <c r="X25" s="2">
        <f>RANK(SalesData[[#This Row],[Sales]],SalesData[Sales])</f>
        <v>250</v>
      </c>
    </row>
    <row r="26" spans="1:24" x14ac:dyDescent="0.3">
      <c r="A26">
        <v>25</v>
      </c>
      <c r="B26" s="1">
        <v>45316</v>
      </c>
      <c r="C26">
        <v>1002</v>
      </c>
      <c r="D26" t="s">
        <v>52</v>
      </c>
      <c r="E26" t="s">
        <v>15</v>
      </c>
      <c r="F26" t="s">
        <v>16</v>
      </c>
      <c r="G26" t="s">
        <v>34</v>
      </c>
      <c r="H26" t="s">
        <v>25</v>
      </c>
      <c r="I26">
        <v>2176</v>
      </c>
      <c r="J26">
        <v>6</v>
      </c>
      <c r="K26">
        <v>0.24</v>
      </c>
      <c r="L26">
        <v>337</v>
      </c>
      <c r="M26" t="s">
        <v>19</v>
      </c>
      <c r="N26">
        <v>9922.56</v>
      </c>
      <c r="O26" t="str">
        <f>TEXT(SalesData[[#This Row],[Order_Date]],"mmm")</f>
        <v>Jan</v>
      </c>
      <c r="P26">
        <f>YEAR(SalesData[[#This Row],[Order_Date]])</f>
        <v>2024</v>
      </c>
      <c r="Q26" t="str">
        <f>"Q"&amp;ROUNDUP(MONTH(SalesData[[#This Row],[Order_Date]])/3,0)</f>
        <v>Q1</v>
      </c>
      <c r="R26" s="2">
        <f>IFERROR(SalesData[[#This Row],[Profit]]/SalesData[[#This Row],[Sales]],0)</f>
        <v>3.3963009545923635E-2</v>
      </c>
      <c r="S26" s="2">
        <f>SalesData[[#This Row],[Price]]*SalesData[[#This Row],[Quantity]]*SalesData[[#This Row],[Discount]]</f>
        <v>3133.44</v>
      </c>
      <c r="T26" s="2" t="str">
        <f>IF(SalesData[[#This Row],[Sales]]&gt;5000,"High",IF(SalesData[[#This Row],[Sales]]&gt;2000,"Medium","Low"))</f>
        <v>High</v>
      </c>
      <c r="U26" s="2" t="str">
        <f>IF(COUNTIFS(SalesData[Customer_ID],SalesData[[#This Row],[Customer_ID]])&gt;1,"Repeat","New")</f>
        <v>Repeat</v>
      </c>
      <c r="V26" s="2" t="str">
        <f>IF(SalesData[[#This Row],[Sales]]&gt;AVERAGE(SalesData[Sales]),"Above Avg","Below Avg")</f>
        <v>Below Avg</v>
      </c>
      <c r="W26" s="2" t="str">
        <f>IF(SalesData[[#This Row],[Profit]]&gt;0,"Profit","Loss")</f>
        <v>Profit</v>
      </c>
      <c r="X26" s="2">
        <f>RANK(SalesData[[#This Row],[Sales]],SalesData[Sales])</f>
        <v>201</v>
      </c>
    </row>
    <row r="27" spans="1:24" x14ac:dyDescent="0.3">
      <c r="A27">
        <v>26</v>
      </c>
      <c r="B27" s="1">
        <v>45317</v>
      </c>
      <c r="C27">
        <v>1084</v>
      </c>
      <c r="D27" t="s">
        <v>53</v>
      </c>
      <c r="E27" t="s">
        <v>24</v>
      </c>
      <c r="F27" t="s">
        <v>33</v>
      </c>
      <c r="G27" t="s">
        <v>22</v>
      </c>
      <c r="H27" t="s">
        <v>37</v>
      </c>
      <c r="I27">
        <v>1857</v>
      </c>
      <c r="J27">
        <v>6</v>
      </c>
      <c r="K27">
        <v>0.25</v>
      </c>
      <c r="L27">
        <v>1296</v>
      </c>
      <c r="M27" t="s">
        <v>26</v>
      </c>
      <c r="N27">
        <v>8356.5</v>
      </c>
      <c r="O27" t="str">
        <f>TEXT(SalesData[[#This Row],[Order_Date]],"mmm")</f>
        <v>Jan</v>
      </c>
      <c r="P27">
        <f>YEAR(SalesData[[#This Row],[Order_Date]])</f>
        <v>2024</v>
      </c>
      <c r="Q27" t="str">
        <f>"Q"&amp;ROUNDUP(MONTH(SalesData[[#This Row],[Order_Date]])/3,0)</f>
        <v>Q1</v>
      </c>
      <c r="R27" s="2">
        <f>IFERROR(SalesData[[#This Row],[Profit]]/SalesData[[#This Row],[Sales]],0)</f>
        <v>0.15508885298869143</v>
      </c>
      <c r="S27" s="2">
        <f>SalesData[[#This Row],[Price]]*SalesData[[#This Row],[Quantity]]*SalesData[[#This Row],[Discount]]</f>
        <v>2785.5</v>
      </c>
      <c r="T27" s="2" t="str">
        <f>IF(SalesData[[#This Row],[Sales]]&gt;5000,"High",IF(SalesData[[#This Row],[Sales]]&gt;2000,"Medium","Low"))</f>
        <v>High</v>
      </c>
      <c r="U27" s="2" t="str">
        <f>IF(COUNTIFS(SalesData[Customer_ID],SalesData[[#This Row],[Customer_ID]])&gt;1,"Repeat","New")</f>
        <v>Repeat</v>
      </c>
      <c r="V27" s="2" t="str">
        <f>IF(SalesData[[#This Row],[Sales]]&gt;AVERAGE(SalesData[Sales]),"Above Avg","Below Avg")</f>
        <v>Below Avg</v>
      </c>
      <c r="W27" s="2" t="str">
        <f>IF(SalesData[[#This Row],[Profit]]&gt;0,"Profit","Loss")</f>
        <v>Profit</v>
      </c>
      <c r="X27" s="2">
        <f>RANK(SalesData[[#This Row],[Sales]],SalesData[Sales])</f>
        <v>240</v>
      </c>
    </row>
    <row r="28" spans="1:24" x14ac:dyDescent="0.3">
      <c r="A28">
        <v>27</v>
      </c>
      <c r="B28" s="1">
        <v>45318</v>
      </c>
      <c r="C28">
        <v>1039</v>
      </c>
      <c r="D28" t="s">
        <v>54</v>
      </c>
      <c r="E28" t="s">
        <v>15</v>
      </c>
      <c r="F28" t="s">
        <v>21</v>
      </c>
      <c r="G28" t="s">
        <v>34</v>
      </c>
      <c r="H28" t="s">
        <v>25</v>
      </c>
      <c r="I28">
        <v>4258</v>
      </c>
      <c r="J28">
        <v>7</v>
      </c>
      <c r="K28">
        <v>0.16</v>
      </c>
      <c r="L28">
        <v>1331</v>
      </c>
      <c r="M28" t="s">
        <v>31</v>
      </c>
      <c r="N28">
        <v>25037.040000000001</v>
      </c>
      <c r="O28" t="str">
        <f>TEXT(SalesData[[#This Row],[Order_Date]],"mmm")</f>
        <v>Jan</v>
      </c>
      <c r="P28">
        <f>YEAR(SalesData[[#This Row],[Order_Date]])</f>
        <v>2024</v>
      </c>
      <c r="Q28" t="str">
        <f>"Q"&amp;ROUNDUP(MONTH(SalesData[[#This Row],[Order_Date]])/3,0)</f>
        <v>Q1</v>
      </c>
      <c r="R28" s="2">
        <f>IFERROR(SalesData[[#This Row],[Profit]]/SalesData[[#This Row],[Sales]],0)</f>
        <v>5.3161236312279724E-2</v>
      </c>
      <c r="S28" s="2">
        <f>SalesData[[#This Row],[Price]]*SalesData[[#This Row],[Quantity]]*SalesData[[#This Row],[Discount]]</f>
        <v>4768.96</v>
      </c>
      <c r="T28" s="2" t="str">
        <f>IF(SalesData[[#This Row],[Sales]]&gt;5000,"High",IF(SalesData[[#This Row],[Sales]]&gt;2000,"Medium","Low"))</f>
        <v>High</v>
      </c>
      <c r="U28" s="2" t="str">
        <f>IF(COUNTIFS(SalesData[Customer_ID],SalesData[[#This Row],[Customer_ID]])&gt;1,"Repeat","New")</f>
        <v>Repeat</v>
      </c>
      <c r="V28" s="2" t="str">
        <f>IF(SalesData[[#This Row],[Sales]]&gt;AVERAGE(SalesData[Sales]),"Above Avg","Below Avg")</f>
        <v>Above Avg</v>
      </c>
      <c r="W28" s="2" t="str">
        <f>IF(SalesData[[#This Row],[Profit]]&gt;0,"Profit","Loss")</f>
        <v>Profit</v>
      </c>
      <c r="X28" s="2">
        <f>RANK(SalesData[[#This Row],[Sales]],SalesData[Sales])</f>
        <v>42</v>
      </c>
    </row>
    <row r="29" spans="1:24" x14ac:dyDescent="0.3">
      <c r="A29">
        <v>28</v>
      </c>
      <c r="B29" s="1">
        <v>45319</v>
      </c>
      <c r="C29">
        <v>1066</v>
      </c>
      <c r="D29" t="s">
        <v>55</v>
      </c>
      <c r="E29" t="s">
        <v>15</v>
      </c>
      <c r="F29" t="s">
        <v>16</v>
      </c>
      <c r="G29" t="s">
        <v>34</v>
      </c>
      <c r="H29" t="s">
        <v>25</v>
      </c>
      <c r="I29">
        <v>270</v>
      </c>
      <c r="J29">
        <v>2</v>
      </c>
      <c r="K29">
        <v>7.0000000000000007E-2</v>
      </c>
      <c r="L29">
        <v>1695</v>
      </c>
      <c r="M29" t="s">
        <v>26</v>
      </c>
      <c r="N29">
        <v>502.2</v>
      </c>
      <c r="O29" t="str">
        <f>TEXT(SalesData[[#This Row],[Order_Date]],"mmm")</f>
        <v>Jan</v>
      </c>
      <c r="P29">
        <f>YEAR(SalesData[[#This Row],[Order_Date]])</f>
        <v>2024</v>
      </c>
      <c r="Q29" t="str">
        <f>"Q"&amp;ROUNDUP(MONTH(SalesData[[#This Row],[Order_Date]])/3,0)</f>
        <v>Q1</v>
      </c>
      <c r="R29" s="2">
        <f>IFERROR(SalesData[[#This Row],[Profit]]/SalesData[[#This Row],[Sales]],0)</f>
        <v>3.3751493428912784</v>
      </c>
      <c r="S29" s="2">
        <f>SalesData[[#This Row],[Price]]*SalesData[[#This Row],[Quantity]]*SalesData[[#This Row],[Discount]]</f>
        <v>37.800000000000004</v>
      </c>
      <c r="T29" s="2" t="str">
        <f>IF(SalesData[[#This Row],[Sales]]&gt;5000,"High",IF(SalesData[[#This Row],[Sales]]&gt;2000,"Medium","Low"))</f>
        <v>Low</v>
      </c>
      <c r="U29" s="2" t="str">
        <f>IF(COUNTIFS(SalesData[Customer_ID],SalesData[[#This Row],[Customer_ID]])&gt;1,"Repeat","New")</f>
        <v>Repeat</v>
      </c>
      <c r="V29" s="2" t="str">
        <f>IF(SalesData[[#This Row],[Sales]]&gt;AVERAGE(SalesData[Sales]),"Above Avg","Below Avg")</f>
        <v>Below Avg</v>
      </c>
      <c r="W29" s="2" t="str">
        <f>IF(SalesData[[#This Row],[Profit]]&gt;0,"Profit","Loss")</f>
        <v>Profit</v>
      </c>
      <c r="X29" s="2">
        <f>RANK(SalesData[[#This Row],[Sales]],SalesData[Sales])</f>
        <v>491</v>
      </c>
    </row>
    <row r="30" spans="1:24" x14ac:dyDescent="0.3">
      <c r="A30">
        <v>29</v>
      </c>
      <c r="B30" s="1">
        <v>45320</v>
      </c>
      <c r="C30">
        <v>1084</v>
      </c>
      <c r="D30" t="s">
        <v>56</v>
      </c>
      <c r="E30" t="s">
        <v>24</v>
      </c>
      <c r="F30" t="s">
        <v>33</v>
      </c>
      <c r="G30" t="s">
        <v>34</v>
      </c>
      <c r="H30" t="s">
        <v>18</v>
      </c>
      <c r="I30">
        <v>1757</v>
      </c>
      <c r="J30">
        <v>7</v>
      </c>
      <c r="K30">
        <v>0.24</v>
      </c>
      <c r="L30">
        <v>1198</v>
      </c>
      <c r="M30" t="s">
        <v>26</v>
      </c>
      <c r="N30">
        <v>9347.24</v>
      </c>
      <c r="O30" t="str">
        <f>TEXT(SalesData[[#This Row],[Order_Date]],"mmm")</f>
        <v>Jan</v>
      </c>
      <c r="P30">
        <f>YEAR(SalesData[[#This Row],[Order_Date]])</f>
        <v>2024</v>
      </c>
      <c r="Q30" t="str">
        <f>"Q"&amp;ROUNDUP(MONTH(SalesData[[#This Row],[Order_Date]])/3,0)</f>
        <v>Q1</v>
      </c>
      <c r="R30" s="2">
        <f>IFERROR(SalesData[[#This Row],[Profit]]/SalesData[[#This Row],[Sales]],0)</f>
        <v>0.1281661752560114</v>
      </c>
      <c r="S30" s="2">
        <f>SalesData[[#This Row],[Price]]*SalesData[[#This Row],[Quantity]]*SalesData[[#This Row],[Discount]]</f>
        <v>2951.7599999999998</v>
      </c>
      <c r="T30" s="2" t="str">
        <f>IF(SalesData[[#This Row],[Sales]]&gt;5000,"High",IF(SalesData[[#This Row],[Sales]]&gt;2000,"Medium","Low"))</f>
        <v>High</v>
      </c>
      <c r="U30" s="2" t="str">
        <f>IF(COUNTIFS(SalesData[Customer_ID],SalesData[[#This Row],[Customer_ID]])&gt;1,"Repeat","New")</f>
        <v>Repeat</v>
      </c>
      <c r="V30" s="2" t="str">
        <f>IF(SalesData[[#This Row],[Sales]]&gt;AVERAGE(SalesData[Sales]),"Above Avg","Below Avg")</f>
        <v>Below Avg</v>
      </c>
      <c r="W30" s="2" t="str">
        <f>IF(SalesData[[#This Row],[Profit]]&gt;0,"Profit","Loss")</f>
        <v>Profit</v>
      </c>
      <c r="X30" s="2">
        <f>RANK(SalesData[[#This Row],[Sales]],SalesData[Sales])</f>
        <v>223</v>
      </c>
    </row>
    <row r="31" spans="1:24" x14ac:dyDescent="0.3">
      <c r="A31">
        <v>30</v>
      </c>
      <c r="B31" s="1">
        <v>45321</v>
      </c>
      <c r="C31">
        <v>1047</v>
      </c>
      <c r="D31" t="s">
        <v>57</v>
      </c>
      <c r="E31" t="s">
        <v>24</v>
      </c>
      <c r="F31" t="s">
        <v>28</v>
      </c>
      <c r="G31" t="s">
        <v>17</v>
      </c>
      <c r="H31" t="s">
        <v>18</v>
      </c>
      <c r="I31">
        <v>2171</v>
      </c>
      <c r="J31">
        <v>2</v>
      </c>
      <c r="K31">
        <v>0.11</v>
      </c>
      <c r="L31">
        <v>1464</v>
      </c>
      <c r="M31" t="s">
        <v>19</v>
      </c>
      <c r="N31">
        <v>3864.38</v>
      </c>
      <c r="O31" t="str">
        <f>TEXT(SalesData[[#This Row],[Order_Date]],"mmm")</f>
        <v>Jan</v>
      </c>
      <c r="P31">
        <f>YEAR(SalesData[[#This Row],[Order_Date]])</f>
        <v>2024</v>
      </c>
      <c r="Q31" t="str">
        <f>"Q"&amp;ROUNDUP(MONTH(SalesData[[#This Row],[Order_Date]])/3,0)</f>
        <v>Q1</v>
      </c>
      <c r="R31" s="2">
        <f>IFERROR(SalesData[[#This Row],[Profit]]/SalesData[[#This Row],[Sales]],0)</f>
        <v>0.37884473059067691</v>
      </c>
      <c r="S31" s="2">
        <f>SalesData[[#This Row],[Price]]*SalesData[[#This Row],[Quantity]]*SalesData[[#This Row],[Discount]]</f>
        <v>477.62</v>
      </c>
      <c r="T31" s="2" t="str">
        <f>IF(SalesData[[#This Row],[Sales]]&gt;5000,"High",IF(SalesData[[#This Row],[Sales]]&gt;2000,"Medium","Low"))</f>
        <v>Medium</v>
      </c>
      <c r="U31" s="2" t="str">
        <f>IF(COUNTIFS(SalesData[Customer_ID],SalesData[[#This Row],[Customer_ID]])&gt;1,"Repeat","New")</f>
        <v>Repeat</v>
      </c>
      <c r="V31" s="2" t="str">
        <f>IF(SalesData[[#This Row],[Sales]]&gt;AVERAGE(SalesData[Sales]),"Above Avg","Below Avg")</f>
        <v>Below Avg</v>
      </c>
      <c r="W31" s="2" t="str">
        <f>IF(SalesData[[#This Row],[Profit]]&gt;0,"Profit","Loss")</f>
        <v>Profit</v>
      </c>
      <c r="X31" s="2">
        <f>RANK(SalesData[[#This Row],[Sales]],SalesData[Sales])</f>
        <v>359</v>
      </c>
    </row>
    <row r="32" spans="1:24" x14ac:dyDescent="0.3">
      <c r="A32">
        <v>31</v>
      </c>
      <c r="B32" s="1">
        <v>45322</v>
      </c>
      <c r="C32">
        <v>1061</v>
      </c>
      <c r="D32" t="s">
        <v>58</v>
      </c>
      <c r="E32" t="s">
        <v>15</v>
      </c>
      <c r="F32" t="s">
        <v>33</v>
      </c>
      <c r="G32" t="s">
        <v>34</v>
      </c>
      <c r="H32" t="s">
        <v>25</v>
      </c>
      <c r="I32">
        <v>4589</v>
      </c>
      <c r="J32">
        <v>2</v>
      </c>
      <c r="K32">
        <v>0.28000000000000003</v>
      </c>
      <c r="L32">
        <v>1849</v>
      </c>
      <c r="M32" t="s">
        <v>31</v>
      </c>
      <c r="N32">
        <v>6608.16</v>
      </c>
      <c r="O32" t="str">
        <f>TEXT(SalesData[[#This Row],[Order_Date]],"mmm")</f>
        <v>Jan</v>
      </c>
      <c r="P32">
        <f>YEAR(SalesData[[#This Row],[Order_Date]])</f>
        <v>2024</v>
      </c>
      <c r="Q32" t="str">
        <f>"Q"&amp;ROUNDUP(MONTH(SalesData[[#This Row],[Order_Date]])/3,0)</f>
        <v>Q1</v>
      </c>
      <c r="R32" s="2">
        <f>IFERROR(SalesData[[#This Row],[Profit]]/SalesData[[#This Row],[Sales]],0)</f>
        <v>0.27980557371492215</v>
      </c>
      <c r="S32" s="2">
        <f>SalesData[[#This Row],[Price]]*SalesData[[#This Row],[Quantity]]*SalesData[[#This Row],[Discount]]</f>
        <v>2569.84</v>
      </c>
      <c r="T32" s="2" t="str">
        <f>IF(SalesData[[#This Row],[Sales]]&gt;5000,"High",IF(SalesData[[#This Row],[Sales]]&gt;2000,"Medium","Low"))</f>
        <v>High</v>
      </c>
      <c r="U32" s="2" t="str">
        <f>IF(COUNTIFS(SalesData[Customer_ID],SalesData[[#This Row],[Customer_ID]])&gt;1,"Repeat","New")</f>
        <v>Repeat</v>
      </c>
      <c r="V32" s="2" t="str">
        <f>IF(SalesData[[#This Row],[Sales]]&gt;AVERAGE(SalesData[Sales]),"Above Avg","Below Avg")</f>
        <v>Below Avg</v>
      </c>
      <c r="W32" s="2" t="str">
        <f>IF(SalesData[[#This Row],[Profit]]&gt;0,"Profit","Loss")</f>
        <v>Profit</v>
      </c>
      <c r="X32" s="2">
        <f>RANK(SalesData[[#This Row],[Sales]],SalesData[Sales])</f>
        <v>284</v>
      </c>
    </row>
    <row r="33" spans="1:24" x14ac:dyDescent="0.3">
      <c r="A33">
        <v>32</v>
      </c>
      <c r="B33" s="1">
        <v>45323</v>
      </c>
      <c r="C33">
        <v>1048</v>
      </c>
      <c r="D33" t="s">
        <v>59</v>
      </c>
      <c r="E33" t="s">
        <v>15</v>
      </c>
      <c r="F33" t="s">
        <v>33</v>
      </c>
      <c r="G33" t="s">
        <v>34</v>
      </c>
      <c r="H33" t="s">
        <v>18</v>
      </c>
      <c r="I33">
        <v>1491</v>
      </c>
      <c r="J33">
        <v>1</v>
      </c>
      <c r="K33">
        <v>0.08</v>
      </c>
      <c r="L33">
        <v>-440</v>
      </c>
      <c r="M33" t="s">
        <v>19</v>
      </c>
      <c r="N33">
        <v>1371.72</v>
      </c>
      <c r="O33" t="str">
        <f>TEXT(SalesData[[#This Row],[Order_Date]],"mmm")</f>
        <v>Feb</v>
      </c>
      <c r="P33">
        <f>YEAR(SalesData[[#This Row],[Order_Date]])</f>
        <v>2024</v>
      </c>
      <c r="Q33" t="str">
        <f>"Q"&amp;ROUNDUP(MONTH(SalesData[[#This Row],[Order_Date]])/3,0)</f>
        <v>Q1</v>
      </c>
      <c r="R33" s="2">
        <f>IFERROR(SalesData[[#This Row],[Profit]]/SalesData[[#This Row],[Sales]],0)</f>
        <v>-0.32076517073455224</v>
      </c>
      <c r="S33" s="2">
        <f>SalesData[[#This Row],[Price]]*SalesData[[#This Row],[Quantity]]*SalesData[[#This Row],[Discount]]</f>
        <v>119.28</v>
      </c>
      <c r="T33" s="2" t="str">
        <f>IF(SalesData[[#This Row],[Sales]]&gt;5000,"High",IF(SalesData[[#This Row],[Sales]]&gt;2000,"Medium","Low"))</f>
        <v>Low</v>
      </c>
      <c r="U33" s="2" t="str">
        <f>IF(COUNTIFS(SalesData[Customer_ID],SalesData[[#This Row],[Customer_ID]])&gt;1,"Repeat","New")</f>
        <v>Repeat</v>
      </c>
      <c r="V33" s="2" t="str">
        <f>IF(SalesData[[#This Row],[Sales]]&gt;AVERAGE(SalesData[Sales]),"Above Avg","Below Avg")</f>
        <v>Below Avg</v>
      </c>
      <c r="W33" s="2" t="str">
        <f>IF(SalesData[[#This Row],[Profit]]&gt;0,"Profit","Loss")</f>
        <v>Loss</v>
      </c>
      <c r="X33" s="2">
        <f>RANK(SalesData[[#This Row],[Sales]],SalesData[Sales])</f>
        <v>464</v>
      </c>
    </row>
    <row r="34" spans="1:24" x14ac:dyDescent="0.3">
      <c r="A34">
        <v>33</v>
      </c>
      <c r="B34" s="1">
        <v>45324</v>
      </c>
      <c r="C34">
        <v>1007</v>
      </c>
      <c r="D34" t="s">
        <v>56</v>
      </c>
      <c r="E34" t="s">
        <v>24</v>
      </c>
      <c r="F34" t="s">
        <v>33</v>
      </c>
      <c r="G34" t="s">
        <v>17</v>
      </c>
      <c r="H34" t="s">
        <v>25</v>
      </c>
      <c r="I34">
        <v>4961</v>
      </c>
      <c r="J34">
        <v>9</v>
      </c>
      <c r="K34">
        <v>0.28000000000000003</v>
      </c>
      <c r="L34">
        <v>1103</v>
      </c>
      <c r="M34" t="s">
        <v>26</v>
      </c>
      <c r="N34">
        <v>32147.279999999999</v>
      </c>
      <c r="O34" t="str">
        <f>TEXT(SalesData[[#This Row],[Order_Date]],"mmm")</f>
        <v>Feb</v>
      </c>
      <c r="P34">
        <f>YEAR(SalesData[[#This Row],[Order_Date]])</f>
        <v>2024</v>
      </c>
      <c r="Q34" t="str">
        <f>"Q"&amp;ROUNDUP(MONTH(SalesData[[#This Row],[Order_Date]])/3,0)</f>
        <v>Q1</v>
      </c>
      <c r="R34" s="2">
        <f>IFERROR(SalesData[[#This Row],[Profit]]/SalesData[[#This Row],[Sales]],0)</f>
        <v>3.4310834384744214E-2</v>
      </c>
      <c r="S34" s="2">
        <f>SalesData[[#This Row],[Price]]*SalesData[[#This Row],[Quantity]]*SalesData[[#This Row],[Discount]]</f>
        <v>12501.720000000001</v>
      </c>
      <c r="T34" s="2" t="str">
        <f>IF(SalesData[[#This Row],[Sales]]&gt;5000,"High",IF(SalesData[[#This Row],[Sales]]&gt;2000,"Medium","Low"))</f>
        <v>High</v>
      </c>
      <c r="U34" s="2" t="str">
        <f>IF(COUNTIFS(SalesData[Customer_ID],SalesData[[#This Row],[Customer_ID]])&gt;1,"Repeat","New")</f>
        <v>Repeat</v>
      </c>
      <c r="V34" s="2" t="str">
        <f>IF(SalesData[[#This Row],[Sales]]&gt;AVERAGE(SalesData[Sales]),"Above Avg","Below Avg")</f>
        <v>Above Avg</v>
      </c>
      <c r="W34" s="2" t="str">
        <f>IF(SalesData[[#This Row],[Profit]]&gt;0,"Profit","Loss")</f>
        <v>Profit</v>
      </c>
      <c r="X34" s="2">
        <f>RANK(SalesData[[#This Row],[Sales]],SalesData[Sales])</f>
        <v>21</v>
      </c>
    </row>
    <row r="35" spans="1:24" x14ac:dyDescent="0.3">
      <c r="A35">
        <v>34</v>
      </c>
      <c r="B35" s="1">
        <v>45325</v>
      </c>
      <c r="C35">
        <v>1099</v>
      </c>
      <c r="D35" t="s">
        <v>60</v>
      </c>
      <c r="E35" t="s">
        <v>15</v>
      </c>
      <c r="F35" t="s">
        <v>28</v>
      </c>
      <c r="G35" t="s">
        <v>17</v>
      </c>
      <c r="H35" t="s">
        <v>18</v>
      </c>
      <c r="I35">
        <v>2141</v>
      </c>
      <c r="J35">
        <v>9</v>
      </c>
      <c r="K35">
        <v>0.13</v>
      </c>
      <c r="L35">
        <v>191</v>
      </c>
      <c r="M35" t="s">
        <v>31</v>
      </c>
      <c r="N35">
        <v>16764.03</v>
      </c>
      <c r="O35" t="str">
        <f>TEXT(SalesData[[#This Row],[Order_Date]],"mmm")</f>
        <v>Feb</v>
      </c>
      <c r="P35">
        <f>YEAR(SalesData[[#This Row],[Order_Date]])</f>
        <v>2024</v>
      </c>
      <c r="Q35" t="str">
        <f>"Q"&amp;ROUNDUP(MONTH(SalesData[[#This Row],[Order_Date]])/3,0)</f>
        <v>Q1</v>
      </c>
      <c r="R35" s="2">
        <f>IFERROR(SalesData[[#This Row],[Profit]]/SalesData[[#This Row],[Sales]],0)</f>
        <v>1.1393441791741009E-2</v>
      </c>
      <c r="S35" s="2">
        <f>SalesData[[#This Row],[Price]]*SalesData[[#This Row],[Quantity]]*SalesData[[#This Row],[Discount]]</f>
        <v>2504.9700000000003</v>
      </c>
      <c r="T35" s="2" t="str">
        <f>IF(SalesData[[#This Row],[Sales]]&gt;5000,"High",IF(SalesData[[#This Row],[Sales]]&gt;2000,"Medium","Low"))</f>
        <v>High</v>
      </c>
      <c r="U35" s="2" t="str">
        <f>IF(COUNTIFS(SalesData[Customer_ID],SalesData[[#This Row],[Customer_ID]])&gt;1,"Repeat","New")</f>
        <v>Repeat</v>
      </c>
      <c r="V35" s="2" t="str">
        <f>IF(SalesData[[#This Row],[Sales]]&gt;AVERAGE(SalesData[Sales]),"Above Avg","Below Avg")</f>
        <v>Above Avg</v>
      </c>
      <c r="W35" s="2" t="str">
        <f>IF(SalesData[[#This Row],[Profit]]&gt;0,"Profit","Loss")</f>
        <v>Profit</v>
      </c>
      <c r="X35" s="2">
        <f>RANK(SalesData[[#This Row],[Sales]],SalesData[Sales])</f>
        <v>108</v>
      </c>
    </row>
    <row r="36" spans="1:24" x14ac:dyDescent="0.3">
      <c r="A36">
        <v>35</v>
      </c>
      <c r="B36" s="1">
        <v>45326</v>
      </c>
      <c r="C36">
        <v>1092</v>
      </c>
      <c r="D36" t="s">
        <v>61</v>
      </c>
      <c r="E36" t="s">
        <v>15</v>
      </c>
      <c r="F36" t="s">
        <v>28</v>
      </c>
      <c r="G36" t="s">
        <v>34</v>
      </c>
      <c r="H36" t="s">
        <v>29</v>
      </c>
      <c r="I36">
        <v>4536</v>
      </c>
      <c r="J36">
        <v>5</v>
      </c>
      <c r="K36">
        <v>0.23</v>
      </c>
      <c r="L36">
        <v>954</v>
      </c>
      <c r="M36" t="s">
        <v>19</v>
      </c>
      <c r="N36">
        <v>17463.599999999999</v>
      </c>
      <c r="O36" t="str">
        <f>TEXT(SalesData[[#This Row],[Order_Date]],"mmm")</f>
        <v>Feb</v>
      </c>
      <c r="P36">
        <f>YEAR(SalesData[[#This Row],[Order_Date]])</f>
        <v>2024</v>
      </c>
      <c r="Q36" t="str">
        <f>"Q"&amp;ROUNDUP(MONTH(SalesData[[#This Row],[Order_Date]])/3,0)</f>
        <v>Q1</v>
      </c>
      <c r="R36" s="2">
        <f>IFERROR(SalesData[[#This Row],[Profit]]/SalesData[[#This Row],[Sales]],0)</f>
        <v>5.4627911770768915E-2</v>
      </c>
      <c r="S36" s="2">
        <f>SalesData[[#This Row],[Price]]*SalesData[[#This Row],[Quantity]]*SalesData[[#This Row],[Discount]]</f>
        <v>5216.4000000000005</v>
      </c>
      <c r="T36" s="2" t="str">
        <f>IF(SalesData[[#This Row],[Sales]]&gt;5000,"High",IF(SalesData[[#This Row],[Sales]]&gt;2000,"Medium","Low"))</f>
        <v>High</v>
      </c>
      <c r="U36" s="2" t="str">
        <f>IF(COUNTIFS(SalesData[Customer_ID],SalesData[[#This Row],[Customer_ID]])&gt;1,"Repeat","New")</f>
        <v>Repeat</v>
      </c>
      <c r="V36" s="2" t="str">
        <f>IF(SalesData[[#This Row],[Sales]]&gt;AVERAGE(SalesData[Sales]),"Above Avg","Below Avg")</f>
        <v>Above Avg</v>
      </c>
      <c r="W36" s="2" t="str">
        <f>IF(SalesData[[#This Row],[Profit]]&gt;0,"Profit","Loss")</f>
        <v>Profit</v>
      </c>
      <c r="X36" s="2">
        <f>RANK(SalesData[[#This Row],[Sales]],SalesData[Sales])</f>
        <v>98</v>
      </c>
    </row>
    <row r="37" spans="1:24" x14ac:dyDescent="0.3">
      <c r="A37">
        <v>36</v>
      </c>
      <c r="B37" s="1">
        <v>45327</v>
      </c>
      <c r="C37">
        <v>1052</v>
      </c>
      <c r="D37" t="s">
        <v>62</v>
      </c>
      <c r="E37" t="s">
        <v>24</v>
      </c>
      <c r="F37" t="s">
        <v>16</v>
      </c>
      <c r="G37" t="s">
        <v>17</v>
      </c>
      <c r="H37" t="s">
        <v>18</v>
      </c>
      <c r="I37">
        <v>2529</v>
      </c>
      <c r="J37">
        <v>7</v>
      </c>
      <c r="K37">
        <v>0.06</v>
      </c>
      <c r="L37">
        <v>-454</v>
      </c>
      <c r="M37" t="s">
        <v>26</v>
      </c>
      <c r="N37">
        <v>16640.82</v>
      </c>
      <c r="O37" t="str">
        <f>TEXT(SalesData[[#This Row],[Order_Date]],"mmm")</f>
        <v>Feb</v>
      </c>
      <c r="P37">
        <f>YEAR(SalesData[[#This Row],[Order_Date]])</f>
        <v>2024</v>
      </c>
      <c r="Q37" t="str">
        <f>"Q"&amp;ROUNDUP(MONTH(SalesData[[#This Row],[Order_Date]])/3,0)</f>
        <v>Q1</v>
      </c>
      <c r="R37" s="2">
        <f>IFERROR(SalesData[[#This Row],[Profit]]/SalesData[[#This Row],[Sales]],0)</f>
        <v>-2.7282309405425934E-2</v>
      </c>
      <c r="S37" s="2">
        <f>SalesData[[#This Row],[Price]]*SalesData[[#This Row],[Quantity]]*SalesData[[#This Row],[Discount]]</f>
        <v>1062.18</v>
      </c>
      <c r="T37" s="2" t="str">
        <f>IF(SalesData[[#This Row],[Sales]]&gt;5000,"High",IF(SalesData[[#This Row],[Sales]]&gt;2000,"Medium","Low"))</f>
        <v>High</v>
      </c>
      <c r="U37" s="2" t="str">
        <f>IF(COUNTIFS(SalesData[Customer_ID],SalesData[[#This Row],[Customer_ID]])&gt;1,"Repeat","New")</f>
        <v>Repeat</v>
      </c>
      <c r="V37" s="2" t="str">
        <f>IF(SalesData[[#This Row],[Sales]]&gt;AVERAGE(SalesData[Sales]),"Above Avg","Below Avg")</f>
        <v>Above Avg</v>
      </c>
      <c r="W37" s="2" t="str">
        <f>IF(SalesData[[#This Row],[Profit]]&gt;0,"Profit","Loss")</f>
        <v>Loss</v>
      </c>
      <c r="X37" s="2">
        <f>RANK(SalesData[[#This Row],[Sales]],SalesData[Sales])</f>
        <v>112</v>
      </c>
    </row>
    <row r="38" spans="1:24" x14ac:dyDescent="0.3">
      <c r="A38">
        <v>37</v>
      </c>
      <c r="B38" s="1">
        <v>45328</v>
      </c>
      <c r="C38">
        <v>1097</v>
      </c>
      <c r="D38" t="s">
        <v>63</v>
      </c>
      <c r="E38" t="s">
        <v>15</v>
      </c>
      <c r="F38" t="s">
        <v>21</v>
      </c>
      <c r="G38" t="s">
        <v>22</v>
      </c>
      <c r="H38" t="s">
        <v>37</v>
      </c>
      <c r="I38">
        <v>3484</v>
      </c>
      <c r="J38">
        <v>7</v>
      </c>
      <c r="K38">
        <v>0.19</v>
      </c>
      <c r="L38">
        <v>-398</v>
      </c>
      <c r="M38" t="s">
        <v>19</v>
      </c>
      <c r="N38">
        <v>19754.28</v>
      </c>
      <c r="O38" t="str">
        <f>TEXT(SalesData[[#This Row],[Order_Date]],"mmm")</f>
        <v>Feb</v>
      </c>
      <c r="P38">
        <f>YEAR(SalesData[[#This Row],[Order_Date]])</f>
        <v>2024</v>
      </c>
      <c r="Q38" t="str">
        <f>"Q"&amp;ROUNDUP(MONTH(SalesData[[#This Row],[Order_Date]])/3,0)</f>
        <v>Q1</v>
      </c>
      <c r="R38" s="2">
        <f>IFERROR(SalesData[[#This Row],[Profit]]/SalesData[[#This Row],[Sales]],0)</f>
        <v>-2.0147532585343533E-2</v>
      </c>
      <c r="S38" s="2">
        <f>SalesData[[#This Row],[Price]]*SalesData[[#This Row],[Quantity]]*SalesData[[#This Row],[Discount]]</f>
        <v>4633.72</v>
      </c>
      <c r="T38" s="2" t="str">
        <f>IF(SalesData[[#This Row],[Sales]]&gt;5000,"High",IF(SalesData[[#This Row],[Sales]]&gt;2000,"Medium","Low"))</f>
        <v>High</v>
      </c>
      <c r="U38" s="2" t="str">
        <f>IF(COUNTIFS(SalesData[Customer_ID],SalesData[[#This Row],[Customer_ID]])&gt;1,"Repeat","New")</f>
        <v>Repeat</v>
      </c>
      <c r="V38" s="2" t="str">
        <f>IF(SalesData[[#This Row],[Sales]]&gt;AVERAGE(SalesData[Sales]),"Above Avg","Below Avg")</f>
        <v>Above Avg</v>
      </c>
      <c r="W38" s="2" t="str">
        <f>IF(SalesData[[#This Row],[Profit]]&gt;0,"Profit","Loss")</f>
        <v>Loss</v>
      </c>
      <c r="X38" s="2">
        <f>RANK(SalesData[[#This Row],[Sales]],SalesData[Sales])</f>
        <v>81</v>
      </c>
    </row>
    <row r="39" spans="1:24" x14ac:dyDescent="0.3">
      <c r="A39">
        <v>38</v>
      </c>
      <c r="B39" s="1">
        <v>45329</v>
      </c>
      <c r="C39">
        <v>1085</v>
      </c>
      <c r="D39" t="s">
        <v>64</v>
      </c>
      <c r="E39" t="s">
        <v>15</v>
      </c>
      <c r="F39" t="s">
        <v>33</v>
      </c>
      <c r="G39" t="s">
        <v>34</v>
      </c>
      <c r="H39" t="s">
        <v>29</v>
      </c>
      <c r="I39">
        <v>100</v>
      </c>
      <c r="J39">
        <v>3</v>
      </c>
      <c r="K39">
        <v>0.17</v>
      </c>
      <c r="L39">
        <v>-325</v>
      </c>
      <c r="M39" t="s">
        <v>31</v>
      </c>
      <c r="N39">
        <v>249</v>
      </c>
      <c r="O39" t="str">
        <f>TEXT(SalesData[[#This Row],[Order_Date]],"mmm")</f>
        <v>Feb</v>
      </c>
      <c r="P39">
        <f>YEAR(SalesData[[#This Row],[Order_Date]])</f>
        <v>2024</v>
      </c>
      <c r="Q39" t="str">
        <f>"Q"&amp;ROUNDUP(MONTH(SalesData[[#This Row],[Order_Date]])/3,0)</f>
        <v>Q1</v>
      </c>
      <c r="R39" s="2">
        <f>IFERROR(SalesData[[#This Row],[Profit]]/SalesData[[#This Row],[Sales]],0)</f>
        <v>-1.3052208835341366</v>
      </c>
      <c r="S39" s="2">
        <f>SalesData[[#This Row],[Price]]*SalesData[[#This Row],[Quantity]]*SalesData[[#This Row],[Discount]]</f>
        <v>51.000000000000007</v>
      </c>
      <c r="T39" s="2" t="str">
        <f>IF(SalesData[[#This Row],[Sales]]&gt;5000,"High",IF(SalesData[[#This Row],[Sales]]&gt;2000,"Medium","Low"))</f>
        <v>Low</v>
      </c>
      <c r="U39" s="2" t="str">
        <f>IF(COUNTIFS(SalesData[Customer_ID],SalesData[[#This Row],[Customer_ID]])&gt;1,"Repeat","New")</f>
        <v>Repeat</v>
      </c>
      <c r="V39" s="2" t="str">
        <f>IF(SalesData[[#This Row],[Sales]]&gt;AVERAGE(SalesData[Sales]),"Above Avg","Below Avg")</f>
        <v>Below Avg</v>
      </c>
      <c r="W39" s="2" t="str">
        <f>IF(SalesData[[#This Row],[Profit]]&gt;0,"Profit","Loss")</f>
        <v>Loss</v>
      </c>
      <c r="X39" s="2">
        <f>RANK(SalesData[[#This Row],[Sales]],SalesData[Sales])</f>
        <v>498</v>
      </c>
    </row>
    <row r="40" spans="1:24" x14ac:dyDescent="0.3">
      <c r="A40">
        <v>39</v>
      </c>
      <c r="B40" s="1">
        <v>45330</v>
      </c>
      <c r="C40">
        <v>1094</v>
      </c>
      <c r="D40" t="s">
        <v>65</v>
      </c>
      <c r="E40" t="s">
        <v>15</v>
      </c>
      <c r="F40" t="s">
        <v>21</v>
      </c>
      <c r="G40" t="s">
        <v>17</v>
      </c>
      <c r="H40" t="s">
        <v>25</v>
      </c>
      <c r="I40">
        <v>1152</v>
      </c>
      <c r="J40">
        <v>2</v>
      </c>
      <c r="K40">
        <v>0.13</v>
      </c>
      <c r="L40">
        <v>-297</v>
      </c>
      <c r="M40" t="s">
        <v>19</v>
      </c>
      <c r="N40">
        <v>2004.48</v>
      </c>
      <c r="O40" t="str">
        <f>TEXT(SalesData[[#This Row],[Order_Date]],"mmm")</f>
        <v>Feb</v>
      </c>
      <c r="P40">
        <f>YEAR(SalesData[[#This Row],[Order_Date]])</f>
        <v>2024</v>
      </c>
      <c r="Q40" t="str">
        <f>"Q"&amp;ROUNDUP(MONTH(SalesData[[#This Row],[Order_Date]])/3,0)</f>
        <v>Q1</v>
      </c>
      <c r="R40" s="2">
        <f>IFERROR(SalesData[[#This Row],[Profit]]/SalesData[[#This Row],[Sales]],0)</f>
        <v>-0.14816810344827586</v>
      </c>
      <c r="S40" s="2">
        <f>SalesData[[#This Row],[Price]]*SalesData[[#This Row],[Quantity]]*SalesData[[#This Row],[Discount]]</f>
        <v>299.52</v>
      </c>
      <c r="T40" s="2" t="str">
        <f>IF(SalesData[[#This Row],[Sales]]&gt;5000,"High",IF(SalesData[[#This Row],[Sales]]&gt;2000,"Medium","Low"))</f>
        <v>Medium</v>
      </c>
      <c r="U40" s="2" t="str">
        <f>IF(COUNTIFS(SalesData[Customer_ID],SalesData[[#This Row],[Customer_ID]])&gt;1,"Repeat","New")</f>
        <v>Repeat</v>
      </c>
      <c r="V40" s="2" t="str">
        <f>IF(SalesData[[#This Row],[Sales]]&gt;AVERAGE(SalesData[Sales]),"Above Avg","Below Avg")</f>
        <v>Below Avg</v>
      </c>
      <c r="W40" s="2" t="str">
        <f>IF(SalesData[[#This Row],[Profit]]&gt;0,"Profit","Loss")</f>
        <v>Loss</v>
      </c>
      <c r="X40" s="2">
        <f>RANK(SalesData[[#This Row],[Sales]],SalesData[Sales])</f>
        <v>430</v>
      </c>
    </row>
    <row r="41" spans="1:24" x14ac:dyDescent="0.3">
      <c r="A41">
        <v>40</v>
      </c>
      <c r="B41" s="1">
        <v>45331</v>
      </c>
      <c r="C41">
        <v>1027</v>
      </c>
      <c r="D41" t="s">
        <v>66</v>
      </c>
      <c r="E41" t="s">
        <v>24</v>
      </c>
      <c r="F41" t="s">
        <v>16</v>
      </c>
      <c r="G41" t="s">
        <v>17</v>
      </c>
      <c r="H41" t="s">
        <v>18</v>
      </c>
      <c r="I41">
        <v>1345</v>
      </c>
      <c r="J41">
        <v>4</v>
      </c>
      <c r="K41">
        <v>0.22</v>
      </c>
      <c r="L41">
        <v>1624</v>
      </c>
      <c r="M41" t="s">
        <v>31</v>
      </c>
      <c r="N41">
        <v>4196.3999999999996</v>
      </c>
      <c r="O41" t="str">
        <f>TEXT(SalesData[[#This Row],[Order_Date]],"mmm")</f>
        <v>Feb</v>
      </c>
      <c r="P41">
        <f>YEAR(SalesData[[#This Row],[Order_Date]])</f>
        <v>2024</v>
      </c>
      <c r="Q41" t="str">
        <f>"Q"&amp;ROUNDUP(MONTH(SalesData[[#This Row],[Order_Date]])/3,0)</f>
        <v>Q1</v>
      </c>
      <c r="R41" s="2">
        <f>IFERROR(SalesData[[#This Row],[Profit]]/SalesData[[#This Row],[Sales]],0)</f>
        <v>0.38699837956343536</v>
      </c>
      <c r="S41" s="2">
        <f>SalesData[[#This Row],[Price]]*SalesData[[#This Row],[Quantity]]*SalesData[[#This Row],[Discount]]</f>
        <v>1183.5999999999999</v>
      </c>
      <c r="T41" s="2" t="str">
        <f>IF(SalesData[[#This Row],[Sales]]&gt;5000,"High",IF(SalesData[[#This Row],[Sales]]&gt;2000,"Medium","Low"))</f>
        <v>Medium</v>
      </c>
      <c r="U41" s="2" t="str">
        <f>IF(COUNTIFS(SalesData[Customer_ID],SalesData[[#This Row],[Customer_ID]])&gt;1,"Repeat","New")</f>
        <v>Repeat</v>
      </c>
      <c r="V41" s="2" t="str">
        <f>IF(SalesData[[#This Row],[Sales]]&gt;AVERAGE(SalesData[Sales]),"Above Avg","Below Avg")</f>
        <v>Below Avg</v>
      </c>
      <c r="W41" s="2" t="str">
        <f>IF(SalesData[[#This Row],[Profit]]&gt;0,"Profit","Loss")</f>
        <v>Profit</v>
      </c>
      <c r="X41" s="2">
        <f>RANK(SalesData[[#This Row],[Sales]],SalesData[Sales])</f>
        <v>346</v>
      </c>
    </row>
    <row r="42" spans="1:24" x14ac:dyDescent="0.3">
      <c r="A42">
        <v>41</v>
      </c>
      <c r="B42" s="1">
        <v>45332</v>
      </c>
      <c r="C42">
        <v>1034</v>
      </c>
      <c r="D42" t="s">
        <v>67</v>
      </c>
      <c r="E42" t="s">
        <v>24</v>
      </c>
      <c r="F42" t="s">
        <v>28</v>
      </c>
      <c r="G42" t="s">
        <v>34</v>
      </c>
      <c r="H42" t="s">
        <v>25</v>
      </c>
      <c r="I42">
        <v>3274</v>
      </c>
      <c r="J42">
        <v>8</v>
      </c>
      <c r="K42">
        <v>0.25</v>
      </c>
      <c r="L42">
        <v>578</v>
      </c>
      <c r="M42" t="s">
        <v>26</v>
      </c>
      <c r="N42">
        <v>19644</v>
      </c>
      <c r="O42" t="str">
        <f>TEXT(SalesData[[#This Row],[Order_Date]],"mmm")</f>
        <v>Feb</v>
      </c>
      <c r="P42">
        <f>YEAR(SalesData[[#This Row],[Order_Date]])</f>
        <v>2024</v>
      </c>
      <c r="Q42" t="str">
        <f>"Q"&amp;ROUNDUP(MONTH(SalesData[[#This Row],[Order_Date]])/3,0)</f>
        <v>Q1</v>
      </c>
      <c r="R42" s="2">
        <f>IFERROR(SalesData[[#This Row],[Profit]]/SalesData[[#This Row],[Sales]],0)</f>
        <v>2.942374261861128E-2</v>
      </c>
      <c r="S42" s="2">
        <f>SalesData[[#This Row],[Price]]*SalesData[[#This Row],[Quantity]]*SalesData[[#This Row],[Discount]]</f>
        <v>6548</v>
      </c>
      <c r="T42" s="2" t="str">
        <f>IF(SalesData[[#This Row],[Sales]]&gt;5000,"High",IF(SalesData[[#This Row],[Sales]]&gt;2000,"Medium","Low"))</f>
        <v>High</v>
      </c>
      <c r="U42" s="2" t="str">
        <f>IF(COUNTIFS(SalesData[Customer_ID],SalesData[[#This Row],[Customer_ID]])&gt;1,"Repeat","New")</f>
        <v>Repeat</v>
      </c>
      <c r="V42" s="2" t="str">
        <f>IF(SalesData[[#This Row],[Sales]]&gt;AVERAGE(SalesData[Sales]),"Above Avg","Below Avg")</f>
        <v>Above Avg</v>
      </c>
      <c r="W42" s="2" t="str">
        <f>IF(SalesData[[#This Row],[Profit]]&gt;0,"Profit","Loss")</f>
        <v>Profit</v>
      </c>
      <c r="X42" s="2">
        <f>RANK(SalesData[[#This Row],[Sales]],SalesData[Sales])</f>
        <v>82</v>
      </c>
    </row>
    <row r="43" spans="1:24" x14ac:dyDescent="0.3">
      <c r="A43">
        <v>42</v>
      </c>
      <c r="B43" s="1">
        <v>45333</v>
      </c>
      <c r="C43">
        <v>1097</v>
      </c>
      <c r="D43" t="s">
        <v>68</v>
      </c>
      <c r="E43" t="s">
        <v>24</v>
      </c>
      <c r="F43" t="s">
        <v>16</v>
      </c>
      <c r="G43" t="s">
        <v>34</v>
      </c>
      <c r="H43" t="s">
        <v>37</v>
      </c>
      <c r="I43">
        <v>2350</v>
      </c>
      <c r="J43">
        <v>1</v>
      </c>
      <c r="K43">
        <v>0.22</v>
      </c>
      <c r="L43">
        <v>1840</v>
      </c>
      <c r="M43" t="s">
        <v>19</v>
      </c>
      <c r="N43">
        <v>1833</v>
      </c>
      <c r="O43" t="str">
        <f>TEXT(SalesData[[#This Row],[Order_Date]],"mmm")</f>
        <v>Feb</v>
      </c>
      <c r="P43">
        <f>YEAR(SalesData[[#This Row],[Order_Date]])</f>
        <v>2024</v>
      </c>
      <c r="Q43" t="str">
        <f>"Q"&amp;ROUNDUP(MONTH(SalesData[[#This Row],[Order_Date]])/3,0)</f>
        <v>Q1</v>
      </c>
      <c r="R43" s="2">
        <f>IFERROR(SalesData[[#This Row],[Profit]]/SalesData[[#This Row],[Sales]],0)</f>
        <v>1.0038188761593017</v>
      </c>
      <c r="S43" s="2">
        <f>SalesData[[#This Row],[Price]]*SalesData[[#This Row],[Quantity]]*SalesData[[#This Row],[Discount]]</f>
        <v>517</v>
      </c>
      <c r="T43" s="2" t="str">
        <f>IF(SalesData[[#This Row],[Sales]]&gt;5000,"High",IF(SalesData[[#This Row],[Sales]]&gt;2000,"Medium","Low"))</f>
        <v>Low</v>
      </c>
      <c r="U43" s="2" t="str">
        <f>IF(COUNTIFS(SalesData[Customer_ID],SalesData[[#This Row],[Customer_ID]])&gt;1,"Repeat","New")</f>
        <v>Repeat</v>
      </c>
      <c r="V43" s="2" t="str">
        <f>IF(SalesData[[#This Row],[Sales]]&gt;AVERAGE(SalesData[Sales]),"Above Avg","Below Avg")</f>
        <v>Below Avg</v>
      </c>
      <c r="W43" s="2" t="str">
        <f>IF(SalesData[[#This Row],[Profit]]&gt;0,"Profit","Loss")</f>
        <v>Profit</v>
      </c>
      <c r="X43" s="2">
        <f>RANK(SalesData[[#This Row],[Sales]],SalesData[Sales])</f>
        <v>439</v>
      </c>
    </row>
    <row r="44" spans="1:24" x14ac:dyDescent="0.3">
      <c r="A44">
        <v>43</v>
      </c>
      <c r="B44" s="1">
        <v>45334</v>
      </c>
      <c r="C44">
        <v>1076</v>
      </c>
      <c r="D44" t="s">
        <v>69</v>
      </c>
      <c r="E44" t="s">
        <v>15</v>
      </c>
      <c r="F44" t="s">
        <v>28</v>
      </c>
      <c r="G44" t="s">
        <v>17</v>
      </c>
      <c r="H44" t="s">
        <v>25</v>
      </c>
      <c r="I44">
        <v>1934</v>
      </c>
      <c r="J44">
        <v>8</v>
      </c>
      <c r="K44">
        <v>0.24</v>
      </c>
      <c r="L44">
        <v>1168</v>
      </c>
      <c r="M44" t="s">
        <v>26</v>
      </c>
      <c r="N44">
        <v>11758.72</v>
      </c>
      <c r="O44" t="str">
        <f>TEXT(SalesData[[#This Row],[Order_Date]],"mmm")</f>
        <v>Feb</v>
      </c>
      <c r="P44">
        <f>YEAR(SalesData[[#This Row],[Order_Date]])</f>
        <v>2024</v>
      </c>
      <c r="Q44" t="str">
        <f>"Q"&amp;ROUNDUP(MONTH(SalesData[[#This Row],[Order_Date]])/3,0)</f>
        <v>Q1</v>
      </c>
      <c r="R44" s="2">
        <f>IFERROR(SalesData[[#This Row],[Profit]]/SalesData[[#This Row],[Sales]],0)</f>
        <v>9.933053937843575E-2</v>
      </c>
      <c r="S44" s="2">
        <f>SalesData[[#This Row],[Price]]*SalesData[[#This Row],[Quantity]]*SalesData[[#This Row],[Discount]]</f>
        <v>3713.2799999999997</v>
      </c>
      <c r="T44" s="2" t="str">
        <f>IF(SalesData[[#This Row],[Sales]]&gt;5000,"High",IF(SalesData[[#This Row],[Sales]]&gt;2000,"Medium","Low"))</f>
        <v>High</v>
      </c>
      <c r="U44" s="2" t="str">
        <f>IF(COUNTIFS(SalesData[Customer_ID],SalesData[[#This Row],[Customer_ID]])&gt;1,"Repeat","New")</f>
        <v>Repeat</v>
      </c>
      <c r="V44" s="2" t="str">
        <f>IF(SalesData[[#This Row],[Sales]]&gt;AVERAGE(SalesData[Sales]),"Above Avg","Below Avg")</f>
        <v>Above Avg</v>
      </c>
      <c r="W44" s="2" t="str">
        <f>IF(SalesData[[#This Row],[Profit]]&gt;0,"Profit","Loss")</f>
        <v>Profit</v>
      </c>
      <c r="X44" s="2">
        <f>RANK(SalesData[[#This Row],[Sales]],SalesData[Sales])</f>
        <v>175</v>
      </c>
    </row>
    <row r="45" spans="1:24" x14ac:dyDescent="0.3">
      <c r="A45">
        <v>44</v>
      </c>
      <c r="B45" s="1">
        <v>45335</v>
      </c>
      <c r="C45">
        <v>1040</v>
      </c>
      <c r="D45" t="s">
        <v>70</v>
      </c>
      <c r="E45" t="s">
        <v>24</v>
      </c>
      <c r="F45" t="s">
        <v>33</v>
      </c>
      <c r="G45" t="s">
        <v>17</v>
      </c>
      <c r="H45" t="s">
        <v>37</v>
      </c>
      <c r="I45">
        <v>3605</v>
      </c>
      <c r="J45">
        <v>2</v>
      </c>
      <c r="K45">
        <v>0.22</v>
      </c>
      <c r="L45">
        <v>1510</v>
      </c>
      <c r="M45" t="s">
        <v>26</v>
      </c>
      <c r="N45">
        <v>5623.8</v>
      </c>
      <c r="O45" t="str">
        <f>TEXT(SalesData[[#This Row],[Order_Date]],"mmm")</f>
        <v>Feb</v>
      </c>
      <c r="P45">
        <f>YEAR(SalesData[[#This Row],[Order_Date]])</f>
        <v>2024</v>
      </c>
      <c r="Q45" t="str">
        <f>"Q"&amp;ROUNDUP(MONTH(SalesData[[#This Row],[Order_Date]])/3,0)</f>
        <v>Q1</v>
      </c>
      <c r="R45" s="2">
        <f>IFERROR(SalesData[[#This Row],[Profit]]/SalesData[[#This Row],[Sales]],0)</f>
        <v>0.26850172481240442</v>
      </c>
      <c r="S45" s="2">
        <f>SalesData[[#This Row],[Price]]*SalesData[[#This Row],[Quantity]]*SalesData[[#This Row],[Discount]]</f>
        <v>1586.2</v>
      </c>
      <c r="T45" s="2" t="str">
        <f>IF(SalesData[[#This Row],[Sales]]&gt;5000,"High",IF(SalesData[[#This Row],[Sales]]&gt;2000,"Medium","Low"))</f>
        <v>High</v>
      </c>
      <c r="U45" s="2" t="str">
        <f>IF(COUNTIFS(SalesData[Customer_ID],SalesData[[#This Row],[Customer_ID]])&gt;1,"Repeat","New")</f>
        <v>Repeat</v>
      </c>
      <c r="V45" s="2" t="str">
        <f>IF(SalesData[[#This Row],[Sales]]&gt;AVERAGE(SalesData[Sales]),"Above Avg","Below Avg")</f>
        <v>Below Avg</v>
      </c>
      <c r="W45" s="2" t="str">
        <f>IF(SalesData[[#This Row],[Profit]]&gt;0,"Profit","Loss")</f>
        <v>Profit</v>
      </c>
      <c r="X45" s="2">
        <f>RANK(SalesData[[#This Row],[Sales]],SalesData[Sales])</f>
        <v>305</v>
      </c>
    </row>
    <row r="46" spans="1:24" x14ac:dyDescent="0.3">
      <c r="A46">
        <v>45</v>
      </c>
      <c r="B46" s="1">
        <v>45336</v>
      </c>
      <c r="C46">
        <v>1003</v>
      </c>
      <c r="D46" t="s">
        <v>71</v>
      </c>
      <c r="E46" t="s">
        <v>24</v>
      </c>
      <c r="F46" t="s">
        <v>21</v>
      </c>
      <c r="G46" t="s">
        <v>34</v>
      </c>
      <c r="H46" t="s">
        <v>29</v>
      </c>
      <c r="I46">
        <v>4693</v>
      </c>
      <c r="J46">
        <v>8</v>
      </c>
      <c r="K46">
        <v>0.04</v>
      </c>
      <c r="L46">
        <v>1809</v>
      </c>
      <c r="M46" t="s">
        <v>19</v>
      </c>
      <c r="N46">
        <v>36042.239999999998</v>
      </c>
      <c r="O46" t="str">
        <f>TEXT(SalesData[[#This Row],[Order_Date]],"mmm")</f>
        <v>Feb</v>
      </c>
      <c r="P46">
        <f>YEAR(SalesData[[#This Row],[Order_Date]])</f>
        <v>2024</v>
      </c>
      <c r="Q46" t="str">
        <f>"Q"&amp;ROUNDUP(MONTH(SalesData[[#This Row],[Order_Date]])/3,0)</f>
        <v>Q1</v>
      </c>
      <c r="R46" s="2">
        <f>IFERROR(SalesData[[#This Row],[Profit]]/SalesData[[#This Row],[Sales]],0)</f>
        <v>5.019110909865758E-2</v>
      </c>
      <c r="S46" s="2">
        <f>SalesData[[#This Row],[Price]]*SalesData[[#This Row],[Quantity]]*SalesData[[#This Row],[Discount]]</f>
        <v>1501.76</v>
      </c>
      <c r="T46" s="2" t="str">
        <f>IF(SalesData[[#This Row],[Sales]]&gt;5000,"High",IF(SalesData[[#This Row],[Sales]]&gt;2000,"Medium","Low"))</f>
        <v>High</v>
      </c>
      <c r="U46" s="2" t="str">
        <f>IF(COUNTIFS(SalesData[Customer_ID],SalesData[[#This Row],[Customer_ID]])&gt;1,"Repeat","New")</f>
        <v>Repeat</v>
      </c>
      <c r="V46" s="2" t="str">
        <f>IF(SalesData[[#This Row],[Sales]]&gt;AVERAGE(SalesData[Sales]),"Above Avg","Below Avg")</f>
        <v>Above Avg</v>
      </c>
      <c r="W46" s="2" t="str">
        <f>IF(SalesData[[#This Row],[Profit]]&gt;0,"Profit","Loss")</f>
        <v>Profit</v>
      </c>
      <c r="X46" s="2">
        <f>RANK(SalesData[[#This Row],[Sales]],SalesData[Sales])</f>
        <v>7</v>
      </c>
    </row>
    <row r="47" spans="1:24" x14ac:dyDescent="0.3">
      <c r="A47">
        <v>46</v>
      </c>
      <c r="B47" s="1">
        <v>45337</v>
      </c>
      <c r="C47">
        <v>1069</v>
      </c>
      <c r="D47" t="s">
        <v>72</v>
      </c>
      <c r="E47" t="s">
        <v>15</v>
      </c>
      <c r="F47" t="s">
        <v>16</v>
      </c>
      <c r="G47" t="s">
        <v>34</v>
      </c>
      <c r="H47" t="s">
        <v>37</v>
      </c>
      <c r="I47">
        <v>4092</v>
      </c>
      <c r="J47">
        <v>2</v>
      </c>
      <c r="K47">
        <v>0.23</v>
      </c>
      <c r="L47">
        <v>779</v>
      </c>
      <c r="M47" t="s">
        <v>26</v>
      </c>
      <c r="N47">
        <v>6301.68</v>
      </c>
      <c r="O47" t="str">
        <f>TEXT(SalesData[[#This Row],[Order_Date]],"mmm")</f>
        <v>Feb</v>
      </c>
      <c r="P47">
        <f>YEAR(SalesData[[#This Row],[Order_Date]])</f>
        <v>2024</v>
      </c>
      <c r="Q47" t="str">
        <f>"Q"&amp;ROUNDUP(MONTH(SalesData[[#This Row],[Order_Date]])/3,0)</f>
        <v>Q1</v>
      </c>
      <c r="R47" s="2">
        <f>IFERROR(SalesData[[#This Row],[Profit]]/SalesData[[#This Row],[Sales]],0)</f>
        <v>0.12361782889642127</v>
      </c>
      <c r="S47" s="2">
        <f>SalesData[[#This Row],[Price]]*SalesData[[#This Row],[Quantity]]*SalesData[[#This Row],[Discount]]</f>
        <v>1882.3200000000002</v>
      </c>
      <c r="T47" s="2" t="str">
        <f>IF(SalesData[[#This Row],[Sales]]&gt;5000,"High",IF(SalesData[[#This Row],[Sales]]&gt;2000,"Medium","Low"))</f>
        <v>High</v>
      </c>
      <c r="U47" s="2" t="str">
        <f>IF(COUNTIFS(SalesData[Customer_ID],SalesData[[#This Row],[Customer_ID]])&gt;1,"Repeat","New")</f>
        <v>Repeat</v>
      </c>
      <c r="V47" s="2" t="str">
        <f>IF(SalesData[[#This Row],[Sales]]&gt;AVERAGE(SalesData[Sales]),"Above Avg","Below Avg")</f>
        <v>Below Avg</v>
      </c>
      <c r="W47" s="2" t="str">
        <f>IF(SalesData[[#This Row],[Profit]]&gt;0,"Profit","Loss")</f>
        <v>Profit</v>
      </c>
      <c r="X47" s="2">
        <f>RANK(SalesData[[#This Row],[Sales]],SalesData[Sales])</f>
        <v>290</v>
      </c>
    </row>
    <row r="48" spans="1:24" x14ac:dyDescent="0.3">
      <c r="A48">
        <v>47</v>
      </c>
      <c r="B48" s="1">
        <v>45338</v>
      </c>
      <c r="C48">
        <v>1064</v>
      </c>
      <c r="D48" t="s">
        <v>73</v>
      </c>
      <c r="E48" t="s">
        <v>24</v>
      </c>
      <c r="F48" t="s">
        <v>28</v>
      </c>
      <c r="G48" t="s">
        <v>17</v>
      </c>
      <c r="H48" t="s">
        <v>29</v>
      </c>
      <c r="I48">
        <v>1788</v>
      </c>
      <c r="J48">
        <v>7</v>
      </c>
      <c r="K48">
        <v>0.06</v>
      </c>
      <c r="L48">
        <v>-196</v>
      </c>
      <c r="M48" t="s">
        <v>26</v>
      </c>
      <c r="N48">
        <v>11765.039999999901</v>
      </c>
      <c r="O48" t="str">
        <f>TEXT(SalesData[[#This Row],[Order_Date]],"mmm")</f>
        <v>Feb</v>
      </c>
      <c r="P48">
        <f>YEAR(SalesData[[#This Row],[Order_Date]])</f>
        <v>2024</v>
      </c>
      <c r="Q48" t="str">
        <f>"Q"&amp;ROUNDUP(MONTH(SalesData[[#This Row],[Order_Date]])/3,0)</f>
        <v>Q1</v>
      </c>
      <c r="R48" s="2">
        <f>IFERROR(SalesData[[#This Row],[Profit]]/SalesData[[#This Row],[Sales]],0)</f>
        <v>-1.6659526869437048E-2</v>
      </c>
      <c r="S48" s="2">
        <f>SalesData[[#This Row],[Price]]*SalesData[[#This Row],[Quantity]]*SalesData[[#This Row],[Discount]]</f>
        <v>750.95999999999992</v>
      </c>
      <c r="T48" s="2" t="str">
        <f>IF(SalesData[[#This Row],[Sales]]&gt;5000,"High",IF(SalesData[[#This Row],[Sales]]&gt;2000,"Medium","Low"))</f>
        <v>High</v>
      </c>
      <c r="U48" s="2" t="str">
        <f>IF(COUNTIFS(SalesData[Customer_ID],SalesData[[#This Row],[Customer_ID]])&gt;1,"Repeat","New")</f>
        <v>Repeat</v>
      </c>
      <c r="V48" s="2" t="str">
        <f>IF(SalesData[[#This Row],[Sales]]&gt;AVERAGE(SalesData[Sales]),"Above Avg","Below Avg")</f>
        <v>Above Avg</v>
      </c>
      <c r="W48" s="2" t="str">
        <f>IF(SalesData[[#This Row],[Profit]]&gt;0,"Profit","Loss")</f>
        <v>Loss</v>
      </c>
      <c r="X48" s="2">
        <f>RANK(SalesData[[#This Row],[Sales]],SalesData[Sales])</f>
        <v>174</v>
      </c>
    </row>
    <row r="49" spans="1:24" x14ac:dyDescent="0.3">
      <c r="A49">
        <v>48</v>
      </c>
      <c r="B49" s="1">
        <v>45339</v>
      </c>
      <c r="C49">
        <v>1075</v>
      </c>
      <c r="D49" t="s">
        <v>74</v>
      </c>
      <c r="E49" t="s">
        <v>24</v>
      </c>
      <c r="F49" t="s">
        <v>28</v>
      </c>
      <c r="G49" t="s">
        <v>22</v>
      </c>
      <c r="H49" t="s">
        <v>37</v>
      </c>
      <c r="I49">
        <v>343</v>
      </c>
      <c r="J49">
        <v>3</v>
      </c>
      <c r="K49">
        <v>0.03</v>
      </c>
      <c r="L49">
        <v>1062</v>
      </c>
      <c r="M49" t="s">
        <v>19</v>
      </c>
      <c r="N49">
        <v>998.13</v>
      </c>
      <c r="O49" t="str">
        <f>TEXT(SalesData[[#This Row],[Order_Date]],"mmm")</f>
        <v>Feb</v>
      </c>
      <c r="P49">
        <f>YEAR(SalesData[[#This Row],[Order_Date]])</f>
        <v>2024</v>
      </c>
      <c r="Q49" t="str">
        <f>"Q"&amp;ROUNDUP(MONTH(SalesData[[#This Row],[Order_Date]])/3,0)</f>
        <v>Q1</v>
      </c>
      <c r="R49" s="2">
        <f>IFERROR(SalesData[[#This Row],[Profit]]/SalesData[[#This Row],[Sales]],0)</f>
        <v>1.0639896606654444</v>
      </c>
      <c r="S49" s="2">
        <f>SalesData[[#This Row],[Price]]*SalesData[[#This Row],[Quantity]]*SalesData[[#This Row],[Discount]]</f>
        <v>30.869999999999997</v>
      </c>
      <c r="T49" s="2" t="str">
        <f>IF(SalesData[[#This Row],[Sales]]&gt;5000,"High",IF(SalesData[[#This Row],[Sales]]&gt;2000,"Medium","Low"))</f>
        <v>Low</v>
      </c>
      <c r="U49" s="2" t="str">
        <f>IF(COUNTIFS(SalesData[Customer_ID],SalesData[[#This Row],[Customer_ID]])&gt;1,"Repeat","New")</f>
        <v>Repeat</v>
      </c>
      <c r="V49" s="2" t="str">
        <f>IF(SalesData[[#This Row],[Sales]]&gt;AVERAGE(SalesData[Sales]),"Above Avg","Below Avg")</f>
        <v>Below Avg</v>
      </c>
      <c r="W49" s="2" t="str">
        <f>IF(SalesData[[#This Row],[Profit]]&gt;0,"Profit","Loss")</f>
        <v>Profit</v>
      </c>
      <c r="X49" s="2">
        <f>RANK(SalesData[[#This Row],[Sales]],SalesData[Sales])</f>
        <v>479</v>
      </c>
    </row>
    <row r="50" spans="1:24" x14ac:dyDescent="0.3">
      <c r="A50">
        <v>49</v>
      </c>
      <c r="B50" s="1">
        <v>45340</v>
      </c>
      <c r="C50">
        <v>1034</v>
      </c>
      <c r="D50" t="s">
        <v>75</v>
      </c>
      <c r="E50" t="s">
        <v>15</v>
      </c>
      <c r="F50" t="s">
        <v>16</v>
      </c>
      <c r="G50" t="s">
        <v>17</v>
      </c>
      <c r="H50" t="s">
        <v>29</v>
      </c>
      <c r="I50">
        <v>1734</v>
      </c>
      <c r="J50">
        <v>6</v>
      </c>
      <c r="K50">
        <v>0.27</v>
      </c>
      <c r="L50">
        <v>318</v>
      </c>
      <c r="M50" t="s">
        <v>19</v>
      </c>
      <c r="N50">
        <v>7594.92</v>
      </c>
      <c r="O50" t="str">
        <f>TEXT(SalesData[[#This Row],[Order_Date]],"mmm")</f>
        <v>Feb</v>
      </c>
      <c r="P50">
        <f>YEAR(SalesData[[#This Row],[Order_Date]])</f>
        <v>2024</v>
      </c>
      <c r="Q50" t="str">
        <f>"Q"&amp;ROUNDUP(MONTH(SalesData[[#This Row],[Order_Date]])/3,0)</f>
        <v>Q1</v>
      </c>
      <c r="R50" s="2">
        <f>IFERROR(SalesData[[#This Row],[Profit]]/SalesData[[#This Row],[Sales]],0)</f>
        <v>4.1870092114202652E-2</v>
      </c>
      <c r="S50" s="2">
        <f>SalesData[[#This Row],[Price]]*SalesData[[#This Row],[Quantity]]*SalesData[[#This Row],[Discount]]</f>
        <v>2809.0800000000004</v>
      </c>
      <c r="T50" s="2" t="str">
        <f>IF(SalesData[[#This Row],[Sales]]&gt;5000,"High",IF(SalesData[[#This Row],[Sales]]&gt;2000,"Medium","Low"))</f>
        <v>High</v>
      </c>
      <c r="U50" s="2" t="str">
        <f>IF(COUNTIFS(SalesData[Customer_ID],SalesData[[#This Row],[Customer_ID]])&gt;1,"Repeat","New")</f>
        <v>Repeat</v>
      </c>
      <c r="V50" s="2" t="str">
        <f>IF(SalesData[[#This Row],[Sales]]&gt;AVERAGE(SalesData[Sales]),"Above Avg","Below Avg")</f>
        <v>Below Avg</v>
      </c>
      <c r="W50" s="2" t="str">
        <f>IF(SalesData[[#This Row],[Profit]]&gt;0,"Profit","Loss")</f>
        <v>Profit</v>
      </c>
      <c r="X50" s="2">
        <f>RANK(SalesData[[#This Row],[Sales]],SalesData[Sales])</f>
        <v>263</v>
      </c>
    </row>
    <row r="51" spans="1:24" x14ac:dyDescent="0.3">
      <c r="A51">
        <v>50</v>
      </c>
      <c r="B51" s="1">
        <v>45341</v>
      </c>
      <c r="C51">
        <v>1058</v>
      </c>
      <c r="D51" t="s">
        <v>76</v>
      </c>
      <c r="E51" t="s">
        <v>15</v>
      </c>
      <c r="F51" t="s">
        <v>21</v>
      </c>
      <c r="G51" t="s">
        <v>34</v>
      </c>
      <c r="H51" t="s">
        <v>37</v>
      </c>
      <c r="I51">
        <v>2310</v>
      </c>
      <c r="J51">
        <v>7</v>
      </c>
      <c r="K51">
        <v>0.18</v>
      </c>
      <c r="L51">
        <v>-22</v>
      </c>
      <c r="M51" t="s">
        <v>31</v>
      </c>
      <c r="N51">
        <v>13259.4</v>
      </c>
      <c r="O51" t="str">
        <f>TEXT(SalesData[[#This Row],[Order_Date]],"mmm")</f>
        <v>Feb</v>
      </c>
      <c r="P51">
        <f>YEAR(SalesData[[#This Row],[Order_Date]])</f>
        <v>2024</v>
      </c>
      <c r="Q51" t="str">
        <f>"Q"&amp;ROUNDUP(MONTH(SalesData[[#This Row],[Order_Date]])/3,0)</f>
        <v>Q1</v>
      </c>
      <c r="R51" s="2">
        <f>IFERROR(SalesData[[#This Row],[Profit]]/SalesData[[#This Row],[Sales]],0)</f>
        <v>-1.6592002654720426E-3</v>
      </c>
      <c r="S51" s="2">
        <f>SalesData[[#This Row],[Price]]*SalesData[[#This Row],[Quantity]]*SalesData[[#This Row],[Discount]]</f>
        <v>2910.6</v>
      </c>
      <c r="T51" s="2" t="str">
        <f>IF(SalesData[[#This Row],[Sales]]&gt;5000,"High",IF(SalesData[[#This Row],[Sales]]&gt;2000,"Medium","Low"))</f>
        <v>High</v>
      </c>
      <c r="U51" s="2" t="str">
        <f>IF(COUNTIFS(SalesData[Customer_ID],SalesData[[#This Row],[Customer_ID]])&gt;1,"Repeat","New")</f>
        <v>Repeat</v>
      </c>
      <c r="V51" s="2" t="str">
        <f>IF(SalesData[[#This Row],[Sales]]&gt;AVERAGE(SalesData[Sales]),"Above Avg","Below Avg")</f>
        <v>Above Avg</v>
      </c>
      <c r="W51" s="2" t="str">
        <f>IF(SalesData[[#This Row],[Profit]]&gt;0,"Profit","Loss")</f>
        <v>Loss</v>
      </c>
      <c r="X51" s="2">
        <f>RANK(SalesData[[#This Row],[Sales]],SalesData[Sales])</f>
        <v>157</v>
      </c>
    </row>
    <row r="52" spans="1:24" x14ac:dyDescent="0.3">
      <c r="A52">
        <v>51</v>
      </c>
      <c r="B52" s="1">
        <v>45342</v>
      </c>
      <c r="C52">
        <v>1010</v>
      </c>
      <c r="D52" t="s">
        <v>77</v>
      </c>
      <c r="E52" t="s">
        <v>15</v>
      </c>
      <c r="F52" t="s">
        <v>21</v>
      </c>
      <c r="G52" t="s">
        <v>22</v>
      </c>
      <c r="H52" t="s">
        <v>29</v>
      </c>
      <c r="I52">
        <v>274</v>
      </c>
      <c r="J52">
        <v>6</v>
      </c>
      <c r="K52">
        <v>0.05</v>
      </c>
      <c r="L52">
        <v>-327</v>
      </c>
      <c r="M52" t="s">
        <v>31</v>
      </c>
      <c r="N52">
        <v>1561.8</v>
      </c>
      <c r="O52" t="str">
        <f>TEXT(SalesData[[#This Row],[Order_Date]],"mmm")</f>
        <v>Feb</v>
      </c>
      <c r="P52">
        <f>YEAR(SalesData[[#This Row],[Order_Date]])</f>
        <v>2024</v>
      </c>
      <c r="Q52" t="str">
        <f>"Q"&amp;ROUNDUP(MONTH(SalesData[[#This Row],[Order_Date]])/3,0)</f>
        <v>Q1</v>
      </c>
      <c r="R52" s="2">
        <f>IFERROR(SalesData[[#This Row],[Profit]]/SalesData[[#This Row],[Sales]],0)</f>
        <v>-0.20937379946215906</v>
      </c>
      <c r="S52" s="2">
        <f>SalesData[[#This Row],[Price]]*SalesData[[#This Row],[Quantity]]*SalesData[[#This Row],[Discount]]</f>
        <v>82.2</v>
      </c>
      <c r="T52" s="2" t="str">
        <f>IF(SalesData[[#This Row],[Sales]]&gt;5000,"High",IF(SalesData[[#This Row],[Sales]]&gt;2000,"Medium","Low"))</f>
        <v>Low</v>
      </c>
      <c r="U52" s="2" t="str">
        <f>IF(COUNTIFS(SalesData[Customer_ID],SalesData[[#This Row],[Customer_ID]])&gt;1,"Repeat","New")</f>
        <v>Repeat</v>
      </c>
      <c r="V52" s="2" t="str">
        <f>IF(SalesData[[#This Row],[Sales]]&gt;AVERAGE(SalesData[Sales]),"Above Avg","Below Avg")</f>
        <v>Below Avg</v>
      </c>
      <c r="W52" s="2" t="str">
        <f>IF(SalesData[[#This Row],[Profit]]&gt;0,"Profit","Loss")</f>
        <v>Loss</v>
      </c>
      <c r="X52" s="2">
        <f>RANK(SalesData[[#This Row],[Sales]],SalesData[Sales])</f>
        <v>455</v>
      </c>
    </row>
    <row r="53" spans="1:24" x14ac:dyDescent="0.3">
      <c r="A53">
        <v>52</v>
      </c>
      <c r="B53" s="1">
        <v>45343</v>
      </c>
      <c r="C53">
        <v>1022</v>
      </c>
      <c r="D53" t="s">
        <v>78</v>
      </c>
      <c r="E53" t="s">
        <v>24</v>
      </c>
      <c r="F53" t="s">
        <v>28</v>
      </c>
      <c r="G53" t="s">
        <v>22</v>
      </c>
      <c r="H53" t="s">
        <v>18</v>
      </c>
      <c r="I53">
        <v>2319</v>
      </c>
      <c r="J53">
        <v>5</v>
      </c>
      <c r="K53">
        <v>0.19</v>
      </c>
      <c r="L53">
        <v>51</v>
      </c>
      <c r="M53" t="s">
        <v>31</v>
      </c>
      <c r="N53">
        <v>9391.9500000000007</v>
      </c>
      <c r="O53" t="str">
        <f>TEXT(SalesData[[#This Row],[Order_Date]],"mmm")</f>
        <v>Feb</v>
      </c>
      <c r="P53">
        <f>YEAR(SalesData[[#This Row],[Order_Date]])</f>
        <v>2024</v>
      </c>
      <c r="Q53" t="str">
        <f>"Q"&amp;ROUNDUP(MONTH(SalesData[[#This Row],[Order_Date]])/3,0)</f>
        <v>Q1</v>
      </c>
      <c r="R53" s="2">
        <f>IFERROR(SalesData[[#This Row],[Profit]]/SalesData[[#This Row],[Sales]],0)</f>
        <v>5.4301822305272062E-3</v>
      </c>
      <c r="S53" s="2">
        <f>SalesData[[#This Row],[Price]]*SalesData[[#This Row],[Quantity]]*SalesData[[#This Row],[Discount]]</f>
        <v>2203.0500000000002</v>
      </c>
      <c r="T53" s="2" t="str">
        <f>IF(SalesData[[#This Row],[Sales]]&gt;5000,"High",IF(SalesData[[#This Row],[Sales]]&gt;2000,"Medium","Low"))</f>
        <v>High</v>
      </c>
      <c r="U53" s="2" t="str">
        <f>IF(COUNTIFS(SalesData[Customer_ID],SalesData[[#This Row],[Customer_ID]])&gt;1,"Repeat","New")</f>
        <v>Repeat</v>
      </c>
      <c r="V53" s="2" t="str">
        <f>IF(SalesData[[#This Row],[Sales]]&gt;AVERAGE(SalesData[Sales]),"Above Avg","Below Avg")</f>
        <v>Below Avg</v>
      </c>
      <c r="W53" s="2" t="str">
        <f>IF(SalesData[[#This Row],[Profit]]&gt;0,"Profit","Loss")</f>
        <v>Profit</v>
      </c>
      <c r="X53" s="2">
        <f>RANK(SalesData[[#This Row],[Sales]],SalesData[Sales])</f>
        <v>222</v>
      </c>
    </row>
    <row r="54" spans="1:24" x14ac:dyDescent="0.3">
      <c r="A54">
        <v>53</v>
      </c>
      <c r="B54" s="1">
        <v>45344</v>
      </c>
      <c r="C54">
        <v>1077</v>
      </c>
      <c r="D54" t="s">
        <v>79</v>
      </c>
      <c r="E54" t="s">
        <v>24</v>
      </c>
      <c r="F54" t="s">
        <v>33</v>
      </c>
      <c r="G54" t="s">
        <v>17</v>
      </c>
      <c r="H54" t="s">
        <v>29</v>
      </c>
      <c r="I54">
        <v>3756</v>
      </c>
      <c r="J54">
        <v>9</v>
      </c>
      <c r="K54">
        <v>0.1</v>
      </c>
      <c r="L54">
        <v>1822</v>
      </c>
      <c r="M54" t="s">
        <v>26</v>
      </c>
      <c r="N54">
        <v>30423.599999999999</v>
      </c>
      <c r="O54" t="str">
        <f>TEXT(SalesData[[#This Row],[Order_Date]],"mmm")</f>
        <v>Feb</v>
      </c>
      <c r="P54">
        <f>YEAR(SalesData[[#This Row],[Order_Date]])</f>
        <v>2024</v>
      </c>
      <c r="Q54" t="str">
        <f>"Q"&amp;ROUNDUP(MONTH(SalesData[[#This Row],[Order_Date]])/3,0)</f>
        <v>Q1</v>
      </c>
      <c r="R54" s="2">
        <f>IFERROR(SalesData[[#This Row],[Profit]]/SalesData[[#This Row],[Sales]],0)</f>
        <v>5.9887718744658758E-2</v>
      </c>
      <c r="S54" s="2">
        <f>SalesData[[#This Row],[Price]]*SalesData[[#This Row],[Quantity]]*SalesData[[#This Row],[Discount]]</f>
        <v>3380.4</v>
      </c>
      <c r="T54" s="2" t="str">
        <f>IF(SalesData[[#This Row],[Sales]]&gt;5000,"High",IF(SalesData[[#This Row],[Sales]]&gt;2000,"Medium","Low"))</f>
        <v>High</v>
      </c>
      <c r="U54" s="2" t="str">
        <f>IF(COUNTIFS(SalesData[Customer_ID],SalesData[[#This Row],[Customer_ID]])&gt;1,"Repeat","New")</f>
        <v>Repeat</v>
      </c>
      <c r="V54" s="2" t="str">
        <f>IF(SalesData[[#This Row],[Sales]]&gt;AVERAGE(SalesData[Sales]),"Above Avg","Below Avg")</f>
        <v>Above Avg</v>
      </c>
      <c r="W54" s="2" t="str">
        <f>IF(SalesData[[#This Row],[Profit]]&gt;0,"Profit","Loss")</f>
        <v>Profit</v>
      </c>
      <c r="X54" s="2">
        <f>RANK(SalesData[[#This Row],[Sales]],SalesData[Sales])</f>
        <v>23</v>
      </c>
    </row>
    <row r="55" spans="1:24" x14ac:dyDescent="0.3">
      <c r="A55">
        <v>54</v>
      </c>
      <c r="B55" s="1">
        <v>45345</v>
      </c>
      <c r="C55">
        <v>1018</v>
      </c>
      <c r="D55" t="s">
        <v>80</v>
      </c>
      <c r="E55" t="s">
        <v>24</v>
      </c>
      <c r="F55" t="s">
        <v>33</v>
      </c>
      <c r="G55" t="s">
        <v>34</v>
      </c>
      <c r="H55" t="s">
        <v>25</v>
      </c>
      <c r="I55">
        <v>366</v>
      </c>
      <c r="J55">
        <v>9</v>
      </c>
      <c r="K55">
        <v>0.04</v>
      </c>
      <c r="L55">
        <v>-461</v>
      </c>
      <c r="M55" t="s">
        <v>19</v>
      </c>
      <c r="N55">
        <v>3162.24</v>
      </c>
      <c r="O55" t="str">
        <f>TEXT(SalesData[[#This Row],[Order_Date]],"mmm")</f>
        <v>Feb</v>
      </c>
      <c r="P55">
        <f>YEAR(SalesData[[#This Row],[Order_Date]])</f>
        <v>2024</v>
      </c>
      <c r="Q55" t="str">
        <f>"Q"&amp;ROUNDUP(MONTH(SalesData[[#This Row],[Order_Date]])/3,0)</f>
        <v>Q1</v>
      </c>
      <c r="R55" s="2">
        <f>IFERROR(SalesData[[#This Row],[Profit]]/SalesData[[#This Row],[Sales]],0)</f>
        <v>-0.14578273628820079</v>
      </c>
      <c r="S55" s="2">
        <f>SalesData[[#This Row],[Price]]*SalesData[[#This Row],[Quantity]]*SalesData[[#This Row],[Discount]]</f>
        <v>131.76</v>
      </c>
      <c r="T55" s="2" t="str">
        <f>IF(SalesData[[#This Row],[Sales]]&gt;5000,"High",IF(SalesData[[#This Row],[Sales]]&gt;2000,"Medium","Low"))</f>
        <v>Medium</v>
      </c>
      <c r="U55" s="2" t="str">
        <f>IF(COUNTIFS(SalesData[Customer_ID],SalesData[[#This Row],[Customer_ID]])&gt;1,"Repeat","New")</f>
        <v>Repeat</v>
      </c>
      <c r="V55" s="2" t="str">
        <f>IF(SalesData[[#This Row],[Sales]]&gt;AVERAGE(SalesData[Sales]),"Above Avg","Below Avg")</f>
        <v>Below Avg</v>
      </c>
      <c r="W55" s="2" t="str">
        <f>IF(SalesData[[#This Row],[Profit]]&gt;0,"Profit","Loss")</f>
        <v>Loss</v>
      </c>
      <c r="X55" s="2">
        <f>RANK(SalesData[[#This Row],[Sales]],SalesData[Sales])</f>
        <v>388</v>
      </c>
    </row>
    <row r="56" spans="1:24" x14ac:dyDescent="0.3">
      <c r="A56">
        <v>55</v>
      </c>
      <c r="B56" s="1">
        <v>45346</v>
      </c>
      <c r="C56">
        <v>1015</v>
      </c>
      <c r="D56" t="s">
        <v>81</v>
      </c>
      <c r="E56" t="s">
        <v>24</v>
      </c>
      <c r="F56" t="s">
        <v>33</v>
      </c>
      <c r="G56" t="s">
        <v>22</v>
      </c>
      <c r="H56" t="s">
        <v>18</v>
      </c>
      <c r="I56">
        <v>1482</v>
      </c>
      <c r="J56">
        <v>3</v>
      </c>
      <c r="K56">
        <v>0.24</v>
      </c>
      <c r="L56">
        <v>1102</v>
      </c>
      <c r="M56" t="s">
        <v>31</v>
      </c>
      <c r="N56">
        <v>3378.96</v>
      </c>
      <c r="O56" t="str">
        <f>TEXT(SalesData[[#This Row],[Order_Date]],"mmm")</f>
        <v>Feb</v>
      </c>
      <c r="P56">
        <f>YEAR(SalesData[[#This Row],[Order_Date]])</f>
        <v>2024</v>
      </c>
      <c r="Q56" t="str">
        <f>"Q"&amp;ROUNDUP(MONTH(SalesData[[#This Row],[Order_Date]])/3,0)</f>
        <v>Q1</v>
      </c>
      <c r="R56" s="2">
        <f>IFERROR(SalesData[[#This Row],[Profit]]/SalesData[[#This Row],[Sales]],0)</f>
        <v>0.32613585245164189</v>
      </c>
      <c r="S56" s="2">
        <f>SalesData[[#This Row],[Price]]*SalesData[[#This Row],[Quantity]]*SalesData[[#This Row],[Discount]]</f>
        <v>1067.04</v>
      </c>
      <c r="T56" s="2" t="str">
        <f>IF(SalesData[[#This Row],[Sales]]&gt;5000,"High",IF(SalesData[[#This Row],[Sales]]&gt;2000,"Medium","Low"))</f>
        <v>Medium</v>
      </c>
      <c r="U56" s="2" t="str">
        <f>IF(COUNTIFS(SalesData[Customer_ID],SalesData[[#This Row],[Customer_ID]])&gt;1,"Repeat","New")</f>
        <v>Repeat</v>
      </c>
      <c r="V56" s="2" t="str">
        <f>IF(SalesData[[#This Row],[Sales]]&gt;AVERAGE(SalesData[Sales]),"Above Avg","Below Avg")</f>
        <v>Below Avg</v>
      </c>
      <c r="W56" s="2" t="str">
        <f>IF(SalesData[[#This Row],[Profit]]&gt;0,"Profit","Loss")</f>
        <v>Profit</v>
      </c>
      <c r="X56" s="2">
        <f>RANK(SalesData[[#This Row],[Sales]],SalesData[Sales])</f>
        <v>381</v>
      </c>
    </row>
    <row r="57" spans="1:24" x14ac:dyDescent="0.3">
      <c r="A57">
        <v>56</v>
      </c>
      <c r="B57" s="1">
        <v>45347</v>
      </c>
      <c r="C57">
        <v>1027</v>
      </c>
      <c r="D57" t="s">
        <v>82</v>
      </c>
      <c r="E57" t="s">
        <v>24</v>
      </c>
      <c r="F57" t="s">
        <v>33</v>
      </c>
      <c r="G57" t="s">
        <v>17</v>
      </c>
      <c r="H57" t="s">
        <v>37</v>
      </c>
      <c r="I57">
        <v>879</v>
      </c>
      <c r="J57">
        <v>7</v>
      </c>
      <c r="K57">
        <v>0.03</v>
      </c>
      <c r="L57">
        <v>1934</v>
      </c>
      <c r="M57" t="s">
        <v>26</v>
      </c>
      <c r="N57">
        <v>5968.41</v>
      </c>
      <c r="O57" t="str">
        <f>TEXT(SalesData[[#This Row],[Order_Date]],"mmm")</f>
        <v>Feb</v>
      </c>
      <c r="P57">
        <f>YEAR(SalesData[[#This Row],[Order_Date]])</f>
        <v>2024</v>
      </c>
      <c r="Q57" t="str">
        <f>"Q"&amp;ROUNDUP(MONTH(SalesData[[#This Row],[Order_Date]])/3,0)</f>
        <v>Q1</v>
      </c>
      <c r="R57" s="2">
        <f>IFERROR(SalesData[[#This Row],[Profit]]/SalesData[[#This Row],[Sales]],0)</f>
        <v>0.3240394007784318</v>
      </c>
      <c r="S57" s="2">
        <f>SalesData[[#This Row],[Price]]*SalesData[[#This Row],[Quantity]]*SalesData[[#This Row],[Discount]]</f>
        <v>184.59</v>
      </c>
      <c r="T57" s="2" t="str">
        <f>IF(SalesData[[#This Row],[Sales]]&gt;5000,"High",IF(SalesData[[#This Row],[Sales]]&gt;2000,"Medium","Low"))</f>
        <v>High</v>
      </c>
      <c r="U57" s="2" t="str">
        <f>IF(COUNTIFS(SalesData[Customer_ID],SalesData[[#This Row],[Customer_ID]])&gt;1,"Repeat","New")</f>
        <v>Repeat</v>
      </c>
      <c r="V57" s="2" t="str">
        <f>IF(SalesData[[#This Row],[Sales]]&gt;AVERAGE(SalesData[Sales]),"Above Avg","Below Avg")</f>
        <v>Below Avg</v>
      </c>
      <c r="W57" s="2" t="str">
        <f>IF(SalesData[[#This Row],[Profit]]&gt;0,"Profit","Loss")</f>
        <v>Profit</v>
      </c>
      <c r="X57" s="2">
        <f>RANK(SalesData[[#This Row],[Sales]],SalesData[Sales])</f>
        <v>298</v>
      </c>
    </row>
    <row r="58" spans="1:24" x14ac:dyDescent="0.3">
      <c r="A58">
        <v>57</v>
      </c>
      <c r="B58" s="1">
        <v>45348</v>
      </c>
      <c r="C58">
        <v>1030</v>
      </c>
      <c r="D58" t="s">
        <v>83</v>
      </c>
      <c r="E58" t="s">
        <v>24</v>
      </c>
      <c r="F58" t="s">
        <v>21</v>
      </c>
      <c r="G58" t="s">
        <v>34</v>
      </c>
      <c r="H58" t="s">
        <v>29</v>
      </c>
      <c r="I58">
        <v>4731</v>
      </c>
      <c r="J58">
        <v>2</v>
      </c>
      <c r="K58">
        <v>0.28999999999999998</v>
      </c>
      <c r="L58">
        <v>1177</v>
      </c>
      <c r="M58" t="s">
        <v>31</v>
      </c>
      <c r="N58">
        <v>6718.0199999999904</v>
      </c>
      <c r="O58" t="str">
        <f>TEXT(SalesData[[#This Row],[Order_Date]],"mmm")</f>
        <v>Feb</v>
      </c>
      <c r="P58">
        <f>YEAR(SalesData[[#This Row],[Order_Date]])</f>
        <v>2024</v>
      </c>
      <c r="Q58" t="str">
        <f>"Q"&amp;ROUNDUP(MONTH(SalesData[[#This Row],[Order_Date]])/3,0)</f>
        <v>Q1</v>
      </c>
      <c r="R58" s="2">
        <f>IFERROR(SalesData[[#This Row],[Profit]]/SalesData[[#This Row],[Sales]],0)</f>
        <v>0.17520043107939567</v>
      </c>
      <c r="S58" s="2">
        <f>SalesData[[#This Row],[Price]]*SalesData[[#This Row],[Quantity]]*SalesData[[#This Row],[Discount]]</f>
        <v>2743.98</v>
      </c>
      <c r="T58" s="2" t="str">
        <f>IF(SalesData[[#This Row],[Sales]]&gt;5000,"High",IF(SalesData[[#This Row],[Sales]]&gt;2000,"Medium","Low"))</f>
        <v>High</v>
      </c>
      <c r="U58" s="2" t="str">
        <f>IF(COUNTIFS(SalesData[Customer_ID],SalesData[[#This Row],[Customer_ID]])&gt;1,"Repeat","New")</f>
        <v>Repeat</v>
      </c>
      <c r="V58" s="2" t="str">
        <f>IF(SalesData[[#This Row],[Sales]]&gt;AVERAGE(SalesData[Sales]),"Above Avg","Below Avg")</f>
        <v>Below Avg</v>
      </c>
      <c r="W58" s="2" t="str">
        <f>IF(SalesData[[#This Row],[Profit]]&gt;0,"Profit","Loss")</f>
        <v>Profit</v>
      </c>
      <c r="X58" s="2">
        <f>RANK(SalesData[[#This Row],[Sales]],SalesData[Sales])</f>
        <v>282</v>
      </c>
    </row>
    <row r="59" spans="1:24" x14ac:dyDescent="0.3">
      <c r="A59">
        <v>58</v>
      </c>
      <c r="B59" s="1">
        <v>45349</v>
      </c>
      <c r="C59">
        <v>1052</v>
      </c>
      <c r="D59" t="s">
        <v>84</v>
      </c>
      <c r="E59" t="s">
        <v>15</v>
      </c>
      <c r="F59" t="s">
        <v>28</v>
      </c>
      <c r="G59" t="s">
        <v>34</v>
      </c>
      <c r="H59" t="s">
        <v>29</v>
      </c>
      <c r="I59">
        <v>766</v>
      </c>
      <c r="J59">
        <v>1</v>
      </c>
      <c r="K59">
        <v>0.23</v>
      </c>
      <c r="L59">
        <v>993</v>
      </c>
      <c r="M59" t="s">
        <v>31</v>
      </c>
      <c r="N59">
        <v>589.82000000000005</v>
      </c>
      <c r="O59" t="str">
        <f>TEXT(SalesData[[#This Row],[Order_Date]],"mmm")</f>
        <v>Feb</v>
      </c>
      <c r="P59">
        <f>YEAR(SalesData[[#This Row],[Order_Date]])</f>
        <v>2024</v>
      </c>
      <c r="Q59" t="str">
        <f>"Q"&amp;ROUNDUP(MONTH(SalesData[[#This Row],[Order_Date]])/3,0)</f>
        <v>Q1</v>
      </c>
      <c r="R59" s="2">
        <f>IFERROR(SalesData[[#This Row],[Profit]]/SalesData[[#This Row],[Sales]],0)</f>
        <v>1.6835644772981586</v>
      </c>
      <c r="S59" s="2">
        <f>SalesData[[#This Row],[Price]]*SalesData[[#This Row],[Quantity]]*SalesData[[#This Row],[Discount]]</f>
        <v>176.18</v>
      </c>
      <c r="T59" s="2" t="str">
        <f>IF(SalesData[[#This Row],[Sales]]&gt;5000,"High",IF(SalesData[[#This Row],[Sales]]&gt;2000,"Medium","Low"))</f>
        <v>Low</v>
      </c>
      <c r="U59" s="2" t="str">
        <f>IF(COUNTIFS(SalesData[Customer_ID],SalesData[[#This Row],[Customer_ID]])&gt;1,"Repeat","New")</f>
        <v>Repeat</v>
      </c>
      <c r="V59" s="2" t="str">
        <f>IF(SalesData[[#This Row],[Sales]]&gt;AVERAGE(SalesData[Sales]),"Above Avg","Below Avg")</f>
        <v>Below Avg</v>
      </c>
      <c r="W59" s="2" t="str">
        <f>IF(SalesData[[#This Row],[Profit]]&gt;0,"Profit","Loss")</f>
        <v>Profit</v>
      </c>
      <c r="X59" s="2">
        <f>RANK(SalesData[[#This Row],[Sales]],SalesData[Sales])</f>
        <v>487</v>
      </c>
    </row>
    <row r="60" spans="1:24" x14ac:dyDescent="0.3">
      <c r="A60">
        <v>59</v>
      </c>
      <c r="B60" s="1">
        <v>45350</v>
      </c>
      <c r="C60">
        <v>1070</v>
      </c>
      <c r="D60" t="s">
        <v>46</v>
      </c>
      <c r="E60" t="s">
        <v>15</v>
      </c>
      <c r="F60" t="s">
        <v>28</v>
      </c>
      <c r="G60" t="s">
        <v>34</v>
      </c>
      <c r="H60" t="s">
        <v>29</v>
      </c>
      <c r="I60">
        <v>1257</v>
      </c>
      <c r="J60">
        <v>4</v>
      </c>
      <c r="K60">
        <v>0.21</v>
      </c>
      <c r="L60">
        <v>-182</v>
      </c>
      <c r="M60" t="s">
        <v>19</v>
      </c>
      <c r="N60">
        <v>3972.12</v>
      </c>
      <c r="O60" t="str">
        <f>TEXT(SalesData[[#This Row],[Order_Date]],"mmm")</f>
        <v>Feb</v>
      </c>
      <c r="P60">
        <f>YEAR(SalesData[[#This Row],[Order_Date]])</f>
        <v>2024</v>
      </c>
      <c r="Q60" t="str">
        <f>"Q"&amp;ROUNDUP(MONTH(SalesData[[#This Row],[Order_Date]])/3,0)</f>
        <v>Q1</v>
      </c>
      <c r="R60" s="2">
        <f>IFERROR(SalesData[[#This Row],[Profit]]/SalesData[[#This Row],[Sales]],0)</f>
        <v>-4.581936094579217E-2</v>
      </c>
      <c r="S60" s="2">
        <f>SalesData[[#This Row],[Price]]*SalesData[[#This Row],[Quantity]]*SalesData[[#This Row],[Discount]]</f>
        <v>1055.8799999999999</v>
      </c>
      <c r="T60" s="2" t="str">
        <f>IF(SalesData[[#This Row],[Sales]]&gt;5000,"High",IF(SalesData[[#This Row],[Sales]]&gt;2000,"Medium","Low"))</f>
        <v>Medium</v>
      </c>
      <c r="U60" s="2" t="str">
        <f>IF(COUNTIFS(SalesData[Customer_ID],SalesData[[#This Row],[Customer_ID]])&gt;1,"Repeat","New")</f>
        <v>Repeat</v>
      </c>
      <c r="V60" s="2" t="str">
        <f>IF(SalesData[[#This Row],[Sales]]&gt;AVERAGE(SalesData[Sales]),"Above Avg","Below Avg")</f>
        <v>Below Avg</v>
      </c>
      <c r="W60" s="2" t="str">
        <f>IF(SalesData[[#This Row],[Profit]]&gt;0,"Profit","Loss")</f>
        <v>Loss</v>
      </c>
      <c r="X60" s="2">
        <f>RANK(SalesData[[#This Row],[Sales]],SalesData[Sales])</f>
        <v>354</v>
      </c>
    </row>
    <row r="61" spans="1:24" x14ac:dyDescent="0.3">
      <c r="A61">
        <v>60</v>
      </c>
      <c r="B61" s="1">
        <v>45351</v>
      </c>
      <c r="C61">
        <v>1026</v>
      </c>
      <c r="D61" t="s">
        <v>85</v>
      </c>
      <c r="E61" t="s">
        <v>15</v>
      </c>
      <c r="F61" t="s">
        <v>33</v>
      </c>
      <c r="G61" t="s">
        <v>17</v>
      </c>
      <c r="H61" t="s">
        <v>37</v>
      </c>
      <c r="I61">
        <v>4776</v>
      </c>
      <c r="J61">
        <v>3</v>
      </c>
      <c r="K61">
        <v>7.0000000000000007E-2</v>
      </c>
      <c r="L61">
        <v>1297</v>
      </c>
      <c r="M61" t="s">
        <v>19</v>
      </c>
      <c r="N61">
        <v>13325.039999999901</v>
      </c>
      <c r="O61" t="str">
        <f>TEXT(SalesData[[#This Row],[Order_Date]],"mmm")</f>
        <v>Feb</v>
      </c>
      <c r="P61">
        <f>YEAR(SalesData[[#This Row],[Order_Date]])</f>
        <v>2024</v>
      </c>
      <c r="Q61" t="str">
        <f>"Q"&amp;ROUNDUP(MONTH(SalesData[[#This Row],[Order_Date]])/3,0)</f>
        <v>Q1</v>
      </c>
      <c r="R61" s="2">
        <f>IFERROR(SalesData[[#This Row],[Profit]]/SalesData[[#This Row],[Sales]],0)</f>
        <v>9.7335542707564823E-2</v>
      </c>
      <c r="S61" s="2">
        <f>SalesData[[#This Row],[Price]]*SalesData[[#This Row],[Quantity]]*SalesData[[#This Row],[Discount]]</f>
        <v>1002.9600000000002</v>
      </c>
      <c r="T61" s="2" t="str">
        <f>IF(SalesData[[#This Row],[Sales]]&gt;5000,"High",IF(SalesData[[#This Row],[Sales]]&gt;2000,"Medium","Low"))</f>
        <v>High</v>
      </c>
      <c r="U61" s="2" t="str">
        <f>IF(COUNTIFS(SalesData[Customer_ID],SalesData[[#This Row],[Customer_ID]])&gt;1,"Repeat","New")</f>
        <v>Repeat</v>
      </c>
      <c r="V61" s="2" t="str">
        <f>IF(SalesData[[#This Row],[Sales]]&gt;AVERAGE(SalesData[Sales]),"Above Avg","Below Avg")</f>
        <v>Above Avg</v>
      </c>
      <c r="W61" s="2" t="str">
        <f>IF(SalesData[[#This Row],[Profit]]&gt;0,"Profit","Loss")</f>
        <v>Profit</v>
      </c>
      <c r="X61" s="2">
        <f>RANK(SalesData[[#This Row],[Sales]],SalesData[Sales])</f>
        <v>156</v>
      </c>
    </row>
    <row r="62" spans="1:24" x14ac:dyDescent="0.3">
      <c r="A62">
        <v>61</v>
      </c>
      <c r="B62" s="1">
        <v>45352</v>
      </c>
      <c r="C62">
        <v>1080</v>
      </c>
      <c r="D62" t="s">
        <v>86</v>
      </c>
      <c r="E62" t="s">
        <v>15</v>
      </c>
      <c r="F62" t="s">
        <v>28</v>
      </c>
      <c r="G62" t="s">
        <v>34</v>
      </c>
      <c r="H62" t="s">
        <v>25</v>
      </c>
      <c r="I62">
        <v>963</v>
      </c>
      <c r="J62">
        <v>4</v>
      </c>
      <c r="K62">
        <v>0.23</v>
      </c>
      <c r="L62">
        <v>-271</v>
      </c>
      <c r="M62" t="s">
        <v>26</v>
      </c>
      <c r="N62">
        <v>2966.04</v>
      </c>
      <c r="O62" t="str">
        <f>TEXT(SalesData[[#This Row],[Order_Date]],"mmm")</f>
        <v>Mar</v>
      </c>
      <c r="P62">
        <f>YEAR(SalesData[[#This Row],[Order_Date]])</f>
        <v>2024</v>
      </c>
      <c r="Q62" t="str">
        <f>"Q"&amp;ROUNDUP(MONTH(SalesData[[#This Row],[Order_Date]])/3,0)</f>
        <v>Q1</v>
      </c>
      <c r="R62" s="2">
        <f>IFERROR(SalesData[[#This Row],[Profit]]/SalesData[[#This Row],[Sales]],0)</f>
        <v>-9.1367614732100713E-2</v>
      </c>
      <c r="S62" s="2">
        <f>SalesData[[#This Row],[Price]]*SalesData[[#This Row],[Quantity]]*SalesData[[#This Row],[Discount]]</f>
        <v>885.96</v>
      </c>
      <c r="T62" s="2" t="str">
        <f>IF(SalesData[[#This Row],[Sales]]&gt;5000,"High",IF(SalesData[[#This Row],[Sales]]&gt;2000,"Medium","Low"))</f>
        <v>Medium</v>
      </c>
      <c r="U62" s="2" t="str">
        <f>IF(COUNTIFS(SalesData[Customer_ID],SalesData[[#This Row],[Customer_ID]])&gt;1,"Repeat","New")</f>
        <v>Repeat</v>
      </c>
      <c r="V62" s="2" t="str">
        <f>IF(SalesData[[#This Row],[Sales]]&gt;AVERAGE(SalesData[Sales]),"Above Avg","Below Avg")</f>
        <v>Below Avg</v>
      </c>
      <c r="W62" s="2" t="str">
        <f>IF(SalesData[[#This Row],[Profit]]&gt;0,"Profit","Loss")</f>
        <v>Loss</v>
      </c>
      <c r="X62" s="2">
        <f>RANK(SalesData[[#This Row],[Sales]],SalesData[Sales])</f>
        <v>395</v>
      </c>
    </row>
    <row r="63" spans="1:24" x14ac:dyDescent="0.3">
      <c r="A63">
        <v>62</v>
      </c>
      <c r="B63" s="1">
        <v>45353</v>
      </c>
      <c r="C63">
        <v>1006</v>
      </c>
      <c r="D63" t="s">
        <v>70</v>
      </c>
      <c r="E63" t="s">
        <v>24</v>
      </c>
      <c r="F63" t="s">
        <v>21</v>
      </c>
      <c r="G63" t="s">
        <v>22</v>
      </c>
      <c r="H63" t="s">
        <v>37</v>
      </c>
      <c r="I63">
        <v>4000</v>
      </c>
      <c r="J63">
        <v>3</v>
      </c>
      <c r="K63">
        <v>0.01</v>
      </c>
      <c r="L63">
        <v>1902</v>
      </c>
      <c r="M63" t="s">
        <v>31</v>
      </c>
      <c r="N63">
        <v>11880</v>
      </c>
      <c r="O63" t="str">
        <f>TEXT(SalesData[[#This Row],[Order_Date]],"mmm")</f>
        <v>Mar</v>
      </c>
      <c r="P63">
        <f>YEAR(SalesData[[#This Row],[Order_Date]])</f>
        <v>2024</v>
      </c>
      <c r="Q63" t="str">
        <f>"Q"&amp;ROUNDUP(MONTH(SalesData[[#This Row],[Order_Date]])/3,0)</f>
        <v>Q1</v>
      </c>
      <c r="R63" s="2">
        <f>IFERROR(SalesData[[#This Row],[Profit]]/SalesData[[#This Row],[Sales]],0)</f>
        <v>0.1601010101010101</v>
      </c>
      <c r="S63" s="2">
        <f>SalesData[[#This Row],[Price]]*SalesData[[#This Row],[Quantity]]*SalesData[[#This Row],[Discount]]</f>
        <v>120</v>
      </c>
      <c r="T63" s="2" t="str">
        <f>IF(SalesData[[#This Row],[Sales]]&gt;5000,"High",IF(SalesData[[#This Row],[Sales]]&gt;2000,"Medium","Low"))</f>
        <v>High</v>
      </c>
      <c r="U63" s="2" t="str">
        <f>IF(COUNTIFS(SalesData[Customer_ID],SalesData[[#This Row],[Customer_ID]])&gt;1,"Repeat","New")</f>
        <v>Repeat</v>
      </c>
      <c r="V63" s="2" t="str">
        <f>IF(SalesData[[#This Row],[Sales]]&gt;AVERAGE(SalesData[Sales]),"Above Avg","Below Avg")</f>
        <v>Above Avg</v>
      </c>
      <c r="W63" s="2" t="str">
        <f>IF(SalesData[[#This Row],[Profit]]&gt;0,"Profit","Loss")</f>
        <v>Profit</v>
      </c>
      <c r="X63" s="2">
        <f>RANK(SalesData[[#This Row],[Sales]],SalesData[Sales])</f>
        <v>171</v>
      </c>
    </row>
    <row r="64" spans="1:24" x14ac:dyDescent="0.3">
      <c r="A64">
        <v>63</v>
      </c>
      <c r="B64" s="1">
        <v>45354</v>
      </c>
      <c r="C64">
        <v>1014</v>
      </c>
      <c r="D64" t="s">
        <v>87</v>
      </c>
      <c r="E64" t="s">
        <v>15</v>
      </c>
      <c r="F64" t="s">
        <v>16</v>
      </c>
      <c r="G64" t="s">
        <v>17</v>
      </c>
      <c r="H64" t="s">
        <v>29</v>
      </c>
      <c r="I64">
        <v>156</v>
      </c>
      <c r="J64">
        <v>9</v>
      </c>
      <c r="K64">
        <v>0.17</v>
      </c>
      <c r="L64">
        <v>325</v>
      </c>
      <c r="M64" t="s">
        <v>31</v>
      </c>
      <c r="N64">
        <v>1165.32</v>
      </c>
      <c r="O64" t="str">
        <f>TEXT(SalesData[[#This Row],[Order_Date]],"mmm")</f>
        <v>Mar</v>
      </c>
      <c r="P64">
        <f>YEAR(SalesData[[#This Row],[Order_Date]])</f>
        <v>2024</v>
      </c>
      <c r="Q64" t="str">
        <f>"Q"&amp;ROUNDUP(MONTH(SalesData[[#This Row],[Order_Date]])/3,0)</f>
        <v>Q1</v>
      </c>
      <c r="R64" s="2">
        <f>IFERROR(SalesData[[#This Row],[Profit]]/SalesData[[#This Row],[Sales]],0)</f>
        <v>0.2788933511825078</v>
      </c>
      <c r="S64" s="2">
        <f>SalesData[[#This Row],[Price]]*SalesData[[#This Row],[Quantity]]*SalesData[[#This Row],[Discount]]</f>
        <v>238.68</v>
      </c>
      <c r="T64" s="2" t="str">
        <f>IF(SalesData[[#This Row],[Sales]]&gt;5000,"High",IF(SalesData[[#This Row],[Sales]]&gt;2000,"Medium","Low"))</f>
        <v>Low</v>
      </c>
      <c r="U64" s="2" t="str">
        <f>IF(COUNTIFS(SalesData[Customer_ID],SalesData[[#This Row],[Customer_ID]])&gt;1,"Repeat","New")</f>
        <v>Repeat</v>
      </c>
      <c r="V64" s="2" t="str">
        <f>IF(SalesData[[#This Row],[Sales]]&gt;AVERAGE(SalesData[Sales]),"Above Avg","Below Avg")</f>
        <v>Below Avg</v>
      </c>
      <c r="W64" s="2" t="str">
        <f>IF(SalesData[[#This Row],[Profit]]&gt;0,"Profit","Loss")</f>
        <v>Profit</v>
      </c>
      <c r="X64" s="2">
        <f>RANK(SalesData[[#This Row],[Sales]],SalesData[Sales])</f>
        <v>472</v>
      </c>
    </row>
    <row r="65" spans="1:24" x14ac:dyDescent="0.3">
      <c r="A65">
        <v>64</v>
      </c>
      <c r="B65" s="1">
        <v>45355</v>
      </c>
      <c r="C65">
        <v>1075</v>
      </c>
      <c r="D65" t="s">
        <v>51</v>
      </c>
      <c r="E65" t="s">
        <v>15</v>
      </c>
      <c r="F65" t="s">
        <v>16</v>
      </c>
      <c r="G65" t="s">
        <v>17</v>
      </c>
      <c r="H65" t="s">
        <v>18</v>
      </c>
      <c r="I65">
        <v>3350</v>
      </c>
      <c r="J65">
        <v>4</v>
      </c>
      <c r="K65">
        <v>0.09</v>
      </c>
      <c r="L65">
        <v>1332</v>
      </c>
      <c r="M65" t="s">
        <v>31</v>
      </c>
      <c r="N65">
        <v>12194</v>
      </c>
      <c r="O65" t="str">
        <f>TEXT(SalesData[[#This Row],[Order_Date]],"mmm")</f>
        <v>Mar</v>
      </c>
      <c r="P65">
        <f>YEAR(SalesData[[#This Row],[Order_Date]])</f>
        <v>2024</v>
      </c>
      <c r="Q65" t="str">
        <f>"Q"&amp;ROUNDUP(MONTH(SalesData[[#This Row],[Order_Date]])/3,0)</f>
        <v>Q1</v>
      </c>
      <c r="R65" s="2">
        <f>IFERROR(SalesData[[#This Row],[Profit]]/SalesData[[#This Row],[Sales]],0)</f>
        <v>0.109234049532557</v>
      </c>
      <c r="S65" s="2">
        <f>SalesData[[#This Row],[Price]]*SalesData[[#This Row],[Quantity]]*SalesData[[#This Row],[Discount]]</f>
        <v>1206</v>
      </c>
      <c r="T65" s="2" t="str">
        <f>IF(SalesData[[#This Row],[Sales]]&gt;5000,"High",IF(SalesData[[#This Row],[Sales]]&gt;2000,"Medium","Low"))</f>
        <v>High</v>
      </c>
      <c r="U65" s="2" t="str">
        <f>IF(COUNTIFS(SalesData[Customer_ID],SalesData[[#This Row],[Customer_ID]])&gt;1,"Repeat","New")</f>
        <v>Repeat</v>
      </c>
      <c r="V65" s="2" t="str">
        <f>IF(SalesData[[#This Row],[Sales]]&gt;AVERAGE(SalesData[Sales]),"Above Avg","Below Avg")</f>
        <v>Above Avg</v>
      </c>
      <c r="W65" s="2" t="str">
        <f>IF(SalesData[[#This Row],[Profit]]&gt;0,"Profit","Loss")</f>
        <v>Profit</v>
      </c>
      <c r="X65" s="2">
        <f>RANK(SalesData[[#This Row],[Sales]],SalesData[Sales])</f>
        <v>165</v>
      </c>
    </row>
    <row r="66" spans="1:24" x14ac:dyDescent="0.3">
      <c r="A66">
        <v>65</v>
      </c>
      <c r="B66" s="1">
        <v>45356</v>
      </c>
      <c r="C66">
        <v>1054</v>
      </c>
      <c r="D66" t="s">
        <v>88</v>
      </c>
      <c r="E66" t="s">
        <v>15</v>
      </c>
      <c r="F66" t="s">
        <v>28</v>
      </c>
      <c r="G66" t="s">
        <v>17</v>
      </c>
      <c r="H66" t="s">
        <v>29</v>
      </c>
      <c r="I66">
        <v>642</v>
      </c>
      <c r="J66">
        <v>4</v>
      </c>
      <c r="K66">
        <v>0.25</v>
      </c>
      <c r="L66">
        <v>30</v>
      </c>
      <c r="M66" t="s">
        <v>19</v>
      </c>
      <c r="N66">
        <v>1926</v>
      </c>
      <c r="O66" t="str">
        <f>TEXT(SalesData[[#This Row],[Order_Date]],"mmm")</f>
        <v>Mar</v>
      </c>
      <c r="P66">
        <f>YEAR(SalesData[[#This Row],[Order_Date]])</f>
        <v>2024</v>
      </c>
      <c r="Q66" t="str">
        <f>"Q"&amp;ROUNDUP(MONTH(SalesData[[#This Row],[Order_Date]])/3,0)</f>
        <v>Q1</v>
      </c>
      <c r="R66" s="2">
        <f>IFERROR(SalesData[[#This Row],[Profit]]/SalesData[[#This Row],[Sales]],0)</f>
        <v>1.5576323987538941E-2</v>
      </c>
      <c r="S66" s="2">
        <f>SalesData[[#This Row],[Price]]*SalesData[[#This Row],[Quantity]]*SalesData[[#This Row],[Discount]]</f>
        <v>642</v>
      </c>
      <c r="T66" s="2" t="str">
        <f>IF(SalesData[[#This Row],[Sales]]&gt;5000,"High",IF(SalesData[[#This Row],[Sales]]&gt;2000,"Medium","Low"))</f>
        <v>Low</v>
      </c>
      <c r="U66" s="2" t="str">
        <f>IF(COUNTIFS(SalesData[Customer_ID],SalesData[[#This Row],[Customer_ID]])&gt;1,"Repeat","New")</f>
        <v>Repeat</v>
      </c>
      <c r="V66" s="2" t="str">
        <f>IF(SalesData[[#This Row],[Sales]]&gt;AVERAGE(SalesData[Sales]),"Above Avg","Below Avg")</f>
        <v>Below Avg</v>
      </c>
      <c r="W66" s="2" t="str">
        <f>IF(SalesData[[#This Row],[Profit]]&gt;0,"Profit","Loss")</f>
        <v>Profit</v>
      </c>
      <c r="X66" s="2">
        <f>RANK(SalesData[[#This Row],[Sales]],SalesData[Sales])</f>
        <v>434</v>
      </c>
    </row>
    <row r="67" spans="1:24" x14ac:dyDescent="0.3">
      <c r="A67">
        <v>66</v>
      </c>
      <c r="B67" s="1">
        <v>45357</v>
      </c>
      <c r="C67">
        <v>1071</v>
      </c>
      <c r="D67" t="s">
        <v>89</v>
      </c>
      <c r="E67" t="s">
        <v>24</v>
      </c>
      <c r="F67" t="s">
        <v>28</v>
      </c>
      <c r="G67" t="s">
        <v>17</v>
      </c>
      <c r="H67" t="s">
        <v>18</v>
      </c>
      <c r="I67">
        <v>1032</v>
      </c>
      <c r="J67">
        <v>7</v>
      </c>
      <c r="K67">
        <v>0.23</v>
      </c>
      <c r="L67">
        <v>-33</v>
      </c>
      <c r="M67" t="s">
        <v>19</v>
      </c>
      <c r="N67">
        <v>5562.48</v>
      </c>
      <c r="O67" t="str">
        <f>TEXT(SalesData[[#This Row],[Order_Date]],"mmm")</f>
        <v>Mar</v>
      </c>
      <c r="P67">
        <f>YEAR(SalesData[[#This Row],[Order_Date]])</f>
        <v>2024</v>
      </c>
      <c r="Q67" t="str">
        <f>"Q"&amp;ROUNDUP(MONTH(SalesData[[#This Row],[Order_Date]])/3,0)</f>
        <v>Q1</v>
      </c>
      <c r="R67" s="2">
        <f>IFERROR(SalesData[[#This Row],[Profit]]/SalesData[[#This Row],[Sales]],0)</f>
        <v>-5.9326056003796875E-3</v>
      </c>
      <c r="S67" s="2">
        <f>SalesData[[#This Row],[Price]]*SalesData[[#This Row],[Quantity]]*SalesData[[#This Row],[Discount]]</f>
        <v>1661.52</v>
      </c>
      <c r="T67" s="2" t="str">
        <f>IF(SalesData[[#This Row],[Sales]]&gt;5000,"High",IF(SalesData[[#This Row],[Sales]]&gt;2000,"Medium","Low"))</f>
        <v>High</v>
      </c>
      <c r="U67" s="2" t="str">
        <f>IF(COUNTIFS(SalesData[Customer_ID],SalesData[[#This Row],[Customer_ID]])&gt;1,"Repeat","New")</f>
        <v>Repeat</v>
      </c>
      <c r="V67" s="2" t="str">
        <f>IF(SalesData[[#This Row],[Sales]]&gt;AVERAGE(SalesData[Sales]),"Above Avg","Below Avg")</f>
        <v>Below Avg</v>
      </c>
      <c r="W67" s="2" t="str">
        <f>IF(SalesData[[#This Row],[Profit]]&gt;0,"Profit","Loss")</f>
        <v>Loss</v>
      </c>
      <c r="X67" s="2">
        <f>RANK(SalesData[[#This Row],[Sales]],SalesData[Sales])</f>
        <v>307</v>
      </c>
    </row>
    <row r="68" spans="1:24" x14ac:dyDescent="0.3">
      <c r="A68">
        <v>67</v>
      </c>
      <c r="B68" s="1">
        <v>45358</v>
      </c>
      <c r="C68">
        <v>1001</v>
      </c>
      <c r="D68" t="s">
        <v>40</v>
      </c>
      <c r="E68" t="s">
        <v>15</v>
      </c>
      <c r="F68" t="s">
        <v>28</v>
      </c>
      <c r="G68" t="s">
        <v>34</v>
      </c>
      <c r="H68" t="s">
        <v>29</v>
      </c>
      <c r="I68">
        <v>950</v>
      </c>
      <c r="J68">
        <v>4</v>
      </c>
      <c r="K68">
        <v>0.15</v>
      </c>
      <c r="L68">
        <v>1734</v>
      </c>
      <c r="M68" t="s">
        <v>31</v>
      </c>
      <c r="N68">
        <v>3230</v>
      </c>
      <c r="O68" t="str">
        <f>TEXT(SalesData[[#This Row],[Order_Date]],"mmm")</f>
        <v>Mar</v>
      </c>
      <c r="P68">
        <f>YEAR(SalesData[[#This Row],[Order_Date]])</f>
        <v>2024</v>
      </c>
      <c r="Q68" t="str">
        <f>"Q"&amp;ROUNDUP(MONTH(SalesData[[#This Row],[Order_Date]])/3,0)</f>
        <v>Q1</v>
      </c>
      <c r="R68" s="2">
        <f>IFERROR(SalesData[[#This Row],[Profit]]/SalesData[[#This Row],[Sales]],0)</f>
        <v>0.5368421052631579</v>
      </c>
      <c r="S68" s="2">
        <f>SalesData[[#This Row],[Price]]*SalesData[[#This Row],[Quantity]]*SalesData[[#This Row],[Discount]]</f>
        <v>570</v>
      </c>
      <c r="T68" s="2" t="str">
        <f>IF(SalesData[[#This Row],[Sales]]&gt;5000,"High",IF(SalesData[[#This Row],[Sales]]&gt;2000,"Medium","Low"))</f>
        <v>Medium</v>
      </c>
      <c r="U68" s="2" t="str">
        <f>IF(COUNTIFS(SalesData[Customer_ID],SalesData[[#This Row],[Customer_ID]])&gt;1,"Repeat","New")</f>
        <v>Repeat</v>
      </c>
      <c r="V68" s="2" t="str">
        <f>IF(SalesData[[#This Row],[Sales]]&gt;AVERAGE(SalesData[Sales]),"Above Avg","Below Avg")</f>
        <v>Below Avg</v>
      </c>
      <c r="W68" s="2" t="str">
        <f>IF(SalesData[[#This Row],[Profit]]&gt;0,"Profit","Loss")</f>
        <v>Profit</v>
      </c>
      <c r="X68" s="2">
        <f>RANK(SalesData[[#This Row],[Sales]],SalesData[Sales])</f>
        <v>387</v>
      </c>
    </row>
    <row r="69" spans="1:24" x14ac:dyDescent="0.3">
      <c r="A69">
        <v>68</v>
      </c>
      <c r="B69" s="1">
        <v>45359</v>
      </c>
      <c r="C69">
        <v>1043</v>
      </c>
      <c r="D69" t="s">
        <v>90</v>
      </c>
      <c r="E69" t="s">
        <v>24</v>
      </c>
      <c r="F69" t="s">
        <v>33</v>
      </c>
      <c r="G69" t="s">
        <v>17</v>
      </c>
      <c r="H69" t="s">
        <v>25</v>
      </c>
      <c r="I69">
        <v>1275</v>
      </c>
      <c r="J69">
        <v>9</v>
      </c>
      <c r="K69">
        <v>0.14000000000000001</v>
      </c>
      <c r="L69">
        <v>1604</v>
      </c>
      <c r="M69" t="s">
        <v>26</v>
      </c>
      <c r="N69">
        <v>9868.5</v>
      </c>
      <c r="O69" t="str">
        <f>TEXT(SalesData[[#This Row],[Order_Date]],"mmm")</f>
        <v>Mar</v>
      </c>
      <c r="P69">
        <f>YEAR(SalesData[[#This Row],[Order_Date]])</f>
        <v>2024</v>
      </c>
      <c r="Q69" t="str">
        <f>"Q"&amp;ROUNDUP(MONTH(SalesData[[#This Row],[Order_Date]])/3,0)</f>
        <v>Q1</v>
      </c>
      <c r="R69" s="2">
        <f>IFERROR(SalesData[[#This Row],[Profit]]/SalesData[[#This Row],[Sales]],0)</f>
        <v>0.16253736636773572</v>
      </c>
      <c r="S69" s="2">
        <f>SalesData[[#This Row],[Price]]*SalesData[[#This Row],[Quantity]]*SalesData[[#This Row],[Discount]]</f>
        <v>1606.5000000000002</v>
      </c>
      <c r="T69" s="2" t="str">
        <f>IF(SalesData[[#This Row],[Sales]]&gt;5000,"High",IF(SalesData[[#This Row],[Sales]]&gt;2000,"Medium","Low"))</f>
        <v>High</v>
      </c>
      <c r="U69" s="2" t="str">
        <f>IF(COUNTIFS(SalesData[Customer_ID],SalesData[[#This Row],[Customer_ID]])&gt;1,"Repeat","New")</f>
        <v>New</v>
      </c>
      <c r="V69" s="2" t="str">
        <f>IF(SalesData[[#This Row],[Sales]]&gt;AVERAGE(SalesData[Sales]),"Above Avg","Below Avg")</f>
        <v>Below Avg</v>
      </c>
      <c r="W69" s="2" t="str">
        <f>IF(SalesData[[#This Row],[Profit]]&gt;0,"Profit","Loss")</f>
        <v>Profit</v>
      </c>
      <c r="X69" s="2">
        <f>RANK(SalesData[[#This Row],[Sales]],SalesData[Sales])</f>
        <v>204</v>
      </c>
    </row>
    <row r="70" spans="1:24" x14ac:dyDescent="0.3">
      <c r="A70">
        <v>69</v>
      </c>
      <c r="B70" s="1">
        <v>45360</v>
      </c>
      <c r="C70">
        <v>1058</v>
      </c>
      <c r="D70" t="s">
        <v>14</v>
      </c>
      <c r="E70" t="s">
        <v>15</v>
      </c>
      <c r="F70" t="s">
        <v>33</v>
      </c>
      <c r="G70" t="s">
        <v>22</v>
      </c>
      <c r="H70" t="s">
        <v>25</v>
      </c>
      <c r="I70">
        <v>622</v>
      </c>
      <c r="J70">
        <v>9</v>
      </c>
      <c r="K70">
        <v>0.02</v>
      </c>
      <c r="L70">
        <v>442</v>
      </c>
      <c r="M70" t="s">
        <v>26</v>
      </c>
      <c r="N70">
        <v>5486.04</v>
      </c>
      <c r="O70" t="str">
        <f>TEXT(SalesData[[#This Row],[Order_Date]],"mmm")</f>
        <v>Mar</v>
      </c>
      <c r="P70">
        <f>YEAR(SalesData[[#This Row],[Order_Date]])</f>
        <v>2024</v>
      </c>
      <c r="Q70" t="str">
        <f>"Q"&amp;ROUNDUP(MONTH(SalesData[[#This Row],[Order_Date]])/3,0)</f>
        <v>Q1</v>
      </c>
      <c r="R70" s="2">
        <f>IFERROR(SalesData[[#This Row],[Profit]]/SalesData[[#This Row],[Sales]],0)</f>
        <v>8.0568132933773726E-2</v>
      </c>
      <c r="S70" s="2">
        <f>SalesData[[#This Row],[Price]]*SalesData[[#This Row],[Quantity]]*SalesData[[#This Row],[Discount]]</f>
        <v>111.96000000000001</v>
      </c>
      <c r="T70" s="2" t="str">
        <f>IF(SalesData[[#This Row],[Sales]]&gt;5000,"High",IF(SalesData[[#This Row],[Sales]]&gt;2000,"Medium","Low"))</f>
        <v>High</v>
      </c>
      <c r="U70" s="2" t="str">
        <f>IF(COUNTIFS(SalesData[Customer_ID],SalesData[[#This Row],[Customer_ID]])&gt;1,"Repeat","New")</f>
        <v>Repeat</v>
      </c>
      <c r="V70" s="2" t="str">
        <f>IF(SalesData[[#This Row],[Sales]]&gt;AVERAGE(SalesData[Sales]),"Above Avg","Below Avg")</f>
        <v>Below Avg</v>
      </c>
      <c r="W70" s="2" t="str">
        <f>IF(SalesData[[#This Row],[Profit]]&gt;0,"Profit","Loss")</f>
        <v>Profit</v>
      </c>
      <c r="X70" s="2">
        <f>RANK(SalesData[[#This Row],[Sales]],SalesData[Sales])</f>
        <v>309</v>
      </c>
    </row>
    <row r="71" spans="1:24" x14ac:dyDescent="0.3">
      <c r="A71">
        <v>70</v>
      </c>
      <c r="B71" s="1">
        <v>45361</v>
      </c>
      <c r="C71">
        <v>1055</v>
      </c>
      <c r="D71" t="s">
        <v>60</v>
      </c>
      <c r="E71" t="s">
        <v>15</v>
      </c>
      <c r="F71" t="s">
        <v>28</v>
      </c>
      <c r="G71" t="s">
        <v>22</v>
      </c>
      <c r="H71" t="s">
        <v>37</v>
      </c>
      <c r="I71">
        <v>209</v>
      </c>
      <c r="J71">
        <v>9</v>
      </c>
      <c r="K71">
        <v>7.0000000000000007E-2</v>
      </c>
      <c r="L71">
        <v>79</v>
      </c>
      <c r="M71" t="s">
        <v>26</v>
      </c>
      <c r="N71">
        <v>1749.33</v>
      </c>
      <c r="O71" t="str">
        <f>TEXT(SalesData[[#This Row],[Order_Date]],"mmm")</f>
        <v>Mar</v>
      </c>
      <c r="P71">
        <f>YEAR(SalesData[[#This Row],[Order_Date]])</f>
        <v>2024</v>
      </c>
      <c r="Q71" t="str">
        <f>"Q"&amp;ROUNDUP(MONTH(SalesData[[#This Row],[Order_Date]])/3,0)</f>
        <v>Q1</v>
      </c>
      <c r="R71" s="2">
        <f>IFERROR(SalesData[[#This Row],[Profit]]/SalesData[[#This Row],[Sales]],0)</f>
        <v>4.5160147027719186E-2</v>
      </c>
      <c r="S71" s="2">
        <f>SalesData[[#This Row],[Price]]*SalesData[[#This Row],[Quantity]]*SalesData[[#This Row],[Discount]]</f>
        <v>131.67000000000002</v>
      </c>
      <c r="T71" s="2" t="str">
        <f>IF(SalesData[[#This Row],[Sales]]&gt;5000,"High",IF(SalesData[[#This Row],[Sales]]&gt;2000,"Medium","Low"))</f>
        <v>Low</v>
      </c>
      <c r="U71" s="2" t="str">
        <f>IF(COUNTIFS(SalesData[Customer_ID],SalesData[[#This Row],[Customer_ID]])&gt;1,"Repeat","New")</f>
        <v>Repeat</v>
      </c>
      <c r="V71" s="2" t="str">
        <f>IF(SalesData[[#This Row],[Sales]]&gt;AVERAGE(SalesData[Sales]),"Above Avg","Below Avg")</f>
        <v>Below Avg</v>
      </c>
      <c r="W71" s="2" t="str">
        <f>IF(SalesData[[#This Row],[Profit]]&gt;0,"Profit","Loss")</f>
        <v>Profit</v>
      </c>
      <c r="X71" s="2">
        <f>RANK(SalesData[[#This Row],[Sales]],SalesData[Sales])</f>
        <v>444</v>
      </c>
    </row>
    <row r="72" spans="1:24" x14ac:dyDescent="0.3">
      <c r="A72">
        <v>71</v>
      </c>
      <c r="B72" s="1">
        <v>45362</v>
      </c>
      <c r="C72">
        <v>1025</v>
      </c>
      <c r="D72" t="s">
        <v>91</v>
      </c>
      <c r="E72" t="s">
        <v>15</v>
      </c>
      <c r="F72" t="s">
        <v>16</v>
      </c>
      <c r="G72" t="s">
        <v>22</v>
      </c>
      <c r="H72" t="s">
        <v>25</v>
      </c>
      <c r="I72">
        <v>3545</v>
      </c>
      <c r="J72">
        <v>6</v>
      </c>
      <c r="K72">
        <v>0.21</v>
      </c>
      <c r="L72">
        <v>706</v>
      </c>
      <c r="M72" t="s">
        <v>26</v>
      </c>
      <c r="N72">
        <v>16803.3</v>
      </c>
      <c r="O72" t="str">
        <f>TEXT(SalesData[[#This Row],[Order_Date]],"mmm")</f>
        <v>Mar</v>
      </c>
      <c r="P72">
        <f>YEAR(SalesData[[#This Row],[Order_Date]])</f>
        <v>2024</v>
      </c>
      <c r="Q72" t="str">
        <f>"Q"&amp;ROUNDUP(MONTH(SalesData[[#This Row],[Order_Date]])/3,0)</f>
        <v>Q1</v>
      </c>
      <c r="R72" s="2">
        <f>IFERROR(SalesData[[#This Row],[Profit]]/SalesData[[#This Row],[Sales]],0)</f>
        <v>4.2015556468074727E-2</v>
      </c>
      <c r="S72" s="2">
        <f>SalesData[[#This Row],[Price]]*SalesData[[#This Row],[Quantity]]*SalesData[[#This Row],[Discount]]</f>
        <v>4466.7</v>
      </c>
      <c r="T72" s="2" t="str">
        <f>IF(SalesData[[#This Row],[Sales]]&gt;5000,"High",IF(SalesData[[#This Row],[Sales]]&gt;2000,"Medium","Low"))</f>
        <v>High</v>
      </c>
      <c r="U72" s="2" t="str">
        <f>IF(COUNTIFS(SalesData[Customer_ID],SalesData[[#This Row],[Customer_ID]])&gt;1,"Repeat","New")</f>
        <v>Repeat</v>
      </c>
      <c r="V72" s="2" t="str">
        <f>IF(SalesData[[#This Row],[Sales]]&gt;AVERAGE(SalesData[Sales]),"Above Avg","Below Avg")</f>
        <v>Above Avg</v>
      </c>
      <c r="W72" s="2" t="str">
        <f>IF(SalesData[[#This Row],[Profit]]&gt;0,"Profit","Loss")</f>
        <v>Profit</v>
      </c>
      <c r="X72" s="2">
        <f>RANK(SalesData[[#This Row],[Sales]],SalesData[Sales])</f>
        <v>107</v>
      </c>
    </row>
    <row r="73" spans="1:24" x14ac:dyDescent="0.3">
      <c r="A73">
        <v>72</v>
      </c>
      <c r="B73" s="1">
        <v>45363</v>
      </c>
      <c r="C73">
        <v>1050</v>
      </c>
      <c r="D73" t="s">
        <v>92</v>
      </c>
      <c r="E73" t="s">
        <v>24</v>
      </c>
      <c r="F73" t="s">
        <v>21</v>
      </c>
      <c r="G73" t="s">
        <v>22</v>
      </c>
      <c r="H73" t="s">
        <v>18</v>
      </c>
      <c r="I73">
        <v>156</v>
      </c>
      <c r="J73">
        <v>9</v>
      </c>
      <c r="K73">
        <v>0.02</v>
      </c>
      <c r="L73">
        <v>56</v>
      </c>
      <c r="M73" t="s">
        <v>31</v>
      </c>
      <c r="N73">
        <v>1375.92</v>
      </c>
      <c r="O73" t="str">
        <f>TEXT(SalesData[[#This Row],[Order_Date]],"mmm")</f>
        <v>Mar</v>
      </c>
      <c r="P73">
        <f>YEAR(SalesData[[#This Row],[Order_Date]])</f>
        <v>2024</v>
      </c>
      <c r="Q73" t="str">
        <f>"Q"&amp;ROUNDUP(MONTH(SalesData[[#This Row],[Order_Date]])/3,0)</f>
        <v>Q1</v>
      </c>
      <c r="R73" s="2">
        <f>IFERROR(SalesData[[#This Row],[Profit]]/SalesData[[#This Row],[Sales]],0)</f>
        <v>4.0700040700040699E-2</v>
      </c>
      <c r="S73" s="2">
        <f>SalesData[[#This Row],[Price]]*SalesData[[#This Row],[Quantity]]*SalesData[[#This Row],[Discount]]</f>
        <v>28.080000000000002</v>
      </c>
      <c r="T73" s="2" t="str">
        <f>IF(SalesData[[#This Row],[Sales]]&gt;5000,"High",IF(SalesData[[#This Row],[Sales]]&gt;2000,"Medium","Low"))</f>
        <v>Low</v>
      </c>
      <c r="U73" s="2" t="str">
        <f>IF(COUNTIFS(SalesData[Customer_ID],SalesData[[#This Row],[Customer_ID]])&gt;1,"Repeat","New")</f>
        <v>Repeat</v>
      </c>
      <c r="V73" s="2" t="str">
        <f>IF(SalesData[[#This Row],[Sales]]&gt;AVERAGE(SalesData[Sales]),"Above Avg","Below Avg")</f>
        <v>Below Avg</v>
      </c>
      <c r="W73" s="2" t="str">
        <f>IF(SalesData[[#This Row],[Profit]]&gt;0,"Profit","Loss")</f>
        <v>Profit</v>
      </c>
      <c r="X73" s="2">
        <f>RANK(SalesData[[#This Row],[Sales]],SalesData[Sales])</f>
        <v>463</v>
      </c>
    </row>
    <row r="74" spans="1:24" x14ac:dyDescent="0.3">
      <c r="A74">
        <v>73</v>
      </c>
      <c r="B74" s="1">
        <v>45364</v>
      </c>
      <c r="C74">
        <v>1084</v>
      </c>
      <c r="D74" t="s">
        <v>42</v>
      </c>
      <c r="E74" t="s">
        <v>15</v>
      </c>
      <c r="F74" t="s">
        <v>28</v>
      </c>
      <c r="G74" t="s">
        <v>22</v>
      </c>
      <c r="H74" t="s">
        <v>37</v>
      </c>
      <c r="I74">
        <v>3923</v>
      </c>
      <c r="J74">
        <v>3</v>
      </c>
      <c r="K74">
        <v>0.24</v>
      </c>
      <c r="L74">
        <v>1141</v>
      </c>
      <c r="M74" t="s">
        <v>19</v>
      </c>
      <c r="N74">
        <v>8944.44</v>
      </c>
      <c r="O74" t="str">
        <f>TEXT(SalesData[[#This Row],[Order_Date]],"mmm")</f>
        <v>Mar</v>
      </c>
      <c r="P74">
        <f>YEAR(SalesData[[#This Row],[Order_Date]])</f>
        <v>2024</v>
      </c>
      <c r="Q74" t="str">
        <f>"Q"&amp;ROUNDUP(MONTH(SalesData[[#This Row],[Order_Date]])/3,0)</f>
        <v>Q1</v>
      </c>
      <c r="R74" s="2">
        <f>IFERROR(SalesData[[#This Row],[Profit]]/SalesData[[#This Row],[Sales]],0)</f>
        <v>0.12756528077777926</v>
      </c>
      <c r="S74" s="2">
        <f>SalesData[[#This Row],[Price]]*SalesData[[#This Row],[Quantity]]*SalesData[[#This Row],[Discount]]</f>
        <v>2824.56</v>
      </c>
      <c r="T74" s="2" t="str">
        <f>IF(SalesData[[#This Row],[Sales]]&gt;5000,"High",IF(SalesData[[#This Row],[Sales]]&gt;2000,"Medium","Low"))</f>
        <v>High</v>
      </c>
      <c r="U74" s="2" t="str">
        <f>IF(COUNTIFS(SalesData[Customer_ID],SalesData[[#This Row],[Customer_ID]])&gt;1,"Repeat","New")</f>
        <v>Repeat</v>
      </c>
      <c r="V74" s="2" t="str">
        <f>IF(SalesData[[#This Row],[Sales]]&gt;AVERAGE(SalesData[Sales]),"Above Avg","Below Avg")</f>
        <v>Below Avg</v>
      </c>
      <c r="W74" s="2" t="str">
        <f>IF(SalesData[[#This Row],[Profit]]&gt;0,"Profit","Loss")</f>
        <v>Profit</v>
      </c>
      <c r="X74" s="2">
        <f>RANK(SalesData[[#This Row],[Sales]],SalesData[Sales])</f>
        <v>232</v>
      </c>
    </row>
    <row r="75" spans="1:24" x14ac:dyDescent="0.3">
      <c r="A75">
        <v>74</v>
      </c>
      <c r="B75" s="1">
        <v>45365</v>
      </c>
      <c r="C75">
        <v>1056</v>
      </c>
      <c r="D75" t="s">
        <v>45</v>
      </c>
      <c r="E75" t="s">
        <v>24</v>
      </c>
      <c r="F75" t="s">
        <v>21</v>
      </c>
      <c r="G75" t="s">
        <v>17</v>
      </c>
      <c r="H75" t="s">
        <v>25</v>
      </c>
      <c r="I75">
        <v>1766</v>
      </c>
      <c r="J75">
        <v>2</v>
      </c>
      <c r="K75">
        <v>0.28999999999999998</v>
      </c>
      <c r="L75">
        <v>620</v>
      </c>
      <c r="M75" t="s">
        <v>26</v>
      </c>
      <c r="N75">
        <v>2507.7199999999998</v>
      </c>
      <c r="O75" t="str">
        <f>TEXT(SalesData[[#This Row],[Order_Date]],"mmm")</f>
        <v>Mar</v>
      </c>
      <c r="P75">
        <f>YEAR(SalesData[[#This Row],[Order_Date]])</f>
        <v>2024</v>
      </c>
      <c r="Q75" t="str">
        <f>"Q"&amp;ROUNDUP(MONTH(SalesData[[#This Row],[Order_Date]])/3,0)</f>
        <v>Q1</v>
      </c>
      <c r="R75" s="2">
        <f>IFERROR(SalesData[[#This Row],[Profit]]/SalesData[[#This Row],[Sales]],0)</f>
        <v>0.24723653358429173</v>
      </c>
      <c r="S75" s="2">
        <f>SalesData[[#This Row],[Price]]*SalesData[[#This Row],[Quantity]]*SalesData[[#This Row],[Discount]]</f>
        <v>1024.28</v>
      </c>
      <c r="T75" s="2" t="str">
        <f>IF(SalesData[[#This Row],[Sales]]&gt;5000,"High",IF(SalesData[[#This Row],[Sales]]&gt;2000,"Medium","Low"))</f>
        <v>Medium</v>
      </c>
      <c r="U75" s="2" t="str">
        <f>IF(COUNTIFS(SalesData[Customer_ID],SalesData[[#This Row],[Customer_ID]])&gt;1,"Repeat","New")</f>
        <v>Repeat</v>
      </c>
      <c r="V75" s="2" t="str">
        <f>IF(SalesData[[#This Row],[Sales]]&gt;AVERAGE(SalesData[Sales]),"Above Avg","Below Avg")</f>
        <v>Below Avg</v>
      </c>
      <c r="W75" s="2" t="str">
        <f>IF(SalesData[[#This Row],[Profit]]&gt;0,"Profit","Loss")</f>
        <v>Profit</v>
      </c>
      <c r="X75" s="2">
        <f>RANK(SalesData[[#This Row],[Sales]],SalesData[Sales])</f>
        <v>410</v>
      </c>
    </row>
    <row r="76" spans="1:24" x14ac:dyDescent="0.3">
      <c r="A76">
        <v>75</v>
      </c>
      <c r="B76" s="1">
        <v>45366</v>
      </c>
      <c r="C76">
        <v>1049</v>
      </c>
      <c r="D76" t="s">
        <v>75</v>
      </c>
      <c r="E76" t="s">
        <v>15</v>
      </c>
      <c r="F76" t="s">
        <v>21</v>
      </c>
      <c r="G76" t="s">
        <v>34</v>
      </c>
      <c r="H76" t="s">
        <v>29</v>
      </c>
      <c r="I76">
        <v>4017</v>
      </c>
      <c r="J76">
        <v>2</v>
      </c>
      <c r="K76">
        <v>0.02</v>
      </c>
      <c r="L76">
        <v>755</v>
      </c>
      <c r="M76" t="s">
        <v>31</v>
      </c>
      <c r="N76">
        <v>7873.32</v>
      </c>
      <c r="O76" t="str">
        <f>TEXT(SalesData[[#This Row],[Order_Date]],"mmm")</f>
        <v>Mar</v>
      </c>
      <c r="P76">
        <f>YEAR(SalesData[[#This Row],[Order_Date]])</f>
        <v>2024</v>
      </c>
      <c r="Q76" t="str">
        <f>"Q"&amp;ROUNDUP(MONTH(SalesData[[#This Row],[Order_Date]])/3,0)</f>
        <v>Q1</v>
      </c>
      <c r="R76" s="2">
        <f>IFERROR(SalesData[[#This Row],[Profit]]/SalesData[[#This Row],[Sales]],0)</f>
        <v>9.58934731472873E-2</v>
      </c>
      <c r="S76" s="2">
        <f>SalesData[[#This Row],[Price]]*SalesData[[#This Row],[Quantity]]*SalesData[[#This Row],[Discount]]</f>
        <v>160.68</v>
      </c>
      <c r="T76" s="2" t="str">
        <f>IF(SalesData[[#This Row],[Sales]]&gt;5000,"High",IF(SalesData[[#This Row],[Sales]]&gt;2000,"Medium","Low"))</f>
        <v>High</v>
      </c>
      <c r="U76" s="2" t="str">
        <f>IF(COUNTIFS(SalesData[Customer_ID],SalesData[[#This Row],[Customer_ID]])&gt;1,"Repeat","New")</f>
        <v>Repeat</v>
      </c>
      <c r="V76" s="2" t="str">
        <f>IF(SalesData[[#This Row],[Sales]]&gt;AVERAGE(SalesData[Sales]),"Above Avg","Below Avg")</f>
        <v>Below Avg</v>
      </c>
      <c r="W76" s="2" t="str">
        <f>IF(SalesData[[#This Row],[Profit]]&gt;0,"Profit","Loss")</f>
        <v>Profit</v>
      </c>
      <c r="X76" s="2">
        <f>RANK(SalesData[[#This Row],[Sales]],SalesData[Sales])</f>
        <v>255</v>
      </c>
    </row>
    <row r="77" spans="1:24" x14ac:dyDescent="0.3">
      <c r="A77">
        <v>76</v>
      </c>
      <c r="B77" s="1">
        <v>45367</v>
      </c>
      <c r="C77">
        <v>1012</v>
      </c>
      <c r="D77" t="s">
        <v>20</v>
      </c>
      <c r="E77" t="s">
        <v>15</v>
      </c>
      <c r="F77" t="s">
        <v>21</v>
      </c>
      <c r="G77" t="s">
        <v>22</v>
      </c>
      <c r="H77" t="s">
        <v>25</v>
      </c>
      <c r="I77">
        <v>1527</v>
      </c>
      <c r="J77">
        <v>7</v>
      </c>
      <c r="K77">
        <v>0.14000000000000001</v>
      </c>
      <c r="L77">
        <v>-113</v>
      </c>
      <c r="M77" t="s">
        <v>31</v>
      </c>
      <c r="N77">
        <v>9192.53999999999</v>
      </c>
      <c r="O77" t="str">
        <f>TEXT(SalesData[[#This Row],[Order_Date]],"mmm")</f>
        <v>Mar</v>
      </c>
      <c r="P77">
        <f>YEAR(SalesData[[#This Row],[Order_Date]])</f>
        <v>2024</v>
      </c>
      <c r="Q77" t="str">
        <f>"Q"&amp;ROUNDUP(MONTH(SalesData[[#This Row],[Order_Date]])/3,0)</f>
        <v>Q1</v>
      </c>
      <c r="R77" s="2">
        <f>IFERROR(SalesData[[#This Row],[Profit]]/SalesData[[#This Row],[Sales]],0)</f>
        <v>-1.2292576371710117E-2</v>
      </c>
      <c r="S77" s="2">
        <f>SalesData[[#This Row],[Price]]*SalesData[[#This Row],[Quantity]]*SalesData[[#This Row],[Discount]]</f>
        <v>1496.46</v>
      </c>
      <c r="T77" s="2" t="str">
        <f>IF(SalesData[[#This Row],[Sales]]&gt;5000,"High",IF(SalesData[[#This Row],[Sales]]&gt;2000,"Medium","Low"))</f>
        <v>High</v>
      </c>
      <c r="U77" s="2" t="str">
        <f>IF(COUNTIFS(SalesData[Customer_ID],SalesData[[#This Row],[Customer_ID]])&gt;1,"Repeat","New")</f>
        <v>Repeat</v>
      </c>
      <c r="V77" s="2" t="str">
        <f>IF(SalesData[[#This Row],[Sales]]&gt;AVERAGE(SalesData[Sales]),"Above Avg","Below Avg")</f>
        <v>Below Avg</v>
      </c>
      <c r="W77" s="2" t="str">
        <f>IF(SalesData[[#This Row],[Profit]]&gt;0,"Profit","Loss")</f>
        <v>Loss</v>
      </c>
      <c r="X77" s="2">
        <f>RANK(SalesData[[#This Row],[Sales]],SalesData[Sales])</f>
        <v>227</v>
      </c>
    </row>
    <row r="78" spans="1:24" x14ac:dyDescent="0.3">
      <c r="A78">
        <v>77</v>
      </c>
      <c r="B78" s="1">
        <v>45368</v>
      </c>
      <c r="C78">
        <v>1018</v>
      </c>
      <c r="D78" t="s">
        <v>93</v>
      </c>
      <c r="E78" t="s">
        <v>15</v>
      </c>
      <c r="F78" t="s">
        <v>21</v>
      </c>
      <c r="G78" t="s">
        <v>34</v>
      </c>
      <c r="H78" t="s">
        <v>37</v>
      </c>
      <c r="I78">
        <v>604</v>
      </c>
      <c r="J78">
        <v>5</v>
      </c>
      <c r="K78">
        <v>0.17</v>
      </c>
      <c r="L78">
        <v>213</v>
      </c>
      <c r="M78" t="s">
        <v>31</v>
      </c>
      <c r="N78">
        <v>2506.6</v>
      </c>
      <c r="O78" t="str">
        <f>TEXT(SalesData[[#This Row],[Order_Date]],"mmm")</f>
        <v>Mar</v>
      </c>
      <c r="P78">
        <f>YEAR(SalesData[[#This Row],[Order_Date]])</f>
        <v>2024</v>
      </c>
      <c r="Q78" t="str">
        <f>"Q"&amp;ROUNDUP(MONTH(SalesData[[#This Row],[Order_Date]])/3,0)</f>
        <v>Q1</v>
      </c>
      <c r="R78" s="2">
        <f>IFERROR(SalesData[[#This Row],[Profit]]/SalesData[[#This Row],[Sales]],0)</f>
        <v>8.497566424638954E-2</v>
      </c>
      <c r="S78" s="2">
        <f>SalesData[[#This Row],[Price]]*SalesData[[#This Row],[Quantity]]*SalesData[[#This Row],[Discount]]</f>
        <v>513.40000000000009</v>
      </c>
      <c r="T78" s="2" t="str">
        <f>IF(SalesData[[#This Row],[Sales]]&gt;5000,"High",IF(SalesData[[#This Row],[Sales]]&gt;2000,"Medium","Low"))</f>
        <v>Medium</v>
      </c>
      <c r="U78" s="2" t="str">
        <f>IF(COUNTIFS(SalesData[Customer_ID],SalesData[[#This Row],[Customer_ID]])&gt;1,"Repeat","New")</f>
        <v>Repeat</v>
      </c>
      <c r="V78" s="2" t="str">
        <f>IF(SalesData[[#This Row],[Sales]]&gt;AVERAGE(SalesData[Sales]),"Above Avg","Below Avg")</f>
        <v>Below Avg</v>
      </c>
      <c r="W78" s="2" t="str">
        <f>IF(SalesData[[#This Row],[Profit]]&gt;0,"Profit","Loss")</f>
        <v>Profit</v>
      </c>
      <c r="X78" s="2">
        <f>RANK(SalesData[[#This Row],[Sales]],SalesData[Sales])</f>
        <v>411</v>
      </c>
    </row>
    <row r="79" spans="1:24" x14ac:dyDescent="0.3">
      <c r="A79">
        <v>78</v>
      </c>
      <c r="B79" s="1">
        <v>45369</v>
      </c>
      <c r="C79">
        <v>1081</v>
      </c>
      <c r="D79" t="s">
        <v>35</v>
      </c>
      <c r="E79" t="s">
        <v>15</v>
      </c>
      <c r="F79" t="s">
        <v>33</v>
      </c>
      <c r="G79" t="s">
        <v>22</v>
      </c>
      <c r="H79" t="s">
        <v>25</v>
      </c>
      <c r="I79">
        <v>3795</v>
      </c>
      <c r="J79">
        <v>4</v>
      </c>
      <c r="K79">
        <v>0.24</v>
      </c>
      <c r="L79">
        <v>842</v>
      </c>
      <c r="M79" t="s">
        <v>19</v>
      </c>
      <c r="N79">
        <v>11536.8</v>
      </c>
      <c r="O79" t="str">
        <f>TEXT(SalesData[[#This Row],[Order_Date]],"mmm")</f>
        <v>Mar</v>
      </c>
      <c r="P79">
        <f>YEAR(SalesData[[#This Row],[Order_Date]])</f>
        <v>2024</v>
      </c>
      <c r="Q79" t="str">
        <f>"Q"&amp;ROUNDUP(MONTH(SalesData[[#This Row],[Order_Date]])/3,0)</f>
        <v>Q1</v>
      </c>
      <c r="R79" s="2">
        <f>IFERROR(SalesData[[#This Row],[Profit]]/SalesData[[#This Row],[Sales]],0)</f>
        <v>7.2983843006726307E-2</v>
      </c>
      <c r="S79" s="2">
        <f>SalesData[[#This Row],[Price]]*SalesData[[#This Row],[Quantity]]*SalesData[[#This Row],[Discount]]</f>
        <v>3643.2</v>
      </c>
      <c r="T79" s="2" t="str">
        <f>IF(SalesData[[#This Row],[Sales]]&gt;5000,"High",IF(SalesData[[#This Row],[Sales]]&gt;2000,"Medium","Low"))</f>
        <v>High</v>
      </c>
      <c r="U79" s="2" t="str">
        <f>IF(COUNTIFS(SalesData[Customer_ID],SalesData[[#This Row],[Customer_ID]])&gt;1,"Repeat","New")</f>
        <v>Repeat</v>
      </c>
      <c r="V79" s="2" t="str">
        <f>IF(SalesData[[#This Row],[Sales]]&gt;AVERAGE(SalesData[Sales]),"Above Avg","Below Avg")</f>
        <v>Above Avg</v>
      </c>
      <c r="W79" s="2" t="str">
        <f>IF(SalesData[[#This Row],[Profit]]&gt;0,"Profit","Loss")</f>
        <v>Profit</v>
      </c>
      <c r="X79" s="2">
        <f>RANK(SalesData[[#This Row],[Sales]],SalesData[Sales])</f>
        <v>181</v>
      </c>
    </row>
    <row r="80" spans="1:24" x14ac:dyDescent="0.3">
      <c r="A80">
        <v>79</v>
      </c>
      <c r="B80" s="1">
        <v>45370</v>
      </c>
      <c r="C80">
        <v>1001</v>
      </c>
      <c r="D80" t="s">
        <v>62</v>
      </c>
      <c r="E80" t="s">
        <v>15</v>
      </c>
      <c r="F80" t="s">
        <v>28</v>
      </c>
      <c r="G80" t="s">
        <v>22</v>
      </c>
      <c r="H80" t="s">
        <v>18</v>
      </c>
      <c r="I80">
        <v>4704</v>
      </c>
      <c r="J80">
        <v>2</v>
      </c>
      <c r="K80">
        <v>0.05</v>
      </c>
      <c r="L80">
        <v>-31</v>
      </c>
      <c r="M80" t="s">
        <v>26</v>
      </c>
      <c r="N80">
        <v>8937.6</v>
      </c>
      <c r="O80" t="str">
        <f>TEXT(SalesData[[#This Row],[Order_Date]],"mmm")</f>
        <v>Mar</v>
      </c>
      <c r="P80">
        <f>YEAR(SalesData[[#This Row],[Order_Date]])</f>
        <v>2024</v>
      </c>
      <c r="Q80" t="str">
        <f>"Q"&amp;ROUNDUP(MONTH(SalesData[[#This Row],[Order_Date]])/3,0)</f>
        <v>Q1</v>
      </c>
      <c r="R80" s="2">
        <f>IFERROR(SalesData[[#This Row],[Profit]]/SalesData[[#This Row],[Sales]],0)</f>
        <v>-3.4684926602219835E-3</v>
      </c>
      <c r="S80" s="2">
        <f>SalesData[[#This Row],[Price]]*SalesData[[#This Row],[Quantity]]*SalesData[[#This Row],[Discount]]</f>
        <v>470.40000000000003</v>
      </c>
      <c r="T80" s="2" t="str">
        <f>IF(SalesData[[#This Row],[Sales]]&gt;5000,"High",IF(SalesData[[#This Row],[Sales]]&gt;2000,"Medium","Low"))</f>
        <v>High</v>
      </c>
      <c r="U80" s="2" t="str">
        <f>IF(COUNTIFS(SalesData[Customer_ID],SalesData[[#This Row],[Customer_ID]])&gt;1,"Repeat","New")</f>
        <v>Repeat</v>
      </c>
      <c r="V80" s="2" t="str">
        <f>IF(SalesData[[#This Row],[Sales]]&gt;AVERAGE(SalesData[Sales]),"Above Avg","Below Avg")</f>
        <v>Below Avg</v>
      </c>
      <c r="W80" s="2" t="str">
        <f>IF(SalesData[[#This Row],[Profit]]&gt;0,"Profit","Loss")</f>
        <v>Loss</v>
      </c>
      <c r="X80" s="2">
        <f>RANK(SalesData[[#This Row],[Sales]],SalesData[Sales])</f>
        <v>233</v>
      </c>
    </row>
    <row r="81" spans="1:24" x14ac:dyDescent="0.3">
      <c r="A81">
        <v>80</v>
      </c>
      <c r="B81" s="1">
        <v>45371</v>
      </c>
      <c r="C81">
        <v>1051</v>
      </c>
      <c r="D81" t="s">
        <v>94</v>
      </c>
      <c r="E81" t="s">
        <v>24</v>
      </c>
      <c r="F81" t="s">
        <v>21</v>
      </c>
      <c r="G81" t="s">
        <v>22</v>
      </c>
      <c r="H81" t="s">
        <v>18</v>
      </c>
      <c r="I81">
        <v>1428</v>
      </c>
      <c r="J81">
        <v>4</v>
      </c>
      <c r="K81">
        <v>0.11</v>
      </c>
      <c r="L81">
        <v>361</v>
      </c>
      <c r="M81" t="s">
        <v>19</v>
      </c>
      <c r="N81">
        <v>5083.68</v>
      </c>
      <c r="O81" t="str">
        <f>TEXT(SalesData[[#This Row],[Order_Date]],"mmm")</f>
        <v>Mar</v>
      </c>
      <c r="P81">
        <f>YEAR(SalesData[[#This Row],[Order_Date]])</f>
        <v>2024</v>
      </c>
      <c r="Q81" t="str">
        <f>"Q"&amp;ROUNDUP(MONTH(SalesData[[#This Row],[Order_Date]])/3,0)</f>
        <v>Q1</v>
      </c>
      <c r="R81" s="2">
        <f>IFERROR(SalesData[[#This Row],[Profit]]/SalesData[[#This Row],[Sales]],0)</f>
        <v>7.10115506876908E-2</v>
      </c>
      <c r="S81" s="2">
        <f>SalesData[[#This Row],[Price]]*SalesData[[#This Row],[Quantity]]*SalesData[[#This Row],[Discount]]</f>
        <v>628.32000000000005</v>
      </c>
      <c r="T81" s="2" t="str">
        <f>IF(SalesData[[#This Row],[Sales]]&gt;5000,"High",IF(SalesData[[#This Row],[Sales]]&gt;2000,"Medium","Low"))</f>
        <v>High</v>
      </c>
      <c r="U81" s="2" t="str">
        <f>IF(COUNTIFS(SalesData[Customer_ID],SalesData[[#This Row],[Customer_ID]])&gt;1,"Repeat","New")</f>
        <v>Repeat</v>
      </c>
      <c r="V81" s="2" t="str">
        <f>IF(SalesData[[#This Row],[Sales]]&gt;AVERAGE(SalesData[Sales]),"Above Avg","Below Avg")</f>
        <v>Below Avg</v>
      </c>
      <c r="W81" s="2" t="str">
        <f>IF(SalesData[[#This Row],[Profit]]&gt;0,"Profit","Loss")</f>
        <v>Profit</v>
      </c>
      <c r="X81" s="2">
        <f>RANK(SalesData[[#This Row],[Sales]],SalesData[Sales])</f>
        <v>320</v>
      </c>
    </row>
    <row r="82" spans="1:24" x14ac:dyDescent="0.3">
      <c r="A82">
        <v>81</v>
      </c>
      <c r="B82" s="1">
        <v>45372</v>
      </c>
      <c r="C82">
        <v>1044</v>
      </c>
      <c r="D82" t="s">
        <v>95</v>
      </c>
      <c r="E82" t="s">
        <v>24</v>
      </c>
      <c r="F82" t="s">
        <v>21</v>
      </c>
      <c r="G82" t="s">
        <v>34</v>
      </c>
      <c r="H82" t="s">
        <v>18</v>
      </c>
      <c r="I82">
        <v>783</v>
      </c>
      <c r="J82">
        <v>6</v>
      </c>
      <c r="K82">
        <v>0.25</v>
      </c>
      <c r="L82">
        <v>-54</v>
      </c>
      <c r="M82" t="s">
        <v>31</v>
      </c>
      <c r="N82">
        <v>3523.5</v>
      </c>
      <c r="O82" t="str">
        <f>TEXT(SalesData[[#This Row],[Order_Date]],"mmm")</f>
        <v>Mar</v>
      </c>
      <c r="P82">
        <f>YEAR(SalesData[[#This Row],[Order_Date]])</f>
        <v>2024</v>
      </c>
      <c r="Q82" t="str">
        <f>"Q"&amp;ROUNDUP(MONTH(SalesData[[#This Row],[Order_Date]])/3,0)</f>
        <v>Q1</v>
      </c>
      <c r="R82" s="2">
        <f>IFERROR(SalesData[[#This Row],[Profit]]/SalesData[[#This Row],[Sales]],0)</f>
        <v>-1.532567049808429E-2</v>
      </c>
      <c r="S82" s="2">
        <f>SalesData[[#This Row],[Price]]*SalesData[[#This Row],[Quantity]]*SalesData[[#This Row],[Discount]]</f>
        <v>1174.5</v>
      </c>
      <c r="T82" s="2" t="str">
        <f>IF(SalesData[[#This Row],[Sales]]&gt;5000,"High",IF(SalesData[[#This Row],[Sales]]&gt;2000,"Medium","Low"))</f>
        <v>Medium</v>
      </c>
      <c r="U82" s="2" t="str">
        <f>IF(COUNTIFS(SalesData[Customer_ID],SalesData[[#This Row],[Customer_ID]])&gt;1,"Repeat","New")</f>
        <v>Repeat</v>
      </c>
      <c r="V82" s="2" t="str">
        <f>IF(SalesData[[#This Row],[Sales]]&gt;AVERAGE(SalesData[Sales]),"Above Avg","Below Avg")</f>
        <v>Below Avg</v>
      </c>
      <c r="W82" s="2" t="str">
        <f>IF(SalesData[[#This Row],[Profit]]&gt;0,"Profit","Loss")</f>
        <v>Loss</v>
      </c>
      <c r="X82" s="2">
        <f>RANK(SalesData[[#This Row],[Sales]],SalesData[Sales])</f>
        <v>376</v>
      </c>
    </row>
    <row r="83" spans="1:24" x14ac:dyDescent="0.3">
      <c r="A83">
        <v>82</v>
      </c>
      <c r="B83" s="1">
        <v>45373</v>
      </c>
      <c r="C83">
        <v>1048</v>
      </c>
      <c r="D83" t="s">
        <v>60</v>
      </c>
      <c r="E83" t="s">
        <v>15</v>
      </c>
      <c r="F83" t="s">
        <v>16</v>
      </c>
      <c r="G83" t="s">
        <v>17</v>
      </c>
      <c r="H83" t="s">
        <v>18</v>
      </c>
      <c r="I83">
        <v>222</v>
      </c>
      <c r="J83">
        <v>6</v>
      </c>
      <c r="K83">
        <v>0.16</v>
      </c>
      <c r="L83">
        <v>9</v>
      </c>
      <c r="M83" t="s">
        <v>19</v>
      </c>
      <c r="N83">
        <v>1118.8799999999901</v>
      </c>
      <c r="O83" t="str">
        <f>TEXT(SalesData[[#This Row],[Order_Date]],"mmm")</f>
        <v>Mar</v>
      </c>
      <c r="P83">
        <f>YEAR(SalesData[[#This Row],[Order_Date]])</f>
        <v>2024</v>
      </c>
      <c r="Q83" t="str">
        <f>"Q"&amp;ROUNDUP(MONTH(SalesData[[#This Row],[Order_Date]])/3,0)</f>
        <v>Q1</v>
      </c>
      <c r="R83" s="2">
        <f>IFERROR(SalesData[[#This Row],[Profit]]/SalesData[[#This Row],[Sales]],0)</f>
        <v>8.043758043758115E-3</v>
      </c>
      <c r="S83" s="2">
        <f>SalesData[[#This Row],[Price]]*SalesData[[#This Row],[Quantity]]*SalesData[[#This Row],[Discount]]</f>
        <v>213.12</v>
      </c>
      <c r="T83" s="2" t="str">
        <f>IF(SalesData[[#This Row],[Sales]]&gt;5000,"High",IF(SalesData[[#This Row],[Sales]]&gt;2000,"Medium","Low"))</f>
        <v>Low</v>
      </c>
      <c r="U83" s="2" t="str">
        <f>IF(COUNTIFS(SalesData[Customer_ID],SalesData[[#This Row],[Customer_ID]])&gt;1,"Repeat","New")</f>
        <v>Repeat</v>
      </c>
      <c r="V83" s="2" t="str">
        <f>IF(SalesData[[#This Row],[Sales]]&gt;AVERAGE(SalesData[Sales]),"Above Avg","Below Avg")</f>
        <v>Below Avg</v>
      </c>
      <c r="W83" s="2" t="str">
        <f>IF(SalesData[[#This Row],[Profit]]&gt;0,"Profit","Loss")</f>
        <v>Profit</v>
      </c>
      <c r="X83" s="2">
        <f>RANK(SalesData[[#This Row],[Sales]],SalesData[Sales])</f>
        <v>474</v>
      </c>
    </row>
    <row r="84" spans="1:24" x14ac:dyDescent="0.3">
      <c r="A84">
        <v>83</v>
      </c>
      <c r="B84" s="1">
        <v>45374</v>
      </c>
      <c r="C84">
        <v>1056</v>
      </c>
      <c r="D84" t="s">
        <v>53</v>
      </c>
      <c r="E84" t="s">
        <v>24</v>
      </c>
      <c r="F84" t="s">
        <v>28</v>
      </c>
      <c r="G84" t="s">
        <v>22</v>
      </c>
      <c r="H84" t="s">
        <v>18</v>
      </c>
      <c r="I84">
        <v>1447</v>
      </c>
      <c r="J84">
        <v>8</v>
      </c>
      <c r="K84">
        <v>0.05</v>
      </c>
      <c r="L84">
        <v>1686</v>
      </c>
      <c r="M84" t="s">
        <v>19</v>
      </c>
      <c r="N84">
        <v>10997.199999999901</v>
      </c>
      <c r="O84" t="str">
        <f>TEXT(SalesData[[#This Row],[Order_Date]],"mmm")</f>
        <v>Mar</v>
      </c>
      <c r="P84">
        <f>YEAR(SalesData[[#This Row],[Order_Date]])</f>
        <v>2024</v>
      </c>
      <c r="Q84" t="str">
        <f>"Q"&amp;ROUNDUP(MONTH(SalesData[[#This Row],[Order_Date]])/3,0)</f>
        <v>Q1</v>
      </c>
      <c r="R84" s="2">
        <f>IFERROR(SalesData[[#This Row],[Profit]]/SalesData[[#This Row],[Sales]],0)</f>
        <v>0.15331175208234962</v>
      </c>
      <c r="S84" s="2">
        <f>SalesData[[#This Row],[Price]]*SalesData[[#This Row],[Quantity]]*SalesData[[#This Row],[Discount]]</f>
        <v>578.80000000000007</v>
      </c>
      <c r="T84" s="2" t="str">
        <f>IF(SalesData[[#This Row],[Sales]]&gt;5000,"High",IF(SalesData[[#This Row],[Sales]]&gt;2000,"Medium","Low"))</f>
        <v>High</v>
      </c>
      <c r="U84" s="2" t="str">
        <f>IF(COUNTIFS(SalesData[Customer_ID],SalesData[[#This Row],[Customer_ID]])&gt;1,"Repeat","New")</f>
        <v>Repeat</v>
      </c>
      <c r="V84" s="2" t="str">
        <f>IF(SalesData[[#This Row],[Sales]]&gt;AVERAGE(SalesData[Sales]),"Above Avg","Below Avg")</f>
        <v>Above Avg</v>
      </c>
      <c r="W84" s="2" t="str">
        <f>IF(SalesData[[#This Row],[Profit]]&gt;0,"Profit","Loss")</f>
        <v>Profit</v>
      </c>
      <c r="X84" s="2">
        <f>RANK(SalesData[[#This Row],[Sales]],SalesData[Sales])</f>
        <v>191</v>
      </c>
    </row>
    <row r="85" spans="1:24" x14ac:dyDescent="0.3">
      <c r="A85">
        <v>84</v>
      </c>
      <c r="B85" s="1">
        <v>45375</v>
      </c>
      <c r="C85">
        <v>1091</v>
      </c>
      <c r="D85" t="s">
        <v>96</v>
      </c>
      <c r="E85" t="s">
        <v>24</v>
      </c>
      <c r="F85" t="s">
        <v>21</v>
      </c>
      <c r="G85" t="s">
        <v>17</v>
      </c>
      <c r="H85" t="s">
        <v>37</v>
      </c>
      <c r="I85">
        <v>4171</v>
      </c>
      <c r="J85">
        <v>6</v>
      </c>
      <c r="K85">
        <v>0.26</v>
      </c>
      <c r="L85">
        <v>1941</v>
      </c>
      <c r="M85" t="s">
        <v>19</v>
      </c>
      <c r="N85">
        <v>18519.2399999999</v>
      </c>
      <c r="O85" t="str">
        <f>TEXT(SalesData[[#This Row],[Order_Date]],"mmm")</f>
        <v>Mar</v>
      </c>
      <c r="P85">
        <f>YEAR(SalesData[[#This Row],[Order_Date]])</f>
        <v>2024</v>
      </c>
      <c r="Q85" t="str">
        <f>"Q"&amp;ROUNDUP(MONTH(SalesData[[#This Row],[Order_Date]])/3,0)</f>
        <v>Q1</v>
      </c>
      <c r="R85" s="2">
        <f>IFERROR(SalesData[[#This Row],[Profit]]/SalesData[[#This Row],[Sales]],0)</f>
        <v>0.10480991660564962</v>
      </c>
      <c r="S85" s="2">
        <f>SalesData[[#This Row],[Price]]*SalesData[[#This Row],[Quantity]]*SalesData[[#This Row],[Discount]]</f>
        <v>6506.76</v>
      </c>
      <c r="T85" s="2" t="str">
        <f>IF(SalesData[[#This Row],[Sales]]&gt;5000,"High",IF(SalesData[[#This Row],[Sales]]&gt;2000,"Medium","Low"))</f>
        <v>High</v>
      </c>
      <c r="U85" s="2" t="str">
        <f>IF(COUNTIFS(SalesData[Customer_ID],SalesData[[#This Row],[Customer_ID]])&gt;1,"Repeat","New")</f>
        <v>Repeat</v>
      </c>
      <c r="V85" s="2" t="str">
        <f>IF(SalesData[[#This Row],[Sales]]&gt;AVERAGE(SalesData[Sales]),"Above Avg","Below Avg")</f>
        <v>Above Avg</v>
      </c>
      <c r="W85" s="2" t="str">
        <f>IF(SalesData[[#This Row],[Profit]]&gt;0,"Profit","Loss")</f>
        <v>Profit</v>
      </c>
      <c r="X85" s="2">
        <f>RANK(SalesData[[#This Row],[Sales]],SalesData[Sales])</f>
        <v>86</v>
      </c>
    </row>
    <row r="86" spans="1:24" x14ac:dyDescent="0.3">
      <c r="A86">
        <v>85</v>
      </c>
      <c r="B86" s="1">
        <v>45376</v>
      </c>
      <c r="C86">
        <v>1049</v>
      </c>
      <c r="D86" t="s">
        <v>97</v>
      </c>
      <c r="E86" t="s">
        <v>24</v>
      </c>
      <c r="F86" t="s">
        <v>33</v>
      </c>
      <c r="G86" t="s">
        <v>22</v>
      </c>
      <c r="H86" t="s">
        <v>25</v>
      </c>
      <c r="I86">
        <v>2001</v>
      </c>
      <c r="J86">
        <v>5</v>
      </c>
      <c r="K86">
        <v>0.28000000000000003</v>
      </c>
      <c r="L86">
        <v>832</v>
      </c>
      <c r="M86" t="s">
        <v>19</v>
      </c>
      <c r="N86">
        <v>7203.5999999999904</v>
      </c>
      <c r="O86" t="str">
        <f>TEXT(SalesData[[#This Row],[Order_Date]],"mmm")</f>
        <v>Mar</v>
      </c>
      <c r="P86">
        <f>YEAR(SalesData[[#This Row],[Order_Date]])</f>
        <v>2024</v>
      </c>
      <c r="Q86" t="str">
        <f>"Q"&amp;ROUNDUP(MONTH(SalesData[[#This Row],[Order_Date]])/3,0)</f>
        <v>Q1</v>
      </c>
      <c r="R86" s="2">
        <f>IFERROR(SalesData[[#This Row],[Profit]]/SalesData[[#This Row],[Sales]],0)</f>
        <v>0.1154978066522296</v>
      </c>
      <c r="S86" s="2">
        <f>SalesData[[#This Row],[Price]]*SalesData[[#This Row],[Quantity]]*SalesData[[#This Row],[Discount]]</f>
        <v>2801.4</v>
      </c>
      <c r="T86" s="2" t="str">
        <f>IF(SalesData[[#This Row],[Sales]]&gt;5000,"High",IF(SalesData[[#This Row],[Sales]]&gt;2000,"Medium","Low"))</f>
        <v>High</v>
      </c>
      <c r="U86" s="2" t="str">
        <f>IF(COUNTIFS(SalesData[Customer_ID],SalesData[[#This Row],[Customer_ID]])&gt;1,"Repeat","New")</f>
        <v>Repeat</v>
      </c>
      <c r="V86" s="2" t="str">
        <f>IF(SalesData[[#This Row],[Sales]]&gt;AVERAGE(SalesData[Sales]),"Above Avg","Below Avg")</f>
        <v>Below Avg</v>
      </c>
      <c r="W86" s="2" t="str">
        <f>IF(SalesData[[#This Row],[Profit]]&gt;0,"Profit","Loss")</f>
        <v>Profit</v>
      </c>
      <c r="X86" s="2">
        <f>RANK(SalesData[[#This Row],[Sales]],SalesData[Sales])</f>
        <v>271</v>
      </c>
    </row>
    <row r="87" spans="1:24" x14ac:dyDescent="0.3">
      <c r="A87">
        <v>86</v>
      </c>
      <c r="B87" s="1">
        <v>45377</v>
      </c>
      <c r="C87">
        <v>1086</v>
      </c>
      <c r="D87" t="s">
        <v>98</v>
      </c>
      <c r="E87" t="s">
        <v>15</v>
      </c>
      <c r="F87" t="s">
        <v>16</v>
      </c>
      <c r="G87" t="s">
        <v>17</v>
      </c>
      <c r="H87" t="s">
        <v>37</v>
      </c>
      <c r="I87">
        <v>1745</v>
      </c>
      <c r="J87">
        <v>7</v>
      </c>
      <c r="K87">
        <v>0.22</v>
      </c>
      <c r="L87">
        <v>1411</v>
      </c>
      <c r="M87" t="s">
        <v>19</v>
      </c>
      <c r="N87">
        <v>9527.7000000000007</v>
      </c>
      <c r="O87" t="str">
        <f>TEXT(SalesData[[#This Row],[Order_Date]],"mmm")</f>
        <v>Mar</v>
      </c>
      <c r="P87">
        <f>YEAR(SalesData[[#This Row],[Order_Date]])</f>
        <v>2024</v>
      </c>
      <c r="Q87" t="str">
        <f>"Q"&amp;ROUNDUP(MONTH(SalesData[[#This Row],[Order_Date]])/3,0)</f>
        <v>Q1</v>
      </c>
      <c r="R87" s="2">
        <f>IFERROR(SalesData[[#This Row],[Profit]]/SalesData[[#This Row],[Sales]],0)</f>
        <v>0.14809450339536298</v>
      </c>
      <c r="S87" s="2">
        <f>SalesData[[#This Row],[Price]]*SalesData[[#This Row],[Quantity]]*SalesData[[#This Row],[Discount]]</f>
        <v>2687.3</v>
      </c>
      <c r="T87" s="2" t="str">
        <f>IF(SalesData[[#This Row],[Sales]]&gt;5000,"High",IF(SalesData[[#This Row],[Sales]]&gt;2000,"Medium","Low"))</f>
        <v>High</v>
      </c>
      <c r="U87" s="2" t="str">
        <f>IF(COUNTIFS(SalesData[Customer_ID],SalesData[[#This Row],[Customer_ID]])&gt;1,"Repeat","New")</f>
        <v>Repeat</v>
      </c>
      <c r="V87" s="2" t="str">
        <f>IF(SalesData[[#This Row],[Sales]]&gt;AVERAGE(SalesData[Sales]),"Above Avg","Below Avg")</f>
        <v>Below Avg</v>
      </c>
      <c r="W87" s="2" t="str">
        <f>IF(SalesData[[#This Row],[Profit]]&gt;0,"Profit","Loss")</f>
        <v>Profit</v>
      </c>
      <c r="X87" s="2">
        <f>RANK(SalesData[[#This Row],[Sales]],SalesData[Sales])</f>
        <v>215</v>
      </c>
    </row>
    <row r="88" spans="1:24" x14ac:dyDescent="0.3">
      <c r="A88">
        <v>87</v>
      </c>
      <c r="B88" s="1">
        <v>45378</v>
      </c>
      <c r="C88">
        <v>1003</v>
      </c>
      <c r="D88" t="s">
        <v>99</v>
      </c>
      <c r="E88" t="s">
        <v>24</v>
      </c>
      <c r="F88" t="s">
        <v>16</v>
      </c>
      <c r="G88" t="s">
        <v>17</v>
      </c>
      <c r="H88" t="s">
        <v>25</v>
      </c>
      <c r="I88">
        <v>2969</v>
      </c>
      <c r="J88">
        <v>3</v>
      </c>
      <c r="K88">
        <v>0.28999999999999998</v>
      </c>
      <c r="L88">
        <v>735</v>
      </c>
      <c r="M88" t="s">
        <v>19</v>
      </c>
      <c r="N88">
        <v>6323.9699999999903</v>
      </c>
      <c r="O88" t="str">
        <f>TEXT(SalesData[[#This Row],[Order_Date]],"mmm")</f>
        <v>Mar</v>
      </c>
      <c r="P88">
        <f>YEAR(SalesData[[#This Row],[Order_Date]])</f>
        <v>2024</v>
      </c>
      <c r="Q88" t="str">
        <f>"Q"&amp;ROUNDUP(MONTH(SalesData[[#This Row],[Order_Date]])/3,0)</f>
        <v>Q1</v>
      </c>
      <c r="R88" s="2">
        <f>IFERROR(SalesData[[#This Row],[Profit]]/SalesData[[#This Row],[Sales]],0)</f>
        <v>0.11622446026783827</v>
      </c>
      <c r="S88" s="2">
        <f>SalesData[[#This Row],[Price]]*SalesData[[#This Row],[Quantity]]*SalesData[[#This Row],[Discount]]</f>
        <v>2583.0299999999997</v>
      </c>
      <c r="T88" s="2" t="str">
        <f>IF(SalesData[[#This Row],[Sales]]&gt;5000,"High",IF(SalesData[[#This Row],[Sales]]&gt;2000,"Medium","Low"))</f>
        <v>High</v>
      </c>
      <c r="U88" s="2" t="str">
        <f>IF(COUNTIFS(SalesData[Customer_ID],SalesData[[#This Row],[Customer_ID]])&gt;1,"Repeat","New")</f>
        <v>Repeat</v>
      </c>
      <c r="V88" s="2" t="str">
        <f>IF(SalesData[[#This Row],[Sales]]&gt;AVERAGE(SalesData[Sales]),"Above Avg","Below Avg")</f>
        <v>Below Avg</v>
      </c>
      <c r="W88" s="2" t="str">
        <f>IF(SalesData[[#This Row],[Profit]]&gt;0,"Profit","Loss")</f>
        <v>Profit</v>
      </c>
      <c r="X88" s="2">
        <f>RANK(SalesData[[#This Row],[Sales]],SalesData[Sales])</f>
        <v>288</v>
      </c>
    </row>
    <row r="89" spans="1:24" x14ac:dyDescent="0.3">
      <c r="A89">
        <v>88</v>
      </c>
      <c r="B89" s="1">
        <v>45379</v>
      </c>
      <c r="C89">
        <v>1067</v>
      </c>
      <c r="D89" t="s">
        <v>68</v>
      </c>
      <c r="E89" t="s">
        <v>24</v>
      </c>
      <c r="F89" t="s">
        <v>16</v>
      </c>
      <c r="G89" t="s">
        <v>22</v>
      </c>
      <c r="H89" t="s">
        <v>18</v>
      </c>
      <c r="I89">
        <v>1478</v>
      </c>
      <c r="J89">
        <v>4</v>
      </c>
      <c r="K89">
        <v>0.28000000000000003</v>
      </c>
      <c r="L89">
        <v>-370</v>
      </c>
      <c r="M89" t="s">
        <v>31</v>
      </c>
      <c r="N89">
        <v>4256.6399999999903</v>
      </c>
      <c r="O89" t="str">
        <f>TEXT(SalesData[[#This Row],[Order_Date]],"mmm")</f>
        <v>Mar</v>
      </c>
      <c r="P89">
        <f>YEAR(SalesData[[#This Row],[Order_Date]])</f>
        <v>2024</v>
      </c>
      <c r="Q89" t="str">
        <f>"Q"&amp;ROUNDUP(MONTH(SalesData[[#This Row],[Order_Date]])/3,0)</f>
        <v>Q1</v>
      </c>
      <c r="R89" s="2">
        <f>IFERROR(SalesData[[#This Row],[Profit]]/SalesData[[#This Row],[Sales]],0)</f>
        <v>-8.6923019094873155E-2</v>
      </c>
      <c r="S89" s="2">
        <f>SalesData[[#This Row],[Price]]*SalesData[[#This Row],[Quantity]]*SalesData[[#This Row],[Discount]]</f>
        <v>1655.3600000000001</v>
      </c>
      <c r="T89" s="2" t="str">
        <f>IF(SalesData[[#This Row],[Sales]]&gt;5000,"High",IF(SalesData[[#This Row],[Sales]]&gt;2000,"Medium","Low"))</f>
        <v>Medium</v>
      </c>
      <c r="U89" s="2" t="str">
        <f>IF(COUNTIFS(SalesData[Customer_ID],SalesData[[#This Row],[Customer_ID]])&gt;1,"Repeat","New")</f>
        <v>Repeat</v>
      </c>
      <c r="V89" s="2" t="str">
        <f>IF(SalesData[[#This Row],[Sales]]&gt;AVERAGE(SalesData[Sales]),"Above Avg","Below Avg")</f>
        <v>Below Avg</v>
      </c>
      <c r="W89" s="2" t="str">
        <f>IF(SalesData[[#This Row],[Profit]]&gt;0,"Profit","Loss")</f>
        <v>Loss</v>
      </c>
      <c r="X89" s="2">
        <f>RANK(SalesData[[#This Row],[Sales]],SalesData[Sales])</f>
        <v>343</v>
      </c>
    </row>
    <row r="90" spans="1:24" x14ac:dyDescent="0.3">
      <c r="A90">
        <v>89</v>
      </c>
      <c r="B90" s="1">
        <v>45380</v>
      </c>
      <c r="C90">
        <v>1011</v>
      </c>
      <c r="D90" t="s">
        <v>20</v>
      </c>
      <c r="E90" t="s">
        <v>24</v>
      </c>
      <c r="F90" t="s">
        <v>16</v>
      </c>
      <c r="G90" t="s">
        <v>17</v>
      </c>
      <c r="H90" t="s">
        <v>29</v>
      </c>
      <c r="I90">
        <v>2972</v>
      </c>
      <c r="J90">
        <v>6</v>
      </c>
      <c r="K90">
        <v>0.04</v>
      </c>
      <c r="L90">
        <v>64</v>
      </c>
      <c r="M90" t="s">
        <v>19</v>
      </c>
      <c r="N90">
        <v>17118.72</v>
      </c>
      <c r="O90" t="str">
        <f>TEXT(SalesData[[#This Row],[Order_Date]],"mmm")</f>
        <v>Mar</v>
      </c>
      <c r="P90">
        <f>YEAR(SalesData[[#This Row],[Order_Date]])</f>
        <v>2024</v>
      </c>
      <c r="Q90" t="str">
        <f>"Q"&amp;ROUNDUP(MONTH(SalesData[[#This Row],[Order_Date]])/3,0)</f>
        <v>Q1</v>
      </c>
      <c r="R90" s="2">
        <f>IFERROR(SalesData[[#This Row],[Profit]]/SalesData[[#This Row],[Sales]],0)</f>
        <v>3.7385972783011813E-3</v>
      </c>
      <c r="S90" s="2">
        <f>SalesData[[#This Row],[Price]]*SalesData[[#This Row],[Quantity]]*SalesData[[#This Row],[Discount]]</f>
        <v>713.28</v>
      </c>
      <c r="T90" s="2" t="str">
        <f>IF(SalesData[[#This Row],[Sales]]&gt;5000,"High",IF(SalesData[[#This Row],[Sales]]&gt;2000,"Medium","Low"))</f>
        <v>High</v>
      </c>
      <c r="U90" s="2" t="str">
        <f>IF(COUNTIFS(SalesData[Customer_ID],SalesData[[#This Row],[Customer_ID]])&gt;1,"Repeat","New")</f>
        <v>Repeat</v>
      </c>
      <c r="V90" s="2" t="str">
        <f>IF(SalesData[[#This Row],[Sales]]&gt;AVERAGE(SalesData[Sales]),"Above Avg","Below Avg")</f>
        <v>Above Avg</v>
      </c>
      <c r="W90" s="2" t="str">
        <f>IF(SalesData[[#This Row],[Profit]]&gt;0,"Profit","Loss")</f>
        <v>Profit</v>
      </c>
      <c r="X90" s="2">
        <f>RANK(SalesData[[#This Row],[Sales]],SalesData[Sales])</f>
        <v>104</v>
      </c>
    </row>
    <row r="91" spans="1:24" x14ac:dyDescent="0.3">
      <c r="A91">
        <v>90</v>
      </c>
      <c r="B91" s="1">
        <v>45381</v>
      </c>
      <c r="C91">
        <v>1021</v>
      </c>
      <c r="D91" t="s">
        <v>100</v>
      </c>
      <c r="E91" t="s">
        <v>15</v>
      </c>
      <c r="F91" t="s">
        <v>21</v>
      </c>
      <c r="G91" t="s">
        <v>34</v>
      </c>
      <c r="H91" t="s">
        <v>29</v>
      </c>
      <c r="I91">
        <v>1596</v>
      </c>
      <c r="J91">
        <v>9</v>
      </c>
      <c r="K91">
        <v>0.12</v>
      </c>
      <c r="L91">
        <v>1887</v>
      </c>
      <c r="M91" t="s">
        <v>19</v>
      </c>
      <c r="N91">
        <v>12640.32</v>
      </c>
      <c r="O91" t="str">
        <f>TEXT(SalesData[[#This Row],[Order_Date]],"mmm")</f>
        <v>Mar</v>
      </c>
      <c r="P91">
        <f>YEAR(SalesData[[#This Row],[Order_Date]])</f>
        <v>2024</v>
      </c>
      <c r="Q91" t="str">
        <f>"Q"&amp;ROUNDUP(MONTH(SalesData[[#This Row],[Order_Date]])/3,0)</f>
        <v>Q1</v>
      </c>
      <c r="R91" s="2">
        <f>IFERROR(SalesData[[#This Row],[Profit]]/SalesData[[#This Row],[Sales]],0)</f>
        <v>0.14928419533682691</v>
      </c>
      <c r="S91" s="2">
        <f>SalesData[[#This Row],[Price]]*SalesData[[#This Row],[Quantity]]*SalesData[[#This Row],[Discount]]</f>
        <v>1723.6799999999998</v>
      </c>
      <c r="T91" s="2" t="str">
        <f>IF(SalesData[[#This Row],[Sales]]&gt;5000,"High",IF(SalesData[[#This Row],[Sales]]&gt;2000,"Medium","Low"))</f>
        <v>High</v>
      </c>
      <c r="U91" s="2" t="str">
        <f>IF(COUNTIFS(SalesData[Customer_ID],SalesData[[#This Row],[Customer_ID]])&gt;1,"Repeat","New")</f>
        <v>Repeat</v>
      </c>
      <c r="V91" s="2" t="str">
        <f>IF(SalesData[[#This Row],[Sales]]&gt;AVERAGE(SalesData[Sales]),"Above Avg","Below Avg")</f>
        <v>Above Avg</v>
      </c>
      <c r="W91" s="2" t="str">
        <f>IF(SalesData[[#This Row],[Profit]]&gt;0,"Profit","Loss")</f>
        <v>Profit</v>
      </c>
      <c r="X91" s="2">
        <f>RANK(SalesData[[#This Row],[Sales]],SalesData[Sales])</f>
        <v>161</v>
      </c>
    </row>
    <row r="92" spans="1:24" x14ac:dyDescent="0.3">
      <c r="A92">
        <v>91</v>
      </c>
      <c r="B92" s="1">
        <v>45382</v>
      </c>
      <c r="C92">
        <v>1089</v>
      </c>
      <c r="D92" t="s">
        <v>101</v>
      </c>
      <c r="E92" t="s">
        <v>24</v>
      </c>
      <c r="F92" t="s">
        <v>33</v>
      </c>
      <c r="G92" t="s">
        <v>17</v>
      </c>
      <c r="H92" t="s">
        <v>29</v>
      </c>
      <c r="I92">
        <v>775</v>
      </c>
      <c r="J92">
        <v>6</v>
      </c>
      <c r="K92">
        <v>0.18</v>
      </c>
      <c r="L92">
        <v>1459</v>
      </c>
      <c r="M92" t="s">
        <v>19</v>
      </c>
      <c r="N92">
        <v>3813</v>
      </c>
      <c r="O92" t="str">
        <f>TEXT(SalesData[[#This Row],[Order_Date]],"mmm")</f>
        <v>Mar</v>
      </c>
      <c r="P92">
        <f>YEAR(SalesData[[#This Row],[Order_Date]])</f>
        <v>2024</v>
      </c>
      <c r="Q92" t="str">
        <f>"Q"&amp;ROUNDUP(MONTH(SalesData[[#This Row],[Order_Date]])/3,0)</f>
        <v>Q1</v>
      </c>
      <c r="R92" s="2">
        <f>IFERROR(SalesData[[#This Row],[Profit]]/SalesData[[#This Row],[Sales]],0)</f>
        <v>0.38263834251245737</v>
      </c>
      <c r="S92" s="2">
        <f>SalesData[[#This Row],[Price]]*SalesData[[#This Row],[Quantity]]*SalesData[[#This Row],[Discount]]</f>
        <v>837</v>
      </c>
      <c r="T92" s="2" t="str">
        <f>IF(SalesData[[#This Row],[Sales]]&gt;5000,"High",IF(SalesData[[#This Row],[Sales]]&gt;2000,"Medium","Low"))</f>
        <v>Medium</v>
      </c>
      <c r="U92" s="2" t="str">
        <f>IF(COUNTIFS(SalesData[Customer_ID],SalesData[[#This Row],[Customer_ID]])&gt;1,"Repeat","New")</f>
        <v>Repeat</v>
      </c>
      <c r="V92" s="2" t="str">
        <f>IF(SalesData[[#This Row],[Sales]]&gt;AVERAGE(SalesData[Sales]),"Above Avg","Below Avg")</f>
        <v>Below Avg</v>
      </c>
      <c r="W92" s="2" t="str">
        <f>IF(SalesData[[#This Row],[Profit]]&gt;0,"Profit","Loss")</f>
        <v>Profit</v>
      </c>
      <c r="X92" s="2">
        <f>RANK(SalesData[[#This Row],[Sales]],SalesData[Sales])</f>
        <v>364</v>
      </c>
    </row>
    <row r="93" spans="1:24" x14ac:dyDescent="0.3">
      <c r="A93">
        <v>92</v>
      </c>
      <c r="B93" s="1">
        <v>45383</v>
      </c>
      <c r="C93">
        <v>1098</v>
      </c>
      <c r="D93" t="s">
        <v>102</v>
      </c>
      <c r="E93" t="s">
        <v>24</v>
      </c>
      <c r="F93" t="s">
        <v>16</v>
      </c>
      <c r="G93" t="s">
        <v>34</v>
      </c>
      <c r="H93" t="s">
        <v>25</v>
      </c>
      <c r="I93">
        <v>2608</v>
      </c>
      <c r="J93">
        <v>4</v>
      </c>
      <c r="K93">
        <v>0.22</v>
      </c>
      <c r="L93">
        <v>1774</v>
      </c>
      <c r="M93" t="s">
        <v>19</v>
      </c>
      <c r="N93">
        <v>8136.96</v>
      </c>
      <c r="O93" t="str">
        <f>TEXT(SalesData[[#This Row],[Order_Date]],"mmm")</f>
        <v>Apr</v>
      </c>
      <c r="P93">
        <f>YEAR(SalesData[[#This Row],[Order_Date]])</f>
        <v>2024</v>
      </c>
      <c r="Q93" t="str">
        <f>"Q"&amp;ROUNDUP(MONTH(SalesData[[#This Row],[Order_Date]])/3,0)</f>
        <v>Q2</v>
      </c>
      <c r="R93" s="2">
        <f>IFERROR(SalesData[[#This Row],[Profit]]/SalesData[[#This Row],[Sales]],0)</f>
        <v>0.21801753971999371</v>
      </c>
      <c r="S93" s="2">
        <f>SalesData[[#This Row],[Price]]*SalesData[[#This Row],[Quantity]]*SalesData[[#This Row],[Discount]]</f>
        <v>2295.04</v>
      </c>
      <c r="T93" s="2" t="str">
        <f>IF(SalesData[[#This Row],[Sales]]&gt;5000,"High",IF(SalesData[[#This Row],[Sales]]&gt;2000,"Medium","Low"))</f>
        <v>High</v>
      </c>
      <c r="U93" s="2" t="str">
        <f>IF(COUNTIFS(SalesData[Customer_ID],SalesData[[#This Row],[Customer_ID]])&gt;1,"Repeat","New")</f>
        <v>Repeat</v>
      </c>
      <c r="V93" s="2" t="str">
        <f>IF(SalesData[[#This Row],[Sales]]&gt;AVERAGE(SalesData[Sales]),"Above Avg","Below Avg")</f>
        <v>Below Avg</v>
      </c>
      <c r="W93" s="2" t="str">
        <f>IF(SalesData[[#This Row],[Profit]]&gt;0,"Profit","Loss")</f>
        <v>Profit</v>
      </c>
      <c r="X93" s="2">
        <f>RANK(SalesData[[#This Row],[Sales]],SalesData[Sales])</f>
        <v>246</v>
      </c>
    </row>
    <row r="94" spans="1:24" x14ac:dyDescent="0.3">
      <c r="A94">
        <v>93</v>
      </c>
      <c r="B94" s="1">
        <v>45384</v>
      </c>
      <c r="C94">
        <v>1003</v>
      </c>
      <c r="D94" t="s">
        <v>103</v>
      </c>
      <c r="E94" t="s">
        <v>24</v>
      </c>
      <c r="F94" t="s">
        <v>33</v>
      </c>
      <c r="G94" t="s">
        <v>17</v>
      </c>
      <c r="H94" t="s">
        <v>25</v>
      </c>
      <c r="I94">
        <v>2396</v>
      </c>
      <c r="J94">
        <v>8</v>
      </c>
      <c r="K94">
        <v>0.16</v>
      </c>
      <c r="L94">
        <v>943</v>
      </c>
      <c r="M94" t="s">
        <v>26</v>
      </c>
      <c r="N94">
        <v>16101.119999999901</v>
      </c>
      <c r="O94" t="str">
        <f>TEXT(SalesData[[#This Row],[Order_Date]],"mmm")</f>
        <v>Apr</v>
      </c>
      <c r="P94">
        <f>YEAR(SalesData[[#This Row],[Order_Date]])</f>
        <v>2024</v>
      </c>
      <c r="Q94" t="str">
        <f>"Q"&amp;ROUNDUP(MONTH(SalesData[[#This Row],[Order_Date]])/3,0)</f>
        <v>Q2</v>
      </c>
      <c r="R94" s="2">
        <f>IFERROR(SalesData[[#This Row],[Profit]]/SalesData[[#This Row],[Sales]],0)</f>
        <v>5.8567354320693578E-2</v>
      </c>
      <c r="S94" s="2">
        <f>SalesData[[#This Row],[Price]]*SalesData[[#This Row],[Quantity]]*SalesData[[#This Row],[Discount]]</f>
        <v>3066.88</v>
      </c>
      <c r="T94" s="2" t="str">
        <f>IF(SalesData[[#This Row],[Sales]]&gt;5000,"High",IF(SalesData[[#This Row],[Sales]]&gt;2000,"Medium","Low"))</f>
        <v>High</v>
      </c>
      <c r="U94" s="2" t="str">
        <f>IF(COUNTIFS(SalesData[Customer_ID],SalesData[[#This Row],[Customer_ID]])&gt;1,"Repeat","New")</f>
        <v>Repeat</v>
      </c>
      <c r="V94" s="2" t="str">
        <f>IF(SalesData[[#This Row],[Sales]]&gt;AVERAGE(SalesData[Sales]),"Above Avg","Below Avg")</f>
        <v>Above Avg</v>
      </c>
      <c r="W94" s="2" t="str">
        <f>IF(SalesData[[#This Row],[Profit]]&gt;0,"Profit","Loss")</f>
        <v>Profit</v>
      </c>
      <c r="X94" s="2">
        <f>RANK(SalesData[[#This Row],[Sales]],SalesData[Sales])</f>
        <v>126</v>
      </c>
    </row>
    <row r="95" spans="1:24" x14ac:dyDescent="0.3">
      <c r="A95">
        <v>94</v>
      </c>
      <c r="B95" s="1">
        <v>45385</v>
      </c>
      <c r="C95">
        <v>1011</v>
      </c>
      <c r="D95" t="s">
        <v>104</v>
      </c>
      <c r="E95" t="s">
        <v>15</v>
      </c>
      <c r="F95" t="s">
        <v>21</v>
      </c>
      <c r="G95" t="s">
        <v>34</v>
      </c>
      <c r="H95" t="s">
        <v>37</v>
      </c>
      <c r="I95">
        <v>662</v>
      </c>
      <c r="J95">
        <v>5</v>
      </c>
      <c r="K95">
        <v>0.19</v>
      </c>
      <c r="L95">
        <v>-45</v>
      </c>
      <c r="M95" t="s">
        <v>31</v>
      </c>
      <c r="N95">
        <v>2681.1</v>
      </c>
      <c r="O95" t="str">
        <f>TEXT(SalesData[[#This Row],[Order_Date]],"mmm")</f>
        <v>Apr</v>
      </c>
      <c r="P95">
        <f>YEAR(SalesData[[#This Row],[Order_Date]])</f>
        <v>2024</v>
      </c>
      <c r="Q95" t="str">
        <f>"Q"&amp;ROUNDUP(MONTH(SalesData[[#This Row],[Order_Date]])/3,0)</f>
        <v>Q2</v>
      </c>
      <c r="R95" s="2">
        <f>IFERROR(SalesData[[#This Row],[Profit]]/SalesData[[#This Row],[Sales]],0)</f>
        <v>-1.6784155756965426E-2</v>
      </c>
      <c r="S95" s="2">
        <f>SalesData[[#This Row],[Price]]*SalesData[[#This Row],[Quantity]]*SalesData[[#This Row],[Discount]]</f>
        <v>628.9</v>
      </c>
      <c r="T95" s="2" t="str">
        <f>IF(SalesData[[#This Row],[Sales]]&gt;5000,"High",IF(SalesData[[#This Row],[Sales]]&gt;2000,"Medium","Low"))</f>
        <v>Medium</v>
      </c>
      <c r="U95" s="2" t="str">
        <f>IF(COUNTIFS(SalesData[Customer_ID],SalesData[[#This Row],[Customer_ID]])&gt;1,"Repeat","New")</f>
        <v>Repeat</v>
      </c>
      <c r="V95" s="2" t="str">
        <f>IF(SalesData[[#This Row],[Sales]]&gt;AVERAGE(SalesData[Sales]),"Above Avg","Below Avg")</f>
        <v>Below Avg</v>
      </c>
      <c r="W95" s="2" t="str">
        <f>IF(SalesData[[#This Row],[Profit]]&gt;0,"Profit","Loss")</f>
        <v>Loss</v>
      </c>
      <c r="X95" s="2">
        <f>RANK(SalesData[[#This Row],[Sales]],SalesData[Sales])</f>
        <v>403</v>
      </c>
    </row>
    <row r="96" spans="1:24" x14ac:dyDescent="0.3">
      <c r="A96">
        <v>95</v>
      </c>
      <c r="B96" s="1">
        <v>45386</v>
      </c>
      <c r="C96">
        <v>1003</v>
      </c>
      <c r="D96" t="s">
        <v>57</v>
      </c>
      <c r="E96" t="s">
        <v>15</v>
      </c>
      <c r="F96" t="s">
        <v>28</v>
      </c>
      <c r="G96" t="s">
        <v>22</v>
      </c>
      <c r="H96" t="s">
        <v>37</v>
      </c>
      <c r="I96">
        <v>4372</v>
      </c>
      <c r="J96">
        <v>5</v>
      </c>
      <c r="K96">
        <v>0.04</v>
      </c>
      <c r="L96">
        <v>1771</v>
      </c>
      <c r="M96" t="s">
        <v>19</v>
      </c>
      <c r="N96">
        <v>20985.599999999999</v>
      </c>
      <c r="O96" t="str">
        <f>TEXT(SalesData[[#This Row],[Order_Date]],"mmm")</f>
        <v>Apr</v>
      </c>
      <c r="P96">
        <f>YEAR(SalesData[[#This Row],[Order_Date]])</f>
        <v>2024</v>
      </c>
      <c r="Q96" t="str">
        <f>"Q"&amp;ROUNDUP(MONTH(SalesData[[#This Row],[Order_Date]])/3,0)</f>
        <v>Q2</v>
      </c>
      <c r="R96" s="2">
        <f>IFERROR(SalesData[[#This Row],[Profit]]/SalesData[[#This Row],[Sales]],0)</f>
        <v>8.4391201585849354E-2</v>
      </c>
      <c r="S96" s="2">
        <f>SalesData[[#This Row],[Price]]*SalesData[[#This Row],[Quantity]]*SalesData[[#This Row],[Discount]]</f>
        <v>874.4</v>
      </c>
      <c r="T96" s="2" t="str">
        <f>IF(SalesData[[#This Row],[Sales]]&gt;5000,"High",IF(SalesData[[#This Row],[Sales]]&gt;2000,"Medium","Low"))</f>
        <v>High</v>
      </c>
      <c r="U96" s="2" t="str">
        <f>IF(COUNTIFS(SalesData[Customer_ID],SalesData[[#This Row],[Customer_ID]])&gt;1,"Repeat","New")</f>
        <v>Repeat</v>
      </c>
      <c r="V96" s="2" t="str">
        <f>IF(SalesData[[#This Row],[Sales]]&gt;AVERAGE(SalesData[Sales]),"Above Avg","Below Avg")</f>
        <v>Above Avg</v>
      </c>
      <c r="W96" s="2" t="str">
        <f>IF(SalesData[[#This Row],[Profit]]&gt;0,"Profit","Loss")</f>
        <v>Profit</v>
      </c>
      <c r="X96" s="2">
        <f>RANK(SalesData[[#This Row],[Sales]],SalesData[Sales])</f>
        <v>77</v>
      </c>
    </row>
    <row r="97" spans="1:24" x14ac:dyDescent="0.3">
      <c r="A97">
        <v>96</v>
      </c>
      <c r="B97" s="1">
        <v>45387</v>
      </c>
      <c r="C97">
        <v>1094</v>
      </c>
      <c r="D97" t="s">
        <v>105</v>
      </c>
      <c r="E97" t="s">
        <v>15</v>
      </c>
      <c r="F97" t="s">
        <v>33</v>
      </c>
      <c r="G97" t="s">
        <v>34</v>
      </c>
      <c r="H97" t="s">
        <v>25</v>
      </c>
      <c r="I97">
        <v>301</v>
      </c>
      <c r="J97">
        <v>8</v>
      </c>
      <c r="K97">
        <v>0.12</v>
      </c>
      <c r="L97">
        <v>1297</v>
      </c>
      <c r="M97" t="s">
        <v>19</v>
      </c>
      <c r="N97">
        <v>2119.04</v>
      </c>
      <c r="O97" t="str">
        <f>TEXT(SalesData[[#This Row],[Order_Date]],"mmm")</f>
        <v>Apr</v>
      </c>
      <c r="P97">
        <f>YEAR(SalesData[[#This Row],[Order_Date]])</f>
        <v>2024</v>
      </c>
      <c r="Q97" t="str">
        <f>"Q"&amp;ROUNDUP(MONTH(SalesData[[#This Row],[Order_Date]])/3,0)</f>
        <v>Q2</v>
      </c>
      <c r="R97" s="2">
        <f>IFERROR(SalesData[[#This Row],[Profit]]/SalesData[[#This Row],[Sales]],0)</f>
        <v>0.61206961643008151</v>
      </c>
      <c r="S97" s="2">
        <f>SalesData[[#This Row],[Price]]*SalesData[[#This Row],[Quantity]]*SalesData[[#This Row],[Discount]]</f>
        <v>288.95999999999998</v>
      </c>
      <c r="T97" s="2" t="str">
        <f>IF(SalesData[[#This Row],[Sales]]&gt;5000,"High",IF(SalesData[[#This Row],[Sales]]&gt;2000,"Medium","Low"))</f>
        <v>Medium</v>
      </c>
      <c r="U97" s="2" t="str">
        <f>IF(COUNTIFS(SalesData[Customer_ID],SalesData[[#This Row],[Customer_ID]])&gt;1,"Repeat","New")</f>
        <v>Repeat</v>
      </c>
      <c r="V97" s="2" t="str">
        <f>IF(SalesData[[#This Row],[Sales]]&gt;AVERAGE(SalesData[Sales]),"Above Avg","Below Avg")</f>
        <v>Below Avg</v>
      </c>
      <c r="W97" s="2" t="str">
        <f>IF(SalesData[[#This Row],[Profit]]&gt;0,"Profit","Loss")</f>
        <v>Profit</v>
      </c>
      <c r="X97" s="2">
        <f>RANK(SalesData[[#This Row],[Sales]],SalesData[Sales])</f>
        <v>421</v>
      </c>
    </row>
    <row r="98" spans="1:24" x14ac:dyDescent="0.3">
      <c r="A98">
        <v>97</v>
      </c>
      <c r="B98" s="1">
        <v>45388</v>
      </c>
      <c r="C98">
        <v>1006</v>
      </c>
      <c r="D98" t="s">
        <v>106</v>
      </c>
      <c r="E98" t="s">
        <v>24</v>
      </c>
      <c r="F98" t="s">
        <v>21</v>
      </c>
      <c r="G98" t="s">
        <v>34</v>
      </c>
      <c r="H98" t="s">
        <v>18</v>
      </c>
      <c r="I98">
        <v>4572</v>
      </c>
      <c r="J98">
        <v>9</v>
      </c>
      <c r="K98">
        <v>0</v>
      </c>
      <c r="L98">
        <v>519</v>
      </c>
      <c r="M98" t="s">
        <v>19</v>
      </c>
      <c r="N98">
        <v>41148</v>
      </c>
      <c r="O98" t="str">
        <f>TEXT(SalesData[[#This Row],[Order_Date]],"mmm")</f>
        <v>Apr</v>
      </c>
      <c r="P98">
        <f>YEAR(SalesData[[#This Row],[Order_Date]])</f>
        <v>2024</v>
      </c>
      <c r="Q98" t="str">
        <f>"Q"&amp;ROUNDUP(MONTH(SalesData[[#This Row],[Order_Date]])/3,0)</f>
        <v>Q2</v>
      </c>
      <c r="R98" s="2">
        <f>IFERROR(SalesData[[#This Row],[Profit]]/SalesData[[#This Row],[Sales]],0)</f>
        <v>1.2613006707494897E-2</v>
      </c>
      <c r="S98" s="2">
        <f>SalesData[[#This Row],[Price]]*SalesData[[#This Row],[Quantity]]*SalesData[[#This Row],[Discount]]</f>
        <v>0</v>
      </c>
      <c r="T98" s="2" t="str">
        <f>IF(SalesData[[#This Row],[Sales]]&gt;5000,"High",IF(SalesData[[#This Row],[Sales]]&gt;2000,"Medium","Low"))</f>
        <v>High</v>
      </c>
      <c r="U98" s="2" t="str">
        <f>IF(COUNTIFS(SalesData[Customer_ID],SalesData[[#This Row],[Customer_ID]])&gt;1,"Repeat","New")</f>
        <v>Repeat</v>
      </c>
      <c r="V98" s="2" t="str">
        <f>IF(SalesData[[#This Row],[Sales]]&gt;AVERAGE(SalesData[Sales]),"Above Avg","Below Avg")</f>
        <v>Above Avg</v>
      </c>
      <c r="W98" s="2" t="str">
        <f>IF(SalesData[[#This Row],[Profit]]&gt;0,"Profit","Loss")</f>
        <v>Profit</v>
      </c>
      <c r="X98" s="2">
        <f>RANK(SalesData[[#This Row],[Sales]],SalesData[Sales])</f>
        <v>1</v>
      </c>
    </row>
    <row r="99" spans="1:24" x14ac:dyDescent="0.3">
      <c r="A99">
        <v>98</v>
      </c>
      <c r="B99" s="1">
        <v>45389</v>
      </c>
      <c r="C99">
        <v>1009</v>
      </c>
      <c r="D99" t="s">
        <v>107</v>
      </c>
      <c r="E99" t="s">
        <v>15</v>
      </c>
      <c r="F99" t="s">
        <v>16</v>
      </c>
      <c r="G99" t="s">
        <v>17</v>
      </c>
      <c r="H99" t="s">
        <v>18</v>
      </c>
      <c r="I99">
        <v>3094</v>
      </c>
      <c r="J99">
        <v>4</v>
      </c>
      <c r="K99">
        <v>0.2</v>
      </c>
      <c r="L99">
        <v>236</v>
      </c>
      <c r="M99" t="s">
        <v>26</v>
      </c>
      <c r="N99">
        <v>9900.7999999999993</v>
      </c>
      <c r="O99" t="str">
        <f>TEXT(SalesData[[#This Row],[Order_Date]],"mmm")</f>
        <v>Apr</v>
      </c>
      <c r="P99">
        <f>YEAR(SalesData[[#This Row],[Order_Date]])</f>
        <v>2024</v>
      </c>
      <c r="Q99" t="str">
        <f>"Q"&amp;ROUNDUP(MONTH(SalesData[[#This Row],[Order_Date]])/3,0)</f>
        <v>Q2</v>
      </c>
      <c r="R99" s="2">
        <f>IFERROR(SalesData[[#This Row],[Profit]]/SalesData[[#This Row],[Sales]],0)</f>
        <v>2.3836457659987074E-2</v>
      </c>
      <c r="S99" s="2">
        <f>SalesData[[#This Row],[Price]]*SalesData[[#This Row],[Quantity]]*SalesData[[#This Row],[Discount]]</f>
        <v>2475.2000000000003</v>
      </c>
      <c r="T99" s="2" t="str">
        <f>IF(SalesData[[#This Row],[Sales]]&gt;5000,"High",IF(SalesData[[#This Row],[Sales]]&gt;2000,"Medium","Low"))</f>
        <v>High</v>
      </c>
      <c r="U99" s="2" t="str">
        <f>IF(COUNTIFS(SalesData[Customer_ID],SalesData[[#This Row],[Customer_ID]])&gt;1,"Repeat","New")</f>
        <v>Repeat</v>
      </c>
      <c r="V99" s="2" t="str">
        <f>IF(SalesData[[#This Row],[Sales]]&gt;AVERAGE(SalesData[Sales]),"Above Avg","Below Avg")</f>
        <v>Below Avg</v>
      </c>
      <c r="W99" s="2" t="str">
        <f>IF(SalesData[[#This Row],[Profit]]&gt;0,"Profit","Loss")</f>
        <v>Profit</v>
      </c>
      <c r="X99" s="2">
        <f>RANK(SalesData[[#This Row],[Sales]],SalesData[Sales])</f>
        <v>203</v>
      </c>
    </row>
    <row r="100" spans="1:24" x14ac:dyDescent="0.3">
      <c r="A100">
        <v>99</v>
      </c>
      <c r="B100" s="1">
        <v>45390</v>
      </c>
      <c r="C100">
        <v>1087</v>
      </c>
      <c r="D100" t="s">
        <v>108</v>
      </c>
      <c r="E100" t="s">
        <v>15</v>
      </c>
      <c r="F100" t="s">
        <v>28</v>
      </c>
      <c r="G100" t="s">
        <v>17</v>
      </c>
      <c r="H100" t="s">
        <v>18</v>
      </c>
      <c r="I100">
        <v>4656</v>
      </c>
      <c r="J100">
        <v>8</v>
      </c>
      <c r="K100">
        <v>0.05</v>
      </c>
      <c r="L100">
        <v>115</v>
      </c>
      <c r="M100" t="s">
        <v>26</v>
      </c>
      <c r="N100">
        <v>35385.599999999999</v>
      </c>
      <c r="O100" t="str">
        <f>TEXT(SalesData[[#This Row],[Order_Date]],"mmm")</f>
        <v>Apr</v>
      </c>
      <c r="P100">
        <f>YEAR(SalesData[[#This Row],[Order_Date]])</f>
        <v>2024</v>
      </c>
      <c r="Q100" t="str">
        <f>"Q"&amp;ROUNDUP(MONTH(SalesData[[#This Row],[Order_Date]])/3,0)</f>
        <v>Q2</v>
      </c>
      <c r="R100" s="2">
        <f>IFERROR(SalesData[[#This Row],[Profit]]/SalesData[[#This Row],[Sales]],0)</f>
        <v>3.2499095677337676E-3</v>
      </c>
      <c r="S100" s="2">
        <f>SalesData[[#This Row],[Price]]*SalesData[[#This Row],[Quantity]]*SalesData[[#This Row],[Discount]]</f>
        <v>1862.4</v>
      </c>
      <c r="T100" s="2" t="str">
        <f>IF(SalesData[[#This Row],[Sales]]&gt;5000,"High",IF(SalesData[[#This Row],[Sales]]&gt;2000,"Medium","Low"))</f>
        <v>High</v>
      </c>
      <c r="U100" s="2" t="str">
        <f>IF(COUNTIFS(SalesData[Customer_ID],SalesData[[#This Row],[Customer_ID]])&gt;1,"Repeat","New")</f>
        <v>Repeat</v>
      </c>
      <c r="V100" s="2" t="str">
        <f>IF(SalesData[[#This Row],[Sales]]&gt;AVERAGE(SalesData[Sales]),"Above Avg","Below Avg")</f>
        <v>Above Avg</v>
      </c>
      <c r="W100" s="2" t="str">
        <f>IF(SalesData[[#This Row],[Profit]]&gt;0,"Profit","Loss")</f>
        <v>Profit</v>
      </c>
      <c r="X100" s="2">
        <f>RANK(SalesData[[#This Row],[Sales]],SalesData[Sales])</f>
        <v>9</v>
      </c>
    </row>
    <row r="101" spans="1:24" x14ac:dyDescent="0.3">
      <c r="A101">
        <v>100</v>
      </c>
      <c r="B101" s="1">
        <v>45391</v>
      </c>
      <c r="C101">
        <v>1014</v>
      </c>
      <c r="D101" t="s">
        <v>109</v>
      </c>
      <c r="E101" t="s">
        <v>24</v>
      </c>
      <c r="F101" t="s">
        <v>33</v>
      </c>
      <c r="G101" t="s">
        <v>22</v>
      </c>
      <c r="H101" t="s">
        <v>29</v>
      </c>
      <c r="I101">
        <v>4815</v>
      </c>
      <c r="J101">
        <v>8</v>
      </c>
      <c r="K101">
        <v>0.12</v>
      </c>
      <c r="L101">
        <v>271</v>
      </c>
      <c r="M101" t="s">
        <v>19</v>
      </c>
      <c r="N101">
        <v>33897.599999999999</v>
      </c>
      <c r="O101" t="str">
        <f>TEXT(SalesData[[#This Row],[Order_Date]],"mmm")</f>
        <v>Apr</v>
      </c>
      <c r="P101">
        <f>YEAR(SalesData[[#This Row],[Order_Date]])</f>
        <v>2024</v>
      </c>
      <c r="Q101" t="str">
        <f>"Q"&amp;ROUNDUP(MONTH(SalesData[[#This Row],[Order_Date]])/3,0)</f>
        <v>Q2</v>
      </c>
      <c r="R101" s="2">
        <f>IFERROR(SalesData[[#This Row],[Profit]]/SalesData[[#This Row],[Sales]],0)</f>
        <v>7.9946662890588126E-3</v>
      </c>
      <c r="S101" s="2">
        <f>SalesData[[#This Row],[Price]]*SalesData[[#This Row],[Quantity]]*SalesData[[#This Row],[Discount]]</f>
        <v>4622.3999999999996</v>
      </c>
      <c r="T101" s="2" t="str">
        <f>IF(SalesData[[#This Row],[Sales]]&gt;5000,"High",IF(SalesData[[#This Row],[Sales]]&gt;2000,"Medium","Low"))</f>
        <v>High</v>
      </c>
      <c r="U101" s="2" t="str">
        <f>IF(COUNTIFS(SalesData[Customer_ID],SalesData[[#This Row],[Customer_ID]])&gt;1,"Repeat","New")</f>
        <v>Repeat</v>
      </c>
      <c r="V101" s="2" t="str">
        <f>IF(SalesData[[#This Row],[Sales]]&gt;AVERAGE(SalesData[Sales]),"Above Avg","Below Avg")</f>
        <v>Above Avg</v>
      </c>
      <c r="W101" s="2" t="str">
        <f>IF(SalesData[[#This Row],[Profit]]&gt;0,"Profit","Loss")</f>
        <v>Profit</v>
      </c>
      <c r="X101" s="2">
        <f>RANK(SalesData[[#This Row],[Sales]],SalesData[Sales])</f>
        <v>14</v>
      </c>
    </row>
    <row r="102" spans="1:24" x14ac:dyDescent="0.3">
      <c r="A102">
        <v>101</v>
      </c>
      <c r="B102" s="1">
        <v>45392</v>
      </c>
      <c r="C102">
        <v>1083</v>
      </c>
      <c r="D102" t="s">
        <v>110</v>
      </c>
      <c r="E102" t="s">
        <v>15</v>
      </c>
      <c r="F102" t="s">
        <v>16</v>
      </c>
      <c r="G102" t="s">
        <v>34</v>
      </c>
      <c r="H102" t="s">
        <v>37</v>
      </c>
      <c r="I102">
        <v>4598</v>
      </c>
      <c r="J102">
        <v>3</v>
      </c>
      <c r="K102">
        <v>0.15</v>
      </c>
      <c r="L102">
        <v>93</v>
      </c>
      <c r="M102" t="s">
        <v>26</v>
      </c>
      <c r="N102">
        <v>11724.9</v>
      </c>
      <c r="O102" t="str">
        <f>TEXT(SalesData[[#This Row],[Order_Date]],"mmm")</f>
        <v>Apr</v>
      </c>
      <c r="P102">
        <f>YEAR(SalesData[[#This Row],[Order_Date]])</f>
        <v>2024</v>
      </c>
      <c r="Q102" t="str">
        <f>"Q"&amp;ROUNDUP(MONTH(SalesData[[#This Row],[Order_Date]])/3,0)</f>
        <v>Q2</v>
      </c>
      <c r="R102" s="2">
        <f>IFERROR(SalesData[[#This Row],[Profit]]/SalesData[[#This Row],[Sales]],0)</f>
        <v>7.9318373717473072E-3</v>
      </c>
      <c r="S102" s="2">
        <f>SalesData[[#This Row],[Price]]*SalesData[[#This Row],[Quantity]]*SalesData[[#This Row],[Discount]]</f>
        <v>2069.1</v>
      </c>
      <c r="T102" s="2" t="str">
        <f>IF(SalesData[[#This Row],[Sales]]&gt;5000,"High",IF(SalesData[[#This Row],[Sales]]&gt;2000,"Medium","Low"))</f>
        <v>High</v>
      </c>
      <c r="U102" s="2" t="str">
        <f>IF(COUNTIFS(SalesData[Customer_ID],SalesData[[#This Row],[Customer_ID]])&gt;1,"Repeat","New")</f>
        <v>Repeat</v>
      </c>
      <c r="V102" s="2" t="str">
        <f>IF(SalesData[[#This Row],[Sales]]&gt;AVERAGE(SalesData[Sales]),"Above Avg","Below Avg")</f>
        <v>Above Avg</v>
      </c>
      <c r="W102" s="2" t="str">
        <f>IF(SalesData[[#This Row],[Profit]]&gt;0,"Profit","Loss")</f>
        <v>Profit</v>
      </c>
      <c r="X102" s="2">
        <f>RANK(SalesData[[#This Row],[Sales]],SalesData[Sales])</f>
        <v>177</v>
      </c>
    </row>
    <row r="103" spans="1:24" x14ac:dyDescent="0.3">
      <c r="A103">
        <v>102</v>
      </c>
      <c r="B103" s="1">
        <v>45393</v>
      </c>
      <c r="C103">
        <v>1070</v>
      </c>
      <c r="D103" t="s">
        <v>111</v>
      </c>
      <c r="E103" t="s">
        <v>15</v>
      </c>
      <c r="F103" t="s">
        <v>21</v>
      </c>
      <c r="G103" t="s">
        <v>17</v>
      </c>
      <c r="H103" t="s">
        <v>29</v>
      </c>
      <c r="I103">
        <v>4505</v>
      </c>
      <c r="J103">
        <v>4</v>
      </c>
      <c r="K103">
        <v>0.2</v>
      </c>
      <c r="L103">
        <v>-150</v>
      </c>
      <c r="M103" t="s">
        <v>19</v>
      </c>
      <c r="N103">
        <v>14416</v>
      </c>
      <c r="O103" t="str">
        <f>TEXT(SalesData[[#This Row],[Order_Date]],"mmm")</f>
        <v>Apr</v>
      </c>
      <c r="P103">
        <f>YEAR(SalesData[[#This Row],[Order_Date]])</f>
        <v>2024</v>
      </c>
      <c r="Q103" t="str">
        <f>"Q"&amp;ROUNDUP(MONTH(SalesData[[#This Row],[Order_Date]])/3,0)</f>
        <v>Q2</v>
      </c>
      <c r="R103" s="2">
        <f>IFERROR(SalesData[[#This Row],[Profit]]/SalesData[[#This Row],[Sales]],0)</f>
        <v>-1.0405105438401776E-2</v>
      </c>
      <c r="S103" s="2">
        <f>SalesData[[#This Row],[Price]]*SalesData[[#This Row],[Quantity]]*SalesData[[#This Row],[Discount]]</f>
        <v>3604</v>
      </c>
      <c r="T103" s="2" t="str">
        <f>IF(SalesData[[#This Row],[Sales]]&gt;5000,"High",IF(SalesData[[#This Row],[Sales]]&gt;2000,"Medium","Low"))</f>
        <v>High</v>
      </c>
      <c r="U103" s="2" t="str">
        <f>IF(COUNTIFS(SalesData[Customer_ID],SalesData[[#This Row],[Customer_ID]])&gt;1,"Repeat","New")</f>
        <v>Repeat</v>
      </c>
      <c r="V103" s="2" t="str">
        <f>IF(SalesData[[#This Row],[Sales]]&gt;AVERAGE(SalesData[Sales]),"Above Avg","Below Avg")</f>
        <v>Above Avg</v>
      </c>
      <c r="W103" s="2" t="str">
        <f>IF(SalesData[[#This Row],[Profit]]&gt;0,"Profit","Loss")</f>
        <v>Loss</v>
      </c>
      <c r="X103" s="2">
        <f>RANK(SalesData[[#This Row],[Sales]],SalesData[Sales])</f>
        <v>144</v>
      </c>
    </row>
    <row r="104" spans="1:24" x14ac:dyDescent="0.3">
      <c r="A104">
        <v>103</v>
      </c>
      <c r="B104" s="1">
        <v>45394</v>
      </c>
      <c r="C104">
        <v>1012</v>
      </c>
      <c r="D104" t="s">
        <v>90</v>
      </c>
      <c r="E104" t="s">
        <v>15</v>
      </c>
      <c r="F104" t="s">
        <v>21</v>
      </c>
      <c r="G104" t="s">
        <v>17</v>
      </c>
      <c r="H104" t="s">
        <v>37</v>
      </c>
      <c r="I104">
        <v>3765</v>
      </c>
      <c r="J104">
        <v>2</v>
      </c>
      <c r="K104">
        <v>0.23</v>
      </c>
      <c r="L104">
        <v>820</v>
      </c>
      <c r="M104" t="s">
        <v>31</v>
      </c>
      <c r="N104">
        <v>5798.1</v>
      </c>
      <c r="O104" t="str">
        <f>TEXT(SalesData[[#This Row],[Order_Date]],"mmm")</f>
        <v>Apr</v>
      </c>
      <c r="P104">
        <f>YEAR(SalesData[[#This Row],[Order_Date]])</f>
        <v>2024</v>
      </c>
      <c r="Q104" t="str">
        <f>"Q"&amp;ROUNDUP(MONTH(SalesData[[#This Row],[Order_Date]])/3,0)</f>
        <v>Q2</v>
      </c>
      <c r="R104" s="2">
        <f>IFERROR(SalesData[[#This Row],[Profit]]/SalesData[[#This Row],[Sales]],0)</f>
        <v>0.14142563943360756</v>
      </c>
      <c r="S104" s="2">
        <f>SalesData[[#This Row],[Price]]*SalesData[[#This Row],[Quantity]]*SalesData[[#This Row],[Discount]]</f>
        <v>1731.9</v>
      </c>
      <c r="T104" s="2" t="str">
        <f>IF(SalesData[[#This Row],[Sales]]&gt;5000,"High",IF(SalesData[[#This Row],[Sales]]&gt;2000,"Medium","Low"))</f>
        <v>High</v>
      </c>
      <c r="U104" s="2" t="str">
        <f>IF(COUNTIFS(SalesData[Customer_ID],SalesData[[#This Row],[Customer_ID]])&gt;1,"Repeat","New")</f>
        <v>Repeat</v>
      </c>
      <c r="V104" s="2" t="str">
        <f>IF(SalesData[[#This Row],[Sales]]&gt;AVERAGE(SalesData[Sales]),"Above Avg","Below Avg")</f>
        <v>Below Avg</v>
      </c>
      <c r="W104" s="2" t="str">
        <f>IF(SalesData[[#This Row],[Profit]]&gt;0,"Profit","Loss")</f>
        <v>Profit</v>
      </c>
      <c r="X104" s="2">
        <f>RANK(SalesData[[#This Row],[Sales]],SalesData[Sales])</f>
        <v>301</v>
      </c>
    </row>
    <row r="105" spans="1:24" x14ac:dyDescent="0.3">
      <c r="A105">
        <v>104</v>
      </c>
      <c r="B105" s="1">
        <v>45395</v>
      </c>
      <c r="C105">
        <v>1054</v>
      </c>
      <c r="D105" t="s">
        <v>112</v>
      </c>
      <c r="E105" t="s">
        <v>24</v>
      </c>
      <c r="F105" t="s">
        <v>21</v>
      </c>
      <c r="G105" t="s">
        <v>34</v>
      </c>
      <c r="H105" t="s">
        <v>18</v>
      </c>
      <c r="I105">
        <v>4195</v>
      </c>
      <c r="J105">
        <v>5</v>
      </c>
      <c r="K105">
        <v>0.21</v>
      </c>
      <c r="L105">
        <v>-479</v>
      </c>
      <c r="M105" t="s">
        <v>26</v>
      </c>
      <c r="N105">
        <v>16570.25</v>
      </c>
      <c r="O105" t="str">
        <f>TEXT(SalesData[[#This Row],[Order_Date]],"mmm")</f>
        <v>Apr</v>
      </c>
      <c r="P105">
        <f>YEAR(SalesData[[#This Row],[Order_Date]])</f>
        <v>2024</v>
      </c>
      <c r="Q105" t="str">
        <f>"Q"&amp;ROUNDUP(MONTH(SalesData[[#This Row],[Order_Date]])/3,0)</f>
        <v>Q2</v>
      </c>
      <c r="R105" s="2">
        <f>IFERROR(SalesData[[#This Row],[Profit]]/SalesData[[#This Row],[Sales]],0)</f>
        <v>-2.8907228315806943E-2</v>
      </c>
      <c r="S105" s="2">
        <f>SalesData[[#This Row],[Price]]*SalesData[[#This Row],[Quantity]]*SalesData[[#This Row],[Discount]]</f>
        <v>4404.75</v>
      </c>
      <c r="T105" s="2" t="str">
        <f>IF(SalesData[[#This Row],[Sales]]&gt;5000,"High",IF(SalesData[[#This Row],[Sales]]&gt;2000,"Medium","Low"))</f>
        <v>High</v>
      </c>
      <c r="U105" s="2" t="str">
        <f>IF(COUNTIFS(SalesData[Customer_ID],SalesData[[#This Row],[Customer_ID]])&gt;1,"Repeat","New")</f>
        <v>Repeat</v>
      </c>
      <c r="V105" s="2" t="str">
        <f>IF(SalesData[[#This Row],[Sales]]&gt;AVERAGE(SalesData[Sales]),"Above Avg","Below Avg")</f>
        <v>Above Avg</v>
      </c>
      <c r="W105" s="2" t="str">
        <f>IF(SalesData[[#This Row],[Profit]]&gt;0,"Profit","Loss")</f>
        <v>Loss</v>
      </c>
      <c r="X105" s="2">
        <f>RANK(SalesData[[#This Row],[Sales]],SalesData[Sales])</f>
        <v>114</v>
      </c>
    </row>
    <row r="106" spans="1:24" x14ac:dyDescent="0.3">
      <c r="A106">
        <v>105</v>
      </c>
      <c r="B106" s="1">
        <v>45396</v>
      </c>
      <c r="C106">
        <v>1027</v>
      </c>
      <c r="D106" t="s">
        <v>86</v>
      </c>
      <c r="E106" t="s">
        <v>24</v>
      </c>
      <c r="F106" t="s">
        <v>16</v>
      </c>
      <c r="G106" t="s">
        <v>34</v>
      </c>
      <c r="H106" t="s">
        <v>18</v>
      </c>
      <c r="I106">
        <v>1628</v>
      </c>
      <c r="J106">
        <v>6</v>
      </c>
      <c r="K106">
        <v>0.17</v>
      </c>
      <c r="L106">
        <v>1224</v>
      </c>
      <c r="M106" t="s">
        <v>26</v>
      </c>
      <c r="N106">
        <v>8107.44</v>
      </c>
      <c r="O106" t="str">
        <f>TEXT(SalesData[[#This Row],[Order_Date]],"mmm")</f>
        <v>Apr</v>
      </c>
      <c r="P106">
        <f>YEAR(SalesData[[#This Row],[Order_Date]])</f>
        <v>2024</v>
      </c>
      <c r="Q106" t="str">
        <f>"Q"&amp;ROUNDUP(MONTH(SalesData[[#This Row],[Order_Date]])/3,0)</f>
        <v>Q2</v>
      </c>
      <c r="R106" s="2">
        <f>IFERROR(SalesData[[#This Row],[Profit]]/SalesData[[#This Row],[Sales]],0)</f>
        <v>0.15097244012906663</v>
      </c>
      <c r="S106" s="2">
        <f>SalesData[[#This Row],[Price]]*SalesData[[#This Row],[Quantity]]*SalesData[[#This Row],[Discount]]</f>
        <v>1660.5600000000002</v>
      </c>
      <c r="T106" s="2" t="str">
        <f>IF(SalesData[[#This Row],[Sales]]&gt;5000,"High",IF(SalesData[[#This Row],[Sales]]&gt;2000,"Medium","Low"))</f>
        <v>High</v>
      </c>
      <c r="U106" s="2" t="str">
        <f>IF(COUNTIFS(SalesData[Customer_ID],SalesData[[#This Row],[Customer_ID]])&gt;1,"Repeat","New")</f>
        <v>Repeat</v>
      </c>
      <c r="V106" s="2" t="str">
        <f>IF(SalesData[[#This Row],[Sales]]&gt;AVERAGE(SalesData[Sales]),"Above Avg","Below Avg")</f>
        <v>Below Avg</v>
      </c>
      <c r="W106" s="2" t="str">
        <f>IF(SalesData[[#This Row],[Profit]]&gt;0,"Profit","Loss")</f>
        <v>Profit</v>
      </c>
      <c r="X106" s="2">
        <f>RANK(SalesData[[#This Row],[Sales]],SalesData[Sales])</f>
        <v>248</v>
      </c>
    </row>
    <row r="107" spans="1:24" x14ac:dyDescent="0.3">
      <c r="A107">
        <v>106</v>
      </c>
      <c r="B107" s="1">
        <v>45397</v>
      </c>
      <c r="C107">
        <v>1038</v>
      </c>
      <c r="D107" t="s">
        <v>113</v>
      </c>
      <c r="E107" t="s">
        <v>24</v>
      </c>
      <c r="F107" t="s">
        <v>33</v>
      </c>
      <c r="G107" t="s">
        <v>22</v>
      </c>
      <c r="H107" t="s">
        <v>18</v>
      </c>
      <c r="I107">
        <v>759</v>
      </c>
      <c r="J107">
        <v>6</v>
      </c>
      <c r="K107">
        <v>0.16</v>
      </c>
      <c r="L107">
        <v>879</v>
      </c>
      <c r="M107" t="s">
        <v>19</v>
      </c>
      <c r="N107">
        <v>3825.3599999999901</v>
      </c>
      <c r="O107" t="str">
        <f>TEXT(SalesData[[#This Row],[Order_Date]],"mmm")</f>
        <v>Apr</v>
      </c>
      <c r="P107">
        <f>YEAR(SalesData[[#This Row],[Order_Date]])</f>
        <v>2024</v>
      </c>
      <c r="Q107" t="str">
        <f>"Q"&amp;ROUNDUP(MONTH(SalesData[[#This Row],[Order_Date]])/3,0)</f>
        <v>Q2</v>
      </c>
      <c r="R107" s="2">
        <f>IFERROR(SalesData[[#This Row],[Profit]]/SalesData[[#This Row],[Sales]],0)</f>
        <v>0.22978229499968689</v>
      </c>
      <c r="S107" s="2">
        <f>SalesData[[#This Row],[Price]]*SalesData[[#This Row],[Quantity]]*SalesData[[#This Row],[Discount]]</f>
        <v>728.64</v>
      </c>
      <c r="T107" s="2" t="str">
        <f>IF(SalesData[[#This Row],[Sales]]&gt;5000,"High",IF(SalesData[[#This Row],[Sales]]&gt;2000,"Medium","Low"))</f>
        <v>Medium</v>
      </c>
      <c r="U107" s="2" t="str">
        <f>IF(COUNTIFS(SalesData[Customer_ID],SalesData[[#This Row],[Customer_ID]])&gt;1,"Repeat","New")</f>
        <v>Repeat</v>
      </c>
      <c r="V107" s="2" t="str">
        <f>IF(SalesData[[#This Row],[Sales]]&gt;AVERAGE(SalesData[Sales]),"Above Avg","Below Avg")</f>
        <v>Below Avg</v>
      </c>
      <c r="W107" s="2" t="str">
        <f>IF(SalesData[[#This Row],[Profit]]&gt;0,"Profit","Loss")</f>
        <v>Profit</v>
      </c>
      <c r="X107" s="2">
        <f>RANK(SalesData[[#This Row],[Sales]],SalesData[Sales])</f>
        <v>363</v>
      </c>
    </row>
    <row r="108" spans="1:24" x14ac:dyDescent="0.3">
      <c r="A108">
        <v>107</v>
      </c>
      <c r="B108" s="1">
        <v>45398</v>
      </c>
      <c r="C108">
        <v>1017</v>
      </c>
      <c r="D108" t="s">
        <v>114</v>
      </c>
      <c r="E108" t="s">
        <v>15</v>
      </c>
      <c r="F108" t="s">
        <v>21</v>
      </c>
      <c r="G108" t="s">
        <v>17</v>
      </c>
      <c r="H108" t="s">
        <v>29</v>
      </c>
      <c r="I108">
        <v>101</v>
      </c>
      <c r="J108">
        <v>2</v>
      </c>
      <c r="K108">
        <v>0.26</v>
      </c>
      <c r="L108">
        <v>1747</v>
      </c>
      <c r="M108" t="s">
        <v>31</v>
      </c>
      <c r="N108">
        <v>149.47999999999999</v>
      </c>
      <c r="O108" t="str">
        <f>TEXT(SalesData[[#This Row],[Order_Date]],"mmm")</f>
        <v>Apr</v>
      </c>
      <c r="P108">
        <f>YEAR(SalesData[[#This Row],[Order_Date]])</f>
        <v>2024</v>
      </c>
      <c r="Q108" t="str">
        <f>"Q"&amp;ROUNDUP(MONTH(SalesData[[#This Row],[Order_Date]])/3,0)</f>
        <v>Q2</v>
      </c>
      <c r="R108" s="2">
        <f>IFERROR(SalesData[[#This Row],[Profit]]/SalesData[[#This Row],[Sales]],0)</f>
        <v>11.687182231736688</v>
      </c>
      <c r="S108" s="2">
        <f>SalesData[[#This Row],[Price]]*SalesData[[#This Row],[Quantity]]*SalesData[[#This Row],[Discount]]</f>
        <v>52.52</v>
      </c>
      <c r="T108" s="2" t="str">
        <f>IF(SalesData[[#This Row],[Sales]]&gt;5000,"High",IF(SalesData[[#This Row],[Sales]]&gt;2000,"Medium","Low"))</f>
        <v>Low</v>
      </c>
      <c r="U108" s="2" t="str">
        <f>IF(COUNTIFS(SalesData[Customer_ID],SalesData[[#This Row],[Customer_ID]])&gt;1,"Repeat","New")</f>
        <v>Repeat</v>
      </c>
      <c r="V108" s="2" t="str">
        <f>IF(SalesData[[#This Row],[Sales]]&gt;AVERAGE(SalesData[Sales]),"Above Avg","Below Avg")</f>
        <v>Below Avg</v>
      </c>
      <c r="W108" s="2" t="str">
        <f>IF(SalesData[[#This Row],[Profit]]&gt;0,"Profit","Loss")</f>
        <v>Profit</v>
      </c>
      <c r="X108" s="2">
        <f>RANK(SalesData[[#This Row],[Sales]],SalesData[Sales])</f>
        <v>500</v>
      </c>
    </row>
    <row r="109" spans="1:24" x14ac:dyDescent="0.3">
      <c r="A109">
        <v>108</v>
      </c>
      <c r="B109" s="1">
        <v>45399</v>
      </c>
      <c r="C109">
        <v>1061</v>
      </c>
      <c r="D109" t="s">
        <v>51</v>
      </c>
      <c r="E109" t="s">
        <v>24</v>
      </c>
      <c r="F109" t="s">
        <v>21</v>
      </c>
      <c r="G109" t="s">
        <v>34</v>
      </c>
      <c r="H109" t="s">
        <v>18</v>
      </c>
      <c r="I109">
        <v>608</v>
      </c>
      <c r="J109">
        <v>4</v>
      </c>
      <c r="K109">
        <v>0.26</v>
      </c>
      <c r="L109">
        <v>1152</v>
      </c>
      <c r="M109" t="s">
        <v>19</v>
      </c>
      <c r="N109">
        <v>1799.68</v>
      </c>
      <c r="O109" t="str">
        <f>TEXT(SalesData[[#This Row],[Order_Date]],"mmm")</f>
        <v>Apr</v>
      </c>
      <c r="P109">
        <f>YEAR(SalesData[[#This Row],[Order_Date]])</f>
        <v>2024</v>
      </c>
      <c r="Q109" t="str">
        <f>"Q"&amp;ROUNDUP(MONTH(SalesData[[#This Row],[Order_Date]])/3,0)</f>
        <v>Q2</v>
      </c>
      <c r="R109" s="2">
        <f>IFERROR(SalesData[[#This Row],[Profit]]/SalesData[[#This Row],[Sales]],0)</f>
        <v>0.64011379800853485</v>
      </c>
      <c r="S109" s="2">
        <f>SalesData[[#This Row],[Price]]*SalesData[[#This Row],[Quantity]]*SalesData[[#This Row],[Discount]]</f>
        <v>632.32000000000005</v>
      </c>
      <c r="T109" s="2" t="str">
        <f>IF(SalesData[[#This Row],[Sales]]&gt;5000,"High",IF(SalesData[[#This Row],[Sales]]&gt;2000,"Medium","Low"))</f>
        <v>Low</v>
      </c>
      <c r="U109" s="2" t="str">
        <f>IF(COUNTIFS(SalesData[Customer_ID],SalesData[[#This Row],[Customer_ID]])&gt;1,"Repeat","New")</f>
        <v>Repeat</v>
      </c>
      <c r="V109" s="2" t="str">
        <f>IF(SalesData[[#This Row],[Sales]]&gt;AVERAGE(SalesData[Sales]),"Above Avg","Below Avg")</f>
        <v>Below Avg</v>
      </c>
      <c r="W109" s="2" t="str">
        <f>IF(SalesData[[#This Row],[Profit]]&gt;0,"Profit","Loss")</f>
        <v>Profit</v>
      </c>
      <c r="X109" s="2">
        <f>RANK(SalesData[[#This Row],[Sales]],SalesData[Sales])</f>
        <v>441</v>
      </c>
    </row>
    <row r="110" spans="1:24" x14ac:dyDescent="0.3">
      <c r="A110">
        <v>109</v>
      </c>
      <c r="B110" s="1">
        <v>45400</v>
      </c>
      <c r="C110">
        <v>1074</v>
      </c>
      <c r="D110" t="s">
        <v>14</v>
      </c>
      <c r="E110" t="s">
        <v>15</v>
      </c>
      <c r="F110" t="s">
        <v>28</v>
      </c>
      <c r="G110" t="s">
        <v>22</v>
      </c>
      <c r="H110" t="s">
        <v>18</v>
      </c>
      <c r="I110">
        <v>239</v>
      </c>
      <c r="J110">
        <v>2</v>
      </c>
      <c r="K110">
        <v>0.02</v>
      </c>
      <c r="L110">
        <v>1292</v>
      </c>
      <c r="M110" t="s">
        <v>31</v>
      </c>
      <c r="N110">
        <v>468.44</v>
      </c>
      <c r="O110" t="str">
        <f>TEXT(SalesData[[#This Row],[Order_Date]],"mmm")</f>
        <v>Apr</v>
      </c>
      <c r="P110">
        <f>YEAR(SalesData[[#This Row],[Order_Date]])</f>
        <v>2024</v>
      </c>
      <c r="Q110" t="str">
        <f>"Q"&amp;ROUNDUP(MONTH(SalesData[[#This Row],[Order_Date]])/3,0)</f>
        <v>Q2</v>
      </c>
      <c r="R110" s="2">
        <f>IFERROR(SalesData[[#This Row],[Profit]]/SalesData[[#This Row],[Sales]],0)</f>
        <v>2.7580906839723336</v>
      </c>
      <c r="S110" s="2">
        <f>SalesData[[#This Row],[Price]]*SalesData[[#This Row],[Quantity]]*SalesData[[#This Row],[Discount]]</f>
        <v>9.56</v>
      </c>
      <c r="T110" s="2" t="str">
        <f>IF(SalesData[[#This Row],[Sales]]&gt;5000,"High",IF(SalesData[[#This Row],[Sales]]&gt;2000,"Medium","Low"))</f>
        <v>Low</v>
      </c>
      <c r="U110" s="2" t="str">
        <f>IF(COUNTIFS(SalesData[Customer_ID],SalesData[[#This Row],[Customer_ID]])&gt;1,"Repeat","New")</f>
        <v>Repeat</v>
      </c>
      <c r="V110" s="2" t="str">
        <f>IF(SalesData[[#This Row],[Sales]]&gt;AVERAGE(SalesData[Sales]),"Above Avg","Below Avg")</f>
        <v>Below Avg</v>
      </c>
      <c r="W110" s="2" t="str">
        <f>IF(SalesData[[#This Row],[Profit]]&gt;0,"Profit","Loss")</f>
        <v>Profit</v>
      </c>
      <c r="X110" s="2">
        <f>RANK(SalesData[[#This Row],[Sales]],SalesData[Sales])</f>
        <v>492</v>
      </c>
    </row>
    <row r="111" spans="1:24" x14ac:dyDescent="0.3">
      <c r="A111">
        <v>110</v>
      </c>
      <c r="B111" s="1">
        <v>45401</v>
      </c>
      <c r="C111">
        <v>1099</v>
      </c>
      <c r="D111" t="s">
        <v>46</v>
      </c>
      <c r="E111" t="s">
        <v>24</v>
      </c>
      <c r="F111" t="s">
        <v>33</v>
      </c>
      <c r="G111" t="s">
        <v>34</v>
      </c>
      <c r="H111" t="s">
        <v>29</v>
      </c>
      <c r="I111">
        <v>3354</v>
      </c>
      <c r="J111">
        <v>5</v>
      </c>
      <c r="K111">
        <v>0.08</v>
      </c>
      <c r="L111">
        <v>556</v>
      </c>
      <c r="M111" t="s">
        <v>26</v>
      </c>
      <c r="N111">
        <v>15428.4</v>
      </c>
      <c r="O111" t="str">
        <f>TEXT(SalesData[[#This Row],[Order_Date]],"mmm")</f>
        <v>Apr</v>
      </c>
      <c r="P111">
        <f>YEAR(SalesData[[#This Row],[Order_Date]])</f>
        <v>2024</v>
      </c>
      <c r="Q111" t="str">
        <f>"Q"&amp;ROUNDUP(MONTH(SalesData[[#This Row],[Order_Date]])/3,0)</f>
        <v>Q2</v>
      </c>
      <c r="R111" s="2">
        <f>IFERROR(SalesData[[#This Row],[Profit]]/SalesData[[#This Row],[Sales]],0)</f>
        <v>3.603743745300874E-2</v>
      </c>
      <c r="S111" s="2">
        <f>SalesData[[#This Row],[Price]]*SalesData[[#This Row],[Quantity]]*SalesData[[#This Row],[Discount]]</f>
        <v>1341.6000000000001</v>
      </c>
      <c r="T111" s="2" t="str">
        <f>IF(SalesData[[#This Row],[Sales]]&gt;5000,"High",IF(SalesData[[#This Row],[Sales]]&gt;2000,"Medium","Low"))</f>
        <v>High</v>
      </c>
      <c r="U111" s="2" t="str">
        <f>IF(COUNTIFS(SalesData[Customer_ID],SalesData[[#This Row],[Customer_ID]])&gt;1,"Repeat","New")</f>
        <v>Repeat</v>
      </c>
      <c r="V111" s="2" t="str">
        <f>IF(SalesData[[#This Row],[Sales]]&gt;AVERAGE(SalesData[Sales]),"Above Avg","Below Avg")</f>
        <v>Above Avg</v>
      </c>
      <c r="W111" s="2" t="str">
        <f>IF(SalesData[[#This Row],[Profit]]&gt;0,"Profit","Loss")</f>
        <v>Profit</v>
      </c>
      <c r="X111" s="2">
        <f>RANK(SalesData[[#This Row],[Sales]],SalesData[Sales])</f>
        <v>136</v>
      </c>
    </row>
    <row r="112" spans="1:24" x14ac:dyDescent="0.3">
      <c r="A112">
        <v>111</v>
      </c>
      <c r="B112" s="1">
        <v>45402</v>
      </c>
      <c r="C112">
        <v>1099</v>
      </c>
      <c r="D112" t="s">
        <v>109</v>
      </c>
      <c r="E112" t="s">
        <v>24</v>
      </c>
      <c r="F112" t="s">
        <v>21</v>
      </c>
      <c r="G112" t="s">
        <v>34</v>
      </c>
      <c r="H112" t="s">
        <v>18</v>
      </c>
      <c r="I112">
        <v>3754</v>
      </c>
      <c r="J112">
        <v>2</v>
      </c>
      <c r="K112">
        <v>0.28000000000000003</v>
      </c>
      <c r="L112">
        <v>853</v>
      </c>
      <c r="M112" t="s">
        <v>26</v>
      </c>
      <c r="N112">
        <v>5405.76</v>
      </c>
      <c r="O112" t="str">
        <f>TEXT(SalesData[[#This Row],[Order_Date]],"mmm")</f>
        <v>Apr</v>
      </c>
      <c r="P112">
        <f>YEAR(SalesData[[#This Row],[Order_Date]])</f>
        <v>2024</v>
      </c>
      <c r="Q112" t="str">
        <f>"Q"&amp;ROUNDUP(MONTH(SalesData[[#This Row],[Order_Date]])/3,0)</f>
        <v>Q2</v>
      </c>
      <c r="R112" s="2">
        <f>IFERROR(SalesData[[#This Row],[Profit]]/SalesData[[#This Row],[Sales]],0)</f>
        <v>0.15779464867104717</v>
      </c>
      <c r="S112" s="2">
        <f>SalesData[[#This Row],[Price]]*SalesData[[#This Row],[Quantity]]*SalesData[[#This Row],[Discount]]</f>
        <v>2102.2400000000002</v>
      </c>
      <c r="T112" s="2" t="str">
        <f>IF(SalesData[[#This Row],[Sales]]&gt;5000,"High",IF(SalesData[[#This Row],[Sales]]&gt;2000,"Medium","Low"))</f>
        <v>High</v>
      </c>
      <c r="U112" s="2" t="str">
        <f>IF(COUNTIFS(SalesData[Customer_ID],SalesData[[#This Row],[Customer_ID]])&gt;1,"Repeat","New")</f>
        <v>Repeat</v>
      </c>
      <c r="V112" s="2" t="str">
        <f>IF(SalesData[[#This Row],[Sales]]&gt;AVERAGE(SalesData[Sales]),"Above Avg","Below Avg")</f>
        <v>Below Avg</v>
      </c>
      <c r="W112" s="2" t="str">
        <f>IF(SalesData[[#This Row],[Profit]]&gt;0,"Profit","Loss")</f>
        <v>Profit</v>
      </c>
      <c r="X112" s="2">
        <f>RANK(SalesData[[#This Row],[Sales]],SalesData[Sales])</f>
        <v>312</v>
      </c>
    </row>
    <row r="113" spans="1:24" x14ac:dyDescent="0.3">
      <c r="A113">
        <v>112</v>
      </c>
      <c r="B113" s="1">
        <v>45403</v>
      </c>
      <c r="C113">
        <v>1065</v>
      </c>
      <c r="D113" t="s">
        <v>115</v>
      </c>
      <c r="E113" t="s">
        <v>15</v>
      </c>
      <c r="F113" t="s">
        <v>33</v>
      </c>
      <c r="G113" t="s">
        <v>22</v>
      </c>
      <c r="H113" t="s">
        <v>18</v>
      </c>
      <c r="I113">
        <v>1685</v>
      </c>
      <c r="J113">
        <v>9</v>
      </c>
      <c r="K113">
        <v>0.18</v>
      </c>
      <c r="L113">
        <v>1489</v>
      </c>
      <c r="M113" t="s">
        <v>31</v>
      </c>
      <c r="N113">
        <v>12435.3</v>
      </c>
      <c r="O113" t="str">
        <f>TEXT(SalesData[[#This Row],[Order_Date]],"mmm")</f>
        <v>Apr</v>
      </c>
      <c r="P113">
        <f>YEAR(SalesData[[#This Row],[Order_Date]])</f>
        <v>2024</v>
      </c>
      <c r="Q113" t="str">
        <f>"Q"&amp;ROUNDUP(MONTH(SalesData[[#This Row],[Order_Date]])/3,0)</f>
        <v>Q2</v>
      </c>
      <c r="R113" s="2">
        <f>IFERROR(SalesData[[#This Row],[Profit]]/SalesData[[#This Row],[Sales]],0)</f>
        <v>0.11973977306538645</v>
      </c>
      <c r="S113" s="2">
        <f>SalesData[[#This Row],[Price]]*SalesData[[#This Row],[Quantity]]*SalesData[[#This Row],[Discount]]</f>
        <v>2729.7</v>
      </c>
      <c r="T113" s="2" t="str">
        <f>IF(SalesData[[#This Row],[Sales]]&gt;5000,"High",IF(SalesData[[#This Row],[Sales]]&gt;2000,"Medium","Low"))</f>
        <v>High</v>
      </c>
      <c r="U113" s="2" t="str">
        <f>IF(COUNTIFS(SalesData[Customer_ID],SalesData[[#This Row],[Customer_ID]])&gt;1,"Repeat","New")</f>
        <v>Repeat</v>
      </c>
      <c r="V113" s="2" t="str">
        <f>IF(SalesData[[#This Row],[Sales]]&gt;AVERAGE(SalesData[Sales]),"Above Avg","Below Avg")</f>
        <v>Above Avg</v>
      </c>
      <c r="W113" s="2" t="str">
        <f>IF(SalesData[[#This Row],[Profit]]&gt;0,"Profit","Loss")</f>
        <v>Profit</v>
      </c>
      <c r="X113" s="2">
        <f>RANK(SalesData[[#This Row],[Sales]],SalesData[Sales])</f>
        <v>163</v>
      </c>
    </row>
    <row r="114" spans="1:24" x14ac:dyDescent="0.3">
      <c r="A114">
        <v>113</v>
      </c>
      <c r="B114" s="1">
        <v>45404</v>
      </c>
      <c r="C114">
        <v>1047</v>
      </c>
      <c r="D114" t="s">
        <v>116</v>
      </c>
      <c r="E114" t="s">
        <v>24</v>
      </c>
      <c r="F114" t="s">
        <v>21</v>
      </c>
      <c r="G114" t="s">
        <v>34</v>
      </c>
      <c r="H114" t="s">
        <v>29</v>
      </c>
      <c r="I114">
        <v>4837</v>
      </c>
      <c r="J114">
        <v>1</v>
      </c>
      <c r="K114">
        <v>0.04</v>
      </c>
      <c r="L114">
        <v>216</v>
      </c>
      <c r="M114" t="s">
        <v>26</v>
      </c>
      <c r="N114">
        <v>4643.5199999999904</v>
      </c>
      <c r="O114" t="str">
        <f>TEXT(SalesData[[#This Row],[Order_Date]],"mmm")</f>
        <v>Apr</v>
      </c>
      <c r="P114">
        <f>YEAR(SalesData[[#This Row],[Order_Date]])</f>
        <v>2024</v>
      </c>
      <c r="Q114" t="str">
        <f>"Q"&amp;ROUNDUP(MONTH(SalesData[[#This Row],[Order_Date]])/3,0)</f>
        <v>Q2</v>
      </c>
      <c r="R114" s="2">
        <f>IFERROR(SalesData[[#This Row],[Profit]]/SalesData[[#This Row],[Sales]],0)</f>
        <v>4.6516435807318679E-2</v>
      </c>
      <c r="S114" s="2">
        <f>SalesData[[#This Row],[Price]]*SalesData[[#This Row],[Quantity]]*SalesData[[#This Row],[Discount]]</f>
        <v>193.48000000000002</v>
      </c>
      <c r="T114" s="2" t="str">
        <f>IF(SalesData[[#This Row],[Sales]]&gt;5000,"High",IF(SalesData[[#This Row],[Sales]]&gt;2000,"Medium","Low"))</f>
        <v>Medium</v>
      </c>
      <c r="U114" s="2" t="str">
        <f>IF(COUNTIFS(SalesData[Customer_ID],SalesData[[#This Row],[Customer_ID]])&gt;1,"Repeat","New")</f>
        <v>Repeat</v>
      </c>
      <c r="V114" s="2" t="str">
        <f>IF(SalesData[[#This Row],[Sales]]&gt;AVERAGE(SalesData[Sales]),"Above Avg","Below Avg")</f>
        <v>Below Avg</v>
      </c>
      <c r="W114" s="2" t="str">
        <f>IF(SalesData[[#This Row],[Profit]]&gt;0,"Profit","Loss")</f>
        <v>Profit</v>
      </c>
      <c r="X114" s="2">
        <f>RANK(SalesData[[#This Row],[Sales]],SalesData[Sales])</f>
        <v>334</v>
      </c>
    </row>
    <row r="115" spans="1:24" x14ac:dyDescent="0.3">
      <c r="A115">
        <v>114</v>
      </c>
      <c r="B115" s="1">
        <v>45405</v>
      </c>
      <c r="C115">
        <v>1016</v>
      </c>
      <c r="D115" t="s">
        <v>117</v>
      </c>
      <c r="E115" t="s">
        <v>24</v>
      </c>
      <c r="F115" t="s">
        <v>16</v>
      </c>
      <c r="G115" t="s">
        <v>17</v>
      </c>
      <c r="H115" t="s">
        <v>25</v>
      </c>
      <c r="I115">
        <v>327</v>
      </c>
      <c r="J115">
        <v>6</v>
      </c>
      <c r="K115">
        <v>0.02</v>
      </c>
      <c r="L115">
        <v>-476</v>
      </c>
      <c r="M115" t="s">
        <v>19</v>
      </c>
      <c r="N115">
        <v>1922.76</v>
      </c>
      <c r="O115" t="str">
        <f>TEXT(SalesData[[#This Row],[Order_Date]],"mmm")</f>
        <v>Apr</v>
      </c>
      <c r="P115">
        <f>YEAR(SalesData[[#This Row],[Order_Date]])</f>
        <v>2024</v>
      </c>
      <c r="Q115" t="str">
        <f>"Q"&amp;ROUNDUP(MONTH(SalesData[[#This Row],[Order_Date]])/3,0)</f>
        <v>Q2</v>
      </c>
      <c r="R115" s="2">
        <f>IFERROR(SalesData[[#This Row],[Profit]]/SalesData[[#This Row],[Sales]],0)</f>
        <v>-0.24756079801951361</v>
      </c>
      <c r="S115" s="2">
        <f>SalesData[[#This Row],[Price]]*SalesData[[#This Row],[Quantity]]*SalesData[[#This Row],[Discount]]</f>
        <v>39.24</v>
      </c>
      <c r="T115" s="2" t="str">
        <f>IF(SalesData[[#This Row],[Sales]]&gt;5000,"High",IF(SalesData[[#This Row],[Sales]]&gt;2000,"Medium","Low"))</f>
        <v>Low</v>
      </c>
      <c r="U115" s="2" t="str">
        <f>IF(COUNTIFS(SalesData[Customer_ID],SalesData[[#This Row],[Customer_ID]])&gt;1,"Repeat","New")</f>
        <v>Repeat</v>
      </c>
      <c r="V115" s="2" t="str">
        <f>IF(SalesData[[#This Row],[Sales]]&gt;AVERAGE(SalesData[Sales]),"Above Avg","Below Avg")</f>
        <v>Below Avg</v>
      </c>
      <c r="W115" s="2" t="str">
        <f>IF(SalesData[[#This Row],[Profit]]&gt;0,"Profit","Loss")</f>
        <v>Loss</v>
      </c>
      <c r="X115" s="2">
        <f>RANK(SalesData[[#This Row],[Sales]],SalesData[Sales])</f>
        <v>435</v>
      </c>
    </row>
    <row r="116" spans="1:24" x14ac:dyDescent="0.3">
      <c r="A116">
        <v>115</v>
      </c>
      <c r="B116" s="1">
        <v>45406</v>
      </c>
      <c r="C116">
        <v>1005</v>
      </c>
      <c r="D116" t="s">
        <v>53</v>
      </c>
      <c r="E116" t="s">
        <v>24</v>
      </c>
      <c r="F116" t="s">
        <v>21</v>
      </c>
      <c r="G116" t="s">
        <v>22</v>
      </c>
      <c r="H116" t="s">
        <v>37</v>
      </c>
      <c r="I116">
        <v>2697</v>
      </c>
      <c r="J116">
        <v>9</v>
      </c>
      <c r="K116">
        <v>0.03</v>
      </c>
      <c r="L116">
        <v>196</v>
      </c>
      <c r="M116" t="s">
        <v>26</v>
      </c>
      <c r="N116">
        <v>23544.809999999899</v>
      </c>
      <c r="O116" t="str">
        <f>TEXT(SalesData[[#This Row],[Order_Date]],"mmm")</f>
        <v>Apr</v>
      </c>
      <c r="P116">
        <f>YEAR(SalesData[[#This Row],[Order_Date]])</f>
        <v>2024</v>
      </c>
      <c r="Q116" t="str">
        <f>"Q"&amp;ROUNDUP(MONTH(SalesData[[#This Row],[Order_Date]])/3,0)</f>
        <v>Q2</v>
      </c>
      <c r="R116" s="2">
        <f>IFERROR(SalesData[[#This Row],[Profit]]/SalesData[[#This Row],[Sales]],0)</f>
        <v>8.324552204923329E-3</v>
      </c>
      <c r="S116" s="2">
        <f>SalesData[[#This Row],[Price]]*SalesData[[#This Row],[Quantity]]*SalesData[[#This Row],[Discount]]</f>
        <v>728.18999999999994</v>
      </c>
      <c r="T116" s="2" t="str">
        <f>IF(SalesData[[#This Row],[Sales]]&gt;5000,"High",IF(SalesData[[#This Row],[Sales]]&gt;2000,"Medium","Low"))</f>
        <v>High</v>
      </c>
      <c r="U116" s="2" t="str">
        <f>IF(COUNTIFS(SalesData[Customer_ID],SalesData[[#This Row],[Customer_ID]])&gt;1,"Repeat","New")</f>
        <v>Repeat</v>
      </c>
      <c r="V116" s="2" t="str">
        <f>IF(SalesData[[#This Row],[Sales]]&gt;AVERAGE(SalesData[Sales]),"Above Avg","Below Avg")</f>
        <v>Above Avg</v>
      </c>
      <c r="W116" s="2" t="str">
        <f>IF(SalesData[[#This Row],[Profit]]&gt;0,"Profit","Loss")</f>
        <v>Profit</v>
      </c>
      <c r="X116" s="2">
        <f>RANK(SalesData[[#This Row],[Sales]],SalesData[Sales])</f>
        <v>56</v>
      </c>
    </row>
    <row r="117" spans="1:24" x14ac:dyDescent="0.3">
      <c r="A117">
        <v>116</v>
      </c>
      <c r="B117" s="1">
        <v>45407</v>
      </c>
      <c r="C117">
        <v>1086</v>
      </c>
      <c r="D117" t="s">
        <v>118</v>
      </c>
      <c r="E117" t="s">
        <v>15</v>
      </c>
      <c r="F117" t="s">
        <v>28</v>
      </c>
      <c r="G117" t="s">
        <v>22</v>
      </c>
      <c r="H117" t="s">
        <v>18</v>
      </c>
      <c r="I117">
        <v>2905</v>
      </c>
      <c r="J117">
        <v>3</v>
      </c>
      <c r="K117">
        <v>0.23</v>
      </c>
      <c r="L117">
        <v>1412</v>
      </c>
      <c r="M117" t="s">
        <v>26</v>
      </c>
      <c r="N117">
        <v>6710.55</v>
      </c>
      <c r="O117" t="str">
        <f>TEXT(SalesData[[#This Row],[Order_Date]],"mmm")</f>
        <v>Apr</v>
      </c>
      <c r="P117">
        <f>YEAR(SalesData[[#This Row],[Order_Date]])</f>
        <v>2024</v>
      </c>
      <c r="Q117" t="str">
        <f>"Q"&amp;ROUNDUP(MONTH(SalesData[[#This Row],[Order_Date]])/3,0)</f>
        <v>Q2</v>
      </c>
      <c r="R117" s="2">
        <f>IFERROR(SalesData[[#This Row],[Profit]]/SalesData[[#This Row],[Sales]],0)</f>
        <v>0.21041494363353228</v>
      </c>
      <c r="S117" s="2">
        <f>SalesData[[#This Row],[Price]]*SalesData[[#This Row],[Quantity]]*SalesData[[#This Row],[Discount]]</f>
        <v>2004.45</v>
      </c>
      <c r="T117" s="2" t="str">
        <f>IF(SalesData[[#This Row],[Sales]]&gt;5000,"High",IF(SalesData[[#This Row],[Sales]]&gt;2000,"Medium","Low"))</f>
        <v>High</v>
      </c>
      <c r="U117" s="2" t="str">
        <f>IF(COUNTIFS(SalesData[Customer_ID],SalesData[[#This Row],[Customer_ID]])&gt;1,"Repeat","New")</f>
        <v>Repeat</v>
      </c>
      <c r="V117" s="2" t="str">
        <f>IF(SalesData[[#This Row],[Sales]]&gt;AVERAGE(SalesData[Sales]),"Above Avg","Below Avg")</f>
        <v>Below Avg</v>
      </c>
      <c r="W117" s="2" t="str">
        <f>IF(SalesData[[#This Row],[Profit]]&gt;0,"Profit","Loss")</f>
        <v>Profit</v>
      </c>
      <c r="X117" s="2">
        <f>RANK(SalesData[[#This Row],[Sales]],SalesData[Sales])</f>
        <v>283</v>
      </c>
    </row>
    <row r="118" spans="1:24" x14ac:dyDescent="0.3">
      <c r="A118">
        <v>117</v>
      </c>
      <c r="B118" s="1">
        <v>45408</v>
      </c>
      <c r="C118">
        <v>1046</v>
      </c>
      <c r="D118" t="s">
        <v>53</v>
      </c>
      <c r="E118" t="s">
        <v>24</v>
      </c>
      <c r="F118" t="s">
        <v>21</v>
      </c>
      <c r="G118" t="s">
        <v>34</v>
      </c>
      <c r="H118" t="s">
        <v>18</v>
      </c>
      <c r="I118">
        <v>4460</v>
      </c>
      <c r="J118">
        <v>9</v>
      </c>
      <c r="K118">
        <v>7.0000000000000007E-2</v>
      </c>
      <c r="L118">
        <v>683</v>
      </c>
      <c r="M118" t="s">
        <v>19</v>
      </c>
      <c r="N118">
        <v>37330.199999999997</v>
      </c>
      <c r="O118" t="str">
        <f>TEXT(SalesData[[#This Row],[Order_Date]],"mmm")</f>
        <v>Apr</v>
      </c>
      <c r="P118">
        <f>YEAR(SalesData[[#This Row],[Order_Date]])</f>
        <v>2024</v>
      </c>
      <c r="Q118" t="str">
        <f>"Q"&amp;ROUNDUP(MONTH(SalesData[[#This Row],[Order_Date]])/3,0)</f>
        <v>Q2</v>
      </c>
      <c r="R118" s="2">
        <f>IFERROR(SalesData[[#This Row],[Profit]]/SalesData[[#This Row],[Sales]],0)</f>
        <v>1.8296178429261029E-2</v>
      </c>
      <c r="S118" s="2">
        <f>SalesData[[#This Row],[Price]]*SalesData[[#This Row],[Quantity]]*SalesData[[#This Row],[Discount]]</f>
        <v>2809.8</v>
      </c>
      <c r="T118" s="2" t="str">
        <f>IF(SalesData[[#This Row],[Sales]]&gt;5000,"High",IF(SalesData[[#This Row],[Sales]]&gt;2000,"Medium","Low"))</f>
        <v>High</v>
      </c>
      <c r="U118" s="2" t="str">
        <f>IF(COUNTIFS(SalesData[Customer_ID],SalesData[[#This Row],[Customer_ID]])&gt;1,"Repeat","New")</f>
        <v>Repeat</v>
      </c>
      <c r="V118" s="2" t="str">
        <f>IF(SalesData[[#This Row],[Sales]]&gt;AVERAGE(SalesData[Sales]),"Above Avg","Below Avg")</f>
        <v>Above Avg</v>
      </c>
      <c r="W118" s="2" t="str">
        <f>IF(SalesData[[#This Row],[Profit]]&gt;0,"Profit","Loss")</f>
        <v>Profit</v>
      </c>
      <c r="X118" s="2">
        <f>RANK(SalesData[[#This Row],[Sales]],SalesData[Sales])</f>
        <v>6</v>
      </c>
    </row>
    <row r="119" spans="1:24" x14ac:dyDescent="0.3">
      <c r="A119">
        <v>118</v>
      </c>
      <c r="B119" s="1">
        <v>45409</v>
      </c>
      <c r="C119">
        <v>1015</v>
      </c>
      <c r="D119" t="s">
        <v>119</v>
      </c>
      <c r="E119" t="s">
        <v>15</v>
      </c>
      <c r="F119" t="s">
        <v>21</v>
      </c>
      <c r="G119" t="s">
        <v>22</v>
      </c>
      <c r="H119" t="s">
        <v>29</v>
      </c>
      <c r="I119">
        <v>3646</v>
      </c>
      <c r="J119">
        <v>2</v>
      </c>
      <c r="K119">
        <v>7.0000000000000007E-2</v>
      </c>
      <c r="L119">
        <v>1559</v>
      </c>
      <c r="M119" t="s">
        <v>31</v>
      </c>
      <c r="N119">
        <v>6781.5599999999904</v>
      </c>
      <c r="O119" t="str">
        <f>TEXT(SalesData[[#This Row],[Order_Date]],"mmm")</f>
        <v>Apr</v>
      </c>
      <c r="P119">
        <f>YEAR(SalesData[[#This Row],[Order_Date]])</f>
        <v>2024</v>
      </c>
      <c r="Q119" t="str">
        <f>"Q"&amp;ROUNDUP(MONTH(SalesData[[#This Row],[Order_Date]])/3,0)</f>
        <v>Q2</v>
      </c>
      <c r="R119" s="2">
        <f>IFERROR(SalesData[[#This Row],[Profit]]/SalesData[[#This Row],[Sales]],0)</f>
        <v>0.22988810834085405</v>
      </c>
      <c r="S119" s="2">
        <f>SalesData[[#This Row],[Price]]*SalesData[[#This Row],[Quantity]]*SalesData[[#This Row],[Discount]]</f>
        <v>510.44000000000005</v>
      </c>
      <c r="T119" s="2" t="str">
        <f>IF(SalesData[[#This Row],[Sales]]&gt;5000,"High",IF(SalesData[[#This Row],[Sales]]&gt;2000,"Medium","Low"))</f>
        <v>High</v>
      </c>
      <c r="U119" s="2" t="str">
        <f>IF(COUNTIFS(SalesData[Customer_ID],SalesData[[#This Row],[Customer_ID]])&gt;1,"Repeat","New")</f>
        <v>Repeat</v>
      </c>
      <c r="V119" s="2" t="str">
        <f>IF(SalesData[[#This Row],[Sales]]&gt;AVERAGE(SalesData[Sales]),"Above Avg","Below Avg")</f>
        <v>Below Avg</v>
      </c>
      <c r="W119" s="2" t="str">
        <f>IF(SalesData[[#This Row],[Profit]]&gt;0,"Profit","Loss")</f>
        <v>Profit</v>
      </c>
      <c r="X119" s="2">
        <f>RANK(SalesData[[#This Row],[Sales]],SalesData[Sales])</f>
        <v>278</v>
      </c>
    </row>
    <row r="120" spans="1:24" x14ac:dyDescent="0.3">
      <c r="A120">
        <v>119</v>
      </c>
      <c r="B120" s="1">
        <v>45410</v>
      </c>
      <c r="C120">
        <v>1059</v>
      </c>
      <c r="D120" t="s">
        <v>82</v>
      </c>
      <c r="E120" t="s">
        <v>24</v>
      </c>
      <c r="F120" t="s">
        <v>28</v>
      </c>
      <c r="G120" t="s">
        <v>34</v>
      </c>
      <c r="H120" t="s">
        <v>25</v>
      </c>
      <c r="I120">
        <v>3772</v>
      </c>
      <c r="J120">
        <v>2</v>
      </c>
      <c r="K120">
        <v>0.04</v>
      </c>
      <c r="L120">
        <v>189</v>
      </c>
      <c r="M120" t="s">
        <v>26</v>
      </c>
      <c r="N120">
        <v>7242.24</v>
      </c>
      <c r="O120" t="str">
        <f>TEXT(SalesData[[#This Row],[Order_Date]],"mmm")</f>
        <v>Apr</v>
      </c>
      <c r="P120">
        <f>YEAR(SalesData[[#This Row],[Order_Date]])</f>
        <v>2024</v>
      </c>
      <c r="Q120" t="str">
        <f>"Q"&amp;ROUNDUP(MONTH(SalesData[[#This Row],[Order_Date]])/3,0)</f>
        <v>Q2</v>
      </c>
      <c r="R120" s="2">
        <f>IFERROR(SalesData[[#This Row],[Profit]]/SalesData[[#This Row],[Sales]],0)</f>
        <v>2.6096898197242844E-2</v>
      </c>
      <c r="S120" s="2">
        <f>SalesData[[#This Row],[Price]]*SalesData[[#This Row],[Quantity]]*SalesData[[#This Row],[Discount]]</f>
        <v>301.76</v>
      </c>
      <c r="T120" s="2" t="str">
        <f>IF(SalesData[[#This Row],[Sales]]&gt;5000,"High",IF(SalesData[[#This Row],[Sales]]&gt;2000,"Medium","Low"))</f>
        <v>High</v>
      </c>
      <c r="U120" s="2" t="str">
        <f>IF(COUNTIFS(SalesData[Customer_ID],SalesData[[#This Row],[Customer_ID]])&gt;1,"Repeat","New")</f>
        <v>Repeat</v>
      </c>
      <c r="V120" s="2" t="str">
        <f>IF(SalesData[[#This Row],[Sales]]&gt;AVERAGE(SalesData[Sales]),"Above Avg","Below Avg")</f>
        <v>Below Avg</v>
      </c>
      <c r="W120" s="2" t="str">
        <f>IF(SalesData[[#This Row],[Profit]]&gt;0,"Profit","Loss")</f>
        <v>Profit</v>
      </c>
      <c r="X120" s="2">
        <f>RANK(SalesData[[#This Row],[Sales]],SalesData[Sales])</f>
        <v>270</v>
      </c>
    </row>
    <row r="121" spans="1:24" x14ac:dyDescent="0.3">
      <c r="A121">
        <v>120</v>
      </c>
      <c r="B121" s="1">
        <v>45411</v>
      </c>
      <c r="C121">
        <v>1040</v>
      </c>
      <c r="D121" t="s">
        <v>104</v>
      </c>
      <c r="E121" t="s">
        <v>24</v>
      </c>
      <c r="F121" t="s">
        <v>21</v>
      </c>
      <c r="G121" t="s">
        <v>22</v>
      </c>
      <c r="H121" t="s">
        <v>29</v>
      </c>
      <c r="I121">
        <v>4990</v>
      </c>
      <c r="J121">
        <v>2</v>
      </c>
      <c r="K121">
        <v>0.18</v>
      </c>
      <c r="L121">
        <v>829</v>
      </c>
      <c r="M121" t="s">
        <v>19</v>
      </c>
      <c r="N121">
        <v>8183.6</v>
      </c>
      <c r="O121" t="str">
        <f>TEXT(SalesData[[#This Row],[Order_Date]],"mmm")</f>
        <v>Apr</v>
      </c>
      <c r="P121">
        <f>YEAR(SalesData[[#This Row],[Order_Date]])</f>
        <v>2024</v>
      </c>
      <c r="Q121" t="str">
        <f>"Q"&amp;ROUNDUP(MONTH(SalesData[[#This Row],[Order_Date]])/3,0)</f>
        <v>Q2</v>
      </c>
      <c r="R121" s="2">
        <f>IFERROR(SalesData[[#This Row],[Profit]]/SalesData[[#This Row],[Sales]],0)</f>
        <v>0.10130016129820617</v>
      </c>
      <c r="S121" s="2">
        <f>SalesData[[#This Row],[Price]]*SalesData[[#This Row],[Quantity]]*SalesData[[#This Row],[Discount]]</f>
        <v>1796.3999999999999</v>
      </c>
      <c r="T121" s="2" t="str">
        <f>IF(SalesData[[#This Row],[Sales]]&gt;5000,"High",IF(SalesData[[#This Row],[Sales]]&gt;2000,"Medium","Low"))</f>
        <v>High</v>
      </c>
      <c r="U121" s="2" t="str">
        <f>IF(COUNTIFS(SalesData[Customer_ID],SalesData[[#This Row],[Customer_ID]])&gt;1,"Repeat","New")</f>
        <v>Repeat</v>
      </c>
      <c r="V121" s="2" t="str">
        <f>IF(SalesData[[#This Row],[Sales]]&gt;AVERAGE(SalesData[Sales]),"Above Avg","Below Avg")</f>
        <v>Below Avg</v>
      </c>
      <c r="W121" s="2" t="str">
        <f>IF(SalesData[[#This Row],[Profit]]&gt;0,"Profit","Loss")</f>
        <v>Profit</v>
      </c>
      <c r="X121" s="2">
        <f>RANK(SalesData[[#This Row],[Sales]],SalesData[Sales])</f>
        <v>245</v>
      </c>
    </row>
    <row r="122" spans="1:24" x14ac:dyDescent="0.3">
      <c r="A122">
        <v>121</v>
      </c>
      <c r="B122" s="1">
        <v>45412</v>
      </c>
      <c r="C122">
        <v>1025</v>
      </c>
      <c r="D122" t="s">
        <v>38</v>
      </c>
      <c r="E122" t="s">
        <v>24</v>
      </c>
      <c r="F122" t="s">
        <v>16</v>
      </c>
      <c r="G122" t="s">
        <v>22</v>
      </c>
      <c r="H122" t="s">
        <v>25</v>
      </c>
      <c r="I122">
        <v>4660</v>
      </c>
      <c r="J122">
        <v>3</v>
      </c>
      <c r="K122">
        <v>0.15</v>
      </c>
      <c r="L122">
        <v>697</v>
      </c>
      <c r="M122" t="s">
        <v>19</v>
      </c>
      <c r="N122">
        <v>11883</v>
      </c>
      <c r="O122" t="str">
        <f>TEXT(SalesData[[#This Row],[Order_Date]],"mmm")</f>
        <v>Apr</v>
      </c>
      <c r="P122">
        <f>YEAR(SalesData[[#This Row],[Order_Date]])</f>
        <v>2024</v>
      </c>
      <c r="Q122" t="str">
        <f>"Q"&amp;ROUNDUP(MONTH(SalesData[[#This Row],[Order_Date]])/3,0)</f>
        <v>Q2</v>
      </c>
      <c r="R122" s="2">
        <f>IFERROR(SalesData[[#This Row],[Profit]]/SalesData[[#This Row],[Sales]],0)</f>
        <v>5.8655221745350504E-2</v>
      </c>
      <c r="S122" s="2">
        <f>SalesData[[#This Row],[Price]]*SalesData[[#This Row],[Quantity]]*SalesData[[#This Row],[Discount]]</f>
        <v>2097</v>
      </c>
      <c r="T122" s="2" t="str">
        <f>IF(SalesData[[#This Row],[Sales]]&gt;5000,"High",IF(SalesData[[#This Row],[Sales]]&gt;2000,"Medium","Low"))</f>
        <v>High</v>
      </c>
      <c r="U122" s="2" t="str">
        <f>IF(COUNTIFS(SalesData[Customer_ID],SalesData[[#This Row],[Customer_ID]])&gt;1,"Repeat","New")</f>
        <v>Repeat</v>
      </c>
      <c r="V122" s="2" t="str">
        <f>IF(SalesData[[#This Row],[Sales]]&gt;AVERAGE(SalesData[Sales]),"Above Avg","Below Avg")</f>
        <v>Above Avg</v>
      </c>
      <c r="W122" s="2" t="str">
        <f>IF(SalesData[[#This Row],[Profit]]&gt;0,"Profit","Loss")</f>
        <v>Profit</v>
      </c>
      <c r="X122" s="2">
        <f>RANK(SalesData[[#This Row],[Sales]],SalesData[Sales])</f>
        <v>170</v>
      </c>
    </row>
    <row r="123" spans="1:24" x14ac:dyDescent="0.3">
      <c r="A123">
        <v>122</v>
      </c>
      <c r="B123" s="1">
        <v>45413</v>
      </c>
      <c r="C123">
        <v>1045</v>
      </c>
      <c r="D123" t="s">
        <v>120</v>
      </c>
      <c r="E123" t="s">
        <v>24</v>
      </c>
      <c r="F123" t="s">
        <v>21</v>
      </c>
      <c r="G123" t="s">
        <v>34</v>
      </c>
      <c r="H123" t="s">
        <v>29</v>
      </c>
      <c r="I123">
        <v>2622</v>
      </c>
      <c r="J123">
        <v>4</v>
      </c>
      <c r="K123">
        <v>0.08</v>
      </c>
      <c r="L123">
        <v>-69</v>
      </c>
      <c r="M123" t="s">
        <v>31</v>
      </c>
      <c r="N123">
        <v>9648.9599999999991</v>
      </c>
      <c r="O123" t="str">
        <f>TEXT(SalesData[[#This Row],[Order_Date]],"mmm")</f>
        <v>May</v>
      </c>
      <c r="P123">
        <f>YEAR(SalesData[[#This Row],[Order_Date]])</f>
        <v>2024</v>
      </c>
      <c r="Q123" t="str">
        <f>"Q"&amp;ROUNDUP(MONTH(SalesData[[#This Row],[Order_Date]])/3,0)</f>
        <v>Q2</v>
      </c>
      <c r="R123" s="2">
        <f>IFERROR(SalesData[[#This Row],[Profit]]/SalesData[[#This Row],[Sales]],0)</f>
        <v>-7.1510297482837533E-3</v>
      </c>
      <c r="S123" s="2">
        <f>SalesData[[#This Row],[Price]]*SalesData[[#This Row],[Quantity]]*SalesData[[#This Row],[Discount]]</f>
        <v>839.04</v>
      </c>
      <c r="T123" s="2" t="str">
        <f>IF(SalesData[[#This Row],[Sales]]&gt;5000,"High",IF(SalesData[[#This Row],[Sales]]&gt;2000,"Medium","Low"))</f>
        <v>High</v>
      </c>
      <c r="U123" s="2" t="str">
        <f>IF(COUNTIFS(SalesData[Customer_ID],SalesData[[#This Row],[Customer_ID]])&gt;1,"Repeat","New")</f>
        <v>Repeat</v>
      </c>
      <c r="V123" s="2" t="str">
        <f>IF(SalesData[[#This Row],[Sales]]&gt;AVERAGE(SalesData[Sales]),"Above Avg","Below Avg")</f>
        <v>Below Avg</v>
      </c>
      <c r="W123" s="2" t="str">
        <f>IF(SalesData[[#This Row],[Profit]]&gt;0,"Profit","Loss")</f>
        <v>Loss</v>
      </c>
      <c r="X123" s="2">
        <f>RANK(SalesData[[#This Row],[Sales]],SalesData[Sales])</f>
        <v>210</v>
      </c>
    </row>
    <row r="124" spans="1:24" x14ac:dyDescent="0.3">
      <c r="A124">
        <v>123</v>
      </c>
      <c r="B124" s="1">
        <v>45414</v>
      </c>
      <c r="C124">
        <v>1049</v>
      </c>
      <c r="D124" t="s">
        <v>84</v>
      </c>
      <c r="E124" t="s">
        <v>15</v>
      </c>
      <c r="F124" t="s">
        <v>28</v>
      </c>
      <c r="G124" t="s">
        <v>34</v>
      </c>
      <c r="H124" t="s">
        <v>29</v>
      </c>
      <c r="I124">
        <v>438</v>
      </c>
      <c r="J124">
        <v>3</v>
      </c>
      <c r="K124">
        <v>0.2</v>
      </c>
      <c r="L124">
        <v>1254</v>
      </c>
      <c r="M124" t="s">
        <v>19</v>
      </c>
      <c r="N124">
        <v>1051.2</v>
      </c>
      <c r="O124" t="str">
        <f>TEXT(SalesData[[#This Row],[Order_Date]],"mmm")</f>
        <v>May</v>
      </c>
      <c r="P124">
        <f>YEAR(SalesData[[#This Row],[Order_Date]])</f>
        <v>2024</v>
      </c>
      <c r="Q124" t="str">
        <f>"Q"&amp;ROUNDUP(MONTH(SalesData[[#This Row],[Order_Date]])/3,0)</f>
        <v>Q2</v>
      </c>
      <c r="R124" s="2">
        <f>IFERROR(SalesData[[#This Row],[Profit]]/SalesData[[#This Row],[Sales]],0)</f>
        <v>1.1929223744292237</v>
      </c>
      <c r="S124" s="2">
        <f>SalesData[[#This Row],[Price]]*SalesData[[#This Row],[Quantity]]*SalesData[[#This Row],[Discount]]</f>
        <v>262.8</v>
      </c>
      <c r="T124" s="2" t="str">
        <f>IF(SalesData[[#This Row],[Sales]]&gt;5000,"High",IF(SalesData[[#This Row],[Sales]]&gt;2000,"Medium","Low"))</f>
        <v>Low</v>
      </c>
      <c r="U124" s="2" t="str">
        <f>IF(COUNTIFS(SalesData[Customer_ID],SalesData[[#This Row],[Customer_ID]])&gt;1,"Repeat","New")</f>
        <v>Repeat</v>
      </c>
      <c r="V124" s="2" t="str">
        <f>IF(SalesData[[#This Row],[Sales]]&gt;AVERAGE(SalesData[Sales]),"Above Avg","Below Avg")</f>
        <v>Below Avg</v>
      </c>
      <c r="W124" s="2" t="str">
        <f>IF(SalesData[[#This Row],[Profit]]&gt;0,"Profit","Loss")</f>
        <v>Profit</v>
      </c>
      <c r="X124" s="2">
        <f>RANK(SalesData[[#This Row],[Sales]],SalesData[Sales])</f>
        <v>478</v>
      </c>
    </row>
    <row r="125" spans="1:24" x14ac:dyDescent="0.3">
      <c r="A125">
        <v>124</v>
      </c>
      <c r="B125" s="1">
        <v>45415</v>
      </c>
      <c r="C125">
        <v>1000</v>
      </c>
      <c r="D125" t="s">
        <v>121</v>
      </c>
      <c r="E125" t="s">
        <v>15</v>
      </c>
      <c r="F125" t="s">
        <v>21</v>
      </c>
      <c r="G125" t="s">
        <v>22</v>
      </c>
      <c r="H125" t="s">
        <v>25</v>
      </c>
      <c r="I125">
        <v>918</v>
      </c>
      <c r="J125">
        <v>6</v>
      </c>
      <c r="K125">
        <v>0.23</v>
      </c>
      <c r="L125">
        <v>-299</v>
      </c>
      <c r="M125" t="s">
        <v>19</v>
      </c>
      <c r="N125">
        <v>4241.16</v>
      </c>
      <c r="O125" t="str">
        <f>TEXT(SalesData[[#This Row],[Order_Date]],"mmm")</f>
        <v>May</v>
      </c>
      <c r="P125">
        <f>YEAR(SalesData[[#This Row],[Order_Date]])</f>
        <v>2024</v>
      </c>
      <c r="Q125" t="str">
        <f>"Q"&amp;ROUNDUP(MONTH(SalesData[[#This Row],[Order_Date]])/3,0)</f>
        <v>Q2</v>
      </c>
      <c r="R125" s="2">
        <f>IFERROR(SalesData[[#This Row],[Profit]]/SalesData[[#This Row],[Sales]],0)</f>
        <v>-7.0499580303501869E-2</v>
      </c>
      <c r="S125" s="2">
        <f>SalesData[[#This Row],[Price]]*SalesData[[#This Row],[Quantity]]*SalesData[[#This Row],[Discount]]</f>
        <v>1266.8400000000001</v>
      </c>
      <c r="T125" s="2" t="str">
        <f>IF(SalesData[[#This Row],[Sales]]&gt;5000,"High",IF(SalesData[[#This Row],[Sales]]&gt;2000,"Medium","Low"))</f>
        <v>Medium</v>
      </c>
      <c r="U125" s="2" t="str">
        <f>IF(COUNTIFS(SalesData[Customer_ID],SalesData[[#This Row],[Customer_ID]])&gt;1,"Repeat","New")</f>
        <v>Repeat</v>
      </c>
      <c r="V125" s="2" t="str">
        <f>IF(SalesData[[#This Row],[Sales]]&gt;AVERAGE(SalesData[Sales]),"Above Avg","Below Avg")</f>
        <v>Below Avg</v>
      </c>
      <c r="W125" s="2" t="str">
        <f>IF(SalesData[[#This Row],[Profit]]&gt;0,"Profit","Loss")</f>
        <v>Loss</v>
      </c>
      <c r="X125" s="2">
        <f>RANK(SalesData[[#This Row],[Sales]],SalesData[Sales])</f>
        <v>344</v>
      </c>
    </row>
    <row r="126" spans="1:24" x14ac:dyDescent="0.3">
      <c r="A126">
        <v>125</v>
      </c>
      <c r="B126" s="1">
        <v>45416</v>
      </c>
      <c r="C126">
        <v>1035</v>
      </c>
      <c r="D126" t="s">
        <v>60</v>
      </c>
      <c r="E126" t="s">
        <v>24</v>
      </c>
      <c r="F126" t="s">
        <v>28</v>
      </c>
      <c r="G126" t="s">
        <v>34</v>
      </c>
      <c r="H126" t="s">
        <v>25</v>
      </c>
      <c r="I126">
        <v>2666</v>
      </c>
      <c r="J126">
        <v>6</v>
      </c>
      <c r="K126">
        <v>0.28999999999999998</v>
      </c>
      <c r="L126">
        <v>1830</v>
      </c>
      <c r="M126" t="s">
        <v>26</v>
      </c>
      <c r="N126">
        <v>11357.16</v>
      </c>
      <c r="O126" t="str">
        <f>TEXT(SalesData[[#This Row],[Order_Date]],"mmm")</f>
        <v>May</v>
      </c>
      <c r="P126">
        <f>YEAR(SalesData[[#This Row],[Order_Date]])</f>
        <v>2024</v>
      </c>
      <c r="Q126" t="str">
        <f>"Q"&amp;ROUNDUP(MONTH(SalesData[[#This Row],[Order_Date]])/3,0)</f>
        <v>Q2</v>
      </c>
      <c r="R126" s="2">
        <f>IFERROR(SalesData[[#This Row],[Profit]]/SalesData[[#This Row],[Sales]],0)</f>
        <v>0.16113183225383812</v>
      </c>
      <c r="S126" s="2">
        <f>SalesData[[#This Row],[Price]]*SalesData[[#This Row],[Quantity]]*SalesData[[#This Row],[Discount]]</f>
        <v>4638.8399999999992</v>
      </c>
      <c r="T126" s="2" t="str">
        <f>IF(SalesData[[#This Row],[Sales]]&gt;5000,"High",IF(SalesData[[#This Row],[Sales]]&gt;2000,"Medium","Low"))</f>
        <v>High</v>
      </c>
      <c r="U126" s="2" t="str">
        <f>IF(COUNTIFS(SalesData[Customer_ID],SalesData[[#This Row],[Customer_ID]])&gt;1,"Repeat","New")</f>
        <v>Repeat</v>
      </c>
      <c r="V126" s="2" t="str">
        <f>IF(SalesData[[#This Row],[Sales]]&gt;AVERAGE(SalesData[Sales]),"Above Avg","Below Avg")</f>
        <v>Above Avg</v>
      </c>
      <c r="W126" s="2" t="str">
        <f>IF(SalesData[[#This Row],[Profit]]&gt;0,"Profit","Loss")</f>
        <v>Profit</v>
      </c>
      <c r="X126" s="2">
        <f>RANK(SalesData[[#This Row],[Sales]],SalesData[Sales])</f>
        <v>184</v>
      </c>
    </row>
    <row r="127" spans="1:24" x14ac:dyDescent="0.3">
      <c r="A127">
        <v>126</v>
      </c>
      <c r="B127" s="1">
        <v>45417</v>
      </c>
      <c r="C127">
        <v>1029</v>
      </c>
      <c r="D127" t="s">
        <v>81</v>
      </c>
      <c r="E127" t="s">
        <v>15</v>
      </c>
      <c r="F127" t="s">
        <v>33</v>
      </c>
      <c r="G127" t="s">
        <v>17</v>
      </c>
      <c r="H127" t="s">
        <v>37</v>
      </c>
      <c r="I127">
        <v>3817</v>
      </c>
      <c r="J127">
        <v>5</v>
      </c>
      <c r="K127">
        <v>0.14000000000000001</v>
      </c>
      <c r="L127">
        <v>381</v>
      </c>
      <c r="M127" t="s">
        <v>31</v>
      </c>
      <c r="N127">
        <v>16413.099999999999</v>
      </c>
      <c r="O127" t="str">
        <f>TEXT(SalesData[[#This Row],[Order_Date]],"mmm")</f>
        <v>May</v>
      </c>
      <c r="P127">
        <f>YEAR(SalesData[[#This Row],[Order_Date]])</f>
        <v>2024</v>
      </c>
      <c r="Q127" t="str">
        <f>"Q"&amp;ROUNDUP(MONTH(SalesData[[#This Row],[Order_Date]])/3,0)</f>
        <v>Q2</v>
      </c>
      <c r="R127" s="2">
        <f>IFERROR(SalesData[[#This Row],[Profit]]/SalesData[[#This Row],[Sales]],0)</f>
        <v>2.3213165093736103E-2</v>
      </c>
      <c r="S127" s="2">
        <f>SalesData[[#This Row],[Price]]*SalesData[[#This Row],[Quantity]]*SalesData[[#This Row],[Discount]]</f>
        <v>2671.9</v>
      </c>
      <c r="T127" s="2" t="str">
        <f>IF(SalesData[[#This Row],[Sales]]&gt;5000,"High",IF(SalesData[[#This Row],[Sales]]&gt;2000,"Medium","Low"))</f>
        <v>High</v>
      </c>
      <c r="U127" s="2" t="str">
        <f>IF(COUNTIFS(SalesData[Customer_ID],SalesData[[#This Row],[Customer_ID]])&gt;1,"Repeat","New")</f>
        <v>Repeat</v>
      </c>
      <c r="V127" s="2" t="str">
        <f>IF(SalesData[[#This Row],[Sales]]&gt;AVERAGE(SalesData[Sales]),"Above Avg","Below Avg")</f>
        <v>Above Avg</v>
      </c>
      <c r="W127" s="2" t="str">
        <f>IF(SalesData[[#This Row],[Profit]]&gt;0,"Profit","Loss")</f>
        <v>Profit</v>
      </c>
      <c r="X127" s="2">
        <f>RANK(SalesData[[#This Row],[Sales]],SalesData[Sales])</f>
        <v>117</v>
      </c>
    </row>
    <row r="128" spans="1:24" x14ac:dyDescent="0.3">
      <c r="A128">
        <v>127</v>
      </c>
      <c r="B128" s="1">
        <v>45418</v>
      </c>
      <c r="C128">
        <v>1001</v>
      </c>
      <c r="D128" t="s">
        <v>122</v>
      </c>
      <c r="E128" t="s">
        <v>15</v>
      </c>
      <c r="F128" t="s">
        <v>28</v>
      </c>
      <c r="G128" t="s">
        <v>34</v>
      </c>
      <c r="H128" t="s">
        <v>29</v>
      </c>
      <c r="I128">
        <v>3162</v>
      </c>
      <c r="J128">
        <v>2</v>
      </c>
      <c r="K128">
        <v>0.12</v>
      </c>
      <c r="L128">
        <v>1730</v>
      </c>
      <c r="M128" t="s">
        <v>19</v>
      </c>
      <c r="N128">
        <v>5565.12</v>
      </c>
      <c r="O128" t="str">
        <f>TEXT(SalesData[[#This Row],[Order_Date]],"mmm")</f>
        <v>May</v>
      </c>
      <c r="P128">
        <f>YEAR(SalesData[[#This Row],[Order_Date]])</f>
        <v>2024</v>
      </c>
      <c r="Q128" t="str">
        <f>"Q"&amp;ROUNDUP(MONTH(SalesData[[#This Row],[Order_Date]])/3,0)</f>
        <v>Q2</v>
      </c>
      <c r="R128" s="2">
        <f>IFERROR(SalesData[[#This Row],[Profit]]/SalesData[[#This Row],[Sales]],0)</f>
        <v>0.31086481513426484</v>
      </c>
      <c r="S128" s="2">
        <f>SalesData[[#This Row],[Price]]*SalesData[[#This Row],[Quantity]]*SalesData[[#This Row],[Discount]]</f>
        <v>758.88</v>
      </c>
      <c r="T128" s="2" t="str">
        <f>IF(SalesData[[#This Row],[Sales]]&gt;5000,"High",IF(SalesData[[#This Row],[Sales]]&gt;2000,"Medium","Low"))</f>
        <v>High</v>
      </c>
      <c r="U128" s="2" t="str">
        <f>IF(COUNTIFS(SalesData[Customer_ID],SalesData[[#This Row],[Customer_ID]])&gt;1,"Repeat","New")</f>
        <v>Repeat</v>
      </c>
      <c r="V128" s="2" t="str">
        <f>IF(SalesData[[#This Row],[Sales]]&gt;AVERAGE(SalesData[Sales]),"Above Avg","Below Avg")</f>
        <v>Below Avg</v>
      </c>
      <c r="W128" s="2" t="str">
        <f>IF(SalesData[[#This Row],[Profit]]&gt;0,"Profit","Loss")</f>
        <v>Profit</v>
      </c>
      <c r="X128" s="2">
        <f>RANK(SalesData[[#This Row],[Sales]],SalesData[Sales])</f>
        <v>306</v>
      </c>
    </row>
    <row r="129" spans="1:24" x14ac:dyDescent="0.3">
      <c r="A129">
        <v>128</v>
      </c>
      <c r="B129" s="1">
        <v>45419</v>
      </c>
      <c r="C129">
        <v>1083</v>
      </c>
      <c r="D129" t="s">
        <v>42</v>
      </c>
      <c r="E129" t="s">
        <v>24</v>
      </c>
      <c r="F129" t="s">
        <v>28</v>
      </c>
      <c r="G129" t="s">
        <v>34</v>
      </c>
      <c r="H129" t="s">
        <v>18</v>
      </c>
      <c r="I129">
        <v>1353</v>
      </c>
      <c r="J129">
        <v>4</v>
      </c>
      <c r="K129">
        <v>0.09</v>
      </c>
      <c r="L129">
        <v>558</v>
      </c>
      <c r="M129" t="s">
        <v>26</v>
      </c>
      <c r="N129">
        <v>4924.92</v>
      </c>
      <c r="O129" t="str">
        <f>TEXT(SalesData[[#This Row],[Order_Date]],"mmm")</f>
        <v>May</v>
      </c>
      <c r="P129">
        <f>YEAR(SalesData[[#This Row],[Order_Date]])</f>
        <v>2024</v>
      </c>
      <c r="Q129" t="str">
        <f>"Q"&amp;ROUNDUP(MONTH(SalesData[[#This Row],[Order_Date]])/3,0)</f>
        <v>Q2</v>
      </c>
      <c r="R129" s="2">
        <f>IFERROR(SalesData[[#This Row],[Profit]]/SalesData[[#This Row],[Sales]],0)</f>
        <v>0.11330133281352793</v>
      </c>
      <c r="S129" s="2">
        <f>SalesData[[#This Row],[Price]]*SalesData[[#This Row],[Quantity]]*SalesData[[#This Row],[Discount]]</f>
        <v>487.08</v>
      </c>
      <c r="T129" s="2" t="str">
        <f>IF(SalesData[[#This Row],[Sales]]&gt;5000,"High",IF(SalesData[[#This Row],[Sales]]&gt;2000,"Medium","Low"))</f>
        <v>Medium</v>
      </c>
      <c r="U129" s="2" t="str">
        <f>IF(COUNTIFS(SalesData[Customer_ID],SalesData[[#This Row],[Customer_ID]])&gt;1,"Repeat","New")</f>
        <v>Repeat</v>
      </c>
      <c r="V129" s="2" t="str">
        <f>IF(SalesData[[#This Row],[Sales]]&gt;AVERAGE(SalesData[Sales]),"Above Avg","Below Avg")</f>
        <v>Below Avg</v>
      </c>
      <c r="W129" s="2" t="str">
        <f>IF(SalesData[[#This Row],[Profit]]&gt;0,"Profit","Loss")</f>
        <v>Profit</v>
      </c>
      <c r="X129" s="2">
        <f>RANK(SalesData[[#This Row],[Sales]],SalesData[Sales])</f>
        <v>325</v>
      </c>
    </row>
    <row r="130" spans="1:24" x14ac:dyDescent="0.3">
      <c r="A130">
        <v>129</v>
      </c>
      <c r="B130" s="1">
        <v>45420</v>
      </c>
      <c r="C130">
        <v>1068</v>
      </c>
      <c r="D130" t="s">
        <v>123</v>
      </c>
      <c r="E130" t="s">
        <v>15</v>
      </c>
      <c r="F130" t="s">
        <v>16</v>
      </c>
      <c r="G130" t="s">
        <v>17</v>
      </c>
      <c r="H130" t="s">
        <v>18</v>
      </c>
      <c r="I130">
        <v>3250</v>
      </c>
      <c r="J130">
        <v>7</v>
      </c>
      <c r="K130">
        <v>0.24</v>
      </c>
      <c r="L130">
        <v>170</v>
      </c>
      <c r="M130" t="s">
        <v>31</v>
      </c>
      <c r="N130">
        <v>17290</v>
      </c>
      <c r="O130" t="str">
        <f>TEXT(SalesData[[#This Row],[Order_Date]],"mmm")</f>
        <v>May</v>
      </c>
      <c r="P130">
        <f>YEAR(SalesData[[#This Row],[Order_Date]])</f>
        <v>2024</v>
      </c>
      <c r="Q130" t="str">
        <f>"Q"&amp;ROUNDUP(MONTH(SalesData[[#This Row],[Order_Date]])/3,0)</f>
        <v>Q2</v>
      </c>
      <c r="R130" s="2">
        <f>IFERROR(SalesData[[#This Row],[Profit]]/SalesData[[#This Row],[Sales]],0)</f>
        <v>9.8322729901677269E-3</v>
      </c>
      <c r="S130" s="2">
        <f>SalesData[[#This Row],[Price]]*SalesData[[#This Row],[Quantity]]*SalesData[[#This Row],[Discount]]</f>
        <v>5460</v>
      </c>
      <c r="T130" s="2" t="str">
        <f>IF(SalesData[[#This Row],[Sales]]&gt;5000,"High",IF(SalesData[[#This Row],[Sales]]&gt;2000,"Medium","Low"))</f>
        <v>High</v>
      </c>
      <c r="U130" s="2" t="str">
        <f>IF(COUNTIFS(SalesData[Customer_ID],SalesData[[#This Row],[Customer_ID]])&gt;1,"Repeat","New")</f>
        <v>Repeat</v>
      </c>
      <c r="V130" s="2" t="str">
        <f>IF(SalesData[[#This Row],[Sales]]&gt;AVERAGE(SalesData[Sales]),"Above Avg","Below Avg")</f>
        <v>Above Avg</v>
      </c>
      <c r="W130" s="2" t="str">
        <f>IF(SalesData[[#This Row],[Profit]]&gt;0,"Profit","Loss")</f>
        <v>Profit</v>
      </c>
      <c r="X130" s="2">
        <f>RANK(SalesData[[#This Row],[Sales]],SalesData[Sales])</f>
        <v>103</v>
      </c>
    </row>
    <row r="131" spans="1:24" x14ac:dyDescent="0.3">
      <c r="A131">
        <v>130</v>
      </c>
      <c r="B131" s="1">
        <v>45421</v>
      </c>
      <c r="C131">
        <v>1030</v>
      </c>
      <c r="D131" t="s">
        <v>36</v>
      </c>
      <c r="E131" t="s">
        <v>24</v>
      </c>
      <c r="F131" t="s">
        <v>21</v>
      </c>
      <c r="G131" t="s">
        <v>34</v>
      </c>
      <c r="H131" t="s">
        <v>25</v>
      </c>
      <c r="I131">
        <v>2350</v>
      </c>
      <c r="J131">
        <v>8</v>
      </c>
      <c r="K131">
        <v>0.28999999999999998</v>
      </c>
      <c r="L131">
        <v>188</v>
      </c>
      <c r="M131" t="s">
        <v>26</v>
      </c>
      <c r="N131">
        <v>13348</v>
      </c>
      <c r="O131" t="str">
        <f>TEXT(SalesData[[#This Row],[Order_Date]],"mmm")</f>
        <v>May</v>
      </c>
      <c r="P131">
        <f>YEAR(SalesData[[#This Row],[Order_Date]])</f>
        <v>2024</v>
      </c>
      <c r="Q131" t="str">
        <f>"Q"&amp;ROUNDUP(MONTH(SalesData[[#This Row],[Order_Date]])/3,0)</f>
        <v>Q2</v>
      </c>
      <c r="R131" s="2">
        <f>IFERROR(SalesData[[#This Row],[Profit]]/SalesData[[#This Row],[Sales]],0)</f>
        <v>1.4084507042253521E-2</v>
      </c>
      <c r="S131" s="2">
        <f>SalesData[[#This Row],[Price]]*SalesData[[#This Row],[Quantity]]*SalesData[[#This Row],[Discount]]</f>
        <v>5452</v>
      </c>
      <c r="T131" s="2" t="str">
        <f>IF(SalesData[[#This Row],[Sales]]&gt;5000,"High",IF(SalesData[[#This Row],[Sales]]&gt;2000,"Medium","Low"))</f>
        <v>High</v>
      </c>
      <c r="U131" s="2" t="str">
        <f>IF(COUNTIFS(SalesData[Customer_ID],SalesData[[#This Row],[Customer_ID]])&gt;1,"Repeat","New")</f>
        <v>Repeat</v>
      </c>
      <c r="V131" s="2" t="str">
        <f>IF(SalesData[[#This Row],[Sales]]&gt;AVERAGE(SalesData[Sales]),"Above Avg","Below Avg")</f>
        <v>Above Avg</v>
      </c>
      <c r="W131" s="2" t="str">
        <f>IF(SalesData[[#This Row],[Profit]]&gt;0,"Profit","Loss")</f>
        <v>Profit</v>
      </c>
      <c r="X131" s="2">
        <f>RANK(SalesData[[#This Row],[Sales]],SalesData[Sales])</f>
        <v>155</v>
      </c>
    </row>
    <row r="132" spans="1:24" x14ac:dyDescent="0.3">
      <c r="A132">
        <v>131</v>
      </c>
      <c r="B132" s="1">
        <v>45422</v>
      </c>
      <c r="C132">
        <v>1007</v>
      </c>
      <c r="D132" t="s">
        <v>124</v>
      </c>
      <c r="E132" t="s">
        <v>15</v>
      </c>
      <c r="F132" t="s">
        <v>16</v>
      </c>
      <c r="G132" t="s">
        <v>17</v>
      </c>
      <c r="H132" t="s">
        <v>37</v>
      </c>
      <c r="I132">
        <v>4420</v>
      </c>
      <c r="J132">
        <v>9</v>
      </c>
      <c r="K132">
        <v>0.18</v>
      </c>
      <c r="L132">
        <v>-333</v>
      </c>
      <c r="M132" t="s">
        <v>19</v>
      </c>
      <c r="N132">
        <v>32619.599999999999</v>
      </c>
      <c r="O132" t="str">
        <f>TEXT(SalesData[[#This Row],[Order_Date]],"mmm")</f>
        <v>May</v>
      </c>
      <c r="P132">
        <f>YEAR(SalesData[[#This Row],[Order_Date]])</f>
        <v>2024</v>
      </c>
      <c r="Q132" t="str">
        <f>"Q"&amp;ROUNDUP(MONTH(SalesData[[#This Row],[Order_Date]])/3,0)</f>
        <v>Q2</v>
      </c>
      <c r="R132" s="2">
        <f>IFERROR(SalesData[[#This Row],[Profit]]/SalesData[[#This Row],[Sales]],0)</f>
        <v>-1.0208586248758415E-2</v>
      </c>
      <c r="S132" s="2">
        <f>SalesData[[#This Row],[Price]]*SalesData[[#This Row],[Quantity]]*SalesData[[#This Row],[Discount]]</f>
        <v>7160.4</v>
      </c>
      <c r="T132" s="2" t="str">
        <f>IF(SalesData[[#This Row],[Sales]]&gt;5000,"High",IF(SalesData[[#This Row],[Sales]]&gt;2000,"Medium","Low"))</f>
        <v>High</v>
      </c>
      <c r="U132" s="2" t="str">
        <f>IF(COUNTIFS(SalesData[Customer_ID],SalesData[[#This Row],[Customer_ID]])&gt;1,"Repeat","New")</f>
        <v>Repeat</v>
      </c>
      <c r="V132" s="2" t="str">
        <f>IF(SalesData[[#This Row],[Sales]]&gt;AVERAGE(SalesData[Sales]),"Above Avg","Below Avg")</f>
        <v>Above Avg</v>
      </c>
      <c r="W132" s="2" t="str">
        <f>IF(SalesData[[#This Row],[Profit]]&gt;0,"Profit","Loss")</f>
        <v>Loss</v>
      </c>
      <c r="X132" s="2">
        <f>RANK(SalesData[[#This Row],[Sales]],SalesData[Sales])</f>
        <v>18</v>
      </c>
    </row>
    <row r="133" spans="1:24" x14ac:dyDescent="0.3">
      <c r="A133">
        <v>132</v>
      </c>
      <c r="B133" s="1">
        <v>45423</v>
      </c>
      <c r="C133">
        <v>1093</v>
      </c>
      <c r="D133" t="s">
        <v>113</v>
      </c>
      <c r="E133" t="s">
        <v>15</v>
      </c>
      <c r="F133" t="s">
        <v>33</v>
      </c>
      <c r="G133" t="s">
        <v>34</v>
      </c>
      <c r="H133" t="s">
        <v>29</v>
      </c>
      <c r="I133">
        <v>3715</v>
      </c>
      <c r="J133">
        <v>2</v>
      </c>
      <c r="K133">
        <v>0.19</v>
      </c>
      <c r="L133">
        <v>931</v>
      </c>
      <c r="M133" t="s">
        <v>31</v>
      </c>
      <c r="N133">
        <v>6018.3</v>
      </c>
      <c r="O133" t="str">
        <f>TEXT(SalesData[[#This Row],[Order_Date]],"mmm")</f>
        <v>May</v>
      </c>
      <c r="P133">
        <f>YEAR(SalesData[[#This Row],[Order_Date]])</f>
        <v>2024</v>
      </c>
      <c r="Q133" t="str">
        <f>"Q"&amp;ROUNDUP(MONTH(SalesData[[#This Row],[Order_Date]])/3,0)</f>
        <v>Q2</v>
      </c>
      <c r="R133" s="2">
        <f>IFERROR(SalesData[[#This Row],[Profit]]/SalesData[[#This Row],[Sales]],0)</f>
        <v>0.15469484738215111</v>
      </c>
      <c r="S133" s="2">
        <f>SalesData[[#This Row],[Price]]*SalesData[[#This Row],[Quantity]]*SalesData[[#This Row],[Discount]]</f>
        <v>1411.7</v>
      </c>
      <c r="T133" s="2" t="str">
        <f>IF(SalesData[[#This Row],[Sales]]&gt;5000,"High",IF(SalesData[[#This Row],[Sales]]&gt;2000,"Medium","Low"))</f>
        <v>High</v>
      </c>
      <c r="U133" s="2" t="str">
        <f>IF(COUNTIFS(SalesData[Customer_ID],SalesData[[#This Row],[Customer_ID]])&gt;1,"Repeat","New")</f>
        <v>Repeat</v>
      </c>
      <c r="V133" s="2" t="str">
        <f>IF(SalesData[[#This Row],[Sales]]&gt;AVERAGE(SalesData[Sales]),"Above Avg","Below Avg")</f>
        <v>Below Avg</v>
      </c>
      <c r="W133" s="2" t="str">
        <f>IF(SalesData[[#This Row],[Profit]]&gt;0,"Profit","Loss")</f>
        <v>Profit</v>
      </c>
      <c r="X133" s="2">
        <f>RANK(SalesData[[#This Row],[Sales]],SalesData[Sales])</f>
        <v>296</v>
      </c>
    </row>
    <row r="134" spans="1:24" x14ac:dyDescent="0.3">
      <c r="A134">
        <v>133</v>
      </c>
      <c r="B134" s="1">
        <v>45424</v>
      </c>
      <c r="C134">
        <v>1060</v>
      </c>
      <c r="D134" t="s">
        <v>125</v>
      </c>
      <c r="E134" t="s">
        <v>24</v>
      </c>
      <c r="F134" t="s">
        <v>21</v>
      </c>
      <c r="G134" t="s">
        <v>22</v>
      </c>
      <c r="H134" t="s">
        <v>37</v>
      </c>
      <c r="I134">
        <v>1879</v>
      </c>
      <c r="J134">
        <v>9</v>
      </c>
      <c r="K134">
        <v>0.21</v>
      </c>
      <c r="L134">
        <v>738</v>
      </c>
      <c r="M134" t="s">
        <v>19</v>
      </c>
      <c r="N134">
        <v>13359.69</v>
      </c>
      <c r="O134" t="str">
        <f>TEXT(SalesData[[#This Row],[Order_Date]],"mmm")</f>
        <v>May</v>
      </c>
      <c r="P134">
        <f>YEAR(SalesData[[#This Row],[Order_Date]])</f>
        <v>2024</v>
      </c>
      <c r="Q134" t="str">
        <f>"Q"&amp;ROUNDUP(MONTH(SalesData[[#This Row],[Order_Date]])/3,0)</f>
        <v>Q2</v>
      </c>
      <c r="R134" s="2">
        <f>IFERROR(SalesData[[#This Row],[Profit]]/SalesData[[#This Row],[Sales]],0)</f>
        <v>5.5240802743177421E-2</v>
      </c>
      <c r="S134" s="2">
        <f>SalesData[[#This Row],[Price]]*SalesData[[#This Row],[Quantity]]*SalesData[[#This Row],[Discount]]</f>
        <v>3551.31</v>
      </c>
      <c r="T134" s="2" t="str">
        <f>IF(SalesData[[#This Row],[Sales]]&gt;5000,"High",IF(SalesData[[#This Row],[Sales]]&gt;2000,"Medium","Low"))</f>
        <v>High</v>
      </c>
      <c r="U134" s="2" t="str">
        <f>IF(COUNTIFS(SalesData[Customer_ID],SalesData[[#This Row],[Customer_ID]])&gt;1,"Repeat","New")</f>
        <v>Repeat</v>
      </c>
      <c r="V134" s="2" t="str">
        <f>IF(SalesData[[#This Row],[Sales]]&gt;AVERAGE(SalesData[Sales]),"Above Avg","Below Avg")</f>
        <v>Above Avg</v>
      </c>
      <c r="W134" s="2" t="str">
        <f>IF(SalesData[[#This Row],[Profit]]&gt;0,"Profit","Loss")</f>
        <v>Profit</v>
      </c>
      <c r="X134" s="2">
        <f>RANK(SalesData[[#This Row],[Sales]],SalesData[Sales])</f>
        <v>154</v>
      </c>
    </row>
    <row r="135" spans="1:24" x14ac:dyDescent="0.3">
      <c r="A135">
        <v>134</v>
      </c>
      <c r="B135" s="1">
        <v>45425</v>
      </c>
      <c r="C135">
        <v>1065</v>
      </c>
      <c r="D135" t="s">
        <v>126</v>
      </c>
      <c r="E135" t="s">
        <v>15</v>
      </c>
      <c r="F135" t="s">
        <v>16</v>
      </c>
      <c r="G135" t="s">
        <v>17</v>
      </c>
      <c r="H135" t="s">
        <v>25</v>
      </c>
      <c r="I135">
        <v>1391</v>
      </c>
      <c r="J135">
        <v>7</v>
      </c>
      <c r="K135">
        <v>0.13</v>
      </c>
      <c r="L135">
        <v>1496</v>
      </c>
      <c r="M135" t="s">
        <v>31</v>
      </c>
      <c r="N135">
        <v>8471.19</v>
      </c>
      <c r="O135" t="str">
        <f>TEXT(SalesData[[#This Row],[Order_Date]],"mmm")</f>
        <v>May</v>
      </c>
      <c r="P135">
        <f>YEAR(SalesData[[#This Row],[Order_Date]])</f>
        <v>2024</v>
      </c>
      <c r="Q135" t="str">
        <f>"Q"&amp;ROUNDUP(MONTH(SalesData[[#This Row],[Order_Date]])/3,0)</f>
        <v>Q2</v>
      </c>
      <c r="R135" s="2">
        <f>IFERROR(SalesData[[#This Row],[Profit]]/SalesData[[#This Row],[Sales]],0)</f>
        <v>0.17659856525470446</v>
      </c>
      <c r="S135" s="2">
        <f>SalesData[[#This Row],[Price]]*SalesData[[#This Row],[Quantity]]*SalesData[[#This Row],[Discount]]</f>
        <v>1265.81</v>
      </c>
      <c r="T135" s="2" t="str">
        <f>IF(SalesData[[#This Row],[Sales]]&gt;5000,"High",IF(SalesData[[#This Row],[Sales]]&gt;2000,"Medium","Low"))</f>
        <v>High</v>
      </c>
      <c r="U135" s="2" t="str">
        <f>IF(COUNTIFS(SalesData[Customer_ID],SalesData[[#This Row],[Customer_ID]])&gt;1,"Repeat","New")</f>
        <v>Repeat</v>
      </c>
      <c r="V135" s="2" t="str">
        <f>IF(SalesData[[#This Row],[Sales]]&gt;AVERAGE(SalesData[Sales]),"Above Avg","Below Avg")</f>
        <v>Below Avg</v>
      </c>
      <c r="W135" s="2" t="str">
        <f>IF(SalesData[[#This Row],[Profit]]&gt;0,"Profit","Loss")</f>
        <v>Profit</v>
      </c>
      <c r="X135" s="2">
        <f>RANK(SalesData[[#This Row],[Sales]],SalesData[Sales])</f>
        <v>239</v>
      </c>
    </row>
    <row r="136" spans="1:24" x14ac:dyDescent="0.3">
      <c r="A136">
        <v>135</v>
      </c>
      <c r="B136" s="1">
        <v>45426</v>
      </c>
      <c r="C136">
        <v>1076</v>
      </c>
      <c r="D136" t="s">
        <v>127</v>
      </c>
      <c r="E136" t="s">
        <v>15</v>
      </c>
      <c r="F136" t="s">
        <v>21</v>
      </c>
      <c r="G136" t="s">
        <v>34</v>
      </c>
      <c r="H136" t="s">
        <v>25</v>
      </c>
      <c r="I136">
        <v>778</v>
      </c>
      <c r="J136">
        <v>7</v>
      </c>
      <c r="K136">
        <v>7.0000000000000007E-2</v>
      </c>
      <c r="L136">
        <v>1345</v>
      </c>
      <c r="M136" t="s">
        <v>19</v>
      </c>
      <c r="N136">
        <v>5064.78</v>
      </c>
      <c r="O136" t="str">
        <f>TEXT(SalesData[[#This Row],[Order_Date]],"mmm")</f>
        <v>May</v>
      </c>
      <c r="P136">
        <f>YEAR(SalesData[[#This Row],[Order_Date]])</f>
        <v>2024</v>
      </c>
      <c r="Q136" t="str">
        <f>"Q"&amp;ROUNDUP(MONTH(SalesData[[#This Row],[Order_Date]])/3,0)</f>
        <v>Q2</v>
      </c>
      <c r="R136" s="2">
        <f>IFERROR(SalesData[[#This Row],[Profit]]/SalesData[[#This Row],[Sales]],0)</f>
        <v>0.26555941225482649</v>
      </c>
      <c r="S136" s="2">
        <f>SalesData[[#This Row],[Price]]*SalesData[[#This Row],[Quantity]]*SalesData[[#This Row],[Discount]]</f>
        <v>381.22</v>
      </c>
      <c r="T136" s="2" t="str">
        <f>IF(SalesData[[#This Row],[Sales]]&gt;5000,"High",IF(SalesData[[#This Row],[Sales]]&gt;2000,"Medium","Low"))</f>
        <v>High</v>
      </c>
      <c r="U136" s="2" t="str">
        <f>IF(COUNTIFS(SalesData[Customer_ID],SalesData[[#This Row],[Customer_ID]])&gt;1,"Repeat","New")</f>
        <v>Repeat</v>
      </c>
      <c r="V136" s="2" t="str">
        <f>IF(SalesData[[#This Row],[Sales]]&gt;AVERAGE(SalesData[Sales]),"Above Avg","Below Avg")</f>
        <v>Below Avg</v>
      </c>
      <c r="W136" s="2" t="str">
        <f>IF(SalesData[[#This Row],[Profit]]&gt;0,"Profit","Loss")</f>
        <v>Profit</v>
      </c>
      <c r="X136" s="2">
        <f>RANK(SalesData[[#This Row],[Sales]],SalesData[Sales])</f>
        <v>321</v>
      </c>
    </row>
    <row r="137" spans="1:24" x14ac:dyDescent="0.3">
      <c r="A137">
        <v>136</v>
      </c>
      <c r="B137" s="1">
        <v>45427</v>
      </c>
      <c r="C137">
        <v>1067</v>
      </c>
      <c r="D137" t="s">
        <v>116</v>
      </c>
      <c r="E137" t="s">
        <v>15</v>
      </c>
      <c r="F137" t="s">
        <v>21</v>
      </c>
      <c r="G137" t="s">
        <v>17</v>
      </c>
      <c r="H137" t="s">
        <v>25</v>
      </c>
      <c r="I137">
        <v>2652</v>
      </c>
      <c r="J137">
        <v>1</v>
      </c>
      <c r="K137">
        <v>0.08</v>
      </c>
      <c r="L137">
        <v>-241</v>
      </c>
      <c r="M137" t="s">
        <v>26</v>
      </c>
      <c r="N137">
        <v>2439.84</v>
      </c>
      <c r="O137" t="str">
        <f>TEXT(SalesData[[#This Row],[Order_Date]],"mmm")</f>
        <v>May</v>
      </c>
      <c r="P137">
        <f>YEAR(SalesData[[#This Row],[Order_Date]])</f>
        <v>2024</v>
      </c>
      <c r="Q137" t="str">
        <f>"Q"&amp;ROUNDUP(MONTH(SalesData[[#This Row],[Order_Date]])/3,0)</f>
        <v>Q2</v>
      </c>
      <c r="R137" s="2">
        <f>IFERROR(SalesData[[#This Row],[Profit]]/SalesData[[#This Row],[Sales]],0)</f>
        <v>-9.8776968981572552E-2</v>
      </c>
      <c r="S137" s="2">
        <f>SalesData[[#This Row],[Price]]*SalesData[[#This Row],[Quantity]]*SalesData[[#This Row],[Discount]]</f>
        <v>212.16</v>
      </c>
      <c r="T137" s="2" t="str">
        <f>IF(SalesData[[#This Row],[Sales]]&gt;5000,"High",IF(SalesData[[#This Row],[Sales]]&gt;2000,"Medium","Low"))</f>
        <v>Medium</v>
      </c>
      <c r="U137" s="2" t="str">
        <f>IF(COUNTIFS(SalesData[Customer_ID],SalesData[[#This Row],[Customer_ID]])&gt;1,"Repeat","New")</f>
        <v>Repeat</v>
      </c>
      <c r="V137" s="2" t="str">
        <f>IF(SalesData[[#This Row],[Sales]]&gt;AVERAGE(SalesData[Sales]),"Above Avg","Below Avg")</f>
        <v>Below Avg</v>
      </c>
      <c r="W137" s="2" t="str">
        <f>IF(SalesData[[#This Row],[Profit]]&gt;0,"Profit","Loss")</f>
        <v>Loss</v>
      </c>
      <c r="X137" s="2">
        <f>RANK(SalesData[[#This Row],[Sales]],SalesData[Sales])</f>
        <v>412</v>
      </c>
    </row>
    <row r="138" spans="1:24" x14ac:dyDescent="0.3">
      <c r="A138">
        <v>137</v>
      </c>
      <c r="B138" s="1">
        <v>45428</v>
      </c>
      <c r="C138">
        <v>1044</v>
      </c>
      <c r="D138" t="s">
        <v>23</v>
      </c>
      <c r="E138" t="s">
        <v>24</v>
      </c>
      <c r="F138" t="s">
        <v>21</v>
      </c>
      <c r="G138" t="s">
        <v>22</v>
      </c>
      <c r="H138" t="s">
        <v>37</v>
      </c>
      <c r="I138">
        <v>3324</v>
      </c>
      <c r="J138">
        <v>8</v>
      </c>
      <c r="K138">
        <v>0.19</v>
      </c>
      <c r="L138">
        <v>1450</v>
      </c>
      <c r="M138" t="s">
        <v>19</v>
      </c>
      <c r="N138">
        <v>21539.52</v>
      </c>
      <c r="O138" t="str">
        <f>TEXT(SalesData[[#This Row],[Order_Date]],"mmm")</f>
        <v>May</v>
      </c>
      <c r="P138">
        <f>YEAR(SalesData[[#This Row],[Order_Date]])</f>
        <v>2024</v>
      </c>
      <c r="Q138" t="str">
        <f>"Q"&amp;ROUNDUP(MONTH(SalesData[[#This Row],[Order_Date]])/3,0)</f>
        <v>Q2</v>
      </c>
      <c r="R138" s="2">
        <f>IFERROR(SalesData[[#This Row],[Profit]]/SalesData[[#This Row],[Sales]],0)</f>
        <v>6.731812036665627E-2</v>
      </c>
      <c r="S138" s="2">
        <f>SalesData[[#This Row],[Price]]*SalesData[[#This Row],[Quantity]]*SalesData[[#This Row],[Discount]]</f>
        <v>5052.4800000000005</v>
      </c>
      <c r="T138" s="2" t="str">
        <f>IF(SalesData[[#This Row],[Sales]]&gt;5000,"High",IF(SalesData[[#This Row],[Sales]]&gt;2000,"Medium","Low"))</f>
        <v>High</v>
      </c>
      <c r="U138" s="2" t="str">
        <f>IF(COUNTIFS(SalesData[Customer_ID],SalesData[[#This Row],[Customer_ID]])&gt;1,"Repeat","New")</f>
        <v>Repeat</v>
      </c>
      <c r="V138" s="2" t="str">
        <f>IF(SalesData[[#This Row],[Sales]]&gt;AVERAGE(SalesData[Sales]),"Above Avg","Below Avg")</f>
        <v>Above Avg</v>
      </c>
      <c r="W138" s="2" t="str">
        <f>IF(SalesData[[#This Row],[Profit]]&gt;0,"Profit","Loss")</f>
        <v>Profit</v>
      </c>
      <c r="X138" s="2">
        <f>RANK(SalesData[[#This Row],[Sales]],SalesData[Sales])</f>
        <v>71</v>
      </c>
    </row>
    <row r="139" spans="1:24" x14ac:dyDescent="0.3">
      <c r="A139">
        <v>138</v>
      </c>
      <c r="B139" s="1">
        <v>45429</v>
      </c>
      <c r="C139">
        <v>1051</v>
      </c>
      <c r="D139" t="s">
        <v>42</v>
      </c>
      <c r="E139" t="s">
        <v>24</v>
      </c>
      <c r="F139" t="s">
        <v>16</v>
      </c>
      <c r="G139" t="s">
        <v>17</v>
      </c>
      <c r="H139" t="s">
        <v>18</v>
      </c>
      <c r="I139">
        <v>314</v>
      </c>
      <c r="J139">
        <v>3</v>
      </c>
      <c r="K139">
        <v>0.19</v>
      </c>
      <c r="L139">
        <v>1084</v>
      </c>
      <c r="M139" t="s">
        <v>31</v>
      </c>
      <c r="N139">
        <v>763.02</v>
      </c>
      <c r="O139" t="str">
        <f>TEXT(SalesData[[#This Row],[Order_Date]],"mmm")</f>
        <v>May</v>
      </c>
      <c r="P139">
        <f>YEAR(SalesData[[#This Row],[Order_Date]])</f>
        <v>2024</v>
      </c>
      <c r="Q139" t="str">
        <f>"Q"&amp;ROUNDUP(MONTH(SalesData[[#This Row],[Order_Date]])/3,0)</f>
        <v>Q2</v>
      </c>
      <c r="R139" s="2">
        <f>IFERROR(SalesData[[#This Row],[Profit]]/SalesData[[#This Row],[Sales]],0)</f>
        <v>1.4206704935650443</v>
      </c>
      <c r="S139" s="2">
        <f>SalesData[[#This Row],[Price]]*SalesData[[#This Row],[Quantity]]*SalesData[[#This Row],[Discount]]</f>
        <v>178.98</v>
      </c>
      <c r="T139" s="2" t="str">
        <f>IF(SalesData[[#This Row],[Sales]]&gt;5000,"High",IF(SalesData[[#This Row],[Sales]]&gt;2000,"Medium","Low"))</f>
        <v>Low</v>
      </c>
      <c r="U139" s="2" t="str">
        <f>IF(COUNTIFS(SalesData[Customer_ID],SalesData[[#This Row],[Customer_ID]])&gt;1,"Repeat","New")</f>
        <v>Repeat</v>
      </c>
      <c r="V139" s="2" t="str">
        <f>IF(SalesData[[#This Row],[Sales]]&gt;AVERAGE(SalesData[Sales]),"Above Avg","Below Avg")</f>
        <v>Below Avg</v>
      </c>
      <c r="W139" s="2" t="str">
        <f>IF(SalesData[[#This Row],[Profit]]&gt;0,"Profit","Loss")</f>
        <v>Profit</v>
      </c>
      <c r="X139" s="2">
        <f>RANK(SalesData[[#This Row],[Sales]],SalesData[Sales])</f>
        <v>482</v>
      </c>
    </row>
    <row r="140" spans="1:24" x14ac:dyDescent="0.3">
      <c r="A140">
        <v>139</v>
      </c>
      <c r="B140" s="1">
        <v>45430</v>
      </c>
      <c r="C140">
        <v>1007</v>
      </c>
      <c r="D140" t="s">
        <v>71</v>
      </c>
      <c r="E140" t="s">
        <v>15</v>
      </c>
      <c r="F140" t="s">
        <v>21</v>
      </c>
      <c r="G140" t="s">
        <v>22</v>
      </c>
      <c r="H140" t="s">
        <v>18</v>
      </c>
      <c r="I140">
        <v>1085</v>
      </c>
      <c r="J140">
        <v>4</v>
      </c>
      <c r="K140">
        <v>0.14000000000000001</v>
      </c>
      <c r="L140">
        <v>1745</v>
      </c>
      <c r="M140" t="s">
        <v>26</v>
      </c>
      <c r="N140">
        <v>3732.4</v>
      </c>
      <c r="O140" t="str">
        <f>TEXT(SalesData[[#This Row],[Order_Date]],"mmm")</f>
        <v>May</v>
      </c>
      <c r="P140">
        <f>YEAR(SalesData[[#This Row],[Order_Date]])</f>
        <v>2024</v>
      </c>
      <c r="Q140" t="str">
        <f>"Q"&amp;ROUNDUP(MONTH(SalesData[[#This Row],[Order_Date]])/3,0)</f>
        <v>Q2</v>
      </c>
      <c r="R140" s="2">
        <f>IFERROR(SalesData[[#This Row],[Profit]]/SalesData[[#This Row],[Sales]],0)</f>
        <v>0.46752759618476047</v>
      </c>
      <c r="S140" s="2">
        <f>SalesData[[#This Row],[Price]]*SalesData[[#This Row],[Quantity]]*SalesData[[#This Row],[Discount]]</f>
        <v>607.6</v>
      </c>
      <c r="T140" s="2" t="str">
        <f>IF(SalesData[[#This Row],[Sales]]&gt;5000,"High",IF(SalesData[[#This Row],[Sales]]&gt;2000,"Medium","Low"))</f>
        <v>Medium</v>
      </c>
      <c r="U140" s="2" t="str">
        <f>IF(COUNTIFS(SalesData[Customer_ID],SalesData[[#This Row],[Customer_ID]])&gt;1,"Repeat","New")</f>
        <v>Repeat</v>
      </c>
      <c r="V140" s="2" t="str">
        <f>IF(SalesData[[#This Row],[Sales]]&gt;AVERAGE(SalesData[Sales]),"Above Avg","Below Avg")</f>
        <v>Below Avg</v>
      </c>
      <c r="W140" s="2" t="str">
        <f>IF(SalesData[[#This Row],[Profit]]&gt;0,"Profit","Loss")</f>
        <v>Profit</v>
      </c>
      <c r="X140" s="2">
        <f>RANK(SalesData[[#This Row],[Sales]],SalesData[Sales])</f>
        <v>366</v>
      </c>
    </row>
    <row r="141" spans="1:24" x14ac:dyDescent="0.3">
      <c r="A141">
        <v>140</v>
      </c>
      <c r="B141" s="1">
        <v>45431</v>
      </c>
      <c r="C141">
        <v>1088</v>
      </c>
      <c r="D141" t="s">
        <v>90</v>
      </c>
      <c r="E141" t="s">
        <v>24</v>
      </c>
      <c r="F141" t="s">
        <v>33</v>
      </c>
      <c r="G141" t="s">
        <v>34</v>
      </c>
      <c r="H141" t="s">
        <v>18</v>
      </c>
      <c r="I141">
        <v>3383</v>
      </c>
      <c r="J141">
        <v>4</v>
      </c>
      <c r="K141">
        <v>0.01</v>
      </c>
      <c r="L141">
        <v>1826</v>
      </c>
      <c r="M141" t="s">
        <v>31</v>
      </c>
      <c r="N141">
        <v>13396.68</v>
      </c>
      <c r="O141" t="str">
        <f>TEXT(SalesData[[#This Row],[Order_Date]],"mmm")</f>
        <v>May</v>
      </c>
      <c r="P141">
        <f>YEAR(SalesData[[#This Row],[Order_Date]])</f>
        <v>2024</v>
      </c>
      <c r="Q141" t="str">
        <f>"Q"&amp;ROUNDUP(MONTH(SalesData[[#This Row],[Order_Date]])/3,0)</f>
        <v>Q2</v>
      </c>
      <c r="R141" s="2">
        <f>IFERROR(SalesData[[#This Row],[Profit]]/SalesData[[#This Row],[Sales]],0)</f>
        <v>0.13630242716852234</v>
      </c>
      <c r="S141" s="2">
        <f>SalesData[[#This Row],[Price]]*SalesData[[#This Row],[Quantity]]*SalesData[[#This Row],[Discount]]</f>
        <v>135.32</v>
      </c>
      <c r="T141" s="2" t="str">
        <f>IF(SalesData[[#This Row],[Sales]]&gt;5000,"High",IF(SalesData[[#This Row],[Sales]]&gt;2000,"Medium","Low"))</f>
        <v>High</v>
      </c>
      <c r="U141" s="2" t="str">
        <f>IF(COUNTIFS(SalesData[Customer_ID],SalesData[[#This Row],[Customer_ID]])&gt;1,"Repeat","New")</f>
        <v>Repeat</v>
      </c>
      <c r="V141" s="2" t="str">
        <f>IF(SalesData[[#This Row],[Sales]]&gt;AVERAGE(SalesData[Sales]),"Above Avg","Below Avg")</f>
        <v>Above Avg</v>
      </c>
      <c r="W141" s="2" t="str">
        <f>IF(SalesData[[#This Row],[Profit]]&gt;0,"Profit","Loss")</f>
        <v>Profit</v>
      </c>
      <c r="X141" s="2">
        <f>RANK(SalesData[[#This Row],[Sales]],SalesData[Sales])</f>
        <v>153</v>
      </c>
    </row>
    <row r="142" spans="1:24" x14ac:dyDescent="0.3">
      <c r="A142">
        <v>141</v>
      </c>
      <c r="B142" s="1">
        <v>45432</v>
      </c>
      <c r="C142">
        <v>1070</v>
      </c>
      <c r="D142" t="s">
        <v>128</v>
      </c>
      <c r="E142" t="s">
        <v>15</v>
      </c>
      <c r="F142" t="s">
        <v>16</v>
      </c>
      <c r="G142" t="s">
        <v>22</v>
      </c>
      <c r="H142" t="s">
        <v>37</v>
      </c>
      <c r="I142">
        <v>4806</v>
      </c>
      <c r="J142">
        <v>2</v>
      </c>
      <c r="K142">
        <v>0.26</v>
      </c>
      <c r="L142">
        <v>126</v>
      </c>
      <c r="M142" t="s">
        <v>19</v>
      </c>
      <c r="N142">
        <v>7112.88</v>
      </c>
      <c r="O142" t="str">
        <f>TEXT(SalesData[[#This Row],[Order_Date]],"mmm")</f>
        <v>May</v>
      </c>
      <c r="P142">
        <f>YEAR(SalesData[[#This Row],[Order_Date]])</f>
        <v>2024</v>
      </c>
      <c r="Q142" t="str">
        <f>"Q"&amp;ROUNDUP(MONTH(SalesData[[#This Row],[Order_Date]])/3,0)</f>
        <v>Q2</v>
      </c>
      <c r="R142" s="2">
        <f>IFERROR(SalesData[[#This Row],[Profit]]/SalesData[[#This Row],[Sales]],0)</f>
        <v>1.7714343557040185E-2</v>
      </c>
      <c r="S142" s="2">
        <f>SalesData[[#This Row],[Price]]*SalesData[[#This Row],[Quantity]]*SalesData[[#This Row],[Discount]]</f>
        <v>2499.12</v>
      </c>
      <c r="T142" s="2" t="str">
        <f>IF(SalesData[[#This Row],[Sales]]&gt;5000,"High",IF(SalesData[[#This Row],[Sales]]&gt;2000,"Medium","Low"))</f>
        <v>High</v>
      </c>
      <c r="U142" s="2" t="str">
        <f>IF(COUNTIFS(SalesData[Customer_ID],SalesData[[#This Row],[Customer_ID]])&gt;1,"Repeat","New")</f>
        <v>Repeat</v>
      </c>
      <c r="V142" s="2" t="str">
        <f>IF(SalesData[[#This Row],[Sales]]&gt;AVERAGE(SalesData[Sales]),"Above Avg","Below Avg")</f>
        <v>Below Avg</v>
      </c>
      <c r="W142" s="2" t="str">
        <f>IF(SalesData[[#This Row],[Profit]]&gt;0,"Profit","Loss")</f>
        <v>Profit</v>
      </c>
      <c r="X142" s="2">
        <f>RANK(SalesData[[#This Row],[Sales]],SalesData[Sales])</f>
        <v>273</v>
      </c>
    </row>
    <row r="143" spans="1:24" x14ac:dyDescent="0.3">
      <c r="A143">
        <v>142</v>
      </c>
      <c r="B143" s="1">
        <v>45433</v>
      </c>
      <c r="C143">
        <v>1013</v>
      </c>
      <c r="D143" t="s">
        <v>43</v>
      </c>
      <c r="E143" t="s">
        <v>24</v>
      </c>
      <c r="F143" t="s">
        <v>28</v>
      </c>
      <c r="G143" t="s">
        <v>17</v>
      </c>
      <c r="H143" t="s">
        <v>29</v>
      </c>
      <c r="I143">
        <v>2445</v>
      </c>
      <c r="J143">
        <v>3</v>
      </c>
      <c r="K143">
        <v>7.0000000000000007E-2</v>
      </c>
      <c r="L143">
        <v>834</v>
      </c>
      <c r="M143" t="s">
        <v>31</v>
      </c>
      <c r="N143">
        <v>6821.5499999999902</v>
      </c>
      <c r="O143" t="str">
        <f>TEXT(SalesData[[#This Row],[Order_Date]],"mmm")</f>
        <v>May</v>
      </c>
      <c r="P143">
        <f>YEAR(SalesData[[#This Row],[Order_Date]])</f>
        <v>2024</v>
      </c>
      <c r="Q143" t="str">
        <f>"Q"&amp;ROUNDUP(MONTH(SalesData[[#This Row],[Order_Date]])/3,0)</f>
        <v>Q2</v>
      </c>
      <c r="R143" s="2">
        <f>IFERROR(SalesData[[#This Row],[Profit]]/SalesData[[#This Row],[Sales]],0)</f>
        <v>0.12225960375574484</v>
      </c>
      <c r="S143" s="2">
        <f>SalesData[[#This Row],[Price]]*SalesData[[#This Row],[Quantity]]*SalesData[[#This Row],[Discount]]</f>
        <v>513.45000000000005</v>
      </c>
      <c r="T143" s="2" t="str">
        <f>IF(SalesData[[#This Row],[Sales]]&gt;5000,"High",IF(SalesData[[#This Row],[Sales]]&gt;2000,"Medium","Low"))</f>
        <v>High</v>
      </c>
      <c r="U143" s="2" t="str">
        <f>IF(COUNTIFS(SalesData[Customer_ID],SalesData[[#This Row],[Customer_ID]])&gt;1,"Repeat","New")</f>
        <v>Repeat</v>
      </c>
      <c r="V143" s="2" t="str">
        <f>IF(SalesData[[#This Row],[Sales]]&gt;AVERAGE(SalesData[Sales]),"Above Avg","Below Avg")</f>
        <v>Below Avg</v>
      </c>
      <c r="W143" s="2" t="str">
        <f>IF(SalesData[[#This Row],[Profit]]&gt;0,"Profit","Loss")</f>
        <v>Profit</v>
      </c>
      <c r="X143" s="2">
        <f>RANK(SalesData[[#This Row],[Sales]],SalesData[Sales])</f>
        <v>277</v>
      </c>
    </row>
    <row r="144" spans="1:24" x14ac:dyDescent="0.3">
      <c r="A144">
        <v>143</v>
      </c>
      <c r="B144" s="1">
        <v>45434</v>
      </c>
      <c r="C144">
        <v>1028</v>
      </c>
      <c r="D144" t="s">
        <v>57</v>
      </c>
      <c r="E144" t="s">
        <v>15</v>
      </c>
      <c r="F144" t="s">
        <v>33</v>
      </c>
      <c r="G144" t="s">
        <v>34</v>
      </c>
      <c r="H144" t="s">
        <v>37</v>
      </c>
      <c r="I144">
        <v>4838</v>
      </c>
      <c r="J144">
        <v>5</v>
      </c>
      <c r="K144">
        <v>0.17</v>
      </c>
      <c r="L144">
        <v>-431</v>
      </c>
      <c r="M144" t="s">
        <v>19</v>
      </c>
      <c r="N144">
        <v>20077.7</v>
      </c>
      <c r="O144" t="str">
        <f>TEXT(SalesData[[#This Row],[Order_Date]],"mmm")</f>
        <v>May</v>
      </c>
      <c r="P144">
        <f>YEAR(SalesData[[#This Row],[Order_Date]])</f>
        <v>2024</v>
      </c>
      <c r="Q144" t="str">
        <f>"Q"&amp;ROUNDUP(MONTH(SalesData[[#This Row],[Order_Date]])/3,0)</f>
        <v>Q2</v>
      </c>
      <c r="R144" s="2">
        <f>IFERROR(SalesData[[#This Row],[Profit]]/SalesData[[#This Row],[Sales]],0)</f>
        <v>-2.1466602250257746E-2</v>
      </c>
      <c r="S144" s="2">
        <f>SalesData[[#This Row],[Price]]*SalesData[[#This Row],[Quantity]]*SalesData[[#This Row],[Discount]]</f>
        <v>4112.3</v>
      </c>
      <c r="T144" s="2" t="str">
        <f>IF(SalesData[[#This Row],[Sales]]&gt;5000,"High",IF(SalesData[[#This Row],[Sales]]&gt;2000,"Medium","Low"))</f>
        <v>High</v>
      </c>
      <c r="U144" s="2" t="str">
        <f>IF(COUNTIFS(SalesData[Customer_ID],SalesData[[#This Row],[Customer_ID]])&gt;1,"Repeat","New")</f>
        <v>Repeat</v>
      </c>
      <c r="V144" s="2" t="str">
        <f>IF(SalesData[[#This Row],[Sales]]&gt;AVERAGE(SalesData[Sales]),"Above Avg","Below Avg")</f>
        <v>Above Avg</v>
      </c>
      <c r="W144" s="2" t="str">
        <f>IF(SalesData[[#This Row],[Profit]]&gt;0,"Profit","Loss")</f>
        <v>Loss</v>
      </c>
      <c r="X144" s="2">
        <f>RANK(SalesData[[#This Row],[Sales]],SalesData[Sales])</f>
        <v>79</v>
      </c>
    </row>
    <row r="145" spans="1:24" x14ac:dyDescent="0.3">
      <c r="A145">
        <v>144</v>
      </c>
      <c r="B145" s="1">
        <v>45435</v>
      </c>
      <c r="C145">
        <v>1063</v>
      </c>
      <c r="D145" t="s">
        <v>129</v>
      </c>
      <c r="E145" t="s">
        <v>15</v>
      </c>
      <c r="F145" t="s">
        <v>28</v>
      </c>
      <c r="G145" t="s">
        <v>34</v>
      </c>
      <c r="H145" t="s">
        <v>18</v>
      </c>
      <c r="I145">
        <v>3533</v>
      </c>
      <c r="J145">
        <v>3</v>
      </c>
      <c r="K145">
        <v>0.22</v>
      </c>
      <c r="L145">
        <v>1071</v>
      </c>
      <c r="M145" t="s">
        <v>19</v>
      </c>
      <c r="N145">
        <v>8267.2199999999993</v>
      </c>
      <c r="O145" t="str">
        <f>TEXT(SalesData[[#This Row],[Order_Date]],"mmm")</f>
        <v>May</v>
      </c>
      <c r="P145">
        <f>YEAR(SalesData[[#This Row],[Order_Date]])</f>
        <v>2024</v>
      </c>
      <c r="Q145" t="str">
        <f>"Q"&amp;ROUNDUP(MONTH(SalesData[[#This Row],[Order_Date]])/3,0)</f>
        <v>Q2</v>
      </c>
      <c r="R145" s="2">
        <f>IFERROR(SalesData[[#This Row],[Profit]]/SalesData[[#This Row],[Sales]],0)</f>
        <v>0.1295477802695465</v>
      </c>
      <c r="S145" s="2">
        <f>SalesData[[#This Row],[Price]]*SalesData[[#This Row],[Quantity]]*SalesData[[#This Row],[Discount]]</f>
        <v>2331.7800000000002</v>
      </c>
      <c r="T145" s="2" t="str">
        <f>IF(SalesData[[#This Row],[Sales]]&gt;5000,"High",IF(SalesData[[#This Row],[Sales]]&gt;2000,"Medium","Low"))</f>
        <v>High</v>
      </c>
      <c r="U145" s="2" t="str">
        <f>IF(COUNTIFS(SalesData[Customer_ID],SalesData[[#This Row],[Customer_ID]])&gt;1,"Repeat","New")</f>
        <v>Repeat</v>
      </c>
      <c r="V145" s="2" t="str">
        <f>IF(SalesData[[#This Row],[Sales]]&gt;AVERAGE(SalesData[Sales]),"Above Avg","Below Avg")</f>
        <v>Below Avg</v>
      </c>
      <c r="W145" s="2" t="str">
        <f>IF(SalesData[[#This Row],[Profit]]&gt;0,"Profit","Loss")</f>
        <v>Profit</v>
      </c>
      <c r="X145" s="2">
        <f>RANK(SalesData[[#This Row],[Sales]],SalesData[Sales])</f>
        <v>242</v>
      </c>
    </row>
    <row r="146" spans="1:24" x14ac:dyDescent="0.3">
      <c r="A146">
        <v>145</v>
      </c>
      <c r="B146" s="1">
        <v>45436</v>
      </c>
      <c r="C146">
        <v>1084</v>
      </c>
      <c r="D146" t="s">
        <v>130</v>
      </c>
      <c r="E146" t="s">
        <v>24</v>
      </c>
      <c r="F146" t="s">
        <v>28</v>
      </c>
      <c r="G146" t="s">
        <v>34</v>
      </c>
      <c r="H146" t="s">
        <v>25</v>
      </c>
      <c r="I146">
        <v>3727</v>
      </c>
      <c r="J146">
        <v>5</v>
      </c>
      <c r="K146">
        <v>0.06</v>
      </c>
      <c r="L146">
        <v>1304</v>
      </c>
      <c r="M146" t="s">
        <v>31</v>
      </c>
      <c r="N146">
        <v>17516.8999999999</v>
      </c>
      <c r="O146" t="str">
        <f>TEXT(SalesData[[#This Row],[Order_Date]],"mmm")</f>
        <v>May</v>
      </c>
      <c r="P146">
        <f>YEAR(SalesData[[#This Row],[Order_Date]])</f>
        <v>2024</v>
      </c>
      <c r="Q146" t="str">
        <f>"Q"&amp;ROUNDUP(MONTH(SalesData[[#This Row],[Order_Date]])/3,0)</f>
        <v>Q2</v>
      </c>
      <c r="R146" s="2">
        <f>IFERROR(SalesData[[#This Row],[Profit]]/SalesData[[#This Row],[Sales]],0)</f>
        <v>7.4442395629364069E-2</v>
      </c>
      <c r="S146" s="2">
        <f>SalesData[[#This Row],[Price]]*SalesData[[#This Row],[Quantity]]*SalesData[[#This Row],[Discount]]</f>
        <v>1118.0999999999999</v>
      </c>
      <c r="T146" s="2" t="str">
        <f>IF(SalesData[[#This Row],[Sales]]&gt;5000,"High",IF(SalesData[[#This Row],[Sales]]&gt;2000,"Medium","Low"))</f>
        <v>High</v>
      </c>
      <c r="U146" s="2" t="str">
        <f>IF(COUNTIFS(SalesData[Customer_ID],SalesData[[#This Row],[Customer_ID]])&gt;1,"Repeat","New")</f>
        <v>Repeat</v>
      </c>
      <c r="V146" s="2" t="str">
        <f>IF(SalesData[[#This Row],[Sales]]&gt;AVERAGE(SalesData[Sales]),"Above Avg","Below Avg")</f>
        <v>Above Avg</v>
      </c>
      <c r="W146" s="2" t="str">
        <f>IF(SalesData[[#This Row],[Profit]]&gt;0,"Profit","Loss")</f>
        <v>Profit</v>
      </c>
      <c r="X146" s="2">
        <f>RANK(SalesData[[#This Row],[Sales]],SalesData[Sales])</f>
        <v>97</v>
      </c>
    </row>
    <row r="147" spans="1:24" x14ac:dyDescent="0.3">
      <c r="A147">
        <v>146</v>
      </c>
      <c r="B147" s="1">
        <v>45437</v>
      </c>
      <c r="C147">
        <v>1036</v>
      </c>
      <c r="D147" t="s">
        <v>52</v>
      </c>
      <c r="E147" t="s">
        <v>15</v>
      </c>
      <c r="F147" t="s">
        <v>33</v>
      </c>
      <c r="G147" t="s">
        <v>22</v>
      </c>
      <c r="H147" t="s">
        <v>25</v>
      </c>
      <c r="I147">
        <v>3173</v>
      </c>
      <c r="J147">
        <v>8</v>
      </c>
      <c r="K147">
        <v>0.14000000000000001</v>
      </c>
      <c r="L147">
        <v>1176</v>
      </c>
      <c r="M147" t="s">
        <v>26</v>
      </c>
      <c r="N147">
        <v>21830.2399999999</v>
      </c>
      <c r="O147" t="str">
        <f>TEXT(SalesData[[#This Row],[Order_Date]],"mmm")</f>
        <v>May</v>
      </c>
      <c r="P147">
        <f>YEAR(SalesData[[#This Row],[Order_Date]])</f>
        <v>2024</v>
      </c>
      <c r="Q147" t="str">
        <f>"Q"&amp;ROUNDUP(MONTH(SalesData[[#This Row],[Order_Date]])/3,0)</f>
        <v>Q2</v>
      </c>
      <c r="R147" s="2">
        <f>IFERROR(SalesData[[#This Row],[Profit]]/SalesData[[#This Row],[Sales]],0)</f>
        <v>5.3870227720813214E-2</v>
      </c>
      <c r="S147" s="2">
        <f>SalesData[[#This Row],[Price]]*SalesData[[#This Row],[Quantity]]*SalesData[[#This Row],[Discount]]</f>
        <v>3553.76</v>
      </c>
      <c r="T147" s="2" t="str">
        <f>IF(SalesData[[#This Row],[Sales]]&gt;5000,"High",IF(SalesData[[#This Row],[Sales]]&gt;2000,"Medium","Low"))</f>
        <v>High</v>
      </c>
      <c r="U147" s="2" t="str">
        <f>IF(COUNTIFS(SalesData[Customer_ID],SalesData[[#This Row],[Customer_ID]])&gt;1,"Repeat","New")</f>
        <v>Repeat</v>
      </c>
      <c r="V147" s="2" t="str">
        <f>IF(SalesData[[#This Row],[Sales]]&gt;AVERAGE(SalesData[Sales]),"Above Avg","Below Avg")</f>
        <v>Above Avg</v>
      </c>
      <c r="W147" s="2" t="str">
        <f>IF(SalesData[[#This Row],[Profit]]&gt;0,"Profit","Loss")</f>
        <v>Profit</v>
      </c>
      <c r="X147" s="2">
        <f>RANK(SalesData[[#This Row],[Sales]],SalesData[Sales])</f>
        <v>69</v>
      </c>
    </row>
    <row r="148" spans="1:24" x14ac:dyDescent="0.3">
      <c r="A148">
        <v>147</v>
      </c>
      <c r="B148" s="1">
        <v>45438</v>
      </c>
      <c r="C148">
        <v>1096</v>
      </c>
      <c r="D148" t="s">
        <v>131</v>
      </c>
      <c r="E148" t="s">
        <v>15</v>
      </c>
      <c r="F148" t="s">
        <v>21</v>
      </c>
      <c r="G148" t="s">
        <v>34</v>
      </c>
      <c r="H148" t="s">
        <v>18</v>
      </c>
      <c r="I148">
        <v>4473</v>
      </c>
      <c r="J148">
        <v>8</v>
      </c>
      <c r="K148">
        <v>0</v>
      </c>
      <c r="L148">
        <v>126</v>
      </c>
      <c r="M148" t="s">
        <v>26</v>
      </c>
      <c r="N148">
        <v>35784</v>
      </c>
      <c r="O148" t="str">
        <f>TEXT(SalesData[[#This Row],[Order_Date]],"mmm")</f>
        <v>May</v>
      </c>
      <c r="P148">
        <f>YEAR(SalesData[[#This Row],[Order_Date]])</f>
        <v>2024</v>
      </c>
      <c r="Q148" t="str">
        <f>"Q"&amp;ROUNDUP(MONTH(SalesData[[#This Row],[Order_Date]])/3,0)</f>
        <v>Q2</v>
      </c>
      <c r="R148" s="2">
        <f>IFERROR(SalesData[[#This Row],[Profit]]/SalesData[[#This Row],[Sales]],0)</f>
        <v>3.5211267605633804E-3</v>
      </c>
      <c r="S148" s="2">
        <f>SalesData[[#This Row],[Price]]*SalesData[[#This Row],[Quantity]]*SalesData[[#This Row],[Discount]]</f>
        <v>0</v>
      </c>
      <c r="T148" s="2" t="str">
        <f>IF(SalesData[[#This Row],[Sales]]&gt;5000,"High",IF(SalesData[[#This Row],[Sales]]&gt;2000,"Medium","Low"))</f>
        <v>High</v>
      </c>
      <c r="U148" s="2" t="str">
        <f>IF(COUNTIFS(SalesData[Customer_ID],SalesData[[#This Row],[Customer_ID]])&gt;1,"Repeat","New")</f>
        <v>Repeat</v>
      </c>
      <c r="V148" s="2" t="str">
        <f>IF(SalesData[[#This Row],[Sales]]&gt;AVERAGE(SalesData[Sales]),"Above Avg","Below Avg")</f>
        <v>Above Avg</v>
      </c>
      <c r="W148" s="2" t="str">
        <f>IF(SalesData[[#This Row],[Profit]]&gt;0,"Profit","Loss")</f>
        <v>Profit</v>
      </c>
      <c r="X148" s="2">
        <f>RANK(SalesData[[#This Row],[Sales]],SalesData[Sales])</f>
        <v>8</v>
      </c>
    </row>
    <row r="149" spans="1:24" x14ac:dyDescent="0.3">
      <c r="A149">
        <v>148</v>
      </c>
      <c r="B149" s="1">
        <v>45439</v>
      </c>
      <c r="C149">
        <v>1040</v>
      </c>
      <c r="D149" t="s">
        <v>128</v>
      </c>
      <c r="E149" t="s">
        <v>15</v>
      </c>
      <c r="F149" t="s">
        <v>33</v>
      </c>
      <c r="G149" t="s">
        <v>22</v>
      </c>
      <c r="H149" t="s">
        <v>29</v>
      </c>
      <c r="I149">
        <v>3339</v>
      </c>
      <c r="J149">
        <v>3</v>
      </c>
      <c r="K149">
        <v>0.01</v>
      </c>
      <c r="L149">
        <v>-386</v>
      </c>
      <c r="M149" t="s">
        <v>26</v>
      </c>
      <c r="N149">
        <v>9916.83</v>
      </c>
      <c r="O149" t="str">
        <f>TEXT(SalesData[[#This Row],[Order_Date]],"mmm")</f>
        <v>May</v>
      </c>
      <c r="P149">
        <f>YEAR(SalesData[[#This Row],[Order_Date]])</f>
        <v>2024</v>
      </c>
      <c r="Q149" t="str">
        <f>"Q"&amp;ROUNDUP(MONTH(SalesData[[#This Row],[Order_Date]])/3,0)</f>
        <v>Q2</v>
      </c>
      <c r="R149" s="2">
        <f>IFERROR(SalesData[[#This Row],[Profit]]/SalesData[[#This Row],[Sales]],0)</f>
        <v>-3.8923728651191966E-2</v>
      </c>
      <c r="S149" s="2">
        <f>SalesData[[#This Row],[Price]]*SalesData[[#This Row],[Quantity]]*SalesData[[#This Row],[Discount]]</f>
        <v>100.17</v>
      </c>
      <c r="T149" s="2" t="str">
        <f>IF(SalesData[[#This Row],[Sales]]&gt;5000,"High",IF(SalesData[[#This Row],[Sales]]&gt;2000,"Medium","Low"))</f>
        <v>High</v>
      </c>
      <c r="U149" s="2" t="str">
        <f>IF(COUNTIFS(SalesData[Customer_ID],SalesData[[#This Row],[Customer_ID]])&gt;1,"Repeat","New")</f>
        <v>Repeat</v>
      </c>
      <c r="V149" s="2" t="str">
        <f>IF(SalesData[[#This Row],[Sales]]&gt;AVERAGE(SalesData[Sales]),"Above Avg","Below Avg")</f>
        <v>Below Avg</v>
      </c>
      <c r="W149" s="2" t="str">
        <f>IF(SalesData[[#This Row],[Profit]]&gt;0,"Profit","Loss")</f>
        <v>Loss</v>
      </c>
      <c r="X149" s="2">
        <f>RANK(SalesData[[#This Row],[Sales]],SalesData[Sales])</f>
        <v>202</v>
      </c>
    </row>
    <row r="150" spans="1:24" x14ac:dyDescent="0.3">
      <c r="A150">
        <v>149</v>
      </c>
      <c r="B150" s="1">
        <v>45440</v>
      </c>
      <c r="C150">
        <v>1088</v>
      </c>
      <c r="D150" t="s">
        <v>63</v>
      </c>
      <c r="E150" t="s">
        <v>24</v>
      </c>
      <c r="F150" t="s">
        <v>16</v>
      </c>
      <c r="G150" t="s">
        <v>22</v>
      </c>
      <c r="H150" t="s">
        <v>25</v>
      </c>
      <c r="I150">
        <v>1472</v>
      </c>
      <c r="J150">
        <v>5</v>
      </c>
      <c r="K150">
        <v>0.08</v>
      </c>
      <c r="L150">
        <v>788</v>
      </c>
      <c r="M150" t="s">
        <v>19</v>
      </c>
      <c r="N150">
        <v>6771.2</v>
      </c>
      <c r="O150" t="str">
        <f>TEXT(SalesData[[#This Row],[Order_Date]],"mmm")</f>
        <v>May</v>
      </c>
      <c r="P150">
        <f>YEAR(SalesData[[#This Row],[Order_Date]])</f>
        <v>2024</v>
      </c>
      <c r="Q150" t="str">
        <f>"Q"&amp;ROUNDUP(MONTH(SalesData[[#This Row],[Order_Date]])/3,0)</f>
        <v>Q2</v>
      </c>
      <c r="R150" s="2">
        <f>IFERROR(SalesData[[#This Row],[Profit]]/SalesData[[#This Row],[Sales]],0)</f>
        <v>0.11637523629489603</v>
      </c>
      <c r="S150" s="2">
        <f>SalesData[[#This Row],[Price]]*SalesData[[#This Row],[Quantity]]*SalesData[[#This Row],[Discount]]</f>
        <v>588.80000000000007</v>
      </c>
      <c r="T150" s="2" t="str">
        <f>IF(SalesData[[#This Row],[Sales]]&gt;5000,"High",IF(SalesData[[#This Row],[Sales]]&gt;2000,"Medium","Low"))</f>
        <v>High</v>
      </c>
      <c r="U150" s="2" t="str">
        <f>IF(COUNTIFS(SalesData[Customer_ID],SalesData[[#This Row],[Customer_ID]])&gt;1,"Repeat","New")</f>
        <v>Repeat</v>
      </c>
      <c r="V150" s="2" t="str">
        <f>IF(SalesData[[#This Row],[Sales]]&gt;AVERAGE(SalesData[Sales]),"Above Avg","Below Avg")</f>
        <v>Below Avg</v>
      </c>
      <c r="W150" s="2" t="str">
        <f>IF(SalesData[[#This Row],[Profit]]&gt;0,"Profit","Loss")</f>
        <v>Profit</v>
      </c>
      <c r="X150" s="2">
        <f>RANK(SalesData[[#This Row],[Sales]],SalesData[Sales])</f>
        <v>279</v>
      </c>
    </row>
    <row r="151" spans="1:24" x14ac:dyDescent="0.3">
      <c r="A151">
        <v>150</v>
      </c>
      <c r="B151" s="1">
        <v>45441</v>
      </c>
      <c r="C151">
        <v>1063</v>
      </c>
      <c r="D151" t="s">
        <v>132</v>
      </c>
      <c r="E151" t="s">
        <v>24</v>
      </c>
      <c r="F151" t="s">
        <v>21</v>
      </c>
      <c r="G151" t="s">
        <v>22</v>
      </c>
      <c r="H151" t="s">
        <v>29</v>
      </c>
      <c r="I151">
        <v>2138</v>
      </c>
      <c r="J151">
        <v>1</v>
      </c>
      <c r="K151">
        <v>0.2</v>
      </c>
      <c r="L151">
        <v>725</v>
      </c>
      <c r="M151" t="s">
        <v>26</v>
      </c>
      <c r="N151">
        <v>1710.4</v>
      </c>
      <c r="O151" t="str">
        <f>TEXT(SalesData[[#This Row],[Order_Date]],"mmm")</f>
        <v>May</v>
      </c>
      <c r="P151">
        <f>YEAR(SalesData[[#This Row],[Order_Date]])</f>
        <v>2024</v>
      </c>
      <c r="Q151" t="str">
        <f>"Q"&amp;ROUNDUP(MONTH(SalesData[[#This Row],[Order_Date]])/3,0)</f>
        <v>Q2</v>
      </c>
      <c r="R151" s="2">
        <f>IFERROR(SalesData[[#This Row],[Profit]]/SalesData[[#This Row],[Sales]],0)</f>
        <v>0.42387745556594947</v>
      </c>
      <c r="S151" s="2">
        <f>SalesData[[#This Row],[Price]]*SalesData[[#This Row],[Quantity]]*SalesData[[#This Row],[Discount]]</f>
        <v>427.6</v>
      </c>
      <c r="T151" s="2" t="str">
        <f>IF(SalesData[[#This Row],[Sales]]&gt;5000,"High",IF(SalesData[[#This Row],[Sales]]&gt;2000,"Medium","Low"))</f>
        <v>Low</v>
      </c>
      <c r="U151" s="2" t="str">
        <f>IF(COUNTIFS(SalesData[Customer_ID],SalesData[[#This Row],[Customer_ID]])&gt;1,"Repeat","New")</f>
        <v>Repeat</v>
      </c>
      <c r="V151" s="2" t="str">
        <f>IF(SalesData[[#This Row],[Sales]]&gt;AVERAGE(SalesData[Sales]),"Above Avg","Below Avg")</f>
        <v>Below Avg</v>
      </c>
      <c r="W151" s="2" t="str">
        <f>IF(SalesData[[#This Row],[Profit]]&gt;0,"Profit","Loss")</f>
        <v>Profit</v>
      </c>
      <c r="X151" s="2">
        <f>RANK(SalesData[[#This Row],[Sales]],SalesData[Sales])</f>
        <v>446</v>
      </c>
    </row>
    <row r="152" spans="1:24" x14ac:dyDescent="0.3">
      <c r="A152">
        <v>151</v>
      </c>
      <c r="B152" s="1">
        <v>45442</v>
      </c>
      <c r="C152">
        <v>1058</v>
      </c>
      <c r="D152" t="s">
        <v>133</v>
      </c>
      <c r="E152" t="s">
        <v>15</v>
      </c>
      <c r="F152" t="s">
        <v>21</v>
      </c>
      <c r="G152" t="s">
        <v>34</v>
      </c>
      <c r="H152" t="s">
        <v>25</v>
      </c>
      <c r="I152">
        <v>4818</v>
      </c>
      <c r="J152">
        <v>7</v>
      </c>
      <c r="K152">
        <v>0.27</v>
      </c>
      <c r="L152">
        <v>841</v>
      </c>
      <c r="M152" t="s">
        <v>26</v>
      </c>
      <c r="N152">
        <v>24619.98</v>
      </c>
      <c r="O152" t="str">
        <f>TEXT(SalesData[[#This Row],[Order_Date]],"mmm")</f>
        <v>May</v>
      </c>
      <c r="P152">
        <f>YEAR(SalesData[[#This Row],[Order_Date]])</f>
        <v>2024</v>
      </c>
      <c r="Q152" t="str">
        <f>"Q"&amp;ROUNDUP(MONTH(SalesData[[#This Row],[Order_Date]])/3,0)</f>
        <v>Q2</v>
      </c>
      <c r="R152" s="2">
        <f>IFERROR(SalesData[[#This Row],[Profit]]/SalesData[[#This Row],[Sales]],0)</f>
        <v>3.4159247895408529E-2</v>
      </c>
      <c r="S152" s="2">
        <f>SalesData[[#This Row],[Price]]*SalesData[[#This Row],[Quantity]]*SalesData[[#This Row],[Discount]]</f>
        <v>9106.02</v>
      </c>
      <c r="T152" s="2" t="str">
        <f>IF(SalesData[[#This Row],[Sales]]&gt;5000,"High",IF(SalesData[[#This Row],[Sales]]&gt;2000,"Medium","Low"))</f>
        <v>High</v>
      </c>
      <c r="U152" s="2" t="str">
        <f>IF(COUNTIFS(SalesData[Customer_ID],SalesData[[#This Row],[Customer_ID]])&gt;1,"Repeat","New")</f>
        <v>Repeat</v>
      </c>
      <c r="V152" s="2" t="str">
        <f>IF(SalesData[[#This Row],[Sales]]&gt;AVERAGE(SalesData[Sales]),"Above Avg","Below Avg")</f>
        <v>Above Avg</v>
      </c>
      <c r="W152" s="2" t="str">
        <f>IF(SalesData[[#This Row],[Profit]]&gt;0,"Profit","Loss")</f>
        <v>Profit</v>
      </c>
      <c r="X152" s="2">
        <f>RANK(SalesData[[#This Row],[Sales]],SalesData[Sales])</f>
        <v>44</v>
      </c>
    </row>
    <row r="153" spans="1:24" x14ac:dyDescent="0.3">
      <c r="A153">
        <v>152</v>
      </c>
      <c r="B153" s="1">
        <v>45443</v>
      </c>
      <c r="C153">
        <v>1077</v>
      </c>
      <c r="D153" t="s">
        <v>134</v>
      </c>
      <c r="E153" t="s">
        <v>15</v>
      </c>
      <c r="F153" t="s">
        <v>28</v>
      </c>
      <c r="G153" t="s">
        <v>17</v>
      </c>
      <c r="H153" t="s">
        <v>18</v>
      </c>
      <c r="I153">
        <v>3953</v>
      </c>
      <c r="J153">
        <v>3</v>
      </c>
      <c r="K153">
        <v>0.13</v>
      </c>
      <c r="L153">
        <v>1405</v>
      </c>
      <c r="M153" t="s">
        <v>31</v>
      </c>
      <c r="N153">
        <v>10317.33</v>
      </c>
      <c r="O153" t="str">
        <f>TEXT(SalesData[[#This Row],[Order_Date]],"mmm")</f>
        <v>May</v>
      </c>
      <c r="P153">
        <f>YEAR(SalesData[[#This Row],[Order_Date]])</f>
        <v>2024</v>
      </c>
      <c r="Q153" t="str">
        <f>"Q"&amp;ROUNDUP(MONTH(SalesData[[#This Row],[Order_Date]])/3,0)</f>
        <v>Q2</v>
      </c>
      <c r="R153" s="2">
        <f>IFERROR(SalesData[[#This Row],[Profit]]/SalesData[[#This Row],[Sales]],0)</f>
        <v>0.13617864311793845</v>
      </c>
      <c r="S153" s="2">
        <f>SalesData[[#This Row],[Price]]*SalesData[[#This Row],[Quantity]]*SalesData[[#This Row],[Discount]]</f>
        <v>1541.67</v>
      </c>
      <c r="T153" s="2" t="str">
        <f>IF(SalesData[[#This Row],[Sales]]&gt;5000,"High",IF(SalesData[[#This Row],[Sales]]&gt;2000,"Medium","Low"))</f>
        <v>High</v>
      </c>
      <c r="U153" s="2" t="str">
        <f>IF(COUNTIFS(SalesData[Customer_ID],SalesData[[#This Row],[Customer_ID]])&gt;1,"Repeat","New")</f>
        <v>Repeat</v>
      </c>
      <c r="V153" s="2" t="str">
        <f>IF(SalesData[[#This Row],[Sales]]&gt;AVERAGE(SalesData[Sales]),"Above Avg","Below Avg")</f>
        <v>Below Avg</v>
      </c>
      <c r="W153" s="2" t="str">
        <f>IF(SalesData[[#This Row],[Profit]]&gt;0,"Profit","Loss")</f>
        <v>Profit</v>
      </c>
      <c r="X153" s="2">
        <f>RANK(SalesData[[#This Row],[Sales]],SalesData[Sales])</f>
        <v>197</v>
      </c>
    </row>
    <row r="154" spans="1:24" x14ac:dyDescent="0.3">
      <c r="A154">
        <v>153</v>
      </c>
      <c r="B154" s="1">
        <v>45444</v>
      </c>
      <c r="C154">
        <v>1008</v>
      </c>
      <c r="D154" t="s">
        <v>135</v>
      </c>
      <c r="E154" t="s">
        <v>24</v>
      </c>
      <c r="F154" t="s">
        <v>33</v>
      </c>
      <c r="G154" t="s">
        <v>34</v>
      </c>
      <c r="H154" t="s">
        <v>37</v>
      </c>
      <c r="I154">
        <v>3443</v>
      </c>
      <c r="J154">
        <v>7</v>
      </c>
      <c r="K154">
        <v>0.01</v>
      </c>
      <c r="L154">
        <v>1505</v>
      </c>
      <c r="M154" t="s">
        <v>26</v>
      </c>
      <c r="N154">
        <v>23859.99</v>
      </c>
      <c r="O154" t="str">
        <f>TEXT(SalesData[[#This Row],[Order_Date]],"mmm")</f>
        <v>Jun</v>
      </c>
      <c r="P154">
        <f>YEAR(SalesData[[#This Row],[Order_Date]])</f>
        <v>2024</v>
      </c>
      <c r="Q154" t="str">
        <f>"Q"&amp;ROUNDUP(MONTH(SalesData[[#This Row],[Order_Date]])/3,0)</f>
        <v>Q2</v>
      </c>
      <c r="R154" s="2">
        <f>IFERROR(SalesData[[#This Row],[Profit]]/SalesData[[#This Row],[Sales]],0)</f>
        <v>6.3076304726028806E-2</v>
      </c>
      <c r="S154" s="2">
        <f>SalesData[[#This Row],[Price]]*SalesData[[#This Row],[Quantity]]*SalesData[[#This Row],[Discount]]</f>
        <v>241.01</v>
      </c>
      <c r="T154" s="2" t="str">
        <f>IF(SalesData[[#This Row],[Sales]]&gt;5000,"High",IF(SalesData[[#This Row],[Sales]]&gt;2000,"Medium","Low"))</f>
        <v>High</v>
      </c>
      <c r="U154" s="2" t="str">
        <f>IF(COUNTIFS(SalesData[Customer_ID],SalesData[[#This Row],[Customer_ID]])&gt;1,"Repeat","New")</f>
        <v>Repeat</v>
      </c>
      <c r="V154" s="2" t="str">
        <f>IF(SalesData[[#This Row],[Sales]]&gt;AVERAGE(SalesData[Sales]),"Above Avg","Below Avg")</f>
        <v>Above Avg</v>
      </c>
      <c r="W154" s="2" t="str">
        <f>IF(SalesData[[#This Row],[Profit]]&gt;0,"Profit","Loss")</f>
        <v>Profit</v>
      </c>
      <c r="X154" s="2">
        <f>RANK(SalesData[[#This Row],[Sales]],SalesData[Sales])</f>
        <v>52</v>
      </c>
    </row>
    <row r="155" spans="1:24" x14ac:dyDescent="0.3">
      <c r="A155">
        <v>154</v>
      </c>
      <c r="B155" s="1">
        <v>45445</v>
      </c>
      <c r="C155">
        <v>1078</v>
      </c>
      <c r="D155" t="s">
        <v>51</v>
      </c>
      <c r="E155" t="s">
        <v>15</v>
      </c>
      <c r="F155" t="s">
        <v>21</v>
      </c>
      <c r="G155" t="s">
        <v>34</v>
      </c>
      <c r="H155" t="s">
        <v>37</v>
      </c>
      <c r="I155">
        <v>4783</v>
      </c>
      <c r="J155">
        <v>8</v>
      </c>
      <c r="K155">
        <v>0.09</v>
      </c>
      <c r="L155">
        <v>605</v>
      </c>
      <c r="M155" t="s">
        <v>31</v>
      </c>
      <c r="N155">
        <v>34820.239999999998</v>
      </c>
      <c r="O155" t="str">
        <f>TEXT(SalesData[[#This Row],[Order_Date]],"mmm")</f>
        <v>Jun</v>
      </c>
      <c r="P155">
        <f>YEAR(SalesData[[#This Row],[Order_Date]])</f>
        <v>2024</v>
      </c>
      <c r="Q155" t="str">
        <f>"Q"&amp;ROUNDUP(MONTH(SalesData[[#This Row],[Order_Date]])/3,0)</f>
        <v>Q2</v>
      </c>
      <c r="R155" s="2">
        <f>IFERROR(SalesData[[#This Row],[Profit]]/SalesData[[#This Row],[Sales]],0)</f>
        <v>1.7374952039388585E-2</v>
      </c>
      <c r="S155" s="2">
        <f>SalesData[[#This Row],[Price]]*SalesData[[#This Row],[Quantity]]*SalesData[[#This Row],[Discount]]</f>
        <v>3443.7599999999998</v>
      </c>
      <c r="T155" s="2" t="str">
        <f>IF(SalesData[[#This Row],[Sales]]&gt;5000,"High",IF(SalesData[[#This Row],[Sales]]&gt;2000,"Medium","Low"))</f>
        <v>High</v>
      </c>
      <c r="U155" s="2" t="str">
        <f>IF(COUNTIFS(SalesData[Customer_ID],SalesData[[#This Row],[Customer_ID]])&gt;1,"Repeat","New")</f>
        <v>Repeat</v>
      </c>
      <c r="V155" s="2" t="str">
        <f>IF(SalesData[[#This Row],[Sales]]&gt;AVERAGE(SalesData[Sales]),"Above Avg","Below Avg")</f>
        <v>Above Avg</v>
      </c>
      <c r="W155" s="2" t="str">
        <f>IF(SalesData[[#This Row],[Profit]]&gt;0,"Profit","Loss")</f>
        <v>Profit</v>
      </c>
      <c r="X155" s="2">
        <f>RANK(SalesData[[#This Row],[Sales]],SalesData[Sales])</f>
        <v>12</v>
      </c>
    </row>
    <row r="156" spans="1:24" x14ac:dyDescent="0.3">
      <c r="A156">
        <v>155</v>
      </c>
      <c r="B156" s="1">
        <v>45446</v>
      </c>
      <c r="C156">
        <v>1006</v>
      </c>
      <c r="D156" t="s">
        <v>136</v>
      </c>
      <c r="E156" t="s">
        <v>15</v>
      </c>
      <c r="F156" t="s">
        <v>16</v>
      </c>
      <c r="G156" t="s">
        <v>34</v>
      </c>
      <c r="H156" t="s">
        <v>29</v>
      </c>
      <c r="I156">
        <v>4252</v>
      </c>
      <c r="J156">
        <v>7</v>
      </c>
      <c r="K156">
        <v>0.28999999999999998</v>
      </c>
      <c r="L156">
        <v>-483</v>
      </c>
      <c r="M156" t="s">
        <v>26</v>
      </c>
      <c r="N156">
        <v>21132.44</v>
      </c>
      <c r="O156" t="str">
        <f>TEXT(SalesData[[#This Row],[Order_Date]],"mmm")</f>
        <v>Jun</v>
      </c>
      <c r="P156">
        <f>YEAR(SalesData[[#This Row],[Order_Date]])</f>
        <v>2024</v>
      </c>
      <c r="Q156" t="str">
        <f>"Q"&amp;ROUNDUP(MONTH(SalesData[[#This Row],[Order_Date]])/3,0)</f>
        <v>Q2</v>
      </c>
      <c r="R156" s="2">
        <f>IFERROR(SalesData[[#This Row],[Profit]]/SalesData[[#This Row],[Sales]],0)</f>
        <v>-2.2855855736488549E-2</v>
      </c>
      <c r="S156" s="2">
        <f>SalesData[[#This Row],[Price]]*SalesData[[#This Row],[Quantity]]*SalesData[[#This Row],[Discount]]</f>
        <v>8631.56</v>
      </c>
      <c r="T156" s="2" t="str">
        <f>IF(SalesData[[#This Row],[Sales]]&gt;5000,"High",IF(SalesData[[#This Row],[Sales]]&gt;2000,"Medium","Low"))</f>
        <v>High</v>
      </c>
      <c r="U156" s="2" t="str">
        <f>IF(COUNTIFS(SalesData[Customer_ID],SalesData[[#This Row],[Customer_ID]])&gt;1,"Repeat","New")</f>
        <v>Repeat</v>
      </c>
      <c r="V156" s="2" t="str">
        <f>IF(SalesData[[#This Row],[Sales]]&gt;AVERAGE(SalesData[Sales]),"Above Avg","Below Avg")</f>
        <v>Above Avg</v>
      </c>
      <c r="W156" s="2" t="str">
        <f>IF(SalesData[[#This Row],[Profit]]&gt;0,"Profit","Loss")</f>
        <v>Loss</v>
      </c>
      <c r="X156" s="2">
        <f>RANK(SalesData[[#This Row],[Sales]],SalesData[Sales])</f>
        <v>74</v>
      </c>
    </row>
    <row r="157" spans="1:24" x14ac:dyDescent="0.3">
      <c r="A157">
        <v>156</v>
      </c>
      <c r="B157" s="1">
        <v>45447</v>
      </c>
      <c r="C157">
        <v>1065</v>
      </c>
      <c r="D157" t="s">
        <v>107</v>
      </c>
      <c r="E157" t="s">
        <v>24</v>
      </c>
      <c r="F157" t="s">
        <v>16</v>
      </c>
      <c r="G157" t="s">
        <v>34</v>
      </c>
      <c r="H157" t="s">
        <v>18</v>
      </c>
      <c r="I157">
        <v>1868</v>
      </c>
      <c r="J157">
        <v>5</v>
      </c>
      <c r="K157">
        <v>0.03</v>
      </c>
      <c r="L157">
        <v>200</v>
      </c>
      <c r="M157" t="s">
        <v>26</v>
      </c>
      <c r="N157">
        <v>9059.7999999999993</v>
      </c>
      <c r="O157" t="str">
        <f>TEXT(SalesData[[#This Row],[Order_Date]],"mmm")</f>
        <v>Jun</v>
      </c>
      <c r="P157">
        <f>YEAR(SalesData[[#This Row],[Order_Date]])</f>
        <v>2024</v>
      </c>
      <c r="Q157" t="str">
        <f>"Q"&amp;ROUNDUP(MONTH(SalesData[[#This Row],[Order_Date]])/3,0)</f>
        <v>Q2</v>
      </c>
      <c r="R157" s="2">
        <f>IFERROR(SalesData[[#This Row],[Profit]]/SalesData[[#This Row],[Sales]],0)</f>
        <v>2.2075542506457099E-2</v>
      </c>
      <c r="S157" s="2">
        <f>SalesData[[#This Row],[Price]]*SalesData[[#This Row],[Quantity]]*SalesData[[#This Row],[Discount]]</f>
        <v>280.2</v>
      </c>
      <c r="T157" s="2" t="str">
        <f>IF(SalesData[[#This Row],[Sales]]&gt;5000,"High",IF(SalesData[[#This Row],[Sales]]&gt;2000,"Medium","Low"))</f>
        <v>High</v>
      </c>
      <c r="U157" s="2" t="str">
        <f>IF(COUNTIFS(SalesData[Customer_ID],SalesData[[#This Row],[Customer_ID]])&gt;1,"Repeat","New")</f>
        <v>Repeat</v>
      </c>
      <c r="V157" s="2" t="str">
        <f>IF(SalesData[[#This Row],[Sales]]&gt;AVERAGE(SalesData[Sales]),"Above Avg","Below Avg")</f>
        <v>Below Avg</v>
      </c>
      <c r="W157" s="2" t="str">
        <f>IF(SalesData[[#This Row],[Profit]]&gt;0,"Profit","Loss")</f>
        <v>Profit</v>
      </c>
      <c r="X157" s="2">
        <f>RANK(SalesData[[#This Row],[Sales]],SalesData[Sales])</f>
        <v>230</v>
      </c>
    </row>
    <row r="158" spans="1:24" x14ac:dyDescent="0.3">
      <c r="A158">
        <v>157</v>
      </c>
      <c r="B158" s="1">
        <v>45448</v>
      </c>
      <c r="C158">
        <v>1094</v>
      </c>
      <c r="D158" t="s">
        <v>137</v>
      </c>
      <c r="E158" t="s">
        <v>15</v>
      </c>
      <c r="F158" t="s">
        <v>21</v>
      </c>
      <c r="G158" t="s">
        <v>22</v>
      </c>
      <c r="H158" t="s">
        <v>25</v>
      </c>
      <c r="I158">
        <v>138</v>
      </c>
      <c r="J158">
        <v>9</v>
      </c>
      <c r="K158">
        <v>0.23</v>
      </c>
      <c r="L158">
        <v>486</v>
      </c>
      <c r="M158" t="s">
        <v>31</v>
      </c>
      <c r="N158">
        <v>956.34</v>
      </c>
      <c r="O158" t="str">
        <f>TEXT(SalesData[[#This Row],[Order_Date]],"mmm")</f>
        <v>Jun</v>
      </c>
      <c r="P158">
        <f>YEAR(SalesData[[#This Row],[Order_Date]])</f>
        <v>2024</v>
      </c>
      <c r="Q158" t="str">
        <f>"Q"&amp;ROUNDUP(MONTH(SalesData[[#This Row],[Order_Date]])/3,0)</f>
        <v>Q2</v>
      </c>
      <c r="R158" s="2">
        <f>IFERROR(SalesData[[#This Row],[Profit]]/SalesData[[#This Row],[Sales]],0)</f>
        <v>0.50818746470920384</v>
      </c>
      <c r="S158" s="2">
        <f>SalesData[[#This Row],[Price]]*SalesData[[#This Row],[Quantity]]*SalesData[[#This Row],[Discount]]</f>
        <v>285.66000000000003</v>
      </c>
      <c r="T158" s="2" t="str">
        <f>IF(SalesData[[#This Row],[Sales]]&gt;5000,"High",IF(SalesData[[#This Row],[Sales]]&gt;2000,"Medium","Low"))</f>
        <v>Low</v>
      </c>
      <c r="U158" s="2" t="str">
        <f>IF(COUNTIFS(SalesData[Customer_ID],SalesData[[#This Row],[Customer_ID]])&gt;1,"Repeat","New")</f>
        <v>Repeat</v>
      </c>
      <c r="V158" s="2" t="str">
        <f>IF(SalesData[[#This Row],[Sales]]&gt;AVERAGE(SalesData[Sales]),"Above Avg","Below Avg")</f>
        <v>Below Avg</v>
      </c>
      <c r="W158" s="2" t="str">
        <f>IF(SalesData[[#This Row],[Profit]]&gt;0,"Profit","Loss")</f>
        <v>Profit</v>
      </c>
      <c r="X158" s="2">
        <f>RANK(SalesData[[#This Row],[Sales]],SalesData[Sales])</f>
        <v>481</v>
      </c>
    </row>
    <row r="159" spans="1:24" x14ac:dyDescent="0.3">
      <c r="A159">
        <v>158</v>
      </c>
      <c r="B159" s="1">
        <v>45449</v>
      </c>
      <c r="C159">
        <v>1070</v>
      </c>
      <c r="D159" t="s">
        <v>111</v>
      </c>
      <c r="E159" t="s">
        <v>15</v>
      </c>
      <c r="F159" t="s">
        <v>16</v>
      </c>
      <c r="G159" t="s">
        <v>17</v>
      </c>
      <c r="H159" t="s">
        <v>29</v>
      </c>
      <c r="I159">
        <v>3662</v>
      </c>
      <c r="J159">
        <v>1</v>
      </c>
      <c r="K159">
        <v>0.22</v>
      </c>
      <c r="L159">
        <v>-184</v>
      </c>
      <c r="M159" t="s">
        <v>26</v>
      </c>
      <c r="N159">
        <v>2856.36</v>
      </c>
      <c r="O159" t="str">
        <f>TEXT(SalesData[[#This Row],[Order_Date]],"mmm")</f>
        <v>Jun</v>
      </c>
      <c r="P159">
        <f>YEAR(SalesData[[#This Row],[Order_Date]])</f>
        <v>2024</v>
      </c>
      <c r="Q159" t="str">
        <f>"Q"&amp;ROUNDUP(MONTH(SalesData[[#This Row],[Order_Date]])/3,0)</f>
        <v>Q2</v>
      </c>
      <c r="R159" s="2">
        <f>IFERROR(SalesData[[#This Row],[Profit]]/SalesData[[#This Row],[Sales]],0)</f>
        <v>-6.4417650436219526E-2</v>
      </c>
      <c r="S159" s="2">
        <f>SalesData[[#This Row],[Price]]*SalesData[[#This Row],[Quantity]]*SalesData[[#This Row],[Discount]]</f>
        <v>805.64</v>
      </c>
      <c r="T159" s="2" t="str">
        <f>IF(SalesData[[#This Row],[Sales]]&gt;5000,"High",IF(SalesData[[#This Row],[Sales]]&gt;2000,"Medium","Low"))</f>
        <v>Medium</v>
      </c>
      <c r="U159" s="2" t="str">
        <f>IF(COUNTIFS(SalesData[Customer_ID],SalesData[[#This Row],[Customer_ID]])&gt;1,"Repeat","New")</f>
        <v>Repeat</v>
      </c>
      <c r="V159" s="2" t="str">
        <f>IF(SalesData[[#This Row],[Sales]]&gt;AVERAGE(SalesData[Sales]),"Above Avg","Below Avg")</f>
        <v>Below Avg</v>
      </c>
      <c r="W159" s="2" t="str">
        <f>IF(SalesData[[#This Row],[Profit]]&gt;0,"Profit","Loss")</f>
        <v>Loss</v>
      </c>
      <c r="X159" s="2">
        <f>RANK(SalesData[[#This Row],[Sales]],SalesData[Sales])</f>
        <v>397</v>
      </c>
    </row>
    <row r="160" spans="1:24" x14ac:dyDescent="0.3">
      <c r="A160">
        <v>159</v>
      </c>
      <c r="B160" s="1">
        <v>45450</v>
      </c>
      <c r="C160">
        <v>1040</v>
      </c>
      <c r="D160" t="s">
        <v>138</v>
      </c>
      <c r="E160" t="s">
        <v>24</v>
      </c>
      <c r="F160" t="s">
        <v>33</v>
      </c>
      <c r="G160" t="s">
        <v>34</v>
      </c>
      <c r="H160" t="s">
        <v>18</v>
      </c>
      <c r="I160">
        <v>1929</v>
      </c>
      <c r="J160">
        <v>6</v>
      </c>
      <c r="K160">
        <v>0.18</v>
      </c>
      <c r="L160">
        <v>1743</v>
      </c>
      <c r="M160" t="s">
        <v>31</v>
      </c>
      <c r="N160">
        <v>9490.68</v>
      </c>
      <c r="O160" t="str">
        <f>TEXT(SalesData[[#This Row],[Order_Date]],"mmm")</f>
        <v>Jun</v>
      </c>
      <c r="P160">
        <f>YEAR(SalesData[[#This Row],[Order_Date]])</f>
        <v>2024</v>
      </c>
      <c r="Q160" t="str">
        <f>"Q"&amp;ROUNDUP(MONTH(SalesData[[#This Row],[Order_Date]])/3,0)</f>
        <v>Q2</v>
      </c>
      <c r="R160" s="2">
        <f>IFERROR(SalesData[[#This Row],[Profit]]/SalesData[[#This Row],[Sales]],0)</f>
        <v>0.18365385831152245</v>
      </c>
      <c r="S160" s="2">
        <f>SalesData[[#This Row],[Price]]*SalesData[[#This Row],[Quantity]]*SalesData[[#This Row],[Discount]]</f>
        <v>2083.3199999999997</v>
      </c>
      <c r="T160" s="2" t="str">
        <f>IF(SalesData[[#This Row],[Sales]]&gt;5000,"High",IF(SalesData[[#This Row],[Sales]]&gt;2000,"Medium","Low"))</f>
        <v>High</v>
      </c>
      <c r="U160" s="2" t="str">
        <f>IF(COUNTIFS(SalesData[Customer_ID],SalesData[[#This Row],[Customer_ID]])&gt;1,"Repeat","New")</f>
        <v>Repeat</v>
      </c>
      <c r="V160" s="2" t="str">
        <f>IF(SalesData[[#This Row],[Sales]]&gt;AVERAGE(SalesData[Sales]),"Above Avg","Below Avg")</f>
        <v>Below Avg</v>
      </c>
      <c r="W160" s="2" t="str">
        <f>IF(SalesData[[#This Row],[Profit]]&gt;0,"Profit","Loss")</f>
        <v>Profit</v>
      </c>
      <c r="X160" s="2">
        <f>RANK(SalesData[[#This Row],[Sales]],SalesData[Sales])</f>
        <v>217</v>
      </c>
    </row>
    <row r="161" spans="1:24" x14ac:dyDescent="0.3">
      <c r="A161">
        <v>160</v>
      </c>
      <c r="B161" s="1">
        <v>45451</v>
      </c>
      <c r="C161">
        <v>1074</v>
      </c>
      <c r="D161" t="s">
        <v>88</v>
      </c>
      <c r="E161" t="s">
        <v>15</v>
      </c>
      <c r="F161" t="s">
        <v>16</v>
      </c>
      <c r="G161" t="s">
        <v>34</v>
      </c>
      <c r="H161" t="s">
        <v>37</v>
      </c>
      <c r="I161">
        <v>2271</v>
      </c>
      <c r="J161">
        <v>6</v>
      </c>
      <c r="K161">
        <v>0.28000000000000003</v>
      </c>
      <c r="L161">
        <v>1840</v>
      </c>
      <c r="M161" t="s">
        <v>31</v>
      </c>
      <c r="N161">
        <v>9810.7199999999993</v>
      </c>
      <c r="O161" t="str">
        <f>TEXT(SalesData[[#This Row],[Order_Date]],"mmm")</f>
        <v>Jun</v>
      </c>
      <c r="P161">
        <f>YEAR(SalesData[[#This Row],[Order_Date]])</f>
        <v>2024</v>
      </c>
      <c r="Q161" t="str">
        <f>"Q"&amp;ROUNDUP(MONTH(SalesData[[#This Row],[Order_Date]])/3,0)</f>
        <v>Q2</v>
      </c>
      <c r="R161" s="2">
        <f>IFERROR(SalesData[[#This Row],[Profit]]/SalesData[[#This Row],[Sales]],0)</f>
        <v>0.18754994536588548</v>
      </c>
      <c r="S161" s="2">
        <f>SalesData[[#This Row],[Price]]*SalesData[[#This Row],[Quantity]]*SalesData[[#This Row],[Discount]]</f>
        <v>3815.28</v>
      </c>
      <c r="T161" s="2" t="str">
        <f>IF(SalesData[[#This Row],[Sales]]&gt;5000,"High",IF(SalesData[[#This Row],[Sales]]&gt;2000,"Medium","Low"))</f>
        <v>High</v>
      </c>
      <c r="U161" s="2" t="str">
        <f>IF(COUNTIFS(SalesData[Customer_ID],SalesData[[#This Row],[Customer_ID]])&gt;1,"Repeat","New")</f>
        <v>Repeat</v>
      </c>
      <c r="V161" s="2" t="str">
        <f>IF(SalesData[[#This Row],[Sales]]&gt;AVERAGE(SalesData[Sales]),"Above Avg","Below Avg")</f>
        <v>Below Avg</v>
      </c>
      <c r="W161" s="2" t="str">
        <f>IF(SalesData[[#This Row],[Profit]]&gt;0,"Profit","Loss")</f>
        <v>Profit</v>
      </c>
      <c r="X161" s="2">
        <f>RANK(SalesData[[#This Row],[Sales]],SalesData[Sales])</f>
        <v>207</v>
      </c>
    </row>
    <row r="162" spans="1:24" x14ac:dyDescent="0.3">
      <c r="A162">
        <v>161</v>
      </c>
      <c r="B162" s="1">
        <v>45452</v>
      </c>
      <c r="C162">
        <v>1076</v>
      </c>
      <c r="D162" t="s">
        <v>139</v>
      </c>
      <c r="E162" t="s">
        <v>15</v>
      </c>
      <c r="F162" t="s">
        <v>21</v>
      </c>
      <c r="G162" t="s">
        <v>22</v>
      </c>
      <c r="H162" t="s">
        <v>37</v>
      </c>
      <c r="I162">
        <v>208</v>
      </c>
      <c r="J162">
        <v>7</v>
      </c>
      <c r="K162">
        <v>0.19</v>
      </c>
      <c r="L162">
        <v>1079</v>
      </c>
      <c r="M162" t="s">
        <v>26</v>
      </c>
      <c r="N162">
        <v>1179.3599999999999</v>
      </c>
      <c r="O162" t="str">
        <f>TEXT(SalesData[[#This Row],[Order_Date]],"mmm")</f>
        <v>Jun</v>
      </c>
      <c r="P162">
        <f>YEAR(SalesData[[#This Row],[Order_Date]])</f>
        <v>2024</v>
      </c>
      <c r="Q162" t="str">
        <f>"Q"&amp;ROUNDUP(MONTH(SalesData[[#This Row],[Order_Date]])/3,0)</f>
        <v>Q2</v>
      </c>
      <c r="R162" s="2">
        <f>IFERROR(SalesData[[#This Row],[Profit]]/SalesData[[#This Row],[Sales]],0)</f>
        <v>0.9149029982363317</v>
      </c>
      <c r="S162" s="2">
        <f>SalesData[[#This Row],[Price]]*SalesData[[#This Row],[Quantity]]*SalesData[[#This Row],[Discount]]</f>
        <v>276.64</v>
      </c>
      <c r="T162" s="2" t="str">
        <f>IF(SalesData[[#This Row],[Sales]]&gt;5000,"High",IF(SalesData[[#This Row],[Sales]]&gt;2000,"Medium","Low"))</f>
        <v>Low</v>
      </c>
      <c r="U162" s="2" t="str">
        <f>IF(COUNTIFS(SalesData[Customer_ID],SalesData[[#This Row],[Customer_ID]])&gt;1,"Repeat","New")</f>
        <v>Repeat</v>
      </c>
      <c r="V162" s="2" t="str">
        <f>IF(SalesData[[#This Row],[Sales]]&gt;AVERAGE(SalesData[Sales]),"Above Avg","Below Avg")</f>
        <v>Below Avg</v>
      </c>
      <c r="W162" s="2" t="str">
        <f>IF(SalesData[[#This Row],[Profit]]&gt;0,"Profit","Loss")</f>
        <v>Profit</v>
      </c>
      <c r="X162" s="2">
        <f>RANK(SalesData[[#This Row],[Sales]],SalesData[Sales])</f>
        <v>469</v>
      </c>
    </row>
    <row r="163" spans="1:24" x14ac:dyDescent="0.3">
      <c r="A163">
        <v>162</v>
      </c>
      <c r="B163" s="1">
        <v>45453</v>
      </c>
      <c r="C163">
        <v>1076</v>
      </c>
      <c r="D163" t="s">
        <v>140</v>
      </c>
      <c r="E163" t="s">
        <v>15</v>
      </c>
      <c r="F163" t="s">
        <v>16</v>
      </c>
      <c r="G163" t="s">
        <v>22</v>
      </c>
      <c r="H163" t="s">
        <v>37</v>
      </c>
      <c r="I163">
        <v>4940</v>
      </c>
      <c r="J163">
        <v>7</v>
      </c>
      <c r="K163">
        <v>0.28999999999999998</v>
      </c>
      <c r="L163">
        <v>-154</v>
      </c>
      <c r="M163" t="s">
        <v>26</v>
      </c>
      <c r="N163">
        <v>24551.8</v>
      </c>
      <c r="O163" t="str">
        <f>TEXT(SalesData[[#This Row],[Order_Date]],"mmm")</f>
        <v>Jun</v>
      </c>
      <c r="P163">
        <f>YEAR(SalesData[[#This Row],[Order_Date]])</f>
        <v>2024</v>
      </c>
      <c r="Q163" t="str">
        <f>"Q"&amp;ROUNDUP(MONTH(SalesData[[#This Row],[Order_Date]])/3,0)</f>
        <v>Q2</v>
      </c>
      <c r="R163" s="2">
        <f>IFERROR(SalesData[[#This Row],[Profit]]/SalesData[[#This Row],[Sales]],0)</f>
        <v>-6.272452528938815E-3</v>
      </c>
      <c r="S163" s="2">
        <f>SalesData[[#This Row],[Price]]*SalesData[[#This Row],[Quantity]]*SalesData[[#This Row],[Discount]]</f>
        <v>10028.199999999999</v>
      </c>
      <c r="T163" s="2" t="str">
        <f>IF(SalesData[[#This Row],[Sales]]&gt;5000,"High",IF(SalesData[[#This Row],[Sales]]&gt;2000,"Medium","Low"))</f>
        <v>High</v>
      </c>
      <c r="U163" s="2" t="str">
        <f>IF(COUNTIFS(SalesData[Customer_ID],SalesData[[#This Row],[Customer_ID]])&gt;1,"Repeat","New")</f>
        <v>Repeat</v>
      </c>
      <c r="V163" s="2" t="str">
        <f>IF(SalesData[[#This Row],[Sales]]&gt;AVERAGE(SalesData[Sales]),"Above Avg","Below Avg")</f>
        <v>Above Avg</v>
      </c>
      <c r="W163" s="2" t="str">
        <f>IF(SalesData[[#This Row],[Profit]]&gt;0,"Profit","Loss")</f>
        <v>Loss</v>
      </c>
      <c r="X163" s="2">
        <f>RANK(SalesData[[#This Row],[Sales]],SalesData[Sales])</f>
        <v>45</v>
      </c>
    </row>
    <row r="164" spans="1:24" x14ac:dyDescent="0.3">
      <c r="A164">
        <v>163</v>
      </c>
      <c r="B164" s="1">
        <v>45454</v>
      </c>
      <c r="C164">
        <v>1025</v>
      </c>
      <c r="D164" t="s">
        <v>66</v>
      </c>
      <c r="E164" t="s">
        <v>15</v>
      </c>
      <c r="F164" t="s">
        <v>28</v>
      </c>
      <c r="G164" t="s">
        <v>22</v>
      </c>
      <c r="H164" t="s">
        <v>29</v>
      </c>
      <c r="I164">
        <v>4228</v>
      </c>
      <c r="J164">
        <v>2</v>
      </c>
      <c r="K164">
        <v>0.25</v>
      </c>
      <c r="L164">
        <v>115</v>
      </c>
      <c r="M164" t="s">
        <v>26</v>
      </c>
      <c r="N164">
        <v>6342</v>
      </c>
      <c r="O164" t="str">
        <f>TEXT(SalesData[[#This Row],[Order_Date]],"mmm")</f>
        <v>Jun</v>
      </c>
      <c r="P164">
        <f>YEAR(SalesData[[#This Row],[Order_Date]])</f>
        <v>2024</v>
      </c>
      <c r="Q164" t="str">
        <f>"Q"&amp;ROUNDUP(MONTH(SalesData[[#This Row],[Order_Date]])/3,0)</f>
        <v>Q2</v>
      </c>
      <c r="R164" s="2">
        <f>IFERROR(SalesData[[#This Row],[Profit]]/SalesData[[#This Row],[Sales]],0)</f>
        <v>1.8133081046988332E-2</v>
      </c>
      <c r="S164" s="2">
        <f>SalesData[[#This Row],[Price]]*SalesData[[#This Row],[Quantity]]*SalesData[[#This Row],[Discount]]</f>
        <v>2114</v>
      </c>
      <c r="T164" s="2" t="str">
        <f>IF(SalesData[[#This Row],[Sales]]&gt;5000,"High",IF(SalesData[[#This Row],[Sales]]&gt;2000,"Medium","Low"))</f>
        <v>High</v>
      </c>
      <c r="U164" s="2" t="str">
        <f>IF(COUNTIFS(SalesData[Customer_ID],SalesData[[#This Row],[Customer_ID]])&gt;1,"Repeat","New")</f>
        <v>Repeat</v>
      </c>
      <c r="V164" s="2" t="str">
        <f>IF(SalesData[[#This Row],[Sales]]&gt;AVERAGE(SalesData[Sales]),"Above Avg","Below Avg")</f>
        <v>Below Avg</v>
      </c>
      <c r="W164" s="2" t="str">
        <f>IF(SalesData[[#This Row],[Profit]]&gt;0,"Profit","Loss")</f>
        <v>Profit</v>
      </c>
      <c r="X164" s="2">
        <f>RANK(SalesData[[#This Row],[Sales]],SalesData[Sales])</f>
        <v>287</v>
      </c>
    </row>
    <row r="165" spans="1:24" x14ac:dyDescent="0.3">
      <c r="A165">
        <v>164</v>
      </c>
      <c r="B165" s="1">
        <v>45455</v>
      </c>
      <c r="C165">
        <v>1007</v>
      </c>
      <c r="D165" t="s">
        <v>91</v>
      </c>
      <c r="E165" t="s">
        <v>15</v>
      </c>
      <c r="F165" t="s">
        <v>16</v>
      </c>
      <c r="G165" t="s">
        <v>17</v>
      </c>
      <c r="H165" t="s">
        <v>37</v>
      </c>
      <c r="I165">
        <v>4335</v>
      </c>
      <c r="J165">
        <v>5</v>
      </c>
      <c r="K165">
        <v>0.24</v>
      </c>
      <c r="L165">
        <v>1958</v>
      </c>
      <c r="M165" t="s">
        <v>19</v>
      </c>
      <c r="N165">
        <v>16473</v>
      </c>
      <c r="O165" t="str">
        <f>TEXT(SalesData[[#This Row],[Order_Date]],"mmm")</f>
        <v>Jun</v>
      </c>
      <c r="P165">
        <f>YEAR(SalesData[[#This Row],[Order_Date]])</f>
        <v>2024</v>
      </c>
      <c r="Q165" t="str">
        <f>"Q"&amp;ROUNDUP(MONTH(SalesData[[#This Row],[Order_Date]])/3,0)</f>
        <v>Q2</v>
      </c>
      <c r="R165" s="2">
        <f>IFERROR(SalesData[[#This Row],[Profit]]/SalesData[[#This Row],[Sales]],0)</f>
        <v>0.11886116675772476</v>
      </c>
      <c r="S165" s="2">
        <f>SalesData[[#This Row],[Price]]*SalesData[[#This Row],[Quantity]]*SalesData[[#This Row],[Discount]]</f>
        <v>5202</v>
      </c>
      <c r="T165" s="2" t="str">
        <f>IF(SalesData[[#This Row],[Sales]]&gt;5000,"High",IF(SalesData[[#This Row],[Sales]]&gt;2000,"Medium","Low"))</f>
        <v>High</v>
      </c>
      <c r="U165" s="2" t="str">
        <f>IF(COUNTIFS(SalesData[Customer_ID],SalesData[[#This Row],[Customer_ID]])&gt;1,"Repeat","New")</f>
        <v>Repeat</v>
      </c>
      <c r="V165" s="2" t="str">
        <f>IF(SalesData[[#This Row],[Sales]]&gt;AVERAGE(SalesData[Sales]),"Above Avg","Below Avg")</f>
        <v>Above Avg</v>
      </c>
      <c r="W165" s="2" t="str">
        <f>IF(SalesData[[#This Row],[Profit]]&gt;0,"Profit","Loss")</f>
        <v>Profit</v>
      </c>
      <c r="X165" s="2">
        <f>RANK(SalesData[[#This Row],[Sales]],SalesData[Sales])</f>
        <v>116</v>
      </c>
    </row>
    <row r="166" spans="1:24" x14ac:dyDescent="0.3">
      <c r="A166">
        <v>165</v>
      </c>
      <c r="B166" s="1">
        <v>45456</v>
      </c>
      <c r="C166">
        <v>1013</v>
      </c>
      <c r="D166" t="s">
        <v>52</v>
      </c>
      <c r="E166" t="s">
        <v>15</v>
      </c>
      <c r="F166" t="s">
        <v>28</v>
      </c>
      <c r="G166" t="s">
        <v>22</v>
      </c>
      <c r="H166" t="s">
        <v>29</v>
      </c>
      <c r="I166">
        <v>4277</v>
      </c>
      <c r="J166">
        <v>6</v>
      </c>
      <c r="K166">
        <v>0.28999999999999998</v>
      </c>
      <c r="L166">
        <v>-94</v>
      </c>
      <c r="M166" t="s">
        <v>31</v>
      </c>
      <c r="N166">
        <v>18220.02</v>
      </c>
      <c r="O166" t="str">
        <f>TEXT(SalesData[[#This Row],[Order_Date]],"mmm")</f>
        <v>Jun</v>
      </c>
      <c r="P166">
        <f>YEAR(SalesData[[#This Row],[Order_Date]])</f>
        <v>2024</v>
      </c>
      <c r="Q166" t="str">
        <f>"Q"&amp;ROUNDUP(MONTH(SalesData[[#This Row],[Order_Date]])/3,0)</f>
        <v>Q2</v>
      </c>
      <c r="R166" s="2">
        <f>IFERROR(SalesData[[#This Row],[Profit]]/SalesData[[#This Row],[Sales]],0)</f>
        <v>-5.1591600887375532E-3</v>
      </c>
      <c r="S166" s="2">
        <f>SalesData[[#This Row],[Price]]*SalesData[[#This Row],[Quantity]]*SalesData[[#This Row],[Discount]]</f>
        <v>7441.98</v>
      </c>
      <c r="T166" s="2" t="str">
        <f>IF(SalesData[[#This Row],[Sales]]&gt;5000,"High",IF(SalesData[[#This Row],[Sales]]&gt;2000,"Medium","Low"))</f>
        <v>High</v>
      </c>
      <c r="U166" s="2" t="str">
        <f>IF(COUNTIFS(SalesData[Customer_ID],SalesData[[#This Row],[Customer_ID]])&gt;1,"Repeat","New")</f>
        <v>Repeat</v>
      </c>
      <c r="V166" s="2" t="str">
        <f>IF(SalesData[[#This Row],[Sales]]&gt;AVERAGE(SalesData[Sales]),"Above Avg","Below Avg")</f>
        <v>Above Avg</v>
      </c>
      <c r="W166" s="2" t="str">
        <f>IF(SalesData[[#This Row],[Profit]]&gt;0,"Profit","Loss")</f>
        <v>Loss</v>
      </c>
      <c r="X166" s="2">
        <f>RANK(SalesData[[#This Row],[Sales]],SalesData[Sales])</f>
        <v>89</v>
      </c>
    </row>
    <row r="167" spans="1:24" x14ac:dyDescent="0.3">
      <c r="A167">
        <v>166</v>
      </c>
      <c r="B167" s="1">
        <v>45457</v>
      </c>
      <c r="C167">
        <v>1044</v>
      </c>
      <c r="D167" t="s">
        <v>141</v>
      </c>
      <c r="E167" t="s">
        <v>24</v>
      </c>
      <c r="F167" t="s">
        <v>33</v>
      </c>
      <c r="G167" t="s">
        <v>17</v>
      </c>
      <c r="H167" t="s">
        <v>25</v>
      </c>
      <c r="I167">
        <v>3206</v>
      </c>
      <c r="J167">
        <v>2</v>
      </c>
      <c r="K167">
        <v>0.19</v>
      </c>
      <c r="L167">
        <v>1742</v>
      </c>
      <c r="M167" t="s">
        <v>31</v>
      </c>
      <c r="N167">
        <v>5193.72</v>
      </c>
      <c r="O167" t="str">
        <f>TEXT(SalesData[[#This Row],[Order_Date]],"mmm")</f>
        <v>Jun</v>
      </c>
      <c r="P167">
        <f>YEAR(SalesData[[#This Row],[Order_Date]])</f>
        <v>2024</v>
      </c>
      <c r="Q167" t="str">
        <f>"Q"&amp;ROUNDUP(MONTH(SalesData[[#This Row],[Order_Date]])/3,0)</f>
        <v>Q2</v>
      </c>
      <c r="R167" s="2">
        <f>IFERROR(SalesData[[#This Row],[Profit]]/SalesData[[#This Row],[Sales]],0)</f>
        <v>0.33540506611831211</v>
      </c>
      <c r="S167" s="2">
        <f>SalesData[[#This Row],[Price]]*SalesData[[#This Row],[Quantity]]*SalesData[[#This Row],[Discount]]</f>
        <v>1218.28</v>
      </c>
      <c r="T167" s="2" t="str">
        <f>IF(SalesData[[#This Row],[Sales]]&gt;5000,"High",IF(SalesData[[#This Row],[Sales]]&gt;2000,"Medium","Low"))</f>
        <v>High</v>
      </c>
      <c r="U167" s="2" t="str">
        <f>IF(COUNTIFS(SalesData[Customer_ID],SalesData[[#This Row],[Customer_ID]])&gt;1,"Repeat","New")</f>
        <v>Repeat</v>
      </c>
      <c r="V167" s="2" t="str">
        <f>IF(SalesData[[#This Row],[Sales]]&gt;AVERAGE(SalesData[Sales]),"Above Avg","Below Avg")</f>
        <v>Below Avg</v>
      </c>
      <c r="W167" s="2" t="str">
        <f>IF(SalesData[[#This Row],[Profit]]&gt;0,"Profit","Loss")</f>
        <v>Profit</v>
      </c>
      <c r="X167" s="2">
        <f>RANK(SalesData[[#This Row],[Sales]],SalesData[Sales])</f>
        <v>319</v>
      </c>
    </row>
    <row r="168" spans="1:24" x14ac:dyDescent="0.3">
      <c r="A168">
        <v>167</v>
      </c>
      <c r="B168" s="1">
        <v>45458</v>
      </c>
      <c r="C168">
        <v>1001</v>
      </c>
      <c r="D168" t="s">
        <v>62</v>
      </c>
      <c r="E168" t="s">
        <v>15</v>
      </c>
      <c r="F168" t="s">
        <v>33</v>
      </c>
      <c r="G168" t="s">
        <v>34</v>
      </c>
      <c r="H168" t="s">
        <v>37</v>
      </c>
      <c r="I168">
        <v>236</v>
      </c>
      <c r="J168">
        <v>9</v>
      </c>
      <c r="K168">
        <v>0.1</v>
      </c>
      <c r="L168">
        <v>-188</v>
      </c>
      <c r="M168" t="s">
        <v>31</v>
      </c>
      <c r="N168">
        <v>1911.6</v>
      </c>
      <c r="O168" t="str">
        <f>TEXT(SalesData[[#This Row],[Order_Date]],"mmm")</f>
        <v>Jun</v>
      </c>
      <c r="P168">
        <f>YEAR(SalesData[[#This Row],[Order_Date]])</f>
        <v>2024</v>
      </c>
      <c r="Q168" t="str">
        <f>"Q"&amp;ROUNDUP(MONTH(SalesData[[#This Row],[Order_Date]])/3,0)</f>
        <v>Q2</v>
      </c>
      <c r="R168" s="2">
        <f>IFERROR(SalesData[[#This Row],[Profit]]/SalesData[[#This Row],[Sales]],0)</f>
        <v>-9.8346934505126604E-2</v>
      </c>
      <c r="S168" s="2">
        <f>SalesData[[#This Row],[Price]]*SalesData[[#This Row],[Quantity]]*SalesData[[#This Row],[Discount]]</f>
        <v>212.4</v>
      </c>
      <c r="T168" s="2" t="str">
        <f>IF(SalesData[[#This Row],[Sales]]&gt;5000,"High",IF(SalesData[[#This Row],[Sales]]&gt;2000,"Medium","Low"))</f>
        <v>Low</v>
      </c>
      <c r="U168" s="2" t="str">
        <f>IF(COUNTIFS(SalesData[Customer_ID],SalesData[[#This Row],[Customer_ID]])&gt;1,"Repeat","New")</f>
        <v>Repeat</v>
      </c>
      <c r="V168" s="2" t="str">
        <f>IF(SalesData[[#This Row],[Sales]]&gt;AVERAGE(SalesData[Sales]),"Above Avg","Below Avg")</f>
        <v>Below Avg</v>
      </c>
      <c r="W168" s="2" t="str">
        <f>IF(SalesData[[#This Row],[Profit]]&gt;0,"Profit","Loss")</f>
        <v>Loss</v>
      </c>
      <c r="X168" s="2">
        <f>RANK(SalesData[[#This Row],[Sales]],SalesData[Sales])</f>
        <v>436</v>
      </c>
    </row>
    <row r="169" spans="1:24" x14ac:dyDescent="0.3">
      <c r="A169">
        <v>168</v>
      </c>
      <c r="B169" s="1">
        <v>45459</v>
      </c>
      <c r="C169">
        <v>1041</v>
      </c>
      <c r="D169" t="s">
        <v>142</v>
      </c>
      <c r="E169" t="s">
        <v>24</v>
      </c>
      <c r="F169" t="s">
        <v>33</v>
      </c>
      <c r="G169" t="s">
        <v>22</v>
      </c>
      <c r="H169" t="s">
        <v>37</v>
      </c>
      <c r="I169">
        <v>3837</v>
      </c>
      <c r="J169">
        <v>6</v>
      </c>
      <c r="K169">
        <v>0.03</v>
      </c>
      <c r="L169">
        <v>-151</v>
      </c>
      <c r="M169" t="s">
        <v>31</v>
      </c>
      <c r="N169">
        <v>22331.34</v>
      </c>
      <c r="O169" t="str">
        <f>TEXT(SalesData[[#This Row],[Order_Date]],"mmm")</f>
        <v>Jun</v>
      </c>
      <c r="P169">
        <f>YEAR(SalesData[[#This Row],[Order_Date]])</f>
        <v>2024</v>
      </c>
      <c r="Q169" t="str">
        <f>"Q"&amp;ROUNDUP(MONTH(SalesData[[#This Row],[Order_Date]])/3,0)</f>
        <v>Q2</v>
      </c>
      <c r="R169" s="2">
        <f>IFERROR(SalesData[[#This Row],[Profit]]/SalesData[[#This Row],[Sales]],0)</f>
        <v>-6.7617975455122707E-3</v>
      </c>
      <c r="S169" s="2">
        <f>SalesData[[#This Row],[Price]]*SalesData[[#This Row],[Quantity]]*SalesData[[#This Row],[Discount]]</f>
        <v>690.66</v>
      </c>
      <c r="T169" s="2" t="str">
        <f>IF(SalesData[[#This Row],[Sales]]&gt;5000,"High",IF(SalesData[[#This Row],[Sales]]&gt;2000,"Medium","Low"))</f>
        <v>High</v>
      </c>
      <c r="U169" s="2" t="str">
        <f>IF(COUNTIFS(SalesData[Customer_ID],SalesData[[#This Row],[Customer_ID]])&gt;1,"Repeat","New")</f>
        <v>Repeat</v>
      </c>
      <c r="V169" s="2" t="str">
        <f>IF(SalesData[[#This Row],[Sales]]&gt;AVERAGE(SalesData[Sales]),"Above Avg","Below Avg")</f>
        <v>Above Avg</v>
      </c>
      <c r="W169" s="2" t="str">
        <f>IF(SalesData[[#This Row],[Profit]]&gt;0,"Profit","Loss")</f>
        <v>Loss</v>
      </c>
      <c r="X169" s="2">
        <f>RANK(SalesData[[#This Row],[Sales]],SalesData[Sales])</f>
        <v>64</v>
      </c>
    </row>
    <row r="170" spans="1:24" x14ac:dyDescent="0.3">
      <c r="A170">
        <v>169</v>
      </c>
      <c r="B170" s="1">
        <v>45460</v>
      </c>
      <c r="C170">
        <v>1078</v>
      </c>
      <c r="D170" t="s">
        <v>143</v>
      </c>
      <c r="E170" t="s">
        <v>15</v>
      </c>
      <c r="F170" t="s">
        <v>33</v>
      </c>
      <c r="G170" t="s">
        <v>34</v>
      </c>
      <c r="H170" t="s">
        <v>37</v>
      </c>
      <c r="I170">
        <v>3951</v>
      </c>
      <c r="J170">
        <v>5</v>
      </c>
      <c r="K170">
        <v>0.21</v>
      </c>
      <c r="L170">
        <v>1112</v>
      </c>
      <c r="M170" t="s">
        <v>31</v>
      </c>
      <c r="N170">
        <v>15606.45</v>
      </c>
      <c r="O170" t="str">
        <f>TEXT(SalesData[[#This Row],[Order_Date]],"mmm")</f>
        <v>Jun</v>
      </c>
      <c r="P170">
        <f>YEAR(SalesData[[#This Row],[Order_Date]])</f>
        <v>2024</v>
      </c>
      <c r="Q170" t="str">
        <f>"Q"&amp;ROUNDUP(MONTH(SalesData[[#This Row],[Order_Date]])/3,0)</f>
        <v>Q2</v>
      </c>
      <c r="R170" s="2">
        <f>IFERROR(SalesData[[#This Row],[Profit]]/SalesData[[#This Row],[Sales]],0)</f>
        <v>7.1252591076125568E-2</v>
      </c>
      <c r="S170" s="2">
        <f>SalesData[[#This Row],[Price]]*SalesData[[#This Row],[Quantity]]*SalesData[[#This Row],[Discount]]</f>
        <v>4148.55</v>
      </c>
      <c r="T170" s="2" t="str">
        <f>IF(SalesData[[#This Row],[Sales]]&gt;5000,"High",IF(SalesData[[#This Row],[Sales]]&gt;2000,"Medium","Low"))</f>
        <v>High</v>
      </c>
      <c r="U170" s="2" t="str">
        <f>IF(COUNTIFS(SalesData[Customer_ID],SalesData[[#This Row],[Customer_ID]])&gt;1,"Repeat","New")</f>
        <v>Repeat</v>
      </c>
      <c r="V170" s="2" t="str">
        <f>IF(SalesData[[#This Row],[Sales]]&gt;AVERAGE(SalesData[Sales]),"Above Avg","Below Avg")</f>
        <v>Above Avg</v>
      </c>
      <c r="W170" s="2" t="str">
        <f>IF(SalesData[[#This Row],[Profit]]&gt;0,"Profit","Loss")</f>
        <v>Profit</v>
      </c>
      <c r="X170" s="2">
        <f>RANK(SalesData[[#This Row],[Sales]],SalesData[Sales])</f>
        <v>134</v>
      </c>
    </row>
    <row r="171" spans="1:24" x14ac:dyDescent="0.3">
      <c r="A171">
        <v>170</v>
      </c>
      <c r="B171" s="1">
        <v>45461</v>
      </c>
      <c r="C171">
        <v>1056</v>
      </c>
      <c r="D171" t="s">
        <v>92</v>
      </c>
      <c r="E171" t="s">
        <v>24</v>
      </c>
      <c r="F171" t="s">
        <v>28</v>
      </c>
      <c r="G171" t="s">
        <v>34</v>
      </c>
      <c r="H171" t="s">
        <v>37</v>
      </c>
      <c r="I171">
        <v>430</v>
      </c>
      <c r="J171">
        <v>8</v>
      </c>
      <c r="K171">
        <v>0.16</v>
      </c>
      <c r="L171">
        <v>403</v>
      </c>
      <c r="M171" t="s">
        <v>26</v>
      </c>
      <c r="N171">
        <v>2889.6</v>
      </c>
      <c r="O171" t="str">
        <f>TEXT(SalesData[[#This Row],[Order_Date]],"mmm")</f>
        <v>Jun</v>
      </c>
      <c r="P171">
        <f>YEAR(SalesData[[#This Row],[Order_Date]])</f>
        <v>2024</v>
      </c>
      <c r="Q171" t="str">
        <f>"Q"&amp;ROUNDUP(MONTH(SalesData[[#This Row],[Order_Date]])/3,0)</f>
        <v>Q2</v>
      </c>
      <c r="R171" s="2">
        <f>IFERROR(SalesData[[#This Row],[Profit]]/SalesData[[#This Row],[Sales]],0)</f>
        <v>0.13946566998892582</v>
      </c>
      <c r="S171" s="2">
        <f>SalesData[[#This Row],[Price]]*SalesData[[#This Row],[Quantity]]*SalesData[[#This Row],[Discount]]</f>
        <v>550.4</v>
      </c>
      <c r="T171" s="2" t="str">
        <f>IF(SalesData[[#This Row],[Sales]]&gt;5000,"High",IF(SalesData[[#This Row],[Sales]]&gt;2000,"Medium","Low"))</f>
        <v>Medium</v>
      </c>
      <c r="U171" s="2" t="str">
        <f>IF(COUNTIFS(SalesData[Customer_ID],SalesData[[#This Row],[Customer_ID]])&gt;1,"Repeat","New")</f>
        <v>Repeat</v>
      </c>
      <c r="V171" s="2" t="str">
        <f>IF(SalesData[[#This Row],[Sales]]&gt;AVERAGE(SalesData[Sales]),"Above Avg","Below Avg")</f>
        <v>Below Avg</v>
      </c>
      <c r="W171" s="2" t="str">
        <f>IF(SalesData[[#This Row],[Profit]]&gt;0,"Profit","Loss")</f>
        <v>Profit</v>
      </c>
      <c r="X171" s="2">
        <f>RANK(SalesData[[#This Row],[Sales]],SalesData[Sales])</f>
        <v>396</v>
      </c>
    </row>
    <row r="172" spans="1:24" x14ac:dyDescent="0.3">
      <c r="A172">
        <v>171</v>
      </c>
      <c r="B172" s="1">
        <v>45462</v>
      </c>
      <c r="C172">
        <v>1087</v>
      </c>
      <c r="D172" t="s">
        <v>40</v>
      </c>
      <c r="E172" t="s">
        <v>15</v>
      </c>
      <c r="F172" t="s">
        <v>28</v>
      </c>
      <c r="G172" t="s">
        <v>34</v>
      </c>
      <c r="H172" t="s">
        <v>25</v>
      </c>
      <c r="I172">
        <v>296</v>
      </c>
      <c r="J172">
        <v>8</v>
      </c>
      <c r="K172">
        <v>0.12</v>
      </c>
      <c r="L172">
        <v>-8</v>
      </c>
      <c r="M172" t="s">
        <v>26</v>
      </c>
      <c r="N172">
        <v>2083.84</v>
      </c>
      <c r="O172" t="str">
        <f>TEXT(SalesData[[#This Row],[Order_Date]],"mmm")</f>
        <v>Jun</v>
      </c>
      <c r="P172">
        <f>YEAR(SalesData[[#This Row],[Order_Date]])</f>
        <v>2024</v>
      </c>
      <c r="Q172" t="str">
        <f>"Q"&amp;ROUNDUP(MONTH(SalesData[[#This Row],[Order_Date]])/3,0)</f>
        <v>Q2</v>
      </c>
      <c r="R172" s="2">
        <f>IFERROR(SalesData[[#This Row],[Profit]]/SalesData[[#This Row],[Sales]],0)</f>
        <v>-3.8390663390663387E-3</v>
      </c>
      <c r="S172" s="2">
        <f>SalesData[[#This Row],[Price]]*SalesData[[#This Row],[Quantity]]*SalesData[[#This Row],[Discount]]</f>
        <v>284.15999999999997</v>
      </c>
      <c r="T172" s="2" t="str">
        <f>IF(SalesData[[#This Row],[Sales]]&gt;5000,"High",IF(SalesData[[#This Row],[Sales]]&gt;2000,"Medium","Low"))</f>
        <v>Medium</v>
      </c>
      <c r="U172" s="2" t="str">
        <f>IF(COUNTIFS(SalesData[Customer_ID],SalesData[[#This Row],[Customer_ID]])&gt;1,"Repeat","New")</f>
        <v>Repeat</v>
      </c>
      <c r="V172" s="2" t="str">
        <f>IF(SalesData[[#This Row],[Sales]]&gt;AVERAGE(SalesData[Sales]),"Above Avg","Below Avg")</f>
        <v>Below Avg</v>
      </c>
      <c r="W172" s="2" t="str">
        <f>IF(SalesData[[#This Row],[Profit]]&gt;0,"Profit","Loss")</f>
        <v>Loss</v>
      </c>
      <c r="X172" s="2">
        <f>RANK(SalesData[[#This Row],[Sales]],SalesData[Sales])</f>
        <v>424</v>
      </c>
    </row>
    <row r="173" spans="1:24" x14ac:dyDescent="0.3">
      <c r="A173">
        <v>172</v>
      </c>
      <c r="B173" s="1">
        <v>45463</v>
      </c>
      <c r="C173">
        <v>1063</v>
      </c>
      <c r="D173" t="s">
        <v>108</v>
      </c>
      <c r="E173" t="s">
        <v>24</v>
      </c>
      <c r="F173" t="s">
        <v>28</v>
      </c>
      <c r="G173" t="s">
        <v>34</v>
      </c>
      <c r="H173" t="s">
        <v>29</v>
      </c>
      <c r="I173">
        <v>1515</v>
      </c>
      <c r="J173">
        <v>1</v>
      </c>
      <c r="K173">
        <v>0.28000000000000003</v>
      </c>
      <c r="L173">
        <v>1470</v>
      </c>
      <c r="M173" t="s">
        <v>19</v>
      </c>
      <c r="N173">
        <v>1090.8</v>
      </c>
      <c r="O173" t="str">
        <f>TEXT(SalesData[[#This Row],[Order_Date]],"mmm")</f>
        <v>Jun</v>
      </c>
      <c r="P173">
        <f>YEAR(SalesData[[#This Row],[Order_Date]])</f>
        <v>2024</v>
      </c>
      <c r="Q173" t="str">
        <f>"Q"&amp;ROUNDUP(MONTH(SalesData[[#This Row],[Order_Date]])/3,0)</f>
        <v>Q2</v>
      </c>
      <c r="R173" s="2">
        <f>IFERROR(SalesData[[#This Row],[Profit]]/SalesData[[#This Row],[Sales]],0)</f>
        <v>1.3476347634763477</v>
      </c>
      <c r="S173" s="2">
        <f>SalesData[[#This Row],[Price]]*SalesData[[#This Row],[Quantity]]*SalesData[[#This Row],[Discount]]</f>
        <v>424.20000000000005</v>
      </c>
      <c r="T173" s="2" t="str">
        <f>IF(SalesData[[#This Row],[Sales]]&gt;5000,"High",IF(SalesData[[#This Row],[Sales]]&gt;2000,"Medium","Low"))</f>
        <v>Low</v>
      </c>
      <c r="U173" s="2" t="str">
        <f>IF(COUNTIFS(SalesData[Customer_ID],SalesData[[#This Row],[Customer_ID]])&gt;1,"Repeat","New")</f>
        <v>Repeat</v>
      </c>
      <c r="V173" s="2" t="str">
        <f>IF(SalesData[[#This Row],[Sales]]&gt;AVERAGE(SalesData[Sales]),"Above Avg","Below Avg")</f>
        <v>Below Avg</v>
      </c>
      <c r="W173" s="2" t="str">
        <f>IF(SalesData[[#This Row],[Profit]]&gt;0,"Profit","Loss")</f>
        <v>Profit</v>
      </c>
      <c r="X173" s="2">
        <f>RANK(SalesData[[#This Row],[Sales]],SalesData[Sales])</f>
        <v>477</v>
      </c>
    </row>
    <row r="174" spans="1:24" x14ac:dyDescent="0.3">
      <c r="A174">
        <v>173</v>
      </c>
      <c r="B174" s="1">
        <v>45464</v>
      </c>
      <c r="C174">
        <v>1097</v>
      </c>
      <c r="D174" t="s">
        <v>49</v>
      </c>
      <c r="E174" t="s">
        <v>15</v>
      </c>
      <c r="F174" t="s">
        <v>16</v>
      </c>
      <c r="G174" t="s">
        <v>22</v>
      </c>
      <c r="H174" t="s">
        <v>25</v>
      </c>
      <c r="I174">
        <v>3396</v>
      </c>
      <c r="J174">
        <v>7</v>
      </c>
      <c r="K174">
        <v>0.27</v>
      </c>
      <c r="L174">
        <v>1252</v>
      </c>
      <c r="M174" t="s">
        <v>31</v>
      </c>
      <c r="N174">
        <v>17353.560000000001</v>
      </c>
      <c r="O174" t="str">
        <f>TEXT(SalesData[[#This Row],[Order_Date]],"mmm")</f>
        <v>Jun</v>
      </c>
      <c r="P174">
        <f>YEAR(SalesData[[#This Row],[Order_Date]])</f>
        <v>2024</v>
      </c>
      <c r="Q174" t="str">
        <f>"Q"&amp;ROUNDUP(MONTH(SalesData[[#This Row],[Order_Date]])/3,0)</f>
        <v>Q2</v>
      </c>
      <c r="R174" s="2">
        <f>IFERROR(SalesData[[#This Row],[Profit]]/SalesData[[#This Row],[Sales]],0)</f>
        <v>7.2146579721970583E-2</v>
      </c>
      <c r="S174" s="2">
        <f>SalesData[[#This Row],[Price]]*SalesData[[#This Row],[Quantity]]*SalesData[[#This Row],[Discount]]</f>
        <v>6418.4400000000005</v>
      </c>
      <c r="T174" s="2" t="str">
        <f>IF(SalesData[[#This Row],[Sales]]&gt;5000,"High",IF(SalesData[[#This Row],[Sales]]&gt;2000,"Medium","Low"))</f>
        <v>High</v>
      </c>
      <c r="U174" s="2" t="str">
        <f>IF(COUNTIFS(SalesData[Customer_ID],SalesData[[#This Row],[Customer_ID]])&gt;1,"Repeat","New")</f>
        <v>Repeat</v>
      </c>
      <c r="V174" s="2" t="str">
        <f>IF(SalesData[[#This Row],[Sales]]&gt;AVERAGE(SalesData[Sales]),"Above Avg","Below Avg")</f>
        <v>Above Avg</v>
      </c>
      <c r="W174" s="2" t="str">
        <f>IF(SalesData[[#This Row],[Profit]]&gt;0,"Profit","Loss")</f>
        <v>Profit</v>
      </c>
      <c r="X174" s="2">
        <f>RANK(SalesData[[#This Row],[Sales]],SalesData[Sales])</f>
        <v>99</v>
      </c>
    </row>
    <row r="175" spans="1:24" x14ac:dyDescent="0.3">
      <c r="A175">
        <v>174</v>
      </c>
      <c r="B175" s="1">
        <v>45465</v>
      </c>
      <c r="C175">
        <v>1003</v>
      </c>
      <c r="D175" t="s">
        <v>123</v>
      </c>
      <c r="E175" t="s">
        <v>15</v>
      </c>
      <c r="F175" t="s">
        <v>21</v>
      </c>
      <c r="G175" t="s">
        <v>17</v>
      </c>
      <c r="H175" t="s">
        <v>18</v>
      </c>
      <c r="I175">
        <v>3120</v>
      </c>
      <c r="J175">
        <v>6</v>
      </c>
      <c r="K175">
        <v>0.11</v>
      </c>
      <c r="L175">
        <v>-429</v>
      </c>
      <c r="M175" t="s">
        <v>19</v>
      </c>
      <c r="N175">
        <v>16660.8</v>
      </c>
      <c r="O175" t="str">
        <f>TEXT(SalesData[[#This Row],[Order_Date]],"mmm")</f>
        <v>Jun</v>
      </c>
      <c r="P175">
        <f>YEAR(SalesData[[#This Row],[Order_Date]])</f>
        <v>2024</v>
      </c>
      <c r="Q175" t="str">
        <f>"Q"&amp;ROUNDUP(MONTH(SalesData[[#This Row],[Order_Date]])/3,0)</f>
        <v>Q2</v>
      </c>
      <c r="R175" s="2">
        <f>IFERROR(SalesData[[#This Row],[Profit]]/SalesData[[#This Row],[Sales]],0)</f>
        <v>-2.5749063670411985E-2</v>
      </c>
      <c r="S175" s="2">
        <f>SalesData[[#This Row],[Price]]*SalesData[[#This Row],[Quantity]]*SalesData[[#This Row],[Discount]]</f>
        <v>2059.1999999999998</v>
      </c>
      <c r="T175" s="2" t="str">
        <f>IF(SalesData[[#This Row],[Sales]]&gt;5000,"High",IF(SalesData[[#This Row],[Sales]]&gt;2000,"Medium","Low"))</f>
        <v>High</v>
      </c>
      <c r="U175" s="2" t="str">
        <f>IF(COUNTIFS(SalesData[Customer_ID],SalesData[[#This Row],[Customer_ID]])&gt;1,"Repeat","New")</f>
        <v>Repeat</v>
      </c>
      <c r="V175" s="2" t="str">
        <f>IF(SalesData[[#This Row],[Sales]]&gt;AVERAGE(SalesData[Sales]),"Above Avg","Below Avg")</f>
        <v>Above Avg</v>
      </c>
      <c r="W175" s="2" t="str">
        <f>IF(SalesData[[#This Row],[Profit]]&gt;0,"Profit","Loss")</f>
        <v>Loss</v>
      </c>
      <c r="X175" s="2">
        <f>RANK(SalesData[[#This Row],[Sales]],SalesData[Sales])</f>
        <v>110</v>
      </c>
    </row>
    <row r="176" spans="1:24" x14ac:dyDescent="0.3">
      <c r="A176">
        <v>175</v>
      </c>
      <c r="B176" s="1">
        <v>45466</v>
      </c>
      <c r="C176">
        <v>1017</v>
      </c>
      <c r="D176" t="s">
        <v>48</v>
      </c>
      <c r="E176" t="s">
        <v>24</v>
      </c>
      <c r="F176" t="s">
        <v>21</v>
      </c>
      <c r="G176" t="s">
        <v>22</v>
      </c>
      <c r="H176" t="s">
        <v>25</v>
      </c>
      <c r="I176">
        <v>3469</v>
      </c>
      <c r="J176">
        <v>3</v>
      </c>
      <c r="K176">
        <v>0.28000000000000003</v>
      </c>
      <c r="L176">
        <v>431</v>
      </c>
      <c r="M176" t="s">
        <v>19</v>
      </c>
      <c r="N176">
        <v>7493.04</v>
      </c>
      <c r="O176" t="str">
        <f>TEXT(SalesData[[#This Row],[Order_Date]],"mmm")</f>
        <v>Jun</v>
      </c>
      <c r="P176">
        <f>YEAR(SalesData[[#This Row],[Order_Date]])</f>
        <v>2024</v>
      </c>
      <c r="Q176" t="str">
        <f>"Q"&amp;ROUNDUP(MONTH(SalesData[[#This Row],[Order_Date]])/3,0)</f>
        <v>Q2</v>
      </c>
      <c r="R176" s="2">
        <f>IFERROR(SalesData[[#This Row],[Profit]]/SalesData[[#This Row],[Sales]],0)</f>
        <v>5.7520045268675997E-2</v>
      </c>
      <c r="S176" s="2">
        <f>SalesData[[#This Row],[Price]]*SalesData[[#This Row],[Quantity]]*SalesData[[#This Row],[Discount]]</f>
        <v>2913.9600000000005</v>
      </c>
      <c r="T176" s="2" t="str">
        <f>IF(SalesData[[#This Row],[Sales]]&gt;5000,"High",IF(SalesData[[#This Row],[Sales]]&gt;2000,"Medium","Low"))</f>
        <v>High</v>
      </c>
      <c r="U176" s="2" t="str">
        <f>IF(COUNTIFS(SalesData[Customer_ID],SalesData[[#This Row],[Customer_ID]])&gt;1,"Repeat","New")</f>
        <v>Repeat</v>
      </c>
      <c r="V176" s="2" t="str">
        <f>IF(SalesData[[#This Row],[Sales]]&gt;AVERAGE(SalesData[Sales]),"Above Avg","Below Avg")</f>
        <v>Below Avg</v>
      </c>
      <c r="W176" s="2" t="str">
        <f>IF(SalesData[[#This Row],[Profit]]&gt;0,"Profit","Loss")</f>
        <v>Profit</v>
      </c>
      <c r="X176" s="2">
        <f>RANK(SalesData[[#This Row],[Sales]],SalesData[Sales])</f>
        <v>264</v>
      </c>
    </row>
    <row r="177" spans="1:24" x14ac:dyDescent="0.3">
      <c r="A177">
        <v>176</v>
      </c>
      <c r="B177" s="1">
        <v>45467</v>
      </c>
      <c r="C177">
        <v>1088</v>
      </c>
      <c r="D177" t="s">
        <v>133</v>
      </c>
      <c r="E177" t="s">
        <v>24</v>
      </c>
      <c r="F177" t="s">
        <v>21</v>
      </c>
      <c r="G177" t="s">
        <v>22</v>
      </c>
      <c r="H177" t="s">
        <v>29</v>
      </c>
      <c r="I177">
        <v>4955</v>
      </c>
      <c r="J177">
        <v>1</v>
      </c>
      <c r="K177">
        <v>0.13</v>
      </c>
      <c r="L177">
        <v>-182</v>
      </c>
      <c r="M177" t="s">
        <v>26</v>
      </c>
      <c r="N177">
        <v>4310.8500000000004</v>
      </c>
      <c r="O177" t="str">
        <f>TEXT(SalesData[[#This Row],[Order_Date]],"mmm")</f>
        <v>Jun</v>
      </c>
      <c r="P177">
        <f>YEAR(SalesData[[#This Row],[Order_Date]])</f>
        <v>2024</v>
      </c>
      <c r="Q177" t="str">
        <f>"Q"&amp;ROUNDUP(MONTH(SalesData[[#This Row],[Order_Date]])/3,0)</f>
        <v>Q2</v>
      </c>
      <c r="R177" s="2">
        <f>IFERROR(SalesData[[#This Row],[Profit]]/SalesData[[#This Row],[Sales]],0)</f>
        <v>-4.2219051927114136E-2</v>
      </c>
      <c r="S177" s="2">
        <f>SalesData[[#This Row],[Price]]*SalesData[[#This Row],[Quantity]]*SalesData[[#This Row],[Discount]]</f>
        <v>644.15</v>
      </c>
      <c r="T177" s="2" t="str">
        <f>IF(SalesData[[#This Row],[Sales]]&gt;5000,"High",IF(SalesData[[#This Row],[Sales]]&gt;2000,"Medium","Low"))</f>
        <v>Medium</v>
      </c>
      <c r="U177" s="2" t="str">
        <f>IF(COUNTIFS(SalesData[Customer_ID],SalesData[[#This Row],[Customer_ID]])&gt;1,"Repeat","New")</f>
        <v>Repeat</v>
      </c>
      <c r="V177" s="2" t="str">
        <f>IF(SalesData[[#This Row],[Sales]]&gt;AVERAGE(SalesData[Sales]),"Above Avg","Below Avg")</f>
        <v>Below Avg</v>
      </c>
      <c r="W177" s="2" t="str">
        <f>IF(SalesData[[#This Row],[Profit]]&gt;0,"Profit","Loss")</f>
        <v>Loss</v>
      </c>
      <c r="X177" s="2">
        <f>RANK(SalesData[[#This Row],[Sales]],SalesData[Sales])</f>
        <v>341</v>
      </c>
    </row>
    <row r="178" spans="1:24" x14ac:dyDescent="0.3">
      <c r="A178">
        <v>177</v>
      </c>
      <c r="B178" s="1">
        <v>45468</v>
      </c>
      <c r="C178">
        <v>1087</v>
      </c>
      <c r="D178" t="s">
        <v>27</v>
      </c>
      <c r="E178" t="s">
        <v>24</v>
      </c>
      <c r="F178" t="s">
        <v>16</v>
      </c>
      <c r="G178" t="s">
        <v>22</v>
      </c>
      <c r="H178" t="s">
        <v>18</v>
      </c>
      <c r="I178">
        <v>940</v>
      </c>
      <c r="J178">
        <v>2</v>
      </c>
      <c r="K178">
        <v>0.06</v>
      </c>
      <c r="L178">
        <v>1960</v>
      </c>
      <c r="M178" t="s">
        <v>26</v>
      </c>
      <c r="N178">
        <v>1767.19999999999</v>
      </c>
      <c r="O178" t="str">
        <f>TEXT(SalesData[[#This Row],[Order_Date]],"mmm")</f>
        <v>Jun</v>
      </c>
      <c r="P178">
        <f>YEAR(SalesData[[#This Row],[Order_Date]])</f>
        <v>2024</v>
      </c>
      <c r="Q178" t="str">
        <f>"Q"&amp;ROUNDUP(MONTH(SalesData[[#This Row],[Order_Date]])/3,0)</f>
        <v>Q2</v>
      </c>
      <c r="R178" s="2">
        <f>IFERROR(SalesData[[#This Row],[Profit]]/SalesData[[#This Row],[Sales]],0)</f>
        <v>1.109099139882306</v>
      </c>
      <c r="S178" s="2">
        <f>SalesData[[#This Row],[Price]]*SalesData[[#This Row],[Quantity]]*SalesData[[#This Row],[Discount]]</f>
        <v>112.8</v>
      </c>
      <c r="T178" s="2" t="str">
        <f>IF(SalesData[[#This Row],[Sales]]&gt;5000,"High",IF(SalesData[[#This Row],[Sales]]&gt;2000,"Medium","Low"))</f>
        <v>Low</v>
      </c>
      <c r="U178" s="2" t="str">
        <f>IF(COUNTIFS(SalesData[Customer_ID],SalesData[[#This Row],[Customer_ID]])&gt;1,"Repeat","New")</f>
        <v>Repeat</v>
      </c>
      <c r="V178" s="2" t="str">
        <f>IF(SalesData[[#This Row],[Sales]]&gt;AVERAGE(SalesData[Sales]),"Above Avg","Below Avg")</f>
        <v>Below Avg</v>
      </c>
      <c r="W178" s="2" t="str">
        <f>IF(SalesData[[#This Row],[Profit]]&gt;0,"Profit","Loss")</f>
        <v>Profit</v>
      </c>
      <c r="X178" s="2">
        <f>RANK(SalesData[[#This Row],[Sales]],SalesData[Sales])</f>
        <v>442</v>
      </c>
    </row>
    <row r="179" spans="1:24" x14ac:dyDescent="0.3">
      <c r="A179">
        <v>178</v>
      </c>
      <c r="B179" s="1">
        <v>45469</v>
      </c>
      <c r="C179">
        <v>1069</v>
      </c>
      <c r="D179" t="s">
        <v>57</v>
      </c>
      <c r="E179" t="s">
        <v>15</v>
      </c>
      <c r="F179" t="s">
        <v>28</v>
      </c>
      <c r="G179" t="s">
        <v>34</v>
      </c>
      <c r="H179" t="s">
        <v>37</v>
      </c>
      <c r="I179">
        <v>3742</v>
      </c>
      <c r="J179">
        <v>1</v>
      </c>
      <c r="K179">
        <v>0.19</v>
      </c>
      <c r="L179">
        <v>1388</v>
      </c>
      <c r="M179" t="s">
        <v>26</v>
      </c>
      <c r="N179">
        <v>3031.02</v>
      </c>
      <c r="O179" t="str">
        <f>TEXT(SalesData[[#This Row],[Order_Date]],"mmm")</f>
        <v>Jun</v>
      </c>
      <c r="P179">
        <f>YEAR(SalesData[[#This Row],[Order_Date]])</f>
        <v>2024</v>
      </c>
      <c r="Q179" t="str">
        <f>"Q"&amp;ROUNDUP(MONTH(SalesData[[#This Row],[Order_Date]])/3,0)</f>
        <v>Q2</v>
      </c>
      <c r="R179" s="2">
        <f>IFERROR(SalesData[[#This Row],[Profit]]/SalesData[[#This Row],[Sales]],0)</f>
        <v>0.45793165337081249</v>
      </c>
      <c r="S179" s="2">
        <f>SalesData[[#This Row],[Price]]*SalesData[[#This Row],[Quantity]]*SalesData[[#This Row],[Discount]]</f>
        <v>710.98</v>
      </c>
      <c r="T179" s="2" t="str">
        <f>IF(SalesData[[#This Row],[Sales]]&gt;5000,"High",IF(SalesData[[#This Row],[Sales]]&gt;2000,"Medium","Low"))</f>
        <v>Medium</v>
      </c>
      <c r="U179" s="2" t="str">
        <f>IF(COUNTIFS(SalesData[Customer_ID],SalesData[[#This Row],[Customer_ID]])&gt;1,"Repeat","New")</f>
        <v>Repeat</v>
      </c>
      <c r="V179" s="2" t="str">
        <f>IF(SalesData[[#This Row],[Sales]]&gt;AVERAGE(SalesData[Sales]),"Above Avg","Below Avg")</f>
        <v>Below Avg</v>
      </c>
      <c r="W179" s="2" t="str">
        <f>IF(SalesData[[#This Row],[Profit]]&gt;0,"Profit","Loss")</f>
        <v>Profit</v>
      </c>
      <c r="X179" s="2">
        <f>RANK(SalesData[[#This Row],[Sales]],SalesData[Sales])</f>
        <v>390</v>
      </c>
    </row>
    <row r="180" spans="1:24" x14ac:dyDescent="0.3">
      <c r="A180">
        <v>179</v>
      </c>
      <c r="B180" s="1">
        <v>45470</v>
      </c>
      <c r="C180">
        <v>1097</v>
      </c>
      <c r="D180" t="s">
        <v>144</v>
      </c>
      <c r="E180" t="s">
        <v>24</v>
      </c>
      <c r="F180" t="s">
        <v>16</v>
      </c>
      <c r="G180" t="s">
        <v>22</v>
      </c>
      <c r="H180" t="s">
        <v>37</v>
      </c>
      <c r="I180">
        <v>2769</v>
      </c>
      <c r="J180">
        <v>3</v>
      </c>
      <c r="K180">
        <v>0.03</v>
      </c>
      <c r="L180">
        <v>-283</v>
      </c>
      <c r="M180" t="s">
        <v>26</v>
      </c>
      <c r="N180">
        <v>8057.79</v>
      </c>
      <c r="O180" t="str">
        <f>TEXT(SalesData[[#This Row],[Order_Date]],"mmm")</f>
        <v>Jun</v>
      </c>
      <c r="P180">
        <f>YEAR(SalesData[[#This Row],[Order_Date]])</f>
        <v>2024</v>
      </c>
      <c r="Q180" t="str">
        <f>"Q"&amp;ROUNDUP(MONTH(SalesData[[#This Row],[Order_Date]])/3,0)</f>
        <v>Q2</v>
      </c>
      <c r="R180" s="2">
        <f>IFERROR(SalesData[[#This Row],[Profit]]/SalesData[[#This Row],[Sales]],0)</f>
        <v>-3.512129256284912E-2</v>
      </c>
      <c r="S180" s="2">
        <f>SalesData[[#This Row],[Price]]*SalesData[[#This Row],[Quantity]]*SalesData[[#This Row],[Discount]]</f>
        <v>249.20999999999998</v>
      </c>
      <c r="T180" s="2" t="str">
        <f>IF(SalesData[[#This Row],[Sales]]&gt;5000,"High",IF(SalesData[[#This Row],[Sales]]&gt;2000,"Medium","Low"))</f>
        <v>High</v>
      </c>
      <c r="U180" s="2" t="str">
        <f>IF(COUNTIFS(SalesData[Customer_ID],SalesData[[#This Row],[Customer_ID]])&gt;1,"Repeat","New")</f>
        <v>Repeat</v>
      </c>
      <c r="V180" s="2" t="str">
        <f>IF(SalesData[[#This Row],[Sales]]&gt;AVERAGE(SalesData[Sales]),"Above Avg","Below Avg")</f>
        <v>Below Avg</v>
      </c>
      <c r="W180" s="2" t="str">
        <f>IF(SalesData[[#This Row],[Profit]]&gt;0,"Profit","Loss")</f>
        <v>Loss</v>
      </c>
      <c r="X180" s="2">
        <f>RANK(SalesData[[#This Row],[Sales]],SalesData[Sales])</f>
        <v>251</v>
      </c>
    </row>
    <row r="181" spans="1:24" x14ac:dyDescent="0.3">
      <c r="A181">
        <v>180</v>
      </c>
      <c r="B181" s="1">
        <v>45471</v>
      </c>
      <c r="C181">
        <v>1050</v>
      </c>
      <c r="D181" t="s">
        <v>145</v>
      </c>
      <c r="E181" t="s">
        <v>15</v>
      </c>
      <c r="F181" t="s">
        <v>33</v>
      </c>
      <c r="G181" t="s">
        <v>34</v>
      </c>
      <c r="H181" t="s">
        <v>37</v>
      </c>
      <c r="I181">
        <v>1277</v>
      </c>
      <c r="J181">
        <v>6</v>
      </c>
      <c r="K181">
        <v>0.05</v>
      </c>
      <c r="L181">
        <v>-393</v>
      </c>
      <c r="M181" t="s">
        <v>26</v>
      </c>
      <c r="N181">
        <v>7278.9</v>
      </c>
      <c r="O181" t="str">
        <f>TEXT(SalesData[[#This Row],[Order_Date]],"mmm")</f>
        <v>Jun</v>
      </c>
      <c r="P181">
        <f>YEAR(SalesData[[#This Row],[Order_Date]])</f>
        <v>2024</v>
      </c>
      <c r="Q181" t="str">
        <f>"Q"&amp;ROUNDUP(MONTH(SalesData[[#This Row],[Order_Date]])/3,0)</f>
        <v>Q2</v>
      </c>
      <c r="R181" s="2">
        <f>IFERROR(SalesData[[#This Row],[Profit]]/SalesData[[#This Row],[Sales]],0)</f>
        <v>-5.3991674566211928E-2</v>
      </c>
      <c r="S181" s="2">
        <f>SalesData[[#This Row],[Price]]*SalesData[[#This Row],[Quantity]]*SalesData[[#This Row],[Discount]]</f>
        <v>383.1</v>
      </c>
      <c r="T181" s="2" t="str">
        <f>IF(SalesData[[#This Row],[Sales]]&gt;5000,"High",IF(SalesData[[#This Row],[Sales]]&gt;2000,"Medium","Low"))</f>
        <v>High</v>
      </c>
      <c r="U181" s="2" t="str">
        <f>IF(COUNTIFS(SalesData[Customer_ID],SalesData[[#This Row],[Customer_ID]])&gt;1,"Repeat","New")</f>
        <v>Repeat</v>
      </c>
      <c r="V181" s="2" t="str">
        <f>IF(SalesData[[#This Row],[Sales]]&gt;AVERAGE(SalesData[Sales]),"Above Avg","Below Avg")</f>
        <v>Below Avg</v>
      </c>
      <c r="W181" s="2" t="str">
        <f>IF(SalesData[[#This Row],[Profit]]&gt;0,"Profit","Loss")</f>
        <v>Loss</v>
      </c>
      <c r="X181" s="2">
        <f>RANK(SalesData[[#This Row],[Sales]],SalesData[Sales])</f>
        <v>269</v>
      </c>
    </row>
    <row r="182" spans="1:24" x14ac:dyDescent="0.3">
      <c r="A182">
        <v>181</v>
      </c>
      <c r="B182" s="1">
        <v>45472</v>
      </c>
      <c r="C182">
        <v>1002</v>
      </c>
      <c r="D182" t="s">
        <v>146</v>
      </c>
      <c r="E182" t="s">
        <v>15</v>
      </c>
      <c r="F182" t="s">
        <v>16</v>
      </c>
      <c r="G182" t="s">
        <v>34</v>
      </c>
      <c r="H182" t="s">
        <v>18</v>
      </c>
      <c r="I182">
        <v>1043</v>
      </c>
      <c r="J182">
        <v>2</v>
      </c>
      <c r="K182">
        <v>0.24</v>
      </c>
      <c r="L182">
        <v>1350</v>
      </c>
      <c r="M182" t="s">
        <v>26</v>
      </c>
      <c r="N182">
        <v>1585.36</v>
      </c>
      <c r="O182" t="str">
        <f>TEXT(SalesData[[#This Row],[Order_Date]],"mmm")</f>
        <v>Jun</v>
      </c>
      <c r="P182">
        <f>YEAR(SalesData[[#This Row],[Order_Date]])</f>
        <v>2024</v>
      </c>
      <c r="Q182" t="str">
        <f>"Q"&amp;ROUNDUP(MONTH(SalesData[[#This Row],[Order_Date]])/3,0)</f>
        <v>Q2</v>
      </c>
      <c r="R182" s="2">
        <f>IFERROR(SalesData[[#This Row],[Profit]]/SalesData[[#This Row],[Sales]],0)</f>
        <v>0.85154160569208259</v>
      </c>
      <c r="S182" s="2">
        <f>SalesData[[#This Row],[Price]]*SalesData[[#This Row],[Quantity]]*SalesData[[#This Row],[Discount]]</f>
        <v>500.64</v>
      </c>
      <c r="T182" s="2" t="str">
        <f>IF(SalesData[[#This Row],[Sales]]&gt;5000,"High",IF(SalesData[[#This Row],[Sales]]&gt;2000,"Medium","Low"))</f>
        <v>Low</v>
      </c>
      <c r="U182" s="2" t="str">
        <f>IF(COUNTIFS(SalesData[Customer_ID],SalesData[[#This Row],[Customer_ID]])&gt;1,"Repeat","New")</f>
        <v>Repeat</v>
      </c>
      <c r="V182" s="2" t="str">
        <f>IF(SalesData[[#This Row],[Sales]]&gt;AVERAGE(SalesData[Sales]),"Above Avg","Below Avg")</f>
        <v>Below Avg</v>
      </c>
      <c r="W182" s="2" t="str">
        <f>IF(SalesData[[#This Row],[Profit]]&gt;0,"Profit","Loss")</f>
        <v>Profit</v>
      </c>
      <c r="X182" s="2">
        <f>RANK(SalesData[[#This Row],[Sales]],SalesData[Sales])</f>
        <v>454</v>
      </c>
    </row>
    <row r="183" spans="1:24" x14ac:dyDescent="0.3">
      <c r="A183">
        <v>182</v>
      </c>
      <c r="B183" s="1">
        <v>45473</v>
      </c>
      <c r="C183">
        <v>1018</v>
      </c>
      <c r="D183" t="s">
        <v>126</v>
      </c>
      <c r="E183" t="s">
        <v>15</v>
      </c>
      <c r="F183" t="s">
        <v>16</v>
      </c>
      <c r="G183" t="s">
        <v>17</v>
      </c>
      <c r="H183" t="s">
        <v>29</v>
      </c>
      <c r="I183">
        <v>3546</v>
      </c>
      <c r="J183">
        <v>6</v>
      </c>
      <c r="K183">
        <v>0.25</v>
      </c>
      <c r="L183">
        <v>1825</v>
      </c>
      <c r="M183" t="s">
        <v>19</v>
      </c>
      <c r="N183">
        <v>15957</v>
      </c>
      <c r="O183" t="str">
        <f>TEXT(SalesData[[#This Row],[Order_Date]],"mmm")</f>
        <v>Jun</v>
      </c>
      <c r="P183">
        <f>YEAR(SalesData[[#This Row],[Order_Date]])</f>
        <v>2024</v>
      </c>
      <c r="Q183" t="str">
        <f>"Q"&amp;ROUNDUP(MONTH(SalesData[[#This Row],[Order_Date]])/3,0)</f>
        <v>Q2</v>
      </c>
      <c r="R183" s="2">
        <f>IFERROR(SalesData[[#This Row],[Profit]]/SalesData[[#This Row],[Sales]],0)</f>
        <v>0.11436986902299931</v>
      </c>
      <c r="S183" s="2">
        <f>SalesData[[#This Row],[Price]]*SalesData[[#This Row],[Quantity]]*SalesData[[#This Row],[Discount]]</f>
        <v>5319</v>
      </c>
      <c r="T183" s="2" t="str">
        <f>IF(SalesData[[#This Row],[Sales]]&gt;5000,"High",IF(SalesData[[#This Row],[Sales]]&gt;2000,"Medium","Low"))</f>
        <v>High</v>
      </c>
      <c r="U183" s="2" t="str">
        <f>IF(COUNTIFS(SalesData[Customer_ID],SalesData[[#This Row],[Customer_ID]])&gt;1,"Repeat","New")</f>
        <v>Repeat</v>
      </c>
      <c r="V183" s="2" t="str">
        <f>IF(SalesData[[#This Row],[Sales]]&gt;AVERAGE(SalesData[Sales]),"Above Avg","Below Avg")</f>
        <v>Above Avg</v>
      </c>
      <c r="W183" s="2" t="str">
        <f>IF(SalesData[[#This Row],[Profit]]&gt;0,"Profit","Loss")</f>
        <v>Profit</v>
      </c>
      <c r="X183" s="2">
        <f>RANK(SalesData[[#This Row],[Sales]],SalesData[Sales])</f>
        <v>129</v>
      </c>
    </row>
    <row r="184" spans="1:24" x14ac:dyDescent="0.3">
      <c r="A184">
        <v>183</v>
      </c>
      <c r="B184" s="1">
        <v>45474</v>
      </c>
      <c r="C184">
        <v>1046</v>
      </c>
      <c r="D184" t="s">
        <v>116</v>
      </c>
      <c r="E184" t="s">
        <v>24</v>
      </c>
      <c r="F184" t="s">
        <v>16</v>
      </c>
      <c r="G184" t="s">
        <v>34</v>
      </c>
      <c r="H184" t="s">
        <v>18</v>
      </c>
      <c r="I184">
        <v>951</v>
      </c>
      <c r="J184">
        <v>8</v>
      </c>
      <c r="K184">
        <v>7.0000000000000007E-2</v>
      </c>
      <c r="L184">
        <v>1104</v>
      </c>
      <c r="M184" t="s">
        <v>31</v>
      </c>
      <c r="N184">
        <v>7075.44</v>
      </c>
      <c r="O184" t="str">
        <f>TEXT(SalesData[[#This Row],[Order_Date]],"mmm")</f>
        <v>Jul</v>
      </c>
      <c r="P184">
        <f>YEAR(SalesData[[#This Row],[Order_Date]])</f>
        <v>2024</v>
      </c>
      <c r="Q184" t="str">
        <f>"Q"&amp;ROUNDUP(MONTH(SalesData[[#This Row],[Order_Date]])/3,0)</f>
        <v>Q3</v>
      </c>
      <c r="R184" s="2">
        <f>IFERROR(SalesData[[#This Row],[Profit]]/SalesData[[#This Row],[Sales]],0)</f>
        <v>0.15603269902649164</v>
      </c>
      <c r="S184" s="2">
        <f>SalesData[[#This Row],[Price]]*SalesData[[#This Row],[Quantity]]*SalesData[[#This Row],[Discount]]</f>
        <v>532.56000000000006</v>
      </c>
      <c r="T184" s="2" t="str">
        <f>IF(SalesData[[#This Row],[Sales]]&gt;5000,"High",IF(SalesData[[#This Row],[Sales]]&gt;2000,"Medium","Low"))</f>
        <v>High</v>
      </c>
      <c r="U184" s="2" t="str">
        <f>IF(COUNTIFS(SalesData[Customer_ID],SalesData[[#This Row],[Customer_ID]])&gt;1,"Repeat","New")</f>
        <v>Repeat</v>
      </c>
      <c r="V184" s="2" t="str">
        <f>IF(SalesData[[#This Row],[Sales]]&gt;AVERAGE(SalesData[Sales]),"Above Avg","Below Avg")</f>
        <v>Below Avg</v>
      </c>
      <c r="W184" s="2" t="str">
        <f>IF(SalesData[[#This Row],[Profit]]&gt;0,"Profit","Loss")</f>
        <v>Profit</v>
      </c>
      <c r="X184" s="2">
        <f>RANK(SalesData[[#This Row],[Sales]],SalesData[Sales])</f>
        <v>274</v>
      </c>
    </row>
    <row r="185" spans="1:24" x14ac:dyDescent="0.3">
      <c r="A185">
        <v>184</v>
      </c>
      <c r="B185" s="1">
        <v>45475</v>
      </c>
      <c r="C185">
        <v>1045</v>
      </c>
      <c r="D185" t="s">
        <v>147</v>
      </c>
      <c r="E185" t="s">
        <v>24</v>
      </c>
      <c r="F185" t="s">
        <v>33</v>
      </c>
      <c r="G185" t="s">
        <v>34</v>
      </c>
      <c r="H185" t="s">
        <v>37</v>
      </c>
      <c r="I185">
        <v>4700</v>
      </c>
      <c r="J185">
        <v>3</v>
      </c>
      <c r="K185">
        <v>0.22</v>
      </c>
      <c r="L185">
        <v>140</v>
      </c>
      <c r="M185" t="s">
        <v>31</v>
      </c>
      <c r="N185">
        <v>10998</v>
      </c>
      <c r="O185" t="str">
        <f>TEXT(SalesData[[#This Row],[Order_Date]],"mmm")</f>
        <v>Jul</v>
      </c>
      <c r="P185">
        <f>YEAR(SalesData[[#This Row],[Order_Date]])</f>
        <v>2024</v>
      </c>
      <c r="Q185" t="str">
        <f>"Q"&amp;ROUNDUP(MONTH(SalesData[[#This Row],[Order_Date]])/3,0)</f>
        <v>Q3</v>
      </c>
      <c r="R185" s="2">
        <f>IFERROR(SalesData[[#This Row],[Profit]]/SalesData[[#This Row],[Sales]],0)</f>
        <v>1.2729587197672304E-2</v>
      </c>
      <c r="S185" s="2">
        <f>SalesData[[#This Row],[Price]]*SalesData[[#This Row],[Quantity]]*SalesData[[#This Row],[Discount]]</f>
        <v>3102</v>
      </c>
      <c r="T185" s="2" t="str">
        <f>IF(SalesData[[#This Row],[Sales]]&gt;5000,"High",IF(SalesData[[#This Row],[Sales]]&gt;2000,"Medium","Low"))</f>
        <v>High</v>
      </c>
      <c r="U185" s="2" t="str">
        <f>IF(COUNTIFS(SalesData[Customer_ID],SalesData[[#This Row],[Customer_ID]])&gt;1,"Repeat","New")</f>
        <v>Repeat</v>
      </c>
      <c r="V185" s="2" t="str">
        <f>IF(SalesData[[#This Row],[Sales]]&gt;AVERAGE(SalesData[Sales]),"Above Avg","Below Avg")</f>
        <v>Above Avg</v>
      </c>
      <c r="W185" s="2" t="str">
        <f>IF(SalesData[[#This Row],[Profit]]&gt;0,"Profit","Loss")</f>
        <v>Profit</v>
      </c>
      <c r="X185" s="2">
        <f>RANK(SalesData[[#This Row],[Sales]],SalesData[Sales])</f>
        <v>190</v>
      </c>
    </row>
    <row r="186" spans="1:24" x14ac:dyDescent="0.3">
      <c r="A186">
        <v>185</v>
      </c>
      <c r="B186" s="1">
        <v>45476</v>
      </c>
      <c r="C186">
        <v>1057</v>
      </c>
      <c r="D186" t="s">
        <v>148</v>
      </c>
      <c r="E186" t="s">
        <v>15</v>
      </c>
      <c r="F186" t="s">
        <v>21</v>
      </c>
      <c r="G186" t="s">
        <v>17</v>
      </c>
      <c r="H186" t="s">
        <v>37</v>
      </c>
      <c r="I186">
        <v>1851</v>
      </c>
      <c r="J186">
        <v>3</v>
      </c>
      <c r="K186">
        <v>0.28999999999999998</v>
      </c>
      <c r="L186">
        <v>589</v>
      </c>
      <c r="M186" t="s">
        <v>26</v>
      </c>
      <c r="N186">
        <v>3942.6299999999901</v>
      </c>
      <c r="O186" t="str">
        <f>TEXT(SalesData[[#This Row],[Order_Date]],"mmm")</f>
        <v>Jul</v>
      </c>
      <c r="P186">
        <f>YEAR(SalesData[[#This Row],[Order_Date]])</f>
        <v>2024</v>
      </c>
      <c r="Q186" t="str">
        <f>"Q"&amp;ROUNDUP(MONTH(SalesData[[#This Row],[Order_Date]])/3,0)</f>
        <v>Q3</v>
      </c>
      <c r="R186" s="2">
        <f>IFERROR(SalesData[[#This Row],[Profit]]/SalesData[[#This Row],[Sales]],0)</f>
        <v>0.14939266428754447</v>
      </c>
      <c r="S186" s="2">
        <f>SalesData[[#This Row],[Price]]*SalesData[[#This Row],[Quantity]]*SalesData[[#This Row],[Discount]]</f>
        <v>1610.37</v>
      </c>
      <c r="T186" s="2" t="str">
        <f>IF(SalesData[[#This Row],[Sales]]&gt;5000,"High",IF(SalesData[[#This Row],[Sales]]&gt;2000,"Medium","Low"))</f>
        <v>Medium</v>
      </c>
      <c r="U186" s="2" t="str">
        <f>IF(COUNTIFS(SalesData[Customer_ID],SalesData[[#This Row],[Customer_ID]])&gt;1,"Repeat","New")</f>
        <v>Repeat</v>
      </c>
      <c r="V186" s="2" t="str">
        <f>IF(SalesData[[#This Row],[Sales]]&gt;AVERAGE(SalesData[Sales]),"Above Avg","Below Avg")</f>
        <v>Below Avg</v>
      </c>
      <c r="W186" s="2" t="str">
        <f>IF(SalesData[[#This Row],[Profit]]&gt;0,"Profit","Loss")</f>
        <v>Profit</v>
      </c>
      <c r="X186" s="2">
        <f>RANK(SalesData[[#This Row],[Sales]],SalesData[Sales])</f>
        <v>356</v>
      </c>
    </row>
    <row r="187" spans="1:24" x14ac:dyDescent="0.3">
      <c r="A187">
        <v>186</v>
      </c>
      <c r="B187" s="1">
        <v>45477</v>
      </c>
      <c r="C187">
        <v>1035</v>
      </c>
      <c r="D187" t="s">
        <v>149</v>
      </c>
      <c r="E187" t="s">
        <v>24</v>
      </c>
      <c r="F187" t="s">
        <v>21</v>
      </c>
      <c r="G187" t="s">
        <v>34</v>
      </c>
      <c r="H187" t="s">
        <v>37</v>
      </c>
      <c r="I187">
        <v>1945</v>
      </c>
      <c r="J187">
        <v>1</v>
      </c>
      <c r="K187">
        <v>0.28999999999999998</v>
      </c>
      <c r="L187">
        <v>7</v>
      </c>
      <c r="M187" t="s">
        <v>26</v>
      </c>
      <c r="N187">
        <v>1380.94999999999</v>
      </c>
      <c r="O187" t="str">
        <f>TEXT(SalesData[[#This Row],[Order_Date]],"mmm")</f>
        <v>Jul</v>
      </c>
      <c r="P187">
        <f>YEAR(SalesData[[#This Row],[Order_Date]])</f>
        <v>2024</v>
      </c>
      <c r="Q187" t="str">
        <f>"Q"&amp;ROUNDUP(MONTH(SalesData[[#This Row],[Order_Date]])/3,0)</f>
        <v>Q3</v>
      </c>
      <c r="R187" s="2">
        <f>IFERROR(SalesData[[#This Row],[Profit]]/SalesData[[#This Row],[Sales]],0)</f>
        <v>5.068974256852204E-3</v>
      </c>
      <c r="S187" s="2">
        <f>SalesData[[#This Row],[Price]]*SalesData[[#This Row],[Quantity]]*SalesData[[#This Row],[Discount]]</f>
        <v>564.04999999999995</v>
      </c>
      <c r="T187" s="2" t="str">
        <f>IF(SalesData[[#This Row],[Sales]]&gt;5000,"High",IF(SalesData[[#This Row],[Sales]]&gt;2000,"Medium","Low"))</f>
        <v>Low</v>
      </c>
      <c r="U187" s="2" t="str">
        <f>IF(COUNTIFS(SalesData[Customer_ID],SalesData[[#This Row],[Customer_ID]])&gt;1,"Repeat","New")</f>
        <v>Repeat</v>
      </c>
      <c r="V187" s="2" t="str">
        <f>IF(SalesData[[#This Row],[Sales]]&gt;AVERAGE(SalesData[Sales]),"Above Avg","Below Avg")</f>
        <v>Below Avg</v>
      </c>
      <c r="W187" s="2" t="str">
        <f>IF(SalesData[[#This Row],[Profit]]&gt;0,"Profit","Loss")</f>
        <v>Profit</v>
      </c>
      <c r="X187" s="2">
        <f>RANK(SalesData[[#This Row],[Sales]],SalesData[Sales])</f>
        <v>462</v>
      </c>
    </row>
    <row r="188" spans="1:24" x14ac:dyDescent="0.3">
      <c r="A188">
        <v>187</v>
      </c>
      <c r="B188" s="1">
        <v>45478</v>
      </c>
      <c r="C188">
        <v>1018</v>
      </c>
      <c r="D188" t="s">
        <v>150</v>
      </c>
      <c r="E188" t="s">
        <v>24</v>
      </c>
      <c r="F188" t="s">
        <v>33</v>
      </c>
      <c r="G188" t="s">
        <v>22</v>
      </c>
      <c r="H188" t="s">
        <v>18</v>
      </c>
      <c r="I188">
        <v>4924</v>
      </c>
      <c r="J188">
        <v>3</v>
      </c>
      <c r="K188">
        <v>0.13</v>
      </c>
      <c r="L188">
        <v>1357</v>
      </c>
      <c r="M188" t="s">
        <v>19</v>
      </c>
      <c r="N188">
        <v>12851.64</v>
      </c>
      <c r="O188" t="str">
        <f>TEXT(SalesData[[#This Row],[Order_Date]],"mmm")</f>
        <v>Jul</v>
      </c>
      <c r="P188">
        <f>YEAR(SalesData[[#This Row],[Order_Date]])</f>
        <v>2024</v>
      </c>
      <c r="Q188" t="str">
        <f>"Q"&amp;ROUNDUP(MONTH(SalesData[[#This Row],[Order_Date]])/3,0)</f>
        <v>Q3</v>
      </c>
      <c r="R188" s="2">
        <f>IFERROR(SalesData[[#This Row],[Profit]]/SalesData[[#This Row],[Sales]],0)</f>
        <v>0.1055896368089987</v>
      </c>
      <c r="S188" s="2">
        <f>SalesData[[#This Row],[Price]]*SalesData[[#This Row],[Quantity]]*SalesData[[#This Row],[Discount]]</f>
        <v>1920.3600000000001</v>
      </c>
      <c r="T188" s="2" t="str">
        <f>IF(SalesData[[#This Row],[Sales]]&gt;5000,"High",IF(SalesData[[#This Row],[Sales]]&gt;2000,"Medium","Low"))</f>
        <v>High</v>
      </c>
      <c r="U188" s="2" t="str">
        <f>IF(COUNTIFS(SalesData[Customer_ID],SalesData[[#This Row],[Customer_ID]])&gt;1,"Repeat","New")</f>
        <v>Repeat</v>
      </c>
      <c r="V188" s="2" t="str">
        <f>IF(SalesData[[#This Row],[Sales]]&gt;AVERAGE(SalesData[Sales]),"Above Avg","Below Avg")</f>
        <v>Above Avg</v>
      </c>
      <c r="W188" s="2" t="str">
        <f>IF(SalesData[[#This Row],[Profit]]&gt;0,"Profit","Loss")</f>
        <v>Profit</v>
      </c>
      <c r="X188" s="2">
        <f>RANK(SalesData[[#This Row],[Sales]],SalesData[Sales])</f>
        <v>160</v>
      </c>
    </row>
    <row r="189" spans="1:24" x14ac:dyDescent="0.3">
      <c r="A189">
        <v>188</v>
      </c>
      <c r="B189" s="1">
        <v>45479</v>
      </c>
      <c r="C189">
        <v>1091</v>
      </c>
      <c r="D189" t="s">
        <v>121</v>
      </c>
      <c r="E189" t="s">
        <v>24</v>
      </c>
      <c r="F189" t="s">
        <v>21</v>
      </c>
      <c r="G189" t="s">
        <v>34</v>
      </c>
      <c r="H189" t="s">
        <v>18</v>
      </c>
      <c r="I189">
        <v>1821</v>
      </c>
      <c r="J189">
        <v>7</v>
      </c>
      <c r="K189">
        <v>0.26</v>
      </c>
      <c r="L189">
        <v>-309</v>
      </c>
      <c r="M189" t="s">
        <v>26</v>
      </c>
      <c r="N189">
        <v>9432.7800000000007</v>
      </c>
      <c r="O189" t="str">
        <f>TEXT(SalesData[[#This Row],[Order_Date]],"mmm")</f>
        <v>Jul</v>
      </c>
      <c r="P189">
        <f>YEAR(SalesData[[#This Row],[Order_Date]])</f>
        <v>2024</v>
      </c>
      <c r="Q189" t="str">
        <f>"Q"&amp;ROUNDUP(MONTH(SalesData[[#This Row],[Order_Date]])/3,0)</f>
        <v>Q3</v>
      </c>
      <c r="R189" s="2">
        <f>IFERROR(SalesData[[#This Row],[Profit]]/SalesData[[#This Row],[Sales]],0)</f>
        <v>-3.2758105245749396E-2</v>
      </c>
      <c r="S189" s="2">
        <f>SalesData[[#This Row],[Price]]*SalesData[[#This Row],[Quantity]]*SalesData[[#This Row],[Discount]]</f>
        <v>3314.2200000000003</v>
      </c>
      <c r="T189" s="2" t="str">
        <f>IF(SalesData[[#This Row],[Sales]]&gt;5000,"High",IF(SalesData[[#This Row],[Sales]]&gt;2000,"Medium","Low"))</f>
        <v>High</v>
      </c>
      <c r="U189" s="2" t="str">
        <f>IF(COUNTIFS(SalesData[Customer_ID],SalesData[[#This Row],[Customer_ID]])&gt;1,"Repeat","New")</f>
        <v>Repeat</v>
      </c>
      <c r="V189" s="2" t="str">
        <f>IF(SalesData[[#This Row],[Sales]]&gt;AVERAGE(SalesData[Sales]),"Above Avg","Below Avg")</f>
        <v>Below Avg</v>
      </c>
      <c r="W189" s="2" t="str">
        <f>IF(SalesData[[#This Row],[Profit]]&gt;0,"Profit","Loss")</f>
        <v>Loss</v>
      </c>
      <c r="X189" s="2">
        <f>RANK(SalesData[[#This Row],[Sales]],SalesData[Sales])</f>
        <v>220</v>
      </c>
    </row>
    <row r="190" spans="1:24" x14ac:dyDescent="0.3">
      <c r="A190">
        <v>189</v>
      </c>
      <c r="B190" s="1">
        <v>45480</v>
      </c>
      <c r="C190">
        <v>1046</v>
      </c>
      <c r="D190" t="s">
        <v>60</v>
      </c>
      <c r="E190" t="s">
        <v>24</v>
      </c>
      <c r="F190" t="s">
        <v>21</v>
      </c>
      <c r="G190" t="s">
        <v>22</v>
      </c>
      <c r="H190" t="s">
        <v>29</v>
      </c>
      <c r="I190">
        <v>1873</v>
      </c>
      <c r="J190">
        <v>9</v>
      </c>
      <c r="K190">
        <v>0.17</v>
      </c>
      <c r="L190">
        <v>-234</v>
      </c>
      <c r="M190" t="s">
        <v>19</v>
      </c>
      <c r="N190">
        <v>13991.31</v>
      </c>
      <c r="O190" t="str">
        <f>TEXT(SalesData[[#This Row],[Order_Date]],"mmm")</f>
        <v>Jul</v>
      </c>
      <c r="P190">
        <f>YEAR(SalesData[[#This Row],[Order_Date]])</f>
        <v>2024</v>
      </c>
      <c r="Q190" t="str">
        <f>"Q"&amp;ROUNDUP(MONTH(SalesData[[#This Row],[Order_Date]])/3,0)</f>
        <v>Q3</v>
      </c>
      <c r="R190" s="2">
        <f>IFERROR(SalesData[[#This Row],[Profit]]/SalesData[[#This Row],[Sales]],0)</f>
        <v>-1.672466695398787E-2</v>
      </c>
      <c r="S190" s="2">
        <f>SalesData[[#This Row],[Price]]*SalesData[[#This Row],[Quantity]]*SalesData[[#This Row],[Discount]]</f>
        <v>2865.69</v>
      </c>
      <c r="T190" s="2" t="str">
        <f>IF(SalesData[[#This Row],[Sales]]&gt;5000,"High",IF(SalesData[[#This Row],[Sales]]&gt;2000,"Medium","Low"))</f>
        <v>High</v>
      </c>
      <c r="U190" s="2" t="str">
        <f>IF(COUNTIFS(SalesData[Customer_ID],SalesData[[#This Row],[Customer_ID]])&gt;1,"Repeat","New")</f>
        <v>Repeat</v>
      </c>
      <c r="V190" s="2" t="str">
        <f>IF(SalesData[[#This Row],[Sales]]&gt;AVERAGE(SalesData[Sales]),"Above Avg","Below Avg")</f>
        <v>Above Avg</v>
      </c>
      <c r="W190" s="2" t="str">
        <f>IF(SalesData[[#This Row],[Profit]]&gt;0,"Profit","Loss")</f>
        <v>Loss</v>
      </c>
      <c r="X190" s="2">
        <f>RANK(SalesData[[#This Row],[Sales]],SalesData[Sales])</f>
        <v>147</v>
      </c>
    </row>
    <row r="191" spans="1:24" x14ac:dyDescent="0.3">
      <c r="A191">
        <v>190</v>
      </c>
      <c r="B191" s="1">
        <v>45481</v>
      </c>
      <c r="C191">
        <v>1054</v>
      </c>
      <c r="D191" t="s">
        <v>151</v>
      </c>
      <c r="E191" t="s">
        <v>15</v>
      </c>
      <c r="F191" t="s">
        <v>28</v>
      </c>
      <c r="G191" t="s">
        <v>34</v>
      </c>
      <c r="H191" t="s">
        <v>37</v>
      </c>
      <c r="I191">
        <v>750</v>
      </c>
      <c r="J191">
        <v>8</v>
      </c>
      <c r="K191">
        <v>0.17</v>
      </c>
      <c r="L191">
        <v>-108</v>
      </c>
      <c r="M191" t="s">
        <v>26</v>
      </c>
      <c r="N191">
        <v>4980</v>
      </c>
      <c r="O191" t="str">
        <f>TEXT(SalesData[[#This Row],[Order_Date]],"mmm")</f>
        <v>Jul</v>
      </c>
      <c r="P191">
        <f>YEAR(SalesData[[#This Row],[Order_Date]])</f>
        <v>2024</v>
      </c>
      <c r="Q191" t="str">
        <f>"Q"&amp;ROUNDUP(MONTH(SalesData[[#This Row],[Order_Date]])/3,0)</f>
        <v>Q3</v>
      </c>
      <c r="R191" s="2">
        <f>IFERROR(SalesData[[#This Row],[Profit]]/SalesData[[#This Row],[Sales]],0)</f>
        <v>-2.1686746987951807E-2</v>
      </c>
      <c r="S191" s="2">
        <f>SalesData[[#This Row],[Price]]*SalesData[[#This Row],[Quantity]]*SalesData[[#This Row],[Discount]]</f>
        <v>1020.0000000000001</v>
      </c>
      <c r="T191" s="2" t="str">
        <f>IF(SalesData[[#This Row],[Sales]]&gt;5000,"High",IF(SalesData[[#This Row],[Sales]]&gt;2000,"Medium","Low"))</f>
        <v>Medium</v>
      </c>
      <c r="U191" s="2" t="str">
        <f>IF(COUNTIFS(SalesData[Customer_ID],SalesData[[#This Row],[Customer_ID]])&gt;1,"Repeat","New")</f>
        <v>Repeat</v>
      </c>
      <c r="V191" s="2" t="str">
        <f>IF(SalesData[[#This Row],[Sales]]&gt;AVERAGE(SalesData[Sales]),"Above Avg","Below Avg")</f>
        <v>Below Avg</v>
      </c>
      <c r="W191" s="2" t="str">
        <f>IF(SalesData[[#This Row],[Profit]]&gt;0,"Profit","Loss")</f>
        <v>Loss</v>
      </c>
      <c r="X191" s="2">
        <f>RANK(SalesData[[#This Row],[Sales]],SalesData[Sales])</f>
        <v>324</v>
      </c>
    </row>
    <row r="192" spans="1:24" x14ac:dyDescent="0.3">
      <c r="A192">
        <v>191</v>
      </c>
      <c r="B192" s="1">
        <v>45482</v>
      </c>
      <c r="C192">
        <v>1073</v>
      </c>
      <c r="D192" t="s">
        <v>152</v>
      </c>
      <c r="E192" t="s">
        <v>15</v>
      </c>
      <c r="F192" t="s">
        <v>21</v>
      </c>
      <c r="G192" t="s">
        <v>34</v>
      </c>
      <c r="H192" t="s">
        <v>18</v>
      </c>
      <c r="I192">
        <v>1461</v>
      </c>
      <c r="J192">
        <v>3</v>
      </c>
      <c r="K192">
        <v>7.0000000000000007E-2</v>
      </c>
      <c r="L192">
        <v>-371</v>
      </c>
      <c r="M192" t="s">
        <v>31</v>
      </c>
      <c r="N192">
        <v>4076.1899999999901</v>
      </c>
      <c r="O192" t="str">
        <f>TEXT(SalesData[[#This Row],[Order_Date]],"mmm")</f>
        <v>Jul</v>
      </c>
      <c r="P192">
        <f>YEAR(SalesData[[#This Row],[Order_Date]])</f>
        <v>2024</v>
      </c>
      <c r="Q192" t="str">
        <f>"Q"&amp;ROUNDUP(MONTH(SalesData[[#This Row],[Order_Date]])/3,0)</f>
        <v>Q3</v>
      </c>
      <c r="R192" s="2">
        <f>IFERROR(SalesData[[#This Row],[Profit]]/SalesData[[#This Row],[Sales]],0)</f>
        <v>-9.1016365772940144E-2</v>
      </c>
      <c r="S192" s="2">
        <f>SalesData[[#This Row],[Price]]*SalesData[[#This Row],[Quantity]]*SalesData[[#This Row],[Discount]]</f>
        <v>306.81</v>
      </c>
      <c r="T192" s="2" t="str">
        <f>IF(SalesData[[#This Row],[Sales]]&gt;5000,"High",IF(SalesData[[#This Row],[Sales]]&gt;2000,"Medium","Low"))</f>
        <v>Medium</v>
      </c>
      <c r="U192" s="2" t="str">
        <f>IF(COUNTIFS(SalesData[Customer_ID],SalesData[[#This Row],[Customer_ID]])&gt;1,"Repeat","New")</f>
        <v>Repeat</v>
      </c>
      <c r="V192" s="2" t="str">
        <f>IF(SalesData[[#This Row],[Sales]]&gt;AVERAGE(SalesData[Sales]),"Above Avg","Below Avg")</f>
        <v>Below Avg</v>
      </c>
      <c r="W192" s="2" t="str">
        <f>IF(SalesData[[#This Row],[Profit]]&gt;0,"Profit","Loss")</f>
        <v>Loss</v>
      </c>
      <c r="X192" s="2">
        <f>RANK(SalesData[[#This Row],[Sales]],SalesData[Sales])</f>
        <v>351</v>
      </c>
    </row>
    <row r="193" spans="1:24" x14ac:dyDescent="0.3">
      <c r="A193">
        <v>192</v>
      </c>
      <c r="B193" s="1">
        <v>45483</v>
      </c>
      <c r="C193">
        <v>1081</v>
      </c>
      <c r="D193" t="s">
        <v>153</v>
      </c>
      <c r="E193" t="s">
        <v>24</v>
      </c>
      <c r="F193" t="s">
        <v>16</v>
      </c>
      <c r="G193" t="s">
        <v>22</v>
      </c>
      <c r="H193" t="s">
        <v>18</v>
      </c>
      <c r="I193">
        <v>3609</v>
      </c>
      <c r="J193">
        <v>5</v>
      </c>
      <c r="K193">
        <v>0.12</v>
      </c>
      <c r="L193">
        <v>514</v>
      </c>
      <c r="M193" t="s">
        <v>31</v>
      </c>
      <c r="N193">
        <v>15879.6</v>
      </c>
      <c r="O193" t="str">
        <f>TEXT(SalesData[[#This Row],[Order_Date]],"mmm")</f>
        <v>Jul</v>
      </c>
      <c r="P193">
        <f>YEAR(SalesData[[#This Row],[Order_Date]])</f>
        <v>2024</v>
      </c>
      <c r="Q193" t="str">
        <f>"Q"&amp;ROUNDUP(MONTH(SalesData[[#This Row],[Order_Date]])/3,0)</f>
        <v>Q3</v>
      </c>
      <c r="R193" s="2">
        <f>IFERROR(SalesData[[#This Row],[Profit]]/SalesData[[#This Row],[Sales]],0)</f>
        <v>3.2368573515705684E-2</v>
      </c>
      <c r="S193" s="2">
        <f>SalesData[[#This Row],[Price]]*SalesData[[#This Row],[Quantity]]*SalesData[[#This Row],[Discount]]</f>
        <v>2165.4</v>
      </c>
      <c r="T193" s="2" t="str">
        <f>IF(SalesData[[#This Row],[Sales]]&gt;5000,"High",IF(SalesData[[#This Row],[Sales]]&gt;2000,"Medium","Low"))</f>
        <v>High</v>
      </c>
      <c r="U193" s="2" t="str">
        <f>IF(COUNTIFS(SalesData[Customer_ID],SalesData[[#This Row],[Customer_ID]])&gt;1,"Repeat","New")</f>
        <v>Repeat</v>
      </c>
      <c r="V193" s="2" t="str">
        <f>IF(SalesData[[#This Row],[Sales]]&gt;AVERAGE(SalesData[Sales]),"Above Avg","Below Avg")</f>
        <v>Above Avg</v>
      </c>
      <c r="W193" s="2" t="str">
        <f>IF(SalesData[[#This Row],[Profit]]&gt;0,"Profit","Loss")</f>
        <v>Profit</v>
      </c>
      <c r="X193" s="2">
        <f>RANK(SalesData[[#This Row],[Sales]],SalesData[Sales])</f>
        <v>131</v>
      </c>
    </row>
    <row r="194" spans="1:24" x14ac:dyDescent="0.3">
      <c r="A194">
        <v>193</v>
      </c>
      <c r="B194" s="1">
        <v>45484</v>
      </c>
      <c r="C194">
        <v>1062</v>
      </c>
      <c r="D194" t="s">
        <v>154</v>
      </c>
      <c r="E194" t="s">
        <v>24</v>
      </c>
      <c r="F194" t="s">
        <v>16</v>
      </c>
      <c r="G194" t="s">
        <v>17</v>
      </c>
      <c r="H194" t="s">
        <v>25</v>
      </c>
      <c r="I194">
        <v>1568</v>
      </c>
      <c r="J194">
        <v>1</v>
      </c>
      <c r="K194">
        <v>0.06</v>
      </c>
      <c r="L194">
        <v>1807</v>
      </c>
      <c r="M194" t="s">
        <v>19</v>
      </c>
      <c r="N194">
        <v>1473.9199999999901</v>
      </c>
      <c r="O194" t="str">
        <f>TEXT(SalesData[[#This Row],[Order_Date]],"mmm")</f>
        <v>Jul</v>
      </c>
      <c r="P194">
        <f>YEAR(SalesData[[#This Row],[Order_Date]])</f>
        <v>2024</v>
      </c>
      <c r="Q194" t="str">
        <f>"Q"&amp;ROUNDUP(MONTH(SalesData[[#This Row],[Order_Date]])/3,0)</f>
        <v>Q3</v>
      </c>
      <c r="R194" s="2">
        <f>IFERROR(SalesData[[#This Row],[Profit]]/SalesData[[#This Row],[Sales]],0)</f>
        <v>1.225982414242301</v>
      </c>
      <c r="S194" s="2">
        <f>SalesData[[#This Row],[Price]]*SalesData[[#This Row],[Quantity]]*SalesData[[#This Row],[Discount]]</f>
        <v>94.08</v>
      </c>
      <c r="T194" s="2" t="str">
        <f>IF(SalesData[[#This Row],[Sales]]&gt;5000,"High",IF(SalesData[[#This Row],[Sales]]&gt;2000,"Medium","Low"))</f>
        <v>Low</v>
      </c>
      <c r="U194" s="2" t="str">
        <f>IF(COUNTIFS(SalesData[Customer_ID],SalesData[[#This Row],[Customer_ID]])&gt;1,"Repeat","New")</f>
        <v>Repeat</v>
      </c>
      <c r="V194" s="2" t="str">
        <f>IF(SalesData[[#This Row],[Sales]]&gt;AVERAGE(SalesData[Sales]),"Above Avg","Below Avg")</f>
        <v>Below Avg</v>
      </c>
      <c r="W194" s="2" t="str">
        <f>IF(SalesData[[#This Row],[Profit]]&gt;0,"Profit","Loss")</f>
        <v>Profit</v>
      </c>
      <c r="X194" s="2">
        <f>RANK(SalesData[[#This Row],[Sales]],SalesData[Sales])</f>
        <v>459</v>
      </c>
    </row>
    <row r="195" spans="1:24" x14ac:dyDescent="0.3">
      <c r="A195">
        <v>194</v>
      </c>
      <c r="B195" s="1">
        <v>45485</v>
      </c>
      <c r="C195">
        <v>1067</v>
      </c>
      <c r="D195" t="s">
        <v>155</v>
      </c>
      <c r="E195" t="s">
        <v>15</v>
      </c>
      <c r="F195" t="s">
        <v>28</v>
      </c>
      <c r="G195" t="s">
        <v>34</v>
      </c>
      <c r="H195" t="s">
        <v>37</v>
      </c>
      <c r="I195">
        <v>584</v>
      </c>
      <c r="J195">
        <v>1</v>
      </c>
      <c r="K195">
        <v>0.22</v>
      </c>
      <c r="L195">
        <v>858</v>
      </c>
      <c r="M195" t="s">
        <v>26</v>
      </c>
      <c r="N195">
        <v>455.52</v>
      </c>
      <c r="O195" t="str">
        <f>TEXT(SalesData[[#This Row],[Order_Date]],"mmm")</f>
        <v>Jul</v>
      </c>
      <c r="P195">
        <f>YEAR(SalesData[[#This Row],[Order_Date]])</f>
        <v>2024</v>
      </c>
      <c r="Q195" t="str">
        <f>"Q"&amp;ROUNDUP(MONTH(SalesData[[#This Row],[Order_Date]])/3,0)</f>
        <v>Q3</v>
      </c>
      <c r="R195" s="2">
        <f>IFERROR(SalesData[[#This Row],[Profit]]/SalesData[[#This Row],[Sales]],0)</f>
        <v>1.8835616438356164</v>
      </c>
      <c r="S195" s="2">
        <f>SalesData[[#This Row],[Price]]*SalesData[[#This Row],[Quantity]]*SalesData[[#This Row],[Discount]]</f>
        <v>128.47999999999999</v>
      </c>
      <c r="T195" s="2" t="str">
        <f>IF(SalesData[[#This Row],[Sales]]&gt;5000,"High",IF(SalesData[[#This Row],[Sales]]&gt;2000,"Medium","Low"))</f>
        <v>Low</v>
      </c>
      <c r="U195" s="2" t="str">
        <f>IF(COUNTIFS(SalesData[Customer_ID],SalesData[[#This Row],[Customer_ID]])&gt;1,"Repeat","New")</f>
        <v>Repeat</v>
      </c>
      <c r="V195" s="2" t="str">
        <f>IF(SalesData[[#This Row],[Sales]]&gt;AVERAGE(SalesData[Sales]),"Above Avg","Below Avg")</f>
        <v>Below Avg</v>
      </c>
      <c r="W195" s="2" t="str">
        <f>IF(SalesData[[#This Row],[Profit]]&gt;0,"Profit","Loss")</f>
        <v>Profit</v>
      </c>
      <c r="X195" s="2">
        <f>RANK(SalesData[[#This Row],[Sales]],SalesData[Sales])</f>
        <v>494</v>
      </c>
    </row>
    <row r="196" spans="1:24" x14ac:dyDescent="0.3">
      <c r="A196">
        <v>195</v>
      </c>
      <c r="B196" s="1">
        <v>45486</v>
      </c>
      <c r="C196">
        <v>1011</v>
      </c>
      <c r="D196" t="s">
        <v>156</v>
      </c>
      <c r="E196" t="s">
        <v>24</v>
      </c>
      <c r="F196" t="s">
        <v>16</v>
      </c>
      <c r="G196" t="s">
        <v>34</v>
      </c>
      <c r="H196" t="s">
        <v>37</v>
      </c>
      <c r="I196">
        <v>851</v>
      </c>
      <c r="J196">
        <v>9</v>
      </c>
      <c r="K196">
        <v>0.19</v>
      </c>
      <c r="L196">
        <v>1126</v>
      </c>
      <c r="M196" t="s">
        <v>26</v>
      </c>
      <c r="N196">
        <v>6203.79</v>
      </c>
      <c r="O196" t="str">
        <f>TEXT(SalesData[[#This Row],[Order_Date]],"mmm")</f>
        <v>Jul</v>
      </c>
      <c r="P196">
        <f>YEAR(SalesData[[#This Row],[Order_Date]])</f>
        <v>2024</v>
      </c>
      <c r="Q196" t="str">
        <f>"Q"&amp;ROUNDUP(MONTH(SalesData[[#This Row],[Order_Date]])/3,0)</f>
        <v>Q3</v>
      </c>
      <c r="R196" s="2">
        <f>IFERROR(SalesData[[#This Row],[Profit]]/SalesData[[#This Row],[Sales]],0)</f>
        <v>0.18150195283850679</v>
      </c>
      <c r="S196" s="2">
        <f>SalesData[[#This Row],[Price]]*SalesData[[#This Row],[Quantity]]*SalesData[[#This Row],[Discount]]</f>
        <v>1455.21</v>
      </c>
      <c r="T196" s="2" t="str">
        <f>IF(SalesData[[#This Row],[Sales]]&gt;5000,"High",IF(SalesData[[#This Row],[Sales]]&gt;2000,"Medium","Low"))</f>
        <v>High</v>
      </c>
      <c r="U196" s="2" t="str">
        <f>IF(COUNTIFS(SalesData[Customer_ID],SalesData[[#This Row],[Customer_ID]])&gt;1,"Repeat","New")</f>
        <v>Repeat</v>
      </c>
      <c r="V196" s="2" t="str">
        <f>IF(SalesData[[#This Row],[Sales]]&gt;AVERAGE(SalesData[Sales]),"Above Avg","Below Avg")</f>
        <v>Below Avg</v>
      </c>
      <c r="W196" s="2" t="str">
        <f>IF(SalesData[[#This Row],[Profit]]&gt;0,"Profit","Loss")</f>
        <v>Profit</v>
      </c>
      <c r="X196" s="2">
        <f>RANK(SalesData[[#This Row],[Sales]],SalesData[Sales])</f>
        <v>292</v>
      </c>
    </row>
    <row r="197" spans="1:24" x14ac:dyDescent="0.3">
      <c r="A197">
        <v>196</v>
      </c>
      <c r="B197" s="1">
        <v>45487</v>
      </c>
      <c r="C197">
        <v>1026</v>
      </c>
      <c r="D197" t="s">
        <v>70</v>
      </c>
      <c r="E197" t="s">
        <v>24</v>
      </c>
      <c r="F197" t="s">
        <v>28</v>
      </c>
      <c r="G197" t="s">
        <v>17</v>
      </c>
      <c r="H197" t="s">
        <v>18</v>
      </c>
      <c r="I197">
        <v>209</v>
      </c>
      <c r="J197">
        <v>7</v>
      </c>
      <c r="K197">
        <v>0.24</v>
      </c>
      <c r="L197">
        <v>-125</v>
      </c>
      <c r="M197" t="s">
        <v>19</v>
      </c>
      <c r="N197">
        <v>1111.8800000000001</v>
      </c>
      <c r="O197" t="str">
        <f>TEXT(SalesData[[#This Row],[Order_Date]],"mmm")</f>
        <v>Jul</v>
      </c>
      <c r="P197">
        <f>YEAR(SalesData[[#This Row],[Order_Date]])</f>
        <v>2024</v>
      </c>
      <c r="Q197" t="str">
        <f>"Q"&amp;ROUNDUP(MONTH(SalesData[[#This Row],[Order_Date]])/3,0)</f>
        <v>Q3</v>
      </c>
      <c r="R197" s="2">
        <f>IFERROR(SalesData[[#This Row],[Profit]]/SalesData[[#This Row],[Sales]],0)</f>
        <v>-0.11242220383494621</v>
      </c>
      <c r="S197" s="2">
        <f>SalesData[[#This Row],[Price]]*SalesData[[#This Row],[Quantity]]*SalesData[[#This Row],[Discount]]</f>
        <v>351.12</v>
      </c>
      <c r="T197" s="2" t="str">
        <f>IF(SalesData[[#This Row],[Sales]]&gt;5000,"High",IF(SalesData[[#This Row],[Sales]]&gt;2000,"Medium","Low"))</f>
        <v>Low</v>
      </c>
      <c r="U197" s="2" t="str">
        <f>IF(COUNTIFS(SalesData[Customer_ID],SalesData[[#This Row],[Customer_ID]])&gt;1,"Repeat","New")</f>
        <v>Repeat</v>
      </c>
      <c r="V197" s="2" t="str">
        <f>IF(SalesData[[#This Row],[Sales]]&gt;AVERAGE(SalesData[Sales]),"Above Avg","Below Avg")</f>
        <v>Below Avg</v>
      </c>
      <c r="W197" s="2" t="str">
        <f>IF(SalesData[[#This Row],[Profit]]&gt;0,"Profit","Loss")</f>
        <v>Loss</v>
      </c>
      <c r="X197" s="2">
        <f>RANK(SalesData[[#This Row],[Sales]],SalesData[Sales])</f>
        <v>476</v>
      </c>
    </row>
    <row r="198" spans="1:24" x14ac:dyDescent="0.3">
      <c r="A198">
        <v>197</v>
      </c>
      <c r="B198" s="1">
        <v>45488</v>
      </c>
      <c r="C198">
        <v>1092</v>
      </c>
      <c r="D198" t="s">
        <v>48</v>
      </c>
      <c r="E198" t="s">
        <v>24</v>
      </c>
      <c r="F198" t="s">
        <v>16</v>
      </c>
      <c r="G198" t="s">
        <v>17</v>
      </c>
      <c r="H198" t="s">
        <v>25</v>
      </c>
      <c r="I198">
        <v>2452</v>
      </c>
      <c r="J198">
        <v>4</v>
      </c>
      <c r="K198">
        <v>0.19</v>
      </c>
      <c r="L198">
        <v>1641</v>
      </c>
      <c r="M198" t="s">
        <v>26</v>
      </c>
      <c r="N198">
        <v>7944.48</v>
      </c>
      <c r="O198" t="str">
        <f>TEXT(SalesData[[#This Row],[Order_Date]],"mmm")</f>
        <v>Jul</v>
      </c>
      <c r="P198">
        <f>YEAR(SalesData[[#This Row],[Order_Date]])</f>
        <v>2024</v>
      </c>
      <c r="Q198" t="str">
        <f>"Q"&amp;ROUNDUP(MONTH(SalesData[[#This Row],[Order_Date]])/3,0)</f>
        <v>Q3</v>
      </c>
      <c r="R198" s="2">
        <f>IFERROR(SalesData[[#This Row],[Profit]]/SalesData[[#This Row],[Sales]],0)</f>
        <v>0.20655851610174614</v>
      </c>
      <c r="S198" s="2">
        <f>SalesData[[#This Row],[Price]]*SalesData[[#This Row],[Quantity]]*SalesData[[#This Row],[Discount]]</f>
        <v>1863.52</v>
      </c>
      <c r="T198" s="2" t="str">
        <f>IF(SalesData[[#This Row],[Sales]]&gt;5000,"High",IF(SalesData[[#This Row],[Sales]]&gt;2000,"Medium","Low"))</f>
        <v>High</v>
      </c>
      <c r="U198" s="2" t="str">
        <f>IF(COUNTIFS(SalesData[Customer_ID],SalesData[[#This Row],[Customer_ID]])&gt;1,"Repeat","New")</f>
        <v>Repeat</v>
      </c>
      <c r="V198" s="2" t="str">
        <f>IF(SalesData[[#This Row],[Sales]]&gt;AVERAGE(SalesData[Sales]),"Above Avg","Below Avg")</f>
        <v>Below Avg</v>
      </c>
      <c r="W198" s="2" t="str">
        <f>IF(SalesData[[#This Row],[Profit]]&gt;0,"Profit","Loss")</f>
        <v>Profit</v>
      </c>
      <c r="X198" s="2">
        <f>RANK(SalesData[[#This Row],[Sales]],SalesData[Sales])</f>
        <v>254</v>
      </c>
    </row>
    <row r="199" spans="1:24" x14ac:dyDescent="0.3">
      <c r="A199">
        <v>198</v>
      </c>
      <c r="B199" s="1">
        <v>45489</v>
      </c>
      <c r="C199">
        <v>1075</v>
      </c>
      <c r="D199" t="s">
        <v>157</v>
      </c>
      <c r="E199" t="s">
        <v>15</v>
      </c>
      <c r="F199" t="s">
        <v>21</v>
      </c>
      <c r="G199" t="s">
        <v>17</v>
      </c>
      <c r="H199" t="s">
        <v>37</v>
      </c>
      <c r="I199">
        <v>4378</v>
      </c>
      <c r="J199">
        <v>4</v>
      </c>
      <c r="K199">
        <v>0.08</v>
      </c>
      <c r="L199">
        <v>-266</v>
      </c>
      <c r="M199" t="s">
        <v>31</v>
      </c>
      <c r="N199">
        <v>16111.04</v>
      </c>
      <c r="O199" t="str">
        <f>TEXT(SalesData[[#This Row],[Order_Date]],"mmm")</f>
        <v>Jul</v>
      </c>
      <c r="P199">
        <f>YEAR(SalesData[[#This Row],[Order_Date]])</f>
        <v>2024</v>
      </c>
      <c r="Q199" t="str">
        <f>"Q"&amp;ROUNDUP(MONTH(SalesData[[#This Row],[Order_Date]])/3,0)</f>
        <v>Q3</v>
      </c>
      <c r="R199" s="2">
        <f>IFERROR(SalesData[[#This Row],[Profit]]/SalesData[[#This Row],[Sales]],0)</f>
        <v>-1.6510417701153992E-2</v>
      </c>
      <c r="S199" s="2">
        <f>SalesData[[#This Row],[Price]]*SalesData[[#This Row],[Quantity]]*SalesData[[#This Row],[Discount]]</f>
        <v>1400.96</v>
      </c>
      <c r="T199" s="2" t="str">
        <f>IF(SalesData[[#This Row],[Sales]]&gt;5000,"High",IF(SalesData[[#This Row],[Sales]]&gt;2000,"Medium","Low"))</f>
        <v>High</v>
      </c>
      <c r="U199" s="2" t="str">
        <f>IF(COUNTIFS(SalesData[Customer_ID],SalesData[[#This Row],[Customer_ID]])&gt;1,"Repeat","New")</f>
        <v>Repeat</v>
      </c>
      <c r="V199" s="2" t="str">
        <f>IF(SalesData[[#This Row],[Sales]]&gt;AVERAGE(SalesData[Sales]),"Above Avg","Below Avg")</f>
        <v>Above Avg</v>
      </c>
      <c r="W199" s="2" t="str">
        <f>IF(SalesData[[#This Row],[Profit]]&gt;0,"Profit","Loss")</f>
        <v>Loss</v>
      </c>
      <c r="X199" s="2">
        <f>RANK(SalesData[[#This Row],[Sales]],SalesData[Sales])</f>
        <v>125</v>
      </c>
    </row>
    <row r="200" spans="1:24" x14ac:dyDescent="0.3">
      <c r="A200">
        <v>199</v>
      </c>
      <c r="B200" s="1">
        <v>45490</v>
      </c>
      <c r="C200">
        <v>1010</v>
      </c>
      <c r="D200" t="s">
        <v>32</v>
      </c>
      <c r="E200" t="s">
        <v>24</v>
      </c>
      <c r="F200" t="s">
        <v>16</v>
      </c>
      <c r="G200" t="s">
        <v>34</v>
      </c>
      <c r="H200" t="s">
        <v>37</v>
      </c>
      <c r="I200">
        <v>3624</v>
      </c>
      <c r="J200">
        <v>3</v>
      </c>
      <c r="K200">
        <v>0.28999999999999998</v>
      </c>
      <c r="L200">
        <v>-429</v>
      </c>
      <c r="M200" t="s">
        <v>31</v>
      </c>
      <c r="N200">
        <v>7719.12</v>
      </c>
      <c r="O200" t="str">
        <f>TEXT(SalesData[[#This Row],[Order_Date]],"mmm")</f>
        <v>Jul</v>
      </c>
      <c r="P200">
        <f>YEAR(SalesData[[#This Row],[Order_Date]])</f>
        <v>2024</v>
      </c>
      <c r="Q200" t="str">
        <f>"Q"&amp;ROUNDUP(MONTH(SalesData[[#This Row],[Order_Date]])/3,0)</f>
        <v>Q3</v>
      </c>
      <c r="R200" s="2">
        <f>IFERROR(SalesData[[#This Row],[Profit]]/SalesData[[#This Row],[Sales]],0)</f>
        <v>-5.557628330690545E-2</v>
      </c>
      <c r="S200" s="2">
        <f>SalesData[[#This Row],[Price]]*SalesData[[#This Row],[Quantity]]*SalesData[[#This Row],[Discount]]</f>
        <v>3152.8799999999997</v>
      </c>
      <c r="T200" s="2" t="str">
        <f>IF(SalesData[[#This Row],[Sales]]&gt;5000,"High",IF(SalesData[[#This Row],[Sales]]&gt;2000,"Medium","Low"))</f>
        <v>High</v>
      </c>
      <c r="U200" s="2" t="str">
        <f>IF(COUNTIFS(SalesData[Customer_ID],SalesData[[#This Row],[Customer_ID]])&gt;1,"Repeat","New")</f>
        <v>Repeat</v>
      </c>
      <c r="V200" s="2" t="str">
        <f>IF(SalesData[[#This Row],[Sales]]&gt;AVERAGE(SalesData[Sales]),"Above Avg","Below Avg")</f>
        <v>Below Avg</v>
      </c>
      <c r="W200" s="2" t="str">
        <f>IF(SalesData[[#This Row],[Profit]]&gt;0,"Profit","Loss")</f>
        <v>Loss</v>
      </c>
      <c r="X200" s="2">
        <f>RANK(SalesData[[#This Row],[Sales]],SalesData[Sales])</f>
        <v>259</v>
      </c>
    </row>
    <row r="201" spans="1:24" x14ac:dyDescent="0.3">
      <c r="A201">
        <v>200</v>
      </c>
      <c r="B201" s="1">
        <v>45491</v>
      </c>
      <c r="C201">
        <v>1003</v>
      </c>
      <c r="D201" t="s">
        <v>68</v>
      </c>
      <c r="E201" t="s">
        <v>24</v>
      </c>
      <c r="F201" t="s">
        <v>16</v>
      </c>
      <c r="G201" t="s">
        <v>22</v>
      </c>
      <c r="H201" t="s">
        <v>37</v>
      </c>
      <c r="I201">
        <v>1158</v>
      </c>
      <c r="J201">
        <v>5</v>
      </c>
      <c r="K201">
        <v>0.2</v>
      </c>
      <c r="L201">
        <v>1597</v>
      </c>
      <c r="M201" t="s">
        <v>31</v>
      </c>
      <c r="N201">
        <v>4632</v>
      </c>
      <c r="O201" t="str">
        <f>TEXT(SalesData[[#This Row],[Order_Date]],"mmm")</f>
        <v>Jul</v>
      </c>
      <c r="P201">
        <f>YEAR(SalesData[[#This Row],[Order_Date]])</f>
        <v>2024</v>
      </c>
      <c r="Q201" t="str">
        <f>"Q"&amp;ROUNDUP(MONTH(SalesData[[#This Row],[Order_Date]])/3,0)</f>
        <v>Q3</v>
      </c>
      <c r="R201" s="2">
        <f>IFERROR(SalesData[[#This Row],[Profit]]/SalesData[[#This Row],[Sales]],0)</f>
        <v>0.34477547495682209</v>
      </c>
      <c r="S201" s="2">
        <f>SalesData[[#This Row],[Price]]*SalesData[[#This Row],[Quantity]]*SalesData[[#This Row],[Discount]]</f>
        <v>1158</v>
      </c>
      <c r="T201" s="2" t="str">
        <f>IF(SalesData[[#This Row],[Sales]]&gt;5000,"High",IF(SalesData[[#This Row],[Sales]]&gt;2000,"Medium","Low"))</f>
        <v>Medium</v>
      </c>
      <c r="U201" s="2" t="str">
        <f>IF(COUNTIFS(SalesData[Customer_ID],SalesData[[#This Row],[Customer_ID]])&gt;1,"Repeat","New")</f>
        <v>Repeat</v>
      </c>
      <c r="V201" s="2" t="str">
        <f>IF(SalesData[[#This Row],[Sales]]&gt;AVERAGE(SalesData[Sales]),"Above Avg","Below Avg")</f>
        <v>Below Avg</v>
      </c>
      <c r="W201" s="2" t="str">
        <f>IF(SalesData[[#This Row],[Profit]]&gt;0,"Profit","Loss")</f>
        <v>Profit</v>
      </c>
      <c r="X201" s="2">
        <f>RANK(SalesData[[#This Row],[Sales]],SalesData[Sales])</f>
        <v>335</v>
      </c>
    </row>
    <row r="202" spans="1:24" x14ac:dyDescent="0.3">
      <c r="A202">
        <v>201</v>
      </c>
      <c r="B202" s="1">
        <v>45492</v>
      </c>
      <c r="C202">
        <v>1045</v>
      </c>
      <c r="D202" t="s">
        <v>146</v>
      </c>
      <c r="E202" t="s">
        <v>24</v>
      </c>
      <c r="F202" t="s">
        <v>28</v>
      </c>
      <c r="G202" t="s">
        <v>34</v>
      </c>
      <c r="H202" t="s">
        <v>18</v>
      </c>
      <c r="I202">
        <v>300</v>
      </c>
      <c r="J202">
        <v>8</v>
      </c>
      <c r="K202">
        <v>0.14000000000000001</v>
      </c>
      <c r="L202">
        <v>1580</v>
      </c>
      <c r="M202" t="s">
        <v>19</v>
      </c>
      <c r="N202">
        <v>2064</v>
      </c>
      <c r="O202" t="str">
        <f>TEXT(SalesData[[#This Row],[Order_Date]],"mmm")</f>
        <v>Jul</v>
      </c>
      <c r="P202">
        <f>YEAR(SalesData[[#This Row],[Order_Date]])</f>
        <v>2024</v>
      </c>
      <c r="Q202" t="str">
        <f>"Q"&amp;ROUNDUP(MONTH(SalesData[[#This Row],[Order_Date]])/3,0)</f>
        <v>Q3</v>
      </c>
      <c r="R202" s="2">
        <f>IFERROR(SalesData[[#This Row],[Profit]]/SalesData[[#This Row],[Sales]],0)</f>
        <v>0.76550387596899228</v>
      </c>
      <c r="S202" s="2">
        <f>SalesData[[#This Row],[Price]]*SalesData[[#This Row],[Quantity]]*SalesData[[#This Row],[Discount]]</f>
        <v>336.00000000000006</v>
      </c>
      <c r="T202" s="2" t="str">
        <f>IF(SalesData[[#This Row],[Sales]]&gt;5000,"High",IF(SalesData[[#This Row],[Sales]]&gt;2000,"Medium","Low"))</f>
        <v>Medium</v>
      </c>
      <c r="U202" s="2" t="str">
        <f>IF(COUNTIFS(SalesData[Customer_ID],SalesData[[#This Row],[Customer_ID]])&gt;1,"Repeat","New")</f>
        <v>Repeat</v>
      </c>
      <c r="V202" s="2" t="str">
        <f>IF(SalesData[[#This Row],[Sales]]&gt;AVERAGE(SalesData[Sales]),"Above Avg","Below Avg")</f>
        <v>Below Avg</v>
      </c>
      <c r="W202" s="2" t="str">
        <f>IF(SalesData[[#This Row],[Profit]]&gt;0,"Profit","Loss")</f>
        <v>Profit</v>
      </c>
      <c r="X202" s="2">
        <f>RANK(SalesData[[#This Row],[Sales]],SalesData[Sales])</f>
        <v>425</v>
      </c>
    </row>
    <row r="203" spans="1:24" x14ac:dyDescent="0.3">
      <c r="A203">
        <v>202</v>
      </c>
      <c r="B203" s="1">
        <v>45493</v>
      </c>
      <c r="C203">
        <v>1058</v>
      </c>
      <c r="D203" t="s">
        <v>158</v>
      </c>
      <c r="E203" t="s">
        <v>15</v>
      </c>
      <c r="F203" t="s">
        <v>28</v>
      </c>
      <c r="G203" t="s">
        <v>22</v>
      </c>
      <c r="H203" t="s">
        <v>18</v>
      </c>
      <c r="I203">
        <v>4590</v>
      </c>
      <c r="J203">
        <v>3</v>
      </c>
      <c r="K203">
        <v>0.23</v>
      </c>
      <c r="L203">
        <v>458</v>
      </c>
      <c r="M203" t="s">
        <v>26</v>
      </c>
      <c r="N203">
        <v>10602.9</v>
      </c>
      <c r="O203" t="str">
        <f>TEXT(SalesData[[#This Row],[Order_Date]],"mmm")</f>
        <v>Jul</v>
      </c>
      <c r="P203">
        <f>YEAR(SalesData[[#This Row],[Order_Date]])</f>
        <v>2024</v>
      </c>
      <c r="Q203" t="str">
        <f>"Q"&amp;ROUNDUP(MONTH(SalesData[[#This Row],[Order_Date]])/3,0)</f>
        <v>Q3</v>
      </c>
      <c r="R203" s="2">
        <f>IFERROR(SalesData[[#This Row],[Profit]]/SalesData[[#This Row],[Sales]],0)</f>
        <v>4.3195729470239273E-2</v>
      </c>
      <c r="S203" s="2">
        <f>SalesData[[#This Row],[Price]]*SalesData[[#This Row],[Quantity]]*SalesData[[#This Row],[Discount]]</f>
        <v>3167.1000000000004</v>
      </c>
      <c r="T203" s="2" t="str">
        <f>IF(SalesData[[#This Row],[Sales]]&gt;5000,"High",IF(SalesData[[#This Row],[Sales]]&gt;2000,"Medium","Low"))</f>
        <v>High</v>
      </c>
      <c r="U203" s="2" t="str">
        <f>IF(COUNTIFS(SalesData[Customer_ID],SalesData[[#This Row],[Customer_ID]])&gt;1,"Repeat","New")</f>
        <v>Repeat</v>
      </c>
      <c r="V203" s="2" t="str">
        <f>IF(SalesData[[#This Row],[Sales]]&gt;AVERAGE(SalesData[Sales]),"Above Avg","Below Avg")</f>
        <v>Below Avg</v>
      </c>
      <c r="W203" s="2" t="str">
        <f>IF(SalesData[[#This Row],[Profit]]&gt;0,"Profit","Loss")</f>
        <v>Profit</v>
      </c>
      <c r="X203" s="2">
        <f>RANK(SalesData[[#This Row],[Sales]],SalesData[Sales])</f>
        <v>195</v>
      </c>
    </row>
    <row r="204" spans="1:24" x14ac:dyDescent="0.3">
      <c r="A204">
        <v>203</v>
      </c>
      <c r="B204" s="1">
        <v>45494</v>
      </c>
      <c r="C204">
        <v>1059</v>
      </c>
      <c r="D204" t="s">
        <v>117</v>
      </c>
      <c r="E204" t="s">
        <v>15</v>
      </c>
      <c r="F204" t="s">
        <v>28</v>
      </c>
      <c r="G204" t="s">
        <v>17</v>
      </c>
      <c r="H204" t="s">
        <v>29</v>
      </c>
      <c r="I204">
        <v>3815</v>
      </c>
      <c r="J204">
        <v>6</v>
      </c>
      <c r="K204">
        <v>0.08</v>
      </c>
      <c r="L204">
        <v>971</v>
      </c>
      <c r="M204" t="s">
        <v>26</v>
      </c>
      <c r="N204">
        <v>21058.799999999999</v>
      </c>
      <c r="O204" t="str">
        <f>TEXT(SalesData[[#This Row],[Order_Date]],"mmm")</f>
        <v>Jul</v>
      </c>
      <c r="P204">
        <f>YEAR(SalesData[[#This Row],[Order_Date]])</f>
        <v>2024</v>
      </c>
      <c r="Q204" t="str">
        <f>"Q"&amp;ROUNDUP(MONTH(SalesData[[#This Row],[Order_Date]])/3,0)</f>
        <v>Q3</v>
      </c>
      <c r="R204" s="2">
        <f>IFERROR(SalesData[[#This Row],[Profit]]/SalesData[[#This Row],[Sales]],0)</f>
        <v>4.6108990065910689E-2</v>
      </c>
      <c r="S204" s="2">
        <f>SalesData[[#This Row],[Price]]*SalesData[[#This Row],[Quantity]]*SalesData[[#This Row],[Discount]]</f>
        <v>1831.2</v>
      </c>
      <c r="T204" s="2" t="str">
        <f>IF(SalesData[[#This Row],[Sales]]&gt;5000,"High",IF(SalesData[[#This Row],[Sales]]&gt;2000,"Medium","Low"))</f>
        <v>High</v>
      </c>
      <c r="U204" s="2" t="str">
        <f>IF(COUNTIFS(SalesData[Customer_ID],SalesData[[#This Row],[Customer_ID]])&gt;1,"Repeat","New")</f>
        <v>Repeat</v>
      </c>
      <c r="V204" s="2" t="str">
        <f>IF(SalesData[[#This Row],[Sales]]&gt;AVERAGE(SalesData[Sales]),"Above Avg","Below Avg")</f>
        <v>Above Avg</v>
      </c>
      <c r="W204" s="2" t="str">
        <f>IF(SalesData[[#This Row],[Profit]]&gt;0,"Profit","Loss")</f>
        <v>Profit</v>
      </c>
      <c r="X204" s="2">
        <f>RANK(SalesData[[#This Row],[Sales]],SalesData[Sales])</f>
        <v>76</v>
      </c>
    </row>
    <row r="205" spans="1:24" x14ac:dyDescent="0.3">
      <c r="A205">
        <v>204</v>
      </c>
      <c r="B205" s="1">
        <v>45495</v>
      </c>
      <c r="C205">
        <v>1023</v>
      </c>
      <c r="D205" t="s">
        <v>159</v>
      </c>
      <c r="E205" t="s">
        <v>15</v>
      </c>
      <c r="F205" t="s">
        <v>33</v>
      </c>
      <c r="G205" t="s">
        <v>34</v>
      </c>
      <c r="H205" t="s">
        <v>29</v>
      </c>
      <c r="I205">
        <v>1315</v>
      </c>
      <c r="J205">
        <v>4</v>
      </c>
      <c r="K205">
        <v>0.24</v>
      </c>
      <c r="L205">
        <v>-35</v>
      </c>
      <c r="M205" t="s">
        <v>31</v>
      </c>
      <c r="N205">
        <v>3997.6</v>
      </c>
      <c r="O205" t="str">
        <f>TEXT(SalesData[[#This Row],[Order_Date]],"mmm")</f>
        <v>Jul</v>
      </c>
      <c r="P205">
        <f>YEAR(SalesData[[#This Row],[Order_Date]])</f>
        <v>2024</v>
      </c>
      <c r="Q205" t="str">
        <f>"Q"&amp;ROUNDUP(MONTH(SalesData[[#This Row],[Order_Date]])/3,0)</f>
        <v>Q3</v>
      </c>
      <c r="R205" s="2">
        <f>IFERROR(SalesData[[#This Row],[Profit]]/SalesData[[#This Row],[Sales]],0)</f>
        <v>-8.7552531518911344E-3</v>
      </c>
      <c r="S205" s="2">
        <f>SalesData[[#This Row],[Price]]*SalesData[[#This Row],[Quantity]]*SalesData[[#This Row],[Discount]]</f>
        <v>1262.3999999999999</v>
      </c>
      <c r="T205" s="2" t="str">
        <f>IF(SalesData[[#This Row],[Sales]]&gt;5000,"High",IF(SalesData[[#This Row],[Sales]]&gt;2000,"Medium","Low"))</f>
        <v>Medium</v>
      </c>
      <c r="U205" s="2" t="str">
        <f>IF(COUNTIFS(SalesData[Customer_ID],SalesData[[#This Row],[Customer_ID]])&gt;1,"Repeat","New")</f>
        <v>Repeat</v>
      </c>
      <c r="V205" s="2" t="str">
        <f>IF(SalesData[[#This Row],[Sales]]&gt;AVERAGE(SalesData[Sales]),"Above Avg","Below Avg")</f>
        <v>Below Avg</v>
      </c>
      <c r="W205" s="2" t="str">
        <f>IF(SalesData[[#This Row],[Profit]]&gt;0,"Profit","Loss")</f>
        <v>Loss</v>
      </c>
      <c r="X205" s="2">
        <f>RANK(SalesData[[#This Row],[Sales]],SalesData[Sales])</f>
        <v>353</v>
      </c>
    </row>
    <row r="206" spans="1:24" x14ac:dyDescent="0.3">
      <c r="A206">
        <v>205</v>
      </c>
      <c r="B206" s="1">
        <v>45496</v>
      </c>
      <c r="C206">
        <v>1025</v>
      </c>
      <c r="D206" t="s">
        <v>160</v>
      </c>
      <c r="E206" t="s">
        <v>15</v>
      </c>
      <c r="F206" t="s">
        <v>21</v>
      </c>
      <c r="G206" t="s">
        <v>34</v>
      </c>
      <c r="H206" t="s">
        <v>37</v>
      </c>
      <c r="I206">
        <v>831</v>
      </c>
      <c r="J206">
        <v>3</v>
      </c>
      <c r="K206">
        <v>0.1</v>
      </c>
      <c r="L206">
        <v>1324</v>
      </c>
      <c r="M206" t="s">
        <v>19</v>
      </c>
      <c r="N206">
        <v>2243.6999999999998</v>
      </c>
      <c r="O206" t="str">
        <f>TEXT(SalesData[[#This Row],[Order_Date]],"mmm")</f>
        <v>Jul</v>
      </c>
      <c r="P206">
        <f>YEAR(SalesData[[#This Row],[Order_Date]])</f>
        <v>2024</v>
      </c>
      <c r="Q206" t="str">
        <f>"Q"&amp;ROUNDUP(MONTH(SalesData[[#This Row],[Order_Date]])/3,0)</f>
        <v>Q3</v>
      </c>
      <c r="R206" s="2">
        <f>IFERROR(SalesData[[#This Row],[Profit]]/SalesData[[#This Row],[Sales]],0)</f>
        <v>0.59009671524713647</v>
      </c>
      <c r="S206" s="2">
        <f>SalesData[[#This Row],[Price]]*SalesData[[#This Row],[Quantity]]*SalesData[[#This Row],[Discount]]</f>
        <v>249.3</v>
      </c>
      <c r="T206" s="2" t="str">
        <f>IF(SalesData[[#This Row],[Sales]]&gt;5000,"High",IF(SalesData[[#This Row],[Sales]]&gt;2000,"Medium","Low"))</f>
        <v>Medium</v>
      </c>
      <c r="U206" s="2" t="str">
        <f>IF(COUNTIFS(SalesData[Customer_ID],SalesData[[#This Row],[Customer_ID]])&gt;1,"Repeat","New")</f>
        <v>Repeat</v>
      </c>
      <c r="V206" s="2" t="str">
        <f>IF(SalesData[[#This Row],[Sales]]&gt;AVERAGE(SalesData[Sales]),"Above Avg","Below Avg")</f>
        <v>Below Avg</v>
      </c>
      <c r="W206" s="2" t="str">
        <f>IF(SalesData[[#This Row],[Profit]]&gt;0,"Profit","Loss")</f>
        <v>Profit</v>
      </c>
      <c r="X206" s="2">
        <f>RANK(SalesData[[#This Row],[Sales]],SalesData[Sales])</f>
        <v>417</v>
      </c>
    </row>
    <row r="207" spans="1:24" x14ac:dyDescent="0.3">
      <c r="A207">
        <v>206</v>
      </c>
      <c r="B207" s="1">
        <v>45497</v>
      </c>
      <c r="C207">
        <v>1027</v>
      </c>
      <c r="D207" t="s">
        <v>161</v>
      </c>
      <c r="E207" t="s">
        <v>15</v>
      </c>
      <c r="F207" t="s">
        <v>33</v>
      </c>
      <c r="G207" t="s">
        <v>34</v>
      </c>
      <c r="H207" t="s">
        <v>25</v>
      </c>
      <c r="I207">
        <v>473</v>
      </c>
      <c r="J207">
        <v>1</v>
      </c>
      <c r="K207">
        <v>0.02</v>
      </c>
      <c r="L207">
        <v>-233</v>
      </c>
      <c r="M207" t="s">
        <v>19</v>
      </c>
      <c r="N207">
        <v>463.539999999999</v>
      </c>
      <c r="O207" t="str">
        <f>TEXT(SalesData[[#This Row],[Order_Date]],"mmm")</f>
        <v>Jul</v>
      </c>
      <c r="P207">
        <f>YEAR(SalesData[[#This Row],[Order_Date]])</f>
        <v>2024</v>
      </c>
      <c r="Q207" t="str">
        <f>"Q"&amp;ROUNDUP(MONTH(SalesData[[#This Row],[Order_Date]])/3,0)</f>
        <v>Q3</v>
      </c>
      <c r="R207" s="2">
        <f>IFERROR(SalesData[[#This Row],[Profit]]/SalesData[[#This Row],[Sales]],0)</f>
        <v>-0.50265349268671633</v>
      </c>
      <c r="S207" s="2">
        <f>SalesData[[#This Row],[Price]]*SalesData[[#This Row],[Quantity]]*SalesData[[#This Row],[Discount]]</f>
        <v>9.4600000000000009</v>
      </c>
      <c r="T207" s="2" t="str">
        <f>IF(SalesData[[#This Row],[Sales]]&gt;5000,"High",IF(SalesData[[#This Row],[Sales]]&gt;2000,"Medium","Low"))</f>
        <v>Low</v>
      </c>
      <c r="U207" s="2" t="str">
        <f>IF(COUNTIFS(SalesData[Customer_ID],SalesData[[#This Row],[Customer_ID]])&gt;1,"Repeat","New")</f>
        <v>Repeat</v>
      </c>
      <c r="V207" s="2" t="str">
        <f>IF(SalesData[[#This Row],[Sales]]&gt;AVERAGE(SalesData[Sales]),"Above Avg","Below Avg")</f>
        <v>Below Avg</v>
      </c>
      <c r="W207" s="2" t="str">
        <f>IF(SalesData[[#This Row],[Profit]]&gt;0,"Profit","Loss")</f>
        <v>Loss</v>
      </c>
      <c r="X207" s="2">
        <f>RANK(SalesData[[#This Row],[Sales]],SalesData[Sales])</f>
        <v>493</v>
      </c>
    </row>
    <row r="208" spans="1:24" x14ac:dyDescent="0.3">
      <c r="A208">
        <v>207</v>
      </c>
      <c r="B208" s="1">
        <v>45498</v>
      </c>
      <c r="C208">
        <v>1057</v>
      </c>
      <c r="D208" t="s">
        <v>122</v>
      </c>
      <c r="E208" t="s">
        <v>15</v>
      </c>
      <c r="F208" t="s">
        <v>16</v>
      </c>
      <c r="G208" t="s">
        <v>34</v>
      </c>
      <c r="H208" t="s">
        <v>37</v>
      </c>
      <c r="I208">
        <v>3249</v>
      </c>
      <c r="J208">
        <v>8</v>
      </c>
      <c r="K208">
        <v>0.23</v>
      </c>
      <c r="L208">
        <v>1197</v>
      </c>
      <c r="M208" t="s">
        <v>19</v>
      </c>
      <c r="N208">
        <v>20013.84</v>
      </c>
      <c r="O208" t="str">
        <f>TEXT(SalesData[[#This Row],[Order_Date]],"mmm")</f>
        <v>Jul</v>
      </c>
      <c r="P208">
        <f>YEAR(SalesData[[#This Row],[Order_Date]])</f>
        <v>2024</v>
      </c>
      <c r="Q208" t="str">
        <f>"Q"&amp;ROUNDUP(MONTH(SalesData[[#This Row],[Order_Date]])/3,0)</f>
        <v>Q3</v>
      </c>
      <c r="R208" s="2">
        <f>IFERROR(SalesData[[#This Row],[Profit]]/SalesData[[#This Row],[Sales]],0)</f>
        <v>5.9808612440191387E-2</v>
      </c>
      <c r="S208" s="2">
        <f>SalesData[[#This Row],[Price]]*SalesData[[#This Row],[Quantity]]*SalesData[[#This Row],[Discount]]</f>
        <v>5978.16</v>
      </c>
      <c r="T208" s="2" t="str">
        <f>IF(SalesData[[#This Row],[Sales]]&gt;5000,"High",IF(SalesData[[#This Row],[Sales]]&gt;2000,"Medium","Low"))</f>
        <v>High</v>
      </c>
      <c r="U208" s="2" t="str">
        <f>IF(COUNTIFS(SalesData[Customer_ID],SalesData[[#This Row],[Customer_ID]])&gt;1,"Repeat","New")</f>
        <v>Repeat</v>
      </c>
      <c r="V208" s="2" t="str">
        <f>IF(SalesData[[#This Row],[Sales]]&gt;AVERAGE(SalesData[Sales]),"Above Avg","Below Avg")</f>
        <v>Above Avg</v>
      </c>
      <c r="W208" s="2" t="str">
        <f>IF(SalesData[[#This Row],[Profit]]&gt;0,"Profit","Loss")</f>
        <v>Profit</v>
      </c>
      <c r="X208" s="2">
        <f>RANK(SalesData[[#This Row],[Sales]],SalesData[Sales])</f>
        <v>80</v>
      </c>
    </row>
    <row r="209" spans="1:24" x14ac:dyDescent="0.3">
      <c r="A209">
        <v>208</v>
      </c>
      <c r="B209" s="1">
        <v>45499</v>
      </c>
      <c r="C209">
        <v>1003</v>
      </c>
      <c r="D209" t="s">
        <v>162</v>
      </c>
      <c r="E209" t="s">
        <v>24</v>
      </c>
      <c r="F209" t="s">
        <v>16</v>
      </c>
      <c r="G209" t="s">
        <v>17</v>
      </c>
      <c r="H209" t="s">
        <v>25</v>
      </c>
      <c r="I209">
        <v>3344</v>
      </c>
      <c r="J209">
        <v>7</v>
      </c>
      <c r="K209">
        <v>0.06</v>
      </c>
      <c r="L209">
        <v>581</v>
      </c>
      <c r="M209" t="s">
        <v>31</v>
      </c>
      <c r="N209">
        <v>22003.52</v>
      </c>
      <c r="O209" t="str">
        <f>TEXT(SalesData[[#This Row],[Order_Date]],"mmm")</f>
        <v>Jul</v>
      </c>
      <c r="P209">
        <f>YEAR(SalesData[[#This Row],[Order_Date]])</f>
        <v>2024</v>
      </c>
      <c r="Q209" t="str">
        <f>"Q"&amp;ROUNDUP(MONTH(SalesData[[#This Row],[Order_Date]])/3,0)</f>
        <v>Q3</v>
      </c>
      <c r="R209" s="2">
        <f>IFERROR(SalesData[[#This Row],[Profit]]/SalesData[[#This Row],[Sales]],0)</f>
        <v>2.6404866130510025E-2</v>
      </c>
      <c r="S209" s="2">
        <f>SalesData[[#This Row],[Price]]*SalesData[[#This Row],[Quantity]]*SalesData[[#This Row],[Discount]]</f>
        <v>1404.48</v>
      </c>
      <c r="T209" s="2" t="str">
        <f>IF(SalesData[[#This Row],[Sales]]&gt;5000,"High",IF(SalesData[[#This Row],[Sales]]&gt;2000,"Medium","Low"))</f>
        <v>High</v>
      </c>
      <c r="U209" s="2" t="str">
        <f>IF(COUNTIFS(SalesData[Customer_ID],SalesData[[#This Row],[Customer_ID]])&gt;1,"Repeat","New")</f>
        <v>Repeat</v>
      </c>
      <c r="V209" s="2" t="str">
        <f>IF(SalesData[[#This Row],[Sales]]&gt;AVERAGE(SalesData[Sales]),"Above Avg","Below Avg")</f>
        <v>Above Avg</v>
      </c>
      <c r="W209" s="2" t="str">
        <f>IF(SalesData[[#This Row],[Profit]]&gt;0,"Profit","Loss")</f>
        <v>Profit</v>
      </c>
      <c r="X209" s="2">
        <f>RANK(SalesData[[#This Row],[Sales]],SalesData[Sales])</f>
        <v>67</v>
      </c>
    </row>
    <row r="210" spans="1:24" x14ac:dyDescent="0.3">
      <c r="A210">
        <v>209</v>
      </c>
      <c r="B210" s="1">
        <v>45500</v>
      </c>
      <c r="C210">
        <v>1099</v>
      </c>
      <c r="D210" t="s">
        <v>157</v>
      </c>
      <c r="E210" t="s">
        <v>24</v>
      </c>
      <c r="F210" t="s">
        <v>28</v>
      </c>
      <c r="G210" t="s">
        <v>17</v>
      </c>
      <c r="H210" t="s">
        <v>18</v>
      </c>
      <c r="I210">
        <v>4041</v>
      </c>
      <c r="J210">
        <v>7</v>
      </c>
      <c r="K210">
        <v>0.19</v>
      </c>
      <c r="L210">
        <v>1642</v>
      </c>
      <c r="M210" t="s">
        <v>19</v>
      </c>
      <c r="N210">
        <v>22912.47</v>
      </c>
      <c r="O210" t="str">
        <f>TEXT(SalesData[[#This Row],[Order_Date]],"mmm")</f>
        <v>Jul</v>
      </c>
      <c r="P210">
        <f>YEAR(SalesData[[#This Row],[Order_Date]])</f>
        <v>2024</v>
      </c>
      <c r="Q210" t="str">
        <f>"Q"&amp;ROUNDUP(MONTH(SalesData[[#This Row],[Order_Date]])/3,0)</f>
        <v>Q3</v>
      </c>
      <c r="R210" s="2">
        <f>IFERROR(SalesData[[#This Row],[Profit]]/SalesData[[#This Row],[Sales]],0)</f>
        <v>7.1664032729775534E-2</v>
      </c>
      <c r="S210" s="2">
        <f>SalesData[[#This Row],[Price]]*SalesData[[#This Row],[Quantity]]*SalesData[[#This Row],[Discount]]</f>
        <v>5374.53</v>
      </c>
      <c r="T210" s="2" t="str">
        <f>IF(SalesData[[#This Row],[Sales]]&gt;5000,"High",IF(SalesData[[#This Row],[Sales]]&gt;2000,"Medium","Low"))</f>
        <v>High</v>
      </c>
      <c r="U210" s="2" t="str">
        <f>IF(COUNTIFS(SalesData[Customer_ID],SalesData[[#This Row],[Customer_ID]])&gt;1,"Repeat","New")</f>
        <v>Repeat</v>
      </c>
      <c r="V210" s="2" t="str">
        <f>IF(SalesData[[#This Row],[Sales]]&gt;AVERAGE(SalesData[Sales]),"Above Avg","Below Avg")</f>
        <v>Above Avg</v>
      </c>
      <c r="W210" s="2" t="str">
        <f>IF(SalesData[[#This Row],[Profit]]&gt;0,"Profit","Loss")</f>
        <v>Profit</v>
      </c>
      <c r="X210" s="2">
        <f>RANK(SalesData[[#This Row],[Sales]],SalesData[Sales])</f>
        <v>60</v>
      </c>
    </row>
    <row r="211" spans="1:24" x14ac:dyDescent="0.3">
      <c r="A211">
        <v>210</v>
      </c>
      <c r="B211" s="1">
        <v>45501</v>
      </c>
      <c r="C211">
        <v>1078</v>
      </c>
      <c r="D211" t="s">
        <v>163</v>
      </c>
      <c r="E211" t="s">
        <v>15</v>
      </c>
      <c r="F211" t="s">
        <v>28</v>
      </c>
      <c r="G211" t="s">
        <v>17</v>
      </c>
      <c r="H211" t="s">
        <v>29</v>
      </c>
      <c r="I211">
        <v>4048</v>
      </c>
      <c r="J211">
        <v>8</v>
      </c>
      <c r="K211">
        <v>0.08</v>
      </c>
      <c r="L211">
        <v>-375</v>
      </c>
      <c r="M211" t="s">
        <v>31</v>
      </c>
      <c r="N211">
        <v>29793.279999999999</v>
      </c>
      <c r="O211" t="str">
        <f>TEXT(SalesData[[#This Row],[Order_Date]],"mmm")</f>
        <v>Jul</v>
      </c>
      <c r="P211">
        <f>YEAR(SalesData[[#This Row],[Order_Date]])</f>
        <v>2024</v>
      </c>
      <c r="Q211" t="str">
        <f>"Q"&amp;ROUNDUP(MONTH(SalesData[[#This Row],[Order_Date]])/3,0)</f>
        <v>Q3</v>
      </c>
      <c r="R211" s="2">
        <f>IFERROR(SalesData[[#This Row],[Profit]]/SalesData[[#This Row],[Sales]],0)</f>
        <v>-1.2586730967520193E-2</v>
      </c>
      <c r="S211" s="2">
        <f>SalesData[[#This Row],[Price]]*SalesData[[#This Row],[Quantity]]*SalesData[[#This Row],[Discount]]</f>
        <v>2590.7200000000003</v>
      </c>
      <c r="T211" s="2" t="str">
        <f>IF(SalesData[[#This Row],[Sales]]&gt;5000,"High",IF(SalesData[[#This Row],[Sales]]&gt;2000,"Medium","Low"))</f>
        <v>High</v>
      </c>
      <c r="U211" s="2" t="str">
        <f>IF(COUNTIFS(SalesData[Customer_ID],SalesData[[#This Row],[Customer_ID]])&gt;1,"Repeat","New")</f>
        <v>Repeat</v>
      </c>
      <c r="V211" s="2" t="str">
        <f>IF(SalesData[[#This Row],[Sales]]&gt;AVERAGE(SalesData[Sales]),"Above Avg","Below Avg")</f>
        <v>Above Avg</v>
      </c>
      <c r="W211" s="2" t="str">
        <f>IF(SalesData[[#This Row],[Profit]]&gt;0,"Profit","Loss")</f>
        <v>Loss</v>
      </c>
      <c r="X211" s="2">
        <f>RANK(SalesData[[#This Row],[Sales]],SalesData[Sales])</f>
        <v>24</v>
      </c>
    </row>
    <row r="212" spans="1:24" x14ac:dyDescent="0.3">
      <c r="A212">
        <v>211</v>
      </c>
      <c r="B212" s="1">
        <v>45502</v>
      </c>
      <c r="C212">
        <v>1085</v>
      </c>
      <c r="D212" t="s">
        <v>164</v>
      </c>
      <c r="E212" t="s">
        <v>15</v>
      </c>
      <c r="F212" t="s">
        <v>16</v>
      </c>
      <c r="G212" t="s">
        <v>34</v>
      </c>
      <c r="H212" t="s">
        <v>18</v>
      </c>
      <c r="I212">
        <v>745</v>
      </c>
      <c r="J212">
        <v>9</v>
      </c>
      <c r="K212">
        <v>0.21</v>
      </c>
      <c r="L212">
        <v>515</v>
      </c>
      <c r="M212" t="s">
        <v>26</v>
      </c>
      <c r="N212">
        <v>5296.95</v>
      </c>
      <c r="O212" t="str">
        <f>TEXT(SalesData[[#This Row],[Order_Date]],"mmm")</f>
        <v>Jul</v>
      </c>
      <c r="P212">
        <f>YEAR(SalesData[[#This Row],[Order_Date]])</f>
        <v>2024</v>
      </c>
      <c r="Q212" t="str">
        <f>"Q"&amp;ROUNDUP(MONTH(SalesData[[#This Row],[Order_Date]])/3,0)</f>
        <v>Q3</v>
      </c>
      <c r="R212" s="2">
        <f>IFERROR(SalesData[[#This Row],[Profit]]/SalesData[[#This Row],[Sales]],0)</f>
        <v>9.7225761995110391E-2</v>
      </c>
      <c r="S212" s="2">
        <f>SalesData[[#This Row],[Price]]*SalesData[[#This Row],[Quantity]]*SalesData[[#This Row],[Discount]]</f>
        <v>1408.05</v>
      </c>
      <c r="T212" s="2" t="str">
        <f>IF(SalesData[[#This Row],[Sales]]&gt;5000,"High",IF(SalesData[[#This Row],[Sales]]&gt;2000,"Medium","Low"))</f>
        <v>High</v>
      </c>
      <c r="U212" s="2" t="str">
        <f>IF(COUNTIFS(SalesData[Customer_ID],SalesData[[#This Row],[Customer_ID]])&gt;1,"Repeat","New")</f>
        <v>Repeat</v>
      </c>
      <c r="V212" s="2" t="str">
        <f>IF(SalesData[[#This Row],[Sales]]&gt;AVERAGE(SalesData[Sales]),"Above Avg","Below Avg")</f>
        <v>Below Avg</v>
      </c>
      <c r="W212" s="2" t="str">
        <f>IF(SalesData[[#This Row],[Profit]]&gt;0,"Profit","Loss")</f>
        <v>Profit</v>
      </c>
      <c r="X212" s="2">
        <f>RANK(SalesData[[#This Row],[Sales]],SalesData[Sales])</f>
        <v>316</v>
      </c>
    </row>
    <row r="213" spans="1:24" x14ac:dyDescent="0.3">
      <c r="A213">
        <v>212</v>
      </c>
      <c r="B213" s="1">
        <v>45503</v>
      </c>
      <c r="C213">
        <v>1059</v>
      </c>
      <c r="D213" t="s">
        <v>47</v>
      </c>
      <c r="E213" t="s">
        <v>15</v>
      </c>
      <c r="F213" t="s">
        <v>33</v>
      </c>
      <c r="G213" t="s">
        <v>34</v>
      </c>
      <c r="H213" t="s">
        <v>25</v>
      </c>
      <c r="I213">
        <v>3695</v>
      </c>
      <c r="J213">
        <v>3</v>
      </c>
      <c r="K213">
        <v>0.04</v>
      </c>
      <c r="L213">
        <v>333</v>
      </c>
      <c r="M213" t="s">
        <v>26</v>
      </c>
      <c r="N213">
        <v>10641.6</v>
      </c>
      <c r="O213" t="str">
        <f>TEXT(SalesData[[#This Row],[Order_Date]],"mmm")</f>
        <v>Jul</v>
      </c>
      <c r="P213">
        <f>YEAR(SalesData[[#This Row],[Order_Date]])</f>
        <v>2024</v>
      </c>
      <c r="Q213" t="str">
        <f>"Q"&amp;ROUNDUP(MONTH(SalesData[[#This Row],[Order_Date]])/3,0)</f>
        <v>Q3</v>
      </c>
      <c r="R213" s="2">
        <f>IFERROR(SalesData[[#This Row],[Profit]]/SalesData[[#This Row],[Sales]],0)</f>
        <v>3.1292286874154258E-2</v>
      </c>
      <c r="S213" s="2">
        <f>SalesData[[#This Row],[Price]]*SalesData[[#This Row],[Quantity]]*SalesData[[#This Row],[Discount]]</f>
        <v>443.40000000000003</v>
      </c>
      <c r="T213" s="2" t="str">
        <f>IF(SalesData[[#This Row],[Sales]]&gt;5000,"High",IF(SalesData[[#This Row],[Sales]]&gt;2000,"Medium","Low"))</f>
        <v>High</v>
      </c>
      <c r="U213" s="2" t="str">
        <f>IF(COUNTIFS(SalesData[Customer_ID],SalesData[[#This Row],[Customer_ID]])&gt;1,"Repeat","New")</f>
        <v>Repeat</v>
      </c>
      <c r="V213" s="2" t="str">
        <f>IF(SalesData[[#This Row],[Sales]]&gt;AVERAGE(SalesData[Sales]),"Above Avg","Below Avg")</f>
        <v>Above Avg</v>
      </c>
      <c r="W213" s="2" t="str">
        <f>IF(SalesData[[#This Row],[Profit]]&gt;0,"Profit","Loss")</f>
        <v>Profit</v>
      </c>
      <c r="X213" s="2">
        <f>RANK(SalesData[[#This Row],[Sales]],SalesData[Sales])</f>
        <v>194</v>
      </c>
    </row>
    <row r="214" spans="1:24" x14ac:dyDescent="0.3">
      <c r="A214">
        <v>213</v>
      </c>
      <c r="B214" s="1">
        <v>45504</v>
      </c>
      <c r="C214">
        <v>1048</v>
      </c>
      <c r="D214" t="s">
        <v>30</v>
      </c>
      <c r="E214" t="s">
        <v>24</v>
      </c>
      <c r="F214" t="s">
        <v>28</v>
      </c>
      <c r="G214" t="s">
        <v>22</v>
      </c>
      <c r="H214" t="s">
        <v>25</v>
      </c>
      <c r="I214">
        <v>4178</v>
      </c>
      <c r="J214">
        <v>2</v>
      </c>
      <c r="K214">
        <v>0.19</v>
      </c>
      <c r="L214">
        <v>1860</v>
      </c>
      <c r="M214" t="s">
        <v>26</v>
      </c>
      <c r="N214">
        <v>6768.36</v>
      </c>
      <c r="O214" t="str">
        <f>TEXT(SalesData[[#This Row],[Order_Date]],"mmm")</f>
        <v>Jul</v>
      </c>
      <c r="P214">
        <f>YEAR(SalesData[[#This Row],[Order_Date]])</f>
        <v>2024</v>
      </c>
      <c r="Q214" t="str">
        <f>"Q"&amp;ROUNDUP(MONTH(SalesData[[#This Row],[Order_Date]])/3,0)</f>
        <v>Q3</v>
      </c>
      <c r="R214" s="2">
        <f>IFERROR(SalesData[[#This Row],[Profit]]/SalesData[[#This Row],[Sales]],0)</f>
        <v>0.27480807758452563</v>
      </c>
      <c r="S214" s="2">
        <f>SalesData[[#This Row],[Price]]*SalesData[[#This Row],[Quantity]]*SalesData[[#This Row],[Discount]]</f>
        <v>1587.64</v>
      </c>
      <c r="T214" s="2" t="str">
        <f>IF(SalesData[[#This Row],[Sales]]&gt;5000,"High",IF(SalesData[[#This Row],[Sales]]&gt;2000,"Medium","Low"))</f>
        <v>High</v>
      </c>
      <c r="U214" s="2" t="str">
        <f>IF(COUNTIFS(SalesData[Customer_ID],SalesData[[#This Row],[Customer_ID]])&gt;1,"Repeat","New")</f>
        <v>Repeat</v>
      </c>
      <c r="V214" s="2" t="str">
        <f>IF(SalesData[[#This Row],[Sales]]&gt;AVERAGE(SalesData[Sales]),"Above Avg","Below Avg")</f>
        <v>Below Avg</v>
      </c>
      <c r="W214" s="2" t="str">
        <f>IF(SalesData[[#This Row],[Profit]]&gt;0,"Profit","Loss")</f>
        <v>Profit</v>
      </c>
      <c r="X214" s="2">
        <f>RANK(SalesData[[#This Row],[Sales]],SalesData[Sales])</f>
        <v>280</v>
      </c>
    </row>
    <row r="215" spans="1:24" x14ac:dyDescent="0.3">
      <c r="A215">
        <v>214</v>
      </c>
      <c r="B215" s="1">
        <v>45505</v>
      </c>
      <c r="C215">
        <v>1056</v>
      </c>
      <c r="D215" t="s">
        <v>121</v>
      </c>
      <c r="E215" t="s">
        <v>15</v>
      </c>
      <c r="F215" t="s">
        <v>28</v>
      </c>
      <c r="G215" t="s">
        <v>22</v>
      </c>
      <c r="H215" t="s">
        <v>29</v>
      </c>
      <c r="I215">
        <v>2035</v>
      </c>
      <c r="J215">
        <v>4</v>
      </c>
      <c r="K215">
        <v>0.06</v>
      </c>
      <c r="L215">
        <v>1215</v>
      </c>
      <c r="M215" t="s">
        <v>19</v>
      </c>
      <c r="N215">
        <v>7651.5999999999904</v>
      </c>
      <c r="O215" t="str">
        <f>TEXT(SalesData[[#This Row],[Order_Date]],"mmm")</f>
        <v>Aug</v>
      </c>
      <c r="P215">
        <f>YEAR(SalesData[[#This Row],[Order_Date]])</f>
        <v>2024</v>
      </c>
      <c r="Q215" t="str">
        <f>"Q"&amp;ROUNDUP(MONTH(SalesData[[#This Row],[Order_Date]])/3,0)</f>
        <v>Q3</v>
      </c>
      <c r="R215" s="2">
        <f>IFERROR(SalesData[[#This Row],[Profit]]/SalesData[[#This Row],[Sales]],0)</f>
        <v>0.15879031836478666</v>
      </c>
      <c r="S215" s="2">
        <f>SalesData[[#This Row],[Price]]*SalesData[[#This Row],[Quantity]]*SalesData[[#This Row],[Discount]]</f>
        <v>488.4</v>
      </c>
      <c r="T215" s="2" t="str">
        <f>IF(SalesData[[#This Row],[Sales]]&gt;5000,"High",IF(SalesData[[#This Row],[Sales]]&gt;2000,"Medium","Low"))</f>
        <v>High</v>
      </c>
      <c r="U215" s="2" t="str">
        <f>IF(COUNTIFS(SalesData[Customer_ID],SalesData[[#This Row],[Customer_ID]])&gt;1,"Repeat","New")</f>
        <v>Repeat</v>
      </c>
      <c r="V215" s="2" t="str">
        <f>IF(SalesData[[#This Row],[Sales]]&gt;AVERAGE(SalesData[Sales]),"Above Avg","Below Avg")</f>
        <v>Below Avg</v>
      </c>
      <c r="W215" s="2" t="str">
        <f>IF(SalesData[[#This Row],[Profit]]&gt;0,"Profit","Loss")</f>
        <v>Profit</v>
      </c>
      <c r="X215" s="2">
        <f>RANK(SalesData[[#This Row],[Sales]],SalesData[Sales])</f>
        <v>262</v>
      </c>
    </row>
    <row r="216" spans="1:24" x14ac:dyDescent="0.3">
      <c r="A216">
        <v>215</v>
      </c>
      <c r="B216" s="1">
        <v>45506</v>
      </c>
      <c r="C216">
        <v>1087</v>
      </c>
      <c r="D216" t="s">
        <v>165</v>
      </c>
      <c r="E216" t="s">
        <v>15</v>
      </c>
      <c r="F216" t="s">
        <v>16</v>
      </c>
      <c r="G216" t="s">
        <v>22</v>
      </c>
      <c r="H216" t="s">
        <v>18</v>
      </c>
      <c r="I216">
        <v>2833</v>
      </c>
      <c r="J216">
        <v>4</v>
      </c>
      <c r="K216">
        <v>0.15</v>
      </c>
      <c r="L216">
        <v>-499</v>
      </c>
      <c r="M216" t="s">
        <v>31</v>
      </c>
      <c r="N216">
        <v>9632.1999999999898</v>
      </c>
      <c r="O216" t="str">
        <f>TEXT(SalesData[[#This Row],[Order_Date]],"mmm")</f>
        <v>Aug</v>
      </c>
      <c r="P216">
        <f>YEAR(SalesData[[#This Row],[Order_Date]])</f>
        <v>2024</v>
      </c>
      <c r="Q216" t="str">
        <f>"Q"&amp;ROUNDUP(MONTH(SalesData[[#This Row],[Order_Date]])/3,0)</f>
        <v>Q3</v>
      </c>
      <c r="R216" s="2">
        <f>IFERROR(SalesData[[#This Row],[Profit]]/SalesData[[#This Row],[Sales]],0)</f>
        <v>-5.1805402711737766E-2</v>
      </c>
      <c r="S216" s="2">
        <f>SalesData[[#This Row],[Price]]*SalesData[[#This Row],[Quantity]]*SalesData[[#This Row],[Discount]]</f>
        <v>1699.8</v>
      </c>
      <c r="T216" s="2" t="str">
        <f>IF(SalesData[[#This Row],[Sales]]&gt;5000,"High",IF(SalesData[[#This Row],[Sales]]&gt;2000,"Medium","Low"))</f>
        <v>High</v>
      </c>
      <c r="U216" s="2" t="str">
        <f>IF(COUNTIFS(SalesData[Customer_ID],SalesData[[#This Row],[Customer_ID]])&gt;1,"Repeat","New")</f>
        <v>Repeat</v>
      </c>
      <c r="V216" s="2" t="str">
        <f>IF(SalesData[[#This Row],[Sales]]&gt;AVERAGE(SalesData[Sales]),"Above Avg","Below Avg")</f>
        <v>Below Avg</v>
      </c>
      <c r="W216" s="2" t="str">
        <f>IF(SalesData[[#This Row],[Profit]]&gt;0,"Profit","Loss")</f>
        <v>Loss</v>
      </c>
      <c r="X216" s="2">
        <f>RANK(SalesData[[#This Row],[Sales]],SalesData[Sales])</f>
        <v>211</v>
      </c>
    </row>
    <row r="217" spans="1:24" x14ac:dyDescent="0.3">
      <c r="A217">
        <v>216</v>
      </c>
      <c r="B217" s="1">
        <v>45507</v>
      </c>
      <c r="C217">
        <v>1087</v>
      </c>
      <c r="D217" t="s">
        <v>166</v>
      </c>
      <c r="E217" t="s">
        <v>15</v>
      </c>
      <c r="F217" t="s">
        <v>21</v>
      </c>
      <c r="G217" t="s">
        <v>34</v>
      </c>
      <c r="H217" t="s">
        <v>37</v>
      </c>
      <c r="I217">
        <v>2661</v>
      </c>
      <c r="J217">
        <v>8</v>
      </c>
      <c r="K217">
        <v>0.26</v>
      </c>
      <c r="L217">
        <v>-152</v>
      </c>
      <c r="M217" t="s">
        <v>31</v>
      </c>
      <c r="N217">
        <v>15753.119999999901</v>
      </c>
      <c r="O217" t="str">
        <f>TEXT(SalesData[[#This Row],[Order_Date]],"mmm")</f>
        <v>Aug</v>
      </c>
      <c r="P217">
        <f>YEAR(SalesData[[#This Row],[Order_Date]])</f>
        <v>2024</v>
      </c>
      <c r="Q217" t="str">
        <f>"Q"&amp;ROUNDUP(MONTH(SalesData[[#This Row],[Order_Date]])/3,0)</f>
        <v>Q3</v>
      </c>
      <c r="R217" s="2">
        <f>IFERROR(SalesData[[#This Row],[Profit]]/SalesData[[#This Row],[Sales]],0)</f>
        <v>-9.6488822531664176E-3</v>
      </c>
      <c r="S217" s="2">
        <f>SalesData[[#This Row],[Price]]*SalesData[[#This Row],[Quantity]]*SalesData[[#This Row],[Discount]]</f>
        <v>5534.88</v>
      </c>
      <c r="T217" s="2" t="str">
        <f>IF(SalesData[[#This Row],[Sales]]&gt;5000,"High",IF(SalesData[[#This Row],[Sales]]&gt;2000,"Medium","Low"))</f>
        <v>High</v>
      </c>
      <c r="U217" s="2" t="str">
        <f>IF(COUNTIFS(SalesData[Customer_ID],SalesData[[#This Row],[Customer_ID]])&gt;1,"Repeat","New")</f>
        <v>Repeat</v>
      </c>
      <c r="V217" s="2" t="str">
        <f>IF(SalesData[[#This Row],[Sales]]&gt;AVERAGE(SalesData[Sales]),"Above Avg","Below Avg")</f>
        <v>Above Avg</v>
      </c>
      <c r="W217" s="2" t="str">
        <f>IF(SalesData[[#This Row],[Profit]]&gt;0,"Profit","Loss")</f>
        <v>Loss</v>
      </c>
      <c r="X217" s="2">
        <f>RANK(SalesData[[#This Row],[Sales]],SalesData[Sales])</f>
        <v>133</v>
      </c>
    </row>
    <row r="218" spans="1:24" x14ac:dyDescent="0.3">
      <c r="A218">
        <v>217</v>
      </c>
      <c r="B218" s="1">
        <v>45508</v>
      </c>
      <c r="C218">
        <v>1004</v>
      </c>
      <c r="D218" t="s">
        <v>100</v>
      </c>
      <c r="E218" t="s">
        <v>15</v>
      </c>
      <c r="F218" t="s">
        <v>28</v>
      </c>
      <c r="G218" t="s">
        <v>34</v>
      </c>
      <c r="H218" t="s">
        <v>18</v>
      </c>
      <c r="I218">
        <v>2152</v>
      </c>
      <c r="J218">
        <v>8</v>
      </c>
      <c r="K218">
        <v>0.14000000000000001</v>
      </c>
      <c r="L218">
        <v>925</v>
      </c>
      <c r="M218" t="s">
        <v>31</v>
      </c>
      <c r="N218">
        <v>14805.76</v>
      </c>
      <c r="O218" t="str">
        <f>TEXT(SalesData[[#This Row],[Order_Date]],"mmm")</f>
        <v>Aug</v>
      </c>
      <c r="P218">
        <f>YEAR(SalesData[[#This Row],[Order_Date]])</f>
        <v>2024</v>
      </c>
      <c r="Q218" t="str">
        <f>"Q"&amp;ROUNDUP(MONTH(SalesData[[#This Row],[Order_Date]])/3,0)</f>
        <v>Q3</v>
      </c>
      <c r="R218" s="2">
        <f>IFERROR(SalesData[[#This Row],[Profit]]/SalesData[[#This Row],[Sales]],0)</f>
        <v>6.2475685138756808E-2</v>
      </c>
      <c r="S218" s="2">
        <f>SalesData[[#This Row],[Price]]*SalesData[[#This Row],[Quantity]]*SalesData[[#This Row],[Discount]]</f>
        <v>2410.2400000000002</v>
      </c>
      <c r="T218" s="2" t="str">
        <f>IF(SalesData[[#This Row],[Sales]]&gt;5000,"High",IF(SalesData[[#This Row],[Sales]]&gt;2000,"Medium","Low"))</f>
        <v>High</v>
      </c>
      <c r="U218" s="2" t="str">
        <f>IF(COUNTIFS(SalesData[Customer_ID],SalesData[[#This Row],[Customer_ID]])&gt;1,"Repeat","New")</f>
        <v>Repeat</v>
      </c>
      <c r="V218" s="2" t="str">
        <f>IF(SalesData[[#This Row],[Sales]]&gt;AVERAGE(SalesData[Sales]),"Above Avg","Below Avg")</f>
        <v>Above Avg</v>
      </c>
      <c r="W218" s="2" t="str">
        <f>IF(SalesData[[#This Row],[Profit]]&gt;0,"Profit","Loss")</f>
        <v>Profit</v>
      </c>
      <c r="X218" s="2">
        <f>RANK(SalesData[[#This Row],[Sales]],SalesData[Sales])</f>
        <v>142</v>
      </c>
    </row>
    <row r="219" spans="1:24" x14ac:dyDescent="0.3">
      <c r="A219">
        <v>218</v>
      </c>
      <c r="B219" s="1">
        <v>45509</v>
      </c>
      <c r="C219">
        <v>1069</v>
      </c>
      <c r="D219" t="s">
        <v>167</v>
      </c>
      <c r="E219" t="s">
        <v>15</v>
      </c>
      <c r="F219" t="s">
        <v>33</v>
      </c>
      <c r="G219" t="s">
        <v>22</v>
      </c>
      <c r="H219" t="s">
        <v>25</v>
      </c>
      <c r="I219">
        <v>2039</v>
      </c>
      <c r="J219">
        <v>7</v>
      </c>
      <c r="K219">
        <v>0.23</v>
      </c>
      <c r="L219">
        <v>-462</v>
      </c>
      <c r="M219" t="s">
        <v>19</v>
      </c>
      <c r="N219">
        <v>10990.21</v>
      </c>
      <c r="O219" t="str">
        <f>TEXT(SalesData[[#This Row],[Order_Date]],"mmm")</f>
        <v>Aug</v>
      </c>
      <c r="P219">
        <f>YEAR(SalesData[[#This Row],[Order_Date]])</f>
        <v>2024</v>
      </c>
      <c r="Q219" t="str">
        <f>"Q"&amp;ROUNDUP(MONTH(SalesData[[#This Row],[Order_Date]])/3,0)</f>
        <v>Q3</v>
      </c>
      <c r="R219" s="2">
        <f>IFERROR(SalesData[[#This Row],[Profit]]/SalesData[[#This Row],[Sales]],0)</f>
        <v>-4.2037413297835079E-2</v>
      </c>
      <c r="S219" s="2">
        <f>SalesData[[#This Row],[Price]]*SalesData[[#This Row],[Quantity]]*SalesData[[#This Row],[Discount]]</f>
        <v>3282.79</v>
      </c>
      <c r="T219" s="2" t="str">
        <f>IF(SalesData[[#This Row],[Sales]]&gt;5000,"High",IF(SalesData[[#This Row],[Sales]]&gt;2000,"Medium","Low"))</f>
        <v>High</v>
      </c>
      <c r="U219" s="2" t="str">
        <f>IF(COUNTIFS(SalesData[Customer_ID],SalesData[[#This Row],[Customer_ID]])&gt;1,"Repeat","New")</f>
        <v>Repeat</v>
      </c>
      <c r="V219" s="2" t="str">
        <f>IF(SalesData[[#This Row],[Sales]]&gt;AVERAGE(SalesData[Sales]),"Above Avg","Below Avg")</f>
        <v>Above Avg</v>
      </c>
      <c r="W219" s="2" t="str">
        <f>IF(SalesData[[#This Row],[Profit]]&gt;0,"Profit","Loss")</f>
        <v>Loss</v>
      </c>
      <c r="X219" s="2">
        <f>RANK(SalesData[[#This Row],[Sales]],SalesData[Sales])</f>
        <v>192</v>
      </c>
    </row>
    <row r="220" spans="1:24" x14ac:dyDescent="0.3">
      <c r="A220">
        <v>219</v>
      </c>
      <c r="B220" s="1">
        <v>45510</v>
      </c>
      <c r="C220">
        <v>1056</v>
      </c>
      <c r="D220" t="s">
        <v>93</v>
      </c>
      <c r="E220" t="s">
        <v>15</v>
      </c>
      <c r="F220" t="s">
        <v>21</v>
      </c>
      <c r="G220" t="s">
        <v>22</v>
      </c>
      <c r="H220" t="s">
        <v>18</v>
      </c>
      <c r="I220">
        <v>802</v>
      </c>
      <c r="J220">
        <v>5</v>
      </c>
      <c r="K220">
        <v>0.04</v>
      </c>
      <c r="L220">
        <v>1193</v>
      </c>
      <c r="M220" t="s">
        <v>31</v>
      </c>
      <c r="N220">
        <v>3849.6</v>
      </c>
      <c r="O220" t="str">
        <f>TEXT(SalesData[[#This Row],[Order_Date]],"mmm")</f>
        <v>Aug</v>
      </c>
      <c r="P220">
        <f>YEAR(SalesData[[#This Row],[Order_Date]])</f>
        <v>2024</v>
      </c>
      <c r="Q220" t="str">
        <f>"Q"&amp;ROUNDUP(MONTH(SalesData[[#This Row],[Order_Date]])/3,0)</f>
        <v>Q3</v>
      </c>
      <c r="R220" s="2">
        <f>IFERROR(SalesData[[#This Row],[Profit]]/SalesData[[#This Row],[Sales]],0)</f>
        <v>0.30990232751454699</v>
      </c>
      <c r="S220" s="2">
        <f>SalesData[[#This Row],[Price]]*SalesData[[#This Row],[Quantity]]*SalesData[[#This Row],[Discount]]</f>
        <v>160.4</v>
      </c>
      <c r="T220" s="2" t="str">
        <f>IF(SalesData[[#This Row],[Sales]]&gt;5000,"High",IF(SalesData[[#This Row],[Sales]]&gt;2000,"Medium","Low"))</f>
        <v>Medium</v>
      </c>
      <c r="U220" s="2" t="str">
        <f>IF(COUNTIFS(SalesData[Customer_ID],SalesData[[#This Row],[Customer_ID]])&gt;1,"Repeat","New")</f>
        <v>Repeat</v>
      </c>
      <c r="V220" s="2" t="str">
        <f>IF(SalesData[[#This Row],[Sales]]&gt;AVERAGE(SalesData[Sales]),"Above Avg","Below Avg")</f>
        <v>Below Avg</v>
      </c>
      <c r="W220" s="2" t="str">
        <f>IF(SalesData[[#This Row],[Profit]]&gt;0,"Profit","Loss")</f>
        <v>Profit</v>
      </c>
      <c r="X220" s="2">
        <f>RANK(SalesData[[#This Row],[Sales]],SalesData[Sales])</f>
        <v>361</v>
      </c>
    </row>
    <row r="221" spans="1:24" x14ac:dyDescent="0.3">
      <c r="A221">
        <v>220</v>
      </c>
      <c r="B221" s="1">
        <v>45511</v>
      </c>
      <c r="C221">
        <v>1060</v>
      </c>
      <c r="D221" t="s">
        <v>168</v>
      </c>
      <c r="E221" t="s">
        <v>24</v>
      </c>
      <c r="F221" t="s">
        <v>16</v>
      </c>
      <c r="G221" t="s">
        <v>22</v>
      </c>
      <c r="H221" t="s">
        <v>29</v>
      </c>
      <c r="I221">
        <v>2899</v>
      </c>
      <c r="J221">
        <v>1</v>
      </c>
      <c r="K221">
        <v>0.2</v>
      </c>
      <c r="L221">
        <v>569</v>
      </c>
      <c r="M221" t="s">
        <v>31</v>
      </c>
      <c r="N221">
        <v>2319.1999999999998</v>
      </c>
      <c r="O221" t="str">
        <f>TEXT(SalesData[[#This Row],[Order_Date]],"mmm")</f>
        <v>Aug</v>
      </c>
      <c r="P221">
        <f>YEAR(SalesData[[#This Row],[Order_Date]])</f>
        <v>2024</v>
      </c>
      <c r="Q221" t="str">
        <f>"Q"&amp;ROUNDUP(MONTH(SalesData[[#This Row],[Order_Date]])/3,0)</f>
        <v>Q3</v>
      </c>
      <c r="R221" s="2">
        <f>IFERROR(SalesData[[#This Row],[Profit]]/SalesData[[#This Row],[Sales]],0)</f>
        <v>0.24534322180062093</v>
      </c>
      <c r="S221" s="2">
        <f>SalesData[[#This Row],[Price]]*SalesData[[#This Row],[Quantity]]*SalesData[[#This Row],[Discount]]</f>
        <v>579.80000000000007</v>
      </c>
      <c r="T221" s="2" t="str">
        <f>IF(SalesData[[#This Row],[Sales]]&gt;5000,"High",IF(SalesData[[#This Row],[Sales]]&gt;2000,"Medium","Low"))</f>
        <v>Medium</v>
      </c>
      <c r="U221" s="2" t="str">
        <f>IF(COUNTIFS(SalesData[Customer_ID],SalesData[[#This Row],[Customer_ID]])&gt;1,"Repeat","New")</f>
        <v>Repeat</v>
      </c>
      <c r="V221" s="2" t="str">
        <f>IF(SalesData[[#This Row],[Sales]]&gt;AVERAGE(SalesData[Sales]),"Above Avg","Below Avg")</f>
        <v>Below Avg</v>
      </c>
      <c r="W221" s="2" t="str">
        <f>IF(SalesData[[#This Row],[Profit]]&gt;0,"Profit","Loss")</f>
        <v>Profit</v>
      </c>
      <c r="X221" s="2">
        <f>RANK(SalesData[[#This Row],[Sales]],SalesData[Sales])</f>
        <v>415</v>
      </c>
    </row>
    <row r="222" spans="1:24" x14ac:dyDescent="0.3">
      <c r="A222">
        <v>221</v>
      </c>
      <c r="B222" s="1">
        <v>45512</v>
      </c>
      <c r="C222">
        <v>1009</v>
      </c>
      <c r="D222" t="s">
        <v>169</v>
      </c>
      <c r="E222" t="s">
        <v>24</v>
      </c>
      <c r="F222" t="s">
        <v>28</v>
      </c>
      <c r="G222" t="s">
        <v>17</v>
      </c>
      <c r="H222" t="s">
        <v>18</v>
      </c>
      <c r="I222">
        <v>607</v>
      </c>
      <c r="J222">
        <v>6</v>
      </c>
      <c r="K222">
        <v>0.05</v>
      </c>
      <c r="L222">
        <v>1509</v>
      </c>
      <c r="M222" t="s">
        <v>26</v>
      </c>
      <c r="N222">
        <v>3459.8999999999901</v>
      </c>
      <c r="O222" t="str">
        <f>TEXT(SalesData[[#This Row],[Order_Date]],"mmm")</f>
        <v>Aug</v>
      </c>
      <c r="P222">
        <f>YEAR(SalesData[[#This Row],[Order_Date]])</f>
        <v>2024</v>
      </c>
      <c r="Q222" t="str">
        <f>"Q"&amp;ROUNDUP(MONTH(SalesData[[#This Row],[Order_Date]])/3,0)</f>
        <v>Q3</v>
      </c>
      <c r="R222" s="2">
        <f>IFERROR(SalesData[[#This Row],[Profit]]/SalesData[[#This Row],[Sales]],0)</f>
        <v>0.43613977282580546</v>
      </c>
      <c r="S222" s="2">
        <f>SalesData[[#This Row],[Price]]*SalesData[[#This Row],[Quantity]]*SalesData[[#This Row],[Discount]]</f>
        <v>182.10000000000002</v>
      </c>
      <c r="T222" s="2" t="str">
        <f>IF(SalesData[[#This Row],[Sales]]&gt;5000,"High",IF(SalesData[[#This Row],[Sales]]&gt;2000,"Medium","Low"))</f>
        <v>Medium</v>
      </c>
      <c r="U222" s="2" t="str">
        <f>IF(COUNTIFS(SalesData[Customer_ID],SalesData[[#This Row],[Customer_ID]])&gt;1,"Repeat","New")</f>
        <v>Repeat</v>
      </c>
      <c r="V222" s="2" t="str">
        <f>IF(SalesData[[#This Row],[Sales]]&gt;AVERAGE(SalesData[Sales]),"Above Avg","Below Avg")</f>
        <v>Below Avg</v>
      </c>
      <c r="W222" s="2" t="str">
        <f>IF(SalesData[[#This Row],[Profit]]&gt;0,"Profit","Loss")</f>
        <v>Profit</v>
      </c>
      <c r="X222" s="2">
        <f>RANK(SalesData[[#This Row],[Sales]],SalesData[Sales])</f>
        <v>378</v>
      </c>
    </row>
    <row r="223" spans="1:24" x14ac:dyDescent="0.3">
      <c r="A223">
        <v>222</v>
      </c>
      <c r="B223" s="1">
        <v>45513</v>
      </c>
      <c r="C223">
        <v>1066</v>
      </c>
      <c r="D223" t="s">
        <v>97</v>
      </c>
      <c r="E223" t="s">
        <v>24</v>
      </c>
      <c r="F223" t="s">
        <v>21</v>
      </c>
      <c r="G223" t="s">
        <v>22</v>
      </c>
      <c r="H223" t="s">
        <v>18</v>
      </c>
      <c r="I223">
        <v>1523</v>
      </c>
      <c r="J223">
        <v>1</v>
      </c>
      <c r="K223">
        <v>0.23</v>
      </c>
      <c r="L223">
        <v>1244</v>
      </c>
      <c r="M223" t="s">
        <v>31</v>
      </c>
      <c r="N223">
        <v>1172.71</v>
      </c>
      <c r="O223" t="str">
        <f>TEXT(SalesData[[#This Row],[Order_Date]],"mmm")</f>
        <v>Aug</v>
      </c>
      <c r="P223">
        <f>YEAR(SalesData[[#This Row],[Order_Date]])</f>
        <v>2024</v>
      </c>
      <c r="Q223" t="str">
        <f>"Q"&amp;ROUNDUP(MONTH(SalesData[[#This Row],[Order_Date]])/3,0)</f>
        <v>Q3</v>
      </c>
      <c r="R223" s="2">
        <f>IFERROR(SalesData[[#This Row],[Profit]]/SalesData[[#This Row],[Sales]],0)</f>
        <v>1.0607908178492551</v>
      </c>
      <c r="S223" s="2">
        <f>SalesData[[#This Row],[Price]]*SalesData[[#This Row],[Quantity]]*SalesData[[#This Row],[Discount]]</f>
        <v>350.29</v>
      </c>
      <c r="T223" s="2" t="str">
        <f>IF(SalesData[[#This Row],[Sales]]&gt;5000,"High",IF(SalesData[[#This Row],[Sales]]&gt;2000,"Medium","Low"))</f>
        <v>Low</v>
      </c>
      <c r="U223" s="2" t="str">
        <f>IF(COUNTIFS(SalesData[Customer_ID],SalesData[[#This Row],[Customer_ID]])&gt;1,"Repeat","New")</f>
        <v>Repeat</v>
      </c>
      <c r="V223" s="2" t="str">
        <f>IF(SalesData[[#This Row],[Sales]]&gt;AVERAGE(SalesData[Sales]),"Above Avg","Below Avg")</f>
        <v>Below Avg</v>
      </c>
      <c r="W223" s="2" t="str">
        <f>IF(SalesData[[#This Row],[Profit]]&gt;0,"Profit","Loss")</f>
        <v>Profit</v>
      </c>
      <c r="X223" s="2">
        <f>RANK(SalesData[[#This Row],[Sales]],SalesData[Sales])</f>
        <v>471</v>
      </c>
    </row>
    <row r="224" spans="1:24" x14ac:dyDescent="0.3">
      <c r="A224">
        <v>223</v>
      </c>
      <c r="B224" s="1">
        <v>45514</v>
      </c>
      <c r="C224">
        <v>1033</v>
      </c>
      <c r="D224" t="s">
        <v>170</v>
      </c>
      <c r="E224" t="s">
        <v>24</v>
      </c>
      <c r="F224" t="s">
        <v>16</v>
      </c>
      <c r="G224" t="s">
        <v>34</v>
      </c>
      <c r="H224" t="s">
        <v>25</v>
      </c>
      <c r="I224">
        <v>2167</v>
      </c>
      <c r="J224">
        <v>2</v>
      </c>
      <c r="K224">
        <v>0.21</v>
      </c>
      <c r="L224">
        <v>1682</v>
      </c>
      <c r="M224" t="s">
        <v>26</v>
      </c>
      <c r="N224">
        <v>3423.86</v>
      </c>
      <c r="O224" t="str">
        <f>TEXT(SalesData[[#This Row],[Order_Date]],"mmm")</f>
        <v>Aug</v>
      </c>
      <c r="P224">
        <f>YEAR(SalesData[[#This Row],[Order_Date]])</f>
        <v>2024</v>
      </c>
      <c r="Q224" t="str">
        <f>"Q"&amp;ROUNDUP(MONTH(SalesData[[#This Row],[Order_Date]])/3,0)</f>
        <v>Q3</v>
      </c>
      <c r="R224" s="2">
        <f>IFERROR(SalesData[[#This Row],[Profit]]/SalesData[[#This Row],[Sales]],0)</f>
        <v>0.49125840425718337</v>
      </c>
      <c r="S224" s="2">
        <f>SalesData[[#This Row],[Price]]*SalesData[[#This Row],[Quantity]]*SalesData[[#This Row],[Discount]]</f>
        <v>910.14</v>
      </c>
      <c r="T224" s="2" t="str">
        <f>IF(SalesData[[#This Row],[Sales]]&gt;5000,"High",IF(SalesData[[#This Row],[Sales]]&gt;2000,"Medium","Low"))</f>
        <v>Medium</v>
      </c>
      <c r="U224" s="2" t="str">
        <f>IF(COUNTIFS(SalesData[Customer_ID],SalesData[[#This Row],[Customer_ID]])&gt;1,"Repeat","New")</f>
        <v>New</v>
      </c>
      <c r="V224" s="2" t="str">
        <f>IF(SalesData[[#This Row],[Sales]]&gt;AVERAGE(SalesData[Sales]),"Above Avg","Below Avg")</f>
        <v>Below Avg</v>
      </c>
      <c r="W224" s="2" t="str">
        <f>IF(SalesData[[#This Row],[Profit]]&gt;0,"Profit","Loss")</f>
        <v>Profit</v>
      </c>
      <c r="X224" s="2">
        <f>RANK(SalesData[[#This Row],[Sales]],SalesData[Sales])</f>
        <v>379</v>
      </c>
    </row>
    <row r="225" spans="1:24" x14ac:dyDescent="0.3">
      <c r="A225">
        <v>224</v>
      </c>
      <c r="B225" s="1">
        <v>45515</v>
      </c>
      <c r="C225">
        <v>1069</v>
      </c>
      <c r="D225" t="s">
        <v>60</v>
      </c>
      <c r="E225" t="s">
        <v>24</v>
      </c>
      <c r="F225" t="s">
        <v>33</v>
      </c>
      <c r="G225" t="s">
        <v>34</v>
      </c>
      <c r="H225" t="s">
        <v>37</v>
      </c>
      <c r="I225">
        <v>4265</v>
      </c>
      <c r="J225">
        <v>6</v>
      </c>
      <c r="K225">
        <v>0.12</v>
      </c>
      <c r="L225">
        <v>490</v>
      </c>
      <c r="M225" t="s">
        <v>31</v>
      </c>
      <c r="N225">
        <v>22519.200000000001</v>
      </c>
      <c r="O225" t="str">
        <f>TEXT(SalesData[[#This Row],[Order_Date]],"mmm")</f>
        <v>Aug</v>
      </c>
      <c r="P225">
        <f>YEAR(SalesData[[#This Row],[Order_Date]])</f>
        <v>2024</v>
      </c>
      <c r="Q225" t="str">
        <f>"Q"&amp;ROUNDUP(MONTH(SalesData[[#This Row],[Order_Date]])/3,0)</f>
        <v>Q3</v>
      </c>
      <c r="R225" s="2">
        <f>IFERROR(SalesData[[#This Row],[Profit]]/SalesData[[#This Row],[Sales]],0)</f>
        <v>2.1759209918647198E-2</v>
      </c>
      <c r="S225" s="2">
        <f>SalesData[[#This Row],[Price]]*SalesData[[#This Row],[Quantity]]*SalesData[[#This Row],[Discount]]</f>
        <v>3070.7999999999997</v>
      </c>
      <c r="T225" s="2" t="str">
        <f>IF(SalesData[[#This Row],[Sales]]&gt;5000,"High",IF(SalesData[[#This Row],[Sales]]&gt;2000,"Medium","Low"))</f>
        <v>High</v>
      </c>
      <c r="U225" s="2" t="str">
        <f>IF(COUNTIFS(SalesData[Customer_ID],SalesData[[#This Row],[Customer_ID]])&gt;1,"Repeat","New")</f>
        <v>Repeat</v>
      </c>
      <c r="V225" s="2" t="str">
        <f>IF(SalesData[[#This Row],[Sales]]&gt;AVERAGE(SalesData[Sales]),"Above Avg","Below Avg")</f>
        <v>Above Avg</v>
      </c>
      <c r="W225" s="2" t="str">
        <f>IF(SalesData[[#This Row],[Profit]]&gt;0,"Profit","Loss")</f>
        <v>Profit</v>
      </c>
      <c r="X225" s="2">
        <f>RANK(SalesData[[#This Row],[Sales]],SalesData[Sales])</f>
        <v>63</v>
      </c>
    </row>
    <row r="226" spans="1:24" x14ac:dyDescent="0.3">
      <c r="A226">
        <v>225</v>
      </c>
      <c r="B226" s="1">
        <v>45516</v>
      </c>
      <c r="C226">
        <v>1009</v>
      </c>
      <c r="D226" t="s">
        <v>67</v>
      </c>
      <c r="E226" t="s">
        <v>15</v>
      </c>
      <c r="F226" t="s">
        <v>28</v>
      </c>
      <c r="G226" t="s">
        <v>22</v>
      </c>
      <c r="H226" t="s">
        <v>37</v>
      </c>
      <c r="I226">
        <v>851</v>
      </c>
      <c r="J226">
        <v>1</v>
      </c>
      <c r="K226">
        <v>0.14000000000000001</v>
      </c>
      <c r="L226">
        <v>1419</v>
      </c>
      <c r="M226" t="s">
        <v>19</v>
      </c>
      <c r="N226">
        <v>731.86</v>
      </c>
      <c r="O226" t="str">
        <f>TEXT(SalesData[[#This Row],[Order_Date]],"mmm")</f>
        <v>Aug</v>
      </c>
      <c r="P226">
        <f>YEAR(SalesData[[#This Row],[Order_Date]])</f>
        <v>2024</v>
      </c>
      <c r="Q226" t="str">
        <f>"Q"&amp;ROUNDUP(MONTH(SalesData[[#This Row],[Order_Date]])/3,0)</f>
        <v>Q3</v>
      </c>
      <c r="R226" s="2">
        <f>IFERROR(SalesData[[#This Row],[Profit]]/SalesData[[#This Row],[Sales]],0)</f>
        <v>1.9388954171562867</v>
      </c>
      <c r="S226" s="2">
        <f>SalesData[[#This Row],[Price]]*SalesData[[#This Row],[Quantity]]*SalesData[[#This Row],[Discount]]</f>
        <v>119.14000000000001</v>
      </c>
      <c r="T226" s="2" t="str">
        <f>IF(SalesData[[#This Row],[Sales]]&gt;5000,"High",IF(SalesData[[#This Row],[Sales]]&gt;2000,"Medium","Low"))</f>
        <v>Low</v>
      </c>
      <c r="U226" s="2" t="str">
        <f>IF(COUNTIFS(SalesData[Customer_ID],SalesData[[#This Row],[Customer_ID]])&gt;1,"Repeat","New")</f>
        <v>Repeat</v>
      </c>
      <c r="V226" s="2" t="str">
        <f>IF(SalesData[[#This Row],[Sales]]&gt;AVERAGE(SalesData[Sales]),"Above Avg","Below Avg")</f>
        <v>Below Avg</v>
      </c>
      <c r="W226" s="2" t="str">
        <f>IF(SalesData[[#This Row],[Profit]]&gt;0,"Profit","Loss")</f>
        <v>Profit</v>
      </c>
      <c r="X226" s="2">
        <f>RANK(SalesData[[#This Row],[Sales]],SalesData[Sales])</f>
        <v>484</v>
      </c>
    </row>
    <row r="227" spans="1:24" x14ac:dyDescent="0.3">
      <c r="A227">
        <v>226</v>
      </c>
      <c r="B227" s="1">
        <v>45517</v>
      </c>
      <c r="C227">
        <v>1079</v>
      </c>
      <c r="D227" t="s">
        <v>171</v>
      </c>
      <c r="E227" t="s">
        <v>24</v>
      </c>
      <c r="F227" t="s">
        <v>16</v>
      </c>
      <c r="G227" t="s">
        <v>34</v>
      </c>
      <c r="H227" t="s">
        <v>29</v>
      </c>
      <c r="I227">
        <v>2116</v>
      </c>
      <c r="J227">
        <v>6</v>
      </c>
      <c r="K227">
        <v>0.05</v>
      </c>
      <c r="L227">
        <v>1516</v>
      </c>
      <c r="M227" t="s">
        <v>19</v>
      </c>
      <c r="N227">
        <v>12061.199999999901</v>
      </c>
      <c r="O227" t="str">
        <f>TEXT(SalesData[[#This Row],[Order_Date]],"mmm")</f>
        <v>Aug</v>
      </c>
      <c r="P227">
        <f>YEAR(SalesData[[#This Row],[Order_Date]])</f>
        <v>2024</v>
      </c>
      <c r="Q227" t="str">
        <f>"Q"&amp;ROUNDUP(MONTH(SalesData[[#This Row],[Order_Date]])/3,0)</f>
        <v>Q3</v>
      </c>
      <c r="R227" s="2">
        <f>IFERROR(SalesData[[#This Row],[Profit]]/SalesData[[#This Row],[Sales]],0)</f>
        <v>0.12569230259012473</v>
      </c>
      <c r="S227" s="2">
        <f>SalesData[[#This Row],[Price]]*SalesData[[#This Row],[Quantity]]*SalesData[[#This Row],[Discount]]</f>
        <v>634.80000000000007</v>
      </c>
      <c r="T227" s="2" t="str">
        <f>IF(SalesData[[#This Row],[Sales]]&gt;5000,"High",IF(SalesData[[#This Row],[Sales]]&gt;2000,"Medium","Low"))</f>
        <v>High</v>
      </c>
      <c r="U227" s="2" t="str">
        <f>IF(COUNTIFS(SalesData[Customer_ID],SalesData[[#This Row],[Customer_ID]])&gt;1,"Repeat","New")</f>
        <v>Repeat</v>
      </c>
      <c r="V227" s="2" t="str">
        <f>IF(SalesData[[#This Row],[Sales]]&gt;AVERAGE(SalesData[Sales]),"Above Avg","Below Avg")</f>
        <v>Above Avg</v>
      </c>
      <c r="W227" s="2" t="str">
        <f>IF(SalesData[[#This Row],[Profit]]&gt;0,"Profit","Loss")</f>
        <v>Profit</v>
      </c>
      <c r="X227" s="2">
        <f>RANK(SalesData[[#This Row],[Sales]],SalesData[Sales])</f>
        <v>167</v>
      </c>
    </row>
    <row r="228" spans="1:24" x14ac:dyDescent="0.3">
      <c r="A228">
        <v>227</v>
      </c>
      <c r="B228" s="1">
        <v>45518</v>
      </c>
      <c r="C228">
        <v>1028</v>
      </c>
      <c r="D228" t="s">
        <v>170</v>
      </c>
      <c r="E228" t="s">
        <v>15</v>
      </c>
      <c r="F228" t="s">
        <v>28</v>
      </c>
      <c r="G228" t="s">
        <v>34</v>
      </c>
      <c r="H228" t="s">
        <v>29</v>
      </c>
      <c r="I228">
        <v>648</v>
      </c>
      <c r="J228">
        <v>9</v>
      </c>
      <c r="K228">
        <v>0.19</v>
      </c>
      <c r="L228">
        <v>730</v>
      </c>
      <c r="M228" t="s">
        <v>26</v>
      </c>
      <c r="N228">
        <v>4723.92</v>
      </c>
      <c r="O228" t="str">
        <f>TEXT(SalesData[[#This Row],[Order_Date]],"mmm")</f>
        <v>Aug</v>
      </c>
      <c r="P228">
        <f>YEAR(SalesData[[#This Row],[Order_Date]])</f>
        <v>2024</v>
      </c>
      <c r="Q228" t="str">
        <f>"Q"&amp;ROUNDUP(MONTH(SalesData[[#This Row],[Order_Date]])/3,0)</f>
        <v>Q3</v>
      </c>
      <c r="R228" s="2">
        <f>IFERROR(SalesData[[#This Row],[Profit]]/SalesData[[#This Row],[Sales]],0)</f>
        <v>0.15453267625192638</v>
      </c>
      <c r="S228" s="2">
        <f>SalesData[[#This Row],[Price]]*SalesData[[#This Row],[Quantity]]*SalesData[[#This Row],[Discount]]</f>
        <v>1108.08</v>
      </c>
      <c r="T228" s="2" t="str">
        <f>IF(SalesData[[#This Row],[Sales]]&gt;5000,"High",IF(SalesData[[#This Row],[Sales]]&gt;2000,"Medium","Low"))</f>
        <v>Medium</v>
      </c>
      <c r="U228" s="2" t="str">
        <f>IF(COUNTIFS(SalesData[Customer_ID],SalesData[[#This Row],[Customer_ID]])&gt;1,"Repeat","New")</f>
        <v>Repeat</v>
      </c>
      <c r="V228" s="2" t="str">
        <f>IF(SalesData[[#This Row],[Sales]]&gt;AVERAGE(SalesData[Sales]),"Above Avg","Below Avg")</f>
        <v>Below Avg</v>
      </c>
      <c r="W228" s="2" t="str">
        <f>IF(SalesData[[#This Row],[Profit]]&gt;0,"Profit","Loss")</f>
        <v>Profit</v>
      </c>
      <c r="X228" s="2">
        <f>RANK(SalesData[[#This Row],[Sales]],SalesData[Sales])</f>
        <v>331</v>
      </c>
    </row>
    <row r="229" spans="1:24" x14ac:dyDescent="0.3">
      <c r="A229">
        <v>228</v>
      </c>
      <c r="B229" s="1">
        <v>45519</v>
      </c>
      <c r="C229">
        <v>1066</v>
      </c>
      <c r="D229" t="s">
        <v>72</v>
      </c>
      <c r="E229" t="s">
        <v>15</v>
      </c>
      <c r="F229" t="s">
        <v>28</v>
      </c>
      <c r="G229" t="s">
        <v>34</v>
      </c>
      <c r="H229" t="s">
        <v>18</v>
      </c>
      <c r="I229">
        <v>2655</v>
      </c>
      <c r="J229">
        <v>6</v>
      </c>
      <c r="K229">
        <v>0.27</v>
      </c>
      <c r="L229">
        <v>1403</v>
      </c>
      <c r="M229" t="s">
        <v>31</v>
      </c>
      <c r="N229">
        <v>11628.9</v>
      </c>
      <c r="O229" t="str">
        <f>TEXT(SalesData[[#This Row],[Order_Date]],"mmm")</f>
        <v>Aug</v>
      </c>
      <c r="P229">
        <f>YEAR(SalesData[[#This Row],[Order_Date]])</f>
        <v>2024</v>
      </c>
      <c r="Q229" t="str">
        <f>"Q"&amp;ROUNDUP(MONTH(SalesData[[#This Row],[Order_Date]])/3,0)</f>
        <v>Q3</v>
      </c>
      <c r="R229" s="2">
        <f>IFERROR(SalesData[[#This Row],[Profit]]/SalesData[[#This Row],[Sales]],0)</f>
        <v>0.12064769668670296</v>
      </c>
      <c r="S229" s="2">
        <f>SalesData[[#This Row],[Price]]*SalesData[[#This Row],[Quantity]]*SalesData[[#This Row],[Discount]]</f>
        <v>4301.1000000000004</v>
      </c>
      <c r="T229" s="2" t="str">
        <f>IF(SalesData[[#This Row],[Sales]]&gt;5000,"High",IF(SalesData[[#This Row],[Sales]]&gt;2000,"Medium","Low"))</f>
        <v>High</v>
      </c>
      <c r="U229" s="2" t="str">
        <f>IF(COUNTIFS(SalesData[Customer_ID],SalesData[[#This Row],[Customer_ID]])&gt;1,"Repeat","New")</f>
        <v>Repeat</v>
      </c>
      <c r="V229" s="2" t="str">
        <f>IF(SalesData[[#This Row],[Sales]]&gt;AVERAGE(SalesData[Sales]),"Above Avg","Below Avg")</f>
        <v>Above Avg</v>
      </c>
      <c r="W229" s="2" t="str">
        <f>IF(SalesData[[#This Row],[Profit]]&gt;0,"Profit","Loss")</f>
        <v>Profit</v>
      </c>
      <c r="X229" s="2">
        <f>RANK(SalesData[[#This Row],[Sales]],SalesData[Sales])</f>
        <v>179</v>
      </c>
    </row>
    <row r="230" spans="1:24" x14ac:dyDescent="0.3">
      <c r="A230">
        <v>229</v>
      </c>
      <c r="B230" s="1">
        <v>45520</v>
      </c>
      <c r="C230">
        <v>1010</v>
      </c>
      <c r="D230" t="s">
        <v>100</v>
      </c>
      <c r="E230" t="s">
        <v>15</v>
      </c>
      <c r="F230" t="s">
        <v>33</v>
      </c>
      <c r="G230" t="s">
        <v>22</v>
      </c>
      <c r="H230" t="s">
        <v>37</v>
      </c>
      <c r="I230">
        <v>738</v>
      </c>
      <c r="J230">
        <v>1</v>
      </c>
      <c r="K230">
        <v>0.17</v>
      </c>
      <c r="L230">
        <v>1581</v>
      </c>
      <c r="M230" t="s">
        <v>19</v>
      </c>
      <c r="N230">
        <v>612.54</v>
      </c>
      <c r="O230" t="str">
        <f>TEXT(SalesData[[#This Row],[Order_Date]],"mmm")</f>
        <v>Aug</v>
      </c>
      <c r="P230">
        <f>YEAR(SalesData[[#This Row],[Order_Date]])</f>
        <v>2024</v>
      </c>
      <c r="Q230" t="str">
        <f>"Q"&amp;ROUNDUP(MONTH(SalesData[[#This Row],[Order_Date]])/3,0)</f>
        <v>Q3</v>
      </c>
      <c r="R230" s="2">
        <f>IFERROR(SalesData[[#This Row],[Profit]]/SalesData[[#This Row],[Sales]],0)</f>
        <v>2.5810559310412384</v>
      </c>
      <c r="S230" s="2">
        <f>SalesData[[#This Row],[Price]]*SalesData[[#This Row],[Quantity]]*SalesData[[#This Row],[Discount]]</f>
        <v>125.46000000000001</v>
      </c>
      <c r="T230" s="2" t="str">
        <f>IF(SalesData[[#This Row],[Sales]]&gt;5000,"High",IF(SalesData[[#This Row],[Sales]]&gt;2000,"Medium","Low"))</f>
        <v>Low</v>
      </c>
      <c r="U230" s="2" t="str">
        <f>IF(COUNTIFS(SalesData[Customer_ID],SalesData[[#This Row],[Customer_ID]])&gt;1,"Repeat","New")</f>
        <v>Repeat</v>
      </c>
      <c r="V230" s="2" t="str">
        <f>IF(SalesData[[#This Row],[Sales]]&gt;AVERAGE(SalesData[Sales]),"Above Avg","Below Avg")</f>
        <v>Below Avg</v>
      </c>
      <c r="W230" s="2" t="str">
        <f>IF(SalesData[[#This Row],[Profit]]&gt;0,"Profit","Loss")</f>
        <v>Profit</v>
      </c>
      <c r="X230" s="2">
        <f>RANK(SalesData[[#This Row],[Sales]],SalesData[Sales])</f>
        <v>486</v>
      </c>
    </row>
    <row r="231" spans="1:24" x14ac:dyDescent="0.3">
      <c r="A231">
        <v>230</v>
      </c>
      <c r="B231" s="1">
        <v>45521</v>
      </c>
      <c r="C231">
        <v>1003</v>
      </c>
      <c r="D231" t="s">
        <v>172</v>
      </c>
      <c r="E231" t="s">
        <v>15</v>
      </c>
      <c r="F231" t="s">
        <v>21</v>
      </c>
      <c r="G231" t="s">
        <v>34</v>
      </c>
      <c r="H231" t="s">
        <v>29</v>
      </c>
      <c r="I231">
        <v>1820</v>
      </c>
      <c r="J231">
        <v>9</v>
      </c>
      <c r="K231">
        <v>0.09</v>
      </c>
      <c r="L231">
        <v>631</v>
      </c>
      <c r="M231" t="s">
        <v>19</v>
      </c>
      <c r="N231">
        <v>14905.8</v>
      </c>
      <c r="O231" t="str">
        <f>TEXT(SalesData[[#This Row],[Order_Date]],"mmm")</f>
        <v>Aug</v>
      </c>
      <c r="P231">
        <f>YEAR(SalesData[[#This Row],[Order_Date]])</f>
        <v>2024</v>
      </c>
      <c r="Q231" t="str">
        <f>"Q"&amp;ROUNDUP(MONTH(SalesData[[#This Row],[Order_Date]])/3,0)</f>
        <v>Q3</v>
      </c>
      <c r="R231" s="2">
        <f>IFERROR(SalesData[[#This Row],[Profit]]/SalesData[[#This Row],[Sales]],0)</f>
        <v>4.2332514859987389E-2</v>
      </c>
      <c r="S231" s="2">
        <f>SalesData[[#This Row],[Price]]*SalesData[[#This Row],[Quantity]]*SalesData[[#This Row],[Discount]]</f>
        <v>1474.2</v>
      </c>
      <c r="T231" s="2" t="str">
        <f>IF(SalesData[[#This Row],[Sales]]&gt;5000,"High",IF(SalesData[[#This Row],[Sales]]&gt;2000,"Medium","Low"))</f>
        <v>High</v>
      </c>
      <c r="U231" s="2" t="str">
        <f>IF(COUNTIFS(SalesData[Customer_ID],SalesData[[#This Row],[Customer_ID]])&gt;1,"Repeat","New")</f>
        <v>Repeat</v>
      </c>
      <c r="V231" s="2" t="str">
        <f>IF(SalesData[[#This Row],[Sales]]&gt;AVERAGE(SalesData[Sales]),"Above Avg","Below Avg")</f>
        <v>Above Avg</v>
      </c>
      <c r="W231" s="2" t="str">
        <f>IF(SalesData[[#This Row],[Profit]]&gt;0,"Profit","Loss")</f>
        <v>Profit</v>
      </c>
      <c r="X231" s="2">
        <f>RANK(SalesData[[#This Row],[Sales]],SalesData[Sales])</f>
        <v>141</v>
      </c>
    </row>
    <row r="232" spans="1:24" x14ac:dyDescent="0.3">
      <c r="A232">
        <v>231</v>
      </c>
      <c r="B232" s="1">
        <v>45522</v>
      </c>
      <c r="C232">
        <v>1048</v>
      </c>
      <c r="D232" t="s">
        <v>91</v>
      </c>
      <c r="E232" t="s">
        <v>15</v>
      </c>
      <c r="F232" t="s">
        <v>33</v>
      </c>
      <c r="G232" t="s">
        <v>17</v>
      </c>
      <c r="H232" t="s">
        <v>37</v>
      </c>
      <c r="I232">
        <v>3916</v>
      </c>
      <c r="J232">
        <v>7</v>
      </c>
      <c r="K232">
        <v>0.12</v>
      </c>
      <c r="L232">
        <v>1533</v>
      </c>
      <c r="M232" t="s">
        <v>19</v>
      </c>
      <c r="N232">
        <v>24122.560000000001</v>
      </c>
      <c r="O232" t="str">
        <f>TEXT(SalesData[[#This Row],[Order_Date]],"mmm")</f>
        <v>Aug</v>
      </c>
      <c r="P232">
        <f>YEAR(SalesData[[#This Row],[Order_Date]])</f>
        <v>2024</v>
      </c>
      <c r="Q232" t="str">
        <f>"Q"&amp;ROUNDUP(MONTH(SalesData[[#This Row],[Order_Date]])/3,0)</f>
        <v>Q3</v>
      </c>
      <c r="R232" s="2">
        <f>IFERROR(SalesData[[#This Row],[Profit]]/SalesData[[#This Row],[Sales]],0)</f>
        <v>6.3550468938620111E-2</v>
      </c>
      <c r="S232" s="2">
        <f>SalesData[[#This Row],[Price]]*SalesData[[#This Row],[Quantity]]*SalesData[[#This Row],[Discount]]</f>
        <v>3289.44</v>
      </c>
      <c r="T232" s="2" t="str">
        <f>IF(SalesData[[#This Row],[Sales]]&gt;5000,"High",IF(SalesData[[#This Row],[Sales]]&gt;2000,"Medium","Low"))</f>
        <v>High</v>
      </c>
      <c r="U232" s="2" t="str">
        <f>IF(COUNTIFS(SalesData[Customer_ID],SalesData[[#This Row],[Customer_ID]])&gt;1,"Repeat","New")</f>
        <v>Repeat</v>
      </c>
      <c r="V232" s="2" t="str">
        <f>IF(SalesData[[#This Row],[Sales]]&gt;AVERAGE(SalesData[Sales]),"Above Avg","Below Avg")</f>
        <v>Above Avg</v>
      </c>
      <c r="W232" s="2" t="str">
        <f>IF(SalesData[[#This Row],[Profit]]&gt;0,"Profit","Loss")</f>
        <v>Profit</v>
      </c>
      <c r="X232" s="2">
        <f>RANK(SalesData[[#This Row],[Sales]],SalesData[Sales])</f>
        <v>51</v>
      </c>
    </row>
    <row r="233" spans="1:24" x14ac:dyDescent="0.3">
      <c r="A233">
        <v>232</v>
      </c>
      <c r="B233" s="1">
        <v>45523</v>
      </c>
      <c r="C233">
        <v>1003</v>
      </c>
      <c r="D233" t="s">
        <v>60</v>
      </c>
      <c r="E233" t="s">
        <v>15</v>
      </c>
      <c r="F233" t="s">
        <v>28</v>
      </c>
      <c r="G233" t="s">
        <v>22</v>
      </c>
      <c r="H233" t="s">
        <v>25</v>
      </c>
      <c r="I233">
        <v>3888</v>
      </c>
      <c r="J233">
        <v>5</v>
      </c>
      <c r="K233">
        <v>7.0000000000000007E-2</v>
      </c>
      <c r="L233">
        <v>1032</v>
      </c>
      <c r="M233" t="s">
        <v>26</v>
      </c>
      <c r="N233">
        <v>18079.199999999899</v>
      </c>
      <c r="O233" t="str">
        <f>TEXT(SalesData[[#This Row],[Order_Date]],"mmm")</f>
        <v>Aug</v>
      </c>
      <c r="P233">
        <f>YEAR(SalesData[[#This Row],[Order_Date]])</f>
        <v>2024</v>
      </c>
      <c r="Q233" t="str">
        <f>"Q"&amp;ROUNDUP(MONTH(SalesData[[#This Row],[Order_Date]])/3,0)</f>
        <v>Q3</v>
      </c>
      <c r="R233" s="2">
        <f>IFERROR(SalesData[[#This Row],[Profit]]/SalesData[[#This Row],[Sales]],0)</f>
        <v>5.7082171777512597E-2</v>
      </c>
      <c r="S233" s="2">
        <f>SalesData[[#This Row],[Price]]*SalesData[[#This Row],[Quantity]]*SalesData[[#This Row],[Discount]]</f>
        <v>1360.8000000000002</v>
      </c>
      <c r="T233" s="2" t="str">
        <f>IF(SalesData[[#This Row],[Sales]]&gt;5000,"High",IF(SalesData[[#This Row],[Sales]]&gt;2000,"Medium","Low"))</f>
        <v>High</v>
      </c>
      <c r="U233" s="2" t="str">
        <f>IF(COUNTIFS(SalesData[Customer_ID],SalesData[[#This Row],[Customer_ID]])&gt;1,"Repeat","New")</f>
        <v>Repeat</v>
      </c>
      <c r="V233" s="2" t="str">
        <f>IF(SalesData[[#This Row],[Sales]]&gt;AVERAGE(SalesData[Sales]),"Above Avg","Below Avg")</f>
        <v>Above Avg</v>
      </c>
      <c r="W233" s="2" t="str">
        <f>IF(SalesData[[#This Row],[Profit]]&gt;0,"Profit","Loss")</f>
        <v>Profit</v>
      </c>
      <c r="X233" s="2">
        <f>RANK(SalesData[[#This Row],[Sales]],SalesData[Sales])</f>
        <v>91</v>
      </c>
    </row>
    <row r="234" spans="1:24" x14ac:dyDescent="0.3">
      <c r="A234">
        <v>233</v>
      </c>
      <c r="B234" s="1">
        <v>45524</v>
      </c>
      <c r="C234">
        <v>1023</v>
      </c>
      <c r="D234" t="s">
        <v>173</v>
      </c>
      <c r="E234" t="s">
        <v>15</v>
      </c>
      <c r="F234" t="s">
        <v>33</v>
      </c>
      <c r="G234" t="s">
        <v>22</v>
      </c>
      <c r="H234" t="s">
        <v>29</v>
      </c>
      <c r="I234">
        <v>1813</v>
      </c>
      <c r="J234">
        <v>7</v>
      </c>
      <c r="K234">
        <v>0.13</v>
      </c>
      <c r="L234">
        <v>937</v>
      </c>
      <c r="M234" t="s">
        <v>31</v>
      </c>
      <c r="N234">
        <v>11041.17</v>
      </c>
      <c r="O234" t="str">
        <f>TEXT(SalesData[[#This Row],[Order_Date]],"mmm")</f>
        <v>Aug</v>
      </c>
      <c r="P234">
        <f>YEAR(SalesData[[#This Row],[Order_Date]])</f>
        <v>2024</v>
      </c>
      <c r="Q234" t="str">
        <f>"Q"&amp;ROUNDUP(MONTH(SalesData[[#This Row],[Order_Date]])/3,0)</f>
        <v>Q3</v>
      </c>
      <c r="R234" s="2">
        <f>IFERROR(SalesData[[#This Row],[Profit]]/SalesData[[#This Row],[Sales]],0)</f>
        <v>8.4864194646038421E-2</v>
      </c>
      <c r="S234" s="2">
        <f>SalesData[[#This Row],[Price]]*SalesData[[#This Row],[Quantity]]*SalesData[[#This Row],[Discount]]</f>
        <v>1649.8300000000002</v>
      </c>
      <c r="T234" s="2" t="str">
        <f>IF(SalesData[[#This Row],[Sales]]&gt;5000,"High",IF(SalesData[[#This Row],[Sales]]&gt;2000,"Medium","Low"))</f>
        <v>High</v>
      </c>
      <c r="U234" s="2" t="str">
        <f>IF(COUNTIFS(SalesData[Customer_ID],SalesData[[#This Row],[Customer_ID]])&gt;1,"Repeat","New")</f>
        <v>Repeat</v>
      </c>
      <c r="V234" s="2" t="str">
        <f>IF(SalesData[[#This Row],[Sales]]&gt;AVERAGE(SalesData[Sales]),"Above Avg","Below Avg")</f>
        <v>Above Avg</v>
      </c>
      <c r="W234" s="2" t="str">
        <f>IF(SalesData[[#This Row],[Profit]]&gt;0,"Profit","Loss")</f>
        <v>Profit</v>
      </c>
      <c r="X234" s="2">
        <f>RANK(SalesData[[#This Row],[Sales]],SalesData[Sales])</f>
        <v>189</v>
      </c>
    </row>
    <row r="235" spans="1:24" x14ac:dyDescent="0.3">
      <c r="A235">
        <v>234</v>
      </c>
      <c r="B235" s="1">
        <v>45525</v>
      </c>
      <c r="C235">
        <v>1091</v>
      </c>
      <c r="D235" t="s">
        <v>147</v>
      </c>
      <c r="E235" t="s">
        <v>24</v>
      </c>
      <c r="F235" t="s">
        <v>28</v>
      </c>
      <c r="G235" t="s">
        <v>34</v>
      </c>
      <c r="H235" t="s">
        <v>37</v>
      </c>
      <c r="I235">
        <v>4283</v>
      </c>
      <c r="J235">
        <v>6</v>
      </c>
      <c r="K235">
        <v>0.15</v>
      </c>
      <c r="L235">
        <v>436</v>
      </c>
      <c r="M235" t="s">
        <v>31</v>
      </c>
      <c r="N235">
        <v>21843.3</v>
      </c>
      <c r="O235" t="str">
        <f>TEXT(SalesData[[#This Row],[Order_Date]],"mmm")</f>
        <v>Aug</v>
      </c>
      <c r="P235">
        <f>YEAR(SalesData[[#This Row],[Order_Date]])</f>
        <v>2024</v>
      </c>
      <c r="Q235" t="str">
        <f>"Q"&amp;ROUNDUP(MONTH(SalesData[[#This Row],[Order_Date]])/3,0)</f>
        <v>Q3</v>
      </c>
      <c r="R235" s="2">
        <f>IFERROR(SalesData[[#This Row],[Profit]]/SalesData[[#This Row],[Sales]],0)</f>
        <v>1.9960353975818673E-2</v>
      </c>
      <c r="S235" s="2">
        <f>SalesData[[#This Row],[Price]]*SalesData[[#This Row],[Quantity]]*SalesData[[#This Row],[Discount]]</f>
        <v>3854.7</v>
      </c>
      <c r="T235" s="2" t="str">
        <f>IF(SalesData[[#This Row],[Sales]]&gt;5000,"High",IF(SalesData[[#This Row],[Sales]]&gt;2000,"Medium","Low"))</f>
        <v>High</v>
      </c>
      <c r="U235" s="2" t="str">
        <f>IF(COUNTIFS(SalesData[Customer_ID],SalesData[[#This Row],[Customer_ID]])&gt;1,"Repeat","New")</f>
        <v>Repeat</v>
      </c>
      <c r="V235" s="2" t="str">
        <f>IF(SalesData[[#This Row],[Sales]]&gt;AVERAGE(SalesData[Sales]),"Above Avg","Below Avg")</f>
        <v>Above Avg</v>
      </c>
      <c r="W235" s="2" t="str">
        <f>IF(SalesData[[#This Row],[Profit]]&gt;0,"Profit","Loss")</f>
        <v>Profit</v>
      </c>
      <c r="X235" s="2">
        <f>RANK(SalesData[[#This Row],[Sales]],SalesData[Sales])</f>
        <v>68</v>
      </c>
    </row>
    <row r="236" spans="1:24" x14ac:dyDescent="0.3">
      <c r="A236">
        <v>235</v>
      </c>
      <c r="B236" s="1">
        <v>45526</v>
      </c>
      <c r="C236">
        <v>1055</v>
      </c>
      <c r="D236" t="s">
        <v>174</v>
      </c>
      <c r="E236" t="s">
        <v>24</v>
      </c>
      <c r="F236" t="s">
        <v>33</v>
      </c>
      <c r="G236" t="s">
        <v>22</v>
      </c>
      <c r="H236" t="s">
        <v>37</v>
      </c>
      <c r="I236">
        <v>4730</v>
      </c>
      <c r="J236">
        <v>8</v>
      </c>
      <c r="K236">
        <v>0.28000000000000003</v>
      </c>
      <c r="L236">
        <v>1356</v>
      </c>
      <c r="M236" t="s">
        <v>26</v>
      </c>
      <c r="N236">
        <v>27244.799999999999</v>
      </c>
      <c r="O236" t="str">
        <f>TEXT(SalesData[[#This Row],[Order_Date]],"mmm")</f>
        <v>Aug</v>
      </c>
      <c r="P236">
        <f>YEAR(SalesData[[#This Row],[Order_Date]])</f>
        <v>2024</v>
      </c>
      <c r="Q236" t="str">
        <f>"Q"&amp;ROUNDUP(MONTH(SalesData[[#This Row],[Order_Date]])/3,0)</f>
        <v>Q3</v>
      </c>
      <c r="R236" s="2">
        <f>IFERROR(SalesData[[#This Row],[Profit]]/SalesData[[#This Row],[Sales]],0)</f>
        <v>4.9770965468639891E-2</v>
      </c>
      <c r="S236" s="2">
        <f>SalesData[[#This Row],[Price]]*SalesData[[#This Row],[Quantity]]*SalesData[[#This Row],[Discount]]</f>
        <v>10595.2</v>
      </c>
      <c r="T236" s="2" t="str">
        <f>IF(SalesData[[#This Row],[Sales]]&gt;5000,"High",IF(SalesData[[#This Row],[Sales]]&gt;2000,"Medium","Low"))</f>
        <v>High</v>
      </c>
      <c r="U236" s="2" t="str">
        <f>IF(COUNTIFS(SalesData[Customer_ID],SalesData[[#This Row],[Customer_ID]])&gt;1,"Repeat","New")</f>
        <v>Repeat</v>
      </c>
      <c r="V236" s="2" t="str">
        <f>IF(SalesData[[#This Row],[Sales]]&gt;AVERAGE(SalesData[Sales]),"Above Avg","Below Avg")</f>
        <v>Above Avg</v>
      </c>
      <c r="W236" s="2" t="str">
        <f>IF(SalesData[[#This Row],[Profit]]&gt;0,"Profit","Loss")</f>
        <v>Profit</v>
      </c>
      <c r="X236" s="2">
        <f>RANK(SalesData[[#This Row],[Sales]],SalesData[Sales])</f>
        <v>34</v>
      </c>
    </row>
    <row r="237" spans="1:24" x14ac:dyDescent="0.3">
      <c r="A237">
        <v>236</v>
      </c>
      <c r="B237" s="1">
        <v>45527</v>
      </c>
      <c r="C237">
        <v>1034</v>
      </c>
      <c r="D237" t="s">
        <v>163</v>
      </c>
      <c r="E237" t="s">
        <v>15</v>
      </c>
      <c r="F237" t="s">
        <v>28</v>
      </c>
      <c r="G237" t="s">
        <v>34</v>
      </c>
      <c r="H237" t="s">
        <v>37</v>
      </c>
      <c r="I237">
        <v>4044</v>
      </c>
      <c r="J237">
        <v>8</v>
      </c>
      <c r="K237">
        <v>0.13</v>
      </c>
      <c r="L237">
        <v>-288</v>
      </c>
      <c r="M237" t="s">
        <v>19</v>
      </c>
      <c r="N237">
        <v>28146.240000000002</v>
      </c>
      <c r="O237" t="str">
        <f>TEXT(SalesData[[#This Row],[Order_Date]],"mmm")</f>
        <v>Aug</v>
      </c>
      <c r="P237">
        <f>YEAR(SalesData[[#This Row],[Order_Date]])</f>
        <v>2024</v>
      </c>
      <c r="Q237" t="str">
        <f>"Q"&amp;ROUNDUP(MONTH(SalesData[[#This Row],[Order_Date]])/3,0)</f>
        <v>Q3</v>
      </c>
      <c r="R237" s="2">
        <f>IFERROR(SalesData[[#This Row],[Profit]]/SalesData[[#This Row],[Sales]],0)</f>
        <v>-1.0232272587741736E-2</v>
      </c>
      <c r="S237" s="2">
        <f>SalesData[[#This Row],[Price]]*SalesData[[#This Row],[Quantity]]*SalesData[[#This Row],[Discount]]</f>
        <v>4205.76</v>
      </c>
      <c r="T237" s="2" t="str">
        <f>IF(SalesData[[#This Row],[Sales]]&gt;5000,"High",IF(SalesData[[#This Row],[Sales]]&gt;2000,"Medium","Low"))</f>
        <v>High</v>
      </c>
      <c r="U237" s="2" t="str">
        <f>IF(COUNTIFS(SalesData[Customer_ID],SalesData[[#This Row],[Customer_ID]])&gt;1,"Repeat","New")</f>
        <v>Repeat</v>
      </c>
      <c r="V237" s="2" t="str">
        <f>IF(SalesData[[#This Row],[Sales]]&gt;AVERAGE(SalesData[Sales]),"Above Avg","Below Avg")</f>
        <v>Above Avg</v>
      </c>
      <c r="W237" s="2" t="str">
        <f>IF(SalesData[[#This Row],[Profit]]&gt;0,"Profit","Loss")</f>
        <v>Loss</v>
      </c>
      <c r="X237" s="2">
        <f>RANK(SalesData[[#This Row],[Sales]],SalesData[Sales])</f>
        <v>29</v>
      </c>
    </row>
    <row r="238" spans="1:24" x14ac:dyDescent="0.3">
      <c r="A238">
        <v>237</v>
      </c>
      <c r="B238" s="1">
        <v>45528</v>
      </c>
      <c r="C238">
        <v>1037</v>
      </c>
      <c r="D238" t="s">
        <v>175</v>
      </c>
      <c r="E238" t="s">
        <v>24</v>
      </c>
      <c r="F238" t="s">
        <v>33</v>
      </c>
      <c r="G238" t="s">
        <v>17</v>
      </c>
      <c r="H238" t="s">
        <v>25</v>
      </c>
      <c r="I238">
        <v>1901</v>
      </c>
      <c r="J238">
        <v>8</v>
      </c>
      <c r="K238">
        <v>0.26</v>
      </c>
      <c r="L238">
        <v>1933</v>
      </c>
      <c r="M238" t="s">
        <v>19</v>
      </c>
      <c r="N238">
        <v>11253.92</v>
      </c>
      <c r="O238" t="str">
        <f>TEXT(SalesData[[#This Row],[Order_Date]],"mmm")</f>
        <v>Aug</v>
      </c>
      <c r="P238">
        <f>YEAR(SalesData[[#This Row],[Order_Date]])</f>
        <v>2024</v>
      </c>
      <c r="Q238" t="str">
        <f>"Q"&amp;ROUNDUP(MONTH(SalesData[[#This Row],[Order_Date]])/3,0)</f>
        <v>Q3</v>
      </c>
      <c r="R238" s="2">
        <f>IFERROR(SalesData[[#This Row],[Profit]]/SalesData[[#This Row],[Sales]],0)</f>
        <v>0.17176237257773291</v>
      </c>
      <c r="S238" s="2">
        <f>SalesData[[#This Row],[Price]]*SalesData[[#This Row],[Quantity]]*SalesData[[#This Row],[Discount]]</f>
        <v>3954.08</v>
      </c>
      <c r="T238" s="2" t="str">
        <f>IF(SalesData[[#This Row],[Sales]]&gt;5000,"High",IF(SalesData[[#This Row],[Sales]]&gt;2000,"Medium","Low"))</f>
        <v>High</v>
      </c>
      <c r="U238" s="2" t="str">
        <f>IF(COUNTIFS(SalesData[Customer_ID],SalesData[[#This Row],[Customer_ID]])&gt;1,"Repeat","New")</f>
        <v>Repeat</v>
      </c>
      <c r="V238" s="2" t="str">
        <f>IF(SalesData[[#This Row],[Sales]]&gt;AVERAGE(SalesData[Sales]),"Above Avg","Below Avg")</f>
        <v>Above Avg</v>
      </c>
      <c r="W238" s="2" t="str">
        <f>IF(SalesData[[#This Row],[Profit]]&gt;0,"Profit","Loss")</f>
        <v>Profit</v>
      </c>
      <c r="X238" s="2">
        <f>RANK(SalesData[[#This Row],[Sales]],SalesData[Sales])</f>
        <v>186</v>
      </c>
    </row>
    <row r="239" spans="1:24" x14ac:dyDescent="0.3">
      <c r="A239">
        <v>238</v>
      </c>
      <c r="B239" s="1">
        <v>45529</v>
      </c>
      <c r="C239">
        <v>1049</v>
      </c>
      <c r="D239" t="s">
        <v>79</v>
      </c>
      <c r="E239" t="s">
        <v>15</v>
      </c>
      <c r="F239" t="s">
        <v>16</v>
      </c>
      <c r="G239" t="s">
        <v>17</v>
      </c>
      <c r="H239" t="s">
        <v>18</v>
      </c>
      <c r="I239">
        <v>4270</v>
      </c>
      <c r="J239">
        <v>6</v>
      </c>
      <c r="K239">
        <v>0.05</v>
      </c>
      <c r="L239">
        <v>1845</v>
      </c>
      <c r="M239" t="s">
        <v>26</v>
      </c>
      <c r="N239">
        <v>24339</v>
      </c>
      <c r="O239" t="str">
        <f>TEXT(SalesData[[#This Row],[Order_Date]],"mmm")</f>
        <v>Aug</v>
      </c>
      <c r="P239">
        <f>YEAR(SalesData[[#This Row],[Order_Date]])</f>
        <v>2024</v>
      </c>
      <c r="Q239" t="str">
        <f>"Q"&amp;ROUNDUP(MONTH(SalesData[[#This Row],[Order_Date]])/3,0)</f>
        <v>Q3</v>
      </c>
      <c r="R239" s="2">
        <f>IFERROR(SalesData[[#This Row],[Profit]]/SalesData[[#This Row],[Sales]],0)</f>
        <v>7.5804264760261308E-2</v>
      </c>
      <c r="S239" s="2">
        <f>SalesData[[#This Row],[Price]]*SalesData[[#This Row],[Quantity]]*SalesData[[#This Row],[Discount]]</f>
        <v>1281</v>
      </c>
      <c r="T239" s="2" t="str">
        <f>IF(SalesData[[#This Row],[Sales]]&gt;5000,"High",IF(SalesData[[#This Row],[Sales]]&gt;2000,"Medium","Low"))</f>
        <v>High</v>
      </c>
      <c r="U239" s="2" t="str">
        <f>IF(COUNTIFS(SalesData[Customer_ID],SalesData[[#This Row],[Customer_ID]])&gt;1,"Repeat","New")</f>
        <v>Repeat</v>
      </c>
      <c r="V239" s="2" t="str">
        <f>IF(SalesData[[#This Row],[Sales]]&gt;AVERAGE(SalesData[Sales]),"Above Avg","Below Avg")</f>
        <v>Above Avg</v>
      </c>
      <c r="W239" s="2" t="str">
        <f>IF(SalesData[[#This Row],[Profit]]&gt;0,"Profit","Loss")</f>
        <v>Profit</v>
      </c>
      <c r="X239" s="2">
        <f>RANK(SalesData[[#This Row],[Sales]],SalesData[Sales])</f>
        <v>48</v>
      </c>
    </row>
    <row r="240" spans="1:24" x14ac:dyDescent="0.3">
      <c r="A240">
        <v>239</v>
      </c>
      <c r="B240" s="1">
        <v>45530</v>
      </c>
      <c r="C240">
        <v>1087</v>
      </c>
      <c r="D240" t="s">
        <v>93</v>
      </c>
      <c r="E240" t="s">
        <v>24</v>
      </c>
      <c r="F240" t="s">
        <v>33</v>
      </c>
      <c r="G240" t="s">
        <v>34</v>
      </c>
      <c r="H240" t="s">
        <v>29</v>
      </c>
      <c r="I240">
        <v>3460</v>
      </c>
      <c r="J240">
        <v>2</v>
      </c>
      <c r="K240">
        <v>0.16</v>
      </c>
      <c r="L240">
        <v>898</v>
      </c>
      <c r="M240" t="s">
        <v>19</v>
      </c>
      <c r="N240">
        <v>5812.8</v>
      </c>
      <c r="O240" t="str">
        <f>TEXT(SalesData[[#This Row],[Order_Date]],"mmm")</f>
        <v>Aug</v>
      </c>
      <c r="P240">
        <f>YEAR(SalesData[[#This Row],[Order_Date]])</f>
        <v>2024</v>
      </c>
      <c r="Q240" t="str">
        <f>"Q"&amp;ROUNDUP(MONTH(SalesData[[#This Row],[Order_Date]])/3,0)</f>
        <v>Q3</v>
      </c>
      <c r="R240" s="2">
        <f>IFERROR(SalesData[[#This Row],[Profit]]/SalesData[[#This Row],[Sales]],0)</f>
        <v>0.15448665015139004</v>
      </c>
      <c r="S240" s="2">
        <f>SalesData[[#This Row],[Price]]*SalesData[[#This Row],[Quantity]]*SalesData[[#This Row],[Discount]]</f>
        <v>1107.2</v>
      </c>
      <c r="T240" s="2" t="str">
        <f>IF(SalesData[[#This Row],[Sales]]&gt;5000,"High",IF(SalesData[[#This Row],[Sales]]&gt;2000,"Medium","Low"))</f>
        <v>High</v>
      </c>
      <c r="U240" s="2" t="str">
        <f>IF(COUNTIFS(SalesData[Customer_ID],SalesData[[#This Row],[Customer_ID]])&gt;1,"Repeat","New")</f>
        <v>Repeat</v>
      </c>
      <c r="V240" s="2" t="str">
        <f>IF(SalesData[[#This Row],[Sales]]&gt;AVERAGE(SalesData[Sales]),"Above Avg","Below Avg")</f>
        <v>Below Avg</v>
      </c>
      <c r="W240" s="2" t="str">
        <f>IF(SalesData[[#This Row],[Profit]]&gt;0,"Profit","Loss")</f>
        <v>Profit</v>
      </c>
      <c r="X240" s="2">
        <f>RANK(SalesData[[#This Row],[Sales]],SalesData[Sales])</f>
        <v>300</v>
      </c>
    </row>
    <row r="241" spans="1:24" x14ac:dyDescent="0.3">
      <c r="A241">
        <v>240</v>
      </c>
      <c r="B241" s="1">
        <v>45531</v>
      </c>
      <c r="C241">
        <v>1085</v>
      </c>
      <c r="D241" t="s">
        <v>176</v>
      </c>
      <c r="E241" t="s">
        <v>15</v>
      </c>
      <c r="F241" t="s">
        <v>21</v>
      </c>
      <c r="G241" t="s">
        <v>34</v>
      </c>
      <c r="H241" t="s">
        <v>37</v>
      </c>
      <c r="I241">
        <v>4062</v>
      </c>
      <c r="J241">
        <v>1</v>
      </c>
      <c r="K241">
        <v>0.18</v>
      </c>
      <c r="L241">
        <v>630</v>
      </c>
      <c r="M241" t="s">
        <v>26</v>
      </c>
      <c r="N241">
        <v>3330.84</v>
      </c>
      <c r="O241" t="str">
        <f>TEXT(SalesData[[#This Row],[Order_Date]],"mmm")</f>
        <v>Aug</v>
      </c>
      <c r="P241">
        <f>YEAR(SalesData[[#This Row],[Order_Date]])</f>
        <v>2024</v>
      </c>
      <c r="Q241" t="str">
        <f>"Q"&amp;ROUNDUP(MONTH(SalesData[[#This Row],[Order_Date]])/3,0)</f>
        <v>Q3</v>
      </c>
      <c r="R241" s="2">
        <f>IFERROR(SalesData[[#This Row],[Profit]]/SalesData[[#This Row],[Sales]],0)</f>
        <v>0.18914147782541341</v>
      </c>
      <c r="S241" s="2">
        <f>SalesData[[#This Row],[Price]]*SalesData[[#This Row],[Quantity]]*SalesData[[#This Row],[Discount]]</f>
        <v>731.16</v>
      </c>
      <c r="T241" s="2" t="str">
        <f>IF(SalesData[[#This Row],[Sales]]&gt;5000,"High",IF(SalesData[[#This Row],[Sales]]&gt;2000,"Medium","Low"))</f>
        <v>Medium</v>
      </c>
      <c r="U241" s="2" t="str">
        <f>IF(COUNTIFS(SalesData[Customer_ID],SalesData[[#This Row],[Customer_ID]])&gt;1,"Repeat","New")</f>
        <v>Repeat</v>
      </c>
      <c r="V241" s="2" t="str">
        <f>IF(SalesData[[#This Row],[Sales]]&gt;AVERAGE(SalesData[Sales]),"Above Avg","Below Avg")</f>
        <v>Below Avg</v>
      </c>
      <c r="W241" s="2" t="str">
        <f>IF(SalesData[[#This Row],[Profit]]&gt;0,"Profit","Loss")</f>
        <v>Profit</v>
      </c>
      <c r="X241" s="2">
        <f>RANK(SalesData[[#This Row],[Sales]],SalesData[Sales])</f>
        <v>385</v>
      </c>
    </row>
    <row r="242" spans="1:24" x14ac:dyDescent="0.3">
      <c r="A242">
        <v>241</v>
      </c>
      <c r="B242" s="1">
        <v>45532</v>
      </c>
      <c r="C242">
        <v>1025</v>
      </c>
      <c r="D242" t="s">
        <v>70</v>
      </c>
      <c r="E242" t="s">
        <v>24</v>
      </c>
      <c r="F242" t="s">
        <v>16</v>
      </c>
      <c r="G242" t="s">
        <v>34</v>
      </c>
      <c r="H242" t="s">
        <v>37</v>
      </c>
      <c r="I242">
        <v>3312</v>
      </c>
      <c r="J242">
        <v>6</v>
      </c>
      <c r="K242">
        <v>0.18</v>
      </c>
      <c r="L242">
        <v>1603</v>
      </c>
      <c r="M242" t="s">
        <v>19</v>
      </c>
      <c r="N242">
        <v>16295.04</v>
      </c>
      <c r="O242" t="str">
        <f>TEXT(SalesData[[#This Row],[Order_Date]],"mmm")</f>
        <v>Aug</v>
      </c>
      <c r="P242">
        <f>YEAR(SalesData[[#This Row],[Order_Date]])</f>
        <v>2024</v>
      </c>
      <c r="Q242" t="str">
        <f>"Q"&amp;ROUNDUP(MONTH(SalesData[[#This Row],[Order_Date]])/3,0)</f>
        <v>Q3</v>
      </c>
      <c r="R242" s="2">
        <f>IFERROR(SalesData[[#This Row],[Profit]]/SalesData[[#This Row],[Sales]],0)</f>
        <v>9.8373492792898934E-2</v>
      </c>
      <c r="S242" s="2">
        <f>SalesData[[#This Row],[Price]]*SalesData[[#This Row],[Quantity]]*SalesData[[#This Row],[Discount]]</f>
        <v>3576.96</v>
      </c>
      <c r="T242" s="2" t="str">
        <f>IF(SalesData[[#This Row],[Sales]]&gt;5000,"High",IF(SalesData[[#This Row],[Sales]]&gt;2000,"Medium","Low"))</f>
        <v>High</v>
      </c>
      <c r="U242" s="2" t="str">
        <f>IF(COUNTIFS(SalesData[Customer_ID],SalesData[[#This Row],[Customer_ID]])&gt;1,"Repeat","New")</f>
        <v>Repeat</v>
      </c>
      <c r="V242" s="2" t="str">
        <f>IF(SalesData[[#This Row],[Sales]]&gt;AVERAGE(SalesData[Sales]),"Above Avg","Below Avg")</f>
        <v>Above Avg</v>
      </c>
      <c r="W242" s="2" t="str">
        <f>IF(SalesData[[#This Row],[Profit]]&gt;0,"Profit","Loss")</f>
        <v>Profit</v>
      </c>
      <c r="X242" s="2">
        <f>RANK(SalesData[[#This Row],[Sales]],SalesData[Sales])</f>
        <v>119</v>
      </c>
    </row>
    <row r="243" spans="1:24" x14ac:dyDescent="0.3">
      <c r="A243">
        <v>242</v>
      </c>
      <c r="B243" s="1">
        <v>45533</v>
      </c>
      <c r="C243">
        <v>1017</v>
      </c>
      <c r="D243" t="s">
        <v>52</v>
      </c>
      <c r="E243" t="s">
        <v>24</v>
      </c>
      <c r="F243" t="s">
        <v>16</v>
      </c>
      <c r="G243" t="s">
        <v>17</v>
      </c>
      <c r="H243" t="s">
        <v>29</v>
      </c>
      <c r="I243">
        <v>2687</v>
      </c>
      <c r="J243">
        <v>2</v>
      </c>
      <c r="K243">
        <v>0.15</v>
      </c>
      <c r="L243">
        <v>564</v>
      </c>
      <c r="M243" t="s">
        <v>19</v>
      </c>
      <c r="N243">
        <v>4567.8999999999996</v>
      </c>
      <c r="O243" t="str">
        <f>TEXT(SalesData[[#This Row],[Order_Date]],"mmm")</f>
        <v>Aug</v>
      </c>
      <c r="P243">
        <f>YEAR(SalesData[[#This Row],[Order_Date]])</f>
        <v>2024</v>
      </c>
      <c r="Q243" t="str">
        <f>"Q"&amp;ROUNDUP(MONTH(SalesData[[#This Row],[Order_Date]])/3,0)</f>
        <v>Q3</v>
      </c>
      <c r="R243" s="2">
        <f>IFERROR(SalesData[[#This Row],[Profit]]/SalesData[[#This Row],[Sales]],0)</f>
        <v>0.12347030364062261</v>
      </c>
      <c r="S243" s="2">
        <f>SalesData[[#This Row],[Price]]*SalesData[[#This Row],[Quantity]]*SalesData[[#This Row],[Discount]]</f>
        <v>806.1</v>
      </c>
      <c r="T243" s="2" t="str">
        <f>IF(SalesData[[#This Row],[Sales]]&gt;5000,"High",IF(SalesData[[#This Row],[Sales]]&gt;2000,"Medium","Low"))</f>
        <v>Medium</v>
      </c>
      <c r="U243" s="2" t="str">
        <f>IF(COUNTIFS(SalesData[Customer_ID],SalesData[[#This Row],[Customer_ID]])&gt;1,"Repeat","New")</f>
        <v>Repeat</v>
      </c>
      <c r="V243" s="2" t="str">
        <f>IF(SalesData[[#This Row],[Sales]]&gt;AVERAGE(SalesData[Sales]),"Above Avg","Below Avg")</f>
        <v>Below Avg</v>
      </c>
      <c r="W243" s="2" t="str">
        <f>IF(SalesData[[#This Row],[Profit]]&gt;0,"Profit","Loss")</f>
        <v>Profit</v>
      </c>
      <c r="X243" s="2">
        <f>RANK(SalesData[[#This Row],[Sales]],SalesData[Sales])</f>
        <v>336</v>
      </c>
    </row>
    <row r="244" spans="1:24" x14ac:dyDescent="0.3">
      <c r="A244">
        <v>243</v>
      </c>
      <c r="B244" s="1">
        <v>45534</v>
      </c>
      <c r="C244">
        <v>1058</v>
      </c>
      <c r="D244" t="s">
        <v>133</v>
      </c>
      <c r="E244" t="s">
        <v>24</v>
      </c>
      <c r="F244" t="s">
        <v>33</v>
      </c>
      <c r="G244" t="s">
        <v>34</v>
      </c>
      <c r="H244" t="s">
        <v>29</v>
      </c>
      <c r="I244">
        <v>4904</v>
      </c>
      <c r="J244">
        <v>7</v>
      </c>
      <c r="K244">
        <v>0.23</v>
      </c>
      <c r="L244">
        <v>984</v>
      </c>
      <c r="M244" t="s">
        <v>26</v>
      </c>
      <c r="N244">
        <v>26432.560000000001</v>
      </c>
      <c r="O244" t="str">
        <f>TEXT(SalesData[[#This Row],[Order_Date]],"mmm")</f>
        <v>Aug</v>
      </c>
      <c r="P244">
        <f>YEAR(SalesData[[#This Row],[Order_Date]])</f>
        <v>2024</v>
      </c>
      <c r="Q244" t="str">
        <f>"Q"&amp;ROUNDUP(MONTH(SalesData[[#This Row],[Order_Date]])/3,0)</f>
        <v>Q3</v>
      </c>
      <c r="R244" s="2">
        <f>IFERROR(SalesData[[#This Row],[Profit]]/SalesData[[#This Row],[Sales]],0)</f>
        <v>3.7226814201878289E-2</v>
      </c>
      <c r="S244" s="2">
        <f>SalesData[[#This Row],[Price]]*SalesData[[#This Row],[Quantity]]*SalesData[[#This Row],[Discount]]</f>
        <v>7895.4400000000005</v>
      </c>
      <c r="T244" s="2" t="str">
        <f>IF(SalesData[[#This Row],[Sales]]&gt;5000,"High",IF(SalesData[[#This Row],[Sales]]&gt;2000,"Medium","Low"))</f>
        <v>High</v>
      </c>
      <c r="U244" s="2" t="str">
        <f>IF(COUNTIFS(SalesData[Customer_ID],SalesData[[#This Row],[Customer_ID]])&gt;1,"Repeat","New")</f>
        <v>Repeat</v>
      </c>
      <c r="V244" s="2" t="str">
        <f>IF(SalesData[[#This Row],[Sales]]&gt;AVERAGE(SalesData[Sales]),"Above Avg","Below Avg")</f>
        <v>Above Avg</v>
      </c>
      <c r="W244" s="2" t="str">
        <f>IF(SalesData[[#This Row],[Profit]]&gt;0,"Profit","Loss")</f>
        <v>Profit</v>
      </c>
      <c r="X244" s="2">
        <f>RANK(SalesData[[#This Row],[Sales]],SalesData[Sales])</f>
        <v>38</v>
      </c>
    </row>
    <row r="245" spans="1:24" x14ac:dyDescent="0.3">
      <c r="A245">
        <v>244</v>
      </c>
      <c r="B245" s="1">
        <v>45535</v>
      </c>
      <c r="C245">
        <v>1066</v>
      </c>
      <c r="D245" t="s">
        <v>106</v>
      </c>
      <c r="E245" t="s">
        <v>15</v>
      </c>
      <c r="F245" t="s">
        <v>33</v>
      </c>
      <c r="G245" t="s">
        <v>17</v>
      </c>
      <c r="H245" t="s">
        <v>25</v>
      </c>
      <c r="I245">
        <v>1799</v>
      </c>
      <c r="J245">
        <v>2</v>
      </c>
      <c r="K245">
        <v>0.05</v>
      </c>
      <c r="L245">
        <v>241</v>
      </c>
      <c r="M245" t="s">
        <v>26</v>
      </c>
      <c r="N245">
        <v>3418.1</v>
      </c>
      <c r="O245" t="str">
        <f>TEXT(SalesData[[#This Row],[Order_Date]],"mmm")</f>
        <v>Aug</v>
      </c>
      <c r="P245">
        <f>YEAR(SalesData[[#This Row],[Order_Date]])</f>
        <v>2024</v>
      </c>
      <c r="Q245" t="str">
        <f>"Q"&amp;ROUNDUP(MONTH(SalesData[[#This Row],[Order_Date]])/3,0)</f>
        <v>Q3</v>
      </c>
      <c r="R245" s="2">
        <f>IFERROR(SalesData[[#This Row],[Profit]]/SalesData[[#This Row],[Sales]],0)</f>
        <v>7.0507006816652534E-2</v>
      </c>
      <c r="S245" s="2">
        <f>SalesData[[#This Row],[Price]]*SalesData[[#This Row],[Quantity]]*SalesData[[#This Row],[Discount]]</f>
        <v>179.9</v>
      </c>
      <c r="T245" s="2" t="str">
        <f>IF(SalesData[[#This Row],[Sales]]&gt;5000,"High",IF(SalesData[[#This Row],[Sales]]&gt;2000,"Medium","Low"))</f>
        <v>Medium</v>
      </c>
      <c r="U245" s="2" t="str">
        <f>IF(COUNTIFS(SalesData[Customer_ID],SalesData[[#This Row],[Customer_ID]])&gt;1,"Repeat","New")</f>
        <v>Repeat</v>
      </c>
      <c r="V245" s="2" t="str">
        <f>IF(SalesData[[#This Row],[Sales]]&gt;AVERAGE(SalesData[Sales]),"Above Avg","Below Avg")</f>
        <v>Below Avg</v>
      </c>
      <c r="W245" s="2" t="str">
        <f>IF(SalesData[[#This Row],[Profit]]&gt;0,"Profit","Loss")</f>
        <v>Profit</v>
      </c>
      <c r="X245" s="2">
        <f>RANK(SalesData[[#This Row],[Sales]],SalesData[Sales])</f>
        <v>380</v>
      </c>
    </row>
    <row r="246" spans="1:24" x14ac:dyDescent="0.3">
      <c r="A246">
        <v>245</v>
      </c>
      <c r="B246" s="1">
        <v>45536</v>
      </c>
      <c r="C246">
        <v>1045</v>
      </c>
      <c r="D246" t="s">
        <v>177</v>
      </c>
      <c r="E246" t="s">
        <v>15</v>
      </c>
      <c r="F246" t="s">
        <v>28</v>
      </c>
      <c r="G246" t="s">
        <v>22</v>
      </c>
      <c r="H246" t="s">
        <v>18</v>
      </c>
      <c r="I246">
        <v>247</v>
      </c>
      <c r="J246">
        <v>7</v>
      </c>
      <c r="K246">
        <v>0.02</v>
      </c>
      <c r="L246">
        <v>452</v>
      </c>
      <c r="M246" t="s">
        <v>19</v>
      </c>
      <c r="N246">
        <v>1694.42</v>
      </c>
      <c r="O246" t="str">
        <f>TEXT(SalesData[[#This Row],[Order_Date]],"mmm")</f>
        <v>Sep</v>
      </c>
      <c r="P246">
        <f>YEAR(SalesData[[#This Row],[Order_Date]])</f>
        <v>2024</v>
      </c>
      <c r="Q246" t="str">
        <f>"Q"&amp;ROUNDUP(MONTH(SalesData[[#This Row],[Order_Date]])/3,0)</f>
        <v>Q3</v>
      </c>
      <c r="R246" s="2">
        <f>IFERROR(SalesData[[#This Row],[Profit]]/SalesData[[#This Row],[Sales]],0)</f>
        <v>0.26675794667201758</v>
      </c>
      <c r="S246" s="2">
        <f>SalesData[[#This Row],[Price]]*SalesData[[#This Row],[Quantity]]*SalesData[[#This Row],[Discount]]</f>
        <v>34.58</v>
      </c>
      <c r="T246" s="2" t="str">
        <f>IF(SalesData[[#This Row],[Sales]]&gt;5000,"High",IF(SalesData[[#This Row],[Sales]]&gt;2000,"Medium","Low"))</f>
        <v>Low</v>
      </c>
      <c r="U246" s="2" t="str">
        <f>IF(COUNTIFS(SalesData[Customer_ID],SalesData[[#This Row],[Customer_ID]])&gt;1,"Repeat","New")</f>
        <v>Repeat</v>
      </c>
      <c r="V246" s="2" t="str">
        <f>IF(SalesData[[#This Row],[Sales]]&gt;AVERAGE(SalesData[Sales]),"Above Avg","Below Avg")</f>
        <v>Below Avg</v>
      </c>
      <c r="W246" s="2" t="str">
        <f>IF(SalesData[[#This Row],[Profit]]&gt;0,"Profit","Loss")</f>
        <v>Profit</v>
      </c>
      <c r="X246" s="2">
        <f>RANK(SalesData[[#This Row],[Sales]],SalesData[Sales])</f>
        <v>447</v>
      </c>
    </row>
    <row r="247" spans="1:24" x14ac:dyDescent="0.3">
      <c r="A247">
        <v>246</v>
      </c>
      <c r="B247" s="1">
        <v>45537</v>
      </c>
      <c r="C247">
        <v>1010</v>
      </c>
      <c r="D247" t="s">
        <v>80</v>
      </c>
      <c r="E247" t="s">
        <v>24</v>
      </c>
      <c r="F247" t="s">
        <v>21</v>
      </c>
      <c r="G247" t="s">
        <v>34</v>
      </c>
      <c r="H247" t="s">
        <v>37</v>
      </c>
      <c r="I247">
        <v>3111</v>
      </c>
      <c r="J247">
        <v>1</v>
      </c>
      <c r="K247">
        <v>0.04</v>
      </c>
      <c r="L247">
        <v>120</v>
      </c>
      <c r="M247" t="s">
        <v>26</v>
      </c>
      <c r="N247">
        <v>2986.56</v>
      </c>
      <c r="O247" t="str">
        <f>TEXT(SalesData[[#This Row],[Order_Date]],"mmm")</f>
        <v>Sep</v>
      </c>
      <c r="P247">
        <f>YEAR(SalesData[[#This Row],[Order_Date]])</f>
        <v>2024</v>
      </c>
      <c r="Q247" t="str">
        <f>"Q"&amp;ROUNDUP(MONTH(SalesData[[#This Row],[Order_Date]])/3,0)</f>
        <v>Q3</v>
      </c>
      <c r="R247" s="2">
        <f>IFERROR(SalesData[[#This Row],[Profit]]/SalesData[[#This Row],[Sales]],0)</f>
        <v>4.0180006428801027E-2</v>
      </c>
      <c r="S247" s="2">
        <f>SalesData[[#This Row],[Price]]*SalesData[[#This Row],[Quantity]]*SalesData[[#This Row],[Discount]]</f>
        <v>124.44</v>
      </c>
      <c r="T247" s="2" t="str">
        <f>IF(SalesData[[#This Row],[Sales]]&gt;5000,"High",IF(SalesData[[#This Row],[Sales]]&gt;2000,"Medium","Low"))</f>
        <v>Medium</v>
      </c>
      <c r="U247" s="2" t="str">
        <f>IF(COUNTIFS(SalesData[Customer_ID],SalesData[[#This Row],[Customer_ID]])&gt;1,"Repeat","New")</f>
        <v>Repeat</v>
      </c>
      <c r="V247" s="2" t="str">
        <f>IF(SalesData[[#This Row],[Sales]]&gt;AVERAGE(SalesData[Sales]),"Above Avg","Below Avg")</f>
        <v>Below Avg</v>
      </c>
      <c r="W247" s="2" t="str">
        <f>IF(SalesData[[#This Row],[Profit]]&gt;0,"Profit","Loss")</f>
        <v>Profit</v>
      </c>
      <c r="X247" s="2">
        <f>RANK(SalesData[[#This Row],[Sales]],SalesData[Sales])</f>
        <v>394</v>
      </c>
    </row>
    <row r="248" spans="1:24" x14ac:dyDescent="0.3">
      <c r="A248">
        <v>247</v>
      </c>
      <c r="B248" s="1">
        <v>45538</v>
      </c>
      <c r="C248">
        <v>1008</v>
      </c>
      <c r="D248" t="s">
        <v>38</v>
      </c>
      <c r="E248" t="s">
        <v>24</v>
      </c>
      <c r="F248" t="s">
        <v>33</v>
      </c>
      <c r="G248" t="s">
        <v>17</v>
      </c>
      <c r="H248" t="s">
        <v>29</v>
      </c>
      <c r="I248">
        <v>1629</v>
      </c>
      <c r="J248">
        <v>6</v>
      </c>
      <c r="K248">
        <v>0.17</v>
      </c>
      <c r="L248">
        <v>1561</v>
      </c>
      <c r="M248" t="s">
        <v>19</v>
      </c>
      <c r="N248">
        <v>8112.4199999999901</v>
      </c>
      <c r="O248" t="str">
        <f>TEXT(SalesData[[#This Row],[Order_Date]],"mmm")</f>
        <v>Sep</v>
      </c>
      <c r="P248">
        <f>YEAR(SalesData[[#This Row],[Order_Date]])</f>
        <v>2024</v>
      </c>
      <c r="Q248" t="str">
        <f>"Q"&amp;ROUNDUP(MONTH(SalesData[[#This Row],[Order_Date]])/3,0)</f>
        <v>Q3</v>
      </c>
      <c r="R248" s="2">
        <f>IFERROR(SalesData[[#This Row],[Profit]]/SalesData[[#This Row],[Sales]],0)</f>
        <v>0.19242100384348959</v>
      </c>
      <c r="S248" s="2">
        <f>SalesData[[#This Row],[Price]]*SalesData[[#This Row],[Quantity]]*SalesData[[#This Row],[Discount]]</f>
        <v>1661.5800000000002</v>
      </c>
      <c r="T248" s="2" t="str">
        <f>IF(SalesData[[#This Row],[Sales]]&gt;5000,"High",IF(SalesData[[#This Row],[Sales]]&gt;2000,"Medium","Low"))</f>
        <v>High</v>
      </c>
      <c r="U248" s="2" t="str">
        <f>IF(COUNTIFS(SalesData[Customer_ID],SalesData[[#This Row],[Customer_ID]])&gt;1,"Repeat","New")</f>
        <v>Repeat</v>
      </c>
      <c r="V248" s="2" t="str">
        <f>IF(SalesData[[#This Row],[Sales]]&gt;AVERAGE(SalesData[Sales]),"Above Avg","Below Avg")</f>
        <v>Below Avg</v>
      </c>
      <c r="W248" s="2" t="str">
        <f>IF(SalesData[[#This Row],[Profit]]&gt;0,"Profit","Loss")</f>
        <v>Profit</v>
      </c>
      <c r="X248" s="2">
        <f>RANK(SalesData[[#This Row],[Sales]],SalesData[Sales])</f>
        <v>247</v>
      </c>
    </row>
    <row r="249" spans="1:24" x14ac:dyDescent="0.3">
      <c r="A249">
        <v>248</v>
      </c>
      <c r="B249" s="1">
        <v>45539</v>
      </c>
      <c r="C249">
        <v>1096</v>
      </c>
      <c r="D249" t="s">
        <v>86</v>
      </c>
      <c r="E249" t="s">
        <v>24</v>
      </c>
      <c r="F249" t="s">
        <v>21</v>
      </c>
      <c r="G249" t="s">
        <v>17</v>
      </c>
      <c r="H249" t="s">
        <v>18</v>
      </c>
      <c r="I249">
        <v>4607</v>
      </c>
      <c r="J249">
        <v>8</v>
      </c>
      <c r="K249">
        <v>7.0000000000000007E-2</v>
      </c>
      <c r="L249">
        <v>746</v>
      </c>
      <c r="M249" t="s">
        <v>19</v>
      </c>
      <c r="N249">
        <v>34276.0799999999</v>
      </c>
      <c r="O249" t="str">
        <f>TEXT(SalesData[[#This Row],[Order_Date]],"mmm")</f>
        <v>Sep</v>
      </c>
      <c r="P249">
        <f>YEAR(SalesData[[#This Row],[Order_Date]])</f>
        <v>2024</v>
      </c>
      <c r="Q249" t="str">
        <f>"Q"&amp;ROUNDUP(MONTH(SalesData[[#This Row],[Order_Date]])/3,0)</f>
        <v>Q3</v>
      </c>
      <c r="R249" s="2">
        <f>IFERROR(SalesData[[#This Row],[Profit]]/SalesData[[#This Row],[Sales]],0)</f>
        <v>2.1764449143542731E-2</v>
      </c>
      <c r="S249" s="2">
        <f>SalesData[[#This Row],[Price]]*SalesData[[#This Row],[Quantity]]*SalesData[[#This Row],[Discount]]</f>
        <v>2579.92</v>
      </c>
      <c r="T249" s="2" t="str">
        <f>IF(SalesData[[#This Row],[Sales]]&gt;5000,"High",IF(SalesData[[#This Row],[Sales]]&gt;2000,"Medium","Low"))</f>
        <v>High</v>
      </c>
      <c r="U249" s="2" t="str">
        <f>IF(COUNTIFS(SalesData[Customer_ID],SalesData[[#This Row],[Customer_ID]])&gt;1,"Repeat","New")</f>
        <v>Repeat</v>
      </c>
      <c r="V249" s="2" t="str">
        <f>IF(SalesData[[#This Row],[Sales]]&gt;AVERAGE(SalesData[Sales]),"Above Avg","Below Avg")</f>
        <v>Above Avg</v>
      </c>
      <c r="W249" s="2" t="str">
        <f>IF(SalesData[[#This Row],[Profit]]&gt;0,"Profit","Loss")</f>
        <v>Profit</v>
      </c>
      <c r="X249" s="2">
        <f>RANK(SalesData[[#This Row],[Sales]],SalesData[Sales])</f>
        <v>13</v>
      </c>
    </row>
    <row r="250" spans="1:24" x14ac:dyDescent="0.3">
      <c r="A250">
        <v>249</v>
      </c>
      <c r="B250" s="1">
        <v>45540</v>
      </c>
      <c r="C250">
        <v>1025</v>
      </c>
      <c r="D250" t="s">
        <v>165</v>
      </c>
      <c r="E250" t="s">
        <v>24</v>
      </c>
      <c r="F250" t="s">
        <v>28</v>
      </c>
      <c r="G250" t="s">
        <v>22</v>
      </c>
      <c r="H250" t="s">
        <v>18</v>
      </c>
      <c r="I250">
        <v>217</v>
      </c>
      <c r="J250">
        <v>4</v>
      </c>
      <c r="K250">
        <v>0.22</v>
      </c>
      <c r="L250">
        <v>-1</v>
      </c>
      <c r="M250" t="s">
        <v>31</v>
      </c>
      <c r="N250">
        <v>677.04</v>
      </c>
      <c r="O250" t="str">
        <f>TEXT(SalesData[[#This Row],[Order_Date]],"mmm")</f>
        <v>Sep</v>
      </c>
      <c r="P250">
        <f>YEAR(SalesData[[#This Row],[Order_Date]])</f>
        <v>2024</v>
      </c>
      <c r="Q250" t="str">
        <f>"Q"&amp;ROUNDUP(MONTH(SalesData[[#This Row],[Order_Date]])/3,0)</f>
        <v>Q3</v>
      </c>
      <c r="R250" s="2">
        <f>IFERROR(SalesData[[#This Row],[Profit]]/SalesData[[#This Row],[Sales]],0)</f>
        <v>-1.4770176060498641E-3</v>
      </c>
      <c r="S250" s="2">
        <f>SalesData[[#This Row],[Price]]*SalesData[[#This Row],[Quantity]]*SalesData[[#This Row],[Discount]]</f>
        <v>190.96</v>
      </c>
      <c r="T250" s="2" t="str">
        <f>IF(SalesData[[#This Row],[Sales]]&gt;5000,"High",IF(SalesData[[#This Row],[Sales]]&gt;2000,"Medium","Low"))</f>
        <v>Low</v>
      </c>
      <c r="U250" s="2" t="str">
        <f>IF(COUNTIFS(SalesData[Customer_ID],SalesData[[#This Row],[Customer_ID]])&gt;1,"Repeat","New")</f>
        <v>Repeat</v>
      </c>
      <c r="V250" s="2" t="str">
        <f>IF(SalesData[[#This Row],[Sales]]&gt;AVERAGE(SalesData[Sales]),"Above Avg","Below Avg")</f>
        <v>Below Avg</v>
      </c>
      <c r="W250" s="2" t="str">
        <f>IF(SalesData[[#This Row],[Profit]]&gt;0,"Profit","Loss")</f>
        <v>Loss</v>
      </c>
      <c r="X250" s="2">
        <f>RANK(SalesData[[#This Row],[Sales]],SalesData[Sales])</f>
        <v>485</v>
      </c>
    </row>
    <row r="251" spans="1:24" x14ac:dyDescent="0.3">
      <c r="A251">
        <v>250</v>
      </c>
      <c r="B251" s="1">
        <v>45541</v>
      </c>
      <c r="C251">
        <v>1099</v>
      </c>
      <c r="D251" t="s">
        <v>78</v>
      </c>
      <c r="E251" t="s">
        <v>24</v>
      </c>
      <c r="F251" t="s">
        <v>21</v>
      </c>
      <c r="G251" t="s">
        <v>17</v>
      </c>
      <c r="H251" t="s">
        <v>18</v>
      </c>
      <c r="I251">
        <v>4979</v>
      </c>
      <c r="J251">
        <v>2</v>
      </c>
      <c r="K251">
        <v>0.02</v>
      </c>
      <c r="L251">
        <v>1538</v>
      </c>
      <c r="M251" t="s">
        <v>31</v>
      </c>
      <c r="N251">
        <v>9758.84</v>
      </c>
      <c r="O251" t="str">
        <f>TEXT(SalesData[[#This Row],[Order_Date]],"mmm")</f>
        <v>Sep</v>
      </c>
      <c r="P251">
        <f>YEAR(SalesData[[#This Row],[Order_Date]])</f>
        <v>2024</v>
      </c>
      <c r="Q251" t="str">
        <f>"Q"&amp;ROUNDUP(MONTH(SalesData[[#This Row],[Order_Date]])/3,0)</f>
        <v>Q3</v>
      </c>
      <c r="R251" s="2">
        <f>IFERROR(SalesData[[#This Row],[Profit]]/SalesData[[#This Row],[Sales]],0)</f>
        <v>0.15760069844366748</v>
      </c>
      <c r="S251" s="2">
        <f>SalesData[[#This Row],[Price]]*SalesData[[#This Row],[Quantity]]*SalesData[[#This Row],[Discount]]</f>
        <v>199.16</v>
      </c>
      <c r="T251" s="2" t="str">
        <f>IF(SalesData[[#This Row],[Sales]]&gt;5000,"High",IF(SalesData[[#This Row],[Sales]]&gt;2000,"Medium","Low"))</f>
        <v>High</v>
      </c>
      <c r="U251" s="2" t="str">
        <f>IF(COUNTIFS(SalesData[Customer_ID],SalesData[[#This Row],[Customer_ID]])&gt;1,"Repeat","New")</f>
        <v>Repeat</v>
      </c>
      <c r="V251" s="2" t="str">
        <f>IF(SalesData[[#This Row],[Sales]]&gt;AVERAGE(SalesData[Sales]),"Above Avg","Below Avg")</f>
        <v>Below Avg</v>
      </c>
      <c r="W251" s="2" t="str">
        <f>IF(SalesData[[#This Row],[Profit]]&gt;0,"Profit","Loss")</f>
        <v>Profit</v>
      </c>
      <c r="X251" s="2">
        <f>RANK(SalesData[[#This Row],[Sales]],SalesData[Sales])</f>
        <v>208</v>
      </c>
    </row>
    <row r="252" spans="1:24" x14ac:dyDescent="0.3">
      <c r="A252">
        <v>251</v>
      </c>
      <c r="B252" s="1">
        <v>45542</v>
      </c>
      <c r="C252">
        <v>1067</v>
      </c>
      <c r="D252" t="s">
        <v>178</v>
      </c>
      <c r="E252" t="s">
        <v>15</v>
      </c>
      <c r="F252" t="s">
        <v>16</v>
      </c>
      <c r="G252" t="s">
        <v>34</v>
      </c>
      <c r="H252" t="s">
        <v>18</v>
      </c>
      <c r="I252">
        <v>586</v>
      </c>
      <c r="J252">
        <v>9</v>
      </c>
      <c r="K252">
        <v>0.27</v>
      </c>
      <c r="L252">
        <v>781</v>
      </c>
      <c r="M252" t="s">
        <v>31</v>
      </c>
      <c r="N252">
        <v>3850.02</v>
      </c>
      <c r="O252" t="str">
        <f>TEXT(SalesData[[#This Row],[Order_Date]],"mmm")</f>
        <v>Sep</v>
      </c>
      <c r="P252">
        <f>YEAR(SalesData[[#This Row],[Order_Date]])</f>
        <v>2024</v>
      </c>
      <c r="Q252" t="str">
        <f>"Q"&amp;ROUNDUP(MONTH(SalesData[[#This Row],[Order_Date]])/3,0)</f>
        <v>Q3</v>
      </c>
      <c r="R252" s="2">
        <f>IFERROR(SalesData[[#This Row],[Profit]]/SalesData[[#This Row],[Sales]],0)</f>
        <v>0.20285608905927763</v>
      </c>
      <c r="S252" s="2">
        <f>SalesData[[#This Row],[Price]]*SalesData[[#This Row],[Quantity]]*SalesData[[#This Row],[Discount]]</f>
        <v>1423.98</v>
      </c>
      <c r="T252" s="2" t="str">
        <f>IF(SalesData[[#This Row],[Sales]]&gt;5000,"High",IF(SalesData[[#This Row],[Sales]]&gt;2000,"Medium","Low"))</f>
        <v>Medium</v>
      </c>
      <c r="U252" s="2" t="str">
        <f>IF(COUNTIFS(SalesData[Customer_ID],SalesData[[#This Row],[Customer_ID]])&gt;1,"Repeat","New")</f>
        <v>Repeat</v>
      </c>
      <c r="V252" s="2" t="str">
        <f>IF(SalesData[[#This Row],[Sales]]&gt;AVERAGE(SalesData[Sales]),"Above Avg","Below Avg")</f>
        <v>Below Avg</v>
      </c>
      <c r="W252" s="2" t="str">
        <f>IF(SalesData[[#This Row],[Profit]]&gt;0,"Profit","Loss")</f>
        <v>Profit</v>
      </c>
      <c r="X252" s="2">
        <f>RANK(SalesData[[#This Row],[Sales]],SalesData[Sales])</f>
        <v>360</v>
      </c>
    </row>
    <row r="253" spans="1:24" x14ac:dyDescent="0.3">
      <c r="A253">
        <v>252</v>
      </c>
      <c r="B253" s="1">
        <v>45543</v>
      </c>
      <c r="C253">
        <v>1065</v>
      </c>
      <c r="D253" t="s">
        <v>174</v>
      </c>
      <c r="E253" t="s">
        <v>15</v>
      </c>
      <c r="F253" t="s">
        <v>28</v>
      </c>
      <c r="G253" t="s">
        <v>34</v>
      </c>
      <c r="H253" t="s">
        <v>37</v>
      </c>
      <c r="I253">
        <v>1335</v>
      </c>
      <c r="J253">
        <v>6</v>
      </c>
      <c r="K253">
        <v>0.28999999999999998</v>
      </c>
      <c r="L253">
        <v>598</v>
      </c>
      <c r="M253" t="s">
        <v>26</v>
      </c>
      <c r="N253">
        <v>5687.0999999999904</v>
      </c>
      <c r="O253" t="str">
        <f>TEXT(SalesData[[#This Row],[Order_Date]],"mmm")</f>
        <v>Sep</v>
      </c>
      <c r="P253">
        <f>YEAR(SalesData[[#This Row],[Order_Date]])</f>
        <v>2024</v>
      </c>
      <c r="Q253" t="str">
        <f>"Q"&amp;ROUNDUP(MONTH(SalesData[[#This Row],[Order_Date]])/3,0)</f>
        <v>Q3</v>
      </c>
      <c r="R253" s="2">
        <f>IFERROR(SalesData[[#This Row],[Profit]]/SalesData[[#This Row],[Sales]],0)</f>
        <v>0.10515025232543845</v>
      </c>
      <c r="S253" s="2">
        <f>SalesData[[#This Row],[Price]]*SalesData[[#This Row],[Quantity]]*SalesData[[#This Row],[Discount]]</f>
        <v>2322.8999999999996</v>
      </c>
      <c r="T253" s="2" t="str">
        <f>IF(SalesData[[#This Row],[Sales]]&gt;5000,"High",IF(SalesData[[#This Row],[Sales]]&gt;2000,"Medium","Low"))</f>
        <v>High</v>
      </c>
      <c r="U253" s="2" t="str">
        <f>IF(COUNTIFS(SalesData[Customer_ID],SalesData[[#This Row],[Customer_ID]])&gt;1,"Repeat","New")</f>
        <v>Repeat</v>
      </c>
      <c r="V253" s="2" t="str">
        <f>IF(SalesData[[#This Row],[Sales]]&gt;AVERAGE(SalesData[Sales]),"Above Avg","Below Avg")</f>
        <v>Below Avg</v>
      </c>
      <c r="W253" s="2" t="str">
        <f>IF(SalesData[[#This Row],[Profit]]&gt;0,"Profit","Loss")</f>
        <v>Profit</v>
      </c>
      <c r="X253" s="2">
        <f>RANK(SalesData[[#This Row],[Sales]],SalesData[Sales])</f>
        <v>304</v>
      </c>
    </row>
    <row r="254" spans="1:24" x14ac:dyDescent="0.3">
      <c r="A254">
        <v>253</v>
      </c>
      <c r="B254" s="1">
        <v>45544</v>
      </c>
      <c r="C254">
        <v>1007</v>
      </c>
      <c r="D254" t="s">
        <v>179</v>
      </c>
      <c r="E254" t="s">
        <v>15</v>
      </c>
      <c r="F254" t="s">
        <v>16</v>
      </c>
      <c r="G254" t="s">
        <v>17</v>
      </c>
      <c r="H254" t="s">
        <v>18</v>
      </c>
      <c r="I254">
        <v>2947</v>
      </c>
      <c r="J254">
        <v>2</v>
      </c>
      <c r="K254">
        <v>0.24</v>
      </c>
      <c r="L254">
        <v>48</v>
      </c>
      <c r="M254" t="s">
        <v>31</v>
      </c>
      <c r="N254">
        <v>4479.4399999999996</v>
      </c>
      <c r="O254" t="str">
        <f>TEXT(SalesData[[#This Row],[Order_Date]],"mmm")</f>
        <v>Sep</v>
      </c>
      <c r="P254">
        <f>YEAR(SalesData[[#This Row],[Order_Date]])</f>
        <v>2024</v>
      </c>
      <c r="Q254" t="str">
        <f>"Q"&amp;ROUNDUP(MONTH(SalesData[[#This Row],[Order_Date]])/3,0)</f>
        <v>Q3</v>
      </c>
      <c r="R254" s="2">
        <f>IFERROR(SalesData[[#This Row],[Profit]]/SalesData[[#This Row],[Sales]],0)</f>
        <v>1.0715625167431644E-2</v>
      </c>
      <c r="S254" s="2">
        <f>SalesData[[#This Row],[Price]]*SalesData[[#This Row],[Quantity]]*SalesData[[#This Row],[Discount]]</f>
        <v>1414.56</v>
      </c>
      <c r="T254" s="2" t="str">
        <f>IF(SalesData[[#This Row],[Sales]]&gt;5000,"High",IF(SalesData[[#This Row],[Sales]]&gt;2000,"Medium","Low"))</f>
        <v>Medium</v>
      </c>
      <c r="U254" s="2" t="str">
        <f>IF(COUNTIFS(SalesData[Customer_ID],SalesData[[#This Row],[Customer_ID]])&gt;1,"Repeat","New")</f>
        <v>Repeat</v>
      </c>
      <c r="V254" s="2" t="str">
        <f>IF(SalesData[[#This Row],[Sales]]&gt;AVERAGE(SalesData[Sales]),"Above Avg","Below Avg")</f>
        <v>Below Avg</v>
      </c>
      <c r="W254" s="2" t="str">
        <f>IF(SalesData[[#This Row],[Profit]]&gt;0,"Profit","Loss")</f>
        <v>Profit</v>
      </c>
      <c r="X254" s="2">
        <f>RANK(SalesData[[#This Row],[Sales]],SalesData[Sales])</f>
        <v>339</v>
      </c>
    </row>
    <row r="255" spans="1:24" x14ac:dyDescent="0.3">
      <c r="A255">
        <v>254</v>
      </c>
      <c r="B255" s="1">
        <v>45545</v>
      </c>
      <c r="C255">
        <v>1070</v>
      </c>
      <c r="D255" t="s">
        <v>180</v>
      </c>
      <c r="E255" t="s">
        <v>24</v>
      </c>
      <c r="F255" t="s">
        <v>21</v>
      </c>
      <c r="G255" t="s">
        <v>17</v>
      </c>
      <c r="H255" t="s">
        <v>37</v>
      </c>
      <c r="I255">
        <v>1121</v>
      </c>
      <c r="J255">
        <v>5</v>
      </c>
      <c r="K255">
        <v>0.26</v>
      </c>
      <c r="L255">
        <v>1771</v>
      </c>
      <c r="M255" t="s">
        <v>31</v>
      </c>
      <c r="N255">
        <v>4147.7</v>
      </c>
      <c r="O255" t="str">
        <f>TEXT(SalesData[[#This Row],[Order_Date]],"mmm")</f>
        <v>Sep</v>
      </c>
      <c r="P255">
        <f>YEAR(SalesData[[#This Row],[Order_Date]])</f>
        <v>2024</v>
      </c>
      <c r="Q255" t="str">
        <f>"Q"&amp;ROUNDUP(MONTH(SalesData[[#This Row],[Order_Date]])/3,0)</f>
        <v>Q3</v>
      </c>
      <c r="R255" s="2">
        <f>IFERROR(SalesData[[#This Row],[Profit]]/SalesData[[#This Row],[Sales]],0)</f>
        <v>0.42698362948139934</v>
      </c>
      <c r="S255" s="2">
        <f>SalesData[[#This Row],[Price]]*SalesData[[#This Row],[Quantity]]*SalesData[[#This Row],[Discount]]</f>
        <v>1457.3</v>
      </c>
      <c r="T255" s="2" t="str">
        <f>IF(SalesData[[#This Row],[Sales]]&gt;5000,"High",IF(SalesData[[#This Row],[Sales]]&gt;2000,"Medium","Low"))</f>
        <v>Medium</v>
      </c>
      <c r="U255" s="2" t="str">
        <f>IF(COUNTIFS(SalesData[Customer_ID],SalesData[[#This Row],[Customer_ID]])&gt;1,"Repeat","New")</f>
        <v>Repeat</v>
      </c>
      <c r="V255" s="2" t="str">
        <f>IF(SalesData[[#This Row],[Sales]]&gt;AVERAGE(SalesData[Sales]),"Above Avg","Below Avg")</f>
        <v>Below Avg</v>
      </c>
      <c r="W255" s="2" t="str">
        <f>IF(SalesData[[#This Row],[Profit]]&gt;0,"Profit","Loss")</f>
        <v>Profit</v>
      </c>
      <c r="X255" s="2">
        <f>RANK(SalesData[[#This Row],[Sales]],SalesData[Sales])</f>
        <v>347</v>
      </c>
    </row>
    <row r="256" spans="1:24" x14ac:dyDescent="0.3">
      <c r="A256">
        <v>255</v>
      </c>
      <c r="B256" s="1">
        <v>45546</v>
      </c>
      <c r="C256">
        <v>1099</v>
      </c>
      <c r="D256" t="s">
        <v>181</v>
      </c>
      <c r="E256" t="s">
        <v>15</v>
      </c>
      <c r="F256" t="s">
        <v>16</v>
      </c>
      <c r="G256" t="s">
        <v>17</v>
      </c>
      <c r="H256" t="s">
        <v>29</v>
      </c>
      <c r="I256">
        <v>2319</v>
      </c>
      <c r="J256">
        <v>7</v>
      </c>
      <c r="K256">
        <v>0.11</v>
      </c>
      <c r="L256">
        <v>-105</v>
      </c>
      <c r="M256" t="s">
        <v>19</v>
      </c>
      <c r="N256">
        <v>14447.37</v>
      </c>
      <c r="O256" t="str">
        <f>TEXT(SalesData[[#This Row],[Order_Date]],"mmm")</f>
        <v>Sep</v>
      </c>
      <c r="P256">
        <f>YEAR(SalesData[[#This Row],[Order_Date]])</f>
        <v>2024</v>
      </c>
      <c r="Q256" t="str">
        <f>"Q"&amp;ROUNDUP(MONTH(SalesData[[#This Row],[Order_Date]])/3,0)</f>
        <v>Q3</v>
      </c>
      <c r="R256" s="2">
        <f>IFERROR(SalesData[[#This Row],[Profit]]/SalesData[[#This Row],[Sales]],0)</f>
        <v>-7.2677587685509538E-3</v>
      </c>
      <c r="S256" s="2">
        <f>SalesData[[#This Row],[Price]]*SalesData[[#This Row],[Quantity]]*SalesData[[#This Row],[Discount]]</f>
        <v>1785.63</v>
      </c>
      <c r="T256" s="2" t="str">
        <f>IF(SalesData[[#This Row],[Sales]]&gt;5000,"High",IF(SalesData[[#This Row],[Sales]]&gt;2000,"Medium","Low"))</f>
        <v>High</v>
      </c>
      <c r="U256" s="2" t="str">
        <f>IF(COUNTIFS(SalesData[Customer_ID],SalesData[[#This Row],[Customer_ID]])&gt;1,"Repeat","New")</f>
        <v>Repeat</v>
      </c>
      <c r="V256" s="2" t="str">
        <f>IF(SalesData[[#This Row],[Sales]]&gt;AVERAGE(SalesData[Sales]),"Above Avg","Below Avg")</f>
        <v>Above Avg</v>
      </c>
      <c r="W256" s="2" t="str">
        <f>IF(SalesData[[#This Row],[Profit]]&gt;0,"Profit","Loss")</f>
        <v>Loss</v>
      </c>
      <c r="X256" s="2">
        <f>RANK(SalesData[[#This Row],[Sales]],SalesData[Sales])</f>
        <v>143</v>
      </c>
    </row>
    <row r="257" spans="1:24" x14ac:dyDescent="0.3">
      <c r="A257">
        <v>256</v>
      </c>
      <c r="B257" s="1">
        <v>45547</v>
      </c>
      <c r="C257">
        <v>1097</v>
      </c>
      <c r="D257" t="s">
        <v>182</v>
      </c>
      <c r="E257" t="s">
        <v>24</v>
      </c>
      <c r="F257" t="s">
        <v>16</v>
      </c>
      <c r="G257" t="s">
        <v>22</v>
      </c>
      <c r="H257" t="s">
        <v>37</v>
      </c>
      <c r="I257">
        <v>3265</v>
      </c>
      <c r="J257">
        <v>3</v>
      </c>
      <c r="K257">
        <v>0.05</v>
      </c>
      <c r="L257">
        <v>1937</v>
      </c>
      <c r="M257" t="s">
        <v>26</v>
      </c>
      <c r="N257">
        <v>9305.25</v>
      </c>
      <c r="O257" t="str">
        <f>TEXT(SalesData[[#This Row],[Order_Date]],"mmm")</f>
        <v>Sep</v>
      </c>
      <c r="P257">
        <f>YEAR(SalesData[[#This Row],[Order_Date]])</f>
        <v>2024</v>
      </c>
      <c r="Q257" t="str">
        <f>"Q"&amp;ROUNDUP(MONTH(SalesData[[#This Row],[Order_Date]])/3,0)</f>
        <v>Q3</v>
      </c>
      <c r="R257" s="2">
        <f>IFERROR(SalesData[[#This Row],[Profit]]/SalesData[[#This Row],[Sales]],0)</f>
        <v>0.20816205905268531</v>
      </c>
      <c r="S257" s="2">
        <f>SalesData[[#This Row],[Price]]*SalesData[[#This Row],[Quantity]]*SalesData[[#This Row],[Discount]]</f>
        <v>489.75</v>
      </c>
      <c r="T257" s="2" t="str">
        <f>IF(SalesData[[#This Row],[Sales]]&gt;5000,"High",IF(SalesData[[#This Row],[Sales]]&gt;2000,"Medium","Low"))</f>
        <v>High</v>
      </c>
      <c r="U257" s="2" t="str">
        <f>IF(COUNTIFS(SalesData[Customer_ID],SalesData[[#This Row],[Customer_ID]])&gt;1,"Repeat","New")</f>
        <v>Repeat</v>
      </c>
      <c r="V257" s="2" t="str">
        <f>IF(SalesData[[#This Row],[Sales]]&gt;AVERAGE(SalesData[Sales]),"Above Avg","Below Avg")</f>
        <v>Below Avg</v>
      </c>
      <c r="W257" s="2" t="str">
        <f>IF(SalesData[[#This Row],[Profit]]&gt;0,"Profit","Loss")</f>
        <v>Profit</v>
      </c>
      <c r="X257" s="2">
        <f>RANK(SalesData[[#This Row],[Sales]],SalesData[Sales])</f>
        <v>225</v>
      </c>
    </row>
    <row r="258" spans="1:24" x14ac:dyDescent="0.3">
      <c r="A258">
        <v>257</v>
      </c>
      <c r="B258" s="1">
        <v>45548</v>
      </c>
      <c r="C258">
        <v>1039</v>
      </c>
      <c r="D258" t="s">
        <v>183</v>
      </c>
      <c r="E258" t="s">
        <v>24</v>
      </c>
      <c r="F258" t="s">
        <v>28</v>
      </c>
      <c r="G258" t="s">
        <v>34</v>
      </c>
      <c r="H258" t="s">
        <v>18</v>
      </c>
      <c r="I258">
        <v>3199</v>
      </c>
      <c r="J258">
        <v>1</v>
      </c>
      <c r="K258">
        <v>0.06</v>
      </c>
      <c r="L258">
        <v>1657</v>
      </c>
      <c r="M258" t="s">
        <v>26</v>
      </c>
      <c r="N258">
        <v>3007.06</v>
      </c>
      <c r="O258" t="str">
        <f>TEXT(SalesData[[#This Row],[Order_Date]],"mmm")</f>
        <v>Sep</v>
      </c>
      <c r="P258">
        <f>YEAR(SalesData[[#This Row],[Order_Date]])</f>
        <v>2024</v>
      </c>
      <c r="Q258" t="str">
        <f>"Q"&amp;ROUNDUP(MONTH(SalesData[[#This Row],[Order_Date]])/3,0)</f>
        <v>Q3</v>
      </c>
      <c r="R258" s="2">
        <f>IFERROR(SalesData[[#This Row],[Profit]]/SalesData[[#This Row],[Sales]],0)</f>
        <v>0.55103656062732376</v>
      </c>
      <c r="S258" s="2">
        <f>SalesData[[#This Row],[Price]]*SalesData[[#This Row],[Quantity]]*SalesData[[#This Row],[Discount]]</f>
        <v>191.94</v>
      </c>
      <c r="T258" s="2" t="str">
        <f>IF(SalesData[[#This Row],[Sales]]&gt;5000,"High",IF(SalesData[[#This Row],[Sales]]&gt;2000,"Medium","Low"))</f>
        <v>Medium</v>
      </c>
      <c r="U258" s="2" t="str">
        <f>IF(COUNTIFS(SalesData[Customer_ID],SalesData[[#This Row],[Customer_ID]])&gt;1,"Repeat","New")</f>
        <v>Repeat</v>
      </c>
      <c r="V258" s="2" t="str">
        <f>IF(SalesData[[#This Row],[Sales]]&gt;AVERAGE(SalesData[Sales]),"Above Avg","Below Avg")</f>
        <v>Below Avg</v>
      </c>
      <c r="W258" s="2" t="str">
        <f>IF(SalesData[[#This Row],[Profit]]&gt;0,"Profit","Loss")</f>
        <v>Profit</v>
      </c>
      <c r="X258" s="2">
        <f>RANK(SalesData[[#This Row],[Sales]],SalesData[Sales])</f>
        <v>392</v>
      </c>
    </row>
    <row r="259" spans="1:24" x14ac:dyDescent="0.3">
      <c r="A259">
        <v>258</v>
      </c>
      <c r="B259" s="1">
        <v>45549</v>
      </c>
      <c r="C259">
        <v>1082</v>
      </c>
      <c r="D259" t="s">
        <v>176</v>
      </c>
      <c r="E259" t="s">
        <v>24</v>
      </c>
      <c r="F259" t="s">
        <v>16</v>
      </c>
      <c r="G259" t="s">
        <v>17</v>
      </c>
      <c r="H259" t="s">
        <v>29</v>
      </c>
      <c r="I259">
        <v>316</v>
      </c>
      <c r="J259">
        <v>5</v>
      </c>
      <c r="K259">
        <v>0.15</v>
      </c>
      <c r="L259">
        <v>897</v>
      </c>
      <c r="M259" t="s">
        <v>19</v>
      </c>
      <c r="N259">
        <v>1343</v>
      </c>
      <c r="O259" t="str">
        <f>TEXT(SalesData[[#This Row],[Order_Date]],"mmm")</f>
        <v>Sep</v>
      </c>
      <c r="P259">
        <f>YEAR(SalesData[[#This Row],[Order_Date]])</f>
        <v>2024</v>
      </c>
      <c r="Q259" t="str">
        <f>"Q"&amp;ROUNDUP(MONTH(SalesData[[#This Row],[Order_Date]])/3,0)</f>
        <v>Q3</v>
      </c>
      <c r="R259" s="2">
        <f>IFERROR(SalesData[[#This Row],[Profit]]/SalesData[[#This Row],[Sales]],0)</f>
        <v>0.66790766939687263</v>
      </c>
      <c r="S259" s="2">
        <f>SalesData[[#This Row],[Price]]*SalesData[[#This Row],[Quantity]]*SalesData[[#This Row],[Discount]]</f>
        <v>237</v>
      </c>
      <c r="T259" s="2" t="str">
        <f>IF(SalesData[[#This Row],[Sales]]&gt;5000,"High",IF(SalesData[[#This Row],[Sales]]&gt;2000,"Medium","Low"))</f>
        <v>Low</v>
      </c>
      <c r="U259" s="2" t="str">
        <f>IF(COUNTIFS(SalesData[Customer_ID],SalesData[[#This Row],[Customer_ID]])&gt;1,"Repeat","New")</f>
        <v>Repeat</v>
      </c>
      <c r="V259" s="2" t="str">
        <f>IF(SalesData[[#This Row],[Sales]]&gt;AVERAGE(SalesData[Sales]),"Above Avg","Below Avg")</f>
        <v>Below Avg</v>
      </c>
      <c r="W259" s="2" t="str">
        <f>IF(SalesData[[#This Row],[Profit]]&gt;0,"Profit","Loss")</f>
        <v>Profit</v>
      </c>
      <c r="X259" s="2">
        <f>RANK(SalesData[[#This Row],[Sales]],SalesData[Sales])</f>
        <v>465</v>
      </c>
    </row>
    <row r="260" spans="1:24" x14ac:dyDescent="0.3">
      <c r="A260">
        <v>259</v>
      </c>
      <c r="B260" s="1">
        <v>45550</v>
      </c>
      <c r="C260">
        <v>1092</v>
      </c>
      <c r="D260" t="s">
        <v>90</v>
      </c>
      <c r="E260" t="s">
        <v>15</v>
      </c>
      <c r="F260" t="s">
        <v>16</v>
      </c>
      <c r="G260" t="s">
        <v>34</v>
      </c>
      <c r="H260" t="s">
        <v>37</v>
      </c>
      <c r="I260">
        <v>4046</v>
      </c>
      <c r="J260">
        <v>5</v>
      </c>
      <c r="K260">
        <v>0.2</v>
      </c>
      <c r="L260">
        <v>-246</v>
      </c>
      <c r="M260" t="s">
        <v>31</v>
      </c>
      <c r="N260">
        <v>16184</v>
      </c>
      <c r="O260" t="str">
        <f>TEXT(SalesData[[#This Row],[Order_Date]],"mmm")</f>
        <v>Sep</v>
      </c>
      <c r="P260">
        <f>YEAR(SalesData[[#This Row],[Order_Date]])</f>
        <v>2024</v>
      </c>
      <c r="Q260" t="str">
        <f>"Q"&amp;ROUNDUP(MONTH(SalesData[[#This Row],[Order_Date]])/3,0)</f>
        <v>Q3</v>
      </c>
      <c r="R260" s="2">
        <f>IFERROR(SalesData[[#This Row],[Profit]]/SalesData[[#This Row],[Sales]],0)</f>
        <v>-1.5200197726149283E-2</v>
      </c>
      <c r="S260" s="2">
        <f>SalesData[[#This Row],[Price]]*SalesData[[#This Row],[Quantity]]*SalesData[[#This Row],[Discount]]</f>
        <v>4046</v>
      </c>
      <c r="T260" s="2" t="str">
        <f>IF(SalesData[[#This Row],[Sales]]&gt;5000,"High",IF(SalesData[[#This Row],[Sales]]&gt;2000,"Medium","Low"))</f>
        <v>High</v>
      </c>
      <c r="U260" s="2" t="str">
        <f>IF(COUNTIFS(SalesData[Customer_ID],SalesData[[#This Row],[Customer_ID]])&gt;1,"Repeat","New")</f>
        <v>Repeat</v>
      </c>
      <c r="V260" s="2" t="str">
        <f>IF(SalesData[[#This Row],[Sales]]&gt;AVERAGE(SalesData[Sales]),"Above Avg","Below Avg")</f>
        <v>Above Avg</v>
      </c>
      <c r="W260" s="2" t="str">
        <f>IF(SalesData[[#This Row],[Profit]]&gt;0,"Profit","Loss")</f>
        <v>Loss</v>
      </c>
      <c r="X260" s="2">
        <f>RANK(SalesData[[#This Row],[Sales]],SalesData[Sales])</f>
        <v>122</v>
      </c>
    </row>
    <row r="261" spans="1:24" x14ac:dyDescent="0.3">
      <c r="A261">
        <v>260</v>
      </c>
      <c r="B261" s="1">
        <v>45551</v>
      </c>
      <c r="C261">
        <v>1038</v>
      </c>
      <c r="D261" t="s">
        <v>105</v>
      </c>
      <c r="E261" t="s">
        <v>24</v>
      </c>
      <c r="F261" t="s">
        <v>28</v>
      </c>
      <c r="G261" t="s">
        <v>22</v>
      </c>
      <c r="H261" t="s">
        <v>37</v>
      </c>
      <c r="I261">
        <v>2805</v>
      </c>
      <c r="J261">
        <v>7</v>
      </c>
      <c r="K261">
        <v>0.17</v>
      </c>
      <c r="L261">
        <v>1777</v>
      </c>
      <c r="M261" t="s">
        <v>26</v>
      </c>
      <c r="N261">
        <v>16297.05</v>
      </c>
      <c r="O261" t="str">
        <f>TEXT(SalesData[[#This Row],[Order_Date]],"mmm")</f>
        <v>Sep</v>
      </c>
      <c r="P261">
        <f>YEAR(SalesData[[#This Row],[Order_Date]])</f>
        <v>2024</v>
      </c>
      <c r="Q261" t="str">
        <f>"Q"&amp;ROUNDUP(MONTH(SalesData[[#This Row],[Order_Date]])/3,0)</f>
        <v>Q3</v>
      </c>
      <c r="R261" s="2">
        <f>IFERROR(SalesData[[#This Row],[Profit]]/SalesData[[#This Row],[Sales]],0)</f>
        <v>0.10903813880426212</v>
      </c>
      <c r="S261" s="2">
        <f>SalesData[[#This Row],[Price]]*SalesData[[#This Row],[Quantity]]*SalesData[[#This Row],[Discount]]</f>
        <v>3337.9500000000003</v>
      </c>
      <c r="T261" s="2" t="str">
        <f>IF(SalesData[[#This Row],[Sales]]&gt;5000,"High",IF(SalesData[[#This Row],[Sales]]&gt;2000,"Medium","Low"))</f>
        <v>High</v>
      </c>
      <c r="U261" s="2" t="str">
        <f>IF(COUNTIFS(SalesData[Customer_ID],SalesData[[#This Row],[Customer_ID]])&gt;1,"Repeat","New")</f>
        <v>Repeat</v>
      </c>
      <c r="V261" s="2" t="str">
        <f>IF(SalesData[[#This Row],[Sales]]&gt;AVERAGE(SalesData[Sales]),"Above Avg","Below Avg")</f>
        <v>Above Avg</v>
      </c>
      <c r="W261" s="2" t="str">
        <f>IF(SalesData[[#This Row],[Profit]]&gt;0,"Profit","Loss")</f>
        <v>Profit</v>
      </c>
      <c r="X261" s="2">
        <f>RANK(SalesData[[#This Row],[Sales]],SalesData[Sales])</f>
        <v>118</v>
      </c>
    </row>
    <row r="262" spans="1:24" x14ac:dyDescent="0.3">
      <c r="A262">
        <v>261</v>
      </c>
      <c r="B262" s="1">
        <v>45552</v>
      </c>
      <c r="C262">
        <v>1005</v>
      </c>
      <c r="D262" t="s">
        <v>139</v>
      </c>
      <c r="E262" t="s">
        <v>24</v>
      </c>
      <c r="F262" t="s">
        <v>16</v>
      </c>
      <c r="G262" t="s">
        <v>22</v>
      </c>
      <c r="H262" t="s">
        <v>29</v>
      </c>
      <c r="I262">
        <v>1983</v>
      </c>
      <c r="J262">
        <v>6</v>
      </c>
      <c r="K262">
        <v>0.03</v>
      </c>
      <c r="L262">
        <v>722</v>
      </c>
      <c r="M262" t="s">
        <v>19</v>
      </c>
      <c r="N262">
        <v>11541.06</v>
      </c>
      <c r="O262" t="str">
        <f>TEXT(SalesData[[#This Row],[Order_Date]],"mmm")</f>
        <v>Sep</v>
      </c>
      <c r="P262">
        <f>YEAR(SalesData[[#This Row],[Order_Date]])</f>
        <v>2024</v>
      </c>
      <c r="Q262" t="str">
        <f>"Q"&amp;ROUNDUP(MONTH(SalesData[[#This Row],[Order_Date]])/3,0)</f>
        <v>Q3</v>
      </c>
      <c r="R262" s="2">
        <f>IFERROR(SalesData[[#This Row],[Profit]]/SalesData[[#This Row],[Sales]],0)</f>
        <v>6.2559244991361285E-2</v>
      </c>
      <c r="S262" s="2">
        <f>SalesData[[#This Row],[Price]]*SalesData[[#This Row],[Quantity]]*SalesData[[#This Row],[Discount]]</f>
        <v>356.94</v>
      </c>
      <c r="T262" s="2" t="str">
        <f>IF(SalesData[[#This Row],[Sales]]&gt;5000,"High",IF(SalesData[[#This Row],[Sales]]&gt;2000,"Medium","Low"))</f>
        <v>High</v>
      </c>
      <c r="U262" s="2" t="str">
        <f>IF(COUNTIFS(SalesData[Customer_ID],SalesData[[#This Row],[Customer_ID]])&gt;1,"Repeat","New")</f>
        <v>Repeat</v>
      </c>
      <c r="V262" s="2" t="str">
        <f>IF(SalesData[[#This Row],[Sales]]&gt;AVERAGE(SalesData[Sales]),"Above Avg","Below Avg")</f>
        <v>Above Avg</v>
      </c>
      <c r="W262" s="2" t="str">
        <f>IF(SalesData[[#This Row],[Profit]]&gt;0,"Profit","Loss")</f>
        <v>Profit</v>
      </c>
      <c r="X262" s="2">
        <f>RANK(SalesData[[#This Row],[Sales]],SalesData[Sales])</f>
        <v>180</v>
      </c>
    </row>
    <row r="263" spans="1:24" x14ac:dyDescent="0.3">
      <c r="A263">
        <v>262</v>
      </c>
      <c r="B263" s="1">
        <v>45553</v>
      </c>
      <c r="C263">
        <v>1009</v>
      </c>
      <c r="D263" t="s">
        <v>52</v>
      </c>
      <c r="E263" t="s">
        <v>24</v>
      </c>
      <c r="F263" t="s">
        <v>21</v>
      </c>
      <c r="G263" t="s">
        <v>34</v>
      </c>
      <c r="H263" t="s">
        <v>37</v>
      </c>
      <c r="I263">
        <v>1606</v>
      </c>
      <c r="J263">
        <v>1</v>
      </c>
      <c r="K263">
        <v>0.22</v>
      </c>
      <c r="L263">
        <v>1195</v>
      </c>
      <c r="M263" t="s">
        <v>31</v>
      </c>
      <c r="N263">
        <v>1252.68</v>
      </c>
      <c r="O263" t="str">
        <f>TEXT(SalesData[[#This Row],[Order_Date]],"mmm")</f>
        <v>Sep</v>
      </c>
      <c r="P263">
        <f>YEAR(SalesData[[#This Row],[Order_Date]])</f>
        <v>2024</v>
      </c>
      <c r="Q263" t="str">
        <f>"Q"&amp;ROUNDUP(MONTH(SalesData[[#This Row],[Order_Date]])/3,0)</f>
        <v>Q3</v>
      </c>
      <c r="R263" s="2">
        <f>IFERROR(SalesData[[#This Row],[Profit]]/SalesData[[#This Row],[Sales]],0)</f>
        <v>0.95395472107800872</v>
      </c>
      <c r="S263" s="2">
        <f>SalesData[[#This Row],[Price]]*SalesData[[#This Row],[Quantity]]*SalesData[[#This Row],[Discount]]</f>
        <v>353.32</v>
      </c>
      <c r="T263" s="2" t="str">
        <f>IF(SalesData[[#This Row],[Sales]]&gt;5000,"High",IF(SalesData[[#This Row],[Sales]]&gt;2000,"Medium","Low"))</f>
        <v>Low</v>
      </c>
      <c r="U263" s="2" t="str">
        <f>IF(COUNTIFS(SalesData[Customer_ID],SalesData[[#This Row],[Customer_ID]])&gt;1,"Repeat","New")</f>
        <v>Repeat</v>
      </c>
      <c r="V263" s="2" t="str">
        <f>IF(SalesData[[#This Row],[Sales]]&gt;AVERAGE(SalesData[Sales]),"Above Avg","Below Avg")</f>
        <v>Below Avg</v>
      </c>
      <c r="W263" s="2" t="str">
        <f>IF(SalesData[[#This Row],[Profit]]&gt;0,"Profit","Loss")</f>
        <v>Profit</v>
      </c>
      <c r="X263" s="2">
        <f>RANK(SalesData[[#This Row],[Sales]],SalesData[Sales])</f>
        <v>468</v>
      </c>
    </row>
    <row r="264" spans="1:24" x14ac:dyDescent="0.3">
      <c r="A264">
        <v>263</v>
      </c>
      <c r="B264" s="1">
        <v>45554</v>
      </c>
      <c r="C264">
        <v>1040</v>
      </c>
      <c r="D264" t="s">
        <v>90</v>
      </c>
      <c r="E264" t="s">
        <v>24</v>
      </c>
      <c r="F264" t="s">
        <v>16</v>
      </c>
      <c r="G264" t="s">
        <v>22</v>
      </c>
      <c r="H264" t="s">
        <v>25</v>
      </c>
      <c r="I264">
        <v>4264</v>
      </c>
      <c r="J264">
        <v>1</v>
      </c>
      <c r="K264">
        <v>0.24</v>
      </c>
      <c r="L264">
        <v>-20</v>
      </c>
      <c r="M264" t="s">
        <v>19</v>
      </c>
      <c r="N264">
        <v>3240.64</v>
      </c>
      <c r="O264" t="str">
        <f>TEXT(SalesData[[#This Row],[Order_Date]],"mmm")</f>
        <v>Sep</v>
      </c>
      <c r="P264">
        <f>YEAR(SalesData[[#This Row],[Order_Date]])</f>
        <v>2024</v>
      </c>
      <c r="Q264" t="str">
        <f>"Q"&amp;ROUNDUP(MONTH(SalesData[[#This Row],[Order_Date]])/3,0)</f>
        <v>Q3</v>
      </c>
      <c r="R264" s="2">
        <f>IFERROR(SalesData[[#This Row],[Profit]]/SalesData[[#This Row],[Sales]],0)</f>
        <v>-6.1716204206576485E-3</v>
      </c>
      <c r="S264" s="2">
        <f>SalesData[[#This Row],[Price]]*SalesData[[#This Row],[Quantity]]*SalesData[[#This Row],[Discount]]</f>
        <v>1023.36</v>
      </c>
      <c r="T264" s="2" t="str">
        <f>IF(SalesData[[#This Row],[Sales]]&gt;5000,"High",IF(SalesData[[#This Row],[Sales]]&gt;2000,"Medium","Low"))</f>
        <v>Medium</v>
      </c>
      <c r="U264" s="2" t="str">
        <f>IF(COUNTIFS(SalesData[Customer_ID],SalesData[[#This Row],[Customer_ID]])&gt;1,"Repeat","New")</f>
        <v>Repeat</v>
      </c>
      <c r="V264" s="2" t="str">
        <f>IF(SalesData[[#This Row],[Sales]]&gt;AVERAGE(SalesData[Sales]),"Above Avg","Below Avg")</f>
        <v>Below Avg</v>
      </c>
      <c r="W264" s="2" t="str">
        <f>IF(SalesData[[#This Row],[Profit]]&gt;0,"Profit","Loss")</f>
        <v>Loss</v>
      </c>
      <c r="X264" s="2">
        <f>RANK(SalesData[[#This Row],[Sales]],SalesData[Sales])</f>
        <v>386</v>
      </c>
    </row>
    <row r="265" spans="1:24" x14ac:dyDescent="0.3">
      <c r="A265">
        <v>264</v>
      </c>
      <c r="B265" s="1">
        <v>45555</v>
      </c>
      <c r="C265">
        <v>1068</v>
      </c>
      <c r="D265" t="s">
        <v>175</v>
      </c>
      <c r="E265" t="s">
        <v>24</v>
      </c>
      <c r="F265" t="s">
        <v>21</v>
      </c>
      <c r="G265" t="s">
        <v>34</v>
      </c>
      <c r="H265" t="s">
        <v>18</v>
      </c>
      <c r="I265">
        <v>2397</v>
      </c>
      <c r="J265">
        <v>7</v>
      </c>
      <c r="K265">
        <v>0.01</v>
      </c>
      <c r="L265">
        <v>-217</v>
      </c>
      <c r="M265" t="s">
        <v>31</v>
      </c>
      <c r="N265">
        <v>16611.21</v>
      </c>
      <c r="O265" t="str">
        <f>TEXT(SalesData[[#This Row],[Order_Date]],"mmm")</f>
        <v>Sep</v>
      </c>
      <c r="P265">
        <f>YEAR(SalesData[[#This Row],[Order_Date]])</f>
        <v>2024</v>
      </c>
      <c r="Q265" t="str">
        <f>"Q"&amp;ROUNDUP(MONTH(SalesData[[#This Row],[Order_Date]])/3,0)</f>
        <v>Q3</v>
      </c>
      <c r="R265" s="2">
        <f>IFERROR(SalesData[[#This Row],[Profit]]/SalesData[[#This Row],[Sales]],0)</f>
        <v>-1.3063467381364754E-2</v>
      </c>
      <c r="S265" s="2">
        <f>SalesData[[#This Row],[Price]]*SalesData[[#This Row],[Quantity]]*SalesData[[#This Row],[Discount]]</f>
        <v>167.79</v>
      </c>
      <c r="T265" s="2" t="str">
        <f>IF(SalesData[[#This Row],[Sales]]&gt;5000,"High",IF(SalesData[[#This Row],[Sales]]&gt;2000,"Medium","Low"))</f>
        <v>High</v>
      </c>
      <c r="U265" s="2" t="str">
        <f>IF(COUNTIFS(SalesData[Customer_ID],SalesData[[#This Row],[Customer_ID]])&gt;1,"Repeat","New")</f>
        <v>Repeat</v>
      </c>
      <c r="V265" s="2" t="str">
        <f>IF(SalesData[[#This Row],[Sales]]&gt;AVERAGE(SalesData[Sales]),"Above Avg","Below Avg")</f>
        <v>Above Avg</v>
      </c>
      <c r="W265" s="2" t="str">
        <f>IF(SalesData[[#This Row],[Profit]]&gt;0,"Profit","Loss")</f>
        <v>Loss</v>
      </c>
      <c r="X265" s="2">
        <f>RANK(SalesData[[#This Row],[Sales]],SalesData[Sales])</f>
        <v>113</v>
      </c>
    </row>
    <row r="266" spans="1:24" x14ac:dyDescent="0.3">
      <c r="A266">
        <v>265</v>
      </c>
      <c r="B266" s="1">
        <v>45556</v>
      </c>
      <c r="C266">
        <v>1087</v>
      </c>
      <c r="D266" t="s">
        <v>72</v>
      </c>
      <c r="E266" t="s">
        <v>24</v>
      </c>
      <c r="F266" t="s">
        <v>28</v>
      </c>
      <c r="G266" t="s">
        <v>34</v>
      </c>
      <c r="H266" t="s">
        <v>29</v>
      </c>
      <c r="I266">
        <v>1811</v>
      </c>
      <c r="J266">
        <v>2</v>
      </c>
      <c r="K266">
        <v>0.14000000000000001</v>
      </c>
      <c r="L266">
        <v>1730</v>
      </c>
      <c r="M266" t="s">
        <v>19</v>
      </c>
      <c r="N266">
        <v>3114.92</v>
      </c>
      <c r="O266" t="str">
        <f>TEXT(SalesData[[#This Row],[Order_Date]],"mmm")</f>
        <v>Sep</v>
      </c>
      <c r="P266">
        <f>YEAR(SalesData[[#This Row],[Order_Date]])</f>
        <v>2024</v>
      </c>
      <c r="Q266" t="str">
        <f>"Q"&amp;ROUNDUP(MONTH(SalesData[[#This Row],[Order_Date]])/3,0)</f>
        <v>Q3</v>
      </c>
      <c r="R266" s="2">
        <f>IFERROR(SalesData[[#This Row],[Profit]]/SalesData[[#This Row],[Sales]],0)</f>
        <v>0.55539147072798012</v>
      </c>
      <c r="S266" s="2">
        <f>SalesData[[#This Row],[Price]]*SalesData[[#This Row],[Quantity]]*SalesData[[#This Row],[Discount]]</f>
        <v>507.08000000000004</v>
      </c>
      <c r="T266" s="2" t="str">
        <f>IF(SalesData[[#This Row],[Sales]]&gt;5000,"High",IF(SalesData[[#This Row],[Sales]]&gt;2000,"Medium","Low"))</f>
        <v>Medium</v>
      </c>
      <c r="U266" s="2" t="str">
        <f>IF(COUNTIFS(SalesData[Customer_ID],SalesData[[#This Row],[Customer_ID]])&gt;1,"Repeat","New")</f>
        <v>Repeat</v>
      </c>
      <c r="V266" s="2" t="str">
        <f>IF(SalesData[[#This Row],[Sales]]&gt;AVERAGE(SalesData[Sales]),"Above Avg","Below Avg")</f>
        <v>Below Avg</v>
      </c>
      <c r="W266" s="2" t="str">
        <f>IF(SalesData[[#This Row],[Profit]]&gt;0,"Profit","Loss")</f>
        <v>Profit</v>
      </c>
      <c r="X266" s="2">
        <f>RANK(SalesData[[#This Row],[Sales]],SalesData[Sales])</f>
        <v>389</v>
      </c>
    </row>
    <row r="267" spans="1:24" x14ac:dyDescent="0.3">
      <c r="A267">
        <v>266</v>
      </c>
      <c r="B267" s="1">
        <v>45557</v>
      </c>
      <c r="C267">
        <v>1021</v>
      </c>
      <c r="D267" t="s">
        <v>56</v>
      </c>
      <c r="E267" t="s">
        <v>24</v>
      </c>
      <c r="F267" t="s">
        <v>28</v>
      </c>
      <c r="G267" t="s">
        <v>17</v>
      </c>
      <c r="H267" t="s">
        <v>18</v>
      </c>
      <c r="I267">
        <v>1107</v>
      </c>
      <c r="J267">
        <v>9</v>
      </c>
      <c r="K267">
        <v>0.13</v>
      </c>
      <c r="L267">
        <v>655</v>
      </c>
      <c r="M267" t="s">
        <v>26</v>
      </c>
      <c r="N267">
        <v>8667.81</v>
      </c>
      <c r="O267" t="str">
        <f>TEXT(SalesData[[#This Row],[Order_Date]],"mmm")</f>
        <v>Sep</v>
      </c>
      <c r="P267">
        <f>YEAR(SalesData[[#This Row],[Order_Date]])</f>
        <v>2024</v>
      </c>
      <c r="Q267" t="str">
        <f>"Q"&amp;ROUNDUP(MONTH(SalesData[[#This Row],[Order_Date]])/3,0)</f>
        <v>Q3</v>
      </c>
      <c r="R267" s="2">
        <f>IFERROR(SalesData[[#This Row],[Profit]]/SalesData[[#This Row],[Sales]],0)</f>
        <v>7.5566954051830865E-2</v>
      </c>
      <c r="S267" s="2">
        <f>SalesData[[#This Row],[Price]]*SalesData[[#This Row],[Quantity]]*SalesData[[#This Row],[Discount]]</f>
        <v>1295.19</v>
      </c>
      <c r="T267" s="2" t="str">
        <f>IF(SalesData[[#This Row],[Sales]]&gt;5000,"High",IF(SalesData[[#This Row],[Sales]]&gt;2000,"Medium","Low"))</f>
        <v>High</v>
      </c>
      <c r="U267" s="2" t="str">
        <f>IF(COUNTIFS(SalesData[Customer_ID],SalesData[[#This Row],[Customer_ID]])&gt;1,"Repeat","New")</f>
        <v>Repeat</v>
      </c>
      <c r="V267" s="2" t="str">
        <f>IF(SalesData[[#This Row],[Sales]]&gt;AVERAGE(SalesData[Sales]),"Above Avg","Below Avg")</f>
        <v>Below Avg</v>
      </c>
      <c r="W267" s="2" t="str">
        <f>IF(SalesData[[#This Row],[Profit]]&gt;0,"Profit","Loss")</f>
        <v>Profit</v>
      </c>
      <c r="X267" s="2">
        <f>RANK(SalesData[[#This Row],[Sales]],SalesData[Sales])</f>
        <v>235</v>
      </c>
    </row>
    <row r="268" spans="1:24" x14ac:dyDescent="0.3">
      <c r="A268">
        <v>267</v>
      </c>
      <c r="B268" s="1">
        <v>45558</v>
      </c>
      <c r="C268">
        <v>1089</v>
      </c>
      <c r="D268" t="s">
        <v>94</v>
      </c>
      <c r="E268" t="s">
        <v>15</v>
      </c>
      <c r="F268" t="s">
        <v>16</v>
      </c>
      <c r="G268" t="s">
        <v>17</v>
      </c>
      <c r="H268" t="s">
        <v>25</v>
      </c>
      <c r="I268">
        <v>2696</v>
      </c>
      <c r="J268">
        <v>9</v>
      </c>
      <c r="K268">
        <v>0.02</v>
      </c>
      <c r="L268">
        <v>445</v>
      </c>
      <c r="M268" t="s">
        <v>26</v>
      </c>
      <c r="N268">
        <v>23778.720000000001</v>
      </c>
      <c r="O268" t="str">
        <f>TEXT(SalesData[[#This Row],[Order_Date]],"mmm")</f>
        <v>Sep</v>
      </c>
      <c r="P268">
        <f>YEAR(SalesData[[#This Row],[Order_Date]])</f>
        <v>2024</v>
      </c>
      <c r="Q268" t="str">
        <f>"Q"&amp;ROUNDUP(MONTH(SalesData[[#This Row],[Order_Date]])/3,0)</f>
        <v>Q3</v>
      </c>
      <c r="R268" s="2">
        <f>IFERROR(SalesData[[#This Row],[Profit]]/SalesData[[#This Row],[Sales]],0)</f>
        <v>1.8714211698527085E-2</v>
      </c>
      <c r="S268" s="2">
        <f>SalesData[[#This Row],[Price]]*SalesData[[#This Row],[Quantity]]*SalesData[[#This Row],[Discount]]</f>
        <v>485.28000000000003</v>
      </c>
      <c r="T268" s="2" t="str">
        <f>IF(SalesData[[#This Row],[Sales]]&gt;5000,"High",IF(SalesData[[#This Row],[Sales]]&gt;2000,"Medium","Low"))</f>
        <v>High</v>
      </c>
      <c r="U268" s="2" t="str">
        <f>IF(COUNTIFS(SalesData[Customer_ID],SalesData[[#This Row],[Customer_ID]])&gt;1,"Repeat","New")</f>
        <v>Repeat</v>
      </c>
      <c r="V268" s="2" t="str">
        <f>IF(SalesData[[#This Row],[Sales]]&gt;AVERAGE(SalesData[Sales]),"Above Avg","Below Avg")</f>
        <v>Above Avg</v>
      </c>
      <c r="W268" s="2" t="str">
        <f>IF(SalesData[[#This Row],[Profit]]&gt;0,"Profit","Loss")</f>
        <v>Profit</v>
      </c>
      <c r="X268" s="2">
        <f>RANK(SalesData[[#This Row],[Sales]],SalesData[Sales])</f>
        <v>53</v>
      </c>
    </row>
    <row r="269" spans="1:24" x14ac:dyDescent="0.3">
      <c r="A269">
        <v>268</v>
      </c>
      <c r="B269" s="1">
        <v>45559</v>
      </c>
      <c r="C269">
        <v>1050</v>
      </c>
      <c r="D269" t="s">
        <v>47</v>
      </c>
      <c r="E269" t="s">
        <v>24</v>
      </c>
      <c r="F269" t="s">
        <v>28</v>
      </c>
      <c r="G269" t="s">
        <v>34</v>
      </c>
      <c r="H269" t="s">
        <v>29</v>
      </c>
      <c r="I269">
        <v>3486</v>
      </c>
      <c r="J269">
        <v>4</v>
      </c>
      <c r="K269">
        <v>0.05</v>
      </c>
      <c r="L269">
        <v>1943</v>
      </c>
      <c r="M269" t="s">
        <v>31</v>
      </c>
      <c r="N269">
        <v>13246.8</v>
      </c>
      <c r="O269" t="str">
        <f>TEXT(SalesData[[#This Row],[Order_Date]],"mmm")</f>
        <v>Sep</v>
      </c>
      <c r="P269">
        <f>YEAR(SalesData[[#This Row],[Order_Date]])</f>
        <v>2024</v>
      </c>
      <c r="Q269" t="str">
        <f>"Q"&amp;ROUNDUP(MONTH(SalesData[[#This Row],[Order_Date]])/3,0)</f>
        <v>Q3</v>
      </c>
      <c r="R269" s="2">
        <f>IFERROR(SalesData[[#This Row],[Profit]]/SalesData[[#This Row],[Sales]],0)</f>
        <v>0.14667693329709819</v>
      </c>
      <c r="S269" s="2">
        <f>SalesData[[#This Row],[Price]]*SalesData[[#This Row],[Quantity]]*SalesData[[#This Row],[Discount]]</f>
        <v>697.2</v>
      </c>
      <c r="T269" s="2" t="str">
        <f>IF(SalesData[[#This Row],[Sales]]&gt;5000,"High",IF(SalesData[[#This Row],[Sales]]&gt;2000,"Medium","Low"))</f>
        <v>High</v>
      </c>
      <c r="U269" s="2" t="str">
        <f>IF(COUNTIFS(SalesData[Customer_ID],SalesData[[#This Row],[Customer_ID]])&gt;1,"Repeat","New")</f>
        <v>Repeat</v>
      </c>
      <c r="V269" s="2" t="str">
        <f>IF(SalesData[[#This Row],[Sales]]&gt;AVERAGE(SalesData[Sales]),"Above Avg","Below Avg")</f>
        <v>Above Avg</v>
      </c>
      <c r="W269" s="2" t="str">
        <f>IF(SalesData[[#This Row],[Profit]]&gt;0,"Profit","Loss")</f>
        <v>Profit</v>
      </c>
      <c r="X269" s="2">
        <f>RANK(SalesData[[#This Row],[Sales]],SalesData[Sales])</f>
        <v>158</v>
      </c>
    </row>
    <row r="270" spans="1:24" x14ac:dyDescent="0.3">
      <c r="A270">
        <v>269</v>
      </c>
      <c r="B270" s="1">
        <v>45560</v>
      </c>
      <c r="C270">
        <v>1036</v>
      </c>
      <c r="D270" t="s">
        <v>170</v>
      </c>
      <c r="E270" t="s">
        <v>24</v>
      </c>
      <c r="F270" t="s">
        <v>28</v>
      </c>
      <c r="G270" t="s">
        <v>17</v>
      </c>
      <c r="H270" t="s">
        <v>18</v>
      </c>
      <c r="I270">
        <v>1882</v>
      </c>
      <c r="J270">
        <v>3</v>
      </c>
      <c r="K270">
        <v>0.24</v>
      </c>
      <c r="L270">
        <v>1096</v>
      </c>
      <c r="M270" t="s">
        <v>31</v>
      </c>
      <c r="N270">
        <v>4290.96</v>
      </c>
      <c r="O270" t="str">
        <f>TEXT(SalesData[[#This Row],[Order_Date]],"mmm")</f>
        <v>Sep</v>
      </c>
      <c r="P270">
        <f>YEAR(SalesData[[#This Row],[Order_Date]])</f>
        <v>2024</v>
      </c>
      <c r="Q270" t="str">
        <f>"Q"&amp;ROUNDUP(MONTH(SalesData[[#This Row],[Order_Date]])/3,0)</f>
        <v>Q3</v>
      </c>
      <c r="R270" s="2">
        <f>IFERROR(SalesData[[#This Row],[Profit]]/SalesData[[#This Row],[Sales]],0)</f>
        <v>0.25542069839849357</v>
      </c>
      <c r="S270" s="2">
        <f>SalesData[[#This Row],[Price]]*SalesData[[#This Row],[Quantity]]*SalesData[[#This Row],[Discount]]</f>
        <v>1355.04</v>
      </c>
      <c r="T270" s="2" t="str">
        <f>IF(SalesData[[#This Row],[Sales]]&gt;5000,"High",IF(SalesData[[#This Row],[Sales]]&gt;2000,"Medium","Low"))</f>
        <v>Medium</v>
      </c>
      <c r="U270" s="2" t="str">
        <f>IF(COUNTIFS(SalesData[Customer_ID],SalesData[[#This Row],[Customer_ID]])&gt;1,"Repeat","New")</f>
        <v>Repeat</v>
      </c>
      <c r="V270" s="2" t="str">
        <f>IF(SalesData[[#This Row],[Sales]]&gt;AVERAGE(SalesData[Sales]),"Above Avg","Below Avg")</f>
        <v>Below Avg</v>
      </c>
      <c r="W270" s="2" t="str">
        <f>IF(SalesData[[#This Row],[Profit]]&gt;0,"Profit","Loss")</f>
        <v>Profit</v>
      </c>
      <c r="X270" s="2">
        <f>RANK(SalesData[[#This Row],[Sales]],SalesData[Sales])</f>
        <v>342</v>
      </c>
    </row>
    <row r="271" spans="1:24" x14ac:dyDescent="0.3">
      <c r="A271">
        <v>270</v>
      </c>
      <c r="B271" s="1">
        <v>45561</v>
      </c>
      <c r="C271">
        <v>1044</v>
      </c>
      <c r="D271" t="s">
        <v>169</v>
      </c>
      <c r="E271" t="s">
        <v>24</v>
      </c>
      <c r="F271" t="s">
        <v>33</v>
      </c>
      <c r="G271" t="s">
        <v>34</v>
      </c>
      <c r="H271" t="s">
        <v>37</v>
      </c>
      <c r="I271">
        <v>4244</v>
      </c>
      <c r="J271">
        <v>8</v>
      </c>
      <c r="K271">
        <v>0.18</v>
      </c>
      <c r="L271">
        <v>1997</v>
      </c>
      <c r="M271" t="s">
        <v>19</v>
      </c>
      <c r="N271">
        <v>27840.639999999999</v>
      </c>
      <c r="O271" t="str">
        <f>TEXT(SalesData[[#This Row],[Order_Date]],"mmm")</f>
        <v>Sep</v>
      </c>
      <c r="P271">
        <f>YEAR(SalesData[[#This Row],[Order_Date]])</f>
        <v>2024</v>
      </c>
      <c r="Q271" t="str">
        <f>"Q"&amp;ROUNDUP(MONTH(SalesData[[#This Row],[Order_Date]])/3,0)</f>
        <v>Q3</v>
      </c>
      <c r="R271" s="2">
        <f>IFERROR(SalesData[[#This Row],[Profit]]/SalesData[[#This Row],[Sales]],0)</f>
        <v>7.1729672881083201E-2</v>
      </c>
      <c r="S271" s="2">
        <f>SalesData[[#This Row],[Price]]*SalesData[[#This Row],[Quantity]]*SalesData[[#This Row],[Discount]]</f>
        <v>6111.36</v>
      </c>
      <c r="T271" s="2" t="str">
        <f>IF(SalesData[[#This Row],[Sales]]&gt;5000,"High",IF(SalesData[[#This Row],[Sales]]&gt;2000,"Medium","Low"))</f>
        <v>High</v>
      </c>
      <c r="U271" s="2" t="str">
        <f>IF(COUNTIFS(SalesData[Customer_ID],SalesData[[#This Row],[Customer_ID]])&gt;1,"Repeat","New")</f>
        <v>Repeat</v>
      </c>
      <c r="V271" s="2" t="str">
        <f>IF(SalesData[[#This Row],[Sales]]&gt;AVERAGE(SalesData[Sales]),"Above Avg","Below Avg")</f>
        <v>Above Avg</v>
      </c>
      <c r="W271" s="2" t="str">
        <f>IF(SalesData[[#This Row],[Profit]]&gt;0,"Profit","Loss")</f>
        <v>Profit</v>
      </c>
      <c r="X271" s="2">
        <f>RANK(SalesData[[#This Row],[Sales]],SalesData[Sales])</f>
        <v>33</v>
      </c>
    </row>
    <row r="272" spans="1:24" x14ac:dyDescent="0.3">
      <c r="A272">
        <v>271</v>
      </c>
      <c r="B272" s="1">
        <v>45562</v>
      </c>
      <c r="C272">
        <v>1092</v>
      </c>
      <c r="D272" t="s">
        <v>178</v>
      </c>
      <c r="E272" t="s">
        <v>15</v>
      </c>
      <c r="F272" t="s">
        <v>21</v>
      </c>
      <c r="G272" t="s">
        <v>22</v>
      </c>
      <c r="H272" t="s">
        <v>25</v>
      </c>
      <c r="I272">
        <v>2461</v>
      </c>
      <c r="J272">
        <v>4</v>
      </c>
      <c r="K272">
        <v>7.0000000000000007E-2</v>
      </c>
      <c r="L272">
        <v>1327</v>
      </c>
      <c r="M272" t="s">
        <v>26</v>
      </c>
      <c r="N272">
        <v>9154.92</v>
      </c>
      <c r="O272" t="str">
        <f>TEXT(SalesData[[#This Row],[Order_Date]],"mmm")</f>
        <v>Sep</v>
      </c>
      <c r="P272">
        <f>YEAR(SalesData[[#This Row],[Order_Date]])</f>
        <v>2024</v>
      </c>
      <c r="Q272" t="str">
        <f>"Q"&amp;ROUNDUP(MONTH(SalesData[[#This Row],[Order_Date]])/3,0)</f>
        <v>Q3</v>
      </c>
      <c r="R272" s="2">
        <f>IFERROR(SalesData[[#This Row],[Profit]]/SalesData[[#This Row],[Sales]],0)</f>
        <v>0.14494938240858468</v>
      </c>
      <c r="S272" s="2">
        <f>SalesData[[#This Row],[Price]]*SalesData[[#This Row],[Quantity]]*SalesData[[#This Row],[Discount]]</f>
        <v>689.08</v>
      </c>
      <c r="T272" s="2" t="str">
        <f>IF(SalesData[[#This Row],[Sales]]&gt;5000,"High",IF(SalesData[[#This Row],[Sales]]&gt;2000,"Medium","Low"))</f>
        <v>High</v>
      </c>
      <c r="U272" s="2" t="str">
        <f>IF(COUNTIFS(SalesData[Customer_ID],SalesData[[#This Row],[Customer_ID]])&gt;1,"Repeat","New")</f>
        <v>Repeat</v>
      </c>
      <c r="V272" s="2" t="str">
        <f>IF(SalesData[[#This Row],[Sales]]&gt;AVERAGE(SalesData[Sales]),"Above Avg","Below Avg")</f>
        <v>Below Avg</v>
      </c>
      <c r="W272" s="2" t="str">
        <f>IF(SalesData[[#This Row],[Profit]]&gt;0,"Profit","Loss")</f>
        <v>Profit</v>
      </c>
      <c r="X272" s="2">
        <f>RANK(SalesData[[#This Row],[Sales]],SalesData[Sales])</f>
        <v>228</v>
      </c>
    </row>
    <row r="273" spans="1:24" x14ac:dyDescent="0.3">
      <c r="A273">
        <v>272</v>
      </c>
      <c r="B273" s="1">
        <v>45563</v>
      </c>
      <c r="C273">
        <v>1099</v>
      </c>
      <c r="D273" t="s">
        <v>92</v>
      </c>
      <c r="E273" t="s">
        <v>24</v>
      </c>
      <c r="F273" t="s">
        <v>16</v>
      </c>
      <c r="G273" t="s">
        <v>17</v>
      </c>
      <c r="H273" t="s">
        <v>29</v>
      </c>
      <c r="I273">
        <v>4549</v>
      </c>
      <c r="J273">
        <v>3</v>
      </c>
      <c r="K273">
        <v>0.14000000000000001</v>
      </c>
      <c r="L273">
        <v>1353</v>
      </c>
      <c r="M273" t="s">
        <v>31</v>
      </c>
      <c r="N273">
        <v>11736.42</v>
      </c>
      <c r="O273" t="str">
        <f>TEXT(SalesData[[#This Row],[Order_Date]],"mmm")</f>
        <v>Sep</v>
      </c>
      <c r="P273">
        <f>YEAR(SalesData[[#This Row],[Order_Date]])</f>
        <v>2024</v>
      </c>
      <c r="Q273" t="str">
        <f>"Q"&amp;ROUNDUP(MONTH(SalesData[[#This Row],[Order_Date]])/3,0)</f>
        <v>Q3</v>
      </c>
      <c r="R273" s="2">
        <f>IFERROR(SalesData[[#This Row],[Profit]]/SalesData[[#This Row],[Sales]],0)</f>
        <v>0.11528217292837169</v>
      </c>
      <c r="S273" s="2">
        <f>SalesData[[#This Row],[Price]]*SalesData[[#This Row],[Quantity]]*SalesData[[#This Row],[Discount]]</f>
        <v>1910.5800000000002</v>
      </c>
      <c r="T273" s="2" t="str">
        <f>IF(SalesData[[#This Row],[Sales]]&gt;5000,"High",IF(SalesData[[#This Row],[Sales]]&gt;2000,"Medium","Low"))</f>
        <v>High</v>
      </c>
      <c r="U273" s="2" t="str">
        <f>IF(COUNTIFS(SalesData[Customer_ID],SalesData[[#This Row],[Customer_ID]])&gt;1,"Repeat","New")</f>
        <v>Repeat</v>
      </c>
      <c r="V273" s="2" t="str">
        <f>IF(SalesData[[#This Row],[Sales]]&gt;AVERAGE(SalesData[Sales]),"Above Avg","Below Avg")</f>
        <v>Above Avg</v>
      </c>
      <c r="W273" s="2" t="str">
        <f>IF(SalesData[[#This Row],[Profit]]&gt;0,"Profit","Loss")</f>
        <v>Profit</v>
      </c>
      <c r="X273" s="2">
        <f>RANK(SalesData[[#This Row],[Sales]],SalesData[Sales])</f>
        <v>176</v>
      </c>
    </row>
    <row r="274" spans="1:24" x14ac:dyDescent="0.3">
      <c r="A274">
        <v>273</v>
      </c>
      <c r="B274" s="1">
        <v>45564</v>
      </c>
      <c r="C274">
        <v>1083</v>
      </c>
      <c r="D274" t="s">
        <v>67</v>
      </c>
      <c r="E274" t="s">
        <v>24</v>
      </c>
      <c r="F274" t="s">
        <v>16</v>
      </c>
      <c r="G274" t="s">
        <v>34</v>
      </c>
      <c r="H274" t="s">
        <v>25</v>
      </c>
      <c r="I274">
        <v>1134</v>
      </c>
      <c r="J274">
        <v>3</v>
      </c>
      <c r="K274">
        <v>0.26</v>
      </c>
      <c r="L274">
        <v>1911</v>
      </c>
      <c r="M274" t="s">
        <v>19</v>
      </c>
      <c r="N274">
        <v>2517.48</v>
      </c>
      <c r="O274" t="str">
        <f>TEXT(SalesData[[#This Row],[Order_Date]],"mmm")</f>
        <v>Sep</v>
      </c>
      <c r="P274">
        <f>YEAR(SalesData[[#This Row],[Order_Date]])</f>
        <v>2024</v>
      </c>
      <c r="Q274" t="str">
        <f>"Q"&amp;ROUNDUP(MONTH(SalesData[[#This Row],[Order_Date]])/3,0)</f>
        <v>Q3</v>
      </c>
      <c r="R274" s="2">
        <f>IFERROR(SalesData[[#This Row],[Profit]]/SalesData[[#This Row],[Sales]],0)</f>
        <v>0.75909242575909242</v>
      </c>
      <c r="S274" s="2">
        <f>SalesData[[#This Row],[Price]]*SalesData[[#This Row],[Quantity]]*SalesData[[#This Row],[Discount]]</f>
        <v>884.52</v>
      </c>
      <c r="T274" s="2" t="str">
        <f>IF(SalesData[[#This Row],[Sales]]&gt;5000,"High",IF(SalesData[[#This Row],[Sales]]&gt;2000,"Medium","Low"))</f>
        <v>Medium</v>
      </c>
      <c r="U274" s="2" t="str">
        <f>IF(COUNTIFS(SalesData[Customer_ID],SalesData[[#This Row],[Customer_ID]])&gt;1,"Repeat","New")</f>
        <v>Repeat</v>
      </c>
      <c r="V274" s="2" t="str">
        <f>IF(SalesData[[#This Row],[Sales]]&gt;AVERAGE(SalesData[Sales]),"Above Avg","Below Avg")</f>
        <v>Below Avg</v>
      </c>
      <c r="W274" s="2" t="str">
        <f>IF(SalesData[[#This Row],[Profit]]&gt;0,"Profit","Loss")</f>
        <v>Profit</v>
      </c>
      <c r="X274" s="2">
        <f>RANK(SalesData[[#This Row],[Sales]],SalesData[Sales])</f>
        <v>409</v>
      </c>
    </row>
    <row r="275" spans="1:24" x14ac:dyDescent="0.3">
      <c r="A275">
        <v>274</v>
      </c>
      <c r="B275" s="1">
        <v>45565</v>
      </c>
      <c r="C275">
        <v>1081</v>
      </c>
      <c r="D275" t="s">
        <v>136</v>
      </c>
      <c r="E275" t="s">
        <v>15</v>
      </c>
      <c r="F275" t="s">
        <v>28</v>
      </c>
      <c r="G275" t="s">
        <v>17</v>
      </c>
      <c r="H275" t="s">
        <v>37</v>
      </c>
      <c r="I275">
        <v>3921</v>
      </c>
      <c r="J275">
        <v>3</v>
      </c>
      <c r="K275">
        <v>0.03</v>
      </c>
      <c r="L275">
        <v>-471</v>
      </c>
      <c r="M275" t="s">
        <v>31</v>
      </c>
      <c r="N275">
        <v>11410.11</v>
      </c>
      <c r="O275" t="str">
        <f>TEXT(SalesData[[#This Row],[Order_Date]],"mmm")</f>
        <v>Sep</v>
      </c>
      <c r="P275">
        <f>YEAR(SalesData[[#This Row],[Order_Date]])</f>
        <v>2024</v>
      </c>
      <c r="Q275" t="str">
        <f>"Q"&amp;ROUNDUP(MONTH(SalesData[[#This Row],[Order_Date]])/3,0)</f>
        <v>Q3</v>
      </c>
      <c r="R275" s="2">
        <f>IFERROR(SalesData[[#This Row],[Profit]]/SalesData[[#This Row],[Sales]],0)</f>
        <v>-4.1279181357585508E-2</v>
      </c>
      <c r="S275" s="2">
        <f>SalesData[[#This Row],[Price]]*SalesData[[#This Row],[Quantity]]*SalesData[[#This Row],[Discount]]</f>
        <v>352.89</v>
      </c>
      <c r="T275" s="2" t="str">
        <f>IF(SalesData[[#This Row],[Sales]]&gt;5000,"High",IF(SalesData[[#This Row],[Sales]]&gt;2000,"Medium","Low"))</f>
        <v>High</v>
      </c>
      <c r="U275" s="2" t="str">
        <f>IF(COUNTIFS(SalesData[Customer_ID],SalesData[[#This Row],[Customer_ID]])&gt;1,"Repeat","New")</f>
        <v>Repeat</v>
      </c>
      <c r="V275" s="2" t="str">
        <f>IF(SalesData[[#This Row],[Sales]]&gt;AVERAGE(SalesData[Sales]),"Above Avg","Below Avg")</f>
        <v>Above Avg</v>
      </c>
      <c r="W275" s="2" t="str">
        <f>IF(SalesData[[#This Row],[Profit]]&gt;0,"Profit","Loss")</f>
        <v>Loss</v>
      </c>
      <c r="X275" s="2">
        <f>RANK(SalesData[[#This Row],[Sales]],SalesData[Sales])</f>
        <v>182</v>
      </c>
    </row>
    <row r="276" spans="1:24" x14ac:dyDescent="0.3">
      <c r="A276">
        <v>275</v>
      </c>
      <c r="B276" s="1">
        <v>45566</v>
      </c>
      <c r="C276">
        <v>1061</v>
      </c>
      <c r="D276" t="s">
        <v>87</v>
      </c>
      <c r="E276" t="s">
        <v>15</v>
      </c>
      <c r="F276" t="s">
        <v>33</v>
      </c>
      <c r="G276" t="s">
        <v>17</v>
      </c>
      <c r="H276" t="s">
        <v>37</v>
      </c>
      <c r="I276">
        <v>3876</v>
      </c>
      <c r="J276">
        <v>1</v>
      </c>
      <c r="K276">
        <v>0.28999999999999998</v>
      </c>
      <c r="L276">
        <v>71</v>
      </c>
      <c r="M276" t="s">
        <v>19</v>
      </c>
      <c r="N276">
        <v>2751.96</v>
      </c>
      <c r="O276" t="str">
        <f>TEXT(SalesData[[#This Row],[Order_Date]],"mmm")</f>
        <v>Oct</v>
      </c>
      <c r="P276">
        <f>YEAR(SalesData[[#This Row],[Order_Date]])</f>
        <v>2024</v>
      </c>
      <c r="Q276" t="str">
        <f>"Q"&amp;ROUNDUP(MONTH(SalesData[[#This Row],[Order_Date]])/3,0)</f>
        <v>Q4</v>
      </c>
      <c r="R276" s="2">
        <f>IFERROR(SalesData[[#This Row],[Profit]]/SalesData[[#This Row],[Sales]],0)</f>
        <v>2.5799793601651185E-2</v>
      </c>
      <c r="S276" s="2">
        <f>SalesData[[#This Row],[Price]]*SalesData[[#This Row],[Quantity]]*SalesData[[#This Row],[Discount]]</f>
        <v>1124.04</v>
      </c>
      <c r="T276" s="2" t="str">
        <f>IF(SalesData[[#This Row],[Sales]]&gt;5000,"High",IF(SalesData[[#This Row],[Sales]]&gt;2000,"Medium","Low"))</f>
        <v>Medium</v>
      </c>
      <c r="U276" s="2" t="str">
        <f>IF(COUNTIFS(SalesData[Customer_ID],SalesData[[#This Row],[Customer_ID]])&gt;1,"Repeat","New")</f>
        <v>Repeat</v>
      </c>
      <c r="V276" s="2" t="str">
        <f>IF(SalesData[[#This Row],[Sales]]&gt;AVERAGE(SalesData[Sales]),"Above Avg","Below Avg")</f>
        <v>Below Avg</v>
      </c>
      <c r="W276" s="2" t="str">
        <f>IF(SalesData[[#This Row],[Profit]]&gt;0,"Profit","Loss")</f>
        <v>Profit</v>
      </c>
      <c r="X276" s="2">
        <f>RANK(SalesData[[#This Row],[Sales]],SalesData[Sales])</f>
        <v>401</v>
      </c>
    </row>
    <row r="277" spans="1:24" x14ac:dyDescent="0.3">
      <c r="A277">
        <v>276</v>
      </c>
      <c r="B277" s="1">
        <v>45567</v>
      </c>
      <c r="C277">
        <v>1014</v>
      </c>
      <c r="D277" t="s">
        <v>65</v>
      </c>
      <c r="E277" t="s">
        <v>24</v>
      </c>
      <c r="F277" t="s">
        <v>28</v>
      </c>
      <c r="G277" t="s">
        <v>34</v>
      </c>
      <c r="H277" t="s">
        <v>29</v>
      </c>
      <c r="I277">
        <v>4808</v>
      </c>
      <c r="J277">
        <v>5</v>
      </c>
      <c r="K277">
        <v>0.04</v>
      </c>
      <c r="L277">
        <v>860</v>
      </c>
      <c r="M277" t="s">
        <v>31</v>
      </c>
      <c r="N277">
        <v>23078.3999999999</v>
      </c>
      <c r="O277" t="str">
        <f>TEXT(SalesData[[#This Row],[Order_Date]],"mmm")</f>
        <v>Oct</v>
      </c>
      <c r="P277">
        <f>YEAR(SalesData[[#This Row],[Order_Date]])</f>
        <v>2024</v>
      </c>
      <c r="Q277" t="str">
        <f>"Q"&amp;ROUNDUP(MONTH(SalesData[[#This Row],[Order_Date]])/3,0)</f>
        <v>Q4</v>
      </c>
      <c r="R277" s="2">
        <f>IFERROR(SalesData[[#This Row],[Profit]]/SalesData[[#This Row],[Sales]],0)</f>
        <v>3.7264281752634659E-2</v>
      </c>
      <c r="S277" s="2">
        <f>SalesData[[#This Row],[Price]]*SalesData[[#This Row],[Quantity]]*SalesData[[#This Row],[Discount]]</f>
        <v>961.6</v>
      </c>
      <c r="T277" s="2" t="str">
        <f>IF(SalesData[[#This Row],[Sales]]&gt;5000,"High",IF(SalesData[[#This Row],[Sales]]&gt;2000,"Medium","Low"))</f>
        <v>High</v>
      </c>
      <c r="U277" s="2" t="str">
        <f>IF(COUNTIFS(SalesData[Customer_ID],SalesData[[#This Row],[Customer_ID]])&gt;1,"Repeat","New")</f>
        <v>Repeat</v>
      </c>
      <c r="V277" s="2" t="str">
        <f>IF(SalesData[[#This Row],[Sales]]&gt;AVERAGE(SalesData[Sales]),"Above Avg","Below Avg")</f>
        <v>Above Avg</v>
      </c>
      <c r="W277" s="2" t="str">
        <f>IF(SalesData[[#This Row],[Profit]]&gt;0,"Profit","Loss")</f>
        <v>Profit</v>
      </c>
      <c r="X277" s="2">
        <f>RANK(SalesData[[#This Row],[Sales]],SalesData[Sales])</f>
        <v>58</v>
      </c>
    </row>
    <row r="278" spans="1:24" x14ac:dyDescent="0.3">
      <c r="A278">
        <v>277</v>
      </c>
      <c r="B278" s="1">
        <v>45568</v>
      </c>
      <c r="C278">
        <v>1078</v>
      </c>
      <c r="D278" t="s">
        <v>184</v>
      </c>
      <c r="E278" t="s">
        <v>15</v>
      </c>
      <c r="F278" t="s">
        <v>16</v>
      </c>
      <c r="G278" t="s">
        <v>34</v>
      </c>
      <c r="H278" t="s">
        <v>29</v>
      </c>
      <c r="I278">
        <v>1839</v>
      </c>
      <c r="J278">
        <v>2</v>
      </c>
      <c r="K278">
        <v>0.09</v>
      </c>
      <c r="L278">
        <v>1136</v>
      </c>
      <c r="M278" t="s">
        <v>31</v>
      </c>
      <c r="N278">
        <v>3346.98</v>
      </c>
      <c r="O278" t="str">
        <f>TEXT(SalesData[[#This Row],[Order_Date]],"mmm")</f>
        <v>Oct</v>
      </c>
      <c r="P278">
        <f>YEAR(SalesData[[#This Row],[Order_Date]])</f>
        <v>2024</v>
      </c>
      <c r="Q278" t="str">
        <f>"Q"&amp;ROUNDUP(MONTH(SalesData[[#This Row],[Order_Date]])/3,0)</f>
        <v>Q4</v>
      </c>
      <c r="R278" s="2">
        <f>IFERROR(SalesData[[#This Row],[Profit]]/SalesData[[#This Row],[Sales]],0)</f>
        <v>0.33941045360294952</v>
      </c>
      <c r="S278" s="2">
        <f>SalesData[[#This Row],[Price]]*SalesData[[#This Row],[Quantity]]*SalesData[[#This Row],[Discount]]</f>
        <v>331.02</v>
      </c>
      <c r="T278" s="2" t="str">
        <f>IF(SalesData[[#This Row],[Sales]]&gt;5000,"High",IF(SalesData[[#This Row],[Sales]]&gt;2000,"Medium","Low"))</f>
        <v>Medium</v>
      </c>
      <c r="U278" s="2" t="str">
        <f>IF(COUNTIFS(SalesData[Customer_ID],SalesData[[#This Row],[Customer_ID]])&gt;1,"Repeat","New")</f>
        <v>Repeat</v>
      </c>
      <c r="V278" s="2" t="str">
        <f>IF(SalesData[[#This Row],[Sales]]&gt;AVERAGE(SalesData[Sales]),"Above Avg","Below Avg")</f>
        <v>Below Avg</v>
      </c>
      <c r="W278" s="2" t="str">
        <f>IF(SalesData[[#This Row],[Profit]]&gt;0,"Profit","Loss")</f>
        <v>Profit</v>
      </c>
      <c r="X278" s="2">
        <f>RANK(SalesData[[#This Row],[Sales]],SalesData[Sales])</f>
        <v>384</v>
      </c>
    </row>
    <row r="279" spans="1:24" x14ac:dyDescent="0.3">
      <c r="A279">
        <v>278</v>
      </c>
      <c r="B279" s="1">
        <v>45569</v>
      </c>
      <c r="C279">
        <v>1023</v>
      </c>
      <c r="D279" t="s">
        <v>113</v>
      </c>
      <c r="E279" t="s">
        <v>15</v>
      </c>
      <c r="F279" t="s">
        <v>28</v>
      </c>
      <c r="G279" t="s">
        <v>34</v>
      </c>
      <c r="H279" t="s">
        <v>25</v>
      </c>
      <c r="I279">
        <v>535</v>
      </c>
      <c r="J279">
        <v>7</v>
      </c>
      <c r="K279">
        <v>0.05</v>
      </c>
      <c r="L279">
        <v>-213</v>
      </c>
      <c r="M279" t="s">
        <v>31</v>
      </c>
      <c r="N279">
        <v>3557.75</v>
      </c>
      <c r="O279" t="str">
        <f>TEXT(SalesData[[#This Row],[Order_Date]],"mmm")</f>
        <v>Oct</v>
      </c>
      <c r="P279">
        <f>YEAR(SalesData[[#This Row],[Order_Date]])</f>
        <v>2024</v>
      </c>
      <c r="Q279" t="str">
        <f>"Q"&amp;ROUNDUP(MONTH(SalesData[[#This Row],[Order_Date]])/3,0)</f>
        <v>Q4</v>
      </c>
      <c r="R279" s="2">
        <f>IFERROR(SalesData[[#This Row],[Profit]]/SalesData[[#This Row],[Sales]],0)</f>
        <v>-5.9869299416766213E-2</v>
      </c>
      <c r="S279" s="2">
        <f>SalesData[[#This Row],[Price]]*SalesData[[#This Row],[Quantity]]*SalesData[[#This Row],[Discount]]</f>
        <v>187.25</v>
      </c>
      <c r="T279" s="2" t="str">
        <f>IF(SalesData[[#This Row],[Sales]]&gt;5000,"High",IF(SalesData[[#This Row],[Sales]]&gt;2000,"Medium","Low"))</f>
        <v>Medium</v>
      </c>
      <c r="U279" s="2" t="str">
        <f>IF(COUNTIFS(SalesData[Customer_ID],SalesData[[#This Row],[Customer_ID]])&gt;1,"Repeat","New")</f>
        <v>Repeat</v>
      </c>
      <c r="V279" s="2" t="str">
        <f>IF(SalesData[[#This Row],[Sales]]&gt;AVERAGE(SalesData[Sales]),"Above Avg","Below Avg")</f>
        <v>Below Avg</v>
      </c>
      <c r="W279" s="2" t="str">
        <f>IF(SalesData[[#This Row],[Profit]]&gt;0,"Profit","Loss")</f>
        <v>Loss</v>
      </c>
      <c r="X279" s="2">
        <f>RANK(SalesData[[#This Row],[Sales]],SalesData[Sales])</f>
        <v>374</v>
      </c>
    </row>
    <row r="280" spans="1:24" x14ac:dyDescent="0.3">
      <c r="A280">
        <v>279</v>
      </c>
      <c r="B280" s="1">
        <v>45570</v>
      </c>
      <c r="C280">
        <v>1062</v>
      </c>
      <c r="D280" t="s">
        <v>75</v>
      </c>
      <c r="E280" t="s">
        <v>24</v>
      </c>
      <c r="F280" t="s">
        <v>33</v>
      </c>
      <c r="G280" t="s">
        <v>17</v>
      </c>
      <c r="H280" t="s">
        <v>29</v>
      </c>
      <c r="I280">
        <v>592</v>
      </c>
      <c r="J280">
        <v>4</v>
      </c>
      <c r="K280">
        <v>0.14000000000000001</v>
      </c>
      <c r="L280">
        <v>549</v>
      </c>
      <c r="M280" t="s">
        <v>31</v>
      </c>
      <c r="N280">
        <v>2036.48</v>
      </c>
      <c r="O280" t="str">
        <f>TEXT(SalesData[[#This Row],[Order_Date]],"mmm")</f>
        <v>Oct</v>
      </c>
      <c r="P280">
        <f>YEAR(SalesData[[#This Row],[Order_Date]])</f>
        <v>2024</v>
      </c>
      <c r="Q280" t="str">
        <f>"Q"&amp;ROUNDUP(MONTH(SalesData[[#This Row],[Order_Date]])/3,0)</f>
        <v>Q4</v>
      </c>
      <c r="R280" s="2">
        <f>IFERROR(SalesData[[#This Row],[Profit]]/SalesData[[#This Row],[Sales]],0)</f>
        <v>0.26958280955373981</v>
      </c>
      <c r="S280" s="2">
        <f>SalesData[[#This Row],[Price]]*SalesData[[#This Row],[Quantity]]*SalesData[[#This Row],[Discount]]</f>
        <v>331.52000000000004</v>
      </c>
      <c r="T280" s="2" t="str">
        <f>IF(SalesData[[#This Row],[Sales]]&gt;5000,"High",IF(SalesData[[#This Row],[Sales]]&gt;2000,"Medium","Low"))</f>
        <v>Medium</v>
      </c>
      <c r="U280" s="2" t="str">
        <f>IF(COUNTIFS(SalesData[Customer_ID],SalesData[[#This Row],[Customer_ID]])&gt;1,"Repeat","New")</f>
        <v>Repeat</v>
      </c>
      <c r="V280" s="2" t="str">
        <f>IF(SalesData[[#This Row],[Sales]]&gt;AVERAGE(SalesData[Sales]),"Above Avg","Below Avg")</f>
        <v>Below Avg</v>
      </c>
      <c r="W280" s="2" t="str">
        <f>IF(SalesData[[#This Row],[Profit]]&gt;0,"Profit","Loss")</f>
        <v>Profit</v>
      </c>
      <c r="X280" s="2">
        <f>RANK(SalesData[[#This Row],[Sales]],SalesData[Sales])</f>
        <v>428</v>
      </c>
    </row>
    <row r="281" spans="1:24" x14ac:dyDescent="0.3">
      <c r="A281">
        <v>280</v>
      </c>
      <c r="B281" s="1">
        <v>45571</v>
      </c>
      <c r="C281">
        <v>1028</v>
      </c>
      <c r="D281" t="s">
        <v>173</v>
      </c>
      <c r="E281" t="s">
        <v>15</v>
      </c>
      <c r="F281" t="s">
        <v>28</v>
      </c>
      <c r="G281" t="s">
        <v>17</v>
      </c>
      <c r="H281" t="s">
        <v>18</v>
      </c>
      <c r="I281">
        <v>4041</v>
      </c>
      <c r="J281">
        <v>2</v>
      </c>
      <c r="K281">
        <v>0.09</v>
      </c>
      <c r="L281">
        <v>-358</v>
      </c>
      <c r="M281" t="s">
        <v>19</v>
      </c>
      <c r="N281">
        <v>7354.62</v>
      </c>
      <c r="O281" t="str">
        <f>TEXT(SalesData[[#This Row],[Order_Date]],"mmm")</f>
        <v>Oct</v>
      </c>
      <c r="P281">
        <f>YEAR(SalesData[[#This Row],[Order_Date]])</f>
        <v>2024</v>
      </c>
      <c r="Q281" t="str">
        <f>"Q"&amp;ROUNDUP(MONTH(SalesData[[#This Row],[Order_Date]])/3,0)</f>
        <v>Q4</v>
      </c>
      <c r="R281" s="2">
        <f>IFERROR(SalesData[[#This Row],[Profit]]/SalesData[[#This Row],[Sales]],0)</f>
        <v>-4.8676886093367164E-2</v>
      </c>
      <c r="S281" s="2">
        <f>SalesData[[#This Row],[Price]]*SalesData[[#This Row],[Quantity]]*SalesData[[#This Row],[Discount]]</f>
        <v>727.38</v>
      </c>
      <c r="T281" s="2" t="str">
        <f>IF(SalesData[[#This Row],[Sales]]&gt;5000,"High",IF(SalesData[[#This Row],[Sales]]&gt;2000,"Medium","Low"))</f>
        <v>High</v>
      </c>
      <c r="U281" s="2" t="str">
        <f>IF(COUNTIFS(SalesData[Customer_ID],SalesData[[#This Row],[Customer_ID]])&gt;1,"Repeat","New")</f>
        <v>Repeat</v>
      </c>
      <c r="V281" s="2" t="str">
        <f>IF(SalesData[[#This Row],[Sales]]&gt;AVERAGE(SalesData[Sales]),"Above Avg","Below Avg")</f>
        <v>Below Avg</v>
      </c>
      <c r="W281" s="2" t="str">
        <f>IF(SalesData[[#This Row],[Profit]]&gt;0,"Profit","Loss")</f>
        <v>Loss</v>
      </c>
      <c r="X281" s="2">
        <f>RANK(SalesData[[#This Row],[Sales]],SalesData[Sales])</f>
        <v>267</v>
      </c>
    </row>
    <row r="282" spans="1:24" x14ac:dyDescent="0.3">
      <c r="A282">
        <v>281</v>
      </c>
      <c r="B282" s="1">
        <v>45572</v>
      </c>
      <c r="C282">
        <v>1080</v>
      </c>
      <c r="D282" t="s">
        <v>185</v>
      </c>
      <c r="E282" t="s">
        <v>15</v>
      </c>
      <c r="F282" t="s">
        <v>33</v>
      </c>
      <c r="G282" t="s">
        <v>34</v>
      </c>
      <c r="H282" t="s">
        <v>25</v>
      </c>
      <c r="I282">
        <v>2216</v>
      </c>
      <c r="J282">
        <v>8</v>
      </c>
      <c r="K282">
        <v>0.3</v>
      </c>
      <c r="L282">
        <v>618</v>
      </c>
      <c r="M282" t="s">
        <v>31</v>
      </c>
      <c r="N282">
        <v>12409.5999999999</v>
      </c>
      <c r="O282" t="str">
        <f>TEXT(SalesData[[#This Row],[Order_Date]],"mmm")</f>
        <v>Oct</v>
      </c>
      <c r="P282">
        <f>YEAR(SalesData[[#This Row],[Order_Date]])</f>
        <v>2024</v>
      </c>
      <c r="Q282" t="str">
        <f>"Q"&amp;ROUNDUP(MONTH(SalesData[[#This Row],[Order_Date]])/3,0)</f>
        <v>Q4</v>
      </c>
      <c r="R282" s="2">
        <f>IFERROR(SalesData[[#This Row],[Profit]]/SalesData[[#This Row],[Sales]],0)</f>
        <v>4.9800154718927681E-2</v>
      </c>
      <c r="S282" s="2">
        <f>SalesData[[#This Row],[Price]]*SalesData[[#This Row],[Quantity]]*SalesData[[#This Row],[Discount]]</f>
        <v>5318.4</v>
      </c>
      <c r="T282" s="2" t="str">
        <f>IF(SalesData[[#This Row],[Sales]]&gt;5000,"High",IF(SalesData[[#This Row],[Sales]]&gt;2000,"Medium","Low"))</f>
        <v>High</v>
      </c>
      <c r="U282" s="2" t="str">
        <f>IF(COUNTIFS(SalesData[Customer_ID],SalesData[[#This Row],[Customer_ID]])&gt;1,"Repeat","New")</f>
        <v>Repeat</v>
      </c>
      <c r="V282" s="2" t="str">
        <f>IF(SalesData[[#This Row],[Sales]]&gt;AVERAGE(SalesData[Sales]),"Above Avg","Below Avg")</f>
        <v>Above Avg</v>
      </c>
      <c r="W282" s="2" t="str">
        <f>IF(SalesData[[#This Row],[Profit]]&gt;0,"Profit","Loss")</f>
        <v>Profit</v>
      </c>
      <c r="X282" s="2">
        <f>RANK(SalesData[[#This Row],[Sales]],SalesData[Sales])</f>
        <v>164</v>
      </c>
    </row>
    <row r="283" spans="1:24" x14ac:dyDescent="0.3">
      <c r="A283">
        <v>282</v>
      </c>
      <c r="B283" s="1">
        <v>45573</v>
      </c>
      <c r="C283">
        <v>1024</v>
      </c>
      <c r="D283" t="s">
        <v>186</v>
      </c>
      <c r="E283" t="s">
        <v>15</v>
      </c>
      <c r="F283" t="s">
        <v>33</v>
      </c>
      <c r="G283" t="s">
        <v>34</v>
      </c>
      <c r="H283" t="s">
        <v>18</v>
      </c>
      <c r="I283">
        <v>2168</v>
      </c>
      <c r="J283">
        <v>8</v>
      </c>
      <c r="K283">
        <v>0</v>
      </c>
      <c r="L283">
        <v>853</v>
      </c>
      <c r="M283" t="s">
        <v>26</v>
      </c>
      <c r="N283">
        <v>17344</v>
      </c>
      <c r="O283" t="str">
        <f>TEXT(SalesData[[#This Row],[Order_Date]],"mmm")</f>
        <v>Oct</v>
      </c>
      <c r="P283">
        <f>YEAR(SalesData[[#This Row],[Order_Date]])</f>
        <v>2024</v>
      </c>
      <c r="Q283" t="str">
        <f>"Q"&amp;ROUNDUP(MONTH(SalesData[[#This Row],[Order_Date]])/3,0)</f>
        <v>Q4</v>
      </c>
      <c r="R283" s="2">
        <f>IFERROR(SalesData[[#This Row],[Profit]]/SalesData[[#This Row],[Sales]],0)</f>
        <v>4.9181273062730631E-2</v>
      </c>
      <c r="S283" s="2">
        <f>SalesData[[#This Row],[Price]]*SalesData[[#This Row],[Quantity]]*SalesData[[#This Row],[Discount]]</f>
        <v>0</v>
      </c>
      <c r="T283" s="2" t="str">
        <f>IF(SalesData[[#This Row],[Sales]]&gt;5000,"High",IF(SalesData[[#This Row],[Sales]]&gt;2000,"Medium","Low"))</f>
        <v>High</v>
      </c>
      <c r="U283" s="2" t="str">
        <f>IF(COUNTIFS(SalesData[Customer_ID],SalesData[[#This Row],[Customer_ID]])&gt;1,"Repeat","New")</f>
        <v>Repeat</v>
      </c>
      <c r="V283" s="2" t="str">
        <f>IF(SalesData[[#This Row],[Sales]]&gt;AVERAGE(SalesData[Sales]),"Above Avg","Below Avg")</f>
        <v>Above Avg</v>
      </c>
      <c r="W283" s="2" t="str">
        <f>IF(SalesData[[#This Row],[Profit]]&gt;0,"Profit","Loss")</f>
        <v>Profit</v>
      </c>
      <c r="X283" s="2">
        <f>RANK(SalesData[[#This Row],[Sales]],SalesData[Sales])</f>
        <v>101</v>
      </c>
    </row>
    <row r="284" spans="1:24" x14ac:dyDescent="0.3">
      <c r="A284">
        <v>283</v>
      </c>
      <c r="B284" s="1">
        <v>45574</v>
      </c>
      <c r="C284">
        <v>1015</v>
      </c>
      <c r="D284" t="s">
        <v>173</v>
      </c>
      <c r="E284" t="s">
        <v>15</v>
      </c>
      <c r="F284" t="s">
        <v>28</v>
      </c>
      <c r="G284" t="s">
        <v>22</v>
      </c>
      <c r="H284" t="s">
        <v>25</v>
      </c>
      <c r="I284">
        <v>1828</v>
      </c>
      <c r="J284">
        <v>1</v>
      </c>
      <c r="K284">
        <v>0.1</v>
      </c>
      <c r="L284">
        <v>892</v>
      </c>
      <c r="M284" t="s">
        <v>31</v>
      </c>
      <c r="N284">
        <v>1645.2</v>
      </c>
      <c r="O284" t="str">
        <f>TEXT(SalesData[[#This Row],[Order_Date]],"mmm")</f>
        <v>Oct</v>
      </c>
      <c r="P284">
        <f>YEAR(SalesData[[#This Row],[Order_Date]])</f>
        <v>2024</v>
      </c>
      <c r="Q284" t="str">
        <f>"Q"&amp;ROUNDUP(MONTH(SalesData[[#This Row],[Order_Date]])/3,0)</f>
        <v>Q4</v>
      </c>
      <c r="R284" s="2">
        <f>IFERROR(SalesData[[#This Row],[Profit]]/SalesData[[#This Row],[Sales]],0)</f>
        <v>0.54218332117675661</v>
      </c>
      <c r="S284" s="2">
        <f>SalesData[[#This Row],[Price]]*SalesData[[#This Row],[Quantity]]*SalesData[[#This Row],[Discount]]</f>
        <v>182.8</v>
      </c>
      <c r="T284" s="2" t="str">
        <f>IF(SalesData[[#This Row],[Sales]]&gt;5000,"High",IF(SalesData[[#This Row],[Sales]]&gt;2000,"Medium","Low"))</f>
        <v>Low</v>
      </c>
      <c r="U284" s="2" t="str">
        <f>IF(COUNTIFS(SalesData[Customer_ID],SalesData[[#This Row],[Customer_ID]])&gt;1,"Repeat","New")</f>
        <v>Repeat</v>
      </c>
      <c r="V284" s="2" t="str">
        <f>IF(SalesData[[#This Row],[Sales]]&gt;AVERAGE(SalesData[Sales]),"Above Avg","Below Avg")</f>
        <v>Below Avg</v>
      </c>
      <c r="W284" s="2" t="str">
        <f>IF(SalesData[[#This Row],[Profit]]&gt;0,"Profit","Loss")</f>
        <v>Profit</v>
      </c>
      <c r="X284" s="2">
        <f>RANK(SalesData[[#This Row],[Sales]],SalesData[Sales])</f>
        <v>450</v>
      </c>
    </row>
    <row r="285" spans="1:24" x14ac:dyDescent="0.3">
      <c r="A285">
        <v>284</v>
      </c>
      <c r="B285" s="1">
        <v>45575</v>
      </c>
      <c r="C285">
        <v>1049</v>
      </c>
      <c r="D285" t="s">
        <v>187</v>
      </c>
      <c r="E285" t="s">
        <v>24</v>
      </c>
      <c r="F285" t="s">
        <v>16</v>
      </c>
      <c r="G285" t="s">
        <v>17</v>
      </c>
      <c r="H285" t="s">
        <v>29</v>
      </c>
      <c r="I285">
        <v>2743</v>
      </c>
      <c r="J285">
        <v>5</v>
      </c>
      <c r="K285">
        <v>0.18</v>
      </c>
      <c r="L285">
        <v>-288</v>
      </c>
      <c r="M285" t="s">
        <v>31</v>
      </c>
      <c r="N285">
        <v>11246.3</v>
      </c>
      <c r="O285" t="str">
        <f>TEXT(SalesData[[#This Row],[Order_Date]],"mmm")</f>
        <v>Oct</v>
      </c>
      <c r="P285">
        <f>YEAR(SalesData[[#This Row],[Order_Date]])</f>
        <v>2024</v>
      </c>
      <c r="Q285" t="str">
        <f>"Q"&amp;ROUNDUP(MONTH(SalesData[[#This Row],[Order_Date]])/3,0)</f>
        <v>Q4</v>
      </c>
      <c r="R285" s="2">
        <f>IFERROR(SalesData[[#This Row],[Profit]]/SalesData[[#This Row],[Sales]],0)</f>
        <v>-2.5608422325564855E-2</v>
      </c>
      <c r="S285" s="2">
        <f>SalesData[[#This Row],[Price]]*SalesData[[#This Row],[Quantity]]*SalesData[[#This Row],[Discount]]</f>
        <v>2468.6999999999998</v>
      </c>
      <c r="T285" s="2" t="str">
        <f>IF(SalesData[[#This Row],[Sales]]&gt;5000,"High",IF(SalesData[[#This Row],[Sales]]&gt;2000,"Medium","Low"))</f>
        <v>High</v>
      </c>
      <c r="U285" s="2" t="str">
        <f>IF(COUNTIFS(SalesData[Customer_ID],SalesData[[#This Row],[Customer_ID]])&gt;1,"Repeat","New")</f>
        <v>Repeat</v>
      </c>
      <c r="V285" s="2" t="str">
        <f>IF(SalesData[[#This Row],[Sales]]&gt;AVERAGE(SalesData[Sales]),"Above Avg","Below Avg")</f>
        <v>Above Avg</v>
      </c>
      <c r="W285" s="2" t="str">
        <f>IF(SalesData[[#This Row],[Profit]]&gt;0,"Profit","Loss")</f>
        <v>Loss</v>
      </c>
      <c r="X285" s="2">
        <f>RANK(SalesData[[#This Row],[Sales]],SalesData[Sales])</f>
        <v>187</v>
      </c>
    </row>
    <row r="286" spans="1:24" x14ac:dyDescent="0.3">
      <c r="A286">
        <v>285</v>
      </c>
      <c r="B286" s="1">
        <v>45576</v>
      </c>
      <c r="C286">
        <v>1080</v>
      </c>
      <c r="D286" t="s">
        <v>188</v>
      </c>
      <c r="E286" t="s">
        <v>24</v>
      </c>
      <c r="F286" t="s">
        <v>33</v>
      </c>
      <c r="G286" t="s">
        <v>22</v>
      </c>
      <c r="H286" t="s">
        <v>37</v>
      </c>
      <c r="I286">
        <v>3747</v>
      </c>
      <c r="J286">
        <v>2</v>
      </c>
      <c r="K286">
        <v>0.1</v>
      </c>
      <c r="L286">
        <v>-334</v>
      </c>
      <c r="M286" t="s">
        <v>26</v>
      </c>
      <c r="N286">
        <v>6744.6</v>
      </c>
      <c r="O286" t="str">
        <f>TEXT(SalesData[[#This Row],[Order_Date]],"mmm")</f>
        <v>Oct</v>
      </c>
      <c r="P286">
        <f>YEAR(SalesData[[#This Row],[Order_Date]])</f>
        <v>2024</v>
      </c>
      <c r="Q286" t="str">
        <f>"Q"&amp;ROUNDUP(MONTH(SalesData[[#This Row],[Order_Date]])/3,0)</f>
        <v>Q4</v>
      </c>
      <c r="R286" s="2">
        <f>IFERROR(SalesData[[#This Row],[Profit]]/SalesData[[#This Row],[Sales]],0)</f>
        <v>-4.9521098360169616E-2</v>
      </c>
      <c r="S286" s="2">
        <f>SalesData[[#This Row],[Price]]*SalesData[[#This Row],[Quantity]]*SalesData[[#This Row],[Discount]]</f>
        <v>749.40000000000009</v>
      </c>
      <c r="T286" s="2" t="str">
        <f>IF(SalesData[[#This Row],[Sales]]&gt;5000,"High",IF(SalesData[[#This Row],[Sales]]&gt;2000,"Medium","Low"))</f>
        <v>High</v>
      </c>
      <c r="U286" s="2" t="str">
        <f>IF(COUNTIFS(SalesData[Customer_ID],SalesData[[#This Row],[Customer_ID]])&gt;1,"Repeat","New")</f>
        <v>Repeat</v>
      </c>
      <c r="V286" s="2" t="str">
        <f>IF(SalesData[[#This Row],[Sales]]&gt;AVERAGE(SalesData[Sales]),"Above Avg","Below Avg")</f>
        <v>Below Avg</v>
      </c>
      <c r="W286" s="2" t="str">
        <f>IF(SalesData[[#This Row],[Profit]]&gt;0,"Profit","Loss")</f>
        <v>Loss</v>
      </c>
      <c r="X286" s="2">
        <f>RANK(SalesData[[#This Row],[Sales]],SalesData[Sales])</f>
        <v>281</v>
      </c>
    </row>
    <row r="287" spans="1:24" x14ac:dyDescent="0.3">
      <c r="A287">
        <v>286</v>
      </c>
      <c r="B287" s="1">
        <v>45577</v>
      </c>
      <c r="C287">
        <v>1084</v>
      </c>
      <c r="D287" t="s">
        <v>140</v>
      </c>
      <c r="E287" t="s">
        <v>24</v>
      </c>
      <c r="F287" t="s">
        <v>16</v>
      </c>
      <c r="G287" t="s">
        <v>17</v>
      </c>
      <c r="H287" t="s">
        <v>37</v>
      </c>
      <c r="I287">
        <v>3612</v>
      </c>
      <c r="J287">
        <v>9</v>
      </c>
      <c r="K287">
        <v>0.14000000000000001</v>
      </c>
      <c r="L287">
        <v>74</v>
      </c>
      <c r="M287" t="s">
        <v>31</v>
      </c>
      <c r="N287">
        <v>27956.880000000001</v>
      </c>
      <c r="O287" t="str">
        <f>TEXT(SalesData[[#This Row],[Order_Date]],"mmm")</f>
        <v>Oct</v>
      </c>
      <c r="P287">
        <f>YEAR(SalesData[[#This Row],[Order_Date]])</f>
        <v>2024</v>
      </c>
      <c r="Q287" t="str">
        <f>"Q"&amp;ROUNDUP(MONTH(SalesData[[#This Row],[Order_Date]])/3,0)</f>
        <v>Q4</v>
      </c>
      <c r="R287" s="2">
        <f>IFERROR(SalesData[[#This Row],[Profit]]/SalesData[[#This Row],[Sales]],0)</f>
        <v>2.6469334203244425E-3</v>
      </c>
      <c r="S287" s="2">
        <f>SalesData[[#This Row],[Price]]*SalesData[[#This Row],[Quantity]]*SalesData[[#This Row],[Discount]]</f>
        <v>4551.1200000000008</v>
      </c>
      <c r="T287" s="2" t="str">
        <f>IF(SalesData[[#This Row],[Sales]]&gt;5000,"High",IF(SalesData[[#This Row],[Sales]]&gt;2000,"Medium","Low"))</f>
        <v>High</v>
      </c>
      <c r="U287" s="2" t="str">
        <f>IF(COUNTIFS(SalesData[Customer_ID],SalesData[[#This Row],[Customer_ID]])&gt;1,"Repeat","New")</f>
        <v>Repeat</v>
      </c>
      <c r="V287" s="2" t="str">
        <f>IF(SalesData[[#This Row],[Sales]]&gt;AVERAGE(SalesData[Sales]),"Above Avg","Below Avg")</f>
        <v>Above Avg</v>
      </c>
      <c r="W287" s="2" t="str">
        <f>IF(SalesData[[#This Row],[Profit]]&gt;0,"Profit","Loss")</f>
        <v>Profit</v>
      </c>
      <c r="X287" s="2">
        <f>RANK(SalesData[[#This Row],[Sales]],SalesData[Sales])</f>
        <v>31</v>
      </c>
    </row>
    <row r="288" spans="1:24" x14ac:dyDescent="0.3">
      <c r="A288">
        <v>287</v>
      </c>
      <c r="B288" s="1">
        <v>45578</v>
      </c>
      <c r="C288">
        <v>1090</v>
      </c>
      <c r="D288" t="s">
        <v>116</v>
      </c>
      <c r="E288" t="s">
        <v>24</v>
      </c>
      <c r="F288" t="s">
        <v>33</v>
      </c>
      <c r="G288" t="s">
        <v>17</v>
      </c>
      <c r="H288" t="s">
        <v>25</v>
      </c>
      <c r="I288">
        <v>1459</v>
      </c>
      <c r="J288">
        <v>2</v>
      </c>
      <c r="K288">
        <v>0.13</v>
      </c>
      <c r="L288">
        <v>-190</v>
      </c>
      <c r="M288" t="s">
        <v>19</v>
      </c>
      <c r="N288">
        <v>2538.66</v>
      </c>
      <c r="O288" t="str">
        <f>TEXT(SalesData[[#This Row],[Order_Date]],"mmm")</f>
        <v>Oct</v>
      </c>
      <c r="P288">
        <f>YEAR(SalesData[[#This Row],[Order_Date]])</f>
        <v>2024</v>
      </c>
      <c r="Q288" t="str">
        <f>"Q"&amp;ROUNDUP(MONTH(SalesData[[#This Row],[Order_Date]])/3,0)</f>
        <v>Q4</v>
      </c>
      <c r="R288" s="2">
        <f>IFERROR(SalesData[[#This Row],[Profit]]/SalesData[[#This Row],[Sales]],0)</f>
        <v>-7.4842633515319112E-2</v>
      </c>
      <c r="S288" s="2">
        <f>SalesData[[#This Row],[Price]]*SalesData[[#This Row],[Quantity]]*SalesData[[#This Row],[Discount]]</f>
        <v>379.34000000000003</v>
      </c>
      <c r="T288" s="2" t="str">
        <f>IF(SalesData[[#This Row],[Sales]]&gt;5000,"High",IF(SalesData[[#This Row],[Sales]]&gt;2000,"Medium","Low"))</f>
        <v>Medium</v>
      </c>
      <c r="U288" s="2" t="str">
        <f>IF(COUNTIFS(SalesData[Customer_ID],SalesData[[#This Row],[Customer_ID]])&gt;1,"Repeat","New")</f>
        <v>Repeat</v>
      </c>
      <c r="V288" s="2" t="str">
        <f>IF(SalesData[[#This Row],[Sales]]&gt;AVERAGE(SalesData[Sales]),"Above Avg","Below Avg")</f>
        <v>Below Avg</v>
      </c>
      <c r="W288" s="2" t="str">
        <f>IF(SalesData[[#This Row],[Profit]]&gt;0,"Profit","Loss")</f>
        <v>Loss</v>
      </c>
      <c r="X288" s="2">
        <f>RANK(SalesData[[#This Row],[Sales]],SalesData[Sales])</f>
        <v>408</v>
      </c>
    </row>
    <row r="289" spans="1:24" x14ac:dyDescent="0.3">
      <c r="A289">
        <v>288</v>
      </c>
      <c r="B289" s="1">
        <v>45579</v>
      </c>
      <c r="C289">
        <v>1004</v>
      </c>
      <c r="D289" t="s">
        <v>32</v>
      </c>
      <c r="E289" t="s">
        <v>24</v>
      </c>
      <c r="F289" t="s">
        <v>16</v>
      </c>
      <c r="G289" t="s">
        <v>17</v>
      </c>
      <c r="H289" t="s">
        <v>18</v>
      </c>
      <c r="I289">
        <v>2607</v>
      </c>
      <c r="J289">
        <v>7</v>
      </c>
      <c r="K289">
        <v>0.03</v>
      </c>
      <c r="L289">
        <v>431</v>
      </c>
      <c r="M289" t="s">
        <v>19</v>
      </c>
      <c r="N289">
        <v>17701.53</v>
      </c>
      <c r="O289" t="str">
        <f>TEXT(SalesData[[#This Row],[Order_Date]],"mmm")</f>
        <v>Oct</v>
      </c>
      <c r="P289">
        <f>YEAR(SalesData[[#This Row],[Order_Date]])</f>
        <v>2024</v>
      </c>
      <c r="Q289" t="str">
        <f>"Q"&amp;ROUNDUP(MONTH(SalesData[[#This Row],[Order_Date]])/3,0)</f>
        <v>Q4</v>
      </c>
      <c r="R289" s="2">
        <f>IFERROR(SalesData[[#This Row],[Profit]]/SalesData[[#This Row],[Sales]],0)</f>
        <v>2.4348177812878322E-2</v>
      </c>
      <c r="S289" s="2">
        <f>SalesData[[#This Row],[Price]]*SalesData[[#This Row],[Quantity]]*SalesData[[#This Row],[Discount]]</f>
        <v>547.47</v>
      </c>
      <c r="T289" s="2" t="str">
        <f>IF(SalesData[[#This Row],[Sales]]&gt;5000,"High",IF(SalesData[[#This Row],[Sales]]&gt;2000,"Medium","Low"))</f>
        <v>High</v>
      </c>
      <c r="U289" s="2" t="str">
        <f>IF(COUNTIFS(SalesData[Customer_ID],SalesData[[#This Row],[Customer_ID]])&gt;1,"Repeat","New")</f>
        <v>Repeat</v>
      </c>
      <c r="V289" s="2" t="str">
        <f>IF(SalesData[[#This Row],[Sales]]&gt;AVERAGE(SalesData[Sales]),"Above Avg","Below Avg")</f>
        <v>Above Avg</v>
      </c>
      <c r="W289" s="2" t="str">
        <f>IF(SalesData[[#This Row],[Profit]]&gt;0,"Profit","Loss")</f>
        <v>Profit</v>
      </c>
      <c r="X289" s="2">
        <f>RANK(SalesData[[#This Row],[Sales]],SalesData[Sales])</f>
        <v>93</v>
      </c>
    </row>
    <row r="290" spans="1:24" x14ac:dyDescent="0.3">
      <c r="A290">
        <v>289</v>
      </c>
      <c r="B290" s="1">
        <v>45580</v>
      </c>
      <c r="C290">
        <v>1021</v>
      </c>
      <c r="D290" t="s">
        <v>76</v>
      </c>
      <c r="E290" t="s">
        <v>15</v>
      </c>
      <c r="F290" t="s">
        <v>16</v>
      </c>
      <c r="G290" t="s">
        <v>34</v>
      </c>
      <c r="H290" t="s">
        <v>37</v>
      </c>
      <c r="I290">
        <v>3261</v>
      </c>
      <c r="J290">
        <v>2</v>
      </c>
      <c r="K290">
        <v>0.19</v>
      </c>
      <c r="L290">
        <v>1891</v>
      </c>
      <c r="M290" t="s">
        <v>31</v>
      </c>
      <c r="N290">
        <v>5282.82</v>
      </c>
      <c r="O290" t="str">
        <f>TEXT(SalesData[[#This Row],[Order_Date]],"mmm")</f>
        <v>Oct</v>
      </c>
      <c r="P290">
        <f>YEAR(SalesData[[#This Row],[Order_Date]])</f>
        <v>2024</v>
      </c>
      <c r="Q290" t="str">
        <f>"Q"&amp;ROUNDUP(MONTH(SalesData[[#This Row],[Order_Date]])/3,0)</f>
        <v>Q4</v>
      </c>
      <c r="R290" s="2">
        <f>IFERROR(SalesData[[#This Row],[Profit]]/SalesData[[#This Row],[Sales]],0)</f>
        <v>0.35795276007889726</v>
      </c>
      <c r="S290" s="2">
        <f>SalesData[[#This Row],[Price]]*SalesData[[#This Row],[Quantity]]*SalesData[[#This Row],[Discount]]</f>
        <v>1239.18</v>
      </c>
      <c r="T290" s="2" t="str">
        <f>IF(SalesData[[#This Row],[Sales]]&gt;5000,"High",IF(SalesData[[#This Row],[Sales]]&gt;2000,"Medium","Low"))</f>
        <v>High</v>
      </c>
      <c r="U290" s="2" t="str">
        <f>IF(COUNTIFS(SalesData[Customer_ID],SalesData[[#This Row],[Customer_ID]])&gt;1,"Repeat","New")</f>
        <v>Repeat</v>
      </c>
      <c r="V290" s="2" t="str">
        <f>IF(SalesData[[#This Row],[Sales]]&gt;AVERAGE(SalesData[Sales]),"Above Avg","Below Avg")</f>
        <v>Below Avg</v>
      </c>
      <c r="W290" s="2" t="str">
        <f>IF(SalesData[[#This Row],[Profit]]&gt;0,"Profit","Loss")</f>
        <v>Profit</v>
      </c>
      <c r="X290" s="2">
        <f>RANK(SalesData[[#This Row],[Sales]],SalesData[Sales])</f>
        <v>317</v>
      </c>
    </row>
    <row r="291" spans="1:24" x14ac:dyDescent="0.3">
      <c r="A291">
        <v>290</v>
      </c>
      <c r="B291" s="1">
        <v>45581</v>
      </c>
      <c r="C291">
        <v>1032</v>
      </c>
      <c r="D291" t="s">
        <v>138</v>
      </c>
      <c r="E291" t="s">
        <v>24</v>
      </c>
      <c r="F291" t="s">
        <v>28</v>
      </c>
      <c r="G291" t="s">
        <v>34</v>
      </c>
      <c r="H291" t="s">
        <v>25</v>
      </c>
      <c r="I291">
        <v>3495</v>
      </c>
      <c r="J291">
        <v>2</v>
      </c>
      <c r="K291">
        <v>0.25</v>
      </c>
      <c r="L291">
        <v>1055</v>
      </c>
      <c r="M291" t="s">
        <v>19</v>
      </c>
      <c r="N291">
        <v>5242.5</v>
      </c>
      <c r="O291" t="str">
        <f>TEXT(SalesData[[#This Row],[Order_Date]],"mmm")</f>
        <v>Oct</v>
      </c>
      <c r="P291">
        <f>YEAR(SalesData[[#This Row],[Order_Date]])</f>
        <v>2024</v>
      </c>
      <c r="Q291" t="str">
        <f>"Q"&amp;ROUNDUP(MONTH(SalesData[[#This Row],[Order_Date]])/3,0)</f>
        <v>Q4</v>
      </c>
      <c r="R291" s="2">
        <f>IFERROR(SalesData[[#This Row],[Profit]]/SalesData[[#This Row],[Sales]],0)</f>
        <v>0.20123986647591799</v>
      </c>
      <c r="S291" s="2">
        <f>SalesData[[#This Row],[Price]]*SalesData[[#This Row],[Quantity]]*SalesData[[#This Row],[Discount]]</f>
        <v>1747.5</v>
      </c>
      <c r="T291" s="2" t="str">
        <f>IF(SalesData[[#This Row],[Sales]]&gt;5000,"High",IF(SalesData[[#This Row],[Sales]]&gt;2000,"Medium","Low"))</f>
        <v>High</v>
      </c>
      <c r="U291" s="2" t="str">
        <f>IF(COUNTIFS(SalesData[Customer_ID],SalesData[[#This Row],[Customer_ID]])&gt;1,"Repeat","New")</f>
        <v>Repeat</v>
      </c>
      <c r="V291" s="2" t="str">
        <f>IF(SalesData[[#This Row],[Sales]]&gt;AVERAGE(SalesData[Sales]),"Above Avg","Below Avg")</f>
        <v>Below Avg</v>
      </c>
      <c r="W291" s="2" t="str">
        <f>IF(SalesData[[#This Row],[Profit]]&gt;0,"Profit","Loss")</f>
        <v>Profit</v>
      </c>
      <c r="X291" s="2">
        <f>RANK(SalesData[[#This Row],[Sales]],SalesData[Sales])</f>
        <v>318</v>
      </c>
    </row>
    <row r="292" spans="1:24" x14ac:dyDescent="0.3">
      <c r="A292">
        <v>291</v>
      </c>
      <c r="B292" s="1">
        <v>45582</v>
      </c>
      <c r="C292">
        <v>1039</v>
      </c>
      <c r="D292" t="s">
        <v>41</v>
      </c>
      <c r="E292" t="s">
        <v>15</v>
      </c>
      <c r="F292" t="s">
        <v>28</v>
      </c>
      <c r="G292" t="s">
        <v>34</v>
      </c>
      <c r="H292" t="s">
        <v>25</v>
      </c>
      <c r="I292">
        <v>3159</v>
      </c>
      <c r="J292">
        <v>1</v>
      </c>
      <c r="K292">
        <v>0.16</v>
      </c>
      <c r="L292">
        <v>528</v>
      </c>
      <c r="M292" t="s">
        <v>31</v>
      </c>
      <c r="N292">
        <v>2653.56</v>
      </c>
      <c r="O292" t="str">
        <f>TEXT(SalesData[[#This Row],[Order_Date]],"mmm")</f>
        <v>Oct</v>
      </c>
      <c r="P292">
        <f>YEAR(SalesData[[#This Row],[Order_Date]])</f>
        <v>2024</v>
      </c>
      <c r="Q292" t="str">
        <f>"Q"&amp;ROUNDUP(MONTH(SalesData[[#This Row],[Order_Date]])/3,0)</f>
        <v>Q4</v>
      </c>
      <c r="R292" s="2">
        <f>IFERROR(SalesData[[#This Row],[Profit]]/SalesData[[#This Row],[Sales]],0)</f>
        <v>0.19897797675575454</v>
      </c>
      <c r="S292" s="2">
        <f>SalesData[[#This Row],[Price]]*SalesData[[#This Row],[Quantity]]*SalesData[[#This Row],[Discount]]</f>
        <v>505.44</v>
      </c>
      <c r="T292" s="2" t="str">
        <f>IF(SalesData[[#This Row],[Sales]]&gt;5000,"High",IF(SalesData[[#This Row],[Sales]]&gt;2000,"Medium","Low"))</f>
        <v>Medium</v>
      </c>
      <c r="U292" s="2" t="str">
        <f>IF(COUNTIFS(SalesData[Customer_ID],SalesData[[#This Row],[Customer_ID]])&gt;1,"Repeat","New")</f>
        <v>Repeat</v>
      </c>
      <c r="V292" s="2" t="str">
        <f>IF(SalesData[[#This Row],[Sales]]&gt;AVERAGE(SalesData[Sales]),"Above Avg","Below Avg")</f>
        <v>Below Avg</v>
      </c>
      <c r="W292" s="2" t="str">
        <f>IF(SalesData[[#This Row],[Profit]]&gt;0,"Profit","Loss")</f>
        <v>Profit</v>
      </c>
      <c r="X292" s="2">
        <f>RANK(SalesData[[#This Row],[Sales]],SalesData[Sales])</f>
        <v>406</v>
      </c>
    </row>
    <row r="293" spans="1:24" x14ac:dyDescent="0.3">
      <c r="A293">
        <v>292</v>
      </c>
      <c r="B293" s="1">
        <v>45583</v>
      </c>
      <c r="C293">
        <v>1001</v>
      </c>
      <c r="D293" t="s">
        <v>86</v>
      </c>
      <c r="E293" t="s">
        <v>24</v>
      </c>
      <c r="F293" t="s">
        <v>16</v>
      </c>
      <c r="G293" t="s">
        <v>34</v>
      </c>
      <c r="H293" t="s">
        <v>37</v>
      </c>
      <c r="I293">
        <v>2792</v>
      </c>
      <c r="J293">
        <v>1</v>
      </c>
      <c r="K293">
        <v>0.04</v>
      </c>
      <c r="L293">
        <v>1424</v>
      </c>
      <c r="M293" t="s">
        <v>26</v>
      </c>
      <c r="N293">
        <v>2680.3199999999902</v>
      </c>
      <c r="O293" t="str">
        <f>TEXT(SalesData[[#This Row],[Order_Date]],"mmm")</f>
        <v>Oct</v>
      </c>
      <c r="P293">
        <f>YEAR(SalesData[[#This Row],[Order_Date]])</f>
        <v>2024</v>
      </c>
      <c r="Q293" t="str">
        <f>"Q"&amp;ROUNDUP(MONTH(SalesData[[#This Row],[Order_Date]])/3,0)</f>
        <v>Q4</v>
      </c>
      <c r="R293" s="2">
        <f>IFERROR(SalesData[[#This Row],[Profit]]/SalesData[[#This Row],[Sales]],0)</f>
        <v>0.53127984718242793</v>
      </c>
      <c r="S293" s="2">
        <f>SalesData[[#This Row],[Price]]*SalesData[[#This Row],[Quantity]]*SalesData[[#This Row],[Discount]]</f>
        <v>111.68</v>
      </c>
      <c r="T293" s="2" t="str">
        <f>IF(SalesData[[#This Row],[Sales]]&gt;5000,"High",IF(SalesData[[#This Row],[Sales]]&gt;2000,"Medium","Low"))</f>
        <v>Medium</v>
      </c>
      <c r="U293" s="2" t="str">
        <f>IF(COUNTIFS(SalesData[Customer_ID],SalesData[[#This Row],[Customer_ID]])&gt;1,"Repeat","New")</f>
        <v>Repeat</v>
      </c>
      <c r="V293" s="2" t="str">
        <f>IF(SalesData[[#This Row],[Sales]]&gt;AVERAGE(SalesData[Sales]),"Above Avg","Below Avg")</f>
        <v>Below Avg</v>
      </c>
      <c r="W293" s="2" t="str">
        <f>IF(SalesData[[#This Row],[Profit]]&gt;0,"Profit","Loss")</f>
        <v>Profit</v>
      </c>
      <c r="X293" s="2">
        <f>RANK(SalesData[[#This Row],[Sales]],SalesData[Sales])</f>
        <v>404</v>
      </c>
    </row>
    <row r="294" spans="1:24" x14ac:dyDescent="0.3">
      <c r="A294">
        <v>293</v>
      </c>
      <c r="B294" s="1">
        <v>45584</v>
      </c>
      <c r="C294">
        <v>1098</v>
      </c>
      <c r="D294" t="s">
        <v>138</v>
      </c>
      <c r="E294" t="s">
        <v>24</v>
      </c>
      <c r="F294" t="s">
        <v>28</v>
      </c>
      <c r="G294" t="s">
        <v>34</v>
      </c>
      <c r="H294" t="s">
        <v>37</v>
      </c>
      <c r="I294">
        <v>462</v>
      </c>
      <c r="J294">
        <v>9</v>
      </c>
      <c r="K294">
        <v>0.14000000000000001</v>
      </c>
      <c r="L294">
        <v>448</v>
      </c>
      <c r="M294" t="s">
        <v>19</v>
      </c>
      <c r="N294">
        <v>3575.88</v>
      </c>
      <c r="O294" t="str">
        <f>TEXT(SalesData[[#This Row],[Order_Date]],"mmm")</f>
        <v>Oct</v>
      </c>
      <c r="P294">
        <f>YEAR(SalesData[[#This Row],[Order_Date]])</f>
        <v>2024</v>
      </c>
      <c r="Q294" t="str">
        <f>"Q"&amp;ROUNDUP(MONTH(SalesData[[#This Row],[Order_Date]])/3,0)</f>
        <v>Q4</v>
      </c>
      <c r="R294" s="2">
        <f>IFERROR(SalesData[[#This Row],[Profit]]/SalesData[[#This Row],[Sales]],0)</f>
        <v>0.12528384621407876</v>
      </c>
      <c r="S294" s="2">
        <f>SalesData[[#This Row],[Price]]*SalesData[[#This Row],[Quantity]]*SalesData[[#This Row],[Discount]]</f>
        <v>582.12</v>
      </c>
      <c r="T294" s="2" t="str">
        <f>IF(SalesData[[#This Row],[Sales]]&gt;5000,"High",IF(SalesData[[#This Row],[Sales]]&gt;2000,"Medium","Low"))</f>
        <v>Medium</v>
      </c>
      <c r="U294" s="2" t="str">
        <f>IF(COUNTIFS(SalesData[Customer_ID],SalesData[[#This Row],[Customer_ID]])&gt;1,"Repeat","New")</f>
        <v>Repeat</v>
      </c>
      <c r="V294" s="2" t="str">
        <f>IF(SalesData[[#This Row],[Sales]]&gt;AVERAGE(SalesData[Sales]),"Above Avg","Below Avg")</f>
        <v>Below Avg</v>
      </c>
      <c r="W294" s="2" t="str">
        <f>IF(SalesData[[#This Row],[Profit]]&gt;0,"Profit","Loss")</f>
        <v>Profit</v>
      </c>
      <c r="X294" s="2">
        <f>RANK(SalesData[[#This Row],[Sales]],SalesData[Sales])</f>
        <v>372</v>
      </c>
    </row>
    <row r="295" spans="1:24" x14ac:dyDescent="0.3">
      <c r="A295">
        <v>294</v>
      </c>
      <c r="B295" s="1">
        <v>45585</v>
      </c>
      <c r="C295">
        <v>1082</v>
      </c>
      <c r="D295" t="s">
        <v>189</v>
      </c>
      <c r="E295" t="s">
        <v>24</v>
      </c>
      <c r="F295" t="s">
        <v>33</v>
      </c>
      <c r="G295" t="s">
        <v>17</v>
      </c>
      <c r="H295" t="s">
        <v>18</v>
      </c>
      <c r="I295">
        <v>373</v>
      </c>
      <c r="J295">
        <v>2</v>
      </c>
      <c r="K295">
        <v>0</v>
      </c>
      <c r="L295">
        <v>509</v>
      </c>
      <c r="M295" t="s">
        <v>31</v>
      </c>
      <c r="N295">
        <v>746</v>
      </c>
      <c r="O295" t="str">
        <f>TEXT(SalesData[[#This Row],[Order_Date]],"mmm")</f>
        <v>Oct</v>
      </c>
      <c r="P295">
        <f>YEAR(SalesData[[#This Row],[Order_Date]])</f>
        <v>2024</v>
      </c>
      <c r="Q295" t="str">
        <f>"Q"&amp;ROUNDUP(MONTH(SalesData[[#This Row],[Order_Date]])/3,0)</f>
        <v>Q4</v>
      </c>
      <c r="R295" s="2">
        <f>IFERROR(SalesData[[#This Row],[Profit]]/SalesData[[#This Row],[Sales]],0)</f>
        <v>0.68230563002680966</v>
      </c>
      <c r="S295" s="2">
        <f>SalesData[[#This Row],[Price]]*SalesData[[#This Row],[Quantity]]*SalesData[[#This Row],[Discount]]</f>
        <v>0</v>
      </c>
      <c r="T295" s="2" t="str">
        <f>IF(SalesData[[#This Row],[Sales]]&gt;5000,"High",IF(SalesData[[#This Row],[Sales]]&gt;2000,"Medium","Low"))</f>
        <v>Low</v>
      </c>
      <c r="U295" s="2" t="str">
        <f>IF(COUNTIFS(SalesData[Customer_ID],SalesData[[#This Row],[Customer_ID]])&gt;1,"Repeat","New")</f>
        <v>Repeat</v>
      </c>
      <c r="V295" s="2" t="str">
        <f>IF(SalesData[[#This Row],[Sales]]&gt;AVERAGE(SalesData[Sales]),"Above Avg","Below Avg")</f>
        <v>Below Avg</v>
      </c>
      <c r="W295" s="2" t="str">
        <f>IF(SalesData[[#This Row],[Profit]]&gt;0,"Profit","Loss")</f>
        <v>Profit</v>
      </c>
      <c r="X295" s="2">
        <f>RANK(SalesData[[#This Row],[Sales]],SalesData[Sales])</f>
        <v>483</v>
      </c>
    </row>
    <row r="296" spans="1:24" x14ac:dyDescent="0.3">
      <c r="A296">
        <v>295</v>
      </c>
      <c r="B296" s="1">
        <v>45586</v>
      </c>
      <c r="C296">
        <v>1090</v>
      </c>
      <c r="D296" t="s">
        <v>190</v>
      </c>
      <c r="E296" t="s">
        <v>24</v>
      </c>
      <c r="F296" t="s">
        <v>16</v>
      </c>
      <c r="G296" t="s">
        <v>22</v>
      </c>
      <c r="H296" t="s">
        <v>29</v>
      </c>
      <c r="I296">
        <v>4106</v>
      </c>
      <c r="J296">
        <v>3</v>
      </c>
      <c r="K296">
        <v>0.27</v>
      </c>
      <c r="L296">
        <v>1883</v>
      </c>
      <c r="M296" t="s">
        <v>19</v>
      </c>
      <c r="N296">
        <v>8992.14</v>
      </c>
      <c r="O296" t="str">
        <f>TEXT(SalesData[[#This Row],[Order_Date]],"mmm")</f>
        <v>Oct</v>
      </c>
      <c r="P296">
        <f>YEAR(SalesData[[#This Row],[Order_Date]])</f>
        <v>2024</v>
      </c>
      <c r="Q296" t="str">
        <f>"Q"&amp;ROUNDUP(MONTH(SalesData[[#This Row],[Order_Date]])/3,0)</f>
        <v>Q4</v>
      </c>
      <c r="R296" s="2">
        <f>IFERROR(SalesData[[#This Row],[Profit]]/SalesData[[#This Row],[Sales]],0)</f>
        <v>0.20940510267856152</v>
      </c>
      <c r="S296" s="2">
        <f>SalesData[[#This Row],[Price]]*SalesData[[#This Row],[Quantity]]*SalesData[[#This Row],[Discount]]</f>
        <v>3325.86</v>
      </c>
      <c r="T296" s="2" t="str">
        <f>IF(SalesData[[#This Row],[Sales]]&gt;5000,"High",IF(SalesData[[#This Row],[Sales]]&gt;2000,"Medium","Low"))</f>
        <v>High</v>
      </c>
      <c r="U296" s="2" t="str">
        <f>IF(COUNTIFS(SalesData[Customer_ID],SalesData[[#This Row],[Customer_ID]])&gt;1,"Repeat","New")</f>
        <v>Repeat</v>
      </c>
      <c r="V296" s="2" t="str">
        <f>IF(SalesData[[#This Row],[Sales]]&gt;AVERAGE(SalesData[Sales]),"Above Avg","Below Avg")</f>
        <v>Below Avg</v>
      </c>
      <c r="W296" s="2" t="str">
        <f>IF(SalesData[[#This Row],[Profit]]&gt;0,"Profit","Loss")</f>
        <v>Profit</v>
      </c>
      <c r="X296" s="2">
        <f>RANK(SalesData[[#This Row],[Sales]],SalesData[Sales])</f>
        <v>231</v>
      </c>
    </row>
    <row r="297" spans="1:24" x14ac:dyDescent="0.3">
      <c r="A297">
        <v>296</v>
      </c>
      <c r="B297" s="1">
        <v>45587</v>
      </c>
      <c r="C297">
        <v>1035</v>
      </c>
      <c r="D297" t="s">
        <v>93</v>
      </c>
      <c r="E297" t="s">
        <v>24</v>
      </c>
      <c r="F297" t="s">
        <v>21</v>
      </c>
      <c r="G297" t="s">
        <v>22</v>
      </c>
      <c r="H297" t="s">
        <v>18</v>
      </c>
      <c r="I297">
        <v>3188</v>
      </c>
      <c r="J297">
        <v>9</v>
      </c>
      <c r="K297">
        <v>7.0000000000000007E-2</v>
      </c>
      <c r="L297">
        <v>956</v>
      </c>
      <c r="M297" t="s">
        <v>31</v>
      </c>
      <c r="N297">
        <v>26683.559999999899</v>
      </c>
      <c r="O297" t="str">
        <f>TEXT(SalesData[[#This Row],[Order_Date]],"mmm")</f>
        <v>Oct</v>
      </c>
      <c r="P297">
        <f>YEAR(SalesData[[#This Row],[Order_Date]])</f>
        <v>2024</v>
      </c>
      <c r="Q297" t="str">
        <f>"Q"&amp;ROUNDUP(MONTH(SalesData[[#This Row],[Order_Date]])/3,0)</f>
        <v>Q4</v>
      </c>
      <c r="R297" s="2">
        <f>IFERROR(SalesData[[#This Row],[Profit]]/SalesData[[#This Row],[Sales]],0)</f>
        <v>3.5827303403294146E-2</v>
      </c>
      <c r="S297" s="2">
        <f>SalesData[[#This Row],[Price]]*SalesData[[#This Row],[Quantity]]*SalesData[[#This Row],[Discount]]</f>
        <v>2008.4400000000003</v>
      </c>
      <c r="T297" s="2" t="str">
        <f>IF(SalesData[[#This Row],[Sales]]&gt;5000,"High",IF(SalesData[[#This Row],[Sales]]&gt;2000,"Medium","Low"))</f>
        <v>High</v>
      </c>
      <c r="U297" s="2" t="str">
        <f>IF(COUNTIFS(SalesData[Customer_ID],SalesData[[#This Row],[Customer_ID]])&gt;1,"Repeat","New")</f>
        <v>Repeat</v>
      </c>
      <c r="V297" s="2" t="str">
        <f>IF(SalesData[[#This Row],[Sales]]&gt;AVERAGE(SalesData[Sales]),"Above Avg","Below Avg")</f>
        <v>Above Avg</v>
      </c>
      <c r="W297" s="2" t="str">
        <f>IF(SalesData[[#This Row],[Profit]]&gt;0,"Profit","Loss")</f>
        <v>Profit</v>
      </c>
      <c r="X297" s="2">
        <f>RANK(SalesData[[#This Row],[Sales]],SalesData[Sales])</f>
        <v>35</v>
      </c>
    </row>
    <row r="298" spans="1:24" x14ac:dyDescent="0.3">
      <c r="A298">
        <v>297</v>
      </c>
      <c r="B298" s="1">
        <v>45588</v>
      </c>
      <c r="C298">
        <v>1058</v>
      </c>
      <c r="D298" t="s">
        <v>135</v>
      </c>
      <c r="E298" t="s">
        <v>15</v>
      </c>
      <c r="F298" t="s">
        <v>16</v>
      </c>
      <c r="G298" t="s">
        <v>22</v>
      </c>
      <c r="H298" t="s">
        <v>25</v>
      </c>
      <c r="I298">
        <v>3427</v>
      </c>
      <c r="J298">
        <v>6</v>
      </c>
      <c r="K298">
        <v>0.27</v>
      </c>
      <c r="L298">
        <v>803</v>
      </c>
      <c r="M298" t="s">
        <v>26</v>
      </c>
      <c r="N298">
        <v>15010.26</v>
      </c>
      <c r="O298" t="str">
        <f>TEXT(SalesData[[#This Row],[Order_Date]],"mmm")</f>
        <v>Oct</v>
      </c>
      <c r="P298">
        <f>YEAR(SalesData[[#This Row],[Order_Date]])</f>
        <v>2024</v>
      </c>
      <c r="Q298" t="str">
        <f>"Q"&amp;ROUNDUP(MONTH(SalesData[[#This Row],[Order_Date]])/3,0)</f>
        <v>Q4</v>
      </c>
      <c r="R298" s="2">
        <f>IFERROR(SalesData[[#This Row],[Profit]]/SalesData[[#This Row],[Sales]],0)</f>
        <v>5.3496741562104856E-2</v>
      </c>
      <c r="S298" s="2">
        <f>SalesData[[#This Row],[Price]]*SalesData[[#This Row],[Quantity]]*SalesData[[#This Row],[Discount]]</f>
        <v>5551.7400000000007</v>
      </c>
      <c r="T298" s="2" t="str">
        <f>IF(SalesData[[#This Row],[Sales]]&gt;5000,"High",IF(SalesData[[#This Row],[Sales]]&gt;2000,"Medium","Low"))</f>
        <v>High</v>
      </c>
      <c r="U298" s="2" t="str">
        <f>IF(COUNTIFS(SalesData[Customer_ID],SalesData[[#This Row],[Customer_ID]])&gt;1,"Repeat","New")</f>
        <v>Repeat</v>
      </c>
      <c r="V298" s="2" t="str">
        <f>IF(SalesData[[#This Row],[Sales]]&gt;AVERAGE(SalesData[Sales]),"Above Avg","Below Avg")</f>
        <v>Above Avg</v>
      </c>
      <c r="W298" s="2" t="str">
        <f>IF(SalesData[[#This Row],[Profit]]&gt;0,"Profit","Loss")</f>
        <v>Profit</v>
      </c>
      <c r="X298" s="2">
        <f>RANK(SalesData[[#This Row],[Sales]],SalesData[Sales])</f>
        <v>138</v>
      </c>
    </row>
    <row r="299" spans="1:24" x14ac:dyDescent="0.3">
      <c r="A299">
        <v>298</v>
      </c>
      <c r="B299" s="1">
        <v>45589</v>
      </c>
      <c r="C299">
        <v>1038</v>
      </c>
      <c r="D299" t="s">
        <v>190</v>
      </c>
      <c r="E299" t="s">
        <v>15</v>
      </c>
      <c r="F299" t="s">
        <v>33</v>
      </c>
      <c r="G299" t="s">
        <v>22</v>
      </c>
      <c r="H299" t="s">
        <v>25</v>
      </c>
      <c r="I299">
        <v>227</v>
      </c>
      <c r="J299">
        <v>6</v>
      </c>
      <c r="K299">
        <v>0.18</v>
      </c>
      <c r="L299">
        <v>1807</v>
      </c>
      <c r="M299" t="s">
        <v>31</v>
      </c>
      <c r="N299">
        <v>1116.8399999999999</v>
      </c>
      <c r="O299" t="str">
        <f>TEXT(SalesData[[#This Row],[Order_Date]],"mmm")</f>
        <v>Oct</v>
      </c>
      <c r="P299">
        <f>YEAR(SalesData[[#This Row],[Order_Date]])</f>
        <v>2024</v>
      </c>
      <c r="Q299" t="str">
        <f>"Q"&amp;ROUNDUP(MONTH(SalesData[[#This Row],[Order_Date]])/3,0)</f>
        <v>Q4</v>
      </c>
      <c r="R299" s="2">
        <f>IFERROR(SalesData[[#This Row],[Profit]]/SalesData[[#This Row],[Sales]],0)</f>
        <v>1.6179578095340426</v>
      </c>
      <c r="S299" s="2">
        <f>SalesData[[#This Row],[Price]]*SalesData[[#This Row],[Quantity]]*SalesData[[#This Row],[Discount]]</f>
        <v>245.16</v>
      </c>
      <c r="T299" s="2" t="str">
        <f>IF(SalesData[[#This Row],[Sales]]&gt;5000,"High",IF(SalesData[[#This Row],[Sales]]&gt;2000,"Medium","Low"))</f>
        <v>Low</v>
      </c>
      <c r="U299" s="2" t="str">
        <f>IF(COUNTIFS(SalesData[Customer_ID],SalesData[[#This Row],[Customer_ID]])&gt;1,"Repeat","New")</f>
        <v>Repeat</v>
      </c>
      <c r="V299" s="2" t="str">
        <f>IF(SalesData[[#This Row],[Sales]]&gt;AVERAGE(SalesData[Sales]),"Above Avg","Below Avg")</f>
        <v>Below Avg</v>
      </c>
      <c r="W299" s="2" t="str">
        <f>IF(SalesData[[#This Row],[Profit]]&gt;0,"Profit","Loss")</f>
        <v>Profit</v>
      </c>
      <c r="X299" s="2">
        <f>RANK(SalesData[[#This Row],[Sales]],SalesData[Sales])</f>
        <v>475</v>
      </c>
    </row>
    <row r="300" spans="1:24" x14ac:dyDescent="0.3">
      <c r="A300">
        <v>299</v>
      </c>
      <c r="B300" s="1">
        <v>45590</v>
      </c>
      <c r="C300">
        <v>1001</v>
      </c>
      <c r="D300" t="s">
        <v>140</v>
      </c>
      <c r="E300" t="s">
        <v>24</v>
      </c>
      <c r="F300" t="s">
        <v>33</v>
      </c>
      <c r="G300" t="s">
        <v>34</v>
      </c>
      <c r="H300" t="s">
        <v>29</v>
      </c>
      <c r="I300">
        <v>3346</v>
      </c>
      <c r="J300">
        <v>9</v>
      </c>
      <c r="K300">
        <v>0.28999999999999998</v>
      </c>
      <c r="L300">
        <v>784</v>
      </c>
      <c r="M300" t="s">
        <v>19</v>
      </c>
      <c r="N300">
        <v>21380.94</v>
      </c>
      <c r="O300" t="str">
        <f>TEXT(SalesData[[#This Row],[Order_Date]],"mmm")</f>
        <v>Oct</v>
      </c>
      <c r="P300">
        <f>YEAR(SalesData[[#This Row],[Order_Date]])</f>
        <v>2024</v>
      </c>
      <c r="Q300" t="str">
        <f>"Q"&amp;ROUNDUP(MONTH(SalesData[[#This Row],[Order_Date]])/3,0)</f>
        <v>Q4</v>
      </c>
      <c r="R300" s="2">
        <f>IFERROR(SalesData[[#This Row],[Profit]]/SalesData[[#This Row],[Sales]],0)</f>
        <v>3.6668172680901778E-2</v>
      </c>
      <c r="S300" s="2">
        <f>SalesData[[#This Row],[Price]]*SalesData[[#This Row],[Quantity]]*SalesData[[#This Row],[Discount]]</f>
        <v>8733.06</v>
      </c>
      <c r="T300" s="2" t="str">
        <f>IF(SalesData[[#This Row],[Sales]]&gt;5000,"High",IF(SalesData[[#This Row],[Sales]]&gt;2000,"Medium","Low"))</f>
        <v>High</v>
      </c>
      <c r="U300" s="2" t="str">
        <f>IF(COUNTIFS(SalesData[Customer_ID],SalesData[[#This Row],[Customer_ID]])&gt;1,"Repeat","New")</f>
        <v>Repeat</v>
      </c>
      <c r="V300" s="2" t="str">
        <f>IF(SalesData[[#This Row],[Sales]]&gt;AVERAGE(SalesData[Sales]),"Above Avg","Below Avg")</f>
        <v>Above Avg</v>
      </c>
      <c r="W300" s="2" t="str">
        <f>IF(SalesData[[#This Row],[Profit]]&gt;0,"Profit","Loss")</f>
        <v>Profit</v>
      </c>
      <c r="X300" s="2">
        <f>RANK(SalesData[[#This Row],[Sales]],SalesData[Sales])</f>
        <v>72</v>
      </c>
    </row>
    <row r="301" spans="1:24" x14ac:dyDescent="0.3">
      <c r="A301">
        <v>300</v>
      </c>
      <c r="B301" s="1">
        <v>45591</v>
      </c>
      <c r="C301">
        <v>1052</v>
      </c>
      <c r="D301" t="s">
        <v>186</v>
      </c>
      <c r="E301" t="s">
        <v>24</v>
      </c>
      <c r="F301" t="s">
        <v>33</v>
      </c>
      <c r="G301" t="s">
        <v>22</v>
      </c>
      <c r="H301" t="s">
        <v>18</v>
      </c>
      <c r="I301">
        <v>1300</v>
      </c>
      <c r="J301">
        <v>7</v>
      </c>
      <c r="K301">
        <v>0.25</v>
      </c>
      <c r="L301">
        <v>-190</v>
      </c>
      <c r="M301" t="s">
        <v>19</v>
      </c>
      <c r="N301">
        <v>6825</v>
      </c>
      <c r="O301" t="str">
        <f>TEXT(SalesData[[#This Row],[Order_Date]],"mmm")</f>
        <v>Oct</v>
      </c>
      <c r="P301">
        <f>YEAR(SalesData[[#This Row],[Order_Date]])</f>
        <v>2024</v>
      </c>
      <c r="Q301" t="str">
        <f>"Q"&amp;ROUNDUP(MONTH(SalesData[[#This Row],[Order_Date]])/3,0)</f>
        <v>Q4</v>
      </c>
      <c r="R301" s="2">
        <f>IFERROR(SalesData[[#This Row],[Profit]]/SalesData[[#This Row],[Sales]],0)</f>
        <v>-2.7838827838827841E-2</v>
      </c>
      <c r="S301" s="2">
        <f>SalesData[[#This Row],[Price]]*SalesData[[#This Row],[Quantity]]*SalesData[[#This Row],[Discount]]</f>
        <v>2275</v>
      </c>
      <c r="T301" s="2" t="str">
        <f>IF(SalesData[[#This Row],[Sales]]&gt;5000,"High",IF(SalesData[[#This Row],[Sales]]&gt;2000,"Medium","Low"))</f>
        <v>High</v>
      </c>
      <c r="U301" s="2" t="str">
        <f>IF(COUNTIFS(SalesData[Customer_ID],SalesData[[#This Row],[Customer_ID]])&gt;1,"Repeat","New")</f>
        <v>Repeat</v>
      </c>
      <c r="V301" s="2" t="str">
        <f>IF(SalesData[[#This Row],[Sales]]&gt;AVERAGE(SalesData[Sales]),"Above Avg","Below Avg")</f>
        <v>Below Avg</v>
      </c>
      <c r="W301" s="2" t="str">
        <f>IF(SalesData[[#This Row],[Profit]]&gt;0,"Profit","Loss")</f>
        <v>Loss</v>
      </c>
      <c r="X301" s="2">
        <f>RANK(SalesData[[#This Row],[Sales]],SalesData[Sales])</f>
        <v>276</v>
      </c>
    </row>
    <row r="302" spans="1:24" x14ac:dyDescent="0.3">
      <c r="A302">
        <v>301</v>
      </c>
      <c r="B302" s="1">
        <v>45592</v>
      </c>
      <c r="C302">
        <v>1017</v>
      </c>
      <c r="D302" t="s">
        <v>114</v>
      </c>
      <c r="E302" t="s">
        <v>24</v>
      </c>
      <c r="F302" t="s">
        <v>33</v>
      </c>
      <c r="G302" t="s">
        <v>22</v>
      </c>
      <c r="H302" t="s">
        <v>18</v>
      </c>
      <c r="I302">
        <v>3165</v>
      </c>
      <c r="J302">
        <v>3</v>
      </c>
      <c r="K302">
        <v>0</v>
      </c>
      <c r="L302">
        <v>286</v>
      </c>
      <c r="M302" t="s">
        <v>26</v>
      </c>
      <c r="N302">
        <v>9495</v>
      </c>
      <c r="O302" t="str">
        <f>TEXT(SalesData[[#This Row],[Order_Date]],"mmm")</f>
        <v>Oct</v>
      </c>
      <c r="P302">
        <f>YEAR(SalesData[[#This Row],[Order_Date]])</f>
        <v>2024</v>
      </c>
      <c r="Q302" t="str">
        <f>"Q"&amp;ROUNDUP(MONTH(SalesData[[#This Row],[Order_Date]])/3,0)</f>
        <v>Q4</v>
      </c>
      <c r="R302" s="2">
        <f>IFERROR(SalesData[[#This Row],[Profit]]/SalesData[[#This Row],[Sales]],0)</f>
        <v>3.0121116377040548E-2</v>
      </c>
      <c r="S302" s="2">
        <f>SalesData[[#This Row],[Price]]*SalesData[[#This Row],[Quantity]]*SalesData[[#This Row],[Discount]]</f>
        <v>0</v>
      </c>
      <c r="T302" s="2" t="str">
        <f>IF(SalesData[[#This Row],[Sales]]&gt;5000,"High",IF(SalesData[[#This Row],[Sales]]&gt;2000,"Medium","Low"))</f>
        <v>High</v>
      </c>
      <c r="U302" s="2" t="str">
        <f>IF(COUNTIFS(SalesData[Customer_ID],SalesData[[#This Row],[Customer_ID]])&gt;1,"Repeat","New")</f>
        <v>Repeat</v>
      </c>
      <c r="V302" s="2" t="str">
        <f>IF(SalesData[[#This Row],[Sales]]&gt;AVERAGE(SalesData[Sales]),"Above Avg","Below Avg")</f>
        <v>Below Avg</v>
      </c>
      <c r="W302" s="2" t="str">
        <f>IF(SalesData[[#This Row],[Profit]]&gt;0,"Profit","Loss")</f>
        <v>Profit</v>
      </c>
      <c r="X302" s="2">
        <f>RANK(SalesData[[#This Row],[Sales]],SalesData[Sales])</f>
        <v>216</v>
      </c>
    </row>
    <row r="303" spans="1:24" x14ac:dyDescent="0.3">
      <c r="A303">
        <v>302</v>
      </c>
      <c r="B303" s="1">
        <v>45593</v>
      </c>
      <c r="C303">
        <v>1045</v>
      </c>
      <c r="D303" t="s">
        <v>176</v>
      </c>
      <c r="E303" t="s">
        <v>24</v>
      </c>
      <c r="F303" t="s">
        <v>16</v>
      </c>
      <c r="G303" t="s">
        <v>22</v>
      </c>
      <c r="H303" t="s">
        <v>18</v>
      </c>
      <c r="I303">
        <v>4359</v>
      </c>
      <c r="J303">
        <v>9</v>
      </c>
      <c r="K303">
        <v>0</v>
      </c>
      <c r="L303">
        <v>198</v>
      </c>
      <c r="M303" t="s">
        <v>26</v>
      </c>
      <c r="N303">
        <v>39231</v>
      </c>
      <c r="O303" t="str">
        <f>TEXT(SalesData[[#This Row],[Order_Date]],"mmm")</f>
        <v>Oct</v>
      </c>
      <c r="P303">
        <f>YEAR(SalesData[[#This Row],[Order_Date]])</f>
        <v>2024</v>
      </c>
      <c r="Q303" t="str">
        <f>"Q"&amp;ROUNDUP(MONTH(SalesData[[#This Row],[Order_Date]])/3,0)</f>
        <v>Q4</v>
      </c>
      <c r="R303" s="2">
        <f>IFERROR(SalesData[[#This Row],[Profit]]/SalesData[[#This Row],[Sales]],0)</f>
        <v>5.0470291351227348E-3</v>
      </c>
      <c r="S303" s="2">
        <f>SalesData[[#This Row],[Price]]*SalesData[[#This Row],[Quantity]]*SalesData[[#This Row],[Discount]]</f>
        <v>0</v>
      </c>
      <c r="T303" s="2" t="str">
        <f>IF(SalesData[[#This Row],[Sales]]&gt;5000,"High",IF(SalesData[[#This Row],[Sales]]&gt;2000,"Medium","Low"))</f>
        <v>High</v>
      </c>
      <c r="U303" s="2" t="str">
        <f>IF(COUNTIFS(SalesData[Customer_ID],SalesData[[#This Row],[Customer_ID]])&gt;1,"Repeat","New")</f>
        <v>Repeat</v>
      </c>
      <c r="V303" s="2" t="str">
        <f>IF(SalesData[[#This Row],[Sales]]&gt;AVERAGE(SalesData[Sales]),"Above Avg","Below Avg")</f>
        <v>Above Avg</v>
      </c>
      <c r="W303" s="2" t="str">
        <f>IF(SalesData[[#This Row],[Profit]]&gt;0,"Profit","Loss")</f>
        <v>Profit</v>
      </c>
      <c r="X303" s="2">
        <f>RANK(SalesData[[#This Row],[Sales]],SalesData[Sales])</f>
        <v>3</v>
      </c>
    </row>
    <row r="304" spans="1:24" x14ac:dyDescent="0.3">
      <c r="A304">
        <v>303</v>
      </c>
      <c r="B304" s="1">
        <v>45594</v>
      </c>
      <c r="C304">
        <v>1022</v>
      </c>
      <c r="D304" t="s">
        <v>97</v>
      </c>
      <c r="E304" t="s">
        <v>15</v>
      </c>
      <c r="F304" t="s">
        <v>28</v>
      </c>
      <c r="G304" t="s">
        <v>17</v>
      </c>
      <c r="H304" t="s">
        <v>37</v>
      </c>
      <c r="I304">
        <v>4615</v>
      </c>
      <c r="J304">
        <v>4</v>
      </c>
      <c r="K304">
        <v>0.22</v>
      </c>
      <c r="L304">
        <v>247</v>
      </c>
      <c r="M304" t="s">
        <v>31</v>
      </c>
      <c r="N304">
        <v>14398.8</v>
      </c>
      <c r="O304" t="str">
        <f>TEXT(SalesData[[#This Row],[Order_Date]],"mmm")</f>
        <v>Oct</v>
      </c>
      <c r="P304">
        <f>YEAR(SalesData[[#This Row],[Order_Date]])</f>
        <v>2024</v>
      </c>
      <c r="Q304" t="str">
        <f>"Q"&amp;ROUNDUP(MONTH(SalesData[[#This Row],[Order_Date]])/3,0)</f>
        <v>Q4</v>
      </c>
      <c r="R304" s="2">
        <f>IFERROR(SalesData[[#This Row],[Profit]]/SalesData[[#This Row],[Sales]],0)</f>
        <v>1.7154207295052366E-2</v>
      </c>
      <c r="S304" s="2">
        <f>SalesData[[#This Row],[Price]]*SalesData[[#This Row],[Quantity]]*SalesData[[#This Row],[Discount]]</f>
        <v>4061.2</v>
      </c>
      <c r="T304" s="2" t="str">
        <f>IF(SalesData[[#This Row],[Sales]]&gt;5000,"High",IF(SalesData[[#This Row],[Sales]]&gt;2000,"Medium","Low"))</f>
        <v>High</v>
      </c>
      <c r="U304" s="2" t="str">
        <f>IF(COUNTIFS(SalesData[Customer_ID],SalesData[[#This Row],[Customer_ID]])&gt;1,"Repeat","New")</f>
        <v>Repeat</v>
      </c>
      <c r="V304" s="2" t="str">
        <f>IF(SalesData[[#This Row],[Sales]]&gt;AVERAGE(SalesData[Sales]),"Above Avg","Below Avg")</f>
        <v>Above Avg</v>
      </c>
      <c r="W304" s="2" t="str">
        <f>IF(SalesData[[#This Row],[Profit]]&gt;0,"Profit","Loss")</f>
        <v>Profit</v>
      </c>
      <c r="X304" s="2">
        <f>RANK(SalesData[[#This Row],[Sales]],SalesData[Sales])</f>
        <v>145</v>
      </c>
    </row>
    <row r="305" spans="1:24" x14ac:dyDescent="0.3">
      <c r="A305">
        <v>304</v>
      </c>
      <c r="B305" s="1">
        <v>45595</v>
      </c>
      <c r="C305">
        <v>1053</v>
      </c>
      <c r="D305" t="s">
        <v>153</v>
      </c>
      <c r="E305" t="s">
        <v>15</v>
      </c>
      <c r="F305" t="s">
        <v>33</v>
      </c>
      <c r="G305" t="s">
        <v>22</v>
      </c>
      <c r="H305" t="s">
        <v>25</v>
      </c>
      <c r="I305">
        <v>3662</v>
      </c>
      <c r="J305">
        <v>3</v>
      </c>
      <c r="K305">
        <v>0.16</v>
      </c>
      <c r="L305">
        <v>1555</v>
      </c>
      <c r="M305" t="s">
        <v>31</v>
      </c>
      <c r="N305">
        <v>9228.24</v>
      </c>
      <c r="O305" t="str">
        <f>TEXT(SalesData[[#This Row],[Order_Date]],"mmm")</f>
        <v>Oct</v>
      </c>
      <c r="P305">
        <f>YEAR(SalesData[[#This Row],[Order_Date]])</f>
        <v>2024</v>
      </c>
      <c r="Q305" t="str">
        <f>"Q"&amp;ROUNDUP(MONTH(SalesData[[#This Row],[Order_Date]])/3,0)</f>
        <v>Q4</v>
      </c>
      <c r="R305" s="2">
        <f>IFERROR(SalesData[[#This Row],[Profit]]/SalesData[[#This Row],[Sales]],0)</f>
        <v>0.16850450356731078</v>
      </c>
      <c r="S305" s="2">
        <f>SalesData[[#This Row],[Price]]*SalesData[[#This Row],[Quantity]]*SalesData[[#This Row],[Discount]]</f>
        <v>1757.76</v>
      </c>
      <c r="T305" s="2" t="str">
        <f>IF(SalesData[[#This Row],[Sales]]&gt;5000,"High",IF(SalesData[[#This Row],[Sales]]&gt;2000,"Medium","Low"))</f>
        <v>High</v>
      </c>
      <c r="U305" s="2" t="str">
        <f>IF(COUNTIFS(SalesData[Customer_ID],SalesData[[#This Row],[Customer_ID]])&gt;1,"Repeat","New")</f>
        <v>New</v>
      </c>
      <c r="V305" s="2" t="str">
        <f>IF(SalesData[[#This Row],[Sales]]&gt;AVERAGE(SalesData[Sales]),"Above Avg","Below Avg")</f>
        <v>Below Avg</v>
      </c>
      <c r="W305" s="2" t="str">
        <f>IF(SalesData[[#This Row],[Profit]]&gt;0,"Profit","Loss")</f>
        <v>Profit</v>
      </c>
      <c r="X305" s="2">
        <f>RANK(SalesData[[#This Row],[Sales]],SalesData[Sales])</f>
        <v>226</v>
      </c>
    </row>
    <row r="306" spans="1:24" x14ac:dyDescent="0.3">
      <c r="A306">
        <v>305</v>
      </c>
      <c r="B306" s="1">
        <v>45596</v>
      </c>
      <c r="C306">
        <v>1089</v>
      </c>
      <c r="D306" t="s">
        <v>181</v>
      </c>
      <c r="E306" t="s">
        <v>24</v>
      </c>
      <c r="F306" t="s">
        <v>16</v>
      </c>
      <c r="G306" t="s">
        <v>17</v>
      </c>
      <c r="H306" t="s">
        <v>18</v>
      </c>
      <c r="I306">
        <v>170</v>
      </c>
      <c r="J306">
        <v>9</v>
      </c>
      <c r="K306">
        <v>0.23</v>
      </c>
      <c r="L306">
        <v>291</v>
      </c>
      <c r="M306" t="s">
        <v>31</v>
      </c>
      <c r="N306">
        <v>1178.0999999999999</v>
      </c>
      <c r="O306" t="str">
        <f>TEXT(SalesData[[#This Row],[Order_Date]],"mmm")</f>
        <v>Oct</v>
      </c>
      <c r="P306">
        <f>YEAR(SalesData[[#This Row],[Order_Date]])</f>
        <v>2024</v>
      </c>
      <c r="Q306" t="str">
        <f>"Q"&amp;ROUNDUP(MONTH(SalesData[[#This Row],[Order_Date]])/3,0)</f>
        <v>Q4</v>
      </c>
      <c r="R306" s="2">
        <f>IFERROR(SalesData[[#This Row],[Profit]]/SalesData[[#This Row],[Sales]],0)</f>
        <v>0.24700789406671761</v>
      </c>
      <c r="S306" s="2">
        <f>SalesData[[#This Row],[Price]]*SalesData[[#This Row],[Quantity]]*SalesData[[#This Row],[Discount]]</f>
        <v>351.90000000000003</v>
      </c>
      <c r="T306" s="2" t="str">
        <f>IF(SalesData[[#This Row],[Sales]]&gt;5000,"High",IF(SalesData[[#This Row],[Sales]]&gt;2000,"Medium","Low"))</f>
        <v>Low</v>
      </c>
      <c r="U306" s="2" t="str">
        <f>IF(COUNTIFS(SalesData[Customer_ID],SalesData[[#This Row],[Customer_ID]])&gt;1,"Repeat","New")</f>
        <v>Repeat</v>
      </c>
      <c r="V306" s="2" t="str">
        <f>IF(SalesData[[#This Row],[Sales]]&gt;AVERAGE(SalesData[Sales]),"Above Avg","Below Avg")</f>
        <v>Below Avg</v>
      </c>
      <c r="W306" s="2" t="str">
        <f>IF(SalesData[[#This Row],[Profit]]&gt;0,"Profit","Loss")</f>
        <v>Profit</v>
      </c>
      <c r="X306" s="2">
        <f>RANK(SalesData[[#This Row],[Sales]],SalesData[Sales])</f>
        <v>470</v>
      </c>
    </row>
    <row r="307" spans="1:24" x14ac:dyDescent="0.3">
      <c r="A307">
        <v>306</v>
      </c>
      <c r="B307" s="1">
        <v>45597</v>
      </c>
      <c r="C307">
        <v>1074</v>
      </c>
      <c r="D307" t="s">
        <v>191</v>
      </c>
      <c r="E307" t="s">
        <v>24</v>
      </c>
      <c r="F307" t="s">
        <v>16</v>
      </c>
      <c r="G307" t="s">
        <v>17</v>
      </c>
      <c r="H307" t="s">
        <v>37</v>
      </c>
      <c r="I307">
        <v>4005</v>
      </c>
      <c r="J307">
        <v>3</v>
      </c>
      <c r="K307">
        <v>0.18</v>
      </c>
      <c r="L307">
        <v>940</v>
      </c>
      <c r="M307" t="s">
        <v>31</v>
      </c>
      <c r="N307">
        <v>9852.2999999999993</v>
      </c>
      <c r="O307" t="str">
        <f>TEXT(SalesData[[#This Row],[Order_Date]],"mmm")</f>
        <v>Nov</v>
      </c>
      <c r="P307">
        <f>YEAR(SalesData[[#This Row],[Order_Date]])</f>
        <v>2024</v>
      </c>
      <c r="Q307" t="str">
        <f>"Q"&amp;ROUNDUP(MONTH(SalesData[[#This Row],[Order_Date]])/3,0)</f>
        <v>Q4</v>
      </c>
      <c r="R307" s="2">
        <f>IFERROR(SalesData[[#This Row],[Profit]]/SalesData[[#This Row],[Sales]],0)</f>
        <v>9.5409193792312469E-2</v>
      </c>
      <c r="S307" s="2">
        <f>SalesData[[#This Row],[Price]]*SalesData[[#This Row],[Quantity]]*SalesData[[#This Row],[Discount]]</f>
        <v>2162.6999999999998</v>
      </c>
      <c r="T307" s="2" t="str">
        <f>IF(SalesData[[#This Row],[Sales]]&gt;5000,"High",IF(SalesData[[#This Row],[Sales]]&gt;2000,"Medium","Low"))</f>
        <v>High</v>
      </c>
      <c r="U307" s="2" t="str">
        <f>IF(COUNTIFS(SalesData[Customer_ID],SalesData[[#This Row],[Customer_ID]])&gt;1,"Repeat","New")</f>
        <v>Repeat</v>
      </c>
      <c r="V307" s="2" t="str">
        <f>IF(SalesData[[#This Row],[Sales]]&gt;AVERAGE(SalesData[Sales]),"Above Avg","Below Avg")</f>
        <v>Below Avg</v>
      </c>
      <c r="W307" s="2" t="str">
        <f>IF(SalesData[[#This Row],[Profit]]&gt;0,"Profit","Loss")</f>
        <v>Profit</v>
      </c>
      <c r="X307" s="2">
        <f>RANK(SalesData[[#This Row],[Sales]],SalesData[Sales])</f>
        <v>206</v>
      </c>
    </row>
    <row r="308" spans="1:24" x14ac:dyDescent="0.3">
      <c r="A308">
        <v>307</v>
      </c>
      <c r="B308" s="1">
        <v>45598</v>
      </c>
      <c r="C308">
        <v>1000</v>
      </c>
      <c r="D308" t="s">
        <v>182</v>
      </c>
      <c r="E308" t="s">
        <v>15</v>
      </c>
      <c r="F308" t="s">
        <v>16</v>
      </c>
      <c r="G308" t="s">
        <v>17</v>
      </c>
      <c r="H308" t="s">
        <v>37</v>
      </c>
      <c r="I308">
        <v>568</v>
      </c>
      <c r="J308">
        <v>1</v>
      </c>
      <c r="K308">
        <v>7.0000000000000007E-2</v>
      </c>
      <c r="L308">
        <v>1894</v>
      </c>
      <c r="M308" t="s">
        <v>19</v>
      </c>
      <c r="N308">
        <v>528.24</v>
      </c>
      <c r="O308" t="str">
        <f>TEXT(SalesData[[#This Row],[Order_Date]],"mmm")</f>
        <v>Nov</v>
      </c>
      <c r="P308">
        <f>YEAR(SalesData[[#This Row],[Order_Date]])</f>
        <v>2024</v>
      </c>
      <c r="Q308" t="str">
        <f>"Q"&amp;ROUNDUP(MONTH(SalesData[[#This Row],[Order_Date]])/3,0)</f>
        <v>Q4</v>
      </c>
      <c r="R308" s="2">
        <f>IFERROR(SalesData[[#This Row],[Profit]]/SalesData[[#This Row],[Sales]],0)</f>
        <v>3.585491443283356</v>
      </c>
      <c r="S308" s="2">
        <f>SalesData[[#This Row],[Price]]*SalesData[[#This Row],[Quantity]]*SalesData[[#This Row],[Discount]]</f>
        <v>39.760000000000005</v>
      </c>
      <c r="T308" s="2" t="str">
        <f>IF(SalesData[[#This Row],[Sales]]&gt;5000,"High",IF(SalesData[[#This Row],[Sales]]&gt;2000,"Medium","Low"))</f>
        <v>Low</v>
      </c>
      <c r="U308" s="2" t="str">
        <f>IF(COUNTIFS(SalesData[Customer_ID],SalesData[[#This Row],[Customer_ID]])&gt;1,"Repeat","New")</f>
        <v>Repeat</v>
      </c>
      <c r="V308" s="2" t="str">
        <f>IF(SalesData[[#This Row],[Sales]]&gt;AVERAGE(SalesData[Sales]),"Above Avg","Below Avg")</f>
        <v>Below Avg</v>
      </c>
      <c r="W308" s="2" t="str">
        <f>IF(SalesData[[#This Row],[Profit]]&gt;0,"Profit","Loss")</f>
        <v>Profit</v>
      </c>
      <c r="X308" s="2">
        <f>RANK(SalesData[[#This Row],[Sales]],SalesData[Sales])</f>
        <v>490</v>
      </c>
    </row>
    <row r="309" spans="1:24" x14ac:dyDescent="0.3">
      <c r="A309">
        <v>308</v>
      </c>
      <c r="B309" s="1">
        <v>45599</v>
      </c>
      <c r="C309">
        <v>1035</v>
      </c>
      <c r="D309" t="s">
        <v>128</v>
      </c>
      <c r="E309" t="s">
        <v>15</v>
      </c>
      <c r="F309" t="s">
        <v>33</v>
      </c>
      <c r="G309" t="s">
        <v>22</v>
      </c>
      <c r="H309" t="s">
        <v>18</v>
      </c>
      <c r="I309">
        <v>3660</v>
      </c>
      <c r="J309">
        <v>3</v>
      </c>
      <c r="K309">
        <v>0.24</v>
      </c>
      <c r="L309">
        <v>1824</v>
      </c>
      <c r="M309" t="s">
        <v>31</v>
      </c>
      <c r="N309">
        <v>8344.7999999999993</v>
      </c>
      <c r="O309" t="str">
        <f>TEXT(SalesData[[#This Row],[Order_Date]],"mmm")</f>
        <v>Nov</v>
      </c>
      <c r="P309">
        <f>YEAR(SalesData[[#This Row],[Order_Date]])</f>
        <v>2024</v>
      </c>
      <c r="Q309" t="str">
        <f>"Q"&amp;ROUNDUP(MONTH(SalesData[[#This Row],[Order_Date]])/3,0)</f>
        <v>Q4</v>
      </c>
      <c r="R309" s="2">
        <f>IFERROR(SalesData[[#This Row],[Profit]]/SalesData[[#This Row],[Sales]],0)</f>
        <v>0.21857923497267762</v>
      </c>
      <c r="S309" s="2">
        <f>SalesData[[#This Row],[Price]]*SalesData[[#This Row],[Quantity]]*SalesData[[#This Row],[Discount]]</f>
        <v>2635.2</v>
      </c>
      <c r="T309" s="2" t="str">
        <f>IF(SalesData[[#This Row],[Sales]]&gt;5000,"High",IF(SalesData[[#This Row],[Sales]]&gt;2000,"Medium","Low"))</f>
        <v>High</v>
      </c>
      <c r="U309" s="2" t="str">
        <f>IF(COUNTIFS(SalesData[Customer_ID],SalesData[[#This Row],[Customer_ID]])&gt;1,"Repeat","New")</f>
        <v>Repeat</v>
      </c>
      <c r="V309" s="2" t="str">
        <f>IF(SalesData[[#This Row],[Sales]]&gt;AVERAGE(SalesData[Sales]),"Above Avg","Below Avg")</f>
        <v>Below Avg</v>
      </c>
      <c r="W309" s="2" t="str">
        <f>IF(SalesData[[#This Row],[Profit]]&gt;0,"Profit","Loss")</f>
        <v>Profit</v>
      </c>
      <c r="X309" s="2">
        <f>RANK(SalesData[[#This Row],[Sales]],SalesData[Sales])</f>
        <v>241</v>
      </c>
    </row>
    <row r="310" spans="1:24" x14ac:dyDescent="0.3">
      <c r="A310">
        <v>309</v>
      </c>
      <c r="B310" s="1">
        <v>45600</v>
      </c>
      <c r="C310">
        <v>1083</v>
      </c>
      <c r="D310" t="s">
        <v>102</v>
      </c>
      <c r="E310" t="s">
        <v>24</v>
      </c>
      <c r="F310" t="s">
        <v>21</v>
      </c>
      <c r="G310" t="s">
        <v>34</v>
      </c>
      <c r="H310" t="s">
        <v>25</v>
      </c>
      <c r="I310">
        <v>2023</v>
      </c>
      <c r="J310">
        <v>3</v>
      </c>
      <c r="K310">
        <v>0.01</v>
      </c>
      <c r="L310">
        <v>356</v>
      </c>
      <c r="M310" t="s">
        <v>26</v>
      </c>
      <c r="N310">
        <v>6008.31</v>
      </c>
      <c r="O310" t="str">
        <f>TEXT(SalesData[[#This Row],[Order_Date]],"mmm")</f>
        <v>Nov</v>
      </c>
      <c r="P310">
        <f>YEAR(SalesData[[#This Row],[Order_Date]])</f>
        <v>2024</v>
      </c>
      <c r="Q310" t="str">
        <f>"Q"&amp;ROUNDUP(MONTH(SalesData[[#This Row],[Order_Date]])/3,0)</f>
        <v>Q4</v>
      </c>
      <c r="R310" s="2">
        <f>IFERROR(SalesData[[#This Row],[Profit]]/SalesData[[#This Row],[Sales]],0)</f>
        <v>5.9251270323934679E-2</v>
      </c>
      <c r="S310" s="2">
        <f>SalesData[[#This Row],[Price]]*SalesData[[#This Row],[Quantity]]*SalesData[[#This Row],[Discount]]</f>
        <v>60.69</v>
      </c>
      <c r="T310" s="2" t="str">
        <f>IF(SalesData[[#This Row],[Sales]]&gt;5000,"High",IF(SalesData[[#This Row],[Sales]]&gt;2000,"Medium","Low"))</f>
        <v>High</v>
      </c>
      <c r="U310" s="2" t="str">
        <f>IF(COUNTIFS(SalesData[Customer_ID],SalesData[[#This Row],[Customer_ID]])&gt;1,"Repeat","New")</f>
        <v>Repeat</v>
      </c>
      <c r="V310" s="2" t="str">
        <f>IF(SalesData[[#This Row],[Sales]]&gt;AVERAGE(SalesData[Sales]),"Above Avg","Below Avg")</f>
        <v>Below Avg</v>
      </c>
      <c r="W310" s="2" t="str">
        <f>IF(SalesData[[#This Row],[Profit]]&gt;0,"Profit","Loss")</f>
        <v>Profit</v>
      </c>
      <c r="X310" s="2">
        <f>RANK(SalesData[[#This Row],[Sales]],SalesData[Sales])</f>
        <v>297</v>
      </c>
    </row>
    <row r="311" spans="1:24" x14ac:dyDescent="0.3">
      <c r="A311">
        <v>310</v>
      </c>
      <c r="B311" s="1">
        <v>45601</v>
      </c>
      <c r="C311">
        <v>1094</v>
      </c>
      <c r="D311" t="s">
        <v>192</v>
      </c>
      <c r="E311" t="s">
        <v>15</v>
      </c>
      <c r="F311" t="s">
        <v>33</v>
      </c>
      <c r="G311" t="s">
        <v>22</v>
      </c>
      <c r="H311" t="s">
        <v>29</v>
      </c>
      <c r="I311">
        <v>3079</v>
      </c>
      <c r="J311">
        <v>5</v>
      </c>
      <c r="K311">
        <v>0.24</v>
      </c>
      <c r="L311">
        <v>1522</v>
      </c>
      <c r="M311" t="s">
        <v>19</v>
      </c>
      <c r="N311">
        <v>11700.2</v>
      </c>
      <c r="O311" t="str">
        <f>TEXT(SalesData[[#This Row],[Order_Date]],"mmm")</f>
        <v>Nov</v>
      </c>
      <c r="P311">
        <f>YEAR(SalesData[[#This Row],[Order_Date]])</f>
        <v>2024</v>
      </c>
      <c r="Q311" t="str">
        <f>"Q"&amp;ROUNDUP(MONTH(SalesData[[#This Row],[Order_Date]])/3,0)</f>
        <v>Q4</v>
      </c>
      <c r="R311" s="2">
        <f>IFERROR(SalesData[[#This Row],[Profit]]/SalesData[[#This Row],[Sales]],0)</f>
        <v>0.13008324644023178</v>
      </c>
      <c r="S311" s="2">
        <f>SalesData[[#This Row],[Price]]*SalesData[[#This Row],[Quantity]]*SalesData[[#This Row],[Discount]]</f>
        <v>3694.7999999999997</v>
      </c>
      <c r="T311" s="2" t="str">
        <f>IF(SalesData[[#This Row],[Sales]]&gt;5000,"High",IF(SalesData[[#This Row],[Sales]]&gt;2000,"Medium","Low"))</f>
        <v>High</v>
      </c>
      <c r="U311" s="2" t="str">
        <f>IF(COUNTIFS(SalesData[Customer_ID],SalesData[[#This Row],[Customer_ID]])&gt;1,"Repeat","New")</f>
        <v>Repeat</v>
      </c>
      <c r="V311" s="2" t="str">
        <f>IF(SalesData[[#This Row],[Sales]]&gt;AVERAGE(SalesData[Sales]),"Above Avg","Below Avg")</f>
        <v>Above Avg</v>
      </c>
      <c r="W311" s="2" t="str">
        <f>IF(SalesData[[#This Row],[Profit]]&gt;0,"Profit","Loss")</f>
        <v>Profit</v>
      </c>
      <c r="X311" s="2">
        <f>RANK(SalesData[[#This Row],[Sales]],SalesData[Sales])</f>
        <v>178</v>
      </c>
    </row>
    <row r="312" spans="1:24" x14ac:dyDescent="0.3">
      <c r="A312">
        <v>311</v>
      </c>
      <c r="B312" s="1">
        <v>45602</v>
      </c>
      <c r="C312">
        <v>1071</v>
      </c>
      <c r="D312" t="s">
        <v>126</v>
      </c>
      <c r="E312" t="s">
        <v>24</v>
      </c>
      <c r="F312" t="s">
        <v>16</v>
      </c>
      <c r="G312" t="s">
        <v>34</v>
      </c>
      <c r="H312" t="s">
        <v>29</v>
      </c>
      <c r="I312">
        <v>4122</v>
      </c>
      <c r="J312">
        <v>9</v>
      </c>
      <c r="K312">
        <v>0.2</v>
      </c>
      <c r="L312">
        <v>-297</v>
      </c>
      <c r="M312" t="s">
        <v>26</v>
      </c>
      <c r="N312">
        <v>29678.400000000001</v>
      </c>
      <c r="O312" t="str">
        <f>TEXT(SalesData[[#This Row],[Order_Date]],"mmm")</f>
        <v>Nov</v>
      </c>
      <c r="P312">
        <f>YEAR(SalesData[[#This Row],[Order_Date]])</f>
        <v>2024</v>
      </c>
      <c r="Q312" t="str">
        <f>"Q"&amp;ROUNDUP(MONTH(SalesData[[#This Row],[Order_Date]])/3,0)</f>
        <v>Q4</v>
      </c>
      <c r="R312" s="2">
        <f>IFERROR(SalesData[[#This Row],[Profit]]/SalesData[[#This Row],[Sales]],0)</f>
        <v>-1.0007278020378457E-2</v>
      </c>
      <c r="S312" s="2">
        <f>SalesData[[#This Row],[Price]]*SalesData[[#This Row],[Quantity]]*SalesData[[#This Row],[Discount]]</f>
        <v>7419.6</v>
      </c>
      <c r="T312" s="2" t="str">
        <f>IF(SalesData[[#This Row],[Sales]]&gt;5000,"High",IF(SalesData[[#This Row],[Sales]]&gt;2000,"Medium","Low"))</f>
        <v>High</v>
      </c>
      <c r="U312" s="2" t="str">
        <f>IF(COUNTIFS(SalesData[Customer_ID],SalesData[[#This Row],[Customer_ID]])&gt;1,"Repeat","New")</f>
        <v>Repeat</v>
      </c>
      <c r="V312" s="2" t="str">
        <f>IF(SalesData[[#This Row],[Sales]]&gt;AVERAGE(SalesData[Sales]),"Above Avg","Below Avg")</f>
        <v>Above Avg</v>
      </c>
      <c r="W312" s="2" t="str">
        <f>IF(SalesData[[#This Row],[Profit]]&gt;0,"Profit","Loss")</f>
        <v>Loss</v>
      </c>
      <c r="X312" s="2">
        <f>RANK(SalesData[[#This Row],[Sales]],SalesData[Sales])</f>
        <v>25</v>
      </c>
    </row>
    <row r="313" spans="1:24" x14ac:dyDescent="0.3">
      <c r="A313">
        <v>312</v>
      </c>
      <c r="B313" s="1">
        <v>45603</v>
      </c>
      <c r="C313">
        <v>1039</v>
      </c>
      <c r="D313" t="s">
        <v>130</v>
      </c>
      <c r="E313" t="s">
        <v>24</v>
      </c>
      <c r="F313" t="s">
        <v>33</v>
      </c>
      <c r="G313" t="s">
        <v>22</v>
      </c>
      <c r="H313" t="s">
        <v>18</v>
      </c>
      <c r="I313">
        <v>4319</v>
      </c>
      <c r="J313">
        <v>7</v>
      </c>
      <c r="K313">
        <v>0.2</v>
      </c>
      <c r="L313">
        <v>1668</v>
      </c>
      <c r="M313" t="s">
        <v>19</v>
      </c>
      <c r="N313">
        <v>24186.400000000001</v>
      </c>
      <c r="O313" t="str">
        <f>TEXT(SalesData[[#This Row],[Order_Date]],"mmm")</f>
        <v>Nov</v>
      </c>
      <c r="P313">
        <f>YEAR(SalesData[[#This Row],[Order_Date]])</f>
        <v>2024</v>
      </c>
      <c r="Q313" t="str">
        <f>"Q"&amp;ROUNDUP(MONTH(SalesData[[#This Row],[Order_Date]])/3,0)</f>
        <v>Q4</v>
      </c>
      <c r="R313" s="2">
        <f>IFERROR(SalesData[[#This Row],[Profit]]/SalesData[[#This Row],[Sales]],0)</f>
        <v>6.896437667449476E-2</v>
      </c>
      <c r="S313" s="2">
        <f>SalesData[[#This Row],[Price]]*SalesData[[#This Row],[Quantity]]*SalesData[[#This Row],[Discount]]</f>
        <v>6046.6</v>
      </c>
      <c r="T313" s="2" t="str">
        <f>IF(SalesData[[#This Row],[Sales]]&gt;5000,"High",IF(SalesData[[#This Row],[Sales]]&gt;2000,"Medium","Low"))</f>
        <v>High</v>
      </c>
      <c r="U313" s="2" t="str">
        <f>IF(COUNTIFS(SalesData[Customer_ID],SalesData[[#This Row],[Customer_ID]])&gt;1,"Repeat","New")</f>
        <v>Repeat</v>
      </c>
      <c r="V313" s="2" t="str">
        <f>IF(SalesData[[#This Row],[Sales]]&gt;AVERAGE(SalesData[Sales]),"Above Avg","Below Avg")</f>
        <v>Above Avg</v>
      </c>
      <c r="W313" s="2" t="str">
        <f>IF(SalesData[[#This Row],[Profit]]&gt;0,"Profit","Loss")</f>
        <v>Profit</v>
      </c>
      <c r="X313" s="2">
        <f>RANK(SalesData[[#This Row],[Sales]],SalesData[Sales])</f>
        <v>50</v>
      </c>
    </row>
    <row r="314" spans="1:24" x14ac:dyDescent="0.3">
      <c r="A314">
        <v>313</v>
      </c>
      <c r="B314" s="1">
        <v>45604</v>
      </c>
      <c r="C314">
        <v>1087</v>
      </c>
      <c r="D314" t="s">
        <v>149</v>
      </c>
      <c r="E314" t="s">
        <v>15</v>
      </c>
      <c r="F314" t="s">
        <v>28</v>
      </c>
      <c r="G314" t="s">
        <v>22</v>
      </c>
      <c r="H314" t="s">
        <v>25</v>
      </c>
      <c r="I314">
        <v>4618</v>
      </c>
      <c r="J314">
        <v>3</v>
      </c>
      <c r="K314">
        <v>0.01</v>
      </c>
      <c r="L314">
        <v>1802</v>
      </c>
      <c r="M314" t="s">
        <v>31</v>
      </c>
      <c r="N314">
        <v>13715.46</v>
      </c>
      <c r="O314" t="str">
        <f>TEXT(SalesData[[#This Row],[Order_Date]],"mmm")</f>
        <v>Nov</v>
      </c>
      <c r="P314">
        <f>YEAR(SalesData[[#This Row],[Order_Date]])</f>
        <v>2024</v>
      </c>
      <c r="Q314" t="str">
        <f>"Q"&amp;ROUNDUP(MONTH(SalesData[[#This Row],[Order_Date]])/3,0)</f>
        <v>Q4</v>
      </c>
      <c r="R314" s="2">
        <f>IFERROR(SalesData[[#This Row],[Profit]]/SalesData[[#This Row],[Sales]],0)</f>
        <v>0.13138458352836874</v>
      </c>
      <c r="S314" s="2">
        <f>SalesData[[#This Row],[Price]]*SalesData[[#This Row],[Quantity]]*SalesData[[#This Row],[Discount]]</f>
        <v>138.54</v>
      </c>
      <c r="T314" s="2" t="str">
        <f>IF(SalesData[[#This Row],[Sales]]&gt;5000,"High",IF(SalesData[[#This Row],[Sales]]&gt;2000,"Medium","Low"))</f>
        <v>High</v>
      </c>
      <c r="U314" s="2" t="str">
        <f>IF(COUNTIFS(SalesData[Customer_ID],SalesData[[#This Row],[Customer_ID]])&gt;1,"Repeat","New")</f>
        <v>Repeat</v>
      </c>
      <c r="V314" s="2" t="str">
        <f>IF(SalesData[[#This Row],[Sales]]&gt;AVERAGE(SalesData[Sales]),"Above Avg","Below Avg")</f>
        <v>Above Avg</v>
      </c>
      <c r="W314" s="2" t="str">
        <f>IF(SalesData[[#This Row],[Profit]]&gt;0,"Profit","Loss")</f>
        <v>Profit</v>
      </c>
      <c r="X314" s="2">
        <f>RANK(SalesData[[#This Row],[Sales]],SalesData[Sales])</f>
        <v>150</v>
      </c>
    </row>
    <row r="315" spans="1:24" x14ac:dyDescent="0.3">
      <c r="A315">
        <v>314</v>
      </c>
      <c r="B315" s="1">
        <v>45605</v>
      </c>
      <c r="C315">
        <v>1083</v>
      </c>
      <c r="D315" t="s">
        <v>96</v>
      </c>
      <c r="E315" t="s">
        <v>24</v>
      </c>
      <c r="F315" t="s">
        <v>21</v>
      </c>
      <c r="G315" t="s">
        <v>34</v>
      </c>
      <c r="H315" t="s">
        <v>29</v>
      </c>
      <c r="I315">
        <v>666</v>
      </c>
      <c r="J315">
        <v>3</v>
      </c>
      <c r="K315">
        <v>0.06</v>
      </c>
      <c r="L315">
        <v>-107</v>
      </c>
      <c r="M315" t="s">
        <v>19</v>
      </c>
      <c r="N315">
        <v>1878.12</v>
      </c>
      <c r="O315" t="str">
        <f>TEXT(SalesData[[#This Row],[Order_Date]],"mmm")</f>
        <v>Nov</v>
      </c>
      <c r="P315">
        <f>YEAR(SalesData[[#This Row],[Order_Date]])</f>
        <v>2024</v>
      </c>
      <c r="Q315" t="str">
        <f>"Q"&amp;ROUNDUP(MONTH(SalesData[[#This Row],[Order_Date]])/3,0)</f>
        <v>Q4</v>
      </c>
      <c r="R315" s="2">
        <f>IFERROR(SalesData[[#This Row],[Profit]]/SalesData[[#This Row],[Sales]],0)</f>
        <v>-5.6971865482503783E-2</v>
      </c>
      <c r="S315" s="2">
        <f>SalesData[[#This Row],[Price]]*SalesData[[#This Row],[Quantity]]*SalesData[[#This Row],[Discount]]</f>
        <v>119.88</v>
      </c>
      <c r="T315" s="2" t="str">
        <f>IF(SalesData[[#This Row],[Sales]]&gt;5000,"High",IF(SalesData[[#This Row],[Sales]]&gt;2000,"Medium","Low"))</f>
        <v>Low</v>
      </c>
      <c r="U315" s="2" t="str">
        <f>IF(COUNTIFS(SalesData[Customer_ID],SalesData[[#This Row],[Customer_ID]])&gt;1,"Repeat","New")</f>
        <v>Repeat</v>
      </c>
      <c r="V315" s="2" t="str">
        <f>IF(SalesData[[#This Row],[Sales]]&gt;AVERAGE(SalesData[Sales]),"Above Avg","Below Avg")</f>
        <v>Below Avg</v>
      </c>
      <c r="W315" s="2" t="str">
        <f>IF(SalesData[[#This Row],[Profit]]&gt;0,"Profit","Loss")</f>
        <v>Loss</v>
      </c>
      <c r="X315" s="2">
        <f>RANK(SalesData[[#This Row],[Sales]],SalesData[Sales])</f>
        <v>437</v>
      </c>
    </row>
    <row r="316" spans="1:24" x14ac:dyDescent="0.3">
      <c r="A316">
        <v>315</v>
      </c>
      <c r="B316" s="1">
        <v>45606</v>
      </c>
      <c r="C316">
        <v>1078</v>
      </c>
      <c r="D316" t="s">
        <v>193</v>
      </c>
      <c r="E316" t="s">
        <v>24</v>
      </c>
      <c r="F316" t="s">
        <v>21</v>
      </c>
      <c r="G316" t="s">
        <v>17</v>
      </c>
      <c r="H316" t="s">
        <v>25</v>
      </c>
      <c r="I316">
        <v>3227</v>
      </c>
      <c r="J316">
        <v>4</v>
      </c>
      <c r="K316">
        <v>0.15</v>
      </c>
      <c r="L316">
        <v>200</v>
      </c>
      <c r="M316" t="s">
        <v>31</v>
      </c>
      <c r="N316">
        <v>10971.8</v>
      </c>
      <c r="O316" t="str">
        <f>TEXT(SalesData[[#This Row],[Order_Date]],"mmm")</f>
        <v>Nov</v>
      </c>
      <c r="P316">
        <f>YEAR(SalesData[[#This Row],[Order_Date]])</f>
        <v>2024</v>
      </c>
      <c r="Q316" t="str">
        <f>"Q"&amp;ROUNDUP(MONTH(SalesData[[#This Row],[Order_Date]])/3,0)</f>
        <v>Q4</v>
      </c>
      <c r="R316" s="2">
        <f>IFERROR(SalesData[[#This Row],[Profit]]/SalesData[[#This Row],[Sales]],0)</f>
        <v>1.8228549554311965E-2</v>
      </c>
      <c r="S316" s="2">
        <f>SalesData[[#This Row],[Price]]*SalesData[[#This Row],[Quantity]]*SalesData[[#This Row],[Discount]]</f>
        <v>1936.1999999999998</v>
      </c>
      <c r="T316" s="2" t="str">
        <f>IF(SalesData[[#This Row],[Sales]]&gt;5000,"High",IF(SalesData[[#This Row],[Sales]]&gt;2000,"Medium","Low"))</f>
        <v>High</v>
      </c>
      <c r="U316" s="2" t="str">
        <f>IF(COUNTIFS(SalesData[Customer_ID],SalesData[[#This Row],[Customer_ID]])&gt;1,"Repeat","New")</f>
        <v>Repeat</v>
      </c>
      <c r="V316" s="2" t="str">
        <f>IF(SalesData[[#This Row],[Sales]]&gt;AVERAGE(SalesData[Sales]),"Above Avg","Below Avg")</f>
        <v>Above Avg</v>
      </c>
      <c r="W316" s="2" t="str">
        <f>IF(SalesData[[#This Row],[Profit]]&gt;0,"Profit","Loss")</f>
        <v>Profit</v>
      </c>
      <c r="X316" s="2">
        <f>RANK(SalesData[[#This Row],[Sales]],SalesData[Sales])</f>
        <v>193</v>
      </c>
    </row>
    <row r="317" spans="1:24" x14ac:dyDescent="0.3">
      <c r="A317">
        <v>316</v>
      </c>
      <c r="B317" s="1">
        <v>45607</v>
      </c>
      <c r="C317">
        <v>1029</v>
      </c>
      <c r="D317" t="s">
        <v>194</v>
      </c>
      <c r="E317" t="s">
        <v>24</v>
      </c>
      <c r="F317" t="s">
        <v>33</v>
      </c>
      <c r="G317" t="s">
        <v>17</v>
      </c>
      <c r="H317" t="s">
        <v>29</v>
      </c>
      <c r="I317">
        <v>4116</v>
      </c>
      <c r="J317">
        <v>7</v>
      </c>
      <c r="K317">
        <v>0.13</v>
      </c>
      <c r="L317">
        <v>1791</v>
      </c>
      <c r="M317" t="s">
        <v>19</v>
      </c>
      <c r="N317">
        <v>25066.44</v>
      </c>
      <c r="O317" t="str">
        <f>TEXT(SalesData[[#This Row],[Order_Date]],"mmm")</f>
        <v>Nov</v>
      </c>
      <c r="P317">
        <f>YEAR(SalesData[[#This Row],[Order_Date]])</f>
        <v>2024</v>
      </c>
      <c r="Q317" t="str">
        <f>"Q"&amp;ROUNDUP(MONTH(SalesData[[#This Row],[Order_Date]])/3,0)</f>
        <v>Q4</v>
      </c>
      <c r="R317" s="2">
        <f>IFERROR(SalesData[[#This Row],[Profit]]/SalesData[[#This Row],[Sales]],0)</f>
        <v>7.1450114176564369E-2</v>
      </c>
      <c r="S317" s="2">
        <f>SalesData[[#This Row],[Price]]*SalesData[[#This Row],[Quantity]]*SalesData[[#This Row],[Discount]]</f>
        <v>3745.56</v>
      </c>
      <c r="T317" s="2" t="str">
        <f>IF(SalesData[[#This Row],[Sales]]&gt;5000,"High",IF(SalesData[[#This Row],[Sales]]&gt;2000,"Medium","Low"))</f>
        <v>High</v>
      </c>
      <c r="U317" s="2" t="str">
        <f>IF(COUNTIFS(SalesData[Customer_ID],SalesData[[#This Row],[Customer_ID]])&gt;1,"Repeat","New")</f>
        <v>Repeat</v>
      </c>
      <c r="V317" s="2" t="str">
        <f>IF(SalesData[[#This Row],[Sales]]&gt;AVERAGE(SalesData[Sales]),"Above Avg","Below Avg")</f>
        <v>Above Avg</v>
      </c>
      <c r="W317" s="2" t="str">
        <f>IF(SalesData[[#This Row],[Profit]]&gt;0,"Profit","Loss")</f>
        <v>Profit</v>
      </c>
      <c r="X317" s="2">
        <f>RANK(SalesData[[#This Row],[Sales]],SalesData[Sales])</f>
        <v>41</v>
      </c>
    </row>
    <row r="318" spans="1:24" x14ac:dyDescent="0.3">
      <c r="A318">
        <v>317</v>
      </c>
      <c r="B318" s="1">
        <v>45608</v>
      </c>
      <c r="C318">
        <v>1019</v>
      </c>
      <c r="D318" t="s">
        <v>195</v>
      </c>
      <c r="E318" t="s">
        <v>24</v>
      </c>
      <c r="F318" t="s">
        <v>21</v>
      </c>
      <c r="G318" t="s">
        <v>17</v>
      </c>
      <c r="H318" t="s">
        <v>37</v>
      </c>
      <c r="I318">
        <v>1265</v>
      </c>
      <c r="J318">
        <v>4</v>
      </c>
      <c r="K318">
        <v>0.01</v>
      </c>
      <c r="L318">
        <v>458</v>
      </c>
      <c r="M318" t="s">
        <v>26</v>
      </c>
      <c r="N318">
        <v>5009.3999999999996</v>
      </c>
      <c r="O318" t="str">
        <f>TEXT(SalesData[[#This Row],[Order_Date]],"mmm")</f>
        <v>Nov</v>
      </c>
      <c r="P318">
        <f>YEAR(SalesData[[#This Row],[Order_Date]])</f>
        <v>2024</v>
      </c>
      <c r="Q318" t="str">
        <f>"Q"&amp;ROUNDUP(MONTH(SalesData[[#This Row],[Order_Date]])/3,0)</f>
        <v>Q4</v>
      </c>
      <c r="R318" s="2">
        <f>IFERROR(SalesData[[#This Row],[Profit]]/SalesData[[#This Row],[Sales]],0)</f>
        <v>9.1428115143530164E-2</v>
      </c>
      <c r="S318" s="2">
        <f>SalesData[[#This Row],[Price]]*SalesData[[#This Row],[Quantity]]*SalesData[[#This Row],[Discount]]</f>
        <v>50.6</v>
      </c>
      <c r="T318" s="2" t="str">
        <f>IF(SalesData[[#This Row],[Sales]]&gt;5000,"High",IF(SalesData[[#This Row],[Sales]]&gt;2000,"Medium","Low"))</f>
        <v>High</v>
      </c>
      <c r="U318" s="2" t="str">
        <f>IF(COUNTIFS(SalesData[Customer_ID],SalesData[[#This Row],[Customer_ID]])&gt;1,"Repeat","New")</f>
        <v>Repeat</v>
      </c>
      <c r="V318" s="2" t="str">
        <f>IF(SalesData[[#This Row],[Sales]]&gt;AVERAGE(SalesData[Sales]),"Above Avg","Below Avg")</f>
        <v>Below Avg</v>
      </c>
      <c r="W318" s="2" t="str">
        <f>IF(SalesData[[#This Row],[Profit]]&gt;0,"Profit","Loss")</f>
        <v>Profit</v>
      </c>
      <c r="X318" s="2">
        <f>RANK(SalesData[[#This Row],[Sales]],SalesData[Sales])</f>
        <v>322</v>
      </c>
    </row>
    <row r="319" spans="1:24" x14ac:dyDescent="0.3">
      <c r="A319">
        <v>318</v>
      </c>
      <c r="B319" s="1">
        <v>45609</v>
      </c>
      <c r="C319">
        <v>1037</v>
      </c>
      <c r="D319" t="s">
        <v>196</v>
      </c>
      <c r="E319" t="s">
        <v>24</v>
      </c>
      <c r="F319" t="s">
        <v>21</v>
      </c>
      <c r="G319" t="s">
        <v>34</v>
      </c>
      <c r="H319" t="s">
        <v>25</v>
      </c>
      <c r="I319">
        <v>4336</v>
      </c>
      <c r="J319">
        <v>9</v>
      </c>
      <c r="K319">
        <v>0.1</v>
      </c>
      <c r="L319">
        <v>-99</v>
      </c>
      <c r="M319" t="s">
        <v>31</v>
      </c>
      <c r="N319">
        <v>35121.599999999999</v>
      </c>
      <c r="O319" t="str">
        <f>TEXT(SalesData[[#This Row],[Order_Date]],"mmm")</f>
        <v>Nov</v>
      </c>
      <c r="P319">
        <f>YEAR(SalesData[[#This Row],[Order_Date]])</f>
        <v>2024</v>
      </c>
      <c r="Q319" t="str">
        <f>"Q"&amp;ROUNDUP(MONTH(SalesData[[#This Row],[Order_Date]])/3,0)</f>
        <v>Q4</v>
      </c>
      <c r="R319" s="2">
        <f>IFERROR(SalesData[[#This Row],[Profit]]/SalesData[[#This Row],[Sales]],0)</f>
        <v>-2.8187781877818778E-3</v>
      </c>
      <c r="S319" s="2">
        <f>SalesData[[#This Row],[Price]]*SalesData[[#This Row],[Quantity]]*SalesData[[#This Row],[Discount]]</f>
        <v>3902.4</v>
      </c>
      <c r="T319" s="2" t="str">
        <f>IF(SalesData[[#This Row],[Sales]]&gt;5000,"High",IF(SalesData[[#This Row],[Sales]]&gt;2000,"Medium","Low"))</f>
        <v>High</v>
      </c>
      <c r="U319" s="2" t="str">
        <f>IF(COUNTIFS(SalesData[Customer_ID],SalesData[[#This Row],[Customer_ID]])&gt;1,"Repeat","New")</f>
        <v>Repeat</v>
      </c>
      <c r="V319" s="2" t="str">
        <f>IF(SalesData[[#This Row],[Sales]]&gt;AVERAGE(SalesData[Sales]),"Above Avg","Below Avg")</f>
        <v>Above Avg</v>
      </c>
      <c r="W319" s="2" t="str">
        <f>IF(SalesData[[#This Row],[Profit]]&gt;0,"Profit","Loss")</f>
        <v>Loss</v>
      </c>
      <c r="X319" s="2">
        <f>RANK(SalesData[[#This Row],[Sales]],SalesData[Sales])</f>
        <v>10</v>
      </c>
    </row>
    <row r="320" spans="1:24" x14ac:dyDescent="0.3">
      <c r="A320">
        <v>319</v>
      </c>
      <c r="B320" s="1">
        <v>45610</v>
      </c>
      <c r="C320">
        <v>1001</v>
      </c>
      <c r="D320" t="s">
        <v>175</v>
      </c>
      <c r="E320" t="s">
        <v>24</v>
      </c>
      <c r="F320" t="s">
        <v>16</v>
      </c>
      <c r="G320" t="s">
        <v>22</v>
      </c>
      <c r="H320" t="s">
        <v>29</v>
      </c>
      <c r="I320">
        <v>1915</v>
      </c>
      <c r="J320">
        <v>3</v>
      </c>
      <c r="K320">
        <v>0.28999999999999998</v>
      </c>
      <c r="L320">
        <v>1599</v>
      </c>
      <c r="M320" t="s">
        <v>26</v>
      </c>
      <c r="N320">
        <v>4078.95</v>
      </c>
      <c r="O320" t="str">
        <f>TEXT(SalesData[[#This Row],[Order_Date]],"mmm")</f>
        <v>Nov</v>
      </c>
      <c r="P320">
        <f>YEAR(SalesData[[#This Row],[Order_Date]])</f>
        <v>2024</v>
      </c>
      <c r="Q320" t="str">
        <f>"Q"&amp;ROUNDUP(MONTH(SalesData[[#This Row],[Order_Date]])/3,0)</f>
        <v>Q4</v>
      </c>
      <c r="R320" s="2">
        <f>IFERROR(SalesData[[#This Row],[Profit]]/SalesData[[#This Row],[Sales]],0)</f>
        <v>0.39201265031441918</v>
      </c>
      <c r="S320" s="2">
        <f>SalesData[[#This Row],[Price]]*SalesData[[#This Row],[Quantity]]*SalesData[[#This Row],[Discount]]</f>
        <v>1666.05</v>
      </c>
      <c r="T320" s="2" t="str">
        <f>IF(SalesData[[#This Row],[Sales]]&gt;5000,"High",IF(SalesData[[#This Row],[Sales]]&gt;2000,"Medium","Low"))</f>
        <v>Medium</v>
      </c>
      <c r="U320" s="2" t="str">
        <f>IF(COUNTIFS(SalesData[Customer_ID],SalesData[[#This Row],[Customer_ID]])&gt;1,"Repeat","New")</f>
        <v>Repeat</v>
      </c>
      <c r="V320" s="2" t="str">
        <f>IF(SalesData[[#This Row],[Sales]]&gt;AVERAGE(SalesData[Sales]),"Above Avg","Below Avg")</f>
        <v>Below Avg</v>
      </c>
      <c r="W320" s="2" t="str">
        <f>IF(SalesData[[#This Row],[Profit]]&gt;0,"Profit","Loss")</f>
        <v>Profit</v>
      </c>
      <c r="X320" s="2">
        <f>RANK(SalesData[[#This Row],[Sales]],SalesData[Sales])</f>
        <v>349</v>
      </c>
    </row>
    <row r="321" spans="1:24" x14ac:dyDescent="0.3">
      <c r="A321">
        <v>320</v>
      </c>
      <c r="B321" s="1">
        <v>45611</v>
      </c>
      <c r="C321">
        <v>1005</v>
      </c>
      <c r="D321" t="s">
        <v>122</v>
      </c>
      <c r="E321" t="s">
        <v>24</v>
      </c>
      <c r="F321" t="s">
        <v>16</v>
      </c>
      <c r="G321" t="s">
        <v>22</v>
      </c>
      <c r="H321" t="s">
        <v>18</v>
      </c>
      <c r="I321">
        <v>4067</v>
      </c>
      <c r="J321">
        <v>7</v>
      </c>
      <c r="K321">
        <v>0.09</v>
      </c>
      <c r="L321">
        <v>1720</v>
      </c>
      <c r="M321" t="s">
        <v>19</v>
      </c>
      <c r="N321">
        <v>25906.79</v>
      </c>
      <c r="O321" t="str">
        <f>TEXT(SalesData[[#This Row],[Order_Date]],"mmm")</f>
        <v>Nov</v>
      </c>
      <c r="P321">
        <f>YEAR(SalesData[[#This Row],[Order_Date]])</f>
        <v>2024</v>
      </c>
      <c r="Q321" t="str">
        <f>"Q"&amp;ROUNDUP(MONTH(SalesData[[#This Row],[Order_Date]])/3,0)</f>
        <v>Q4</v>
      </c>
      <c r="R321" s="2">
        <f>IFERROR(SalesData[[#This Row],[Profit]]/SalesData[[#This Row],[Sales]],0)</f>
        <v>6.6391860975443112E-2</v>
      </c>
      <c r="S321" s="2">
        <f>SalesData[[#This Row],[Price]]*SalesData[[#This Row],[Quantity]]*SalesData[[#This Row],[Discount]]</f>
        <v>2562.21</v>
      </c>
      <c r="T321" s="2" t="str">
        <f>IF(SalesData[[#This Row],[Sales]]&gt;5000,"High",IF(SalesData[[#This Row],[Sales]]&gt;2000,"Medium","Low"))</f>
        <v>High</v>
      </c>
      <c r="U321" s="2" t="str">
        <f>IF(COUNTIFS(SalesData[Customer_ID],SalesData[[#This Row],[Customer_ID]])&gt;1,"Repeat","New")</f>
        <v>Repeat</v>
      </c>
      <c r="V321" s="2" t="str">
        <f>IF(SalesData[[#This Row],[Sales]]&gt;AVERAGE(SalesData[Sales]),"Above Avg","Below Avg")</f>
        <v>Above Avg</v>
      </c>
      <c r="W321" s="2" t="str">
        <f>IF(SalesData[[#This Row],[Profit]]&gt;0,"Profit","Loss")</f>
        <v>Profit</v>
      </c>
      <c r="X321" s="2">
        <f>RANK(SalesData[[#This Row],[Sales]],SalesData[Sales])</f>
        <v>40</v>
      </c>
    </row>
    <row r="322" spans="1:24" x14ac:dyDescent="0.3">
      <c r="A322">
        <v>321</v>
      </c>
      <c r="B322" s="1">
        <v>45612</v>
      </c>
      <c r="C322">
        <v>1081</v>
      </c>
      <c r="D322" t="s">
        <v>62</v>
      </c>
      <c r="E322" t="s">
        <v>24</v>
      </c>
      <c r="F322" t="s">
        <v>21</v>
      </c>
      <c r="G322" t="s">
        <v>34</v>
      </c>
      <c r="H322" t="s">
        <v>25</v>
      </c>
      <c r="I322">
        <v>240</v>
      </c>
      <c r="J322">
        <v>9</v>
      </c>
      <c r="K322">
        <v>0.19</v>
      </c>
      <c r="L322">
        <v>271</v>
      </c>
      <c r="M322" t="s">
        <v>26</v>
      </c>
      <c r="N322">
        <v>1749.6</v>
      </c>
      <c r="O322" t="str">
        <f>TEXT(SalesData[[#This Row],[Order_Date]],"mmm")</f>
        <v>Nov</v>
      </c>
      <c r="P322">
        <f>YEAR(SalesData[[#This Row],[Order_Date]])</f>
        <v>2024</v>
      </c>
      <c r="Q322" t="str">
        <f>"Q"&amp;ROUNDUP(MONTH(SalesData[[#This Row],[Order_Date]])/3,0)</f>
        <v>Q4</v>
      </c>
      <c r="R322" s="2">
        <f>IFERROR(SalesData[[#This Row],[Profit]]/SalesData[[#This Row],[Sales]],0)</f>
        <v>0.15489254686785553</v>
      </c>
      <c r="S322" s="2">
        <f>SalesData[[#This Row],[Price]]*SalesData[[#This Row],[Quantity]]*SalesData[[#This Row],[Discount]]</f>
        <v>410.4</v>
      </c>
      <c r="T322" s="2" t="str">
        <f>IF(SalesData[[#This Row],[Sales]]&gt;5000,"High",IF(SalesData[[#This Row],[Sales]]&gt;2000,"Medium","Low"))</f>
        <v>Low</v>
      </c>
      <c r="U322" s="2" t="str">
        <f>IF(COUNTIFS(SalesData[Customer_ID],SalesData[[#This Row],[Customer_ID]])&gt;1,"Repeat","New")</f>
        <v>Repeat</v>
      </c>
      <c r="V322" s="2" t="str">
        <f>IF(SalesData[[#This Row],[Sales]]&gt;AVERAGE(SalesData[Sales]),"Above Avg","Below Avg")</f>
        <v>Below Avg</v>
      </c>
      <c r="W322" s="2" t="str">
        <f>IF(SalesData[[#This Row],[Profit]]&gt;0,"Profit","Loss")</f>
        <v>Profit</v>
      </c>
      <c r="X322" s="2">
        <f>RANK(SalesData[[#This Row],[Sales]],SalesData[Sales])</f>
        <v>443</v>
      </c>
    </row>
    <row r="323" spans="1:24" x14ac:dyDescent="0.3">
      <c r="A323">
        <v>322</v>
      </c>
      <c r="B323" s="1">
        <v>45613</v>
      </c>
      <c r="C323">
        <v>1035</v>
      </c>
      <c r="D323" t="s">
        <v>120</v>
      </c>
      <c r="E323" t="s">
        <v>15</v>
      </c>
      <c r="F323" t="s">
        <v>33</v>
      </c>
      <c r="G323" t="s">
        <v>17</v>
      </c>
      <c r="H323" t="s">
        <v>25</v>
      </c>
      <c r="I323">
        <v>3410</v>
      </c>
      <c r="J323">
        <v>5</v>
      </c>
      <c r="K323">
        <v>0.2</v>
      </c>
      <c r="L323">
        <v>1549</v>
      </c>
      <c r="M323" t="s">
        <v>26</v>
      </c>
      <c r="N323">
        <v>13640</v>
      </c>
      <c r="O323" t="str">
        <f>TEXT(SalesData[[#This Row],[Order_Date]],"mmm")</f>
        <v>Nov</v>
      </c>
      <c r="P323">
        <f>YEAR(SalesData[[#This Row],[Order_Date]])</f>
        <v>2024</v>
      </c>
      <c r="Q323" t="str">
        <f>"Q"&amp;ROUNDUP(MONTH(SalesData[[#This Row],[Order_Date]])/3,0)</f>
        <v>Q4</v>
      </c>
      <c r="R323" s="2">
        <f>IFERROR(SalesData[[#This Row],[Profit]]/SalesData[[#This Row],[Sales]],0)</f>
        <v>0.11356304985337243</v>
      </c>
      <c r="S323" s="2">
        <f>SalesData[[#This Row],[Price]]*SalesData[[#This Row],[Quantity]]*SalesData[[#This Row],[Discount]]</f>
        <v>3410</v>
      </c>
      <c r="T323" s="2" t="str">
        <f>IF(SalesData[[#This Row],[Sales]]&gt;5000,"High",IF(SalesData[[#This Row],[Sales]]&gt;2000,"Medium","Low"))</f>
        <v>High</v>
      </c>
      <c r="U323" s="2" t="str">
        <f>IF(COUNTIFS(SalesData[Customer_ID],SalesData[[#This Row],[Customer_ID]])&gt;1,"Repeat","New")</f>
        <v>Repeat</v>
      </c>
      <c r="V323" s="2" t="str">
        <f>IF(SalesData[[#This Row],[Sales]]&gt;AVERAGE(SalesData[Sales]),"Above Avg","Below Avg")</f>
        <v>Above Avg</v>
      </c>
      <c r="W323" s="2" t="str">
        <f>IF(SalesData[[#This Row],[Profit]]&gt;0,"Profit","Loss")</f>
        <v>Profit</v>
      </c>
      <c r="X323" s="2">
        <f>RANK(SalesData[[#This Row],[Sales]],SalesData[Sales])</f>
        <v>151</v>
      </c>
    </row>
    <row r="324" spans="1:24" x14ac:dyDescent="0.3">
      <c r="A324">
        <v>323</v>
      </c>
      <c r="B324" s="1">
        <v>45614</v>
      </c>
      <c r="C324">
        <v>1077</v>
      </c>
      <c r="D324" t="s">
        <v>103</v>
      </c>
      <c r="E324" t="s">
        <v>15</v>
      </c>
      <c r="F324" t="s">
        <v>21</v>
      </c>
      <c r="G324" t="s">
        <v>22</v>
      </c>
      <c r="H324" t="s">
        <v>25</v>
      </c>
      <c r="I324">
        <v>601</v>
      </c>
      <c r="J324">
        <v>4</v>
      </c>
      <c r="K324">
        <v>0.19</v>
      </c>
      <c r="L324">
        <v>-310</v>
      </c>
      <c r="M324" t="s">
        <v>31</v>
      </c>
      <c r="N324">
        <v>1947.24</v>
      </c>
      <c r="O324" t="str">
        <f>TEXT(SalesData[[#This Row],[Order_Date]],"mmm")</f>
        <v>Nov</v>
      </c>
      <c r="P324">
        <f>YEAR(SalesData[[#This Row],[Order_Date]])</f>
        <v>2024</v>
      </c>
      <c r="Q324" t="str">
        <f>"Q"&amp;ROUNDUP(MONTH(SalesData[[#This Row],[Order_Date]])/3,0)</f>
        <v>Q4</v>
      </c>
      <c r="R324" s="2">
        <f>IFERROR(SalesData[[#This Row],[Profit]]/SalesData[[#This Row],[Sales]],0)</f>
        <v>-0.15919968776319304</v>
      </c>
      <c r="S324" s="2">
        <f>SalesData[[#This Row],[Price]]*SalesData[[#This Row],[Quantity]]*SalesData[[#This Row],[Discount]]</f>
        <v>456.76</v>
      </c>
      <c r="T324" s="2" t="str">
        <f>IF(SalesData[[#This Row],[Sales]]&gt;5000,"High",IF(SalesData[[#This Row],[Sales]]&gt;2000,"Medium","Low"))</f>
        <v>Low</v>
      </c>
      <c r="U324" s="2" t="str">
        <f>IF(COUNTIFS(SalesData[Customer_ID],SalesData[[#This Row],[Customer_ID]])&gt;1,"Repeat","New")</f>
        <v>Repeat</v>
      </c>
      <c r="V324" s="2" t="str">
        <f>IF(SalesData[[#This Row],[Sales]]&gt;AVERAGE(SalesData[Sales]),"Above Avg","Below Avg")</f>
        <v>Below Avg</v>
      </c>
      <c r="W324" s="2" t="str">
        <f>IF(SalesData[[#This Row],[Profit]]&gt;0,"Profit","Loss")</f>
        <v>Loss</v>
      </c>
      <c r="X324" s="2">
        <f>RANK(SalesData[[#This Row],[Sales]],SalesData[Sales])</f>
        <v>433</v>
      </c>
    </row>
    <row r="325" spans="1:24" x14ac:dyDescent="0.3">
      <c r="A325">
        <v>324</v>
      </c>
      <c r="B325" s="1">
        <v>45615</v>
      </c>
      <c r="C325">
        <v>1025</v>
      </c>
      <c r="D325" t="s">
        <v>133</v>
      </c>
      <c r="E325" t="s">
        <v>24</v>
      </c>
      <c r="F325" t="s">
        <v>16</v>
      </c>
      <c r="G325" t="s">
        <v>34</v>
      </c>
      <c r="H325" t="s">
        <v>29</v>
      </c>
      <c r="I325">
        <v>1554</v>
      </c>
      <c r="J325">
        <v>2</v>
      </c>
      <c r="K325">
        <v>0.09</v>
      </c>
      <c r="L325">
        <v>1816</v>
      </c>
      <c r="M325" t="s">
        <v>31</v>
      </c>
      <c r="N325">
        <v>2828.28</v>
      </c>
      <c r="O325" t="str">
        <f>TEXT(SalesData[[#This Row],[Order_Date]],"mmm")</f>
        <v>Nov</v>
      </c>
      <c r="P325">
        <f>YEAR(SalesData[[#This Row],[Order_Date]])</f>
        <v>2024</v>
      </c>
      <c r="Q325" t="str">
        <f>"Q"&amp;ROUNDUP(MONTH(SalesData[[#This Row],[Order_Date]])/3,0)</f>
        <v>Q4</v>
      </c>
      <c r="R325" s="2">
        <f>IFERROR(SalesData[[#This Row],[Profit]]/SalesData[[#This Row],[Sales]],0)</f>
        <v>0.64208635637207057</v>
      </c>
      <c r="S325" s="2">
        <f>SalesData[[#This Row],[Price]]*SalesData[[#This Row],[Quantity]]*SalesData[[#This Row],[Discount]]</f>
        <v>279.71999999999997</v>
      </c>
      <c r="T325" s="2" t="str">
        <f>IF(SalesData[[#This Row],[Sales]]&gt;5000,"High",IF(SalesData[[#This Row],[Sales]]&gt;2000,"Medium","Low"))</f>
        <v>Medium</v>
      </c>
      <c r="U325" s="2" t="str">
        <f>IF(COUNTIFS(SalesData[Customer_ID],SalesData[[#This Row],[Customer_ID]])&gt;1,"Repeat","New")</f>
        <v>Repeat</v>
      </c>
      <c r="V325" s="2" t="str">
        <f>IF(SalesData[[#This Row],[Sales]]&gt;AVERAGE(SalesData[Sales]),"Above Avg","Below Avg")</f>
        <v>Below Avg</v>
      </c>
      <c r="W325" s="2" t="str">
        <f>IF(SalesData[[#This Row],[Profit]]&gt;0,"Profit","Loss")</f>
        <v>Profit</v>
      </c>
      <c r="X325" s="2">
        <f>RANK(SalesData[[#This Row],[Sales]],SalesData[Sales])</f>
        <v>398</v>
      </c>
    </row>
    <row r="326" spans="1:24" x14ac:dyDescent="0.3">
      <c r="A326">
        <v>325</v>
      </c>
      <c r="B326" s="1">
        <v>45616</v>
      </c>
      <c r="C326">
        <v>1097</v>
      </c>
      <c r="D326" t="s">
        <v>194</v>
      </c>
      <c r="E326" t="s">
        <v>15</v>
      </c>
      <c r="F326" t="s">
        <v>16</v>
      </c>
      <c r="G326" t="s">
        <v>34</v>
      </c>
      <c r="H326" t="s">
        <v>37</v>
      </c>
      <c r="I326">
        <v>4379</v>
      </c>
      <c r="J326">
        <v>5</v>
      </c>
      <c r="K326">
        <v>0.17</v>
      </c>
      <c r="L326">
        <v>884</v>
      </c>
      <c r="M326" t="s">
        <v>19</v>
      </c>
      <c r="N326">
        <v>18172.849999999999</v>
      </c>
      <c r="O326" t="str">
        <f>TEXT(SalesData[[#This Row],[Order_Date]],"mmm")</f>
        <v>Nov</v>
      </c>
      <c r="P326">
        <f>YEAR(SalesData[[#This Row],[Order_Date]])</f>
        <v>2024</v>
      </c>
      <c r="Q326" t="str">
        <f>"Q"&amp;ROUNDUP(MONTH(SalesData[[#This Row],[Order_Date]])/3,0)</f>
        <v>Q4</v>
      </c>
      <c r="R326" s="2">
        <f>IFERROR(SalesData[[#This Row],[Profit]]/SalesData[[#This Row],[Sales]],0)</f>
        <v>4.8643993649867802E-2</v>
      </c>
      <c r="S326" s="2">
        <f>SalesData[[#This Row],[Price]]*SalesData[[#This Row],[Quantity]]*SalesData[[#This Row],[Discount]]</f>
        <v>3722.15</v>
      </c>
      <c r="T326" s="2" t="str">
        <f>IF(SalesData[[#This Row],[Sales]]&gt;5000,"High",IF(SalesData[[#This Row],[Sales]]&gt;2000,"Medium","Low"))</f>
        <v>High</v>
      </c>
      <c r="U326" s="2" t="str">
        <f>IF(COUNTIFS(SalesData[Customer_ID],SalesData[[#This Row],[Customer_ID]])&gt;1,"Repeat","New")</f>
        <v>Repeat</v>
      </c>
      <c r="V326" s="2" t="str">
        <f>IF(SalesData[[#This Row],[Sales]]&gt;AVERAGE(SalesData[Sales]),"Above Avg","Below Avg")</f>
        <v>Above Avg</v>
      </c>
      <c r="W326" s="2" t="str">
        <f>IF(SalesData[[#This Row],[Profit]]&gt;0,"Profit","Loss")</f>
        <v>Profit</v>
      </c>
      <c r="X326" s="2">
        <f>RANK(SalesData[[#This Row],[Sales]],SalesData[Sales])</f>
        <v>90</v>
      </c>
    </row>
    <row r="327" spans="1:24" x14ac:dyDescent="0.3">
      <c r="A327">
        <v>326</v>
      </c>
      <c r="B327" s="1">
        <v>45617</v>
      </c>
      <c r="C327">
        <v>1093</v>
      </c>
      <c r="D327" t="s">
        <v>96</v>
      </c>
      <c r="E327" t="s">
        <v>24</v>
      </c>
      <c r="F327" t="s">
        <v>21</v>
      </c>
      <c r="G327" t="s">
        <v>22</v>
      </c>
      <c r="H327" t="s">
        <v>37</v>
      </c>
      <c r="I327">
        <v>635</v>
      </c>
      <c r="J327">
        <v>3</v>
      </c>
      <c r="K327">
        <v>0.21</v>
      </c>
      <c r="L327">
        <v>895</v>
      </c>
      <c r="M327" t="s">
        <v>26</v>
      </c>
      <c r="N327">
        <v>1504.95</v>
      </c>
      <c r="O327" t="str">
        <f>TEXT(SalesData[[#This Row],[Order_Date]],"mmm")</f>
        <v>Nov</v>
      </c>
      <c r="P327">
        <f>YEAR(SalesData[[#This Row],[Order_Date]])</f>
        <v>2024</v>
      </c>
      <c r="Q327" t="str">
        <f>"Q"&amp;ROUNDUP(MONTH(SalesData[[#This Row],[Order_Date]])/3,0)</f>
        <v>Q4</v>
      </c>
      <c r="R327" s="2">
        <f>IFERROR(SalesData[[#This Row],[Profit]]/SalesData[[#This Row],[Sales]],0)</f>
        <v>0.59470414299478391</v>
      </c>
      <c r="S327" s="2">
        <f>SalesData[[#This Row],[Price]]*SalesData[[#This Row],[Quantity]]*SalesData[[#This Row],[Discount]]</f>
        <v>400.05</v>
      </c>
      <c r="T327" s="2" t="str">
        <f>IF(SalesData[[#This Row],[Sales]]&gt;5000,"High",IF(SalesData[[#This Row],[Sales]]&gt;2000,"Medium","Low"))</f>
        <v>Low</v>
      </c>
      <c r="U327" s="2" t="str">
        <f>IF(COUNTIFS(SalesData[Customer_ID],SalesData[[#This Row],[Customer_ID]])&gt;1,"Repeat","New")</f>
        <v>Repeat</v>
      </c>
      <c r="V327" s="2" t="str">
        <f>IF(SalesData[[#This Row],[Sales]]&gt;AVERAGE(SalesData[Sales]),"Above Avg","Below Avg")</f>
        <v>Below Avg</v>
      </c>
      <c r="W327" s="2" t="str">
        <f>IF(SalesData[[#This Row],[Profit]]&gt;0,"Profit","Loss")</f>
        <v>Profit</v>
      </c>
      <c r="X327" s="2">
        <f>RANK(SalesData[[#This Row],[Sales]],SalesData[Sales])</f>
        <v>457</v>
      </c>
    </row>
    <row r="328" spans="1:24" x14ac:dyDescent="0.3">
      <c r="A328">
        <v>327</v>
      </c>
      <c r="B328" s="1">
        <v>45618</v>
      </c>
      <c r="C328">
        <v>1070</v>
      </c>
      <c r="D328" t="s">
        <v>20</v>
      </c>
      <c r="E328" t="s">
        <v>15</v>
      </c>
      <c r="F328" t="s">
        <v>21</v>
      </c>
      <c r="G328" t="s">
        <v>34</v>
      </c>
      <c r="H328" t="s">
        <v>29</v>
      </c>
      <c r="I328">
        <v>2260</v>
      </c>
      <c r="J328">
        <v>3</v>
      </c>
      <c r="K328">
        <v>0.11</v>
      </c>
      <c r="L328">
        <v>1691</v>
      </c>
      <c r="M328" t="s">
        <v>19</v>
      </c>
      <c r="N328">
        <v>6034.2</v>
      </c>
      <c r="O328" t="str">
        <f>TEXT(SalesData[[#This Row],[Order_Date]],"mmm")</f>
        <v>Nov</v>
      </c>
      <c r="P328">
        <f>YEAR(SalesData[[#This Row],[Order_Date]])</f>
        <v>2024</v>
      </c>
      <c r="Q328" t="str">
        <f>"Q"&amp;ROUNDUP(MONTH(SalesData[[#This Row],[Order_Date]])/3,0)</f>
        <v>Q4</v>
      </c>
      <c r="R328" s="2">
        <f>IFERROR(SalesData[[#This Row],[Profit]]/SalesData[[#This Row],[Sales]],0)</f>
        <v>0.28023598820058998</v>
      </c>
      <c r="S328" s="2">
        <f>SalesData[[#This Row],[Price]]*SalesData[[#This Row],[Quantity]]*SalesData[[#This Row],[Discount]]</f>
        <v>745.8</v>
      </c>
      <c r="T328" s="2" t="str">
        <f>IF(SalesData[[#This Row],[Sales]]&gt;5000,"High",IF(SalesData[[#This Row],[Sales]]&gt;2000,"Medium","Low"))</f>
        <v>High</v>
      </c>
      <c r="U328" s="2" t="str">
        <f>IF(COUNTIFS(SalesData[Customer_ID],SalesData[[#This Row],[Customer_ID]])&gt;1,"Repeat","New")</f>
        <v>Repeat</v>
      </c>
      <c r="V328" s="2" t="str">
        <f>IF(SalesData[[#This Row],[Sales]]&gt;AVERAGE(SalesData[Sales]),"Above Avg","Below Avg")</f>
        <v>Below Avg</v>
      </c>
      <c r="W328" s="2" t="str">
        <f>IF(SalesData[[#This Row],[Profit]]&gt;0,"Profit","Loss")</f>
        <v>Profit</v>
      </c>
      <c r="X328" s="2">
        <f>RANK(SalesData[[#This Row],[Sales]],SalesData[Sales])</f>
        <v>295</v>
      </c>
    </row>
    <row r="329" spans="1:24" x14ac:dyDescent="0.3">
      <c r="A329">
        <v>328</v>
      </c>
      <c r="B329" s="1">
        <v>45619</v>
      </c>
      <c r="C329">
        <v>1058</v>
      </c>
      <c r="D329" t="s">
        <v>168</v>
      </c>
      <c r="E329" t="s">
        <v>15</v>
      </c>
      <c r="F329" t="s">
        <v>28</v>
      </c>
      <c r="G329" t="s">
        <v>34</v>
      </c>
      <c r="H329" t="s">
        <v>37</v>
      </c>
      <c r="I329">
        <v>4341</v>
      </c>
      <c r="J329">
        <v>7</v>
      </c>
      <c r="K329">
        <v>0.08</v>
      </c>
      <c r="L329">
        <v>-164</v>
      </c>
      <c r="M329" t="s">
        <v>31</v>
      </c>
      <c r="N329">
        <v>27956.04</v>
      </c>
      <c r="O329" t="str">
        <f>TEXT(SalesData[[#This Row],[Order_Date]],"mmm")</f>
        <v>Nov</v>
      </c>
      <c r="P329">
        <f>YEAR(SalesData[[#This Row],[Order_Date]])</f>
        <v>2024</v>
      </c>
      <c r="Q329" t="str">
        <f>"Q"&amp;ROUNDUP(MONTH(SalesData[[#This Row],[Order_Date]])/3,0)</f>
        <v>Q4</v>
      </c>
      <c r="R329" s="2">
        <f>IFERROR(SalesData[[#This Row],[Profit]]/SalesData[[#This Row],[Sales]],0)</f>
        <v>-5.8663530314021581E-3</v>
      </c>
      <c r="S329" s="2">
        <f>SalesData[[#This Row],[Price]]*SalesData[[#This Row],[Quantity]]*SalesData[[#This Row],[Discount]]</f>
        <v>2430.96</v>
      </c>
      <c r="T329" s="2" t="str">
        <f>IF(SalesData[[#This Row],[Sales]]&gt;5000,"High",IF(SalesData[[#This Row],[Sales]]&gt;2000,"Medium","Low"))</f>
        <v>High</v>
      </c>
      <c r="U329" s="2" t="str">
        <f>IF(COUNTIFS(SalesData[Customer_ID],SalesData[[#This Row],[Customer_ID]])&gt;1,"Repeat","New")</f>
        <v>Repeat</v>
      </c>
      <c r="V329" s="2" t="str">
        <f>IF(SalesData[[#This Row],[Sales]]&gt;AVERAGE(SalesData[Sales]),"Above Avg","Below Avg")</f>
        <v>Above Avg</v>
      </c>
      <c r="W329" s="2" t="str">
        <f>IF(SalesData[[#This Row],[Profit]]&gt;0,"Profit","Loss")</f>
        <v>Loss</v>
      </c>
      <c r="X329" s="2">
        <f>RANK(SalesData[[#This Row],[Sales]],SalesData[Sales])</f>
        <v>32</v>
      </c>
    </row>
    <row r="330" spans="1:24" x14ac:dyDescent="0.3">
      <c r="A330">
        <v>329</v>
      </c>
      <c r="B330" s="1">
        <v>45620</v>
      </c>
      <c r="C330">
        <v>1029</v>
      </c>
      <c r="D330" t="s">
        <v>197</v>
      </c>
      <c r="E330" t="s">
        <v>15</v>
      </c>
      <c r="F330" t="s">
        <v>28</v>
      </c>
      <c r="G330" t="s">
        <v>17</v>
      </c>
      <c r="H330" t="s">
        <v>37</v>
      </c>
      <c r="I330">
        <v>2929</v>
      </c>
      <c r="J330">
        <v>6</v>
      </c>
      <c r="K330">
        <v>0.08</v>
      </c>
      <c r="L330">
        <v>122</v>
      </c>
      <c r="M330" t="s">
        <v>31</v>
      </c>
      <c r="N330">
        <v>16168.08</v>
      </c>
      <c r="O330" t="str">
        <f>TEXT(SalesData[[#This Row],[Order_Date]],"mmm")</f>
        <v>Nov</v>
      </c>
      <c r="P330">
        <f>YEAR(SalesData[[#This Row],[Order_Date]])</f>
        <v>2024</v>
      </c>
      <c r="Q330" t="str">
        <f>"Q"&amp;ROUNDUP(MONTH(SalesData[[#This Row],[Order_Date]])/3,0)</f>
        <v>Q4</v>
      </c>
      <c r="R330" s="2">
        <f>IFERROR(SalesData[[#This Row],[Profit]]/SalesData[[#This Row],[Sales]],0)</f>
        <v>7.5457320844528235E-3</v>
      </c>
      <c r="S330" s="2">
        <f>SalesData[[#This Row],[Price]]*SalesData[[#This Row],[Quantity]]*SalesData[[#This Row],[Discount]]</f>
        <v>1405.92</v>
      </c>
      <c r="T330" s="2" t="str">
        <f>IF(SalesData[[#This Row],[Sales]]&gt;5000,"High",IF(SalesData[[#This Row],[Sales]]&gt;2000,"Medium","Low"))</f>
        <v>High</v>
      </c>
      <c r="U330" s="2" t="str">
        <f>IF(COUNTIFS(SalesData[Customer_ID],SalesData[[#This Row],[Customer_ID]])&gt;1,"Repeat","New")</f>
        <v>Repeat</v>
      </c>
      <c r="V330" s="2" t="str">
        <f>IF(SalesData[[#This Row],[Sales]]&gt;AVERAGE(SalesData[Sales]),"Above Avg","Below Avg")</f>
        <v>Above Avg</v>
      </c>
      <c r="W330" s="2" t="str">
        <f>IF(SalesData[[#This Row],[Profit]]&gt;0,"Profit","Loss")</f>
        <v>Profit</v>
      </c>
      <c r="X330" s="2">
        <f>RANK(SalesData[[#This Row],[Sales]],SalesData[Sales])</f>
        <v>123</v>
      </c>
    </row>
    <row r="331" spans="1:24" x14ac:dyDescent="0.3">
      <c r="A331">
        <v>330</v>
      </c>
      <c r="B331" s="1">
        <v>45621</v>
      </c>
      <c r="C331">
        <v>1081</v>
      </c>
      <c r="D331" t="s">
        <v>164</v>
      </c>
      <c r="E331" t="s">
        <v>24</v>
      </c>
      <c r="F331" t="s">
        <v>33</v>
      </c>
      <c r="G331" t="s">
        <v>34</v>
      </c>
      <c r="H331" t="s">
        <v>18</v>
      </c>
      <c r="I331">
        <v>4483</v>
      </c>
      <c r="J331">
        <v>3</v>
      </c>
      <c r="K331">
        <v>0.28000000000000003</v>
      </c>
      <c r="L331">
        <v>1527</v>
      </c>
      <c r="M331" t="s">
        <v>26</v>
      </c>
      <c r="N331">
        <v>9683.2799999999897</v>
      </c>
      <c r="O331" t="str">
        <f>TEXT(SalesData[[#This Row],[Order_Date]],"mmm")</f>
        <v>Nov</v>
      </c>
      <c r="P331">
        <f>YEAR(SalesData[[#This Row],[Order_Date]])</f>
        <v>2024</v>
      </c>
      <c r="Q331" t="str">
        <f>"Q"&amp;ROUNDUP(MONTH(SalesData[[#This Row],[Order_Date]])/3,0)</f>
        <v>Q4</v>
      </c>
      <c r="R331" s="2">
        <f>IFERROR(SalesData[[#This Row],[Profit]]/SalesData[[#This Row],[Sales]],0)</f>
        <v>0.15769450021067258</v>
      </c>
      <c r="S331" s="2">
        <f>SalesData[[#This Row],[Price]]*SalesData[[#This Row],[Quantity]]*SalesData[[#This Row],[Discount]]</f>
        <v>3765.7200000000003</v>
      </c>
      <c r="T331" s="2" t="str">
        <f>IF(SalesData[[#This Row],[Sales]]&gt;5000,"High",IF(SalesData[[#This Row],[Sales]]&gt;2000,"Medium","Low"))</f>
        <v>High</v>
      </c>
      <c r="U331" s="2" t="str">
        <f>IF(COUNTIFS(SalesData[Customer_ID],SalesData[[#This Row],[Customer_ID]])&gt;1,"Repeat","New")</f>
        <v>Repeat</v>
      </c>
      <c r="V331" s="2" t="str">
        <f>IF(SalesData[[#This Row],[Sales]]&gt;AVERAGE(SalesData[Sales]),"Above Avg","Below Avg")</f>
        <v>Below Avg</v>
      </c>
      <c r="W331" s="2" t="str">
        <f>IF(SalesData[[#This Row],[Profit]]&gt;0,"Profit","Loss")</f>
        <v>Profit</v>
      </c>
      <c r="X331" s="2">
        <f>RANK(SalesData[[#This Row],[Sales]],SalesData[Sales])</f>
        <v>209</v>
      </c>
    </row>
    <row r="332" spans="1:24" x14ac:dyDescent="0.3">
      <c r="A332">
        <v>331</v>
      </c>
      <c r="B332" s="1">
        <v>45622</v>
      </c>
      <c r="C332">
        <v>1021</v>
      </c>
      <c r="D332" t="s">
        <v>137</v>
      </c>
      <c r="E332" t="s">
        <v>24</v>
      </c>
      <c r="F332" t="s">
        <v>16</v>
      </c>
      <c r="G332" t="s">
        <v>17</v>
      </c>
      <c r="H332" t="s">
        <v>37</v>
      </c>
      <c r="I332">
        <v>1725</v>
      </c>
      <c r="J332">
        <v>9</v>
      </c>
      <c r="K332">
        <v>0.19</v>
      </c>
      <c r="L332">
        <v>508</v>
      </c>
      <c r="M332" t="s">
        <v>31</v>
      </c>
      <c r="N332">
        <v>12575.25</v>
      </c>
      <c r="O332" t="str">
        <f>TEXT(SalesData[[#This Row],[Order_Date]],"mmm")</f>
        <v>Nov</v>
      </c>
      <c r="P332">
        <f>YEAR(SalesData[[#This Row],[Order_Date]])</f>
        <v>2024</v>
      </c>
      <c r="Q332" t="str">
        <f>"Q"&amp;ROUNDUP(MONTH(SalesData[[#This Row],[Order_Date]])/3,0)</f>
        <v>Q4</v>
      </c>
      <c r="R332" s="2">
        <f>IFERROR(SalesData[[#This Row],[Profit]]/SalesData[[#This Row],[Sales]],0)</f>
        <v>4.0396811196596487E-2</v>
      </c>
      <c r="S332" s="2">
        <f>SalesData[[#This Row],[Price]]*SalesData[[#This Row],[Quantity]]*SalesData[[#This Row],[Discount]]</f>
        <v>2949.75</v>
      </c>
      <c r="T332" s="2" t="str">
        <f>IF(SalesData[[#This Row],[Sales]]&gt;5000,"High",IF(SalesData[[#This Row],[Sales]]&gt;2000,"Medium","Low"))</f>
        <v>High</v>
      </c>
      <c r="U332" s="2" t="str">
        <f>IF(COUNTIFS(SalesData[Customer_ID],SalesData[[#This Row],[Customer_ID]])&gt;1,"Repeat","New")</f>
        <v>Repeat</v>
      </c>
      <c r="V332" s="2" t="str">
        <f>IF(SalesData[[#This Row],[Sales]]&gt;AVERAGE(SalesData[Sales]),"Above Avg","Below Avg")</f>
        <v>Above Avg</v>
      </c>
      <c r="W332" s="2" t="str">
        <f>IF(SalesData[[#This Row],[Profit]]&gt;0,"Profit","Loss")</f>
        <v>Profit</v>
      </c>
      <c r="X332" s="2">
        <f>RANK(SalesData[[#This Row],[Sales]],SalesData[Sales])</f>
        <v>162</v>
      </c>
    </row>
    <row r="333" spans="1:24" x14ac:dyDescent="0.3">
      <c r="A333">
        <v>332</v>
      </c>
      <c r="B333" s="1">
        <v>45623</v>
      </c>
      <c r="C333">
        <v>1016</v>
      </c>
      <c r="D333" t="s">
        <v>48</v>
      </c>
      <c r="E333" t="s">
        <v>15</v>
      </c>
      <c r="F333" t="s">
        <v>16</v>
      </c>
      <c r="G333" t="s">
        <v>34</v>
      </c>
      <c r="H333" t="s">
        <v>29</v>
      </c>
      <c r="I333">
        <v>4547</v>
      </c>
      <c r="J333">
        <v>7</v>
      </c>
      <c r="K333">
        <v>0.23</v>
      </c>
      <c r="L333">
        <v>695</v>
      </c>
      <c r="M333" t="s">
        <v>19</v>
      </c>
      <c r="N333">
        <v>24508.33</v>
      </c>
      <c r="O333" t="str">
        <f>TEXT(SalesData[[#This Row],[Order_Date]],"mmm")</f>
        <v>Nov</v>
      </c>
      <c r="P333">
        <f>YEAR(SalesData[[#This Row],[Order_Date]])</f>
        <v>2024</v>
      </c>
      <c r="Q333" t="str">
        <f>"Q"&amp;ROUNDUP(MONTH(SalesData[[#This Row],[Order_Date]])/3,0)</f>
        <v>Q4</v>
      </c>
      <c r="R333" s="2">
        <f>IFERROR(SalesData[[#This Row],[Profit]]/SalesData[[#This Row],[Sales]],0)</f>
        <v>2.8357705318967058E-2</v>
      </c>
      <c r="S333" s="2">
        <f>SalesData[[#This Row],[Price]]*SalesData[[#This Row],[Quantity]]*SalesData[[#This Row],[Discount]]</f>
        <v>7320.67</v>
      </c>
      <c r="T333" s="2" t="str">
        <f>IF(SalesData[[#This Row],[Sales]]&gt;5000,"High",IF(SalesData[[#This Row],[Sales]]&gt;2000,"Medium","Low"))</f>
        <v>High</v>
      </c>
      <c r="U333" s="2" t="str">
        <f>IF(COUNTIFS(SalesData[Customer_ID],SalesData[[#This Row],[Customer_ID]])&gt;1,"Repeat","New")</f>
        <v>Repeat</v>
      </c>
      <c r="V333" s="2" t="str">
        <f>IF(SalesData[[#This Row],[Sales]]&gt;AVERAGE(SalesData[Sales]),"Above Avg","Below Avg")</f>
        <v>Above Avg</v>
      </c>
      <c r="W333" s="2" t="str">
        <f>IF(SalesData[[#This Row],[Profit]]&gt;0,"Profit","Loss")</f>
        <v>Profit</v>
      </c>
      <c r="X333" s="2">
        <f>RANK(SalesData[[#This Row],[Sales]],SalesData[Sales])</f>
        <v>47</v>
      </c>
    </row>
    <row r="334" spans="1:24" x14ac:dyDescent="0.3">
      <c r="A334">
        <v>333</v>
      </c>
      <c r="B334" s="1">
        <v>45624</v>
      </c>
      <c r="C334">
        <v>1030</v>
      </c>
      <c r="D334" t="s">
        <v>14</v>
      </c>
      <c r="E334" t="s">
        <v>15</v>
      </c>
      <c r="F334" t="s">
        <v>16</v>
      </c>
      <c r="G334" t="s">
        <v>17</v>
      </c>
      <c r="H334" t="s">
        <v>29</v>
      </c>
      <c r="I334">
        <v>2252</v>
      </c>
      <c r="J334">
        <v>8</v>
      </c>
      <c r="K334">
        <v>0.17</v>
      </c>
      <c r="L334">
        <v>1739</v>
      </c>
      <c r="M334" t="s">
        <v>26</v>
      </c>
      <c r="N334">
        <v>14953.279999999901</v>
      </c>
      <c r="O334" t="str">
        <f>TEXT(SalesData[[#This Row],[Order_Date]],"mmm")</f>
        <v>Nov</v>
      </c>
      <c r="P334">
        <f>YEAR(SalesData[[#This Row],[Order_Date]])</f>
        <v>2024</v>
      </c>
      <c r="Q334" t="str">
        <f>"Q"&amp;ROUNDUP(MONTH(SalesData[[#This Row],[Order_Date]])/3,0)</f>
        <v>Q4</v>
      </c>
      <c r="R334" s="2">
        <f>IFERROR(SalesData[[#This Row],[Profit]]/SalesData[[#This Row],[Sales]],0)</f>
        <v>0.11629555522266764</v>
      </c>
      <c r="S334" s="2">
        <f>SalesData[[#This Row],[Price]]*SalesData[[#This Row],[Quantity]]*SalesData[[#This Row],[Discount]]</f>
        <v>3062.7200000000003</v>
      </c>
      <c r="T334" s="2" t="str">
        <f>IF(SalesData[[#This Row],[Sales]]&gt;5000,"High",IF(SalesData[[#This Row],[Sales]]&gt;2000,"Medium","Low"))</f>
        <v>High</v>
      </c>
      <c r="U334" s="2" t="str">
        <f>IF(COUNTIFS(SalesData[Customer_ID],SalesData[[#This Row],[Customer_ID]])&gt;1,"Repeat","New")</f>
        <v>Repeat</v>
      </c>
      <c r="V334" s="2" t="str">
        <f>IF(SalesData[[#This Row],[Sales]]&gt;AVERAGE(SalesData[Sales]),"Above Avg","Below Avg")</f>
        <v>Above Avg</v>
      </c>
      <c r="W334" s="2" t="str">
        <f>IF(SalesData[[#This Row],[Profit]]&gt;0,"Profit","Loss")</f>
        <v>Profit</v>
      </c>
      <c r="X334" s="2">
        <f>RANK(SalesData[[#This Row],[Sales]],SalesData[Sales])</f>
        <v>140</v>
      </c>
    </row>
    <row r="335" spans="1:24" x14ac:dyDescent="0.3">
      <c r="A335">
        <v>334</v>
      </c>
      <c r="B335" s="1">
        <v>45625</v>
      </c>
      <c r="C335">
        <v>1055</v>
      </c>
      <c r="D335" t="s">
        <v>40</v>
      </c>
      <c r="E335" t="s">
        <v>24</v>
      </c>
      <c r="F335" t="s">
        <v>28</v>
      </c>
      <c r="G335" t="s">
        <v>22</v>
      </c>
      <c r="H335" t="s">
        <v>29</v>
      </c>
      <c r="I335">
        <v>3427</v>
      </c>
      <c r="J335">
        <v>4</v>
      </c>
      <c r="K335">
        <v>0.19</v>
      </c>
      <c r="L335">
        <v>922</v>
      </c>
      <c r="M335" t="s">
        <v>26</v>
      </c>
      <c r="N335">
        <v>11103.48</v>
      </c>
      <c r="O335" t="str">
        <f>TEXT(SalesData[[#This Row],[Order_Date]],"mmm")</f>
        <v>Nov</v>
      </c>
      <c r="P335">
        <f>YEAR(SalesData[[#This Row],[Order_Date]])</f>
        <v>2024</v>
      </c>
      <c r="Q335" t="str">
        <f>"Q"&amp;ROUNDUP(MONTH(SalesData[[#This Row],[Order_Date]])/3,0)</f>
        <v>Q4</v>
      </c>
      <c r="R335" s="2">
        <f>IFERROR(SalesData[[#This Row],[Profit]]/SalesData[[#This Row],[Sales]],0)</f>
        <v>8.3037029832088688E-2</v>
      </c>
      <c r="S335" s="2">
        <f>SalesData[[#This Row],[Price]]*SalesData[[#This Row],[Quantity]]*SalesData[[#This Row],[Discount]]</f>
        <v>2604.52</v>
      </c>
      <c r="T335" s="2" t="str">
        <f>IF(SalesData[[#This Row],[Sales]]&gt;5000,"High",IF(SalesData[[#This Row],[Sales]]&gt;2000,"Medium","Low"))</f>
        <v>High</v>
      </c>
      <c r="U335" s="2" t="str">
        <f>IF(COUNTIFS(SalesData[Customer_ID],SalesData[[#This Row],[Customer_ID]])&gt;1,"Repeat","New")</f>
        <v>Repeat</v>
      </c>
      <c r="V335" s="2" t="str">
        <f>IF(SalesData[[#This Row],[Sales]]&gt;AVERAGE(SalesData[Sales]),"Above Avg","Below Avg")</f>
        <v>Above Avg</v>
      </c>
      <c r="W335" s="2" t="str">
        <f>IF(SalesData[[#This Row],[Profit]]&gt;0,"Profit","Loss")</f>
        <v>Profit</v>
      </c>
      <c r="X335" s="2">
        <f>RANK(SalesData[[#This Row],[Sales]],SalesData[Sales])</f>
        <v>188</v>
      </c>
    </row>
    <row r="336" spans="1:24" x14ac:dyDescent="0.3">
      <c r="A336">
        <v>335</v>
      </c>
      <c r="B336" s="1">
        <v>45626</v>
      </c>
      <c r="C336">
        <v>1080</v>
      </c>
      <c r="D336" t="s">
        <v>198</v>
      </c>
      <c r="E336" t="s">
        <v>15</v>
      </c>
      <c r="F336" t="s">
        <v>33</v>
      </c>
      <c r="G336" t="s">
        <v>22</v>
      </c>
      <c r="H336" t="s">
        <v>18</v>
      </c>
      <c r="I336">
        <v>370</v>
      </c>
      <c r="J336">
        <v>7</v>
      </c>
      <c r="K336">
        <v>0.08</v>
      </c>
      <c r="L336">
        <v>1381</v>
      </c>
      <c r="M336" t="s">
        <v>26</v>
      </c>
      <c r="N336">
        <v>2382.8000000000002</v>
      </c>
      <c r="O336" t="str">
        <f>TEXT(SalesData[[#This Row],[Order_Date]],"mmm")</f>
        <v>Nov</v>
      </c>
      <c r="P336">
        <f>YEAR(SalesData[[#This Row],[Order_Date]])</f>
        <v>2024</v>
      </c>
      <c r="Q336" t="str">
        <f>"Q"&amp;ROUNDUP(MONTH(SalesData[[#This Row],[Order_Date]])/3,0)</f>
        <v>Q4</v>
      </c>
      <c r="R336" s="2">
        <f>IFERROR(SalesData[[#This Row],[Profit]]/SalesData[[#This Row],[Sales]],0)</f>
        <v>0.57957025348329694</v>
      </c>
      <c r="S336" s="2">
        <f>SalesData[[#This Row],[Price]]*SalesData[[#This Row],[Quantity]]*SalesData[[#This Row],[Discount]]</f>
        <v>207.20000000000002</v>
      </c>
      <c r="T336" s="2" t="str">
        <f>IF(SalesData[[#This Row],[Sales]]&gt;5000,"High",IF(SalesData[[#This Row],[Sales]]&gt;2000,"Medium","Low"))</f>
        <v>Medium</v>
      </c>
      <c r="U336" s="2" t="str">
        <f>IF(COUNTIFS(SalesData[Customer_ID],SalesData[[#This Row],[Customer_ID]])&gt;1,"Repeat","New")</f>
        <v>Repeat</v>
      </c>
      <c r="V336" s="2" t="str">
        <f>IF(SalesData[[#This Row],[Sales]]&gt;AVERAGE(SalesData[Sales]),"Above Avg","Below Avg")</f>
        <v>Below Avg</v>
      </c>
      <c r="W336" s="2" t="str">
        <f>IF(SalesData[[#This Row],[Profit]]&gt;0,"Profit","Loss")</f>
        <v>Profit</v>
      </c>
      <c r="X336" s="2">
        <f>RANK(SalesData[[#This Row],[Sales]],SalesData[Sales])</f>
        <v>413</v>
      </c>
    </row>
    <row r="337" spans="1:24" x14ac:dyDescent="0.3">
      <c r="A337">
        <v>336</v>
      </c>
      <c r="B337" s="1">
        <v>45627</v>
      </c>
      <c r="C337">
        <v>1030</v>
      </c>
      <c r="D337" t="s">
        <v>118</v>
      </c>
      <c r="E337" t="s">
        <v>15</v>
      </c>
      <c r="F337" t="s">
        <v>16</v>
      </c>
      <c r="G337" t="s">
        <v>17</v>
      </c>
      <c r="H337" t="s">
        <v>25</v>
      </c>
      <c r="I337">
        <v>4426</v>
      </c>
      <c r="J337">
        <v>9</v>
      </c>
      <c r="K337">
        <v>0.27</v>
      </c>
      <c r="L337">
        <v>-447</v>
      </c>
      <c r="M337" t="s">
        <v>26</v>
      </c>
      <c r="N337">
        <v>29078.82</v>
      </c>
      <c r="O337" t="str">
        <f>TEXT(SalesData[[#This Row],[Order_Date]],"mmm")</f>
        <v>Dec</v>
      </c>
      <c r="P337">
        <f>YEAR(SalesData[[#This Row],[Order_Date]])</f>
        <v>2024</v>
      </c>
      <c r="Q337" t="str">
        <f>"Q"&amp;ROUNDUP(MONTH(SalesData[[#This Row],[Order_Date]])/3,0)</f>
        <v>Q4</v>
      </c>
      <c r="R337" s="2">
        <f>IFERROR(SalesData[[#This Row],[Profit]]/SalesData[[#This Row],[Sales]],0)</f>
        <v>-1.537201303216568E-2</v>
      </c>
      <c r="S337" s="2">
        <f>SalesData[[#This Row],[Price]]*SalesData[[#This Row],[Quantity]]*SalesData[[#This Row],[Discount]]</f>
        <v>10755.18</v>
      </c>
      <c r="T337" s="2" t="str">
        <f>IF(SalesData[[#This Row],[Sales]]&gt;5000,"High",IF(SalesData[[#This Row],[Sales]]&gt;2000,"Medium","Low"))</f>
        <v>High</v>
      </c>
      <c r="U337" s="2" t="str">
        <f>IF(COUNTIFS(SalesData[Customer_ID],SalesData[[#This Row],[Customer_ID]])&gt;1,"Repeat","New")</f>
        <v>Repeat</v>
      </c>
      <c r="V337" s="2" t="str">
        <f>IF(SalesData[[#This Row],[Sales]]&gt;AVERAGE(SalesData[Sales]),"Above Avg","Below Avg")</f>
        <v>Above Avg</v>
      </c>
      <c r="W337" s="2" t="str">
        <f>IF(SalesData[[#This Row],[Profit]]&gt;0,"Profit","Loss")</f>
        <v>Loss</v>
      </c>
      <c r="X337" s="2">
        <f>RANK(SalesData[[#This Row],[Sales]],SalesData[Sales])</f>
        <v>26</v>
      </c>
    </row>
    <row r="338" spans="1:24" x14ac:dyDescent="0.3">
      <c r="A338">
        <v>337</v>
      </c>
      <c r="B338" s="1">
        <v>45628</v>
      </c>
      <c r="C338">
        <v>1012</v>
      </c>
      <c r="D338" t="s">
        <v>59</v>
      </c>
      <c r="E338" t="s">
        <v>24</v>
      </c>
      <c r="F338" t="s">
        <v>28</v>
      </c>
      <c r="G338" t="s">
        <v>22</v>
      </c>
      <c r="H338" t="s">
        <v>37</v>
      </c>
      <c r="I338">
        <v>3915</v>
      </c>
      <c r="J338">
        <v>8</v>
      </c>
      <c r="K338">
        <v>0.15</v>
      </c>
      <c r="L338">
        <v>-47</v>
      </c>
      <c r="M338" t="s">
        <v>26</v>
      </c>
      <c r="N338">
        <v>26622</v>
      </c>
      <c r="O338" t="str">
        <f>TEXT(SalesData[[#This Row],[Order_Date]],"mmm")</f>
        <v>Dec</v>
      </c>
      <c r="P338">
        <f>YEAR(SalesData[[#This Row],[Order_Date]])</f>
        <v>2024</v>
      </c>
      <c r="Q338" t="str">
        <f>"Q"&amp;ROUNDUP(MONTH(SalesData[[#This Row],[Order_Date]])/3,0)</f>
        <v>Q4</v>
      </c>
      <c r="R338" s="2">
        <f>IFERROR(SalesData[[#This Row],[Profit]]/SalesData[[#This Row],[Sales]],0)</f>
        <v>-1.7654571407106905E-3</v>
      </c>
      <c r="S338" s="2">
        <f>SalesData[[#This Row],[Price]]*SalesData[[#This Row],[Quantity]]*SalesData[[#This Row],[Discount]]</f>
        <v>4698</v>
      </c>
      <c r="T338" s="2" t="str">
        <f>IF(SalesData[[#This Row],[Sales]]&gt;5000,"High",IF(SalesData[[#This Row],[Sales]]&gt;2000,"Medium","Low"))</f>
        <v>High</v>
      </c>
      <c r="U338" s="2" t="str">
        <f>IF(COUNTIFS(SalesData[Customer_ID],SalesData[[#This Row],[Customer_ID]])&gt;1,"Repeat","New")</f>
        <v>Repeat</v>
      </c>
      <c r="V338" s="2" t="str">
        <f>IF(SalesData[[#This Row],[Sales]]&gt;AVERAGE(SalesData[Sales]),"Above Avg","Below Avg")</f>
        <v>Above Avg</v>
      </c>
      <c r="W338" s="2" t="str">
        <f>IF(SalesData[[#This Row],[Profit]]&gt;0,"Profit","Loss")</f>
        <v>Loss</v>
      </c>
      <c r="X338" s="2">
        <f>RANK(SalesData[[#This Row],[Sales]],SalesData[Sales])</f>
        <v>36</v>
      </c>
    </row>
    <row r="339" spans="1:24" x14ac:dyDescent="0.3">
      <c r="A339">
        <v>338</v>
      </c>
      <c r="B339" s="1">
        <v>45629</v>
      </c>
      <c r="C339">
        <v>1090</v>
      </c>
      <c r="D339" t="s">
        <v>195</v>
      </c>
      <c r="E339" t="s">
        <v>15</v>
      </c>
      <c r="F339" t="s">
        <v>33</v>
      </c>
      <c r="G339" t="s">
        <v>34</v>
      </c>
      <c r="H339" t="s">
        <v>29</v>
      </c>
      <c r="I339">
        <v>1456</v>
      </c>
      <c r="J339">
        <v>7</v>
      </c>
      <c r="K339">
        <v>0.24</v>
      </c>
      <c r="L339">
        <v>-31</v>
      </c>
      <c r="M339" t="s">
        <v>26</v>
      </c>
      <c r="N339">
        <v>7745.92</v>
      </c>
      <c r="O339" t="str">
        <f>TEXT(SalesData[[#This Row],[Order_Date]],"mmm")</f>
        <v>Dec</v>
      </c>
      <c r="P339">
        <f>YEAR(SalesData[[#This Row],[Order_Date]])</f>
        <v>2024</v>
      </c>
      <c r="Q339" t="str">
        <f>"Q"&amp;ROUNDUP(MONTH(SalesData[[#This Row],[Order_Date]])/3,0)</f>
        <v>Q4</v>
      </c>
      <c r="R339" s="2">
        <f>IFERROR(SalesData[[#This Row],[Profit]]/SalesData[[#This Row],[Sales]],0)</f>
        <v>-4.0021069156407499E-3</v>
      </c>
      <c r="S339" s="2">
        <f>SalesData[[#This Row],[Price]]*SalesData[[#This Row],[Quantity]]*SalesData[[#This Row],[Discount]]</f>
        <v>2446.08</v>
      </c>
      <c r="T339" s="2" t="str">
        <f>IF(SalesData[[#This Row],[Sales]]&gt;5000,"High",IF(SalesData[[#This Row],[Sales]]&gt;2000,"Medium","Low"))</f>
        <v>High</v>
      </c>
      <c r="U339" s="2" t="str">
        <f>IF(COUNTIFS(SalesData[Customer_ID],SalesData[[#This Row],[Customer_ID]])&gt;1,"Repeat","New")</f>
        <v>Repeat</v>
      </c>
      <c r="V339" s="2" t="str">
        <f>IF(SalesData[[#This Row],[Sales]]&gt;AVERAGE(SalesData[Sales]),"Above Avg","Below Avg")</f>
        <v>Below Avg</v>
      </c>
      <c r="W339" s="2" t="str">
        <f>IF(SalesData[[#This Row],[Profit]]&gt;0,"Profit","Loss")</f>
        <v>Loss</v>
      </c>
      <c r="X339" s="2">
        <f>RANK(SalesData[[#This Row],[Sales]],SalesData[Sales])</f>
        <v>258</v>
      </c>
    </row>
    <row r="340" spans="1:24" x14ac:dyDescent="0.3">
      <c r="A340">
        <v>339</v>
      </c>
      <c r="B340" s="1">
        <v>45630</v>
      </c>
      <c r="C340">
        <v>1083</v>
      </c>
      <c r="D340" t="s">
        <v>199</v>
      </c>
      <c r="E340" t="s">
        <v>24</v>
      </c>
      <c r="F340" t="s">
        <v>21</v>
      </c>
      <c r="G340" t="s">
        <v>17</v>
      </c>
      <c r="H340" t="s">
        <v>18</v>
      </c>
      <c r="I340">
        <v>4189</v>
      </c>
      <c r="J340">
        <v>5</v>
      </c>
      <c r="K340">
        <v>0.16</v>
      </c>
      <c r="L340">
        <v>798</v>
      </c>
      <c r="M340" t="s">
        <v>26</v>
      </c>
      <c r="N340">
        <v>17593.8</v>
      </c>
      <c r="O340" t="str">
        <f>TEXT(SalesData[[#This Row],[Order_Date]],"mmm")</f>
        <v>Dec</v>
      </c>
      <c r="P340">
        <f>YEAR(SalesData[[#This Row],[Order_Date]])</f>
        <v>2024</v>
      </c>
      <c r="Q340" t="str">
        <f>"Q"&amp;ROUNDUP(MONTH(SalesData[[#This Row],[Order_Date]])/3,0)</f>
        <v>Q4</v>
      </c>
      <c r="R340" s="2">
        <f>IFERROR(SalesData[[#This Row],[Profit]]/SalesData[[#This Row],[Sales]],0)</f>
        <v>4.5356887085223209E-2</v>
      </c>
      <c r="S340" s="2">
        <f>SalesData[[#This Row],[Price]]*SalesData[[#This Row],[Quantity]]*SalesData[[#This Row],[Discount]]</f>
        <v>3351.2000000000003</v>
      </c>
      <c r="T340" s="2" t="str">
        <f>IF(SalesData[[#This Row],[Sales]]&gt;5000,"High",IF(SalesData[[#This Row],[Sales]]&gt;2000,"Medium","Low"))</f>
        <v>High</v>
      </c>
      <c r="U340" s="2" t="str">
        <f>IF(COUNTIFS(SalesData[Customer_ID],SalesData[[#This Row],[Customer_ID]])&gt;1,"Repeat","New")</f>
        <v>Repeat</v>
      </c>
      <c r="V340" s="2" t="str">
        <f>IF(SalesData[[#This Row],[Sales]]&gt;AVERAGE(SalesData[Sales]),"Above Avg","Below Avg")</f>
        <v>Above Avg</v>
      </c>
      <c r="W340" s="2" t="str">
        <f>IF(SalesData[[#This Row],[Profit]]&gt;0,"Profit","Loss")</f>
        <v>Profit</v>
      </c>
      <c r="X340" s="2">
        <f>RANK(SalesData[[#This Row],[Sales]],SalesData[Sales])</f>
        <v>95</v>
      </c>
    </row>
    <row r="341" spans="1:24" x14ac:dyDescent="0.3">
      <c r="A341">
        <v>340</v>
      </c>
      <c r="B341" s="1">
        <v>45631</v>
      </c>
      <c r="C341">
        <v>1016</v>
      </c>
      <c r="D341" t="s">
        <v>200</v>
      </c>
      <c r="E341" t="s">
        <v>15</v>
      </c>
      <c r="F341" t="s">
        <v>21</v>
      </c>
      <c r="G341" t="s">
        <v>17</v>
      </c>
      <c r="H341" t="s">
        <v>37</v>
      </c>
      <c r="I341">
        <v>190</v>
      </c>
      <c r="J341">
        <v>8</v>
      </c>
      <c r="K341">
        <v>0.03</v>
      </c>
      <c r="L341">
        <v>728</v>
      </c>
      <c r="M341" t="s">
        <v>26</v>
      </c>
      <c r="N341">
        <v>1474.3999999999901</v>
      </c>
      <c r="O341" t="str">
        <f>TEXT(SalesData[[#This Row],[Order_Date]],"mmm")</f>
        <v>Dec</v>
      </c>
      <c r="P341">
        <f>YEAR(SalesData[[#This Row],[Order_Date]])</f>
        <v>2024</v>
      </c>
      <c r="Q341" t="str">
        <f>"Q"&amp;ROUNDUP(MONTH(SalesData[[#This Row],[Order_Date]])/3,0)</f>
        <v>Q4</v>
      </c>
      <c r="R341" s="2">
        <f>IFERROR(SalesData[[#This Row],[Profit]]/SalesData[[#This Row],[Sales]],0)</f>
        <v>0.4937601736299545</v>
      </c>
      <c r="S341" s="2">
        <f>SalesData[[#This Row],[Price]]*SalesData[[#This Row],[Quantity]]*SalesData[[#This Row],[Discount]]</f>
        <v>45.6</v>
      </c>
      <c r="T341" s="2" t="str">
        <f>IF(SalesData[[#This Row],[Sales]]&gt;5000,"High",IF(SalesData[[#This Row],[Sales]]&gt;2000,"Medium","Low"))</f>
        <v>Low</v>
      </c>
      <c r="U341" s="2" t="str">
        <f>IF(COUNTIFS(SalesData[Customer_ID],SalesData[[#This Row],[Customer_ID]])&gt;1,"Repeat","New")</f>
        <v>Repeat</v>
      </c>
      <c r="V341" s="2" t="str">
        <f>IF(SalesData[[#This Row],[Sales]]&gt;AVERAGE(SalesData[Sales]),"Above Avg","Below Avg")</f>
        <v>Below Avg</v>
      </c>
      <c r="W341" s="2" t="str">
        <f>IF(SalesData[[#This Row],[Profit]]&gt;0,"Profit","Loss")</f>
        <v>Profit</v>
      </c>
      <c r="X341" s="2">
        <f>RANK(SalesData[[#This Row],[Sales]],SalesData[Sales])</f>
        <v>458</v>
      </c>
    </row>
    <row r="342" spans="1:24" x14ac:dyDescent="0.3">
      <c r="A342">
        <v>341</v>
      </c>
      <c r="B342" s="1">
        <v>45632</v>
      </c>
      <c r="C342">
        <v>1092</v>
      </c>
      <c r="D342" t="s">
        <v>23</v>
      </c>
      <c r="E342" t="s">
        <v>24</v>
      </c>
      <c r="F342" t="s">
        <v>21</v>
      </c>
      <c r="G342" t="s">
        <v>22</v>
      </c>
      <c r="H342" t="s">
        <v>25</v>
      </c>
      <c r="I342">
        <v>2277</v>
      </c>
      <c r="J342">
        <v>8</v>
      </c>
      <c r="K342">
        <v>0.03</v>
      </c>
      <c r="L342">
        <v>297</v>
      </c>
      <c r="M342" t="s">
        <v>19</v>
      </c>
      <c r="N342">
        <v>17669.52</v>
      </c>
      <c r="O342" t="str">
        <f>TEXT(SalesData[[#This Row],[Order_Date]],"mmm")</f>
        <v>Dec</v>
      </c>
      <c r="P342">
        <f>YEAR(SalesData[[#This Row],[Order_Date]])</f>
        <v>2024</v>
      </c>
      <c r="Q342" t="str">
        <f>"Q"&amp;ROUNDUP(MONTH(SalesData[[#This Row],[Order_Date]])/3,0)</f>
        <v>Q4</v>
      </c>
      <c r="R342" s="2">
        <f>IFERROR(SalesData[[#This Row],[Profit]]/SalesData[[#This Row],[Sales]],0)</f>
        <v>1.6808606006275213E-2</v>
      </c>
      <c r="S342" s="2">
        <f>SalesData[[#This Row],[Price]]*SalesData[[#This Row],[Quantity]]*SalesData[[#This Row],[Discount]]</f>
        <v>546.48</v>
      </c>
      <c r="T342" s="2" t="str">
        <f>IF(SalesData[[#This Row],[Sales]]&gt;5000,"High",IF(SalesData[[#This Row],[Sales]]&gt;2000,"Medium","Low"))</f>
        <v>High</v>
      </c>
      <c r="U342" s="2" t="str">
        <f>IF(COUNTIFS(SalesData[Customer_ID],SalesData[[#This Row],[Customer_ID]])&gt;1,"Repeat","New")</f>
        <v>Repeat</v>
      </c>
      <c r="V342" s="2" t="str">
        <f>IF(SalesData[[#This Row],[Sales]]&gt;AVERAGE(SalesData[Sales]),"Above Avg","Below Avg")</f>
        <v>Above Avg</v>
      </c>
      <c r="W342" s="2" t="str">
        <f>IF(SalesData[[#This Row],[Profit]]&gt;0,"Profit","Loss")</f>
        <v>Profit</v>
      </c>
      <c r="X342" s="2">
        <f>RANK(SalesData[[#This Row],[Sales]],SalesData[Sales])</f>
        <v>94</v>
      </c>
    </row>
    <row r="343" spans="1:24" x14ac:dyDescent="0.3">
      <c r="A343">
        <v>342</v>
      </c>
      <c r="B343" s="1">
        <v>45633</v>
      </c>
      <c r="C343">
        <v>1038</v>
      </c>
      <c r="D343" t="s">
        <v>38</v>
      </c>
      <c r="E343" t="s">
        <v>24</v>
      </c>
      <c r="F343" t="s">
        <v>28</v>
      </c>
      <c r="G343" t="s">
        <v>17</v>
      </c>
      <c r="H343" t="s">
        <v>18</v>
      </c>
      <c r="I343">
        <v>1830</v>
      </c>
      <c r="J343">
        <v>4</v>
      </c>
      <c r="K343">
        <v>0.14000000000000001</v>
      </c>
      <c r="L343">
        <v>898</v>
      </c>
      <c r="M343" t="s">
        <v>31</v>
      </c>
      <c r="N343">
        <v>6295.2</v>
      </c>
      <c r="O343" t="str">
        <f>TEXT(SalesData[[#This Row],[Order_Date]],"mmm")</f>
        <v>Dec</v>
      </c>
      <c r="P343">
        <f>YEAR(SalesData[[#This Row],[Order_Date]])</f>
        <v>2024</v>
      </c>
      <c r="Q343" t="str">
        <f>"Q"&amp;ROUNDUP(MONTH(SalesData[[#This Row],[Order_Date]])/3,0)</f>
        <v>Q4</v>
      </c>
      <c r="R343" s="2">
        <f>IFERROR(SalesData[[#This Row],[Profit]]/SalesData[[#This Row],[Sales]],0)</f>
        <v>0.14264836700978523</v>
      </c>
      <c r="S343" s="2">
        <f>SalesData[[#This Row],[Price]]*SalesData[[#This Row],[Quantity]]*SalesData[[#This Row],[Discount]]</f>
        <v>1024.8000000000002</v>
      </c>
      <c r="T343" s="2" t="str">
        <f>IF(SalesData[[#This Row],[Sales]]&gt;5000,"High",IF(SalesData[[#This Row],[Sales]]&gt;2000,"Medium","Low"))</f>
        <v>High</v>
      </c>
      <c r="U343" s="2" t="str">
        <f>IF(COUNTIFS(SalesData[Customer_ID],SalesData[[#This Row],[Customer_ID]])&gt;1,"Repeat","New")</f>
        <v>Repeat</v>
      </c>
      <c r="V343" s="2" t="str">
        <f>IF(SalesData[[#This Row],[Sales]]&gt;AVERAGE(SalesData[Sales]),"Above Avg","Below Avg")</f>
        <v>Below Avg</v>
      </c>
      <c r="W343" s="2" t="str">
        <f>IF(SalesData[[#This Row],[Profit]]&gt;0,"Profit","Loss")</f>
        <v>Profit</v>
      </c>
      <c r="X343" s="2">
        <f>RANK(SalesData[[#This Row],[Sales]],SalesData[Sales])</f>
        <v>291</v>
      </c>
    </row>
    <row r="344" spans="1:24" x14ac:dyDescent="0.3">
      <c r="A344">
        <v>343</v>
      </c>
      <c r="B344" s="1">
        <v>45634</v>
      </c>
      <c r="C344">
        <v>1098</v>
      </c>
      <c r="D344" t="s">
        <v>149</v>
      </c>
      <c r="E344" t="s">
        <v>24</v>
      </c>
      <c r="F344" t="s">
        <v>21</v>
      </c>
      <c r="G344" t="s">
        <v>22</v>
      </c>
      <c r="H344" t="s">
        <v>29</v>
      </c>
      <c r="I344">
        <v>2458</v>
      </c>
      <c r="J344">
        <v>9</v>
      </c>
      <c r="K344">
        <v>0.13</v>
      </c>
      <c r="L344">
        <v>-443</v>
      </c>
      <c r="M344" t="s">
        <v>31</v>
      </c>
      <c r="N344">
        <v>19246.14</v>
      </c>
      <c r="O344" t="str">
        <f>TEXT(SalesData[[#This Row],[Order_Date]],"mmm")</f>
        <v>Dec</v>
      </c>
      <c r="P344">
        <f>YEAR(SalesData[[#This Row],[Order_Date]])</f>
        <v>2024</v>
      </c>
      <c r="Q344" t="str">
        <f>"Q"&amp;ROUNDUP(MONTH(SalesData[[#This Row],[Order_Date]])/3,0)</f>
        <v>Q4</v>
      </c>
      <c r="R344" s="2">
        <f>IFERROR(SalesData[[#This Row],[Profit]]/SalesData[[#This Row],[Sales]],0)</f>
        <v>-2.3017602490681251E-2</v>
      </c>
      <c r="S344" s="2">
        <f>SalesData[[#This Row],[Price]]*SalesData[[#This Row],[Quantity]]*SalesData[[#This Row],[Discount]]</f>
        <v>2875.86</v>
      </c>
      <c r="T344" s="2" t="str">
        <f>IF(SalesData[[#This Row],[Sales]]&gt;5000,"High",IF(SalesData[[#This Row],[Sales]]&gt;2000,"Medium","Low"))</f>
        <v>High</v>
      </c>
      <c r="U344" s="2" t="str">
        <f>IF(COUNTIFS(SalesData[Customer_ID],SalesData[[#This Row],[Customer_ID]])&gt;1,"Repeat","New")</f>
        <v>Repeat</v>
      </c>
      <c r="V344" s="2" t="str">
        <f>IF(SalesData[[#This Row],[Sales]]&gt;AVERAGE(SalesData[Sales]),"Above Avg","Below Avg")</f>
        <v>Above Avg</v>
      </c>
      <c r="W344" s="2" t="str">
        <f>IF(SalesData[[#This Row],[Profit]]&gt;0,"Profit","Loss")</f>
        <v>Loss</v>
      </c>
      <c r="X344" s="2">
        <f>RANK(SalesData[[#This Row],[Sales]],SalesData[Sales])</f>
        <v>83</v>
      </c>
    </row>
    <row r="345" spans="1:24" x14ac:dyDescent="0.3">
      <c r="A345">
        <v>344</v>
      </c>
      <c r="B345" s="1">
        <v>45635</v>
      </c>
      <c r="C345">
        <v>1007</v>
      </c>
      <c r="D345" t="s">
        <v>201</v>
      </c>
      <c r="E345" t="s">
        <v>15</v>
      </c>
      <c r="F345" t="s">
        <v>21</v>
      </c>
      <c r="G345" t="s">
        <v>17</v>
      </c>
      <c r="H345" t="s">
        <v>29</v>
      </c>
      <c r="I345">
        <v>2809</v>
      </c>
      <c r="J345">
        <v>1</v>
      </c>
      <c r="K345">
        <v>0.27</v>
      </c>
      <c r="L345">
        <v>-352</v>
      </c>
      <c r="M345" t="s">
        <v>31</v>
      </c>
      <c r="N345">
        <v>2050.5700000000002</v>
      </c>
      <c r="O345" t="str">
        <f>TEXT(SalesData[[#This Row],[Order_Date]],"mmm")</f>
        <v>Dec</v>
      </c>
      <c r="P345">
        <f>YEAR(SalesData[[#This Row],[Order_Date]])</f>
        <v>2024</v>
      </c>
      <c r="Q345" t="str">
        <f>"Q"&amp;ROUNDUP(MONTH(SalesData[[#This Row],[Order_Date]])/3,0)</f>
        <v>Q4</v>
      </c>
      <c r="R345" s="2">
        <f>IFERROR(SalesData[[#This Row],[Profit]]/SalesData[[#This Row],[Sales]],0)</f>
        <v>-0.17165958733425338</v>
      </c>
      <c r="S345" s="2">
        <f>SalesData[[#This Row],[Price]]*SalesData[[#This Row],[Quantity]]*SalesData[[#This Row],[Discount]]</f>
        <v>758.43000000000006</v>
      </c>
      <c r="T345" s="2" t="str">
        <f>IF(SalesData[[#This Row],[Sales]]&gt;5000,"High",IF(SalesData[[#This Row],[Sales]]&gt;2000,"Medium","Low"))</f>
        <v>Medium</v>
      </c>
      <c r="U345" s="2" t="str">
        <f>IF(COUNTIFS(SalesData[Customer_ID],SalesData[[#This Row],[Customer_ID]])&gt;1,"Repeat","New")</f>
        <v>Repeat</v>
      </c>
      <c r="V345" s="2" t="str">
        <f>IF(SalesData[[#This Row],[Sales]]&gt;AVERAGE(SalesData[Sales]),"Above Avg","Below Avg")</f>
        <v>Below Avg</v>
      </c>
      <c r="W345" s="2" t="str">
        <f>IF(SalesData[[#This Row],[Profit]]&gt;0,"Profit","Loss")</f>
        <v>Loss</v>
      </c>
      <c r="X345" s="2">
        <f>RANK(SalesData[[#This Row],[Sales]],SalesData[Sales])</f>
        <v>426</v>
      </c>
    </row>
    <row r="346" spans="1:24" x14ac:dyDescent="0.3">
      <c r="A346">
        <v>345</v>
      </c>
      <c r="B346" s="1">
        <v>45636</v>
      </c>
      <c r="C346">
        <v>1037</v>
      </c>
      <c r="D346" t="s">
        <v>40</v>
      </c>
      <c r="E346" t="s">
        <v>15</v>
      </c>
      <c r="F346" t="s">
        <v>33</v>
      </c>
      <c r="G346" t="s">
        <v>22</v>
      </c>
      <c r="H346" t="s">
        <v>25</v>
      </c>
      <c r="I346">
        <v>448</v>
      </c>
      <c r="J346">
        <v>9</v>
      </c>
      <c r="K346">
        <v>0.04</v>
      </c>
      <c r="L346">
        <v>1096</v>
      </c>
      <c r="M346" t="s">
        <v>31</v>
      </c>
      <c r="N346">
        <v>3870.72</v>
      </c>
      <c r="O346" t="str">
        <f>TEXT(SalesData[[#This Row],[Order_Date]],"mmm")</f>
        <v>Dec</v>
      </c>
      <c r="P346">
        <f>YEAR(SalesData[[#This Row],[Order_Date]])</f>
        <v>2024</v>
      </c>
      <c r="Q346" t="str">
        <f>"Q"&amp;ROUNDUP(MONTH(SalesData[[#This Row],[Order_Date]])/3,0)</f>
        <v>Q4</v>
      </c>
      <c r="R346" s="2">
        <f>IFERROR(SalesData[[#This Row],[Profit]]/SalesData[[#This Row],[Sales]],0)</f>
        <v>0.28315145502645506</v>
      </c>
      <c r="S346" s="2">
        <f>SalesData[[#This Row],[Price]]*SalesData[[#This Row],[Quantity]]*SalesData[[#This Row],[Discount]]</f>
        <v>161.28</v>
      </c>
      <c r="T346" s="2" t="str">
        <f>IF(SalesData[[#This Row],[Sales]]&gt;5000,"High",IF(SalesData[[#This Row],[Sales]]&gt;2000,"Medium","Low"))</f>
        <v>Medium</v>
      </c>
      <c r="U346" s="2" t="str">
        <f>IF(COUNTIFS(SalesData[Customer_ID],SalesData[[#This Row],[Customer_ID]])&gt;1,"Repeat","New")</f>
        <v>Repeat</v>
      </c>
      <c r="V346" s="2" t="str">
        <f>IF(SalesData[[#This Row],[Sales]]&gt;AVERAGE(SalesData[Sales]),"Above Avg","Below Avg")</f>
        <v>Below Avg</v>
      </c>
      <c r="W346" s="2" t="str">
        <f>IF(SalesData[[#This Row],[Profit]]&gt;0,"Profit","Loss")</f>
        <v>Profit</v>
      </c>
      <c r="X346" s="2">
        <f>RANK(SalesData[[#This Row],[Sales]],SalesData[Sales])</f>
        <v>358</v>
      </c>
    </row>
    <row r="347" spans="1:24" x14ac:dyDescent="0.3">
      <c r="A347">
        <v>346</v>
      </c>
      <c r="B347" s="1">
        <v>45637</v>
      </c>
      <c r="C347">
        <v>1014</v>
      </c>
      <c r="D347" t="s">
        <v>79</v>
      </c>
      <c r="E347" t="s">
        <v>15</v>
      </c>
      <c r="F347" t="s">
        <v>21</v>
      </c>
      <c r="G347" t="s">
        <v>22</v>
      </c>
      <c r="H347" t="s">
        <v>37</v>
      </c>
      <c r="I347">
        <v>4977</v>
      </c>
      <c r="J347">
        <v>1</v>
      </c>
      <c r="K347">
        <v>0.21</v>
      </c>
      <c r="L347">
        <v>294</v>
      </c>
      <c r="M347" t="s">
        <v>26</v>
      </c>
      <c r="N347">
        <v>3931.83</v>
      </c>
      <c r="O347" t="str">
        <f>TEXT(SalesData[[#This Row],[Order_Date]],"mmm")</f>
        <v>Dec</v>
      </c>
      <c r="P347">
        <f>YEAR(SalesData[[#This Row],[Order_Date]])</f>
        <v>2024</v>
      </c>
      <c r="Q347" t="str">
        <f>"Q"&amp;ROUNDUP(MONTH(SalesData[[#This Row],[Order_Date]])/3,0)</f>
        <v>Q4</v>
      </c>
      <c r="R347" s="2">
        <f>IFERROR(SalesData[[#This Row],[Profit]]/SalesData[[#This Row],[Sales]],0)</f>
        <v>7.4774341718741658E-2</v>
      </c>
      <c r="S347" s="2">
        <f>SalesData[[#This Row],[Price]]*SalesData[[#This Row],[Quantity]]*SalesData[[#This Row],[Discount]]</f>
        <v>1045.17</v>
      </c>
      <c r="T347" s="2" t="str">
        <f>IF(SalesData[[#This Row],[Sales]]&gt;5000,"High",IF(SalesData[[#This Row],[Sales]]&gt;2000,"Medium","Low"))</f>
        <v>Medium</v>
      </c>
      <c r="U347" s="2" t="str">
        <f>IF(COUNTIFS(SalesData[Customer_ID],SalesData[[#This Row],[Customer_ID]])&gt;1,"Repeat","New")</f>
        <v>Repeat</v>
      </c>
      <c r="V347" s="2" t="str">
        <f>IF(SalesData[[#This Row],[Sales]]&gt;AVERAGE(SalesData[Sales]),"Above Avg","Below Avg")</f>
        <v>Below Avg</v>
      </c>
      <c r="W347" s="2" t="str">
        <f>IF(SalesData[[#This Row],[Profit]]&gt;0,"Profit","Loss")</f>
        <v>Profit</v>
      </c>
      <c r="X347" s="2">
        <f>RANK(SalesData[[#This Row],[Sales]],SalesData[Sales])</f>
        <v>357</v>
      </c>
    </row>
    <row r="348" spans="1:24" x14ac:dyDescent="0.3">
      <c r="A348">
        <v>347</v>
      </c>
      <c r="B348" s="1">
        <v>45638</v>
      </c>
      <c r="C348">
        <v>1000</v>
      </c>
      <c r="D348" t="s">
        <v>140</v>
      </c>
      <c r="E348" t="s">
        <v>15</v>
      </c>
      <c r="F348" t="s">
        <v>21</v>
      </c>
      <c r="G348" t="s">
        <v>34</v>
      </c>
      <c r="H348" t="s">
        <v>18</v>
      </c>
      <c r="I348">
        <v>4432</v>
      </c>
      <c r="J348">
        <v>5</v>
      </c>
      <c r="K348">
        <v>0.28000000000000003</v>
      </c>
      <c r="L348">
        <v>1809</v>
      </c>
      <c r="M348" t="s">
        <v>19</v>
      </c>
      <c r="N348">
        <v>15955.199999999901</v>
      </c>
      <c r="O348" t="str">
        <f>TEXT(SalesData[[#This Row],[Order_Date]],"mmm")</f>
        <v>Dec</v>
      </c>
      <c r="P348">
        <f>YEAR(SalesData[[#This Row],[Order_Date]])</f>
        <v>2024</v>
      </c>
      <c r="Q348" t="str">
        <f>"Q"&amp;ROUNDUP(MONTH(SalesData[[#This Row],[Order_Date]])/3,0)</f>
        <v>Q4</v>
      </c>
      <c r="R348" s="2">
        <f>IFERROR(SalesData[[#This Row],[Profit]]/SalesData[[#This Row],[Sales]],0)</f>
        <v>0.11337996389891768</v>
      </c>
      <c r="S348" s="2">
        <f>SalesData[[#This Row],[Price]]*SalesData[[#This Row],[Quantity]]*SalesData[[#This Row],[Discount]]</f>
        <v>6204.8</v>
      </c>
      <c r="T348" s="2" t="str">
        <f>IF(SalesData[[#This Row],[Sales]]&gt;5000,"High",IF(SalesData[[#This Row],[Sales]]&gt;2000,"Medium","Low"))</f>
        <v>High</v>
      </c>
      <c r="U348" s="2" t="str">
        <f>IF(COUNTIFS(SalesData[Customer_ID],SalesData[[#This Row],[Customer_ID]])&gt;1,"Repeat","New")</f>
        <v>Repeat</v>
      </c>
      <c r="V348" s="2" t="str">
        <f>IF(SalesData[[#This Row],[Sales]]&gt;AVERAGE(SalesData[Sales]),"Above Avg","Below Avg")</f>
        <v>Above Avg</v>
      </c>
      <c r="W348" s="2" t="str">
        <f>IF(SalesData[[#This Row],[Profit]]&gt;0,"Profit","Loss")</f>
        <v>Profit</v>
      </c>
      <c r="X348" s="2">
        <f>RANK(SalesData[[#This Row],[Sales]],SalesData[Sales])</f>
        <v>130</v>
      </c>
    </row>
    <row r="349" spans="1:24" x14ac:dyDescent="0.3">
      <c r="A349">
        <v>348</v>
      </c>
      <c r="B349" s="1">
        <v>45639</v>
      </c>
      <c r="C349">
        <v>1096</v>
      </c>
      <c r="D349" t="s">
        <v>62</v>
      </c>
      <c r="E349" t="s">
        <v>24</v>
      </c>
      <c r="F349" t="s">
        <v>28</v>
      </c>
      <c r="G349" t="s">
        <v>34</v>
      </c>
      <c r="H349" t="s">
        <v>18</v>
      </c>
      <c r="I349">
        <v>1393</v>
      </c>
      <c r="J349">
        <v>6</v>
      </c>
      <c r="K349">
        <v>0.12</v>
      </c>
      <c r="L349">
        <v>1693</v>
      </c>
      <c r="M349" t="s">
        <v>26</v>
      </c>
      <c r="N349">
        <v>7355.04</v>
      </c>
      <c r="O349" t="str">
        <f>TEXT(SalesData[[#This Row],[Order_Date]],"mmm")</f>
        <v>Dec</v>
      </c>
      <c r="P349">
        <f>YEAR(SalesData[[#This Row],[Order_Date]])</f>
        <v>2024</v>
      </c>
      <c r="Q349" t="str">
        <f>"Q"&amp;ROUNDUP(MONTH(SalesData[[#This Row],[Order_Date]])/3,0)</f>
        <v>Q4</v>
      </c>
      <c r="R349" s="2">
        <f>IFERROR(SalesData[[#This Row],[Profit]]/SalesData[[#This Row],[Sales]],0)</f>
        <v>0.23018229676521135</v>
      </c>
      <c r="S349" s="2">
        <f>SalesData[[#This Row],[Price]]*SalesData[[#This Row],[Quantity]]*SalesData[[#This Row],[Discount]]</f>
        <v>1002.9599999999999</v>
      </c>
      <c r="T349" s="2" t="str">
        <f>IF(SalesData[[#This Row],[Sales]]&gt;5000,"High",IF(SalesData[[#This Row],[Sales]]&gt;2000,"Medium","Low"))</f>
        <v>High</v>
      </c>
      <c r="U349" s="2" t="str">
        <f>IF(COUNTIFS(SalesData[Customer_ID],SalesData[[#This Row],[Customer_ID]])&gt;1,"Repeat","New")</f>
        <v>Repeat</v>
      </c>
      <c r="V349" s="2" t="str">
        <f>IF(SalesData[[#This Row],[Sales]]&gt;AVERAGE(SalesData[Sales]),"Above Avg","Below Avg")</f>
        <v>Below Avg</v>
      </c>
      <c r="W349" s="2" t="str">
        <f>IF(SalesData[[#This Row],[Profit]]&gt;0,"Profit","Loss")</f>
        <v>Profit</v>
      </c>
      <c r="X349" s="2">
        <f>RANK(SalesData[[#This Row],[Sales]],SalesData[Sales])</f>
        <v>266</v>
      </c>
    </row>
    <row r="350" spans="1:24" x14ac:dyDescent="0.3">
      <c r="A350">
        <v>349</v>
      </c>
      <c r="B350" s="1">
        <v>45640</v>
      </c>
      <c r="C350">
        <v>1002</v>
      </c>
      <c r="D350" t="s">
        <v>199</v>
      </c>
      <c r="E350" t="s">
        <v>15</v>
      </c>
      <c r="F350" t="s">
        <v>28</v>
      </c>
      <c r="G350" t="s">
        <v>17</v>
      </c>
      <c r="H350" t="s">
        <v>37</v>
      </c>
      <c r="I350">
        <v>4564</v>
      </c>
      <c r="J350">
        <v>5</v>
      </c>
      <c r="K350">
        <v>0.27</v>
      </c>
      <c r="L350">
        <v>710</v>
      </c>
      <c r="M350" t="s">
        <v>19</v>
      </c>
      <c r="N350">
        <v>16658.599999999999</v>
      </c>
      <c r="O350" t="str">
        <f>TEXT(SalesData[[#This Row],[Order_Date]],"mmm")</f>
        <v>Dec</v>
      </c>
      <c r="P350">
        <f>YEAR(SalesData[[#This Row],[Order_Date]])</f>
        <v>2024</v>
      </c>
      <c r="Q350" t="str">
        <f>"Q"&amp;ROUNDUP(MONTH(SalesData[[#This Row],[Order_Date]])/3,0)</f>
        <v>Q4</v>
      </c>
      <c r="R350" s="2">
        <f>IFERROR(SalesData[[#This Row],[Profit]]/SalesData[[#This Row],[Sales]],0)</f>
        <v>4.2620628384137924E-2</v>
      </c>
      <c r="S350" s="2">
        <f>SalesData[[#This Row],[Price]]*SalesData[[#This Row],[Quantity]]*SalesData[[#This Row],[Discount]]</f>
        <v>6161.4000000000005</v>
      </c>
      <c r="T350" s="2" t="str">
        <f>IF(SalesData[[#This Row],[Sales]]&gt;5000,"High",IF(SalesData[[#This Row],[Sales]]&gt;2000,"Medium","Low"))</f>
        <v>High</v>
      </c>
      <c r="U350" s="2" t="str">
        <f>IF(COUNTIFS(SalesData[Customer_ID],SalesData[[#This Row],[Customer_ID]])&gt;1,"Repeat","New")</f>
        <v>Repeat</v>
      </c>
      <c r="V350" s="2" t="str">
        <f>IF(SalesData[[#This Row],[Sales]]&gt;AVERAGE(SalesData[Sales]),"Above Avg","Below Avg")</f>
        <v>Above Avg</v>
      </c>
      <c r="W350" s="2" t="str">
        <f>IF(SalesData[[#This Row],[Profit]]&gt;0,"Profit","Loss")</f>
        <v>Profit</v>
      </c>
      <c r="X350" s="2">
        <f>RANK(SalesData[[#This Row],[Sales]],SalesData[Sales])</f>
        <v>111</v>
      </c>
    </row>
    <row r="351" spans="1:24" x14ac:dyDescent="0.3">
      <c r="A351">
        <v>350</v>
      </c>
      <c r="B351" s="1">
        <v>45641</v>
      </c>
      <c r="C351">
        <v>1037</v>
      </c>
      <c r="D351" t="s">
        <v>140</v>
      </c>
      <c r="E351" t="s">
        <v>15</v>
      </c>
      <c r="F351" t="s">
        <v>28</v>
      </c>
      <c r="G351" t="s">
        <v>22</v>
      </c>
      <c r="H351" t="s">
        <v>29</v>
      </c>
      <c r="I351">
        <v>2447</v>
      </c>
      <c r="J351">
        <v>4</v>
      </c>
      <c r="K351">
        <v>0.04</v>
      </c>
      <c r="L351">
        <v>-339</v>
      </c>
      <c r="M351" t="s">
        <v>19</v>
      </c>
      <c r="N351">
        <v>9396.48</v>
      </c>
      <c r="O351" t="str">
        <f>TEXT(SalesData[[#This Row],[Order_Date]],"mmm")</f>
        <v>Dec</v>
      </c>
      <c r="P351">
        <f>YEAR(SalesData[[#This Row],[Order_Date]])</f>
        <v>2024</v>
      </c>
      <c r="Q351" t="str">
        <f>"Q"&amp;ROUNDUP(MONTH(SalesData[[#This Row],[Order_Date]])/3,0)</f>
        <v>Q4</v>
      </c>
      <c r="R351" s="2">
        <f>IFERROR(SalesData[[#This Row],[Profit]]/SalesData[[#This Row],[Sales]],0)</f>
        <v>-3.6077339599509609E-2</v>
      </c>
      <c r="S351" s="2">
        <f>SalesData[[#This Row],[Price]]*SalesData[[#This Row],[Quantity]]*SalesData[[#This Row],[Discount]]</f>
        <v>391.52</v>
      </c>
      <c r="T351" s="2" t="str">
        <f>IF(SalesData[[#This Row],[Sales]]&gt;5000,"High",IF(SalesData[[#This Row],[Sales]]&gt;2000,"Medium","Low"))</f>
        <v>High</v>
      </c>
      <c r="U351" s="2" t="str">
        <f>IF(COUNTIFS(SalesData[Customer_ID],SalesData[[#This Row],[Customer_ID]])&gt;1,"Repeat","New")</f>
        <v>Repeat</v>
      </c>
      <c r="V351" s="2" t="str">
        <f>IF(SalesData[[#This Row],[Sales]]&gt;AVERAGE(SalesData[Sales]),"Above Avg","Below Avg")</f>
        <v>Below Avg</v>
      </c>
      <c r="W351" s="2" t="str">
        <f>IF(SalesData[[#This Row],[Profit]]&gt;0,"Profit","Loss")</f>
        <v>Loss</v>
      </c>
      <c r="X351" s="2">
        <f>RANK(SalesData[[#This Row],[Sales]],SalesData[Sales])</f>
        <v>221</v>
      </c>
    </row>
    <row r="352" spans="1:24" x14ac:dyDescent="0.3">
      <c r="A352">
        <v>351</v>
      </c>
      <c r="B352" s="1">
        <v>45642</v>
      </c>
      <c r="C352">
        <v>1047</v>
      </c>
      <c r="D352" t="s">
        <v>199</v>
      </c>
      <c r="E352" t="s">
        <v>15</v>
      </c>
      <c r="F352" t="s">
        <v>21</v>
      </c>
      <c r="G352" t="s">
        <v>34</v>
      </c>
      <c r="H352" t="s">
        <v>37</v>
      </c>
      <c r="I352">
        <v>3091</v>
      </c>
      <c r="J352">
        <v>5</v>
      </c>
      <c r="K352">
        <v>0.03</v>
      </c>
      <c r="L352">
        <v>644</v>
      </c>
      <c r="M352" t="s">
        <v>19</v>
      </c>
      <c r="N352">
        <v>14991.35</v>
      </c>
      <c r="O352" t="str">
        <f>TEXT(SalesData[[#This Row],[Order_Date]],"mmm")</f>
        <v>Dec</v>
      </c>
      <c r="P352">
        <f>YEAR(SalesData[[#This Row],[Order_Date]])</f>
        <v>2024</v>
      </c>
      <c r="Q352" t="str">
        <f>"Q"&amp;ROUNDUP(MONTH(SalesData[[#This Row],[Order_Date]])/3,0)</f>
        <v>Q4</v>
      </c>
      <c r="R352" s="2">
        <f>IFERROR(SalesData[[#This Row],[Profit]]/SalesData[[#This Row],[Sales]],0)</f>
        <v>4.2958105841034995E-2</v>
      </c>
      <c r="S352" s="2">
        <f>SalesData[[#This Row],[Price]]*SalesData[[#This Row],[Quantity]]*SalesData[[#This Row],[Discount]]</f>
        <v>463.65</v>
      </c>
      <c r="T352" s="2" t="str">
        <f>IF(SalesData[[#This Row],[Sales]]&gt;5000,"High",IF(SalesData[[#This Row],[Sales]]&gt;2000,"Medium","Low"))</f>
        <v>High</v>
      </c>
      <c r="U352" s="2" t="str">
        <f>IF(COUNTIFS(SalesData[Customer_ID],SalesData[[#This Row],[Customer_ID]])&gt;1,"Repeat","New")</f>
        <v>Repeat</v>
      </c>
      <c r="V352" s="2" t="str">
        <f>IF(SalesData[[#This Row],[Sales]]&gt;AVERAGE(SalesData[Sales]),"Above Avg","Below Avg")</f>
        <v>Above Avg</v>
      </c>
      <c r="W352" s="2" t="str">
        <f>IF(SalesData[[#This Row],[Profit]]&gt;0,"Profit","Loss")</f>
        <v>Profit</v>
      </c>
      <c r="X352" s="2">
        <f>RANK(SalesData[[#This Row],[Sales]],SalesData[Sales])</f>
        <v>139</v>
      </c>
    </row>
    <row r="353" spans="1:24" x14ac:dyDescent="0.3">
      <c r="A353">
        <v>352</v>
      </c>
      <c r="B353" s="1">
        <v>45643</v>
      </c>
      <c r="C353">
        <v>1062</v>
      </c>
      <c r="D353" t="s">
        <v>95</v>
      </c>
      <c r="E353" t="s">
        <v>15</v>
      </c>
      <c r="F353" t="s">
        <v>33</v>
      </c>
      <c r="G353" t="s">
        <v>17</v>
      </c>
      <c r="H353" t="s">
        <v>37</v>
      </c>
      <c r="I353">
        <v>2900</v>
      </c>
      <c r="J353">
        <v>7</v>
      </c>
      <c r="K353">
        <v>7.0000000000000007E-2</v>
      </c>
      <c r="L353">
        <v>1932</v>
      </c>
      <c r="M353" t="s">
        <v>19</v>
      </c>
      <c r="N353">
        <v>18879</v>
      </c>
      <c r="O353" t="str">
        <f>TEXT(SalesData[[#This Row],[Order_Date]],"mmm")</f>
        <v>Dec</v>
      </c>
      <c r="P353">
        <f>YEAR(SalesData[[#This Row],[Order_Date]])</f>
        <v>2024</v>
      </c>
      <c r="Q353" t="str">
        <f>"Q"&amp;ROUNDUP(MONTH(SalesData[[#This Row],[Order_Date]])/3,0)</f>
        <v>Q4</v>
      </c>
      <c r="R353" s="2">
        <f>IFERROR(SalesData[[#This Row],[Profit]]/SalesData[[#This Row],[Sales]],0)</f>
        <v>0.10233592880978866</v>
      </c>
      <c r="S353" s="2">
        <f>SalesData[[#This Row],[Price]]*SalesData[[#This Row],[Quantity]]*SalesData[[#This Row],[Discount]]</f>
        <v>1421.0000000000002</v>
      </c>
      <c r="T353" s="2" t="str">
        <f>IF(SalesData[[#This Row],[Sales]]&gt;5000,"High",IF(SalesData[[#This Row],[Sales]]&gt;2000,"Medium","Low"))</f>
        <v>High</v>
      </c>
      <c r="U353" s="2" t="str">
        <f>IF(COUNTIFS(SalesData[Customer_ID],SalesData[[#This Row],[Customer_ID]])&gt;1,"Repeat","New")</f>
        <v>Repeat</v>
      </c>
      <c r="V353" s="2" t="str">
        <f>IF(SalesData[[#This Row],[Sales]]&gt;AVERAGE(SalesData[Sales]),"Above Avg","Below Avg")</f>
        <v>Above Avg</v>
      </c>
      <c r="W353" s="2" t="str">
        <f>IF(SalesData[[#This Row],[Profit]]&gt;0,"Profit","Loss")</f>
        <v>Profit</v>
      </c>
      <c r="X353" s="2">
        <f>RANK(SalesData[[#This Row],[Sales]],SalesData[Sales])</f>
        <v>85</v>
      </c>
    </row>
    <row r="354" spans="1:24" x14ac:dyDescent="0.3">
      <c r="A354">
        <v>353</v>
      </c>
      <c r="B354" s="1">
        <v>45644</v>
      </c>
      <c r="C354">
        <v>1061</v>
      </c>
      <c r="D354" t="s">
        <v>62</v>
      </c>
      <c r="E354" t="s">
        <v>15</v>
      </c>
      <c r="F354" t="s">
        <v>16</v>
      </c>
      <c r="G354" t="s">
        <v>22</v>
      </c>
      <c r="H354" t="s">
        <v>37</v>
      </c>
      <c r="I354">
        <v>4356</v>
      </c>
      <c r="J354">
        <v>2</v>
      </c>
      <c r="K354">
        <v>0.16</v>
      </c>
      <c r="L354">
        <v>332</v>
      </c>
      <c r="M354" t="s">
        <v>31</v>
      </c>
      <c r="N354">
        <v>7318.08</v>
      </c>
      <c r="O354" t="str">
        <f>TEXT(SalesData[[#This Row],[Order_Date]],"mmm")</f>
        <v>Dec</v>
      </c>
      <c r="P354">
        <f>YEAR(SalesData[[#This Row],[Order_Date]])</f>
        <v>2024</v>
      </c>
      <c r="Q354" t="str">
        <f>"Q"&amp;ROUNDUP(MONTH(SalesData[[#This Row],[Order_Date]])/3,0)</f>
        <v>Q4</v>
      </c>
      <c r="R354" s="2">
        <f>IFERROR(SalesData[[#This Row],[Profit]]/SalesData[[#This Row],[Sales]],0)</f>
        <v>4.5367090821636279E-2</v>
      </c>
      <c r="S354" s="2">
        <f>SalesData[[#This Row],[Price]]*SalesData[[#This Row],[Quantity]]*SalesData[[#This Row],[Discount]]</f>
        <v>1393.92</v>
      </c>
      <c r="T354" s="2" t="str">
        <f>IF(SalesData[[#This Row],[Sales]]&gt;5000,"High",IF(SalesData[[#This Row],[Sales]]&gt;2000,"Medium","Low"))</f>
        <v>High</v>
      </c>
      <c r="U354" s="2" t="str">
        <f>IF(COUNTIFS(SalesData[Customer_ID],SalesData[[#This Row],[Customer_ID]])&gt;1,"Repeat","New")</f>
        <v>Repeat</v>
      </c>
      <c r="V354" s="2" t="str">
        <f>IF(SalesData[[#This Row],[Sales]]&gt;AVERAGE(SalesData[Sales]),"Above Avg","Below Avg")</f>
        <v>Below Avg</v>
      </c>
      <c r="W354" s="2" t="str">
        <f>IF(SalesData[[#This Row],[Profit]]&gt;0,"Profit","Loss")</f>
        <v>Profit</v>
      </c>
      <c r="X354" s="2">
        <f>RANK(SalesData[[#This Row],[Sales]],SalesData[Sales])</f>
        <v>268</v>
      </c>
    </row>
    <row r="355" spans="1:24" x14ac:dyDescent="0.3">
      <c r="A355">
        <v>354</v>
      </c>
      <c r="B355" s="1">
        <v>45645</v>
      </c>
      <c r="C355">
        <v>1014</v>
      </c>
      <c r="D355" t="s">
        <v>76</v>
      </c>
      <c r="E355" t="s">
        <v>24</v>
      </c>
      <c r="F355" t="s">
        <v>28</v>
      </c>
      <c r="G355" t="s">
        <v>34</v>
      </c>
      <c r="H355" t="s">
        <v>29</v>
      </c>
      <c r="I355">
        <v>1224</v>
      </c>
      <c r="J355">
        <v>7</v>
      </c>
      <c r="K355">
        <v>0.19</v>
      </c>
      <c r="L355">
        <v>210</v>
      </c>
      <c r="M355" t="s">
        <v>31</v>
      </c>
      <c r="N355">
        <v>6940.08</v>
      </c>
      <c r="O355" t="str">
        <f>TEXT(SalesData[[#This Row],[Order_Date]],"mmm")</f>
        <v>Dec</v>
      </c>
      <c r="P355">
        <f>YEAR(SalesData[[#This Row],[Order_Date]])</f>
        <v>2024</v>
      </c>
      <c r="Q355" t="str">
        <f>"Q"&amp;ROUNDUP(MONTH(SalesData[[#This Row],[Order_Date]])/3,0)</f>
        <v>Q4</v>
      </c>
      <c r="R355" s="2">
        <f>IFERROR(SalesData[[#This Row],[Profit]]/SalesData[[#This Row],[Sales]],0)</f>
        <v>3.0259017187121762E-2</v>
      </c>
      <c r="S355" s="2">
        <f>SalesData[[#This Row],[Price]]*SalesData[[#This Row],[Quantity]]*SalesData[[#This Row],[Discount]]</f>
        <v>1627.92</v>
      </c>
      <c r="T355" s="2" t="str">
        <f>IF(SalesData[[#This Row],[Sales]]&gt;5000,"High",IF(SalesData[[#This Row],[Sales]]&gt;2000,"Medium","Low"))</f>
        <v>High</v>
      </c>
      <c r="U355" s="2" t="str">
        <f>IF(COUNTIFS(SalesData[Customer_ID],SalesData[[#This Row],[Customer_ID]])&gt;1,"Repeat","New")</f>
        <v>Repeat</v>
      </c>
      <c r="V355" s="2" t="str">
        <f>IF(SalesData[[#This Row],[Sales]]&gt;AVERAGE(SalesData[Sales]),"Above Avg","Below Avg")</f>
        <v>Below Avg</v>
      </c>
      <c r="W355" s="2" t="str">
        <f>IF(SalesData[[#This Row],[Profit]]&gt;0,"Profit","Loss")</f>
        <v>Profit</v>
      </c>
      <c r="X355" s="2">
        <f>RANK(SalesData[[#This Row],[Sales]],SalesData[Sales])</f>
        <v>275</v>
      </c>
    </row>
    <row r="356" spans="1:24" x14ac:dyDescent="0.3">
      <c r="A356">
        <v>355</v>
      </c>
      <c r="B356" s="1">
        <v>45646</v>
      </c>
      <c r="C356">
        <v>1061</v>
      </c>
      <c r="D356" t="s">
        <v>104</v>
      </c>
      <c r="E356" t="s">
        <v>15</v>
      </c>
      <c r="F356" t="s">
        <v>33</v>
      </c>
      <c r="G356" t="s">
        <v>22</v>
      </c>
      <c r="H356" t="s">
        <v>29</v>
      </c>
      <c r="I356">
        <v>673</v>
      </c>
      <c r="J356">
        <v>9</v>
      </c>
      <c r="K356">
        <v>0.23</v>
      </c>
      <c r="L356">
        <v>944</v>
      </c>
      <c r="M356" t="s">
        <v>19</v>
      </c>
      <c r="N356">
        <v>4663.8900000000003</v>
      </c>
      <c r="O356" t="str">
        <f>TEXT(SalesData[[#This Row],[Order_Date]],"mmm")</f>
        <v>Dec</v>
      </c>
      <c r="P356">
        <f>YEAR(SalesData[[#This Row],[Order_Date]])</f>
        <v>2024</v>
      </c>
      <c r="Q356" t="str">
        <f>"Q"&amp;ROUNDUP(MONTH(SalesData[[#This Row],[Order_Date]])/3,0)</f>
        <v>Q4</v>
      </c>
      <c r="R356" s="2">
        <f>IFERROR(SalesData[[#This Row],[Profit]]/SalesData[[#This Row],[Sales]],0)</f>
        <v>0.20240614594255008</v>
      </c>
      <c r="S356" s="2">
        <f>SalesData[[#This Row],[Price]]*SalesData[[#This Row],[Quantity]]*SalesData[[#This Row],[Discount]]</f>
        <v>1393.1100000000001</v>
      </c>
      <c r="T356" s="2" t="str">
        <f>IF(SalesData[[#This Row],[Sales]]&gt;5000,"High",IF(SalesData[[#This Row],[Sales]]&gt;2000,"Medium","Low"))</f>
        <v>Medium</v>
      </c>
      <c r="U356" s="2" t="str">
        <f>IF(COUNTIFS(SalesData[Customer_ID],SalesData[[#This Row],[Customer_ID]])&gt;1,"Repeat","New")</f>
        <v>Repeat</v>
      </c>
      <c r="V356" s="2" t="str">
        <f>IF(SalesData[[#This Row],[Sales]]&gt;AVERAGE(SalesData[Sales]),"Above Avg","Below Avg")</f>
        <v>Below Avg</v>
      </c>
      <c r="W356" s="2" t="str">
        <f>IF(SalesData[[#This Row],[Profit]]&gt;0,"Profit","Loss")</f>
        <v>Profit</v>
      </c>
      <c r="X356" s="2">
        <f>RANK(SalesData[[#This Row],[Sales]],SalesData[Sales])</f>
        <v>332</v>
      </c>
    </row>
    <row r="357" spans="1:24" x14ac:dyDescent="0.3">
      <c r="A357">
        <v>356</v>
      </c>
      <c r="B357" s="1">
        <v>45647</v>
      </c>
      <c r="C357">
        <v>1081</v>
      </c>
      <c r="D357" t="s">
        <v>199</v>
      </c>
      <c r="E357" t="s">
        <v>24</v>
      </c>
      <c r="F357" t="s">
        <v>21</v>
      </c>
      <c r="G357" t="s">
        <v>34</v>
      </c>
      <c r="H357" t="s">
        <v>18</v>
      </c>
      <c r="I357">
        <v>4179</v>
      </c>
      <c r="J357">
        <v>7</v>
      </c>
      <c r="K357">
        <v>0.23</v>
      </c>
      <c r="L357">
        <v>-144</v>
      </c>
      <c r="M357" t="s">
        <v>19</v>
      </c>
      <c r="N357">
        <v>22524.81</v>
      </c>
      <c r="O357" t="str">
        <f>TEXT(SalesData[[#This Row],[Order_Date]],"mmm")</f>
        <v>Dec</v>
      </c>
      <c r="P357">
        <f>YEAR(SalesData[[#This Row],[Order_Date]])</f>
        <v>2024</v>
      </c>
      <c r="Q357" t="str">
        <f>"Q"&amp;ROUNDUP(MONTH(SalesData[[#This Row],[Order_Date]])/3,0)</f>
        <v>Q4</v>
      </c>
      <c r="R357" s="2">
        <f>IFERROR(SalesData[[#This Row],[Profit]]/SalesData[[#This Row],[Sales]],0)</f>
        <v>-6.3929507063544598E-3</v>
      </c>
      <c r="S357" s="2">
        <f>SalesData[[#This Row],[Price]]*SalesData[[#This Row],[Quantity]]*SalesData[[#This Row],[Discount]]</f>
        <v>6728.1900000000005</v>
      </c>
      <c r="T357" s="2" t="str">
        <f>IF(SalesData[[#This Row],[Sales]]&gt;5000,"High",IF(SalesData[[#This Row],[Sales]]&gt;2000,"Medium","Low"))</f>
        <v>High</v>
      </c>
      <c r="U357" s="2" t="str">
        <f>IF(COUNTIFS(SalesData[Customer_ID],SalesData[[#This Row],[Customer_ID]])&gt;1,"Repeat","New")</f>
        <v>Repeat</v>
      </c>
      <c r="V357" s="2" t="str">
        <f>IF(SalesData[[#This Row],[Sales]]&gt;AVERAGE(SalesData[Sales]),"Above Avg","Below Avg")</f>
        <v>Above Avg</v>
      </c>
      <c r="W357" s="2" t="str">
        <f>IF(SalesData[[#This Row],[Profit]]&gt;0,"Profit","Loss")</f>
        <v>Loss</v>
      </c>
      <c r="X357" s="2">
        <f>RANK(SalesData[[#This Row],[Sales]],SalesData[Sales])</f>
        <v>62</v>
      </c>
    </row>
    <row r="358" spans="1:24" x14ac:dyDescent="0.3">
      <c r="A358">
        <v>357</v>
      </c>
      <c r="B358" s="1">
        <v>45648</v>
      </c>
      <c r="C358">
        <v>1037</v>
      </c>
      <c r="D358" t="s">
        <v>131</v>
      </c>
      <c r="E358" t="s">
        <v>15</v>
      </c>
      <c r="F358" t="s">
        <v>28</v>
      </c>
      <c r="G358" t="s">
        <v>22</v>
      </c>
      <c r="H358" t="s">
        <v>37</v>
      </c>
      <c r="I358">
        <v>928</v>
      </c>
      <c r="J358">
        <v>4</v>
      </c>
      <c r="K358">
        <v>0.03</v>
      </c>
      <c r="L358">
        <v>182</v>
      </c>
      <c r="M358" t="s">
        <v>26</v>
      </c>
      <c r="N358">
        <v>3600.64</v>
      </c>
      <c r="O358" t="str">
        <f>TEXT(SalesData[[#This Row],[Order_Date]],"mmm")</f>
        <v>Dec</v>
      </c>
      <c r="P358">
        <f>YEAR(SalesData[[#This Row],[Order_Date]])</f>
        <v>2024</v>
      </c>
      <c r="Q358" t="str">
        <f>"Q"&amp;ROUNDUP(MONTH(SalesData[[#This Row],[Order_Date]])/3,0)</f>
        <v>Q4</v>
      </c>
      <c r="R358" s="2">
        <f>IFERROR(SalesData[[#This Row],[Profit]]/SalesData[[#This Row],[Sales]],0)</f>
        <v>5.0546569498755779E-2</v>
      </c>
      <c r="S358" s="2">
        <f>SalesData[[#This Row],[Price]]*SalesData[[#This Row],[Quantity]]*SalesData[[#This Row],[Discount]]</f>
        <v>111.36</v>
      </c>
      <c r="T358" s="2" t="str">
        <f>IF(SalesData[[#This Row],[Sales]]&gt;5000,"High",IF(SalesData[[#This Row],[Sales]]&gt;2000,"Medium","Low"))</f>
        <v>Medium</v>
      </c>
      <c r="U358" s="2" t="str">
        <f>IF(COUNTIFS(SalesData[Customer_ID],SalesData[[#This Row],[Customer_ID]])&gt;1,"Repeat","New")</f>
        <v>Repeat</v>
      </c>
      <c r="V358" s="2" t="str">
        <f>IF(SalesData[[#This Row],[Sales]]&gt;AVERAGE(SalesData[Sales]),"Above Avg","Below Avg")</f>
        <v>Below Avg</v>
      </c>
      <c r="W358" s="2" t="str">
        <f>IF(SalesData[[#This Row],[Profit]]&gt;0,"Profit","Loss")</f>
        <v>Profit</v>
      </c>
      <c r="X358" s="2">
        <f>RANK(SalesData[[#This Row],[Sales]],SalesData[Sales])</f>
        <v>368</v>
      </c>
    </row>
    <row r="359" spans="1:24" x14ac:dyDescent="0.3">
      <c r="A359">
        <v>358</v>
      </c>
      <c r="B359" s="1">
        <v>45649</v>
      </c>
      <c r="C359">
        <v>1094</v>
      </c>
      <c r="D359" t="s">
        <v>36</v>
      </c>
      <c r="E359" t="s">
        <v>15</v>
      </c>
      <c r="F359" t="s">
        <v>33</v>
      </c>
      <c r="G359" t="s">
        <v>17</v>
      </c>
      <c r="H359" t="s">
        <v>37</v>
      </c>
      <c r="I359">
        <v>570</v>
      </c>
      <c r="J359">
        <v>8</v>
      </c>
      <c r="K359">
        <v>0.26</v>
      </c>
      <c r="L359">
        <v>1134</v>
      </c>
      <c r="M359" t="s">
        <v>19</v>
      </c>
      <c r="N359">
        <v>3374.4</v>
      </c>
      <c r="O359" t="str">
        <f>TEXT(SalesData[[#This Row],[Order_Date]],"mmm")</f>
        <v>Dec</v>
      </c>
      <c r="P359">
        <f>YEAR(SalesData[[#This Row],[Order_Date]])</f>
        <v>2024</v>
      </c>
      <c r="Q359" t="str">
        <f>"Q"&amp;ROUNDUP(MONTH(SalesData[[#This Row],[Order_Date]])/3,0)</f>
        <v>Q4</v>
      </c>
      <c r="R359" s="2">
        <f>IFERROR(SalesData[[#This Row],[Profit]]/SalesData[[#This Row],[Sales]],0)</f>
        <v>0.33605974395448079</v>
      </c>
      <c r="S359" s="2">
        <f>SalesData[[#This Row],[Price]]*SalesData[[#This Row],[Quantity]]*SalesData[[#This Row],[Discount]]</f>
        <v>1185.6000000000001</v>
      </c>
      <c r="T359" s="2" t="str">
        <f>IF(SalesData[[#This Row],[Sales]]&gt;5000,"High",IF(SalesData[[#This Row],[Sales]]&gt;2000,"Medium","Low"))</f>
        <v>Medium</v>
      </c>
      <c r="U359" s="2" t="str">
        <f>IF(COUNTIFS(SalesData[Customer_ID],SalesData[[#This Row],[Customer_ID]])&gt;1,"Repeat","New")</f>
        <v>Repeat</v>
      </c>
      <c r="V359" s="2" t="str">
        <f>IF(SalesData[[#This Row],[Sales]]&gt;AVERAGE(SalesData[Sales]),"Above Avg","Below Avg")</f>
        <v>Below Avg</v>
      </c>
      <c r="W359" s="2" t="str">
        <f>IF(SalesData[[#This Row],[Profit]]&gt;0,"Profit","Loss")</f>
        <v>Profit</v>
      </c>
      <c r="X359" s="2">
        <f>RANK(SalesData[[#This Row],[Sales]],SalesData[Sales])</f>
        <v>382</v>
      </c>
    </row>
    <row r="360" spans="1:24" x14ac:dyDescent="0.3">
      <c r="A360">
        <v>359</v>
      </c>
      <c r="B360" s="1">
        <v>45650</v>
      </c>
      <c r="C360">
        <v>1019</v>
      </c>
      <c r="D360" t="s">
        <v>91</v>
      </c>
      <c r="E360" t="s">
        <v>24</v>
      </c>
      <c r="F360" t="s">
        <v>16</v>
      </c>
      <c r="G360" t="s">
        <v>34</v>
      </c>
      <c r="H360" t="s">
        <v>29</v>
      </c>
      <c r="I360">
        <v>4250</v>
      </c>
      <c r="J360">
        <v>8</v>
      </c>
      <c r="K360">
        <v>0.03</v>
      </c>
      <c r="L360">
        <v>335</v>
      </c>
      <c r="M360" t="s">
        <v>26</v>
      </c>
      <c r="N360">
        <v>32980</v>
      </c>
      <c r="O360" t="str">
        <f>TEXT(SalesData[[#This Row],[Order_Date]],"mmm")</f>
        <v>Dec</v>
      </c>
      <c r="P360">
        <f>YEAR(SalesData[[#This Row],[Order_Date]])</f>
        <v>2024</v>
      </c>
      <c r="Q360" t="str">
        <f>"Q"&amp;ROUNDUP(MONTH(SalesData[[#This Row],[Order_Date]])/3,0)</f>
        <v>Q4</v>
      </c>
      <c r="R360" s="2">
        <f>IFERROR(SalesData[[#This Row],[Profit]]/SalesData[[#This Row],[Sales]],0)</f>
        <v>1.015767131594906E-2</v>
      </c>
      <c r="S360" s="2">
        <f>SalesData[[#This Row],[Price]]*SalesData[[#This Row],[Quantity]]*SalesData[[#This Row],[Discount]]</f>
        <v>1020</v>
      </c>
      <c r="T360" s="2" t="str">
        <f>IF(SalesData[[#This Row],[Sales]]&gt;5000,"High",IF(SalesData[[#This Row],[Sales]]&gt;2000,"Medium","Low"))</f>
        <v>High</v>
      </c>
      <c r="U360" s="2" t="str">
        <f>IF(COUNTIFS(SalesData[Customer_ID],SalesData[[#This Row],[Customer_ID]])&gt;1,"Repeat","New")</f>
        <v>Repeat</v>
      </c>
      <c r="V360" s="2" t="str">
        <f>IF(SalesData[[#This Row],[Sales]]&gt;AVERAGE(SalesData[Sales]),"Above Avg","Below Avg")</f>
        <v>Above Avg</v>
      </c>
      <c r="W360" s="2" t="str">
        <f>IF(SalesData[[#This Row],[Profit]]&gt;0,"Profit","Loss")</f>
        <v>Profit</v>
      </c>
      <c r="X360" s="2">
        <f>RANK(SalesData[[#This Row],[Sales]],SalesData[Sales])</f>
        <v>17</v>
      </c>
    </row>
    <row r="361" spans="1:24" x14ac:dyDescent="0.3">
      <c r="A361">
        <v>360</v>
      </c>
      <c r="B361" s="1">
        <v>45651</v>
      </c>
      <c r="C361">
        <v>1058</v>
      </c>
      <c r="D361" t="s">
        <v>173</v>
      </c>
      <c r="E361" t="s">
        <v>24</v>
      </c>
      <c r="F361" t="s">
        <v>33</v>
      </c>
      <c r="G361" t="s">
        <v>22</v>
      </c>
      <c r="H361" t="s">
        <v>29</v>
      </c>
      <c r="I361">
        <v>2351</v>
      </c>
      <c r="J361">
        <v>9</v>
      </c>
      <c r="K361">
        <v>0.27</v>
      </c>
      <c r="L361">
        <v>28</v>
      </c>
      <c r="M361" t="s">
        <v>31</v>
      </c>
      <c r="N361">
        <v>15446.07</v>
      </c>
      <c r="O361" t="str">
        <f>TEXT(SalesData[[#This Row],[Order_Date]],"mmm")</f>
        <v>Dec</v>
      </c>
      <c r="P361">
        <f>YEAR(SalesData[[#This Row],[Order_Date]])</f>
        <v>2024</v>
      </c>
      <c r="Q361" t="str">
        <f>"Q"&amp;ROUNDUP(MONTH(SalesData[[#This Row],[Order_Date]])/3,0)</f>
        <v>Q4</v>
      </c>
      <c r="R361" s="2">
        <f>IFERROR(SalesData[[#This Row],[Profit]]/SalesData[[#This Row],[Sales]],0)</f>
        <v>1.8127588441590645E-3</v>
      </c>
      <c r="S361" s="2">
        <f>SalesData[[#This Row],[Price]]*SalesData[[#This Row],[Quantity]]*SalesData[[#This Row],[Discount]]</f>
        <v>5712.93</v>
      </c>
      <c r="T361" s="2" t="str">
        <f>IF(SalesData[[#This Row],[Sales]]&gt;5000,"High",IF(SalesData[[#This Row],[Sales]]&gt;2000,"Medium","Low"))</f>
        <v>High</v>
      </c>
      <c r="U361" s="2" t="str">
        <f>IF(COUNTIFS(SalesData[Customer_ID],SalesData[[#This Row],[Customer_ID]])&gt;1,"Repeat","New")</f>
        <v>Repeat</v>
      </c>
      <c r="V361" s="2" t="str">
        <f>IF(SalesData[[#This Row],[Sales]]&gt;AVERAGE(SalesData[Sales]),"Above Avg","Below Avg")</f>
        <v>Above Avg</v>
      </c>
      <c r="W361" s="2" t="str">
        <f>IF(SalesData[[#This Row],[Profit]]&gt;0,"Profit","Loss")</f>
        <v>Profit</v>
      </c>
      <c r="X361" s="2">
        <f>RANK(SalesData[[#This Row],[Sales]],SalesData[Sales])</f>
        <v>135</v>
      </c>
    </row>
    <row r="362" spans="1:24" x14ac:dyDescent="0.3">
      <c r="A362">
        <v>361</v>
      </c>
      <c r="B362" s="1">
        <v>45652</v>
      </c>
      <c r="C362">
        <v>1006</v>
      </c>
      <c r="D362" t="s">
        <v>148</v>
      </c>
      <c r="E362" t="s">
        <v>24</v>
      </c>
      <c r="F362" t="s">
        <v>21</v>
      </c>
      <c r="G362" t="s">
        <v>34</v>
      </c>
      <c r="H362" t="s">
        <v>37</v>
      </c>
      <c r="I362">
        <v>4067</v>
      </c>
      <c r="J362">
        <v>6</v>
      </c>
      <c r="K362">
        <v>0.28999999999999998</v>
      </c>
      <c r="L362">
        <v>1213</v>
      </c>
      <c r="M362" t="s">
        <v>19</v>
      </c>
      <c r="N362">
        <v>17325.419999999998</v>
      </c>
      <c r="O362" t="str">
        <f>TEXT(SalesData[[#This Row],[Order_Date]],"mmm")</f>
        <v>Dec</v>
      </c>
      <c r="P362">
        <f>YEAR(SalesData[[#This Row],[Order_Date]])</f>
        <v>2024</v>
      </c>
      <c r="Q362" t="str">
        <f>"Q"&amp;ROUNDUP(MONTH(SalesData[[#This Row],[Order_Date]])/3,0)</f>
        <v>Q4</v>
      </c>
      <c r="R362" s="2">
        <f>IFERROR(SalesData[[#This Row],[Profit]]/SalesData[[#This Row],[Sales]],0)</f>
        <v>7.0012732736060665E-2</v>
      </c>
      <c r="S362" s="2">
        <f>SalesData[[#This Row],[Price]]*SalesData[[#This Row],[Quantity]]*SalesData[[#This Row],[Discount]]</f>
        <v>7076.58</v>
      </c>
      <c r="T362" s="2" t="str">
        <f>IF(SalesData[[#This Row],[Sales]]&gt;5000,"High",IF(SalesData[[#This Row],[Sales]]&gt;2000,"Medium","Low"))</f>
        <v>High</v>
      </c>
      <c r="U362" s="2" t="str">
        <f>IF(COUNTIFS(SalesData[Customer_ID],SalesData[[#This Row],[Customer_ID]])&gt;1,"Repeat","New")</f>
        <v>Repeat</v>
      </c>
      <c r="V362" s="2" t="str">
        <f>IF(SalesData[[#This Row],[Sales]]&gt;AVERAGE(SalesData[Sales]),"Above Avg","Below Avg")</f>
        <v>Above Avg</v>
      </c>
      <c r="W362" s="2" t="str">
        <f>IF(SalesData[[#This Row],[Profit]]&gt;0,"Profit","Loss")</f>
        <v>Profit</v>
      </c>
      <c r="X362" s="2">
        <f>RANK(SalesData[[#This Row],[Sales]],SalesData[Sales])</f>
        <v>102</v>
      </c>
    </row>
    <row r="363" spans="1:24" x14ac:dyDescent="0.3">
      <c r="A363">
        <v>362</v>
      </c>
      <c r="B363" s="1">
        <v>45653</v>
      </c>
      <c r="C363">
        <v>1090</v>
      </c>
      <c r="D363" t="s">
        <v>145</v>
      </c>
      <c r="E363" t="s">
        <v>24</v>
      </c>
      <c r="F363" t="s">
        <v>28</v>
      </c>
      <c r="G363" t="s">
        <v>34</v>
      </c>
      <c r="H363" t="s">
        <v>25</v>
      </c>
      <c r="I363">
        <v>2732</v>
      </c>
      <c r="J363">
        <v>1</v>
      </c>
      <c r="K363">
        <v>0.18</v>
      </c>
      <c r="L363">
        <v>547</v>
      </c>
      <c r="M363" t="s">
        <v>31</v>
      </c>
      <c r="N363">
        <v>2240.2399999999998</v>
      </c>
      <c r="O363" t="str">
        <f>TEXT(SalesData[[#This Row],[Order_Date]],"mmm")</f>
        <v>Dec</v>
      </c>
      <c r="P363">
        <f>YEAR(SalesData[[#This Row],[Order_Date]])</f>
        <v>2024</v>
      </c>
      <c r="Q363" t="str">
        <f>"Q"&amp;ROUNDUP(MONTH(SalesData[[#This Row],[Order_Date]])/3,0)</f>
        <v>Q4</v>
      </c>
      <c r="R363" s="2">
        <f>IFERROR(SalesData[[#This Row],[Profit]]/SalesData[[#This Row],[Sales]],0)</f>
        <v>0.24417026747134238</v>
      </c>
      <c r="S363" s="2">
        <f>SalesData[[#This Row],[Price]]*SalesData[[#This Row],[Quantity]]*SalesData[[#This Row],[Discount]]</f>
        <v>491.76</v>
      </c>
      <c r="T363" s="2" t="str">
        <f>IF(SalesData[[#This Row],[Sales]]&gt;5000,"High",IF(SalesData[[#This Row],[Sales]]&gt;2000,"Medium","Low"))</f>
        <v>Medium</v>
      </c>
      <c r="U363" s="2" t="str">
        <f>IF(COUNTIFS(SalesData[Customer_ID],SalesData[[#This Row],[Customer_ID]])&gt;1,"Repeat","New")</f>
        <v>Repeat</v>
      </c>
      <c r="V363" s="2" t="str">
        <f>IF(SalesData[[#This Row],[Sales]]&gt;AVERAGE(SalesData[Sales]),"Above Avg","Below Avg")</f>
        <v>Below Avg</v>
      </c>
      <c r="W363" s="2" t="str">
        <f>IF(SalesData[[#This Row],[Profit]]&gt;0,"Profit","Loss")</f>
        <v>Profit</v>
      </c>
      <c r="X363" s="2">
        <f>RANK(SalesData[[#This Row],[Sales]],SalesData[Sales])</f>
        <v>418</v>
      </c>
    </row>
    <row r="364" spans="1:24" x14ac:dyDescent="0.3">
      <c r="A364">
        <v>363</v>
      </c>
      <c r="B364" s="1">
        <v>45654</v>
      </c>
      <c r="C364">
        <v>1071</v>
      </c>
      <c r="D364" t="s">
        <v>192</v>
      </c>
      <c r="E364" t="s">
        <v>15</v>
      </c>
      <c r="F364" t="s">
        <v>33</v>
      </c>
      <c r="G364" t="s">
        <v>22</v>
      </c>
      <c r="H364" t="s">
        <v>29</v>
      </c>
      <c r="I364">
        <v>4332</v>
      </c>
      <c r="J364">
        <v>9</v>
      </c>
      <c r="K364">
        <v>0.21</v>
      </c>
      <c r="L364">
        <v>1493</v>
      </c>
      <c r="M364" t="s">
        <v>31</v>
      </c>
      <c r="N364">
        <v>30800.52</v>
      </c>
      <c r="O364" t="str">
        <f>TEXT(SalesData[[#This Row],[Order_Date]],"mmm")</f>
        <v>Dec</v>
      </c>
      <c r="P364">
        <f>YEAR(SalesData[[#This Row],[Order_Date]])</f>
        <v>2024</v>
      </c>
      <c r="Q364" t="str">
        <f>"Q"&amp;ROUNDUP(MONTH(SalesData[[#This Row],[Order_Date]])/3,0)</f>
        <v>Q4</v>
      </c>
      <c r="R364" s="2">
        <f>IFERROR(SalesData[[#This Row],[Profit]]/SalesData[[#This Row],[Sales]],0)</f>
        <v>4.8473207595196445E-2</v>
      </c>
      <c r="S364" s="2">
        <f>SalesData[[#This Row],[Price]]*SalesData[[#This Row],[Quantity]]*SalesData[[#This Row],[Discount]]</f>
        <v>8187.48</v>
      </c>
      <c r="T364" s="2" t="str">
        <f>IF(SalesData[[#This Row],[Sales]]&gt;5000,"High",IF(SalesData[[#This Row],[Sales]]&gt;2000,"Medium","Low"))</f>
        <v>High</v>
      </c>
      <c r="U364" s="2" t="str">
        <f>IF(COUNTIFS(SalesData[Customer_ID],SalesData[[#This Row],[Customer_ID]])&gt;1,"Repeat","New")</f>
        <v>Repeat</v>
      </c>
      <c r="V364" s="2" t="str">
        <f>IF(SalesData[[#This Row],[Sales]]&gt;AVERAGE(SalesData[Sales]),"Above Avg","Below Avg")</f>
        <v>Above Avg</v>
      </c>
      <c r="W364" s="2" t="str">
        <f>IF(SalesData[[#This Row],[Profit]]&gt;0,"Profit","Loss")</f>
        <v>Profit</v>
      </c>
      <c r="X364" s="2">
        <f>RANK(SalesData[[#This Row],[Sales]],SalesData[Sales])</f>
        <v>22</v>
      </c>
    </row>
    <row r="365" spans="1:24" x14ac:dyDescent="0.3">
      <c r="A365">
        <v>364</v>
      </c>
      <c r="B365" s="1">
        <v>45655</v>
      </c>
      <c r="C365">
        <v>1077</v>
      </c>
      <c r="D365" t="s">
        <v>202</v>
      </c>
      <c r="E365" t="s">
        <v>15</v>
      </c>
      <c r="F365" t="s">
        <v>33</v>
      </c>
      <c r="G365" t="s">
        <v>17</v>
      </c>
      <c r="H365" t="s">
        <v>25</v>
      </c>
      <c r="I365">
        <v>1198</v>
      </c>
      <c r="J365">
        <v>9</v>
      </c>
      <c r="K365">
        <v>0.11</v>
      </c>
      <c r="L365">
        <v>-189</v>
      </c>
      <c r="M365" t="s">
        <v>19</v>
      </c>
      <c r="N365">
        <v>9595.98</v>
      </c>
      <c r="O365" t="str">
        <f>TEXT(SalesData[[#This Row],[Order_Date]],"mmm")</f>
        <v>Dec</v>
      </c>
      <c r="P365">
        <f>YEAR(SalesData[[#This Row],[Order_Date]])</f>
        <v>2024</v>
      </c>
      <c r="Q365" t="str">
        <f>"Q"&amp;ROUNDUP(MONTH(SalesData[[#This Row],[Order_Date]])/3,0)</f>
        <v>Q4</v>
      </c>
      <c r="R365" s="2">
        <f>IFERROR(SalesData[[#This Row],[Profit]]/SalesData[[#This Row],[Sales]],0)</f>
        <v>-1.9695747594305115E-2</v>
      </c>
      <c r="S365" s="2">
        <f>SalesData[[#This Row],[Price]]*SalesData[[#This Row],[Quantity]]*SalesData[[#This Row],[Discount]]</f>
        <v>1186.02</v>
      </c>
      <c r="T365" s="2" t="str">
        <f>IF(SalesData[[#This Row],[Sales]]&gt;5000,"High",IF(SalesData[[#This Row],[Sales]]&gt;2000,"Medium","Low"))</f>
        <v>High</v>
      </c>
      <c r="U365" s="2" t="str">
        <f>IF(COUNTIFS(SalesData[Customer_ID],SalesData[[#This Row],[Customer_ID]])&gt;1,"Repeat","New")</f>
        <v>Repeat</v>
      </c>
      <c r="V365" s="2" t="str">
        <f>IF(SalesData[[#This Row],[Sales]]&gt;AVERAGE(SalesData[Sales]),"Above Avg","Below Avg")</f>
        <v>Below Avg</v>
      </c>
      <c r="W365" s="2" t="str">
        <f>IF(SalesData[[#This Row],[Profit]]&gt;0,"Profit","Loss")</f>
        <v>Loss</v>
      </c>
      <c r="X365" s="2">
        <f>RANK(SalesData[[#This Row],[Sales]],SalesData[Sales])</f>
        <v>212</v>
      </c>
    </row>
    <row r="366" spans="1:24" x14ac:dyDescent="0.3">
      <c r="A366">
        <v>365</v>
      </c>
      <c r="B366" s="1">
        <v>45656</v>
      </c>
      <c r="C366">
        <v>1078</v>
      </c>
      <c r="D366" t="s">
        <v>83</v>
      </c>
      <c r="E366" t="s">
        <v>15</v>
      </c>
      <c r="F366" t="s">
        <v>33</v>
      </c>
      <c r="G366" t="s">
        <v>34</v>
      </c>
      <c r="H366" t="s">
        <v>37</v>
      </c>
      <c r="I366">
        <v>3189</v>
      </c>
      <c r="J366">
        <v>1</v>
      </c>
      <c r="K366">
        <v>0.17</v>
      </c>
      <c r="L366">
        <v>159</v>
      </c>
      <c r="M366" t="s">
        <v>19</v>
      </c>
      <c r="N366">
        <v>2646.87</v>
      </c>
      <c r="O366" t="str">
        <f>TEXT(SalesData[[#This Row],[Order_Date]],"mmm")</f>
        <v>Dec</v>
      </c>
      <c r="P366">
        <f>YEAR(SalesData[[#This Row],[Order_Date]])</f>
        <v>2024</v>
      </c>
      <c r="Q366" t="str">
        <f>"Q"&amp;ROUNDUP(MONTH(SalesData[[#This Row],[Order_Date]])/3,0)</f>
        <v>Q4</v>
      </c>
      <c r="R366" s="2">
        <f>IFERROR(SalesData[[#This Row],[Profit]]/SalesData[[#This Row],[Sales]],0)</f>
        <v>6.0070951727889926E-2</v>
      </c>
      <c r="S366" s="2">
        <f>SalesData[[#This Row],[Price]]*SalesData[[#This Row],[Quantity]]*SalesData[[#This Row],[Discount]]</f>
        <v>542.13</v>
      </c>
      <c r="T366" s="2" t="str">
        <f>IF(SalesData[[#This Row],[Sales]]&gt;5000,"High",IF(SalesData[[#This Row],[Sales]]&gt;2000,"Medium","Low"))</f>
        <v>Medium</v>
      </c>
      <c r="U366" s="2" t="str">
        <f>IF(COUNTIFS(SalesData[Customer_ID],SalesData[[#This Row],[Customer_ID]])&gt;1,"Repeat","New")</f>
        <v>Repeat</v>
      </c>
      <c r="V366" s="2" t="str">
        <f>IF(SalesData[[#This Row],[Sales]]&gt;AVERAGE(SalesData[Sales]),"Above Avg","Below Avg")</f>
        <v>Below Avg</v>
      </c>
      <c r="W366" s="2" t="str">
        <f>IF(SalesData[[#This Row],[Profit]]&gt;0,"Profit","Loss")</f>
        <v>Profit</v>
      </c>
      <c r="X366" s="2">
        <f>RANK(SalesData[[#This Row],[Sales]],SalesData[Sales])</f>
        <v>407</v>
      </c>
    </row>
    <row r="367" spans="1:24" x14ac:dyDescent="0.3">
      <c r="A367">
        <v>366</v>
      </c>
      <c r="B367" s="1">
        <v>45657</v>
      </c>
      <c r="C367">
        <v>1070</v>
      </c>
      <c r="D367" t="s">
        <v>183</v>
      </c>
      <c r="E367" t="s">
        <v>24</v>
      </c>
      <c r="F367" t="s">
        <v>28</v>
      </c>
      <c r="G367" t="s">
        <v>22</v>
      </c>
      <c r="H367" t="s">
        <v>37</v>
      </c>
      <c r="I367">
        <v>531</v>
      </c>
      <c r="J367">
        <v>9</v>
      </c>
      <c r="K367">
        <v>0.25</v>
      </c>
      <c r="L367">
        <v>1369</v>
      </c>
      <c r="M367" t="s">
        <v>31</v>
      </c>
      <c r="N367">
        <v>3584.25</v>
      </c>
      <c r="O367" t="str">
        <f>TEXT(SalesData[[#This Row],[Order_Date]],"mmm")</f>
        <v>Dec</v>
      </c>
      <c r="P367">
        <f>YEAR(SalesData[[#This Row],[Order_Date]])</f>
        <v>2024</v>
      </c>
      <c r="Q367" t="str">
        <f>"Q"&amp;ROUNDUP(MONTH(SalesData[[#This Row],[Order_Date]])/3,0)</f>
        <v>Q4</v>
      </c>
      <c r="R367" s="2">
        <f>IFERROR(SalesData[[#This Row],[Profit]]/SalesData[[#This Row],[Sales]],0)</f>
        <v>0.38194880379437818</v>
      </c>
      <c r="S367" s="2">
        <f>SalesData[[#This Row],[Price]]*SalesData[[#This Row],[Quantity]]*SalesData[[#This Row],[Discount]]</f>
        <v>1194.75</v>
      </c>
      <c r="T367" s="2" t="str">
        <f>IF(SalesData[[#This Row],[Sales]]&gt;5000,"High",IF(SalesData[[#This Row],[Sales]]&gt;2000,"Medium","Low"))</f>
        <v>Medium</v>
      </c>
      <c r="U367" s="2" t="str">
        <f>IF(COUNTIFS(SalesData[Customer_ID],SalesData[[#This Row],[Customer_ID]])&gt;1,"Repeat","New")</f>
        <v>Repeat</v>
      </c>
      <c r="V367" s="2" t="str">
        <f>IF(SalesData[[#This Row],[Sales]]&gt;AVERAGE(SalesData[Sales]),"Above Avg","Below Avg")</f>
        <v>Below Avg</v>
      </c>
      <c r="W367" s="2" t="str">
        <f>IF(SalesData[[#This Row],[Profit]]&gt;0,"Profit","Loss")</f>
        <v>Profit</v>
      </c>
      <c r="X367" s="2">
        <f>RANK(SalesData[[#This Row],[Sales]],SalesData[Sales])</f>
        <v>371</v>
      </c>
    </row>
    <row r="368" spans="1:24" x14ac:dyDescent="0.3">
      <c r="A368">
        <v>367</v>
      </c>
      <c r="B368" s="1">
        <v>45658</v>
      </c>
      <c r="C368">
        <v>1096</v>
      </c>
      <c r="D368" t="s">
        <v>58</v>
      </c>
      <c r="E368" t="s">
        <v>24</v>
      </c>
      <c r="F368" t="s">
        <v>33</v>
      </c>
      <c r="G368" t="s">
        <v>17</v>
      </c>
      <c r="H368" t="s">
        <v>25</v>
      </c>
      <c r="I368">
        <v>1333</v>
      </c>
      <c r="J368">
        <v>1</v>
      </c>
      <c r="K368">
        <v>0.05</v>
      </c>
      <c r="L368">
        <v>-123</v>
      </c>
      <c r="M368" t="s">
        <v>19</v>
      </c>
      <c r="N368">
        <v>1266.3499999999999</v>
      </c>
      <c r="O368" t="str">
        <f>TEXT(SalesData[[#This Row],[Order_Date]],"mmm")</f>
        <v>Jan</v>
      </c>
      <c r="P368">
        <f>YEAR(SalesData[[#This Row],[Order_Date]])</f>
        <v>2025</v>
      </c>
      <c r="Q368" t="str">
        <f>"Q"&amp;ROUNDUP(MONTH(SalesData[[#This Row],[Order_Date]])/3,0)</f>
        <v>Q1</v>
      </c>
      <c r="R368" s="2">
        <f>IFERROR(SalesData[[#This Row],[Profit]]/SalesData[[#This Row],[Sales]],0)</f>
        <v>-9.7129545544280813E-2</v>
      </c>
      <c r="S368" s="2">
        <f>SalesData[[#This Row],[Price]]*SalesData[[#This Row],[Quantity]]*SalesData[[#This Row],[Discount]]</f>
        <v>66.650000000000006</v>
      </c>
      <c r="T368" s="2" t="str">
        <f>IF(SalesData[[#This Row],[Sales]]&gt;5000,"High",IF(SalesData[[#This Row],[Sales]]&gt;2000,"Medium","Low"))</f>
        <v>Low</v>
      </c>
      <c r="U368" s="2" t="str">
        <f>IF(COUNTIFS(SalesData[Customer_ID],SalesData[[#This Row],[Customer_ID]])&gt;1,"Repeat","New")</f>
        <v>Repeat</v>
      </c>
      <c r="V368" s="2" t="str">
        <f>IF(SalesData[[#This Row],[Sales]]&gt;AVERAGE(SalesData[Sales]),"Above Avg","Below Avg")</f>
        <v>Below Avg</v>
      </c>
      <c r="W368" s="2" t="str">
        <f>IF(SalesData[[#This Row],[Profit]]&gt;0,"Profit","Loss")</f>
        <v>Loss</v>
      </c>
      <c r="X368" s="2">
        <f>RANK(SalesData[[#This Row],[Sales]],SalesData[Sales])</f>
        <v>466</v>
      </c>
    </row>
    <row r="369" spans="1:24" x14ac:dyDescent="0.3">
      <c r="A369">
        <v>368</v>
      </c>
      <c r="B369" s="1">
        <v>45659</v>
      </c>
      <c r="C369">
        <v>1051</v>
      </c>
      <c r="D369" t="s">
        <v>46</v>
      </c>
      <c r="E369" t="s">
        <v>15</v>
      </c>
      <c r="F369" t="s">
        <v>21</v>
      </c>
      <c r="G369" t="s">
        <v>22</v>
      </c>
      <c r="H369" t="s">
        <v>25</v>
      </c>
      <c r="I369">
        <v>1629</v>
      </c>
      <c r="J369">
        <v>2</v>
      </c>
      <c r="K369">
        <v>0.15</v>
      </c>
      <c r="L369">
        <v>-281</v>
      </c>
      <c r="M369" t="s">
        <v>26</v>
      </c>
      <c r="N369">
        <v>2769.2999999999902</v>
      </c>
      <c r="O369" t="str">
        <f>TEXT(SalesData[[#This Row],[Order_Date]],"mmm")</f>
        <v>Jan</v>
      </c>
      <c r="P369">
        <f>YEAR(SalesData[[#This Row],[Order_Date]])</f>
        <v>2025</v>
      </c>
      <c r="Q369" t="str">
        <f>"Q"&amp;ROUNDUP(MONTH(SalesData[[#This Row],[Order_Date]])/3,0)</f>
        <v>Q1</v>
      </c>
      <c r="R369" s="2">
        <f>IFERROR(SalesData[[#This Row],[Profit]]/SalesData[[#This Row],[Sales]],0)</f>
        <v>-0.10146968548008559</v>
      </c>
      <c r="S369" s="2">
        <f>SalesData[[#This Row],[Price]]*SalesData[[#This Row],[Quantity]]*SalesData[[#This Row],[Discount]]</f>
        <v>488.7</v>
      </c>
      <c r="T369" s="2" t="str">
        <f>IF(SalesData[[#This Row],[Sales]]&gt;5000,"High",IF(SalesData[[#This Row],[Sales]]&gt;2000,"Medium","Low"))</f>
        <v>Medium</v>
      </c>
      <c r="U369" s="2" t="str">
        <f>IF(COUNTIFS(SalesData[Customer_ID],SalesData[[#This Row],[Customer_ID]])&gt;1,"Repeat","New")</f>
        <v>Repeat</v>
      </c>
      <c r="V369" s="2" t="str">
        <f>IF(SalesData[[#This Row],[Sales]]&gt;AVERAGE(SalesData[Sales]),"Above Avg","Below Avg")</f>
        <v>Below Avg</v>
      </c>
      <c r="W369" s="2" t="str">
        <f>IF(SalesData[[#This Row],[Profit]]&gt;0,"Profit","Loss")</f>
        <v>Loss</v>
      </c>
      <c r="X369" s="2">
        <f>RANK(SalesData[[#This Row],[Sales]],SalesData[Sales])</f>
        <v>400</v>
      </c>
    </row>
    <row r="370" spans="1:24" x14ac:dyDescent="0.3">
      <c r="A370">
        <v>369</v>
      </c>
      <c r="B370" s="1">
        <v>45660</v>
      </c>
      <c r="C370">
        <v>1097</v>
      </c>
      <c r="D370" t="s">
        <v>124</v>
      </c>
      <c r="E370" t="s">
        <v>24</v>
      </c>
      <c r="F370" t="s">
        <v>21</v>
      </c>
      <c r="G370" t="s">
        <v>22</v>
      </c>
      <c r="H370" t="s">
        <v>37</v>
      </c>
      <c r="I370">
        <v>4451</v>
      </c>
      <c r="J370">
        <v>6</v>
      </c>
      <c r="K370">
        <v>0.12</v>
      </c>
      <c r="L370">
        <v>978</v>
      </c>
      <c r="M370" t="s">
        <v>19</v>
      </c>
      <c r="N370">
        <v>23501.279999999999</v>
      </c>
      <c r="O370" t="str">
        <f>TEXT(SalesData[[#This Row],[Order_Date]],"mmm")</f>
        <v>Jan</v>
      </c>
      <c r="P370">
        <f>YEAR(SalesData[[#This Row],[Order_Date]])</f>
        <v>2025</v>
      </c>
      <c r="Q370" t="str">
        <f>"Q"&amp;ROUNDUP(MONTH(SalesData[[#This Row],[Order_Date]])/3,0)</f>
        <v>Q1</v>
      </c>
      <c r="R370" s="2">
        <f>IFERROR(SalesData[[#This Row],[Profit]]/SalesData[[#This Row],[Sales]],0)</f>
        <v>4.1614754600600483E-2</v>
      </c>
      <c r="S370" s="2">
        <f>SalesData[[#This Row],[Price]]*SalesData[[#This Row],[Quantity]]*SalesData[[#This Row],[Discount]]</f>
        <v>3204.72</v>
      </c>
      <c r="T370" s="2" t="str">
        <f>IF(SalesData[[#This Row],[Sales]]&gt;5000,"High",IF(SalesData[[#This Row],[Sales]]&gt;2000,"Medium","Low"))</f>
        <v>High</v>
      </c>
      <c r="U370" s="2" t="str">
        <f>IF(COUNTIFS(SalesData[Customer_ID],SalesData[[#This Row],[Customer_ID]])&gt;1,"Repeat","New")</f>
        <v>Repeat</v>
      </c>
      <c r="V370" s="2" t="str">
        <f>IF(SalesData[[#This Row],[Sales]]&gt;AVERAGE(SalesData[Sales]),"Above Avg","Below Avg")</f>
        <v>Above Avg</v>
      </c>
      <c r="W370" s="2" t="str">
        <f>IF(SalesData[[#This Row],[Profit]]&gt;0,"Profit","Loss")</f>
        <v>Profit</v>
      </c>
      <c r="X370" s="2">
        <f>RANK(SalesData[[#This Row],[Sales]],SalesData[Sales])</f>
        <v>57</v>
      </c>
    </row>
    <row r="371" spans="1:24" x14ac:dyDescent="0.3">
      <c r="A371">
        <v>370</v>
      </c>
      <c r="B371" s="1">
        <v>45661</v>
      </c>
      <c r="C371">
        <v>1003</v>
      </c>
      <c r="D371" t="s">
        <v>178</v>
      </c>
      <c r="E371" t="s">
        <v>15</v>
      </c>
      <c r="F371" t="s">
        <v>16</v>
      </c>
      <c r="G371" t="s">
        <v>34</v>
      </c>
      <c r="H371" t="s">
        <v>25</v>
      </c>
      <c r="I371">
        <v>1480</v>
      </c>
      <c r="J371">
        <v>7</v>
      </c>
      <c r="K371">
        <v>0.26</v>
      </c>
      <c r="L371">
        <v>1989</v>
      </c>
      <c r="M371" t="s">
        <v>19</v>
      </c>
      <c r="N371">
        <v>7666.4</v>
      </c>
      <c r="O371" t="str">
        <f>TEXT(SalesData[[#This Row],[Order_Date]],"mmm")</f>
        <v>Jan</v>
      </c>
      <c r="P371">
        <f>YEAR(SalesData[[#This Row],[Order_Date]])</f>
        <v>2025</v>
      </c>
      <c r="Q371" t="str">
        <f>"Q"&amp;ROUNDUP(MONTH(SalesData[[#This Row],[Order_Date]])/3,0)</f>
        <v>Q1</v>
      </c>
      <c r="R371" s="2">
        <f>IFERROR(SalesData[[#This Row],[Profit]]/SalesData[[#This Row],[Sales]],0)</f>
        <v>0.25944380674110407</v>
      </c>
      <c r="S371" s="2">
        <f>SalesData[[#This Row],[Price]]*SalesData[[#This Row],[Quantity]]*SalesData[[#This Row],[Discount]]</f>
        <v>2693.6</v>
      </c>
      <c r="T371" s="2" t="str">
        <f>IF(SalesData[[#This Row],[Sales]]&gt;5000,"High",IF(SalesData[[#This Row],[Sales]]&gt;2000,"Medium","Low"))</f>
        <v>High</v>
      </c>
      <c r="U371" s="2" t="str">
        <f>IF(COUNTIFS(SalesData[Customer_ID],SalesData[[#This Row],[Customer_ID]])&gt;1,"Repeat","New")</f>
        <v>Repeat</v>
      </c>
      <c r="V371" s="2" t="str">
        <f>IF(SalesData[[#This Row],[Sales]]&gt;AVERAGE(SalesData[Sales]),"Above Avg","Below Avg")</f>
        <v>Below Avg</v>
      </c>
      <c r="W371" s="2" t="str">
        <f>IF(SalesData[[#This Row],[Profit]]&gt;0,"Profit","Loss")</f>
        <v>Profit</v>
      </c>
      <c r="X371" s="2">
        <f>RANK(SalesData[[#This Row],[Sales]],SalesData[Sales])</f>
        <v>261</v>
      </c>
    </row>
    <row r="372" spans="1:24" x14ac:dyDescent="0.3">
      <c r="A372">
        <v>371</v>
      </c>
      <c r="B372" s="1">
        <v>45662</v>
      </c>
      <c r="C372">
        <v>1000</v>
      </c>
      <c r="D372" t="s">
        <v>120</v>
      </c>
      <c r="E372" t="s">
        <v>24</v>
      </c>
      <c r="F372" t="s">
        <v>16</v>
      </c>
      <c r="G372" t="s">
        <v>22</v>
      </c>
      <c r="H372" t="s">
        <v>37</v>
      </c>
      <c r="I372">
        <v>241</v>
      </c>
      <c r="J372">
        <v>7</v>
      </c>
      <c r="K372">
        <v>0.04</v>
      </c>
      <c r="L372">
        <v>967</v>
      </c>
      <c r="M372" t="s">
        <v>31</v>
      </c>
      <c r="N372">
        <v>1619.52</v>
      </c>
      <c r="O372" t="str">
        <f>TEXT(SalesData[[#This Row],[Order_Date]],"mmm")</f>
        <v>Jan</v>
      </c>
      <c r="P372">
        <f>YEAR(SalesData[[#This Row],[Order_Date]])</f>
        <v>2025</v>
      </c>
      <c r="Q372" t="str">
        <f>"Q"&amp;ROUNDUP(MONTH(SalesData[[#This Row],[Order_Date]])/3,0)</f>
        <v>Q1</v>
      </c>
      <c r="R372" s="2">
        <f>IFERROR(SalesData[[#This Row],[Profit]]/SalesData[[#This Row],[Sales]],0)</f>
        <v>0.5970904959494171</v>
      </c>
      <c r="S372" s="2">
        <f>SalesData[[#This Row],[Price]]*SalesData[[#This Row],[Quantity]]*SalesData[[#This Row],[Discount]]</f>
        <v>67.48</v>
      </c>
      <c r="T372" s="2" t="str">
        <f>IF(SalesData[[#This Row],[Sales]]&gt;5000,"High",IF(SalesData[[#This Row],[Sales]]&gt;2000,"Medium","Low"))</f>
        <v>Low</v>
      </c>
      <c r="U372" s="2" t="str">
        <f>IF(COUNTIFS(SalesData[Customer_ID],SalesData[[#This Row],[Customer_ID]])&gt;1,"Repeat","New")</f>
        <v>Repeat</v>
      </c>
      <c r="V372" s="2" t="str">
        <f>IF(SalesData[[#This Row],[Sales]]&gt;AVERAGE(SalesData[Sales]),"Above Avg","Below Avg")</f>
        <v>Below Avg</v>
      </c>
      <c r="W372" s="2" t="str">
        <f>IF(SalesData[[#This Row],[Profit]]&gt;0,"Profit","Loss")</f>
        <v>Profit</v>
      </c>
      <c r="X372" s="2">
        <f>RANK(SalesData[[#This Row],[Sales]],SalesData[Sales])</f>
        <v>452</v>
      </c>
    </row>
    <row r="373" spans="1:24" x14ac:dyDescent="0.3">
      <c r="A373">
        <v>372</v>
      </c>
      <c r="B373" s="1">
        <v>45663</v>
      </c>
      <c r="C373">
        <v>1077</v>
      </c>
      <c r="D373" t="s">
        <v>47</v>
      </c>
      <c r="E373" t="s">
        <v>24</v>
      </c>
      <c r="F373" t="s">
        <v>16</v>
      </c>
      <c r="G373" t="s">
        <v>22</v>
      </c>
      <c r="H373" t="s">
        <v>25</v>
      </c>
      <c r="I373">
        <v>1316</v>
      </c>
      <c r="J373">
        <v>6</v>
      </c>
      <c r="K373">
        <v>0.27</v>
      </c>
      <c r="L373">
        <v>-31</v>
      </c>
      <c r="M373" t="s">
        <v>31</v>
      </c>
      <c r="N373">
        <v>5764.08</v>
      </c>
      <c r="O373" t="str">
        <f>TEXT(SalesData[[#This Row],[Order_Date]],"mmm")</f>
        <v>Jan</v>
      </c>
      <c r="P373">
        <f>YEAR(SalesData[[#This Row],[Order_Date]])</f>
        <v>2025</v>
      </c>
      <c r="Q373" t="str">
        <f>"Q"&amp;ROUNDUP(MONTH(SalesData[[#This Row],[Order_Date]])/3,0)</f>
        <v>Q1</v>
      </c>
      <c r="R373" s="2">
        <f>IFERROR(SalesData[[#This Row],[Profit]]/SalesData[[#This Row],[Sales]],0)</f>
        <v>-5.3781349322008024E-3</v>
      </c>
      <c r="S373" s="2">
        <f>SalesData[[#This Row],[Price]]*SalesData[[#This Row],[Quantity]]*SalesData[[#This Row],[Discount]]</f>
        <v>2131.92</v>
      </c>
      <c r="T373" s="2" t="str">
        <f>IF(SalesData[[#This Row],[Sales]]&gt;5000,"High",IF(SalesData[[#This Row],[Sales]]&gt;2000,"Medium","Low"))</f>
        <v>High</v>
      </c>
      <c r="U373" s="2" t="str">
        <f>IF(COUNTIFS(SalesData[Customer_ID],SalesData[[#This Row],[Customer_ID]])&gt;1,"Repeat","New")</f>
        <v>Repeat</v>
      </c>
      <c r="V373" s="2" t="str">
        <f>IF(SalesData[[#This Row],[Sales]]&gt;AVERAGE(SalesData[Sales]),"Above Avg","Below Avg")</f>
        <v>Below Avg</v>
      </c>
      <c r="W373" s="2" t="str">
        <f>IF(SalesData[[#This Row],[Profit]]&gt;0,"Profit","Loss")</f>
        <v>Loss</v>
      </c>
      <c r="X373" s="2">
        <f>RANK(SalesData[[#This Row],[Sales]],SalesData[Sales])</f>
        <v>302</v>
      </c>
    </row>
    <row r="374" spans="1:24" x14ac:dyDescent="0.3">
      <c r="A374">
        <v>373</v>
      </c>
      <c r="B374" s="1">
        <v>45664</v>
      </c>
      <c r="C374">
        <v>1094</v>
      </c>
      <c r="D374" t="s">
        <v>117</v>
      </c>
      <c r="E374" t="s">
        <v>15</v>
      </c>
      <c r="F374" t="s">
        <v>28</v>
      </c>
      <c r="G374" t="s">
        <v>17</v>
      </c>
      <c r="H374" t="s">
        <v>37</v>
      </c>
      <c r="I374">
        <v>3947</v>
      </c>
      <c r="J374">
        <v>8</v>
      </c>
      <c r="K374">
        <v>0.08</v>
      </c>
      <c r="L374">
        <v>655</v>
      </c>
      <c r="M374" t="s">
        <v>31</v>
      </c>
      <c r="N374">
        <v>29049.919999999998</v>
      </c>
      <c r="O374" t="str">
        <f>TEXT(SalesData[[#This Row],[Order_Date]],"mmm")</f>
        <v>Jan</v>
      </c>
      <c r="P374">
        <f>YEAR(SalesData[[#This Row],[Order_Date]])</f>
        <v>2025</v>
      </c>
      <c r="Q374" t="str">
        <f>"Q"&amp;ROUNDUP(MONTH(SalesData[[#This Row],[Order_Date]])/3,0)</f>
        <v>Q1</v>
      </c>
      <c r="R374" s="2">
        <f>IFERROR(SalesData[[#This Row],[Profit]]/SalesData[[#This Row],[Sales]],0)</f>
        <v>2.2547394278538462E-2</v>
      </c>
      <c r="S374" s="2">
        <f>SalesData[[#This Row],[Price]]*SalesData[[#This Row],[Quantity]]*SalesData[[#This Row],[Discount]]</f>
        <v>2526.08</v>
      </c>
      <c r="T374" s="2" t="str">
        <f>IF(SalesData[[#This Row],[Sales]]&gt;5000,"High",IF(SalesData[[#This Row],[Sales]]&gt;2000,"Medium","Low"))</f>
        <v>High</v>
      </c>
      <c r="U374" s="2" t="str">
        <f>IF(COUNTIFS(SalesData[Customer_ID],SalesData[[#This Row],[Customer_ID]])&gt;1,"Repeat","New")</f>
        <v>Repeat</v>
      </c>
      <c r="V374" s="2" t="str">
        <f>IF(SalesData[[#This Row],[Sales]]&gt;AVERAGE(SalesData[Sales]),"Above Avg","Below Avg")</f>
        <v>Above Avg</v>
      </c>
      <c r="W374" s="2" t="str">
        <f>IF(SalesData[[#This Row],[Profit]]&gt;0,"Profit","Loss")</f>
        <v>Profit</v>
      </c>
      <c r="X374" s="2">
        <f>RANK(SalesData[[#This Row],[Sales]],SalesData[Sales])</f>
        <v>27</v>
      </c>
    </row>
    <row r="375" spans="1:24" x14ac:dyDescent="0.3">
      <c r="A375">
        <v>374</v>
      </c>
      <c r="B375" s="1">
        <v>45665</v>
      </c>
      <c r="C375">
        <v>1037</v>
      </c>
      <c r="D375" t="s">
        <v>122</v>
      </c>
      <c r="E375" t="s">
        <v>15</v>
      </c>
      <c r="F375" t="s">
        <v>21</v>
      </c>
      <c r="G375" t="s">
        <v>34</v>
      </c>
      <c r="H375" t="s">
        <v>29</v>
      </c>
      <c r="I375">
        <v>4287</v>
      </c>
      <c r="J375">
        <v>8</v>
      </c>
      <c r="K375">
        <v>0.18</v>
      </c>
      <c r="L375">
        <v>312</v>
      </c>
      <c r="M375" t="s">
        <v>19</v>
      </c>
      <c r="N375">
        <v>28122.720000000001</v>
      </c>
      <c r="O375" t="str">
        <f>TEXT(SalesData[[#This Row],[Order_Date]],"mmm")</f>
        <v>Jan</v>
      </c>
      <c r="P375">
        <f>YEAR(SalesData[[#This Row],[Order_Date]])</f>
        <v>2025</v>
      </c>
      <c r="Q375" t="str">
        <f>"Q"&amp;ROUNDUP(MONTH(SalesData[[#This Row],[Order_Date]])/3,0)</f>
        <v>Q1</v>
      </c>
      <c r="R375" s="2">
        <f>IFERROR(SalesData[[#This Row],[Profit]]/SalesData[[#This Row],[Sales]],0)</f>
        <v>1.1094232705798016E-2</v>
      </c>
      <c r="S375" s="2">
        <f>SalesData[[#This Row],[Price]]*SalesData[[#This Row],[Quantity]]*SalesData[[#This Row],[Discount]]</f>
        <v>6173.28</v>
      </c>
      <c r="T375" s="2" t="str">
        <f>IF(SalesData[[#This Row],[Sales]]&gt;5000,"High",IF(SalesData[[#This Row],[Sales]]&gt;2000,"Medium","Low"))</f>
        <v>High</v>
      </c>
      <c r="U375" s="2" t="str">
        <f>IF(COUNTIFS(SalesData[Customer_ID],SalesData[[#This Row],[Customer_ID]])&gt;1,"Repeat","New")</f>
        <v>Repeat</v>
      </c>
      <c r="V375" s="2" t="str">
        <f>IF(SalesData[[#This Row],[Sales]]&gt;AVERAGE(SalesData[Sales]),"Above Avg","Below Avg")</f>
        <v>Above Avg</v>
      </c>
      <c r="W375" s="2" t="str">
        <f>IF(SalesData[[#This Row],[Profit]]&gt;0,"Profit","Loss")</f>
        <v>Profit</v>
      </c>
      <c r="X375" s="2">
        <f>RANK(SalesData[[#This Row],[Sales]],SalesData[Sales])</f>
        <v>30</v>
      </c>
    </row>
    <row r="376" spans="1:24" x14ac:dyDescent="0.3">
      <c r="A376">
        <v>375</v>
      </c>
      <c r="B376" s="1">
        <v>45666</v>
      </c>
      <c r="C376">
        <v>1052</v>
      </c>
      <c r="D376" t="s">
        <v>39</v>
      </c>
      <c r="E376" t="s">
        <v>24</v>
      </c>
      <c r="F376" t="s">
        <v>21</v>
      </c>
      <c r="G376" t="s">
        <v>22</v>
      </c>
      <c r="H376" t="s">
        <v>37</v>
      </c>
      <c r="I376">
        <v>1876</v>
      </c>
      <c r="J376">
        <v>1</v>
      </c>
      <c r="K376">
        <v>0.11</v>
      </c>
      <c r="L376">
        <v>486</v>
      </c>
      <c r="M376" t="s">
        <v>26</v>
      </c>
      <c r="N376">
        <v>1669.64</v>
      </c>
      <c r="O376" t="str">
        <f>TEXT(SalesData[[#This Row],[Order_Date]],"mmm")</f>
        <v>Jan</v>
      </c>
      <c r="P376">
        <f>YEAR(SalesData[[#This Row],[Order_Date]])</f>
        <v>2025</v>
      </c>
      <c r="Q376" t="str">
        <f>"Q"&amp;ROUNDUP(MONTH(SalesData[[#This Row],[Order_Date]])/3,0)</f>
        <v>Q1</v>
      </c>
      <c r="R376" s="2">
        <f>IFERROR(SalesData[[#This Row],[Profit]]/SalesData[[#This Row],[Sales]],0)</f>
        <v>0.29108071200977453</v>
      </c>
      <c r="S376" s="2">
        <f>SalesData[[#This Row],[Price]]*SalesData[[#This Row],[Quantity]]*SalesData[[#This Row],[Discount]]</f>
        <v>206.36</v>
      </c>
      <c r="T376" s="2" t="str">
        <f>IF(SalesData[[#This Row],[Sales]]&gt;5000,"High",IF(SalesData[[#This Row],[Sales]]&gt;2000,"Medium","Low"))</f>
        <v>Low</v>
      </c>
      <c r="U376" s="2" t="str">
        <f>IF(COUNTIFS(SalesData[Customer_ID],SalesData[[#This Row],[Customer_ID]])&gt;1,"Repeat","New")</f>
        <v>Repeat</v>
      </c>
      <c r="V376" s="2" t="str">
        <f>IF(SalesData[[#This Row],[Sales]]&gt;AVERAGE(SalesData[Sales]),"Above Avg","Below Avg")</f>
        <v>Below Avg</v>
      </c>
      <c r="W376" s="2" t="str">
        <f>IF(SalesData[[#This Row],[Profit]]&gt;0,"Profit","Loss")</f>
        <v>Profit</v>
      </c>
      <c r="X376" s="2">
        <f>RANK(SalesData[[#This Row],[Sales]],SalesData[Sales])</f>
        <v>448</v>
      </c>
    </row>
    <row r="377" spans="1:24" x14ac:dyDescent="0.3">
      <c r="A377">
        <v>376</v>
      </c>
      <c r="B377" s="1">
        <v>45667</v>
      </c>
      <c r="C377">
        <v>1083</v>
      </c>
      <c r="D377" t="s">
        <v>203</v>
      </c>
      <c r="E377" t="s">
        <v>24</v>
      </c>
      <c r="F377" t="s">
        <v>16</v>
      </c>
      <c r="G377" t="s">
        <v>34</v>
      </c>
      <c r="H377" t="s">
        <v>37</v>
      </c>
      <c r="I377">
        <v>3751</v>
      </c>
      <c r="J377">
        <v>9</v>
      </c>
      <c r="K377">
        <v>0.28000000000000003</v>
      </c>
      <c r="L377">
        <v>339</v>
      </c>
      <c r="M377" t="s">
        <v>31</v>
      </c>
      <c r="N377">
        <v>24306.48</v>
      </c>
      <c r="O377" t="str">
        <f>TEXT(SalesData[[#This Row],[Order_Date]],"mmm")</f>
        <v>Jan</v>
      </c>
      <c r="P377">
        <f>YEAR(SalesData[[#This Row],[Order_Date]])</f>
        <v>2025</v>
      </c>
      <c r="Q377" t="str">
        <f>"Q"&amp;ROUNDUP(MONTH(SalesData[[#This Row],[Order_Date]])/3,0)</f>
        <v>Q1</v>
      </c>
      <c r="R377" s="2">
        <f>IFERROR(SalesData[[#This Row],[Profit]]/SalesData[[#This Row],[Sales]],0)</f>
        <v>1.3946898111120985E-2</v>
      </c>
      <c r="S377" s="2">
        <f>SalesData[[#This Row],[Price]]*SalesData[[#This Row],[Quantity]]*SalesData[[#This Row],[Discount]]</f>
        <v>9452.52</v>
      </c>
      <c r="T377" s="2" t="str">
        <f>IF(SalesData[[#This Row],[Sales]]&gt;5000,"High",IF(SalesData[[#This Row],[Sales]]&gt;2000,"Medium","Low"))</f>
        <v>High</v>
      </c>
      <c r="U377" s="2" t="str">
        <f>IF(COUNTIFS(SalesData[Customer_ID],SalesData[[#This Row],[Customer_ID]])&gt;1,"Repeat","New")</f>
        <v>Repeat</v>
      </c>
      <c r="V377" s="2" t="str">
        <f>IF(SalesData[[#This Row],[Sales]]&gt;AVERAGE(SalesData[Sales]),"Above Avg","Below Avg")</f>
        <v>Above Avg</v>
      </c>
      <c r="W377" s="2" t="str">
        <f>IF(SalesData[[#This Row],[Profit]]&gt;0,"Profit","Loss")</f>
        <v>Profit</v>
      </c>
      <c r="X377" s="2">
        <f>RANK(SalesData[[#This Row],[Sales]],SalesData[Sales])</f>
        <v>49</v>
      </c>
    </row>
    <row r="378" spans="1:24" x14ac:dyDescent="0.3">
      <c r="A378">
        <v>377</v>
      </c>
      <c r="B378" s="1">
        <v>45668</v>
      </c>
      <c r="C378">
        <v>1002</v>
      </c>
      <c r="D378" t="s">
        <v>204</v>
      </c>
      <c r="E378" t="s">
        <v>15</v>
      </c>
      <c r="F378" t="s">
        <v>16</v>
      </c>
      <c r="G378" t="s">
        <v>17</v>
      </c>
      <c r="H378" t="s">
        <v>29</v>
      </c>
      <c r="I378">
        <v>2552</v>
      </c>
      <c r="J378">
        <v>4</v>
      </c>
      <c r="K378">
        <v>0.06</v>
      </c>
      <c r="L378">
        <v>-131</v>
      </c>
      <c r="M378" t="s">
        <v>19</v>
      </c>
      <c r="N378">
        <v>9595.5199999999895</v>
      </c>
      <c r="O378" t="str">
        <f>TEXT(SalesData[[#This Row],[Order_Date]],"mmm")</f>
        <v>Jan</v>
      </c>
      <c r="P378">
        <f>YEAR(SalesData[[#This Row],[Order_Date]])</f>
        <v>2025</v>
      </c>
      <c r="Q378" t="str">
        <f>"Q"&amp;ROUNDUP(MONTH(SalesData[[#This Row],[Order_Date]])/3,0)</f>
        <v>Q1</v>
      </c>
      <c r="R378" s="2">
        <f>IFERROR(SalesData[[#This Row],[Profit]]/SalesData[[#This Row],[Sales]],0)</f>
        <v>-1.3652204362035632E-2</v>
      </c>
      <c r="S378" s="2">
        <f>SalesData[[#This Row],[Price]]*SalesData[[#This Row],[Quantity]]*SalesData[[#This Row],[Discount]]</f>
        <v>612.48</v>
      </c>
      <c r="T378" s="2" t="str">
        <f>IF(SalesData[[#This Row],[Sales]]&gt;5000,"High",IF(SalesData[[#This Row],[Sales]]&gt;2000,"Medium","Low"))</f>
        <v>High</v>
      </c>
      <c r="U378" s="2" t="str">
        <f>IF(COUNTIFS(SalesData[Customer_ID],SalesData[[#This Row],[Customer_ID]])&gt;1,"Repeat","New")</f>
        <v>Repeat</v>
      </c>
      <c r="V378" s="2" t="str">
        <f>IF(SalesData[[#This Row],[Sales]]&gt;AVERAGE(SalesData[Sales]),"Above Avg","Below Avg")</f>
        <v>Below Avg</v>
      </c>
      <c r="W378" s="2" t="str">
        <f>IF(SalesData[[#This Row],[Profit]]&gt;0,"Profit","Loss")</f>
        <v>Loss</v>
      </c>
      <c r="X378" s="2">
        <f>RANK(SalesData[[#This Row],[Sales]],SalesData[Sales])</f>
        <v>213</v>
      </c>
    </row>
    <row r="379" spans="1:24" x14ac:dyDescent="0.3">
      <c r="A379">
        <v>378</v>
      </c>
      <c r="B379" s="1">
        <v>45669</v>
      </c>
      <c r="C379">
        <v>1098</v>
      </c>
      <c r="D379" t="s">
        <v>167</v>
      </c>
      <c r="E379" t="s">
        <v>24</v>
      </c>
      <c r="F379" t="s">
        <v>33</v>
      </c>
      <c r="G379" t="s">
        <v>17</v>
      </c>
      <c r="H379" t="s">
        <v>37</v>
      </c>
      <c r="I379">
        <v>817</v>
      </c>
      <c r="J379">
        <v>4</v>
      </c>
      <c r="K379">
        <v>0.15</v>
      </c>
      <c r="L379">
        <v>514</v>
      </c>
      <c r="M379" t="s">
        <v>19</v>
      </c>
      <c r="N379">
        <v>2777.7999999999902</v>
      </c>
      <c r="O379" t="str">
        <f>TEXT(SalesData[[#This Row],[Order_Date]],"mmm")</f>
        <v>Jan</v>
      </c>
      <c r="P379">
        <f>YEAR(SalesData[[#This Row],[Order_Date]])</f>
        <v>2025</v>
      </c>
      <c r="Q379" t="str">
        <f>"Q"&amp;ROUNDUP(MONTH(SalesData[[#This Row],[Order_Date]])/3,0)</f>
        <v>Q1</v>
      </c>
      <c r="R379" s="2">
        <f>IFERROR(SalesData[[#This Row],[Profit]]/SalesData[[#This Row],[Sales]],0)</f>
        <v>0.18503851969184312</v>
      </c>
      <c r="S379" s="2">
        <f>SalesData[[#This Row],[Price]]*SalesData[[#This Row],[Quantity]]*SalesData[[#This Row],[Discount]]</f>
        <v>490.2</v>
      </c>
      <c r="T379" s="2" t="str">
        <f>IF(SalesData[[#This Row],[Sales]]&gt;5000,"High",IF(SalesData[[#This Row],[Sales]]&gt;2000,"Medium","Low"))</f>
        <v>Medium</v>
      </c>
      <c r="U379" s="2" t="str">
        <f>IF(COUNTIFS(SalesData[Customer_ID],SalesData[[#This Row],[Customer_ID]])&gt;1,"Repeat","New")</f>
        <v>Repeat</v>
      </c>
      <c r="V379" s="2" t="str">
        <f>IF(SalesData[[#This Row],[Sales]]&gt;AVERAGE(SalesData[Sales]),"Above Avg","Below Avg")</f>
        <v>Below Avg</v>
      </c>
      <c r="W379" s="2" t="str">
        <f>IF(SalesData[[#This Row],[Profit]]&gt;0,"Profit","Loss")</f>
        <v>Profit</v>
      </c>
      <c r="X379" s="2">
        <f>RANK(SalesData[[#This Row],[Sales]],SalesData[Sales])</f>
        <v>399</v>
      </c>
    </row>
    <row r="380" spans="1:24" x14ac:dyDescent="0.3">
      <c r="A380">
        <v>379</v>
      </c>
      <c r="B380" s="1">
        <v>45670</v>
      </c>
      <c r="C380">
        <v>1096</v>
      </c>
      <c r="D380" t="s">
        <v>183</v>
      </c>
      <c r="E380" t="s">
        <v>24</v>
      </c>
      <c r="F380" t="s">
        <v>16</v>
      </c>
      <c r="G380" t="s">
        <v>22</v>
      </c>
      <c r="H380" t="s">
        <v>29</v>
      </c>
      <c r="I380">
        <v>660</v>
      </c>
      <c r="J380">
        <v>9</v>
      </c>
      <c r="K380">
        <v>7.0000000000000007E-2</v>
      </c>
      <c r="L380">
        <v>-250</v>
      </c>
      <c r="M380" t="s">
        <v>19</v>
      </c>
      <c r="N380">
        <v>5524.2</v>
      </c>
      <c r="O380" t="str">
        <f>TEXT(SalesData[[#This Row],[Order_Date]],"mmm")</f>
        <v>Jan</v>
      </c>
      <c r="P380">
        <f>YEAR(SalesData[[#This Row],[Order_Date]])</f>
        <v>2025</v>
      </c>
      <c r="Q380" t="str">
        <f>"Q"&amp;ROUNDUP(MONTH(SalesData[[#This Row],[Order_Date]])/3,0)</f>
        <v>Q1</v>
      </c>
      <c r="R380" s="2">
        <f>IFERROR(SalesData[[#This Row],[Profit]]/SalesData[[#This Row],[Sales]],0)</f>
        <v>-4.5255421599507621E-2</v>
      </c>
      <c r="S380" s="2">
        <f>SalesData[[#This Row],[Price]]*SalesData[[#This Row],[Quantity]]*SalesData[[#This Row],[Discount]]</f>
        <v>415.8</v>
      </c>
      <c r="T380" s="2" t="str">
        <f>IF(SalesData[[#This Row],[Sales]]&gt;5000,"High",IF(SalesData[[#This Row],[Sales]]&gt;2000,"Medium","Low"))</f>
        <v>High</v>
      </c>
      <c r="U380" s="2" t="str">
        <f>IF(COUNTIFS(SalesData[Customer_ID],SalesData[[#This Row],[Customer_ID]])&gt;1,"Repeat","New")</f>
        <v>Repeat</v>
      </c>
      <c r="V380" s="2" t="str">
        <f>IF(SalesData[[#This Row],[Sales]]&gt;AVERAGE(SalesData[Sales]),"Above Avg","Below Avg")</f>
        <v>Below Avg</v>
      </c>
      <c r="W380" s="2" t="str">
        <f>IF(SalesData[[#This Row],[Profit]]&gt;0,"Profit","Loss")</f>
        <v>Loss</v>
      </c>
      <c r="X380" s="2">
        <f>RANK(SalesData[[#This Row],[Sales]],SalesData[Sales])</f>
        <v>308</v>
      </c>
    </row>
    <row r="381" spans="1:24" x14ac:dyDescent="0.3">
      <c r="A381">
        <v>380</v>
      </c>
      <c r="B381" s="1">
        <v>45671</v>
      </c>
      <c r="C381">
        <v>1014</v>
      </c>
      <c r="D381" t="s">
        <v>80</v>
      </c>
      <c r="E381" t="s">
        <v>15</v>
      </c>
      <c r="F381" t="s">
        <v>28</v>
      </c>
      <c r="G381" t="s">
        <v>34</v>
      </c>
      <c r="H381" t="s">
        <v>29</v>
      </c>
      <c r="I381">
        <v>1004</v>
      </c>
      <c r="J381">
        <v>2</v>
      </c>
      <c r="K381">
        <v>0.24</v>
      </c>
      <c r="L381">
        <v>-339</v>
      </c>
      <c r="M381" t="s">
        <v>19</v>
      </c>
      <c r="N381">
        <v>1526.08</v>
      </c>
      <c r="O381" t="str">
        <f>TEXT(SalesData[[#This Row],[Order_Date]],"mmm")</f>
        <v>Jan</v>
      </c>
      <c r="P381">
        <f>YEAR(SalesData[[#This Row],[Order_Date]])</f>
        <v>2025</v>
      </c>
      <c r="Q381" t="str">
        <f>"Q"&amp;ROUNDUP(MONTH(SalesData[[#This Row],[Order_Date]])/3,0)</f>
        <v>Q1</v>
      </c>
      <c r="R381" s="2">
        <f>IFERROR(SalesData[[#This Row],[Profit]]/SalesData[[#This Row],[Sales]],0)</f>
        <v>-0.2221377647305515</v>
      </c>
      <c r="S381" s="2">
        <f>SalesData[[#This Row],[Price]]*SalesData[[#This Row],[Quantity]]*SalesData[[#This Row],[Discount]]</f>
        <v>481.91999999999996</v>
      </c>
      <c r="T381" s="2" t="str">
        <f>IF(SalesData[[#This Row],[Sales]]&gt;5000,"High",IF(SalesData[[#This Row],[Sales]]&gt;2000,"Medium","Low"))</f>
        <v>Low</v>
      </c>
      <c r="U381" s="2" t="str">
        <f>IF(COUNTIFS(SalesData[Customer_ID],SalesData[[#This Row],[Customer_ID]])&gt;1,"Repeat","New")</f>
        <v>Repeat</v>
      </c>
      <c r="V381" s="2" t="str">
        <f>IF(SalesData[[#This Row],[Sales]]&gt;AVERAGE(SalesData[Sales]),"Above Avg","Below Avg")</f>
        <v>Below Avg</v>
      </c>
      <c r="W381" s="2" t="str">
        <f>IF(SalesData[[#This Row],[Profit]]&gt;0,"Profit","Loss")</f>
        <v>Loss</v>
      </c>
      <c r="X381" s="2">
        <f>RANK(SalesData[[#This Row],[Sales]],SalesData[Sales])</f>
        <v>456</v>
      </c>
    </row>
    <row r="382" spans="1:24" x14ac:dyDescent="0.3">
      <c r="A382">
        <v>381</v>
      </c>
      <c r="B382" s="1">
        <v>45672</v>
      </c>
      <c r="C382">
        <v>1002</v>
      </c>
      <c r="D382" t="s">
        <v>172</v>
      </c>
      <c r="E382" t="s">
        <v>15</v>
      </c>
      <c r="F382" t="s">
        <v>16</v>
      </c>
      <c r="G382" t="s">
        <v>22</v>
      </c>
      <c r="H382" t="s">
        <v>25</v>
      </c>
      <c r="I382">
        <v>1036</v>
      </c>
      <c r="J382">
        <v>6</v>
      </c>
      <c r="K382">
        <v>0.08</v>
      </c>
      <c r="L382">
        <v>162</v>
      </c>
      <c r="M382" t="s">
        <v>31</v>
      </c>
      <c r="N382">
        <v>5718.72</v>
      </c>
      <c r="O382" t="str">
        <f>TEXT(SalesData[[#This Row],[Order_Date]],"mmm")</f>
        <v>Jan</v>
      </c>
      <c r="P382">
        <f>YEAR(SalesData[[#This Row],[Order_Date]])</f>
        <v>2025</v>
      </c>
      <c r="Q382" t="str">
        <f>"Q"&amp;ROUNDUP(MONTH(SalesData[[#This Row],[Order_Date]])/3,0)</f>
        <v>Q1</v>
      </c>
      <c r="R382" s="2">
        <f>IFERROR(SalesData[[#This Row],[Profit]]/SalesData[[#This Row],[Sales]],0)</f>
        <v>2.8328017458452238E-2</v>
      </c>
      <c r="S382" s="2">
        <f>SalesData[[#This Row],[Price]]*SalesData[[#This Row],[Quantity]]*SalesData[[#This Row],[Discount]]</f>
        <v>497.28000000000003</v>
      </c>
      <c r="T382" s="2" t="str">
        <f>IF(SalesData[[#This Row],[Sales]]&gt;5000,"High",IF(SalesData[[#This Row],[Sales]]&gt;2000,"Medium","Low"))</f>
        <v>High</v>
      </c>
      <c r="U382" s="2" t="str">
        <f>IF(COUNTIFS(SalesData[Customer_ID],SalesData[[#This Row],[Customer_ID]])&gt;1,"Repeat","New")</f>
        <v>Repeat</v>
      </c>
      <c r="V382" s="2" t="str">
        <f>IF(SalesData[[#This Row],[Sales]]&gt;AVERAGE(SalesData[Sales]),"Above Avg","Below Avg")</f>
        <v>Below Avg</v>
      </c>
      <c r="W382" s="2" t="str">
        <f>IF(SalesData[[#This Row],[Profit]]&gt;0,"Profit","Loss")</f>
        <v>Profit</v>
      </c>
      <c r="X382" s="2">
        <f>RANK(SalesData[[#This Row],[Sales]],SalesData[Sales])</f>
        <v>303</v>
      </c>
    </row>
    <row r="383" spans="1:24" x14ac:dyDescent="0.3">
      <c r="A383">
        <v>382</v>
      </c>
      <c r="B383" s="1">
        <v>45673</v>
      </c>
      <c r="C383">
        <v>1091</v>
      </c>
      <c r="D383" t="s">
        <v>42</v>
      </c>
      <c r="E383" t="s">
        <v>15</v>
      </c>
      <c r="F383" t="s">
        <v>21</v>
      </c>
      <c r="G383" t="s">
        <v>34</v>
      </c>
      <c r="H383" t="s">
        <v>37</v>
      </c>
      <c r="I383">
        <v>396</v>
      </c>
      <c r="J383">
        <v>2</v>
      </c>
      <c r="K383">
        <v>0.28999999999999998</v>
      </c>
      <c r="L383">
        <v>1960</v>
      </c>
      <c r="M383" t="s">
        <v>26</v>
      </c>
      <c r="N383">
        <v>562.31999999999903</v>
      </c>
      <c r="O383" t="str">
        <f>TEXT(SalesData[[#This Row],[Order_Date]],"mmm")</f>
        <v>Jan</v>
      </c>
      <c r="P383">
        <f>YEAR(SalesData[[#This Row],[Order_Date]])</f>
        <v>2025</v>
      </c>
      <c r="Q383" t="str">
        <f>"Q"&amp;ROUNDUP(MONTH(SalesData[[#This Row],[Order_Date]])/3,0)</f>
        <v>Q1</v>
      </c>
      <c r="R383" s="2">
        <f>IFERROR(SalesData[[#This Row],[Profit]]/SalesData[[#This Row],[Sales]],0)</f>
        <v>3.4855598235879985</v>
      </c>
      <c r="S383" s="2">
        <f>SalesData[[#This Row],[Price]]*SalesData[[#This Row],[Quantity]]*SalesData[[#This Row],[Discount]]</f>
        <v>229.67999999999998</v>
      </c>
      <c r="T383" s="2" t="str">
        <f>IF(SalesData[[#This Row],[Sales]]&gt;5000,"High",IF(SalesData[[#This Row],[Sales]]&gt;2000,"Medium","Low"))</f>
        <v>Low</v>
      </c>
      <c r="U383" s="2" t="str">
        <f>IF(COUNTIFS(SalesData[Customer_ID],SalesData[[#This Row],[Customer_ID]])&gt;1,"Repeat","New")</f>
        <v>Repeat</v>
      </c>
      <c r="V383" s="2" t="str">
        <f>IF(SalesData[[#This Row],[Sales]]&gt;AVERAGE(SalesData[Sales]),"Above Avg","Below Avg")</f>
        <v>Below Avg</v>
      </c>
      <c r="W383" s="2" t="str">
        <f>IF(SalesData[[#This Row],[Profit]]&gt;0,"Profit","Loss")</f>
        <v>Profit</v>
      </c>
      <c r="X383" s="2">
        <f>RANK(SalesData[[#This Row],[Sales]],SalesData[Sales])</f>
        <v>488</v>
      </c>
    </row>
    <row r="384" spans="1:24" x14ac:dyDescent="0.3">
      <c r="A384">
        <v>383</v>
      </c>
      <c r="B384" s="1">
        <v>45674</v>
      </c>
      <c r="C384">
        <v>1090</v>
      </c>
      <c r="D384" t="s">
        <v>135</v>
      </c>
      <c r="E384" t="s">
        <v>15</v>
      </c>
      <c r="F384" t="s">
        <v>28</v>
      </c>
      <c r="G384" t="s">
        <v>34</v>
      </c>
      <c r="H384" t="s">
        <v>29</v>
      </c>
      <c r="I384">
        <v>4994</v>
      </c>
      <c r="J384">
        <v>9</v>
      </c>
      <c r="K384">
        <v>0.28000000000000003</v>
      </c>
      <c r="L384">
        <v>992</v>
      </c>
      <c r="M384" t="s">
        <v>31</v>
      </c>
      <c r="N384">
        <v>32361.119999999999</v>
      </c>
      <c r="O384" t="str">
        <f>TEXT(SalesData[[#This Row],[Order_Date]],"mmm")</f>
        <v>Jan</v>
      </c>
      <c r="P384">
        <f>YEAR(SalesData[[#This Row],[Order_Date]])</f>
        <v>2025</v>
      </c>
      <c r="Q384" t="str">
        <f>"Q"&amp;ROUNDUP(MONTH(SalesData[[#This Row],[Order_Date]])/3,0)</f>
        <v>Q1</v>
      </c>
      <c r="R384" s="2">
        <f>IFERROR(SalesData[[#This Row],[Profit]]/SalesData[[#This Row],[Sales]],0)</f>
        <v>3.0654068833217144E-2</v>
      </c>
      <c r="S384" s="2">
        <f>SalesData[[#This Row],[Price]]*SalesData[[#This Row],[Quantity]]*SalesData[[#This Row],[Discount]]</f>
        <v>12584.880000000001</v>
      </c>
      <c r="T384" s="2" t="str">
        <f>IF(SalesData[[#This Row],[Sales]]&gt;5000,"High",IF(SalesData[[#This Row],[Sales]]&gt;2000,"Medium","Low"))</f>
        <v>High</v>
      </c>
      <c r="U384" s="2" t="str">
        <f>IF(COUNTIFS(SalesData[Customer_ID],SalesData[[#This Row],[Customer_ID]])&gt;1,"Repeat","New")</f>
        <v>Repeat</v>
      </c>
      <c r="V384" s="2" t="str">
        <f>IF(SalesData[[#This Row],[Sales]]&gt;AVERAGE(SalesData[Sales]),"Above Avg","Below Avg")</f>
        <v>Above Avg</v>
      </c>
      <c r="W384" s="2" t="str">
        <f>IF(SalesData[[#This Row],[Profit]]&gt;0,"Profit","Loss")</f>
        <v>Profit</v>
      </c>
      <c r="X384" s="2">
        <f>RANK(SalesData[[#This Row],[Sales]],SalesData[Sales])</f>
        <v>20</v>
      </c>
    </row>
    <row r="385" spans="1:24" x14ac:dyDescent="0.3">
      <c r="A385">
        <v>384</v>
      </c>
      <c r="B385" s="1">
        <v>45675</v>
      </c>
      <c r="C385">
        <v>1032</v>
      </c>
      <c r="D385" t="s">
        <v>49</v>
      </c>
      <c r="E385" t="s">
        <v>24</v>
      </c>
      <c r="F385" t="s">
        <v>33</v>
      </c>
      <c r="G385" t="s">
        <v>17</v>
      </c>
      <c r="H385" t="s">
        <v>18</v>
      </c>
      <c r="I385">
        <v>1860</v>
      </c>
      <c r="J385">
        <v>3</v>
      </c>
      <c r="K385">
        <v>0.14000000000000001</v>
      </c>
      <c r="L385">
        <v>1994</v>
      </c>
      <c r="M385" t="s">
        <v>26</v>
      </c>
      <c r="N385">
        <v>4798.8</v>
      </c>
      <c r="O385" t="str">
        <f>TEXT(SalesData[[#This Row],[Order_Date]],"mmm")</f>
        <v>Jan</v>
      </c>
      <c r="P385">
        <f>YEAR(SalesData[[#This Row],[Order_Date]])</f>
        <v>2025</v>
      </c>
      <c r="Q385" t="str">
        <f>"Q"&amp;ROUNDUP(MONTH(SalesData[[#This Row],[Order_Date]])/3,0)</f>
        <v>Q1</v>
      </c>
      <c r="R385" s="2">
        <f>IFERROR(SalesData[[#This Row],[Profit]]/SalesData[[#This Row],[Sales]],0)</f>
        <v>0.41552054680336747</v>
      </c>
      <c r="S385" s="2">
        <f>SalesData[[#This Row],[Price]]*SalesData[[#This Row],[Quantity]]*SalesData[[#This Row],[Discount]]</f>
        <v>781.2</v>
      </c>
      <c r="T385" s="2" t="str">
        <f>IF(SalesData[[#This Row],[Sales]]&gt;5000,"High",IF(SalesData[[#This Row],[Sales]]&gt;2000,"Medium","Low"))</f>
        <v>Medium</v>
      </c>
      <c r="U385" s="2" t="str">
        <f>IF(COUNTIFS(SalesData[Customer_ID],SalesData[[#This Row],[Customer_ID]])&gt;1,"Repeat","New")</f>
        <v>Repeat</v>
      </c>
      <c r="V385" s="2" t="str">
        <f>IF(SalesData[[#This Row],[Sales]]&gt;AVERAGE(SalesData[Sales]),"Above Avg","Below Avg")</f>
        <v>Below Avg</v>
      </c>
      <c r="W385" s="2" t="str">
        <f>IF(SalesData[[#This Row],[Profit]]&gt;0,"Profit","Loss")</f>
        <v>Profit</v>
      </c>
      <c r="X385" s="2">
        <f>RANK(SalesData[[#This Row],[Sales]],SalesData[Sales])</f>
        <v>330</v>
      </c>
    </row>
    <row r="386" spans="1:24" x14ac:dyDescent="0.3">
      <c r="A386">
        <v>385</v>
      </c>
      <c r="B386" s="1">
        <v>45676</v>
      </c>
      <c r="C386">
        <v>1082</v>
      </c>
      <c r="D386" t="s">
        <v>145</v>
      </c>
      <c r="E386" t="s">
        <v>24</v>
      </c>
      <c r="F386" t="s">
        <v>28</v>
      </c>
      <c r="G386" t="s">
        <v>22</v>
      </c>
      <c r="H386" t="s">
        <v>37</v>
      </c>
      <c r="I386">
        <v>1299</v>
      </c>
      <c r="J386">
        <v>6</v>
      </c>
      <c r="K386">
        <v>0</v>
      </c>
      <c r="L386">
        <v>92</v>
      </c>
      <c r="M386" t="s">
        <v>19</v>
      </c>
      <c r="N386">
        <v>7794</v>
      </c>
      <c r="O386" t="str">
        <f>TEXT(SalesData[[#This Row],[Order_Date]],"mmm")</f>
        <v>Jan</v>
      </c>
      <c r="P386">
        <f>YEAR(SalesData[[#This Row],[Order_Date]])</f>
        <v>2025</v>
      </c>
      <c r="Q386" t="str">
        <f>"Q"&amp;ROUNDUP(MONTH(SalesData[[#This Row],[Order_Date]])/3,0)</f>
        <v>Q1</v>
      </c>
      <c r="R386" s="2">
        <f>IFERROR(SalesData[[#This Row],[Profit]]/SalesData[[#This Row],[Sales]],0)</f>
        <v>1.1803951757762381E-2</v>
      </c>
      <c r="S386" s="2">
        <f>SalesData[[#This Row],[Price]]*SalesData[[#This Row],[Quantity]]*SalesData[[#This Row],[Discount]]</f>
        <v>0</v>
      </c>
      <c r="T386" s="2" t="str">
        <f>IF(SalesData[[#This Row],[Sales]]&gt;5000,"High",IF(SalesData[[#This Row],[Sales]]&gt;2000,"Medium","Low"))</f>
        <v>High</v>
      </c>
      <c r="U386" s="2" t="str">
        <f>IF(COUNTIFS(SalesData[Customer_ID],SalesData[[#This Row],[Customer_ID]])&gt;1,"Repeat","New")</f>
        <v>Repeat</v>
      </c>
      <c r="V386" s="2" t="str">
        <f>IF(SalesData[[#This Row],[Sales]]&gt;AVERAGE(SalesData[Sales]),"Above Avg","Below Avg")</f>
        <v>Below Avg</v>
      </c>
      <c r="W386" s="2" t="str">
        <f>IF(SalesData[[#This Row],[Profit]]&gt;0,"Profit","Loss")</f>
        <v>Profit</v>
      </c>
      <c r="X386" s="2">
        <f>RANK(SalesData[[#This Row],[Sales]],SalesData[Sales])</f>
        <v>256</v>
      </c>
    </row>
    <row r="387" spans="1:24" x14ac:dyDescent="0.3">
      <c r="A387">
        <v>386</v>
      </c>
      <c r="B387" s="1">
        <v>45677</v>
      </c>
      <c r="C387">
        <v>1055</v>
      </c>
      <c r="D387" t="s">
        <v>160</v>
      </c>
      <c r="E387" t="s">
        <v>15</v>
      </c>
      <c r="F387" t="s">
        <v>33</v>
      </c>
      <c r="G387" t="s">
        <v>34</v>
      </c>
      <c r="H387" t="s">
        <v>37</v>
      </c>
      <c r="I387">
        <v>4386</v>
      </c>
      <c r="J387">
        <v>3</v>
      </c>
      <c r="K387">
        <v>0.28999999999999998</v>
      </c>
      <c r="L387">
        <v>838</v>
      </c>
      <c r="M387" t="s">
        <v>31</v>
      </c>
      <c r="N387">
        <v>9342.18</v>
      </c>
      <c r="O387" t="str">
        <f>TEXT(SalesData[[#This Row],[Order_Date]],"mmm")</f>
        <v>Jan</v>
      </c>
      <c r="P387">
        <f>YEAR(SalesData[[#This Row],[Order_Date]])</f>
        <v>2025</v>
      </c>
      <c r="Q387" t="str">
        <f>"Q"&amp;ROUNDUP(MONTH(SalesData[[#This Row],[Order_Date]])/3,0)</f>
        <v>Q1</v>
      </c>
      <c r="R387" s="2">
        <f>IFERROR(SalesData[[#This Row],[Profit]]/SalesData[[#This Row],[Sales]],0)</f>
        <v>8.9700690845177455E-2</v>
      </c>
      <c r="S387" s="2">
        <f>SalesData[[#This Row],[Price]]*SalesData[[#This Row],[Quantity]]*SalesData[[#This Row],[Discount]]</f>
        <v>3815.8199999999997</v>
      </c>
      <c r="T387" s="2" t="str">
        <f>IF(SalesData[[#This Row],[Sales]]&gt;5000,"High",IF(SalesData[[#This Row],[Sales]]&gt;2000,"Medium","Low"))</f>
        <v>High</v>
      </c>
      <c r="U387" s="2" t="str">
        <f>IF(COUNTIFS(SalesData[Customer_ID],SalesData[[#This Row],[Customer_ID]])&gt;1,"Repeat","New")</f>
        <v>Repeat</v>
      </c>
      <c r="V387" s="2" t="str">
        <f>IF(SalesData[[#This Row],[Sales]]&gt;AVERAGE(SalesData[Sales]),"Above Avg","Below Avg")</f>
        <v>Below Avg</v>
      </c>
      <c r="W387" s="2" t="str">
        <f>IF(SalesData[[#This Row],[Profit]]&gt;0,"Profit","Loss")</f>
        <v>Profit</v>
      </c>
      <c r="X387" s="2">
        <f>RANK(SalesData[[#This Row],[Sales]],SalesData[Sales])</f>
        <v>224</v>
      </c>
    </row>
    <row r="388" spans="1:24" x14ac:dyDescent="0.3">
      <c r="A388">
        <v>387</v>
      </c>
      <c r="B388" s="1">
        <v>45678</v>
      </c>
      <c r="C388">
        <v>1032</v>
      </c>
      <c r="D388" t="s">
        <v>71</v>
      </c>
      <c r="E388" t="s">
        <v>15</v>
      </c>
      <c r="F388" t="s">
        <v>33</v>
      </c>
      <c r="G388" t="s">
        <v>17</v>
      </c>
      <c r="H388" t="s">
        <v>18</v>
      </c>
      <c r="I388">
        <v>3993</v>
      </c>
      <c r="J388">
        <v>5</v>
      </c>
      <c r="K388">
        <v>0.21</v>
      </c>
      <c r="L388">
        <v>1730</v>
      </c>
      <c r="M388" t="s">
        <v>31</v>
      </c>
      <c r="N388">
        <v>15772.35</v>
      </c>
      <c r="O388" t="str">
        <f>TEXT(SalesData[[#This Row],[Order_Date]],"mmm")</f>
        <v>Jan</v>
      </c>
      <c r="P388">
        <f>YEAR(SalesData[[#This Row],[Order_Date]])</f>
        <v>2025</v>
      </c>
      <c r="Q388" t="str">
        <f>"Q"&amp;ROUNDUP(MONTH(SalesData[[#This Row],[Order_Date]])/3,0)</f>
        <v>Q1</v>
      </c>
      <c r="R388" s="2">
        <f>IFERROR(SalesData[[#This Row],[Profit]]/SalesData[[#This Row],[Sales]],0)</f>
        <v>0.10968562072234005</v>
      </c>
      <c r="S388" s="2">
        <f>SalesData[[#This Row],[Price]]*SalesData[[#This Row],[Quantity]]*SalesData[[#This Row],[Discount]]</f>
        <v>4192.6499999999996</v>
      </c>
      <c r="T388" s="2" t="str">
        <f>IF(SalesData[[#This Row],[Sales]]&gt;5000,"High",IF(SalesData[[#This Row],[Sales]]&gt;2000,"Medium","Low"))</f>
        <v>High</v>
      </c>
      <c r="U388" s="2" t="str">
        <f>IF(COUNTIFS(SalesData[Customer_ID],SalesData[[#This Row],[Customer_ID]])&gt;1,"Repeat","New")</f>
        <v>Repeat</v>
      </c>
      <c r="V388" s="2" t="str">
        <f>IF(SalesData[[#This Row],[Sales]]&gt;AVERAGE(SalesData[Sales]),"Above Avg","Below Avg")</f>
        <v>Above Avg</v>
      </c>
      <c r="W388" s="2" t="str">
        <f>IF(SalesData[[#This Row],[Profit]]&gt;0,"Profit","Loss")</f>
        <v>Profit</v>
      </c>
      <c r="X388" s="2">
        <f>RANK(SalesData[[#This Row],[Sales]],SalesData[Sales])</f>
        <v>132</v>
      </c>
    </row>
    <row r="389" spans="1:24" x14ac:dyDescent="0.3">
      <c r="A389">
        <v>388</v>
      </c>
      <c r="B389" s="1">
        <v>45679</v>
      </c>
      <c r="C389">
        <v>1030</v>
      </c>
      <c r="D389" t="s">
        <v>100</v>
      </c>
      <c r="E389" t="s">
        <v>15</v>
      </c>
      <c r="F389" t="s">
        <v>21</v>
      </c>
      <c r="G389" t="s">
        <v>17</v>
      </c>
      <c r="H389" t="s">
        <v>29</v>
      </c>
      <c r="I389">
        <v>1045</v>
      </c>
      <c r="J389">
        <v>3</v>
      </c>
      <c r="K389">
        <v>0.15</v>
      </c>
      <c r="L389">
        <v>1869</v>
      </c>
      <c r="M389" t="s">
        <v>26</v>
      </c>
      <c r="N389">
        <v>2664.75</v>
      </c>
      <c r="O389" t="str">
        <f>TEXT(SalesData[[#This Row],[Order_Date]],"mmm")</f>
        <v>Jan</v>
      </c>
      <c r="P389">
        <f>YEAR(SalesData[[#This Row],[Order_Date]])</f>
        <v>2025</v>
      </c>
      <c r="Q389" t="str">
        <f>"Q"&amp;ROUNDUP(MONTH(SalesData[[#This Row],[Order_Date]])/3,0)</f>
        <v>Q1</v>
      </c>
      <c r="R389" s="2">
        <f>IFERROR(SalesData[[#This Row],[Profit]]/SalesData[[#This Row],[Sales]],0)</f>
        <v>0.70137911623979732</v>
      </c>
      <c r="S389" s="2">
        <f>SalesData[[#This Row],[Price]]*SalesData[[#This Row],[Quantity]]*SalesData[[#This Row],[Discount]]</f>
        <v>470.25</v>
      </c>
      <c r="T389" s="2" t="str">
        <f>IF(SalesData[[#This Row],[Sales]]&gt;5000,"High",IF(SalesData[[#This Row],[Sales]]&gt;2000,"Medium","Low"))</f>
        <v>Medium</v>
      </c>
      <c r="U389" s="2" t="str">
        <f>IF(COUNTIFS(SalesData[Customer_ID],SalesData[[#This Row],[Customer_ID]])&gt;1,"Repeat","New")</f>
        <v>Repeat</v>
      </c>
      <c r="V389" s="2" t="str">
        <f>IF(SalesData[[#This Row],[Sales]]&gt;AVERAGE(SalesData[Sales]),"Above Avg","Below Avg")</f>
        <v>Below Avg</v>
      </c>
      <c r="W389" s="2" t="str">
        <f>IF(SalesData[[#This Row],[Profit]]&gt;0,"Profit","Loss")</f>
        <v>Profit</v>
      </c>
      <c r="X389" s="2">
        <f>RANK(SalesData[[#This Row],[Sales]],SalesData[Sales])</f>
        <v>405</v>
      </c>
    </row>
    <row r="390" spans="1:24" x14ac:dyDescent="0.3">
      <c r="A390">
        <v>389</v>
      </c>
      <c r="B390" s="1">
        <v>45680</v>
      </c>
      <c r="C390">
        <v>1003</v>
      </c>
      <c r="D390" t="s">
        <v>170</v>
      </c>
      <c r="E390" t="s">
        <v>24</v>
      </c>
      <c r="F390" t="s">
        <v>28</v>
      </c>
      <c r="G390" t="s">
        <v>34</v>
      </c>
      <c r="H390" t="s">
        <v>37</v>
      </c>
      <c r="I390">
        <v>1736</v>
      </c>
      <c r="J390">
        <v>8</v>
      </c>
      <c r="K390">
        <v>0.18</v>
      </c>
      <c r="L390">
        <v>492</v>
      </c>
      <c r="M390" t="s">
        <v>31</v>
      </c>
      <c r="N390">
        <v>11388.16</v>
      </c>
      <c r="O390" t="str">
        <f>TEXT(SalesData[[#This Row],[Order_Date]],"mmm")</f>
        <v>Jan</v>
      </c>
      <c r="P390">
        <f>YEAR(SalesData[[#This Row],[Order_Date]])</f>
        <v>2025</v>
      </c>
      <c r="Q390" t="str">
        <f>"Q"&amp;ROUNDUP(MONTH(SalesData[[#This Row],[Order_Date]])/3,0)</f>
        <v>Q1</v>
      </c>
      <c r="R390" s="2">
        <f>IFERROR(SalesData[[#This Row],[Profit]]/SalesData[[#This Row],[Sales]],0)</f>
        <v>4.3202764976958526E-2</v>
      </c>
      <c r="S390" s="2">
        <f>SalesData[[#This Row],[Price]]*SalesData[[#This Row],[Quantity]]*SalesData[[#This Row],[Discount]]</f>
        <v>2499.8399999999997</v>
      </c>
      <c r="T390" s="2" t="str">
        <f>IF(SalesData[[#This Row],[Sales]]&gt;5000,"High",IF(SalesData[[#This Row],[Sales]]&gt;2000,"Medium","Low"))</f>
        <v>High</v>
      </c>
      <c r="U390" s="2" t="str">
        <f>IF(COUNTIFS(SalesData[Customer_ID],SalesData[[#This Row],[Customer_ID]])&gt;1,"Repeat","New")</f>
        <v>Repeat</v>
      </c>
      <c r="V390" s="2" t="str">
        <f>IF(SalesData[[#This Row],[Sales]]&gt;AVERAGE(SalesData[Sales]),"Above Avg","Below Avg")</f>
        <v>Above Avg</v>
      </c>
      <c r="W390" s="2" t="str">
        <f>IF(SalesData[[#This Row],[Profit]]&gt;0,"Profit","Loss")</f>
        <v>Profit</v>
      </c>
      <c r="X390" s="2">
        <f>RANK(SalesData[[#This Row],[Sales]],SalesData[Sales])</f>
        <v>183</v>
      </c>
    </row>
    <row r="391" spans="1:24" x14ac:dyDescent="0.3">
      <c r="A391">
        <v>390</v>
      </c>
      <c r="B391" s="1">
        <v>45681</v>
      </c>
      <c r="C391">
        <v>1095</v>
      </c>
      <c r="D391" t="s">
        <v>55</v>
      </c>
      <c r="E391" t="s">
        <v>15</v>
      </c>
      <c r="F391" t="s">
        <v>33</v>
      </c>
      <c r="G391" t="s">
        <v>22</v>
      </c>
      <c r="H391" t="s">
        <v>18</v>
      </c>
      <c r="I391">
        <v>2341</v>
      </c>
      <c r="J391">
        <v>4</v>
      </c>
      <c r="K391">
        <v>0.03</v>
      </c>
      <c r="L391">
        <v>1730</v>
      </c>
      <c r="M391" t="s">
        <v>26</v>
      </c>
      <c r="N391">
        <v>9083.08</v>
      </c>
      <c r="O391" t="str">
        <f>TEXT(SalesData[[#This Row],[Order_Date]],"mmm")</f>
        <v>Jan</v>
      </c>
      <c r="P391">
        <f>YEAR(SalesData[[#This Row],[Order_Date]])</f>
        <v>2025</v>
      </c>
      <c r="Q391" t="str">
        <f>"Q"&amp;ROUNDUP(MONTH(SalesData[[#This Row],[Order_Date]])/3,0)</f>
        <v>Q1</v>
      </c>
      <c r="R391" s="2">
        <f>IFERROR(SalesData[[#This Row],[Profit]]/SalesData[[#This Row],[Sales]],0)</f>
        <v>0.19046402762058684</v>
      </c>
      <c r="S391" s="2">
        <f>SalesData[[#This Row],[Price]]*SalesData[[#This Row],[Quantity]]*SalesData[[#This Row],[Discount]]</f>
        <v>280.92</v>
      </c>
      <c r="T391" s="2" t="str">
        <f>IF(SalesData[[#This Row],[Sales]]&gt;5000,"High",IF(SalesData[[#This Row],[Sales]]&gt;2000,"Medium","Low"))</f>
        <v>High</v>
      </c>
      <c r="U391" s="2" t="str">
        <f>IF(COUNTIFS(SalesData[Customer_ID],SalesData[[#This Row],[Customer_ID]])&gt;1,"Repeat","New")</f>
        <v>Repeat</v>
      </c>
      <c r="V391" s="2" t="str">
        <f>IF(SalesData[[#This Row],[Sales]]&gt;AVERAGE(SalesData[Sales]),"Above Avg","Below Avg")</f>
        <v>Below Avg</v>
      </c>
      <c r="W391" s="2" t="str">
        <f>IF(SalesData[[#This Row],[Profit]]&gt;0,"Profit","Loss")</f>
        <v>Profit</v>
      </c>
      <c r="X391" s="2">
        <f>RANK(SalesData[[#This Row],[Sales]],SalesData[Sales])</f>
        <v>229</v>
      </c>
    </row>
    <row r="392" spans="1:24" x14ac:dyDescent="0.3">
      <c r="A392">
        <v>391</v>
      </c>
      <c r="B392" s="1">
        <v>45682</v>
      </c>
      <c r="C392">
        <v>1091</v>
      </c>
      <c r="D392" t="s">
        <v>27</v>
      </c>
      <c r="E392" t="s">
        <v>15</v>
      </c>
      <c r="F392" t="s">
        <v>28</v>
      </c>
      <c r="G392" t="s">
        <v>22</v>
      </c>
      <c r="H392" t="s">
        <v>37</v>
      </c>
      <c r="I392">
        <v>3013</v>
      </c>
      <c r="J392">
        <v>3</v>
      </c>
      <c r="K392">
        <v>0.05</v>
      </c>
      <c r="L392">
        <v>1502</v>
      </c>
      <c r="M392" t="s">
        <v>31</v>
      </c>
      <c r="N392">
        <v>8587.0499999999993</v>
      </c>
      <c r="O392" t="str">
        <f>TEXT(SalesData[[#This Row],[Order_Date]],"mmm")</f>
        <v>Jan</v>
      </c>
      <c r="P392">
        <f>YEAR(SalesData[[#This Row],[Order_Date]])</f>
        <v>2025</v>
      </c>
      <c r="Q392" t="str">
        <f>"Q"&amp;ROUNDUP(MONTH(SalesData[[#This Row],[Order_Date]])/3,0)</f>
        <v>Q1</v>
      </c>
      <c r="R392" s="2">
        <f>IFERROR(SalesData[[#This Row],[Profit]]/SalesData[[#This Row],[Sales]],0)</f>
        <v>0.17491455156310959</v>
      </c>
      <c r="S392" s="2">
        <f>SalesData[[#This Row],[Price]]*SalesData[[#This Row],[Quantity]]*SalesData[[#This Row],[Discount]]</f>
        <v>451.95000000000005</v>
      </c>
      <c r="T392" s="2" t="str">
        <f>IF(SalesData[[#This Row],[Sales]]&gt;5000,"High",IF(SalesData[[#This Row],[Sales]]&gt;2000,"Medium","Low"))</f>
        <v>High</v>
      </c>
      <c r="U392" s="2" t="str">
        <f>IF(COUNTIFS(SalesData[Customer_ID],SalesData[[#This Row],[Customer_ID]])&gt;1,"Repeat","New")</f>
        <v>Repeat</v>
      </c>
      <c r="V392" s="2" t="str">
        <f>IF(SalesData[[#This Row],[Sales]]&gt;AVERAGE(SalesData[Sales]),"Above Avg","Below Avg")</f>
        <v>Below Avg</v>
      </c>
      <c r="W392" s="2" t="str">
        <f>IF(SalesData[[#This Row],[Profit]]&gt;0,"Profit","Loss")</f>
        <v>Profit</v>
      </c>
      <c r="X392" s="2">
        <f>RANK(SalesData[[#This Row],[Sales]],SalesData[Sales])</f>
        <v>237</v>
      </c>
    </row>
    <row r="393" spans="1:24" x14ac:dyDescent="0.3">
      <c r="A393">
        <v>392</v>
      </c>
      <c r="B393" s="1">
        <v>45683</v>
      </c>
      <c r="C393">
        <v>1079</v>
      </c>
      <c r="D393" t="s">
        <v>139</v>
      </c>
      <c r="E393" t="s">
        <v>24</v>
      </c>
      <c r="F393" t="s">
        <v>33</v>
      </c>
      <c r="G393" t="s">
        <v>22</v>
      </c>
      <c r="H393" t="s">
        <v>25</v>
      </c>
      <c r="I393">
        <v>3266</v>
      </c>
      <c r="J393">
        <v>8</v>
      </c>
      <c r="K393">
        <v>0.19</v>
      </c>
      <c r="L393">
        <v>658</v>
      </c>
      <c r="M393" t="s">
        <v>19</v>
      </c>
      <c r="N393">
        <v>21163.68</v>
      </c>
      <c r="O393" t="str">
        <f>TEXT(SalesData[[#This Row],[Order_Date]],"mmm")</f>
        <v>Jan</v>
      </c>
      <c r="P393">
        <f>YEAR(SalesData[[#This Row],[Order_Date]])</f>
        <v>2025</v>
      </c>
      <c r="Q393" t="str">
        <f>"Q"&amp;ROUNDUP(MONTH(SalesData[[#This Row],[Order_Date]])/3,0)</f>
        <v>Q1</v>
      </c>
      <c r="R393" s="2">
        <f>IFERROR(SalesData[[#This Row],[Profit]]/SalesData[[#This Row],[Sales]],0)</f>
        <v>3.1091001186939134E-2</v>
      </c>
      <c r="S393" s="2">
        <f>SalesData[[#This Row],[Price]]*SalesData[[#This Row],[Quantity]]*SalesData[[#This Row],[Discount]]</f>
        <v>4964.32</v>
      </c>
      <c r="T393" s="2" t="str">
        <f>IF(SalesData[[#This Row],[Sales]]&gt;5000,"High",IF(SalesData[[#This Row],[Sales]]&gt;2000,"Medium","Low"))</f>
        <v>High</v>
      </c>
      <c r="U393" s="2" t="str">
        <f>IF(COUNTIFS(SalesData[Customer_ID],SalesData[[#This Row],[Customer_ID]])&gt;1,"Repeat","New")</f>
        <v>Repeat</v>
      </c>
      <c r="V393" s="2" t="str">
        <f>IF(SalesData[[#This Row],[Sales]]&gt;AVERAGE(SalesData[Sales]),"Above Avg","Below Avg")</f>
        <v>Above Avg</v>
      </c>
      <c r="W393" s="2" t="str">
        <f>IF(SalesData[[#This Row],[Profit]]&gt;0,"Profit","Loss")</f>
        <v>Profit</v>
      </c>
      <c r="X393" s="2">
        <f>RANK(SalesData[[#This Row],[Sales]],SalesData[Sales])</f>
        <v>73</v>
      </c>
    </row>
    <row r="394" spans="1:24" x14ac:dyDescent="0.3">
      <c r="A394">
        <v>393</v>
      </c>
      <c r="B394" s="1">
        <v>45684</v>
      </c>
      <c r="C394">
        <v>1091</v>
      </c>
      <c r="D394" t="s">
        <v>80</v>
      </c>
      <c r="E394" t="s">
        <v>15</v>
      </c>
      <c r="F394" t="s">
        <v>16</v>
      </c>
      <c r="G394" t="s">
        <v>22</v>
      </c>
      <c r="H394" t="s">
        <v>37</v>
      </c>
      <c r="I394">
        <v>4888</v>
      </c>
      <c r="J394">
        <v>7</v>
      </c>
      <c r="K394">
        <v>0.01</v>
      </c>
      <c r="L394">
        <v>249</v>
      </c>
      <c r="M394" t="s">
        <v>31</v>
      </c>
      <c r="N394">
        <v>33873.839999999997</v>
      </c>
      <c r="O394" t="str">
        <f>TEXT(SalesData[[#This Row],[Order_Date]],"mmm")</f>
        <v>Jan</v>
      </c>
      <c r="P394">
        <f>YEAR(SalesData[[#This Row],[Order_Date]])</f>
        <v>2025</v>
      </c>
      <c r="Q394" t="str">
        <f>"Q"&amp;ROUNDUP(MONTH(SalesData[[#This Row],[Order_Date]])/3,0)</f>
        <v>Q1</v>
      </c>
      <c r="R394" s="2">
        <f>IFERROR(SalesData[[#This Row],[Profit]]/SalesData[[#This Row],[Sales]],0)</f>
        <v>7.3508052231456497E-3</v>
      </c>
      <c r="S394" s="2">
        <f>SalesData[[#This Row],[Price]]*SalesData[[#This Row],[Quantity]]*SalesData[[#This Row],[Discount]]</f>
        <v>342.16</v>
      </c>
      <c r="T394" s="2" t="str">
        <f>IF(SalesData[[#This Row],[Sales]]&gt;5000,"High",IF(SalesData[[#This Row],[Sales]]&gt;2000,"Medium","Low"))</f>
        <v>High</v>
      </c>
      <c r="U394" s="2" t="str">
        <f>IF(COUNTIFS(SalesData[Customer_ID],SalesData[[#This Row],[Customer_ID]])&gt;1,"Repeat","New")</f>
        <v>Repeat</v>
      </c>
      <c r="V394" s="2" t="str">
        <f>IF(SalesData[[#This Row],[Sales]]&gt;AVERAGE(SalesData[Sales]),"Above Avg","Below Avg")</f>
        <v>Above Avg</v>
      </c>
      <c r="W394" s="2" t="str">
        <f>IF(SalesData[[#This Row],[Profit]]&gt;0,"Profit","Loss")</f>
        <v>Profit</v>
      </c>
      <c r="X394" s="2">
        <f>RANK(SalesData[[#This Row],[Sales]],SalesData[Sales])</f>
        <v>15</v>
      </c>
    </row>
    <row r="395" spans="1:24" x14ac:dyDescent="0.3">
      <c r="A395">
        <v>394</v>
      </c>
      <c r="B395" s="1">
        <v>45685</v>
      </c>
      <c r="C395">
        <v>1078</v>
      </c>
      <c r="D395" t="s">
        <v>110</v>
      </c>
      <c r="E395" t="s">
        <v>24</v>
      </c>
      <c r="F395" t="s">
        <v>16</v>
      </c>
      <c r="G395" t="s">
        <v>17</v>
      </c>
      <c r="H395" t="s">
        <v>29</v>
      </c>
      <c r="I395">
        <v>4543</v>
      </c>
      <c r="J395">
        <v>1</v>
      </c>
      <c r="K395">
        <v>0.21</v>
      </c>
      <c r="L395">
        <v>62</v>
      </c>
      <c r="M395" t="s">
        <v>19</v>
      </c>
      <c r="N395">
        <v>3588.97</v>
      </c>
      <c r="O395" t="str">
        <f>TEXT(SalesData[[#This Row],[Order_Date]],"mmm")</f>
        <v>Jan</v>
      </c>
      <c r="P395">
        <f>YEAR(SalesData[[#This Row],[Order_Date]])</f>
        <v>2025</v>
      </c>
      <c r="Q395" t="str">
        <f>"Q"&amp;ROUNDUP(MONTH(SalesData[[#This Row],[Order_Date]])/3,0)</f>
        <v>Q1</v>
      </c>
      <c r="R395" s="2">
        <f>IFERROR(SalesData[[#This Row],[Profit]]/SalesData[[#This Row],[Sales]],0)</f>
        <v>1.7275151366548065E-2</v>
      </c>
      <c r="S395" s="2">
        <f>SalesData[[#This Row],[Price]]*SalesData[[#This Row],[Quantity]]*SalesData[[#This Row],[Discount]]</f>
        <v>954.03</v>
      </c>
      <c r="T395" s="2" t="str">
        <f>IF(SalesData[[#This Row],[Sales]]&gt;5000,"High",IF(SalesData[[#This Row],[Sales]]&gt;2000,"Medium","Low"))</f>
        <v>Medium</v>
      </c>
      <c r="U395" s="2" t="str">
        <f>IF(COUNTIFS(SalesData[Customer_ID],SalesData[[#This Row],[Customer_ID]])&gt;1,"Repeat","New")</f>
        <v>Repeat</v>
      </c>
      <c r="V395" s="2" t="str">
        <f>IF(SalesData[[#This Row],[Sales]]&gt;AVERAGE(SalesData[Sales]),"Above Avg","Below Avg")</f>
        <v>Below Avg</v>
      </c>
      <c r="W395" s="2" t="str">
        <f>IF(SalesData[[#This Row],[Profit]]&gt;0,"Profit","Loss")</f>
        <v>Profit</v>
      </c>
      <c r="X395" s="2">
        <f>RANK(SalesData[[#This Row],[Sales]],SalesData[Sales])</f>
        <v>370</v>
      </c>
    </row>
    <row r="396" spans="1:24" x14ac:dyDescent="0.3">
      <c r="A396">
        <v>395</v>
      </c>
      <c r="B396" s="1">
        <v>45686</v>
      </c>
      <c r="C396">
        <v>1021</v>
      </c>
      <c r="D396" t="s">
        <v>102</v>
      </c>
      <c r="E396" t="s">
        <v>24</v>
      </c>
      <c r="F396" t="s">
        <v>28</v>
      </c>
      <c r="G396" t="s">
        <v>22</v>
      </c>
      <c r="H396" t="s">
        <v>29</v>
      </c>
      <c r="I396">
        <v>2496</v>
      </c>
      <c r="J396">
        <v>3</v>
      </c>
      <c r="K396">
        <v>0.28000000000000003</v>
      </c>
      <c r="L396">
        <v>455</v>
      </c>
      <c r="M396" t="s">
        <v>26</v>
      </c>
      <c r="N396">
        <v>5391.36</v>
      </c>
      <c r="O396" t="str">
        <f>TEXT(SalesData[[#This Row],[Order_Date]],"mmm")</f>
        <v>Jan</v>
      </c>
      <c r="P396">
        <f>YEAR(SalesData[[#This Row],[Order_Date]])</f>
        <v>2025</v>
      </c>
      <c r="Q396" t="str">
        <f>"Q"&amp;ROUNDUP(MONTH(SalesData[[#This Row],[Order_Date]])/3,0)</f>
        <v>Q1</v>
      </c>
      <c r="R396" s="2">
        <f>IFERROR(SalesData[[#This Row],[Profit]]/SalesData[[#This Row],[Sales]],0)</f>
        <v>8.4394290123456797E-2</v>
      </c>
      <c r="S396" s="2">
        <f>SalesData[[#This Row],[Price]]*SalesData[[#This Row],[Quantity]]*SalesData[[#This Row],[Discount]]</f>
        <v>2096.6400000000003</v>
      </c>
      <c r="T396" s="2" t="str">
        <f>IF(SalesData[[#This Row],[Sales]]&gt;5000,"High",IF(SalesData[[#This Row],[Sales]]&gt;2000,"Medium","Low"))</f>
        <v>High</v>
      </c>
      <c r="U396" s="2" t="str">
        <f>IF(COUNTIFS(SalesData[Customer_ID],SalesData[[#This Row],[Customer_ID]])&gt;1,"Repeat","New")</f>
        <v>Repeat</v>
      </c>
      <c r="V396" s="2" t="str">
        <f>IF(SalesData[[#This Row],[Sales]]&gt;AVERAGE(SalesData[Sales]),"Above Avg","Below Avg")</f>
        <v>Below Avg</v>
      </c>
      <c r="W396" s="2" t="str">
        <f>IF(SalesData[[#This Row],[Profit]]&gt;0,"Profit","Loss")</f>
        <v>Profit</v>
      </c>
      <c r="X396" s="2">
        <f>RANK(SalesData[[#This Row],[Sales]],SalesData[Sales])</f>
        <v>313</v>
      </c>
    </row>
    <row r="397" spans="1:24" x14ac:dyDescent="0.3">
      <c r="A397">
        <v>396</v>
      </c>
      <c r="B397" s="1">
        <v>45687</v>
      </c>
      <c r="C397">
        <v>1030</v>
      </c>
      <c r="D397" t="s">
        <v>139</v>
      </c>
      <c r="E397" t="s">
        <v>15</v>
      </c>
      <c r="F397" t="s">
        <v>28</v>
      </c>
      <c r="G397" t="s">
        <v>22</v>
      </c>
      <c r="H397" t="s">
        <v>37</v>
      </c>
      <c r="I397">
        <v>1506</v>
      </c>
      <c r="J397">
        <v>3</v>
      </c>
      <c r="K397">
        <v>0.21</v>
      </c>
      <c r="L397">
        <v>-309</v>
      </c>
      <c r="M397" t="s">
        <v>19</v>
      </c>
      <c r="N397">
        <v>3569.22</v>
      </c>
      <c r="O397" t="str">
        <f>TEXT(SalesData[[#This Row],[Order_Date]],"mmm")</f>
        <v>Jan</v>
      </c>
      <c r="P397">
        <f>YEAR(SalesData[[#This Row],[Order_Date]])</f>
        <v>2025</v>
      </c>
      <c r="Q397" t="str">
        <f>"Q"&amp;ROUNDUP(MONTH(SalesData[[#This Row],[Order_Date]])/3,0)</f>
        <v>Q1</v>
      </c>
      <c r="R397" s="2">
        <f>IFERROR(SalesData[[#This Row],[Profit]]/SalesData[[#This Row],[Sales]],0)</f>
        <v>-8.6573537075327389E-2</v>
      </c>
      <c r="S397" s="2">
        <f>SalesData[[#This Row],[Price]]*SalesData[[#This Row],[Quantity]]*SalesData[[#This Row],[Discount]]</f>
        <v>948.78</v>
      </c>
      <c r="T397" s="2" t="str">
        <f>IF(SalesData[[#This Row],[Sales]]&gt;5000,"High",IF(SalesData[[#This Row],[Sales]]&gt;2000,"Medium","Low"))</f>
        <v>Medium</v>
      </c>
      <c r="U397" s="2" t="str">
        <f>IF(COUNTIFS(SalesData[Customer_ID],SalesData[[#This Row],[Customer_ID]])&gt;1,"Repeat","New")</f>
        <v>Repeat</v>
      </c>
      <c r="V397" s="2" t="str">
        <f>IF(SalesData[[#This Row],[Sales]]&gt;AVERAGE(SalesData[Sales]),"Above Avg","Below Avg")</f>
        <v>Below Avg</v>
      </c>
      <c r="W397" s="2" t="str">
        <f>IF(SalesData[[#This Row],[Profit]]&gt;0,"Profit","Loss")</f>
        <v>Loss</v>
      </c>
      <c r="X397" s="2">
        <f>RANK(SalesData[[#This Row],[Sales]],SalesData[Sales])</f>
        <v>373</v>
      </c>
    </row>
    <row r="398" spans="1:24" x14ac:dyDescent="0.3">
      <c r="A398">
        <v>397</v>
      </c>
      <c r="B398" s="1">
        <v>45688</v>
      </c>
      <c r="C398">
        <v>1059</v>
      </c>
      <c r="D398" t="s">
        <v>124</v>
      </c>
      <c r="E398" t="s">
        <v>24</v>
      </c>
      <c r="F398" t="s">
        <v>33</v>
      </c>
      <c r="G398" t="s">
        <v>34</v>
      </c>
      <c r="H398" t="s">
        <v>18</v>
      </c>
      <c r="I398">
        <v>593</v>
      </c>
      <c r="J398">
        <v>4</v>
      </c>
      <c r="K398">
        <v>0.17</v>
      </c>
      <c r="L398">
        <v>1059</v>
      </c>
      <c r="M398" t="s">
        <v>26</v>
      </c>
      <c r="N398">
        <v>1968.76</v>
      </c>
      <c r="O398" t="str">
        <f>TEXT(SalesData[[#This Row],[Order_Date]],"mmm")</f>
        <v>Jan</v>
      </c>
      <c r="P398">
        <f>YEAR(SalesData[[#This Row],[Order_Date]])</f>
        <v>2025</v>
      </c>
      <c r="Q398" t="str">
        <f>"Q"&amp;ROUNDUP(MONTH(SalesData[[#This Row],[Order_Date]])/3,0)</f>
        <v>Q1</v>
      </c>
      <c r="R398" s="2">
        <f>IFERROR(SalesData[[#This Row],[Profit]]/SalesData[[#This Row],[Sales]],0)</f>
        <v>0.53790202970397616</v>
      </c>
      <c r="S398" s="2">
        <f>SalesData[[#This Row],[Price]]*SalesData[[#This Row],[Quantity]]*SalesData[[#This Row],[Discount]]</f>
        <v>403.24</v>
      </c>
      <c r="T398" s="2" t="str">
        <f>IF(SalesData[[#This Row],[Sales]]&gt;5000,"High",IF(SalesData[[#This Row],[Sales]]&gt;2000,"Medium","Low"))</f>
        <v>Low</v>
      </c>
      <c r="U398" s="2" t="str">
        <f>IF(COUNTIFS(SalesData[Customer_ID],SalesData[[#This Row],[Customer_ID]])&gt;1,"Repeat","New")</f>
        <v>Repeat</v>
      </c>
      <c r="V398" s="2" t="str">
        <f>IF(SalesData[[#This Row],[Sales]]&gt;AVERAGE(SalesData[Sales]),"Above Avg","Below Avg")</f>
        <v>Below Avg</v>
      </c>
      <c r="W398" s="2" t="str">
        <f>IF(SalesData[[#This Row],[Profit]]&gt;0,"Profit","Loss")</f>
        <v>Profit</v>
      </c>
      <c r="X398" s="2">
        <f>RANK(SalesData[[#This Row],[Sales]],SalesData[Sales])</f>
        <v>432</v>
      </c>
    </row>
    <row r="399" spans="1:24" x14ac:dyDescent="0.3">
      <c r="A399">
        <v>398</v>
      </c>
      <c r="B399" s="1">
        <v>45689</v>
      </c>
      <c r="C399">
        <v>1084</v>
      </c>
      <c r="D399" t="s">
        <v>205</v>
      </c>
      <c r="E399" t="s">
        <v>24</v>
      </c>
      <c r="F399" t="s">
        <v>33</v>
      </c>
      <c r="G399" t="s">
        <v>34</v>
      </c>
      <c r="H399" t="s">
        <v>18</v>
      </c>
      <c r="I399">
        <v>2132</v>
      </c>
      <c r="J399">
        <v>1</v>
      </c>
      <c r="K399">
        <v>0.24</v>
      </c>
      <c r="L399">
        <v>1264</v>
      </c>
      <c r="M399" t="s">
        <v>31</v>
      </c>
      <c r="N399">
        <v>1620.32</v>
      </c>
      <c r="O399" t="str">
        <f>TEXT(SalesData[[#This Row],[Order_Date]],"mmm")</f>
        <v>Feb</v>
      </c>
      <c r="P399">
        <f>YEAR(SalesData[[#This Row],[Order_Date]])</f>
        <v>2025</v>
      </c>
      <c r="Q399" t="str">
        <f>"Q"&amp;ROUNDUP(MONTH(SalesData[[#This Row],[Order_Date]])/3,0)</f>
        <v>Q1</v>
      </c>
      <c r="R399" s="2">
        <f>IFERROR(SalesData[[#This Row],[Profit]]/SalesData[[#This Row],[Sales]],0)</f>
        <v>0.78009282117112677</v>
      </c>
      <c r="S399" s="2">
        <f>SalesData[[#This Row],[Price]]*SalesData[[#This Row],[Quantity]]*SalesData[[#This Row],[Discount]]</f>
        <v>511.68</v>
      </c>
      <c r="T399" s="2" t="str">
        <f>IF(SalesData[[#This Row],[Sales]]&gt;5000,"High",IF(SalesData[[#This Row],[Sales]]&gt;2000,"Medium","Low"))</f>
        <v>Low</v>
      </c>
      <c r="U399" s="2" t="str">
        <f>IF(COUNTIFS(SalesData[Customer_ID],SalesData[[#This Row],[Customer_ID]])&gt;1,"Repeat","New")</f>
        <v>Repeat</v>
      </c>
      <c r="V399" s="2" t="str">
        <f>IF(SalesData[[#This Row],[Sales]]&gt;AVERAGE(SalesData[Sales]),"Above Avg","Below Avg")</f>
        <v>Below Avg</v>
      </c>
      <c r="W399" s="2" t="str">
        <f>IF(SalesData[[#This Row],[Profit]]&gt;0,"Profit","Loss")</f>
        <v>Profit</v>
      </c>
      <c r="X399" s="2">
        <f>RANK(SalesData[[#This Row],[Sales]],SalesData[Sales])</f>
        <v>451</v>
      </c>
    </row>
    <row r="400" spans="1:24" x14ac:dyDescent="0.3">
      <c r="A400">
        <v>399</v>
      </c>
      <c r="B400" s="1">
        <v>45690</v>
      </c>
      <c r="C400">
        <v>1031</v>
      </c>
      <c r="D400" t="s">
        <v>169</v>
      </c>
      <c r="E400" t="s">
        <v>15</v>
      </c>
      <c r="F400" t="s">
        <v>33</v>
      </c>
      <c r="G400" t="s">
        <v>34</v>
      </c>
      <c r="H400" t="s">
        <v>18</v>
      </c>
      <c r="I400">
        <v>160</v>
      </c>
      <c r="J400">
        <v>9</v>
      </c>
      <c r="K400">
        <v>0.22</v>
      </c>
      <c r="L400">
        <v>121</v>
      </c>
      <c r="M400" t="s">
        <v>19</v>
      </c>
      <c r="N400">
        <v>1123.2</v>
      </c>
      <c r="O400" t="str">
        <f>TEXT(SalesData[[#This Row],[Order_Date]],"mmm")</f>
        <v>Feb</v>
      </c>
      <c r="P400">
        <f>YEAR(SalesData[[#This Row],[Order_Date]])</f>
        <v>2025</v>
      </c>
      <c r="Q400" t="str">
        <f>"Q"&amp;ROUNDUP(MONTH(SalesData[[#This Row],[Order_Date]])/3,0)</f>
        <v>Q1</v>
      </c>
      <c r="R400" s="2">
        <f>IFERROR(SalesData[[#This Row],[Profit]]/SalesData[[#This Row],[Sales]],0)</f>
        <v>0.10772792022792023</v>
      </c>
      <c r="S400" s="2">
        <f>SalesData[[#This Row],[Price]]*SalesData[[#This Row],[Quantity]]*SalesData[[#This Row],[Discount]]</f>
        <v>316.8</v>
      </c>
      <c r="T400" s="2" t="str">
        <f>IF(SalesData[[#This Row],[Sales]]&gt;5000,"High",IF(SalesData[[#This Row],[Sales]]&gt;2000,"Medium","Low"))</f>
        <v>Low</v>
      </c>
      <c r="U400" s="2" t="str">
        <f>IF(COUNTIFS(SalesData[Customer_ID],SalesData[[#This Row],[Customer_ID]])&gt;1,"Repeat","New")</f>
        <v>New</v>
      </c>
      <c r="V400" s="2" t="str">
        <f>IF(SalesData[[#This Row],[Sales]]&gt;AVERAGE(SalesData[Sales]),"Above Avg","Below Avg")</f>
        <v>Below Avg</v>
      </c>
      <c r="W400" s="2" t="str">
        <f>IF(SalesData[[#This Row],[Profit]]&gt;0,"Profit","Loss")</f>
        <v>Profit</v>
      </c>
      <c r="X400" s="2">
        <f>RANK(SalesData[[#This Row],[Sales]],SalesData[Sales])</f>
        <v>473</v>
      </c>
    </row>
    <row r="401" spans="1:24" x14ac:dyDescent="0.3">
      <c r="A401">
        <v>400</v>
      </c>
      <c r="B401" s="1">
        <v>45691</v>
      </c>
      <c r="C401">
        <v>1070</v>
      </c>
      <c r="D401" t="s">
        <v>130</v>
      </c>
      <c r="E401" t="s">
        <v>15</v>
      </c>
      <c r="F401" t="s">
        <v>21</v>
      </c>
      <c r="G401" t="s">
        <v>34</v>
      </c>
      <c r="H401" t="s">
        <v>29</v>
      </c>
      <c r="I401">
        <v>1845</v>
      </c>
      <c r="J401">
        <v>2</v>
      </c>
      <c r="K401">
        <v>0.18</v>
      </c>
      <c r="L401">
        <v>-188</v>
      </c>
      <c r="M401" t="s">
        <v>31</v>
      </c>
      <c r="N401">
        <v>3025.8</v>
      </c>
      <c r="O401" t="str">
        <f>TEXT(SalesData[[#This Row],[Order_Date]],"mmm")</f>
        <v>Feb</v>
      </c>
      <c r="P401">
        <f>YEAR(SalesData[[#This Row],[Order_Date]])</f>
        <v>2025</v>
      </c>
      <c r="Q401" t="str">
        <f>"Q"&amp;ROUNDUP(MONTH(SalesData[[#This Row],[Order_Date]])/3,0)</f>
        <v>Q1</v>
      </c>
      <c r="R401" s="2">
        <f>IFERROR(SalesData[[#This Row],[Profit]]/SalesData[[#This Row],[Sales]],0)</f>
        <v>-6.2132328640359571E-2</v>
      </c>
      <c r="S401" s="2">
        <f>SalesData[[#This Row],[Price]]*SalesData[[#This Row],[Quantity]]*SalesData[[#This Row],[Discount]]</f>
        <v>664.19999999999993</v>
      </c>
      <c r="T401" s="2" t="str">
        <f>IF(SalesData[[#This Row],[Sales]]&gt;5000,"High",IF(SalesData[[#This Row],[Sales]]&gt;2000,"Medium","Low"))</f>
        <v>Medium</v>
      </c>
      <c r="U401" s="2" t="str">
        <f>IF(COUNTIFS(SalesData[Customer_ID],SalesData[[#This Row],[Customer_ID]])&gt;1,"Repeat","New")</f>
        <v>Repeat</v>
      </c>
      <c r="V401" s="2" t="str">
        <f>IF(SalesData[[#This Row],[Sales]]&gt;AVERAGE(SalesData[Sales]),"Above Avg","Below Avg")</f>
        <v>Below Avg</v>
      </c>
      <c r="W401" s="2" t="str">
        <f>IF(SalesData[[#This Row],[Profit]]&gt;0,"Profit","Loss")</f>
        <v>Loss</v>
      </c>
      <c r="X401" s="2">
        <f>RANK(SalesData[[#This Row],[Sales]],SalesData[Sales])</f>
        <v>391</v>
      </c>
    </row>
    <row r="402" spans="1:24" x14ac:dyDescent="0.3">
      <c r="A402">
        <v>401</v>
      </c>
      <c r="B402" s="1">
        <v>45692</v>
      </c>
      <c r="C402">
        <v>1096</v>
      </c>
      <c r="D402" t="s">
        <v>121</v>
      </c>
      <c r="E402" t="s">
        <v>15</v>
      </c>
      <c r="F402" t="s">
        <v>21</v>
      </c>
      <c r="G402" t="s">
        <v>17</v>
      </c>
      <c r="H402" t="s">
        <v>37</v>
      </c>
      <c r="I402">
        <v>3601</v>
      </c>
      <c r="J402">
        <v>7</v>
      </c>
      <c r="K402">
        <v>0.06</v>
      </c>
      <c r="L402">
        <v>774</v>
      </c>
      <c r="M402" t="s">
        <v>26</v>
      </c>
      <c r="N402">
        <v>23694.5799999999</v>
      </c>
      <c r="O402" t="str">
        <f>TEXT(SalesData[[#This Row],[Order_Date]],"mmm")</f>
        <v>Feb</v>
      </c>
      <c r="P402">
        <f>YEAR(SalesData[[#This Row],[Order_Date]])</f>
        <v>2025</v>
      </c>
      <c r="Q402" t="str">
        <f>"Q"&amp;ROUNDUP(MONTH(SalesData[[#This Row],[Order_Date]])/3,0)</f>
        <v>Q1</v>
      </c>
      <c r="R402" s="2">
        <f>IFERROR(SalesData[[#This Row],[Profit]]/SalesData[[#This Row],[Sales]],0)</f>
        <v>3.2665698231410023E-2</v>
      </c>
      <c r="S402" s="2">
        <f>SalesData[[#This Row],[Price]]*SalesData[[#This Row],[Quantity]]*SalesData[[#This Row],[Discount]]</f>
        <v>1512.4199999999998</v>
      </c>
      <c r="T402" s="2" t="str">
        <f>IF(SalesData[[#This Row],[Sales]]&gt;5000,"High",IF(SalesData[[#This Row],[Sales]]&gt;2000,"Medium","Low"))</f>
        <v>High</v>
      </c>
      <c r="U402" s="2" t="str">
        <f>IF(COUNTIFS(SalesData[Customer_ID],SalesData[[#This Row],[Customer_ID]])&gt;1,"Repeat","New")</f>
        <v>Repeat</v>
      </c>
      <c r="V402" s="2" t="str">
        <f>IF(SalesData[[#This Row],[Sales]]&gt;AVERAGE(SalesData[Sales]),"Above Avg","Below Avg")</f>
        <v>Above Avg</v>
      </c>
      <c r="W402" s="2" t="str">
        <f>IF(SalesData[[#This Row],[Profit]]&gt;0,"Profit","Loss")</f>
        <v>Profit</v>
      </c>
      <c r="X402" s="2">
        <f>RANK(SalesData[[#This Row],[Sales]],SalesData[Sales])</f>
        <v>54</v>
      </c>
    </row>
    <row r="403" spans="1:24" x14ac:dyDescent="0.3">
      <c r="A403">
        <v>402</v>
      </c>
      <c r="B403" s="1">
        <v>45693</v>
      </c>
      <c r="C403">
        <v>1007</v>
      </c>
      <c r="D403" t="s">
        <v>56</v>
      </c>
      <c r="E403" t="s">
        <v>15</v>
      </c>
      <c r="F403" t="s">
        <v>28</v>
      </c>
      <c r="G403" t="s">
        <v>22</v>
      </c>
      <c r="H403" t="s">
        <v>25</v>
      </c>
      <c r="I403">
        <v>1056</v>
      </c>
      <c r="J403">
        <v>2</v>
      </c>
      <c r="K403">
        <v>0</v>
      </c>
      <c r="L403">
        <v>1283</v>
      </c>
      <c r="M403" t="s">
        <v>19</v>
      </c>
      <c r="N403">
        <v>2112</v>
      </c>
      <c r="O403" t="str">
        <f>TEXT(SalesData[[#This Row],[Order_Date]],"mmm")</f>
        <v>Feb</v>
      </c>
      <c r="P403">
        <f>YEAR(SalesData[[#This Row],[Order_Date]])</f>
        <v>2025</v>
      </c>
      <c r="Q403" t="str">
        <f>"Q"&amp;ROUNDUP(MONTH(SalesData[[#This Row],[Order_Date]])/3,0)</f>
        <v>Q1</v>
      </c>
      <c r="R403" s="2">
        <f>IFERROR(SalesData[[#This Row],[Profit]]/SalesData[[#This Row],[Sales]],0)</f>
        <v>0.60748106060606055</v>
      </c>
      <c r="S403" s="2">
        <f>SalesData[[#This Row],[Price]]*SalesData[[#This Row],[Quantity]]*SalesData[[#This Row],[Discount]]</f>
        <v>0</v>
      </c>
      <c r="T403" s="2" t="str">
        <f>IF(SalesData[[#This Row],[Sales]]&gt;5000,"High",IF(SalesData[[#This Row],[Sales]]&gt;2000,"Medium","Low"))</f>
        <v>Medium</v>
      </c>
      <c r="U403" s="2" t="str">
        <f>IF(COUNTIFS(SalesData[Customer_ID],SalesData[[#This Row],[Customer_ID]])&gt;1,"Repeat","New")</f>
        <v>Repeat</v>
      </c>
      <c r="V403" s="2" t="str">
        <f>IF(SalesData[[#This Row],[Sales]]&gt;AVERAGE(SalesData[Sales]),"Above Avg","Below Avg")</f>
        <v>Below Avg</v>
      </c>
      <c r="W403" s="2" t="str">
        <f>IF(SalesData[[#This Row],[Profit]]&gt;0,"Profit","Loss")</f>
        <v>Profit</v>
      </c>
      <c r="X403" s="2">
        <f>RANK(SalesData[[#This Row],[Sales]],SalesData[Sales])</f>
        <v>422</v>
      </c>
    </row>
    <row r="404" spans="1:24" x14ac:dyDescent="0.3">
      <c r="A404">
        <v>403</v>
      </c>
      <c r="B404" s="1">
        <v>45694</v>
      </c>
      <c r="C404">
        <v>1077</v>
      </c>
      <c r="D404" t="s">
        <v>114</v>
      </c>
      <c r="E404" t="s">
        <v>15</v>
      </c>
      <c r="F404" t="s">
        <v>28</v>
      </c>
      <c r="G404" t="s">
        <v>22</v>
      </c>
      <c r="H404" t="s">
        <v>25</v>
      </c>
      <c r="I404">
        <v>4889</v>
      </c>
      <c r="J404">
        <v>8</v>
      </c>
      <c r="K404">
        <v>0.14000000000000001</v>
      </c>
      <c r="L404">
        <v>517</v>
      </c>
      <c r="M404" t="s">
        <v>19</v>
      </c>
      <c r="N404">
        <v>33636.32</v>
      </c>
      <c r="O404" t="str">
        <f>TEXT(SalesData[[#This Row],[Order_Date]],"mmm")</f>
        <v>Feb</v>
      </c>
      <c r="P404">
        <f>YEAR(SalesData[[#This Row],[Order_Date]])</f>
        <v>2025</v>
      </c>
      <c r="Q404" t="str">
        <f>"Q"&amp;ROUNDUP(MONTH(SalesData[[#This Row],[Order_Date]])/3,0)</f>
        <v>Q1</v>
      </c>
      <c r="R404" s="2">
        <f>IFERROR(SalesData[[#This Row],[Profit]]/SalesData[[#This Row],[Sales]],0)</f>
        <v>1.5370290210106219E-2</v>
      </c>
      <c r="S404" s="2">
        <f>SalesData[[#This Row],[Price]]*SalesData[[#This Row],[Quantity]]*SalesData[[#This Row],[Discount]]</f>
        <v>5475.68</v>
      </c>
      <c r="T404" s="2" t="str">
        <f>IF(SalesData[[#This Row],[Sales]]&gt;5000,"High",IF(SalesData[[#This Row],[Sales]]&gt;2000,"Medium","Low"))</f>
        <v>High</v>
      </c>
      <c r="U404" s="2" t="str">
        <f>IF(COUNTIFS(SalesData[Customer_ID],SalesData[[#This Row],[Customer_ID]])&gt;1,"Repeat","New")</f>
        <v>Repeat</v>
      </c>
      <c r="V404" s="2" t="str">
        <f>IF(SalesData[[#This Row],[Sales]]&gt;AVERAGE(SalesData[Sales]),"Above Avg","Below Avg")</f>
        <v>Above Avg</v>
      </c>
      <c r="W404" s="2" t="str">
        <f>IF(SalesData[[#This Row],[Profit]]&gt;0,"Profit","Loss")</f>
        <v>Profit</v>
      </c>
      <c r="X404" s="2">
        <f>RANK(SalesData[[#This Row],[Sales]],SalesData[Sales])</f>
        <v>16</v>
      </c>
    </row>
    <row r="405" spans="1:24" x14ac:dyDescent="0.3">
      <c r="A405">
        <v>404</v>
      </c>
      <c r="B405" s="1">
        <v>45695</v>
      </c>
      <c r="C405">
        <v>1061</v>
      </c>
      <c r="D405" t="s">
        <v>138</v>
      </c>
      <c r="E405" t="s">
        <v>15</v>
      </c>
      <c r="F405" t="s">
        <v>16</v>
      </c>
      <c r="G405" t="s">
        <v>17</v>
      </c>
      <c r="H405" t="s">
        <v>25</v>
      </c>
      <c r="I405">
        <v>4231</v>
      </c>
      <c r="J405">
        <v>3</v>
      </c>
      <c r="K405">
        <v>7.0000000000000007E-2</v>
      </c>
      <c r="L405">
        <v>-225</v>
      </c>
      <c r="M405" t="s">
        <v>19</v>
      </c>
      <c r="N405">
        <v>11804.49</v>
      </c>
      <c r="O405" t="str">
        <f>TEXT(SalesData[[#This Row],[Order_Date]],"mmm")</f>
        <v>Feb</v>
      </c>
      <c r="P405">
        <f>YEAR(SalesData[[#This Row],[Order_Date]])</f>
        <v>2025</v>
      </c>
      <c r="Q405" t="str">
        <f>"Q"&amp;ROUNDUP(MONTH(SalesData[[#This Row],[Order_Date]])/3,0)</f>
        <v>Q1</v>
      </c>
      <c r="R405" s="2">
        <f>IFERROR(SalesData[[#This Row],[Profit]]/SalesData[[#This Row],[Sales]],0)</f>
        <v>-1.9060543911681063E-2</v>
      </c>
      <c r="S405" s="2">
        <f>SalesData[[#This Row],[Price]]*SalesData[[#This Row],[Quantity]]*SalesData[[#This Row],[Discount]]</f>
        <v>888.5100000000001</v>
      </c>
      <c r="T405" s="2" t="str">
        <f>IF(SalesData[[#This Row],[Sales]]&gt;5000,"High",IF(SalesData[[#This Row],[Sales]]&gt;2000,"Medium","Low"))</f>
        <v>High</v>
      </c>
      <c r="U405" s="2" t="str">
        <f>IF(COUNTIFS(SalesData[Customer_ID],SalesData[[#This Row],[Customer_ID]])&gt;1,"Repeat","New")</f>
        <v>Repeat</v>
      </c>
      <c r="V405" s="2" t="str">
        <f>IF(SalesData[[#This Row],[Sales]]&gt;AVERAGE(SalesData[Sales]),"Above Avg","Below Avg")</f>
        <v>Above Avg</v>
      </c>
      <c r="W405" s="2" t="str">
        <f>IF(SalesData[[#This Row],[Profit]]&gt;0,"Profit","Loss")</f>
        <v>Loss</v>
      </c>
      <c r="X405" s="2">
        <f>RANK(SalesData[[#This Row],[Sales]],SalesData[Sales])</f>
        <v>172</v>
      </c>
    </row>
    <row r="406" spans="1:24" x14ac:dyDescent="0.3">
      <c r="A406">
        <v>405</v>
      </c>
      <c r="B406" s="1">
        <v>45696</v>
      </c>
      <c r="C406">
        <v>1088</v>
      </c>
      <c r="D406" t="s">
        <v>73</v>
      </c>
      <c r="E406" t="s">
        <v>24</v>
      </c>
      <c r="F406" t="s">
        <v>16</v>
      </c>
      <c r="G406" t="s">
        <v>17</v>
      </c>
      <c r="H406" t="s">
        <v>29</v>
      </c>
      <c r="I406">
        <v>2954</v>
      </c>
      <c r="J406">
        <v>6</v>
      </c>
      <c r="K406">
        <v>7.0000000000000007E-2</v>
      </c>
      <c r="L406">
        <v>-111</v>
      </c>
      <c r="M406" t="s">
        <v>31</v>
      </c>
      <c r="N406">
        <v>16483.32</v>
      </c>
      <c r="O406" t="str">
        <f>TEXT(SalesData[[#This Row],[Order_Date]],"mmm")</f>
        <v>Feb</v>
      </c>
      <c r="P406">
        <f>YEAR(SalesData[[#This Row],[Order_Date]])</f>
        <v>2025</v>
      </c>
      <c r="Q406" t="str">
        <f>"Q"&amp;ROUNDUP(MONTH(SalesData[[#This Row],[Order_Date]])/3,0)</f>
        <v>Q1</v>
      </c>
      <c r="R406" s="2">
        <f>IFERROR(SalesData[[#This Row],[Profit]]/SalesData[[#This Row],[Sales]],0)</f>
        <v>-6.7340802702368216E-3</v>
      </c>
      <c r="S406" s="2">
        <f>SalesData[[#This Row],[Price]]*SalesData[[#This Row],[Quantity]]*SalesData[[#This Row],[Discount]]</f>
        <v>1240.68</v>
      </c>
      <c r="T406" s="2" t="str">
        <f>IF(SalesData[[#This Row],[Sales]]&gt;5000,"High",IF(SalesData[[#This Row],[Sales]]&gt;2000,"Medium","Low"))</f>
        <v>High</v>
      </c>
      <c r="U406" s="2" t="str">
        <f>IF(COUNTIFS(SalesData[Customer_ID],SalesData[[#This Row],[Customer_ID]])&gt;1,"Repeat","New")</f>
        <v>Repeat</v>
      </c>
      <c r="V406" s="2" t="str">
        <f>IF(SalesData[[#This Row],[Sales]]&gt;AVERAGE(SalesData[Sales]),"Above Avg","Below Avg")</f>
        <v>Above Avg</v>
      </c>
      <c r="W406" s="2" t="str">
        <f>IF(SalesData[[#This Row],[Profit]]&gt;0,"Profit","Loss")</f>
        <v>Loss</v>
      </c>
      <c r="X406" s="2">
        <f>RANK(SalesData[[#This Row],[Sales]],SalesData[Sales])</f>
        <v>115</v>
      </c>
    </row>
    <row r="407" spans="1:24" x14ac:dyDescent="0.3">
      <c r="A407">
        <v>406</v>
      </c>
      <c r="B407" s="1">
        <v>45697</v>
      </c>
      <c r="C407">
        <v>1095</v>
      </c>
      <c r="D407" t="s">
        <v>181</v>
      </c>
      <c r="E407" t="s">
        <v>24</v>
      </c>
      <c r="F407" t="s">
        <v>28</v>
      </c>
      <c r="G407" t="s">
        <v>17</v>
      </c>
      <c r="H407" t="s">
        <v>25</v>
      </c>
      <c r="I407">
        <v>3263</v>
      </c>
      <c r="J407">
        <v>8</v>
      </c>
      <c r="K407">
        <v>0.15</v>
      </c>
      <c r="L407">
        <v>562</v>
      </c>
      <c r="M407" t="s">
        <v>31</v>
      </c>
      <c r="N407">
        <v>22188.3999999999</v>
      </c>
      <c r="O407" t="str">
        <f>TEXT(SalesData[[#This Row],[Order_Date]],"mmm")</f>
        <v>Feb</v>
      </c>
      <c r="P407">
        <f>YEAR(SalesData[[#This Row],[Order_Date]])</f>
        <v>2025</v>
      </c>
      <c r="Q407" t="str">
        <f>"Q"&amp;ROUNDUP(MONTH(SalesData[[#This Row],[Order_Date]])/3,0)</f>
        <v>Q1</v>
      </c>
      <c r="R407" s="2">
        <f>IFERROR(SalesData[[#This Row],[Profit]]/SalesData[[#This Row],[Sales]],0)</f>
        <v>2.5328550053181055E-2</v>
      </c>
      <c r="S407" s="2">
        <f>SalesData[[#This Row],[Price]]*SalesData[[#This Row],[Quantity]]*SalesData[[#This Row],[Discount]]</f>
        <v>3915.6</v>
      </c>
      <c r="T407" s="2" t="str">
        <f>IF(SalesData[[#This Row],[Sales]]&gt;5000,"High",IF(SalesData[[#This Row],[Sales]]&gt;2000,"Medium","Low"))</f>
        <v>High</v>
      </c>
      <c r="U407" s="2" t="str">
        <f>IF(COUNTIFS(SalesData[Customer_ID],SalesData[[#This Row],[Customer_ID]])&gt;1,"Repeat","New")</f>
        <v>Repeat</v>
      </c>
      <c r="V407" s="2" t="str">
        <f>IF(SalesData[[#This Row],[Sales]]&gt;AVERAGE(SalesData[Sales]),"Above Avg","Below Avg")</f>
        <v>Above Avg</v>
      </c>
      <c r="W407" s="2" t="str">
        <f>IF(SalesData[[#This Row],[Profit]]&gt;0,"Profit","Loss")</f>
        <v>Profit</v>
      </c>
      <c r="X407" s="2">
        <f>RANK(SalesData[[#This Row],[Sales]],SalesData[Sales])</f>
        <v>65</v>
      </c>
    </row>
    <row r="408" spans="1:24" x14ac:dyDescent="0.3">
      <c r="A408">
        <v>407</v>
      </c>
      <c r="B408" s="1">
        <v>45698</v>
      </c>
      <c r="C408">
        <v>1027</v>
      </c>
      <c r="D408" t="s">
        <v>30</v>
      </c>
      <c r="E408" t="s">
        <v>24</v>
      </c>
      <c r="F408" t="s">
        <v>33</v>
      </c>
      <c r="G408" t="s">
        <v>17</v>
      </c>
      <c r="H408" t="s">
        <v>25</v>
      </c>
      <c r="I408">
        <v>1024</v>
      </c>
      <c r="J408">
        <v>5</v>
      </c>
      <c r="K408">
        <v>0.11</v>
      </c>
      <c r="L408">
        <v>538</v>
      </c>
      <c r="M408" t="s">
        <v>31</v>
      </c>
      <c r="N408">
        <v>4556.8</v>
      </c>
      <c r="O408" t="str">
        <f>TEXT(SalesData[[#This Row],[Order_Date]],"mmm")</f>
        <v>Feb</v>
      </c>
      <c r="P408">
        <f>YEAR(SalesData[[#This Row],[Order_Date]])</f>
        <v>2025</v>
      </c>
      <c r="Q408" t="str">
        <f>"Q"&amp;ROUNDUP(MONTH(SalesData[[#This Row],[Order_Date]])/3,0)</f>
        <v>Q1</v>
      </c>
      <c r="R408" s="2">
        <f>IFERROR(SalesData[[#This Row],[Profit]]/SalesData[[#This Row],[Sales]],0)</f>
        <v>0.11806530898876404</v>
      </c>
      <c r="S408" s="2">
        <f>SalesData[[#This Row],[Price]]*SalesData[[#This Row],[Quantity]]*SalesData[[#This Row],[Discount]]</f>
        <v>563.20000000000005</v>
      </c>
      <c r="T408" s="2" t="str">
        <f>IF(SalesData[[#This Row],[Sales]]&gt;5000,"High",IF(SalesData[[#This Row],[Sales]]&gt;2000,"Medium","Low"))</f>
        <v>Medium</v>
      </c>
      <c r="U408" s="2" t="str">
        <f>IF(COUNTIFS(SalesData[Customer_ID],SalesData[[#This Row],[Customer_ID]])&gt;1,"Repeat","New")</f>
        <v>Repeat</v>
      </c>
      <c r="V408" s="2" t="str">
        <f>IF(SalesData[[#This Row],[Sales]]&gt;AVERAGE(SalesData[Sales]),"Above Avg","Below Avg")</f>
        <v>Below Avg</v>
      </c>
      <c r="W408" s="2" t="str">
        <f>IF(SalesData[[#This Row],[Profit]]&gt;0,"Profit","Loss")</f>
        <v>Profit</v>
      </c>
      <c r="X408" s="2">
        <f>RANK(SalesData[[#This Row],[Sales]],SalesData[Sales])</f>
        <v>337</v>
      </c>
    </row>
    <row r="409" spans="1:24" x14ac:dyDescent="0.3">
      <c r="A409">
        <v>408</v>
      </c>
      <c r="B409" s="1">
        <v>45699</v>
      </c>
      <c r="C409">
        <v>1065</v>
      </c>
      <c r="D409" t="s">
        <v>69</v>
      </c>
      <c r="E409" t="s">
        <v>15</v>
      </c>
      <c r="F409" t="s">
        <v>21</v>
      </c>
      <c r="G409" t="s">
        <v>22</v>
      </c>
      <c r="H409" t="s">
        <v>18</v>
      </c>
      <c r="I409">
        <v>2288</v>
      </c>
      <c r="J409">
        <v>7</v>
      </c>
      <c r="K409">
        <v>0.15</v>
      </c>
      <c r="L409">
        <v>634</v>
      </c>
      <c r="M409" t="s">
        <v>26</v>
      </c>
      <c r="N409">
        <v>13613.6</v>
      </c>
      <c r="O409" t="str">
        <f>TEXT(SalesData[[#This Row],[Order_Date]],"mmm")</f>
        <v>Feb</v>
      </c>
      <c r="P409">
        <f>YEAR(SalesData[[#This Row],[Order_Date]])</f>
        <v>2025</v>
      </c>
      <c r="Q409" t="str">
        <f>"Q"&amp;ROUNDUP(MONTH(SalesData[[#This Row],[Order_Date]])/3,0)</f>
        <v>Q1</v>
      </c>
      <c r="R409" s="2">
        <f>IFERROR(SalesData[[#This Row],[Profit]]/SalesData[[#This Row],[Sales]],0)</f>
        <v>4.6571075982840687E-2</v>
      </c>
      <c r="S409" s="2">
        <f>SalesData[[#This Row],[Price]]*SalesData[[#This Row],[Quantity]]*SalesData[[#This Row],[Discount]]</f>
        <v>2402.4</v>
      </c>
      <c r="T409" s="2" t="str">
        <f>IF(SalesData[[#This Row],[Sales]]&gt;5000,"High",IF(SalesData[[#This Row],[Sales]]&gt;2000,"Medium","Low"))</f>
        <v>High</v>
      </c>
      <c r="U409" s="2" t="str">
        <f>IF(COUNTIFS(SalesData[Customer_ID],SalesData[[#This Row],[Customer_ID]])&gt;1,"Repeat","New")</f>
        <v>Repeat</v>
      </c>
      <c r="V409" s="2" t="str">
        <f>IF(SalesData[[#This Row],[Sales]]&gt;AVERAGE(SalesData[Sales]),"Above Avg","Below Avg")</f>
        <v>Above Avg</v>
      </c>
      <c r="W409" s="2" t="str">
        <f>IF(SalesData[[#This Row],[Profit]]&gt;0,"Profit","Loss")</f>
        <v>Profit</v>
      </c>
      <c r="X409" s="2">
        <f>RANK(SalesData[[#This Row],[Sales]],SalesData[Sales])</f>
        <v>152</v>
      </c>
    </row>
    <row r="410" spans="1:24" x14ac:dyDescent="0.3">
      <c r="A410">
        <v>409</v>
      </c>
      <c r="B410" s="1">
        <v>45700</v>
      </c>
      <c r="C410">
        <v>1016</v>
      </c>
      <c r="D410" t="s">
        <v>64</v>
      </c>
      <c r="E410" t="s">
        <v>15</v>
      </c>
      <c r="F410" t="s">
        <v>28</v>
      </c>
      <c r="G410" t="s">
        <v>17</v>
      </c>
      <c r="H410" t="s">
        <v>18</v>
      </c>
      <c r="I410">
        <v>4617</v>
      </c>
      <c r="J410">
        <v>9</v>
      </c>
      <c r="K410">
        <v>0.08</v>
      </c>
      <c r="L410">
        <v>1491</v>
      </c>
      <c r="M410" t="s">
        <v>26</v>
      </c>
      <c r="N410">
        <v>38228.76</v>
      </c>
      <c r="O410" t="str">
        <f>TEXT(SalesData[[#This Row],[Order_Date]],"mmm")</f>
        <v>Feb</v>
      </c>
      <c r="P410">
        <f>YEAR(SalesData[[#This Row],[Order_Date]])</f>
        <v>2025</v>
      </c>
      <c r="Q410" t="str">
        <f>"Q"&amp;ROUNDUP(MONTH(SalesData[[#This Row],[Order_Date]])/3,0)</f>
        <v>Q1</v>
      </c>
      <c r="R410" s="2">
        <f>IFERROR(SalesData[[#This Row],[Profit]]/SalesData[[#This Row],[Sales]],0)</f>
        <v>3.9002049765673799E-2</v>
      </c>
      <c r="S410" s="2">
        <f>SalesData[[#This Row],[Price]]*SalesData[[#This Row],[Quantity]]*SalesData[[#This Row],[Discount]]</f>
        <v>3324.2400000000002</v>
      </c>
      <c r="T410" s="2" t="str">
        <f>IF(SalesData[[#This Row],[Sales]]&gt;5000,"High",IF(SalesData[[#This Row],[Sales]]&gt;2000,"Medium","Low"))</f>
        <v>High</v>
      </c>
      <c r="U410" s="2" t="str">
        <f>IF(COUNTIFS(SalesData[Customer_ID],SalesData[[#This Row],[Customer_ID]])&gt;1,"Repeat","New")</f>
        <v>Repeat</v>
      </c>
      <c r="V410" s="2" t="str">
        <f>IF(SalesData[[#This Row],[Sales]]&gt;AVERAGE(SalesData[Sales]),"Above Avg","Below Avg")</f>
        <v>Above Avg</v>
      </c>
      <c r="W410" s="2" t="str">
        <f>IF(SalesData[[#This Row],[Profit]]&gt;0,"Profit","Loss")</f>
        <v>Profit</v>
      </c>
      <c r="X410" s="2">
        <f>RANK(SalesData[[#This Row],[Sales]],SalesData[Sales])</f>
        <v>5</v>
      </c>
    </row>
    <row r="411" spans="1:24" x14ac:dyDescent="0.3">
      <c r="A411">
        <v>410</v>
      </c>
      <c r="B411" s="1">
        <v>45701</v>
      </c>
      <c r="C411">
        <v>1090</v>
      </c>
      <c r="D411" t="s">
        <v>68</v>
      </c>
      <c r="E411" t="s">
        <v>15</v>
      </c>
      <c r="F411" t="s">
        <v>28</v>
      </c>
      <c r="G411" t="s">
        <v>22</v>
      </c>
      <c r="H411" t="s">
        <v>25</v>
      </c>
      <c r="I411">
        <v>1303</v>
      </c>
      <c r="J411">
        <v>5</v>
      </c>
      <c r="K411">
        <v>0.18</v>
      </c>
      <c r="L411">
        <v>826</v>
      </c>
      <c r="M411" t="s">
        <v>26</v>
      </c>
      <c r="N411">
        <v>5342.3</v>
      </c>
      <c r="O411" t="str">
        <f>TEXT(SalesData[[#This Row],[Order_Date]],"mmm")</f>
        <v>Feb</v>
      </c>
      <c r="P411">
        <f>YEAR(SalesData[[#This Row],[Order_Date]])</f>
        <v>2025</v>
      </c>
      <c r="Q411" t="str">
        <f>"Q"&amp;ROUNDUP(MONTH(SalesData[[#This Row],[Order_Date]])/3,0)</f>
        <v>Q1</v>
      </c>
      <c r="R411" s="2">
        <f>IFERROR(SalesData[[#This Row],[Profit]]/SalesData[[#This Row],[Sales]],0)</f>
        <v>0.15461505344140164</v>
      </c>
      <c r="S411" s="2">
        <f>SalesData[[#This Row],[Price]]*SalesData[[#This Row],[Quantity]]*SalesData[[#This Row],[Discount]]</f>
        <v>1172.7</v>
      </c>
      <c r="T411" s="2" t="str">
        <f>IF(SalesData[[#This Row],[Sales]]&gt;5000,"High",IF(SalesData[[#This Row],[Sales]]&gt;2000,"Medium","Low"))</f>
        <v>High</v>
      </c>
      <c r="U411" s="2" t="str">
        <f>IF(COUNTIFS(SalesData[Customer_ID],SalesData[[#This Row],[Customer_ID]])&gt;1,"Repeat","New")</f>
        <v>Repeat</v>
      </c>
      <c r="V411" s="2" t="str">
        <f>IF(SalesData[[#This Row],[Sales]]&gt;AVERAGE(SalesData[Sales]),"Above Avg","Below Avg")</f>
        <v>Below Avg</v>
      </c>
      <c r="W411" s="2" t="str">
        <f>IF(SalesData[[#This Row],[Profit]]&gt;0,"Profit","Loss")</f>
        <v>Profit</v>
      </c>
      <c r="X411" s="2">
        <f>RANK(SalesData[[#This Row],[Sales]],SalesData[Sales])</f>
        <v>315</v>
      </c>
    </row>
    <row r="412" spans="1:24" x14ac:dyDescent="0.3">
      <c r="A412">
        <v>411</v>
      </c>
      <c r="B412" s="1">
        <v>45702</v>
      </c>
      <c r="C412">
        <v>1001</v>
      </c>
      <c r="D412" t="s">
        <v>81</v>
      </c>
      <c r="E412" t="s">
        <v>15</v>
      </c>
      <c r="F412" t="s">
        <v>16</v>
      </c>
      <c r="G412" t="s">
        <v>34</v>
      </c>
      <c r="H412" t="s">
        <v>18</v>
      </c>
      <c r="I412">
        <v>2942</v>
      </c>
      <c r="J412">
        <v>7</v>
      </c>
      <c r="K412">
        <v>0.19</v>
      </c>
      <c r="L412">
        <v>90</v>
      </c>
      <c r="M412" t="s">
        <v>19</v>
      </c>
      <c r="N412">
        <v>16681.14</v>
      </c>
      <c r="O412" t="str">
        <f>TEXT(SalesData[[#This Row],[Order_Date]],"mmm")</f>
        <v>Feb</v>
      </c>
      <c r="P412">
        <f>YEAR(SalesData[[#This Row],[Order_Date]])</f>
        <v>2025</v>
      </c>
      <c r="Q412" t="str">
        <f>"Q"&amp;ROUNDUP(MONTH(SalesData[[#This Row],[Order_Date]])/3,0)</f>
        <v>Q1</v>
      </c>
      <c r="R412" s="2">
        <f>IFERROR(SalesData[[#This Row],[Profit]]/SalesData[[#This Row],[Sales]],0)</f>
        <v>5.3953147087069595E-3</v>
      </c>
      <c r="S412" s="2">
        <f>SalesData[[#This Row],[Price]]*SalesData[[#This Row],[Quantity]]*SalesData[[#This Row],[Discount]]</f>
        <v>3912.86</v>
      </c>
      <c r="T412" s="2" t="str">
        <f>IF(SalesData[[#This Row],[Sales]]&gt;5000,"High",IF(SalesData[[#This Row],[Sales]]&gt;2000,"Medium","Low"))</f>
        <v>High</v>
      </c>
      <c r="U412" s="2" t="str">
        <f>IF(COUNTIFS(SalesData[Customer_ID],SalesData[[#This Row],[Customer_ID]])&gt;1,"Repeat","New")</f>
        <v>Repeat</v>
      </c>
      <c r="V412" s="2" t="str">
        <f>IF(SalesData[[#This Row],[Sales]]&gt;AVERAGE(SalesData[Sales]),"Above Avg","Below Avg")</f>
        <v>Above Avg</v>
      </c>
      <c r="W412" s="2" t="str">
        <f>IF(SalesData[[#This Row],[Profit]]&gt;0,"Profit","Loss")</f>
        <v>Profit</v>
      </c>
      <c r="X412" s="2">
        <f>RANK(SalesData[[#This Row],[Sales]],SalesData[Sales])</f>
        <v>109</v>
      </c>
    </row>
    <row r="413" spans="1:24" x14ac:dyDescent="0.3">
      <c r="A413">
        <v>412</v>
      </c>
      <c r="B413" s="1">
        <v>45703</v>
      </c>
      <c r="C413">
        <v>1007</v>
      </c>
      <c r="D413" t="s">
        <v>43</v>
      </c>
      <c r="E413" t="s">
        <v>15</v>
      </c>
      <c r="F413" t="s">
        <v>28</v>
      </c>
      <c r="G413" t="s">
        <v>34</v>
      </c>
      <c r="H413" t="s">
        <v>37</v>
      </c>
      <c r="I413">
        <v>3138</v>
      </c>
      <c r="J413">
        <v>8</v>
      </c>
      <c r="K413">
        <v>0.06</v>
      </c>
      <c r="L413">
        <v>281</v>
      </c>
      <c r="M413" t="s">
        <v>31</v>
      </c>
      <c r="N413">
        <v>23597.759999999998</v>
      </c>
      <c r="O413" t="str">
        <f>TEXT(SalesData[[#This Row],[Order_Date]],"mmm")</f>
        <v>Feb</v>
      </c>
      <c r="P413">
        <f>YEAR(SalesData[[#This Row],[Order_Date]])</f>
        <v>2025</v>
      </c>
      <c r="Q413" t="str">
        <f>"Q"&amp;ROUNDUP(MONTH(SalesData[[#This Row],[Order_Date]])/3,0)</f>
        <v>Q1</v>
      </c>
      <c r="R413" s="2">
        <f>IFERROR(SalesData[[#This Row],[Profit]]/SalesData[[#This Row],[Sales]],0)</f>
        <v>1.1907909903312858E-2</v>
      </c>
      <c r="S413" s="2">
        <f>SalesData[[#This Row],[Price]]*SalesData[[#This Row],[Quantity]]*SalesData[[#This Row],[Discount]]</f>
        <v>1506.24</v>
      </c>
      <c r="T413" s="2" t="str">
        <f>IF(SalesData[[#This Row],[Sales]]&gt;5000,"High",IF(SalesData[[#This Row],[Sales]]&gt;2000,"Medium","Low"))</f>
        <v>High</v>
      </c>
      <c r="U413" s="2" t="str">
        <f>IF(COUNTIFS(SalesData[Customer_ID],SalesData[[#This Row],[Customer_ID]])&gt;1,"Repeat","New")</f>
        <v>Repeat</v>
      </c>
      <c r="V413" s="2" t="str">
        <f>IF(SalesData[[#This Row],[Sales]]&gt;AVERAGE(SalesData[Sales]),"Above Avg","Below Avg")</f>
        <v>Above Avg</v>
      </c>
      <c r="W413" s="2" t="str">
        <f>IF(SalesData[[#This Row],[Profit]]&gt;0,"Profit","Loss")</f>
        <v>Profit</v>
      </c>
      <c r="X413" s="2">
        <f>RANK(SalesData[[#This Row],[Sales]],SalesData[Sales])</f>
        <v>55</v>
      </c>
    </row>
    <row r="414" spans="1:24" x14ac:dyDescent="0.3">
      <c r="A414">
        <v>413</v>
      </c>
      <c r="B414" s="1">
        <v>45704</v>
      </c>
      <c r="C414">
        <v>1037</v>
      </c>
      <c r="D414" t="s">
        <v>206</v>
      </c>
      <c r="E414" t="s">
        <v>24</v>
      </c>
      <c r="F414" t="s">
        <v>16</v>
      </c>
      <c r="G414" t="s">
        <v>17</v>
      </c>
      <c r="H414" t="s">
        <v>37</v>
      </c>
      <c r="I414">
        <v>2851</v>
      </c>
      <c r="J414">
        <v>4</v>
      </c>
      <c r="K414">
        <v>0.17</v>
      </c>
      <c r="L414">
        <v>385</v>
      </c>
      <c r="M414" t="s">
        <v>26</v>
      </c>
      <c r="N414">
        <v>9465.32</v>
      </c>
      <c r="O414" t="str">
        <f>TEXT(SalesData[[#This Row],[Order_Date]],"mmm")</f>
        <v>Feb</v>
      </c>
      <c r="P414">
        <f>YEAR(SalesData[[#This Row],[Order_Date]])</f>
        <v>2025</v>
      </c>
      <c r="Q414" t="str">
        <f>"Q"&amp;ROUNDUP(MONTH(SalesData[[#This Row],[Order_Date]])/3,0)</f>
        <v>Q1</v>
      </c>
      <c r="R414" s="2">
        <f>IFERROR(SalesData[[#This Row],[Profit]]/SalesData[[#This Row],[Sales]],0)</f>
        <v>4.0674800218059193E-2</v>
      </c>
      <c r="S414" s="2">
        <f>SalesData[[#This Row],[Price]]*SalesData[[#This Row],[Quantity]]*SalesData[[#This Row],[Discount]]</f>
        <v>1938.68</v>
      </c>
      <c r="T414" s="2" t="str">
        <f>IF(SalesData[[#This Row],[Sales]]&gt;5000,"High",IF(SalesData[[#This Row],[Sales]]&gt;2000,"Medium","Low"))</f>
        <v>High</v>
      </c>
      <c r="U414" s="2" t="str">
        <f>IF(COUNTIFS(SalesData[Customer_ID],SalesData[[#This Row],[Customer_ID]])&gt;1,"Repeat","New")</f>
        <v>Repeat</v>
      </c>
      <c r="V414" s="2" t="str">
        <f>IF(SalesData[[#This Row],[Sales]]&gt;AVERAGE(SalesData[Sales]),"Above Avg","Below Avg")</f>
        <v>Below Avg</v>
      </c>
      <c r="W414" s="2" t="str">
        <f>IF(SalesData[[#This Row],[Profit]]&gt;0,"Profit","Loss")</f>
        <v>Profit</v>
      </c>
      <c r="X414" s="2">
        <f>RANK(SalesData[[#This Row],[Sales]],SalesData[Sales])</f>
        <v>219</v>
      </c>
    </row>
    <row r="415" spans="1:24" x14ac:dyDescent="0.3">
      <c r="A415">
        <v>414</v>
      </c>
      <c r="B415" s="1">
        <v>45705</v>
      </c>
      <c r="C415">
        <v>1019</v>
      </c>
      <c r="D415" t="s">
        <v>63</v>
      </c>
      <c r="E415" t="s">
        <v>15</v>
      </c>
      <c r="F415" t="s">
        <v>21</v>
      </c>
      <c r="G415" t="s">
        <v>22</v>
      </c>
      <c r="H415" t="s">
        <v>18</v>
      </c>
      <c r="I415">
        <v>1181</v>
      </c>
      <c r="J415">
        <v>8</v>
      </c>
      <c r="K415">
        <v>0.13</v>
      </c>
      <c r="L415">
        <v>-134</v>
      </c>
      <c r="M415" t="s">
        <v>31</v>
      </c>
      <c r="N415">
        <v>8219.76</v>
      </c>
      <c r="O415" t="str">
        <f>TEXT(SalesData[[#This Row],[Order_Date]],"mmm")</f>
        <v>Feb</v>
      </c>
      <c r="P415">
        <f>YEAR(SalesData[[#This Row],[Order_Date]])</f>
        <v>2025</v>
      </c>
      <c r="Q415" t="str">
        <f>"Q"&amp;ROUNDUP(MONTH(SalesData[[#This Row],[Order_Date]])/3,0)</f>
        <v>Q1</v>
      </c>
      <c r="R415" s="2">
        <f>IFERROR(SalesData[[#This Row],[Profit]]/SalesData[[#This Row],[Sales]],0)</f>
        <v>-1.6302179139050289E-2</v>
      </c>
      <c r="S415" s="2">
        <f>SalesData[[#This Row],[Price]]*SalesData[[#This Row],[Quantity]]*SalesData[[#This Row],[Discount]]</f>
        <v>1228.24</v>
      </c>
      <c r="T415" s="2" t="str">
        <f>IF(SalesData[[#This Row],[Sales]]&gt;5000,"High",IF(SalesData[[#This Row],[Sales]]&gt;2000,"Medium","Low"))</f>
        <v>High</v>
      </c>
      <c r="U415" s="2" t="str">
        <f>IF(COUNTIFS(SalesData[Customer_ID],SalesData[[#This Row],[Customer_ID]])&gt;1,"Repeat","New")</f>
        <v>Repeat</v>
      </c>
      <c r="V415" s="2" t="str">
        <f>IF(SalesData[[#This Row],[Sales]]&gt;AVERAGE(SalesData[Sales]),"Above Avg","Below Avg")</f>
        <v>Below Avg</v>
      </c>
      <c r="W415" s="2" t="str">
        <f>IF(SalesData[[#This Row],[Profit]]&gt;0,"Profit","Loss")</f>
        <v>Loss</v>
      </c>
      <c r="X415" s="2">
        <f>RANK(SalesData[[#This Row],[Sales]],SalesData[Sales])</f>
        <v>243</v>
      </c>
    </row>
    <row r="416" spans="1:24" x14ac:dyDescent="0.3">
      <c r="A416">
        <v>415</v>
      </c>
      <c r="B416" s="1">
        <v>45706</v>
      </c>
      <c r="C416">
        <v>1063</v>
      </c>
      <c r="D416" t="s">
        <v>64</v>
      </c>
      <c r="E416" t="s">
        <v>24</v>
      </c>
      <c r="F416" t="s">
        <v>28</v>
      </c>
      <c r="G416" t="s">
        <v>34</v>
      </c>
      <c r="H416" t="s">
        <v>18</v>
      </c>
      <c r="I416">
        <v>4382</v>
      </c>
      <c r="J416">
        <v>8</v>
      </c>
      <c r="K416">
        <v>0.28999999999999998</v>
      </c>
      <c r="L416">
        <v>420</v>
      </c>
      <c r="M416" t="s">
        <v>19</v>
      </c>
      <c r="N416">
        <v>24889.759999999998</v>
      </c>
      <c r="O416" t="str">
        <f>TEXT(SalesData[[#This Row],[Order_Date]],"mmm")</f>
        <v>Feb</v>
      </c>
      <c r="P416">
        <f>YEAR(SalesData[[#This Row],[Order_Date]])</f>
        <v>2025</v>
      </c>
      <c r="Q416" t="str">
        <f>"Q"&amp;ROUNDUP(MONTH(SalesData[[#This Row],[Order_Date]])/3,0)</f>
        <v>Q1</v>
      </c>
      <c r="R416" s="2">
        <f>IFERROR(SalesData[[#This Row],[Profit]]/SalesData[[#This Row],[Sales]],0)</f>
        <v>1.6874409395671152E-2</v>
      </c>
      <c r="S416" s="2">
        <f>SalesData[[#This Row],[Price]]*SalesData[[#This Row],[Quantity]]*SalesData[[#This Row],[Discount]]</f>
        <v>10166.24</v>
      </c>
      <c r="T416" s="2" t="str">
        <f>IF(SalesData[[#This Row],[Sales]]&gt;5000,"High",IF(SalesData[[#This Row],[Sales]]&gt;2000,"Medium","Low"))</f>
        <v>High</v>
      </c>
      <c r="U416" s="2" t="str">
        <f>IF(COUNTIFS(SalesData[Customer_ID],SalesData[[#This Row],[Customer_ID]])&gt;1,"Repeat","New")</f>
        <v>Repeat</v>
      </c>
      <c r="V416" s="2" t="str">
        <f>IF(SalesData[[#This Row],[Sales]]&gt;AVERAGE(SalesData[Sales]),"Above Avg","Below Avg")</f>
        <v>Above Avg</v>
      </c>
      <c r="W416" s="2" t="str">
        <f>IF(SalesData[[#This Row],[Profit]]&gt;0,"Profit","Loss")</f>
        <v>Profit</v>
      </c>
      <c r="X416" s="2">
        <f>RANK(SalesData[[#This Row],[Sales]],SalesData[Sales])</f>
        <v>43</v>
      </c>
    </row>
    <row r="417" spans="1:24" x14ac:dyDescent="0.3">
      <c r="A417">
        <v>416</v>
      </c>
      <c r="B417" s="1">
        <v>45707</v>
      </c>
      <c r="C417">
        <v>1020</v>
      </c>
      <c r="D417" t="s">
        <v>207</v>
      </c>
      <c r="E417" t="s">
        <v>15</v>
      </c>
      <c r="F417" t="s">
        <v>21</v>
      </c>
      <c r="G417" t="s">
        <v>34</v>
      </c>
      <c r="H417" t="s">
        <v>37</v>
      </c>
      <c r="I417">
        <v>346</v>
      </c>
      <c r="J417">
        <v>1</v>
      </c>
      <c r="K417">
        <v>0.22</v>
      </c>
      <c r="L417">
        <v>1283</v>
      </c>
      <c r="M417" t="s">
        <v>31</v>
      </c>
      <c r="N417">
        <v>269.88</v>
      </c>
      <c r="O417" t="str">
        <f>TEXT(SalesData[[#This Row],[Order_Date]],"mmm")</f>
        <v>Feb</v>
      </c>
      <c r="P417">
        <f>YEAR(SalesData[[#This Row],[Order_Date]])</f>
        <v>2025</v>
      </c>
      <c r="Q417" t="str">
        <f>"Q"&amp;ROUNDUP(MONTH(SalesData[[#This Row],[Order_Date]])/3,0)</f>
        <v>Q1</v>
      </c>
      <c r="R417" s="2">
        <f>IFERROR(SalesData[[#This Row],[Profit]]/SalesData[[#This Row],[Sales]],0)</f>
        <v>4.7539647250629908</v>
      </c>
      <c r="S417" s="2">
        <f>SalesData[[#This Row],[Price]]*SalesData[[#This Row],[Quantity]]*SalesData[[#This Row],[Discount]]</f>
        <v>76.12</v>
      </c>
      <c r="T417" s="2" t="str">
        <f>IF(SalesData[[#This Row],[Sales]]&gt;5000,"High",IF(SalesData[[#This Row],[Sales]]&gt;2000,"Medium","Low"))</f>
        <v>Low</v>
      </c>
      <c r="U417" s="2" t="str">
        <f>IF(COUNTIFS(SalesData[Customer_ID],SalesData[[#This Row],[Customer_ID]])&gt;1,"Repeat","New")</f>
        <v>Repeat</v>
      </c>
      <c r="V417" s="2" t="str">
        <f>IF(SalesData[[#This Row],[Sales]]&gt;AVERAGE(SalesData[Sales]),"Above Avg","Below Avg")</f>
        <v>Below Avg</v>
      </c>
      <c r="W417" s="2" t="str">
        <f>IF(SalesData[[#This Row],[Profit]]&gt;0,"Profit","Loss")</f>
        <v>Profit</v>
      </c>
      <c r="X417" s="2">
        <f>RANK(SalesData[[#This Row],[Sales]],SalesData[Sales])</f>
        <v>497</v>
      </c>
    </row>
    <row r="418" spans="1:24" x14ac:dyDescent="0.3">
      <c r="A418">
        <v>417</v>
      </c>
      <c r="B418" s="1">
        <v>45708</v>
      </c>
      <c r="C418">
        <v>1089</v>
      </c>
      <c r="D418" t="s">
        <v>140</v>
      </c>
      <c r="E418" t="s">
        <v>15</v>
      </c>
      <c r="F418" t="s">
        <v>16</v>
      </c>
      <c r="G418" t="s">
        <v>17</v>
      </c>
      <c r="H418" t="s">
        <v>29</v>
      </c>
      <c r="I418">
        <v>895</v>
      </c>
      <c r="J418">
        <v>7</v>
      </c>
      <c r="K418">
        <v>0.05</v>
      </c>
      <c r="L418">
        <v>305</v>
      </c>
      <c r="M418" t="s">
        <v>26</v>
      </c>
      <c r="N418">
        <v>5951.75</v>
      </c>
      <c r="O418" t="str">
        <f>TEXT(SalesData[[#This Row],[Order_Date]],"mmm")</f>
        <v>Feb</v>
      </c>
      <c r="P418">
        <f>YEAR(SalesData[[#This Row],[Order_Date]])</f>
        <v>2025</v>
      </c>
      <c r="Q418" t="str">
        <f>"Q"&amp;ROUNDUP(MONTH(SalesData[[#This Row],[Order_Date]])/3,0)</f>
        <v>Q1</v>
      </c>
      <c r="R418" s="2">
        <f>IFERROR(SalesData[[#This Row],[Profit]]/SalesData[[#This Row],[Sales]],0)</f>
        <v>5.1245432015793672E-2</v>
      </c>
      <c r="S418" s="2">
        <f>SalesData[[#This Row],[Price]]*SalesData[[#This Row],[Quantity]]*SalesData[[#This Row],[Discount]]</f>
        <v>313.25</v>
      </c>
      <c r="T418" s="2" t="str">
        <f>IF(SalesData[[#This Row],[Sales]]&gt;5000,"High",IF(SalesData[[#This Row],[Sales]]&gt;2000,"Medium","Low"))</f>
        <v>High</v>
      </c>
      <c r="U418" s="2" t="str">
        <f>IF(COUNTIFS(SalesData[Customer_ID],SalesData[[#This Row],[Customer_ID]])&gt;1,"Repeat","New")</f>
        <v>Repeat</v>
      </c>
      <c r="V418" s="2" t="str">
        <f>IF(SalesData[[#This Row],[Sales]]&gt;AVERAGE(SalesData[Sales]),"Above Avg","Below Avg")</f>
        <v>Below Avg</v>
      </c>
      <c r="W418" s="2" t="str">
        <f>IF(SalesData[[#This Row],[Profit]]&gt;0,"Profit","Loss")</f>
        <v>Profit</v>
      </c>
      <c r="X418" s="2">
        <f>RANK(SalesData[[#This Row],[Sales]],SalesData[Sales])</f>
        <v>299</v>
      </c>
    </row>
    <row r="419" spans="1:24" x14ac:dyDescent="0.3">
      <c r="A419">
        <v>418</v>
      </c>
      <c r="B419" s="1">
        <v>45709</v>
      </c>
      <c r="C419">
        <v>1030</v>
      </c>
      <c r="D419" t="s">
        <v>106</v>
      </c>
      <c r="E419" t="s">
        <v>15</v>
      </c>
      <c r="F419" t="s">
        <v>33</v>
      </c>
      <c r="G419" t="s">
        <v>22</v>
      </c>
      <c r="H419" t="s">
        <v>25</v>
      </c>
      <c r="I419">
        <v>3786</v>
      </c>
      <c r="J419">
        <v>6</v>
      </c>
      <c r="K419">
        <v>0.26</v>
      </c>
      <c r="L419">
        <v>1046</v>
      </c>
      <c r="M419" t="s">
        <v>19</v>
      </c>
      <c r="N419">
        <v>16809.84</v>
      </c>
      <c r="O419" t="str">
        <f>TEXT(SalesData[[#This Row],[Order_Date]],"mmm")</f>
        <v>Feb</v>
      </c>
      <c r="P419">
        <f>YEAR(SalesData[[#This Row],[Order_Date]])</f>
        <v>2025</v>
      </c>
      <c r="Q419" t="str">
        <f>"Q"&amp;ROUNDUP(MONTH(SalesData[[#This Row],[Order_Date]])/3,0)</f>
        <v>Q1</v>
      </c>
      <c r="R419" s="2">
        <f>IFERROR(SalesData[[#This Row],[Profit]]/SalesData[[#This Row],[Sales]],0)</f>
        <v>6.2225458421971892E-2</v>
      </c>
      <c r="S419" s="2">
        <f>SalesData[[#This Row],[Price]]*SalesData[[#This Row],[Quantity]]*SalesData[[#This Row],[Discount]]</f>
        <v>5906.16</v>
      </c>
      <c r="T419" s="2" t="str">
        <f>IF(SalesData[[#This Row],[Sales]]&gt;5000,"High",IF(SalesData[[#This Row],[Sales]]&gt;2000,"Medium","Low"))</f>
        <v>High</v>
      </c>
      <c r="U419" s="2" t="str">
        <f>IF(COUNTIFS(SalesData[Customer_ID],SalesData[[#This Row],[Customer_ID]])&gt;1,"Repeat","New")</f>
        <v>Repeat</v>
      </c>
      <c r="V419" s="2" t="str">
        <f>IF(SalesData[[#This Row],[Sales]]&gt;AVERAGE(SalesData[Sales]),"Above Avg","Below Avg")</f>
        <v>Above Avg</v>
      </c>
      <c r="W419" s="2" t="str">
        <f>IF(SalesData[[#This Row],[Profit]]&gt;0,"Profit","Loss")</f>
        <v>Profit</v>
      </c>
      <c r="X419" s="2">
        <f>RANK(SalesData[[#This Row],[Sales]],SalesData[Sales])</f>
        <v>106</v>
      </c>
    </row>
    <row r="420" spans="1:24" x14ac:dyDescent="0.3">
      <c r="A420">
        <v>419</v>
      </c>
      <c r="B420" s="1">
        <v>45710</v>
      </c>
      <c r="C420">
        <v>1083</v>
      </c>
      <c r="D420" t="s">
        <v>94</v>
      </c>
      <c r="E420" t="s">
        <v>24</v>
      </c>
      <c r="F420" t="s">
        <v>33</v>
      </c>
      <c r="G420" t="s">
        <v>17</v>
      </c>
      <c r="H420" t="s">
        <v>18</v>
      </c>
      <c r="I420">
        <v>1037</v>
      </c>
      <c r="J420">
        <v>9</v>
      </c>
      <c r="K420">
        <v>0.14000000000000001</v>
      </c>
      <c r="L420">
        <v>1107</v>
      </c>
      <c r="M420" t="s">
        <v>26</v>
      </c>
      <c r="N420">
        <v>8026.38</v>
      </c>
      <c r="O420" t="str">
        <f>TEXT(SalesData[[#This Row],[Order_Date]],"mmm")</f>
        <v>Feb</v>
      </c>
      <c r="P420">
        <f>YEAR(SalesData[[#This Row],[Order_Date]])</f>
        <v>2025</v>
      </c>
      <c r="Q420" t="str">
        <f>"Q"&amp;ROUNDUP(MONTH(SalesData[[#This Row],[Order_Date]])/3,0)</f>
        <v>Q1</v>
      </c>
      <c r="R420" s="2">
        <f>IFERROR(SalesData[[#This Row],[Profit]]/SalesData[[#This Row],[Sales]],0)</f>
        <v>0.13792020811374492</v>
      </c>
      <c r="S420" s="2">
        <f>SalesData[[#This Row],[Price]]*SalesData[[#This Row],[Quantity]]*SalesData[[#This Row],[Discount]]</f>
        <v>1306.6200000000001</v>
      </c>
      <c r="T420" s="2" t="str">
        <f>IF(SalesData[[#This Row],[Sales]]&gt;5000,"High",IF(SalesData[[#This Row],[Sales]]&gt;2000,"Medium","Low"))</f>
        <v>High</v>
      </c>
      <c r="U420" s="2" t="str">
        <f>IF(COUNTIFS(SalesData[Customer_ID],SalesData[[#This Row],[Customer_ID]])&gt;1,"Repeat","New")</f>
        <v>Repeat</v>
      </c>
      <c r="V420" s="2" t="str">
        <f>IF(SalesData[[#This Row],[Sales]]&gt;AVERAGE(SalesData[Sales]),"Above Avg","Below Avg")</f>
        <v>Below Avg</v>
      </c>
      <c r="W420" s="2" t="str">
        <f>IF(SalesData[[#This Row],[Profit]]&gt;0,"Profit","Loss")</f>
        <v>Profit</v>
      </c>
      <c r="X420" s="2">
        <f>RANK(SalesData[[#This Row],[Sales]],SalesData[Sales])</f>
        <v>253</v>
      </c>
    </row>
    <row r="421" spans="1:24" x14ac:dyDescent="0.3">
      <c r="A421">
        <v>420</v>
      </c>
      <c r="B421" s="1">
        <v>45711</v>
      </c>
      <c r="C421">
        <v>1069</v>
      </c>
      <c r="D421" t="s">
        <v>126</v>
      </c>
      <c r="E421" t="s">
        <v>24</v>
      </c>
      <c r="F421" t="s">
        <v>21</v>
      </c>
      <c r="G421" t="s">
        <v>22</v>
      </c>
      <c r="H421" t="s">
        <v>29</v>
      </c>
      <c r="I421">
        <v>2011</v>
      </c>
      <c r="J421">
        <v>8</v>
      </c>
      <c r="K421">
        <v>0.25</v>
      </c>
      <c r="L421">
        <v>1506</v>
      </c>
      <c r="M421" t="s">
        <v>26</v>
      </c>
      <c r="N421">
        <v>12066</v>
      </c>
      <c r="O421" t="str">
        <f>TEXT(SalesData[[#This Row],[Order_Date]],"mmm")</f>
        <v>Feb</v>
      </c>
      <c r="P421">
        <f>YEAR(SalesData[[#This Row],[Order_Date]])</f>
        <v>2025</v>
      </c>
      <c r="Q421" t="str">
        <f>"Q"&amp;ROUNDUP(MONTH(SalesData[[#This Row],[Order_Date]])/3,0)</f>
        <v>Q1</v>
      </c>
      <c r="R421" s="2">
        <f>IFERROR(SalesData[[#This Row],[Profit]]/SalesData[[#This Row],[Sales]],0)</f>
        <v>0.12481352560914968</v>
      </c>
      <c r="S421" s="2">
        <f>SalesData[[#This Row],[Price]]*SalesData[[#This Row],[Quantity]]*SalesData[[#This Row],[Discount]]</f>
        <v>4022</v>
      </c>
      <c r="T421" s="2" t="str">
        <f>IF(SalesData[[#This Row],[Sales]]&gt;5000,"High",IF(SalesData[[#This Row],[Sales]]&gt;2000,"Medium","Low"))</f>
        <v>High</v>
      </c>
      <c r="U421" s="2" t="str">
        <f>IF(COUNTIFS(SalesData[Customer_ID],SalesData[[#This Row],[Customer_ID]])&gt;1,"Repeat","New")</f>
        <v>Repeat</v>
      </c>
      <c r="V421" s="2" t="str">
        <f>IF(SalesData[[#This Row],[Sales]]&gt;AVERAGE(SalesData[Sales]),"Above Avg","Below Avg")</f>
        <v>Above Avg</v>
      </c>
      <c r="W421" s="2" t="str">
        <f>IF(SalesData[[#This Row],[Profit]]&gt;0,"Profit","Loss")</f>
        <v>Profit</v>
      </c>
      <c r="X421" s="2">
        <f>RANK(SalesData[[#This Row],[Sales]],SalesData[Sales])</f>
        <v>166</v>
      </c>
    </row>
    <row r="422" spans="1:24" x14ac:dyDescent="0.3">
      <c r="A422">
        <v>421</v>
      </c>
      <c r="B422" s="1">
        <v>45712</v>
      </c>
      <c r="C422">
        <v>1014</v>
      </c>
      <c r="D422" t="s">
        <v>51</v>
      </c>
      <c r="E422" t="s">
        <v>15</v>
      </c>
      <c r="F422" t="s">
        <v>33</v>
      </c>
      <c r="G422" t="s">
        <v>22</v>
      </c>
      <c r="H422" t="s">
        <v>25</v>
      </c>
      <c r="I422">
        <v>1278</v>
      </c>
      <c r="J422">
        <v>4</v>
      </c>
      <c r="K422">
        <v>0.25</v>
      </c>
      <c r="L422">
        <v>-41</v>
      </c>
      <c r="M422" t="s">
        <v>26</v>
      </c>
      <c r="N422">
        <v>3834</v>
      </c>
      <c r="O422" t="str">
        <f>TEXT(SalesData[[#This Row],[Order_Date]],"mmm")</f>
        <v>Feb</v>
      </c>
      <c r="P422">
        <f>YEAR(SalesData[[#This Row],[Order_Date]])</f>
        <v>2025</v>
      </c>
      <c r="Q422" t="str">
        <f>"Q"&amp;ROUNDUP(MONTH(SalesData[[#This Row],[Order_Date]])/3,0)</f>
        <v>Q1</v>
      </c>
      <c r="R422" s="2">
        <f>IFERROR(SalesData[[#This Row],[Profit]]/SalesData[[#This Row],[Sales]],0)</f>
        <v>-1.069379238393323E-2</v>
      </c>
      <c r="S422" s="2">
        <f>SalesData[[#This Row],[Price]]*SalesData[[#This Row],[Quantity]]*SalesData[[#This Row],[Discount]]</f>
        <v>1278</v>
      </c>
      <c r="T422" s="2" t="str">
        <f>IF(SalesData[[#This Row],[Sales]]&gt;5000,"High",IF(SalesData[[#This Row],[Sales]]&gt;2000,"Medium","Low"))</f>
        <v>Medium</v>
      </c>
      <c r="U422" s="2" t="str">
        <f>IF(COUNTIFS(SalesData[Customer_ID],SalesData[[#This Row],[Customer_ID]])&gt;1,"Repeat","New")</f>
        <v>Repeat</v>
      </c>
      <c r="V422" s="2" t="str">
        <f>IF(SalesData[[#This Row],[Sales]]&gt;AVERAGE(SalesData[Sales]),"Above Avg","Below Avg")</f>
        <v>Below Avg</v>
      </c>
      <c r="W422" s="2" t="str">
        <f>IF(SalesData[[#This Row],[Profit]]&gt;0,"Profit","Loss")</f>
        <v>Loss</v>
      </c>
      <c r="X422" s="2">
        <f>RANK(SalesData[[#This Row],[Sales]],SalesData[Sales])</f>
        <v>362</v>
      </c>
    </row>
    <row r="423" spans="1:24" x14ac:dyDescent="0.3">
      <c r="A423">
        <v>422</v>
      </c>
      <c r="B423" s="1">
        <v>45713</v>
      </c>
      <c r="C423">
        <v>1056</v>
      </c>
      <c r="D423" t="s">
        <v>73</v>
      </c>
      <c r="E423" t="s">
        <v>24</v>
      </c>
      <c r="F423" t="s">
        <v>21</v>
      </c>
      <c r="G423" t="s">
        <v>22</v>
      </c>
      <c r="H423" t="s">
        <v>18</v>
      </c>
      <c r="I423">
        <v>837</v>
      </c>
      <c r="J423">
        <v>2</v>
      </c>
      <c r="K423">
        <v>0.01</v>
      </c>
      <c r="L423">
        <v>1937</v>
      </c>
      <c r="M423" t="s">
        <v>31</v>
      </c>
      <c r="N423">
        <v>1657.26</v>
      </c>
      <c r="O423" t="str">
        <f>TEXT(SalesData[[#This Row],[Order_Date]],"mmm")</f>
        <v>Feb</v>
      </c>
      <c r="P423">
        <f>YEAR(SalesData[[#This Row],[Order_Date]])</f>
        <v>2025</v>
      </c>
      <c r="Q423" t="str">
        <f>"Q"&amp;ROUNDUP(MONTH(SalesData[[#This Row],[Order_Date]])/3,0)</f>
        <v>Q1</v>
      </c>
      <c r="R423" s="2">
        <f>IFERROR(SalesData[[#This Row],[Profit]]/SalesData[[#This Row],[Sales]],0)</f>
        <v>1.1687966885099501</v>
      </c>
      <c r="S423" s="2">
        <f>SalesData[[#This Row],[Price]]*SalesData[[#This Row],[Quantity]]*SalesData[[#This Row],[Discount]]</f>
        <v>16.740000000000002</v>
      </c>
      <c r="T423" s="2" t="str">
        <f>IF(SalesData[[#This Row],[Sales]]&gt;5000,"High",IF(SalesData[[#This Row],[Sales]]&gt;2000,"Medium","Low"))</f>
        <v>Low</v>
      </c>
      <c r="U423" s="2" t="str">
        <f>IF(COUNTIFS(SalesData[Customer_ID],SalesData[[#This Row],[Customer_ID]])&gt;1,"Repeat","New")</f>
        <v>Repeat</v>
      </c>
      <c r="V423" s="2" t="str">
        <f>IF(SalesData[[#This Row],[Sales]]&gt;AVERAGE(SalesData[Sales]),"Above Avg","Below Avg")</f>
        <v>Below Avg</v>
      </c>
      <c r="W423" s="2" t="str">
        <f>IF(SalesData[[#This Row],[Profit]]&gt;0,"Profit","Loss")</f>
        <v>Profit</v>
      </c>
      <c r="X423" s="2">
        <f>RANK(SalesData[[#This Row],[Sales]],SalesData[Sales])</f>
        <v>449</v>
      </c>
    </row>
    <row r="424" spans="1:24" x14ac:dyDescent="0.3">
      <c r="A424">
        <v>423</v>
      </c>
      <c r="B424" s="1">
        <v>45714</v>
      </c>
      <c r="C424">
        <v>1000</v>
      </c>
      <c r="D424" t="s">
        <v>42</v>
      </c>
      <c r="E424" t="s">
        <v>15</v>
      </c>
      <c r="F424" t="s">
        <v>33</v>
      </c>
      <c r="G424" t="s">
        <v>22</v>
      </c>
      <c r="H424" t="s">
        <v>18</v>
      </c>
      <c r="I424">
        <v>734</v>
      </c>
      <c r="J424">
        <v>3</v>
      </c>
      <c r="K424">
        <v>7.0000000000000007E-2</v>
      </c>
      <c r="L424">
        <v>1682</v>
      </c>
      <c r="M424" t="s">
        <v>19</v>
      </c>
      <c r="N424">
        <v>2047.86</v>
      </c>
      <c r="O424" t="str">
        <f>TEXT(SalesData[[#This Row],[Order_Date]],"mmm")</f>
        <v>Feb</v>
      </c>
      <c r="P424">
        <f>YEAR(SalesData[[#This Row],[Order_Date]])</f>
        <v>2025</v>
      </c>
      <c r="Q424" t="str">
        <f>"Q"&amp;ROUNDUP(MONTH(SalesData[[#This Row],[Order_Date]])/3,0)</f>
        <v>Q1</v>
      </c>
      <c r="R424" s="2">
        <f>IFERROR(SalesData[[#This Row],[Profit]]/SalesData[[#This Row],[Sales]],0)</f>
        <v>0.82134520914515641</v>
      </c>
      <c r="S424" s="2">
        <f>SalesData[[#This Row],[Price]]*SalesData[[#This Row],[Quantity]]*SalesData[[#This Row],[Discount]]</f>
        <v>154.14000000000001</v>
      </c>
      <c r="T424" s="2" t="str">
        <f>IF(SalesData[[#This Row],[Sales]]&gt;5000,"High",IF(SalesData[[#This Row],[Sales]]&gt;2000,"Medium","Low"))</f>
        <v>Medium</v>
      </c>
      <c r="U424" s="2" t="str">
        <f>IF(COUNTIFS(SalesData[Customer_ID],SalesData[[#This Row],[Customer_ID]])&gt;1,"Repeat","New")</f>
        <v>Repeat</v>
      </c>
      <c r="V424" s="2" t="str">
        <f>IF(SalesData[[#This Row],[Sales]]&gt;AVERAGE(SalesData[Sales]),"Above Avg","Below Avg")</f>
        <v>Below Avg</v>
      </c>
      <c r="W424" s="2" t="str">
        <f>IF(SalesData[[#This Row],[Profit]]&gt;0,"Profit","Loss")</f>
        <v>Profit</v>
      </c>
      <c r="X424" s="2">
        <f>RANK(SalesData[[#This Row],[Sales]],SalesData[Sales])</f>
        <v>427</v>
      </c>
    </row>
    <row r="425" spans="1:24" x14ac:dyDescent="0.3">
      <c r="A425">
        <v>424</v>
      </c>
      <c r="B425" s="1">
        <v>45715</v>
      </c>
      <c r="C425">
        <v>1089</v>
      </c>
      <c r="D425" t="s">
        <v>208</v>
      </c>
      <c r="E425" t="s">
        <v>24</v>
      </c>
      <c r="F425" t="s">
        <v>28</v>
      </c>
      <c r="G425" t="s">
        <v>17</v>
      </c>
      <c r="H425" t="s">
        <v>29</v>
      </c>
      <c r="I425">
        <v>316</v>
      </c>
      <c r="J425">
        <v>7</v>
      </c>
      <c r="K425">
        <v>0.27</v>
      </c>
      <c r="L425">
        <v>1139</v>
      </c>
      <c r="M425" t="s">
        <v>26</v>
      </c>
      <c r="N425">
        <v>1614.76</v>
      </c>
      <c r="O425" t="str">
        <f>TEXT(SalesData[[#This Row],[Order_Date]],"mmm")</f>
        <v>Feb</v>
      </c>
      <c r="P425">
        <f>YEAR(SalesData[[#This Row],[Order_Date]])</f>
        <v>2025</v>
      </c>
      <c r="Q425" t="str">
        <f>"Q"&amp;ROUNDUP(MONTH(SalesData[[#This Row],[Order_Date]])/3,0)</f>
        <v>Q1</v>
      </c>
      <c r="R425" s="2">
        <f>IFERROR(SalesData[[#This Row],[Profit]]/SalesData[[#This Row],[Sales]],0)</f>
        <v>0.70536798038098536</v>
      </c>
      <c r="S425" s="2">
        <f>SalesData[[#This Row],[Price]]*SalesData[[#This Row],[Quantity]]*SalesData[[#This Row],[Discount]]</f>
        <v>597.24</v>
      </c>
      <c r="T425" s="2" t="str">
        <f>IF(SalesData[[#This Row],[Sales]]&gt;5000,"High",IF(SalesData[[#This Row],[Sales]]&gt;2000,"Medium","Low"))</f>
        <v>Low</v>
      </c>
      <c r="U425" s="2" t="str">
        <f>IF(COUNTIFS(SalesData[Customer_ID],SalesData[[#This Row],[Customer_ID]])&gt;1,"Repeat","New")</f>
        <v>Repeat</v>
      </c>
      <c r="V425" s="2" t="str">
        <f>IF(SalesData[[#This Row],[Sales]]&gt;AVERAGE(SalesData[Sales]),"Above Avg","Below Avg")</f>
        <v>Below Avg</v>
      </c>
      <c r="W425" s="2" t="str">
        <f>IF(SalesData[[#This Row],[Profit]]&gt;0,"Profit","Loss")</f>
        <v>Profit</v>
      </c>
      <c r="X425" s="2">
        <f>RANK(SalesData[[#This Row],[Sales]],SalesData[Sales])</f>
        <v>453</v>
      </c>
    </row>
    <row r="426" spans="1:24" x14ac:dyDescent="0.3">
      <c r="A426">
        <v>425</v>
      </c>
      <c r="B426" s="1">
        <v>45716</v>
      </c>
      <c r="C426">
        <v>1028</v>
      </c>
      <c r="D426" t="s">
        <v>182</v>
      </c>
      <c r="E426" t="s">
        <v>15</v>
      </c>
      <c r="F426" t="s">
        <v>16</v>
      </c>
      <c r="G426" t="s">
        <v>34</v>
      </c>
      <c r="H426" t="s">
        <v>25</v>
      </c>
      <c r="I426">
        <v>519</v>
      </c>
      <c r="J426">
        <v>9</v>
      </c>
      <c r="K426">
        <v>0.23</v>
      </c>
      <c r="L426">
        <v>411</v>
      </c>
      <c r="M426" t="s">
        <v>26</v>
      </c>
      <c r="N426">
        <v>3596.67</v>
      </c>
      <c r="O426" t="str">
        <f>TEXT(SalesData[[#This Row],[Order_Date]],"mmm")</f>
        <v>Feb</v>
      </c>
      <c r="P426">
        <f>YEAR(SalesData[[#This Row],[Order_Date]])</f>
        <v>2025</v>
      </c>
      <c r="Q426" t="str">
        <f>"Q"&amp;ROUNDUP(MONTH(SalesData[[#This Row],[Order_Date]])/3,0)</f>
        <v>Q1</v>
      </c>
      <c r="R426" s="2">
        <f>IFERROR(SalesData[[#This Row],[Profit]]/SalesData[[#This Row],[Sales]],0)</f>
        <v>0.11427236860762872</v>
      </c>
      <c r="S426" s="2">
        <f>SalesData[[#This Row],[Price]]*SalesData[[#This Row],[Quantity]]*SalesData[[#This Row],[Discount]]</f>
        <v>1074.3300000000002</v>
      </c>
      <c r="T426" s="2" t="str">
        <f>IF(SalesData[[#This Row],[Sales]]&gt;5000,"High",IF(SalesData[[#This Row],[Sales]]&gt;2000,"Medium","Low"))</f>
        <v>Medium</v>
      </c>
      <c r="U426" s="2" t="str">
        <f>IF(COUNTIFS(SalesData[Customer_ID],SalesData[[#This Row],[Customer_ID]])&gt;1,"Repeat","New")</f>
        <v>Repeat</v>
      </c>
      <c r="V426" s="2" t="str">
        <f>IF(SalesData[[#This Row],[Sales]]&gt;AVERAGE(SalesData[Sales]),"Above Avg","Below Avg")</f>
        <v>Below Avg</v>
      </c>
      <c r="W426" s="2" t="str">
        <f>IF(SalesData[[#This Row],[Profit]]&gt;0,"Profit","Loss")</f>
        <v>Profit</v>
      </c>
      <c r="X426" s="2">
        <f>RANK(SalesData[[#This Row],[Sales]],SalesData[Sales])</f>
        <v>369</v>
      </c>
    </row>
    <row r="427" spans="1:24" x14ac:dyDescent="0.3">
      <c r="A427">
        <v>426</v>
      </c>
      <c r="B427" s="1">
        <v>45717</v>
      </c>
      <c r="C427">
        <v>1065</v>
      </c>
      <c r="D427" t="s">
        <v>175</v>
      </c>
      <c r="E427" t="s">
        <v>15</v>
      </c>
      <c r="F427" t="s">
        <v>33</v>
      </c>
      <c r="G427" t="s">
        <v>22</v>
      </c>
      <c r="H427" t="s">
        <v>18</v>
      </c>
      <c r="I427">
        <v>2662</v>
      </c>
      <c r="J427">
        <v>3</v>
      </c>
      <c r="K427">
        <v>0.04</v>
      </c>
      <c r="L427">
        <v>1264</v>
      </c>
      <c r="M427" t="s">
        <v>19</v>
      </c>
      <c r="N427">
        <v>7666.5599999999904</v>
      </c>
      <c r="O427" t="str">
        <f>TEXT(SalesData[[#This Row],[Order_Date]],"mmm")</f>
        <v>Mar</v>
      </c>
      <c r="P427">
        <f>YEAR(SalesData[[#This Row],[Order_Date]])</f>
        <v>2025</v>
      </c>
      <c r="Q427" t="str">
        <f>"Q"&amp;ROUNDUP(MONTH(SalesData[[#This Row],[Order_Date]])/3,0)</f>
        <v>Q1</v>
      </c>
      <c r="R427" s="2">
        <f>IFERROR(SalesData[[#This Row],[Profit]]/SalesData[[#This Row],[Sales]],0)</f>
        <v>0.16487185908673532</v>
      </c>
      <c r="S427" s="2">
        <f>SalesData[[#This Row],[Price]]*SalesData[[#This Row],[Quantity]]*SalesData[[#This Row],[Discount]]</f>
        <v>319.44</v>
      </c>
      <c r="T427" s="2" t="str">
        <f>IF(SalesData[[#This Row],[Sales]]&gt;5000,"High",IF(SalesData[[#This Row],[Sales]]&gt;2000,"Medium","Low"))</f>
        <v>High</v>
      </c>
      <c r="U427" s="2" t="str">
        <f>IF(COUNTIFS(SalesData[Customer_ID],SalesData[[#This Row],[Customer_ID]])&gt;1,"Repeat","New")</f>
        <v>Repeat</v>
      </c>
      <c r="V427" s="2" t="str">
        <f>IF(SalesData[[#This Row],[Sales]]&gt;AVERAGE(SalesData[Sales]),"Above Avg","Below Avg")</f>
        <v>Below Avg</v>
      </c>
      <c r="W427" s="2" t="str">
        <f>IF(SalesData[[#This Row],[Profit]]&gt;0,"Profit","Loss")</f>
        <v>Profit</v>
      </c>
      <c r="X427" s="2">
        <f>RANK(SalesData[[#This Row],[Sales]],SalesData[Sales])</f>
        <v>260</v>
      </c>
    </row>
    <row r="428" spans="1:24" x14ac:dyDescent="0.3">
      <c r="A428">
        <v>427</v>
      </c>
      <c r="B428" s="1">
        <v>45718</v>
      </c>
      <c r="C428">
        <v>1021</v>
      </c>
      <c r="D428" t="s">
        <v>64</v>
      </c>
      <c r="E428" t="s">
        <v>15</v>
      </c>
      <c r="F428" t="s">
        <v>21</v>
      </c>
      <c r="G428" t="s">
        <v>22</v>
      </c>
      <c r="H428" t="s">
        <v>25</v>
      </c>
      <c r="I428">
        <v>408</v>
      </c>
      <c r="J428">
        <v>7</v>
      </c>
      <c r="K428">
        <v>0.06</v>
      </c>
      <c r="L428">
        <v>1876</v>
      </c>
      <c r="M428" t="s">
        <v>26</v>
      </c>
      <c r="N428">
        <v>2684.64</v>
      </c>
      <c r="O428" t="str">
        <f>TEXT(SalesData[[#This Row],[Order_Date]],"mmm")</f>
        <v>Mar</v>
      </c>
      <c r="P428">
        <f>YEAR(SalesData[[#This Row],[Order_Date]])</f>
        <v>2025</v>
      </c>
      <c r="Q428" t="str">
        <f>"Q"&amp;ROUNDUP(MONTH(SalesData[[#This Row],[Order_Date]])/3,0)</f>
        <v>Q1</v>
      </c>
      <c r="R428" s="2">
        <f>IFERROR(SalesData[[#This Row],[Profit]]/SalesData[[#This Row],[Sales]],0)</f>
        <v>0.69879015435961622</v>
      </c>
      <c r="S428" s="2">
        <f>SalesData[[#This Row],[Price]]*SalesData[[#This Row],[Quantity]]*SalesData[[#This Row],[Discount]]</f>
        <v>171.35999999999999</v>
      </c>
      <c r="T428" s="2" t="str">
        <f>IF(SalesData[[#This Row],[Sales]]&gt;5000,"High",IF(SalesData[[#This Row],[Sales]]&gt;2000,"Medium","Low"))</f>
        <v>Medium</v>
      </c>
      <c r="U428" s="2" t="str">
        <f>IF(COUNTIFS(SalesData[Customer_ID],SalesData[[#This Row],[Customer_ID]])&gt;1,"Repeat","New")</f>
        <v>Repeat</v>
      </c>
      <c r="V428" s="2" t="str">
        <f>IF(SalesData[[#This Row],[Sales]]&gt;AVERAGE(SalesData[Sales]),"Above Avg","Below Avg")</f>
        <v>Below Avg</v>
      </c>
      <c r="W428" s="2" t="str">
        <f>IF(SalesData[[#This Row],[Profit]]&gt;0,"Profit","Loss")</f>
        <v>Profit</v>
      </c>
      <c r="X428" s="2">
        <f>RANK(SalesData[[#This Row],[Sales]],SalesData[Sales])</f>
        <v>402</v>
      </c>
    </row>
    <row r="429" spans="1:24" x14ac:dyDescent="0.3">
      <c r="A429">
        <v>428</v>
      </c>
      <c r="B429" s="1">
        <v>45719</v>
      </c>
      <c r="C429">
        <v>1060</v>
      </c>
      <c r="D429" t="s">
        <v>209</v>
      </c>
      <c r="E429" t="s">
        <v>15</v>
      </c>
      <c r="F429" t="s">
        <v>16</v>
      </c>
      <c r="G429" t="s">
        <v>22</v>
      </c>
      <c r="H429" t="s">
        <v>25</v>
      </c>
      <c r="I429">
        <v>4903</v>
      </c>
      <c r="J429">
        <v>1</v>
      </c>
      <c r="K429">
        <v>0.19</v>
      </c>
      <c r="L429">
        <v>1541</v>
      </c>
      <c r="M429" t="s">
        <v>19</v>
      </c>
      <c r="N429">
        <v>3971.43</v>
      </c>
      <c r="O429" t="str">
        <f>TEXT(SalesData[[#This Row],[Order_Date]],"mmm")</f>
        <v>Mar</v>
      </c>
      <c r="P429">
        <f>YEAR(SalesData[[#This Row],[Order_Date]])</f>
        <v>2025</v>
      </c>
      <c r="Q429" t="str">
        <f>"Q"&amp;ROUNDUP(MONTH(SalesData[[#This Row],[Order_Date]])/3,0)</f>
        <v>Q1</v>
      </c>
      <c r="R429" s="2">
        <f>IFERROR(SalesData[[#This Row],[Profit]]/SalesData[[#This Row],[Sales]],0)</f>
        <v>0.38802144315775428</v>
      </c>
      <c r="S429" s="2">
        <f>SalesData[[#This Row],[Price]]*SalesData[[#This Row],[Quantity]]*SalesData[[#This Row],[Discount]]</f>
        <v>931.57</v>
      </c>
      <c r="T429" s="2" t="str">
        <f>IF(SalesData[[#This Row],[Sales]]&gt;5000,"High",IF(SalesData[[#This Row],[Sales]]&gt;2000,"Medium","Low"))</f>
        <v>Medium</v>
      </c>
      <c r="U429" s="2" t="str">
        <f>IF(COUNTIFS(SalesData[Customer_ID],SalesData[[#This Row],[Customer_ID]])&gt;1,"Repeat","New")</f>
        <v>Repeat</v>
      </c>
      <c r="V429" s="2" t="str">
        <f>IF(SalesData[[#This Row],[Sales]]&gt;AVERAGE(SalesData[Sales]),"Above Avg","Below Avg")</f>
        <v>Below Avg</v>
      </c>
      <c r="W429" s="2" t="str">
        <f>IF(SalesData[[#This Row],[Profit]]&gt;0,"Profit","Loss")</f>
        <v>Profit</v>
      </c>
      <c r="X429" s="2">
        <f>RANK(SalesData[[#This Row],[Sales]],SalesData[Sales])</f>
        <v>355</v>
      </c>
    </row>
    <row r="430" spans="1:24" x14ac:dyDescent="0.3">
      <c r="A430">
        <v>429</v>
      </c>
      <c r="B430" s="1">
        <v>45720</v>
      </c>
      <c r="C430">
        <v>1028</v>
      </c>
      <c r="D430" t="s">
        <v>210</v>
      </c>
      <c r="E430" t="s">
        <v>24</v>
      </c>
      <c r="F430" t="s">
        <v>28</v>
      </c>
      <c r="G430" t="s">
        <v>17</v>
      </c>
      <c r="H430" t="s">
        <v>25</v>
      </c>
      <c r="I430">
        <v>1966</v>
      </c>
      <c r="J430">
        <v>3</v>
      </c>
      <c r="K430">
        <v>0.08</v>
      </c>
      <c r="L430">
        <v>919</v>
      </c>
      <c r="M430" t="s">
        <v>26</v>
      </c>
      <c r="N430">
        <v>5426.16</v>
      </c>
      <c r="O430" t="str">
        <f>TEXT(SalesData[[#This Row],[Order_Date]],"mmm")</f>
        <v>Mar</v>
      </c>
      <c r="P430">
        <f>YEAR(SalesData[[#This Row],[Order_Date]])</f>
        <v>2025</v>
      </c>
      <c r="Q430" t="str">
        <f>"Q"&amp;ROUNDUP(MONTH(SalesData[[#This Row],[Order_Date]])/3,0)</f>
        <v>Q1</v>
      </c>
      <c r="R430" s="2">
        <f>IFERROR(SalesData[[#This Row],[Profit]]/SalesData[[#This Row],[Sales]],0)</f>
        <v>0.16936470726996625</v>
      </c>
      <c r="S430" s="2">
        <f>SalesData[[#This Row],[Price]]*SalesData[[#This Row],[Quantity]]*SalesData[[#This Row],[Discount]]</f>
        <v>471.84000000000003</v>
      </c>
      <c r="T430" s="2" t="str">
        <f>IF(SalesData[[#This Row],[Sales]]&gt;5000,"High",IF(SalesData[[#This Row],[Sales]]&gt;2000,"Medium","Low"))</f>
        <v>High</v>
      </c>
      <c r="U430" s="2" t="str">
        <f>IF(COUNTIFS(SalesData[Customer_ID],SalesData[[#This Row],[Customer_ID]])&gt;1,"Repeat","New")</f>
        <v>Repeat</v>
      </c>
      <c r="V430" s="2" t="str">
        <f>IF(SalesData[[#This Row],[Sales]]&gt;AVERAGE(SalesData[Sales]),"Above Avg","Below Avg")</f>
        <v>Below Avg</v>
      </c>
      <c r="W430" s="2" t="str">
        <f>IF(SalesData[[#This Row],[Profit]]&gt;0,"Profit","Loss")</f>
        <v>Profit</v>
      </c>
      <c r="X430" s="2">
        <f>RANK(SalesData[[#This Row],[Sales]],SalesData[Sales])</f>
        <v>311</v>
      </c>
    </row>
    <row r="431" spans="1:24" x14ac:dyDescent="0.3">
      <c r="A431">
        <v>430</v>
      </c>
      <c r="B431" s="1">
        <v>45721</v>
      </c>
      <c r="C431">
        <v>1008</v>
      </c>
      <c r="D431" t="s">
        <v>60</v>
      </c>
      <c r="E431" t="s">
        <v>24</v>
      </c>
      <c r="F431" t="s">
        <v>28</v>
      </c>
      <c r="G431" t="s">
        <v>22</v>
      </c>
      <c r="H431" t="s">
        <v>29</v>
      </c>
      <c r="I431">
        <v>1083</v>
      </c>
      <c r="J431">
        <v>2</v>
      </c>
      <c r="K431">
        <v>0.06</v>
      </c>
      <c r="L431">
        <v>25</v>
      </c>
      <c r="M431" t="s">
        <v>26</v>
      </c>
      <c r="N431">
        <v>2036.04</v>
      </c>
      <c r="O431" t="str">
        <f>TEXT(SalesData[[#This Row],[Order_Date]],"mmm")</f>
        <v>Mar</v>
      </c>
      <c r="P431">
        <f>YEAR(SalesData[[#This Row],[Order_Date]])</f>
        <v>2025</v>
      </c>
      <c r="Q431" t="str">
        <f>"Q"&amp;ROUNDUP(MONTH(SalesData[[#This Row],[Order_Date]])/3,0)</f>
        <v>Q1</v>
      </c>
      <c r="R431" s="2">
        <f>IFERROR(SalesData[[#This Row],[Profit]]/SalesData[[#This Row],[Sales]],0)</f>
        <v>1.2278737156440934E-2</v>
      </c>
      <c r="S431" s="2">
        <f>SalesData[[#This Row],[Price]]*SalesData[[#This Row],[Quantity]]*SalesData[[#This Row],[Discount]]</f>
        <v>129.96</v>
      </c>
      <c r="T431" s="2" t="str">
        <f>IF(SalesData[[#This Row],[Sales]]&gt;5000,"High",IF(SalesData[[#This Row],[Sales]]&gt;2000,"Medium","Low"))</f>
        <v>Medium</v>
      </c>
      <c r="U431" s="2" t="str">
        <f>IF(COUNTIFS(SalesData[Customer_ID],SalesData[[#This Row],[Customer_ID]])&gt;1,"Repeat","New")</f>
        <v>Repeat</v>
      </c>
      <c r="V431" s="2" t="str">
        <f>IF(SalesData[[#This Row],[Sales]]&gt;AVERAGE(SalesData[Sales]),"Above Avg","Below Avg")</f>
        <v>Below Avg</v>
      </c>
      <c r="W431" s="2" t="str">
        <f>IF(SalesData[[#This Row],[Profit]]&gt;0,"Profit","Loss")</f>
        <v>Profit</v>
      </c>
      <c r="X431" s="2">
        <f>RANK(SalesData[[#This Row],[Sales]],SalesData[Sales])</f>
        <v>429</v>
      </c>
    </row>
    <row r="432" spans="1:24" x14ac:dyDescent="0.3">
      <c r="A432">
        <v>431</v>
      </c>
      <c r="B432" s="1">
        <v>45722</v>
      </c>
      <c r="C432">
        <v>1040</v>
      </c>
      <c r="D432" t="s">
        <v>200</v>
      </c>
      <c r="E432" t="s">
        <v>24</v>
      </c>
      <c r="F432" t="s">
        <v>21</v>
      </c>
      <c r="G432" t="s">
        <v>34</v>
      </c>
      <c r="H432" t="s">
        <v>25</v>
      </c>
      <c r="I432">
        <v>3878</v>
      </c>
      <c r="J432">
        <v>6</v>
      </c>
      <c r="K432">
        <v>0.3</v>
      </c>
      <c r="L432">
        <v>227</v>
      </c>
      <c r="M432" t="s">
        <v>26</v>
      </c>
      <c r="N432">
        <v>16287.5999999999</v>
      </c>
      <c r="O432" t="str">
        <f>TEXT(SalesData[[#This Row],[Order_Date]],"mmm")</f>
        <v>Mar</v>
      </c>
      <c r="P432">
        <f>YEAR(SalesData[[#This Row],[Order_Date]])</f>
        <v>2025</v>
      </c>
      <c r="Q432" t="str">
        <f>"Q"&amp;ROUNDUP(MONTH(SalesData[[#This Row],[Order_Date]])/3,0)</f>
        <v>Q1</v>
      </c>
      <c r="R432" s="2">
        <f>IFERROR(SalesData[[#This Row],[Profit]]/SalesData[[#This Row],[Sales]],0)</f>
        <v>1.3936982735332485E-2</v>
      </c>
      <c r="S432" s="2">
        <f>SalesData[[#This Row],[Price]]*SalesData[[#This Row],[Quantity]]*SalesData[[#This Row],[Discount]]</f>
        <v>6980.4</v>
      </c>
      <c r="T432" s="2" t="str">
        <f>IF(SalesData[[#This Row],[Sales]]&gt;5000,"High",IF(SalesData[[#This Row],[Sales]]&gt;2000,"Medium","Low"))</f>
        <v>High</v>
      </c>
      <c r="U432" s="2" t="str">
        <f>IF(COUNTIFS(SalesData[Customer_ID],SalesData[[#This Row],[Customer_ID]])&gt;1,"Repeat","New")</f>
        <v>Repeat</v>
      </c>
      <c r="V432" s="2" t="str">
        <f>IF(SalesData[[#This Row],[Sales]]&gt;AVERAGE(SalesData[Sales]),"Above Avg","Below Avg")</f>
        <v>Above Avg</v>
      </c>
      <c r="W432" s="2" t="str">
        <f>IF(SalesData[[#This Row],[Profit]]&gt;0,"Profit","Loss")</f>
        <v>Profit</v>
      </c>
      <c r="X432" s="2">
        <f>RANK(SalesData[[#This Row],[Sales]],SalesData[Sales])</f>
        <v>120</v>
      </c>
    </row>
    <row r="433" spans="1:24" x14ac:dyDescent="0.3">
      <c r="A433">
        <v>432</v>
      </c>
      <c r="B433" s="1">
        <v>45723</v>
      </c>
      <c r="C433">
        <v>1020</v>
      </c>
      <c r="D433" t="s">
        <v>192</v>
      </c>
      <c r="E433" t="s">
        <v>15</v>
      </c>
      <c r="F433" t="s">
        <v>33</v>
      </c>
      <c r="G433" t="s">
        <v>22</v>
      </c>
      <c r="H433" t="s">
        <v>37</v>
      </c>
      <c r="I433">
        <v>2387</v>
      </c>
      <c r="J433">
        <v>9</v>
      </c>
      <c r="K433">
        <v>0.14000000000000001</v>
      </c>
      <c r="L433">
        <v>-68</v>
      </c>
      <c r="M433" t="s">
        <v>31</v>
      </c>
      <c r="N433">
        <v>18475.38</v>
      </c>
      <c r="O433" t="str">
        <f>TEXT(SalesData[[#This Row],[Order_Date]],"mmm")</f>
        <v>Mar</v>
      </c>
      <c r="P433">
        <f>YEAR(SalesData[[#This Row],[Order_Date]])</f>
        <v>2025</v>
      </c>
      <c r="Q433" t="str">
        <f>"Q"&amp;ROUNDUP(MONTH(SalesData[[#This Row],[Order_Date]])/3,0)</f>
        <v>Q1</v>
      </c>
      <c r="R433" s="2">
        <f>IFERROR(SalesData[[#This Row],[Profit]]/SalesData[[#This Row],[Sales]],0)</f>
        <v>-3.6805738231094568E-3</v>
      </c>
      <c r="S433" s="2">
        <f>SalesData[[#This Row],[Price]]*SalesData[[#This Row],[Quantity]]*SalesData[[#This Row],[Discount]]</f>
        <v>3007.6200000000003</v>
      </c>
      <c r="T433" s="2" t="str">
        <f>IF(SalesData[[#This Row],[Sales]]&gt;5000,"High",IF(SalesData[[#This Row],[Sales]]&gt;2000,"Medium","Low"))</f>
        <v>High</v>
      </c>
      <c r="U433" s="2" t="str">
        <f>IF(COUNTIFS(SalesData[Customer_ID],SalesData[[#This Row],[Customer_ID]])&gt;1,"Repeat","New")</f>
        <v>Repeat</v>
      </c>
      <c r="V433" s="2" t="str">
        <f>IF(SalesData[[#This Row],[Sales]]&gt;AVERAGE(SalesData[Sales]),"Above Avg","Below Avg")</f>
        <v>Above Avg</v>
      </c>
      <c r="W433" s="2" t="str">
        <f>IF(SalesData[[#This Row],[Profit]]&gt;0,"Profit","Loss")</f>
        <v>Loss</v>
      </c>
      <c r="X433" s="2">
        <f>RANK(SalesData[[#This Row],[Sales]],SalesData[Sales])</f>
        <v>88</v>
      </c>
    </row>
    <row r="434" spans="1:24" x14ac:dyDescent="0.3">
      <c r="A434">
        <v>433</v>
      </c>
      <c r="B434" s="1">
        <v>45724</v>
      </c>
      <c r="C434">
        <v>1054</v>
      </c>
      <c r="D434" t="s">
        <v>211</v>
      </c>
      <c r="E434" t="s">
        <v>15</v>
      </c>
      <c r="F434" t="s">
        <v>33</v>
      </c>
      <c r="G434" t="s">
        <v>34</v>
      </c>
      <c r="H434" t="s">
        <v>18</v>
      </c>
      <c r="I434">
        <v>3414</v>
      </c>
      <c r="J434">
        <v>3</v>
      </c>
      <c r="K434">
        <v>0.16</v>
      </c>
      <c r="L434">
        <v>1361</v>
      </c>
      <c r="M434" t="s">
        <v>19</v>
      </c>
      <c r="N434">
        <v>8603.2799999999897</v>
      </c>
      <c r="O434" t="str">
        <f>TEXT(SalesData[[#This Row],[Order_Date]],"mmm")</f>
        <v>Mar</v>
      </c>
      <c r="P434">
        <f>YEAR(SalesData[[#This Row],[Order_Date]])</f>
        <v>2025</v>
      </c>
      <c r="Q434" t="str">
        <f>"Q"&amp;ROUNDUP(MONTH(SalesData[[#This Row],[Order_Date]])/3,0)</f>
        <v>Q1</v>
      </c>
      <c r="R434" s="2">
        <f>IFERROR(SalesData[[#This Row],[Profit]]/SalesData[[#This Row],[Sales]],0)</f>
        <v>0.15819547893361621</v>
      </c>
      <c r="S434" s="2">
        <f>SalesData[[#This Row],[Price]]*SalesData[[#This Row],[Quantity]]*SalesData[[#This Row],[Discount]]</f>
        <v>1638.72</v>
      </c>
      <c r="T434" s="2" t="str">
        <f>IF(SalesData[[#This Row],[Sales]]&gt;5000,"High",IF(SalesData[[#This Row],[Sales]]&gt;2000,"Medium","Low"))</f>
        <v>High</v>
      </c>
      <c r="U434" s="2" t="str">
        <f>IF(COUNTIFS(SalesData[Customer_ID],SalesData[[#This Row],[Customer_ID]])&gt;1,"Repeat","New")</f>
        <v>Repeat</v>
      </c>
      <c r="V434" s="2" t="str">
        <f>IF(SalesData[[#This Row],[Sales]]&gt;AVERAGE(SalesData[Sales]),"Above Avg","Below Avg")</f>
        <v>Below Avg</v>
      </c>
      <c r="W434" s="2" t="str">
        <f>IF(SalesData[[#This Row],[Profit]]&gt;0,"Profit","Loss")</f>
        <v>Profit</v>
      </c>
      <c r="X434" s="2">
        <f>RANK(SalesData[[#This Row],[Sales]],SalesData[Sales])</f>
        <v>236</v>
      </c>
    </row>
    <row r="435" spans="1:24" x14ac:dyDescent="0.3">
      <c r="A435">
        <v>434</v>
      </c>
      <c r="B435" s="1">
        <v>45725</v>
      </c>
      <c r="C435">
        <v>1095</v>
      </c>
      <c r="D435" t="s">
        <v>92</v>
      </c>
      <c r="E435" t="s">
        <v>15</v>
      </c>
      <c r="F435" t="s">
        <v>16</v>
      </c>
      <c r="G435" t="s">
        <v>34</v>
      </c>
      <c r="H435" t="s">
        <v>25</v>
      </c>
      <c r="I435">
        <v>661</v>
      </c>
      <c r="J435">
        <v>8</v>
      </c>
      <c r="K435">
        <v>0.2</v>
      </c>
      <c r="L435">
        <v>31</v>
      </c>
      <c r="M435" t="s">
        <v>31</v>
      </c>
      <c r="N435">
        <v>4230.3999999999996</v>
      </c>
      <c r="O435" t="str">
        <f>TEXT(SalesData[[#This Row],[Order_Date]],"mmm")</f>
        <v>Mar</v>
      </c>
      <c r="P435">
        <f>YEAR(SalesData[[#This Row],[Order_Date]])</f>
        <v>2025</v>
      </c>
      <c r="Q435" t="str">
        <f>"Q"&amp;ROUNDUP(MONTH(SalesData[[#This Row],[Order_Date]])/3,0)</f>
        <v>Q1</v>
      </c>
      <c r="R435" s="2">
        <f>IFERROR(SalesData[[#This Row],[Profit]]/SalesData[[#This Row],[Sales]],0)</f>
        <v>7.3279122541603636E-3</v>
      </c>
      <c r="S435" s="2">
        <f>SalesData[[#This Row],[Price]]*SalesData[[#This Row],[Quantity]]*SalesData[[#This Row],[Discount]]</f>
        <v>1057.6000000000001</v>
      </c>
      <c r="T435" s="2" t="str">
        <f>IF(SalesData[[#This Row],[Sales]]&gt;5000,"High",IF(SalesData[[#This Row],[Sales]]&gt;2000,"Medium","Low"))</f>
        <v>Medium</v>
      </c>
      <c r="U435" s="2" t="str">
        <f>IF(COUNTIFS(SalesData[Customer_ID],SalesData[[#This Row],[Customer_ID]])&gt;1,"Repeat","New")</f>
        <v>Repeat</v>
      </c>
      <c r="V435" s="2" t="str">
        <f>IF(SalesData[[#This Row],[Sales]]&gt;AVERAGE(SalesData[Sales]),"Above Avg","Below Avg")</f>
        <v>Below Avg</v>
      </c>
      <c r="W435" s="2" t="str">
        <f>IF(SalesData[[#This Row],[Profit]]&gt;0,"Profit","Loss")</f>
        <v>Profit</v>
      </c>
      <c r="X435" s="2">
        <f>RANK(SalesData[[#This Row],[Sales]],SalesData[Sales])</f>
        <v>345</v>
      </c>
    </row>
    <row r="436" spans="1:24" x14ac:dyDescent="0.3">
      <c r="A436">
        <v>435</v>
      </c>
      <c r="B436" s="1">
        <v>45726</v>
      </c>
      <c r="C436">
        <v>1095</v>
      </c>
      <c r="D436" t="s">
        <v>57</v>
      </c>
      <c r="E436" t="s">
        <v>15</v>
      </c>
      <c r="F436" t="s">
        <v>21</v>
      </c>
      <c r="G436" t="s">
        <v>17</v>
      </c>
      <c r="H436" t="s">
        <v>18</v>
      </c>
      <c r="I436">
        <v>3695</v>
      </c>
      <c r="J436">
        <v>9</v>
      </c>
      <c r="K436">
        <v>0.02</v>
      </c>
      <c r="L436">
        <v>1064</v>
      </c>
      <c r="M436" t="s">
        <v>31</v>
      </c>
      <c r="N436">
        <v>32589.8999999999</v>
      </c>
      <c r="O436" t="str">
        <f>TEXT(SalesData[[#This Row],[Order_Date]],"mmm")</f>
        <v>Mar</v>
      </c>
      <c r="P436">
        <f>YEAR(SalesData[[#This Row],[Order_Date]])</f>
        <v>2025</v>
      </c>
      <c r="Q436" t="str">
        <f>"Q"&amp;ROUNDUP(MONTH(SalesData[[#This Row],[Order_Date]])/3,0)</f>
        <v>Q1</v>
      </c>
      <c r="R436" s="2">
        <f>IFERROR(SalesData[[#This Row],[Profit]]/SalesData[[#This Row],[Sales]],0)</f>
        <v>3.2648151727989447E-2</v>
      </c>
      <c r="S436" s="2">
        <f>SalesData[[#This Row],[Price]]*SalesData[[#This Row],[Quantity]]*SalesData[[#This Row],[Discount]]</f>
        <v>665.1</v>
      </c>
      <c r="T436" s="2" t="str">
        <f>IF(SalesData[[#This Row],[Sales]]&gt;5000,"High",IF(SalesData[[#This Row],[Sales]]&gt;2000,"Medium","Low"))</f>
        <v>High</v>
      </c>
      <c r="U436" s="2" t="str">
        <f>IF(COUNTIFS(SalesData[Customer_ID],SalesData[[#This Row],[Customer_ID]])&gt;1,"Repeat","New")</f>
        <v>Repeat</v>
      </c>
      <c r="V436" s="2" t="str">
        <f>IF(SalesData[[#This Row],[Sales]]&gt;AVERAGE(SalesData[Sales]),"Above Avg","Below Avg")</f>
        <v>Above Avg</v>
      </c>
      <c r="W436" s="2" t="str">
        <f>IF(SalesData[[#This Row],[Profit]]&gt;0,"Profit","Loss")</f>
        <v>Profit</v>
      </c>
      <c r="X436" s="2">
        <f>RANK(SalesData[[#This Row],[Sales]],SalesData[Sales])</f>
        <v>19</v>
      </c>
    </row>
    <row r="437" spans="1:24" x14ac:dyDescent="0.3">
      <c r="A437">
        <v>436</v>
      </c>
      <c r="B437" s="1">
        <v>45727</v>
      </c>
      <c r="C437">
        <v>1039</v>
      </c>
      <c r="D437" t="s">
        <v>176</v>
      </c>
      <c r="E437" t="s">
        <v>24</v>
      </c>
      <c r="F437" t="s">
        <v>21</v>
      </c>
      <c r="G437" t="s">
        <v>34</v>
      </c>
      <c r="H437" t="s">
        <v>37</v>
      </c>
      <c r="I437">
        <v>4987</v>
      </c>
      <c r="J437">
        <v>8</v>
      </c>
      <c r="K437">
        <v>0.12</v>
      </c>
      <c r="L437">
        <v>1901</v>
      </c>
      <c r="M437" t="s">
        <v>19</v>
      </c>
      <c r="N437">
        <v>35108.480000000003</v>
      </c>
      <c r="O437" t="str">
        <f>TEXT(SalesData[[#This Row],[Order_Date]],"mmm")</f>
        <v>Mar</v>
      </c>
      <c r="P437">
        <f>YEAR(SalesData[[#This Row],[Order_Date]])</f>
        <v>2025</v>
      </c>
      <c r="Q437" t="str">
        <f>"Q"&amp;ROUNDUP(MONTH(SalesData[[#This Row],[Order_Date]])/3,0)</f>
        <v>Q1</v>
      </c>
      <c r="R437" s="2">
        <f>IFERROR(SalesData[[#This Row],[Profit]]/SalesData[[#This Row],[Sales]],0)</f>
        <v>5.4146462620996406E-2</v>
      </c>
      <c r="S437" s="2">
        <f>SalesData[[#This Row],[Price]]*SalesData[[#This Row],[Quantity]]*SalesData[[#This Row],[Discount]]</f>
        <v>4787.5199999999995</v>
      </c>
      <c r="T437" s="2" t="str">
        <f>IF(SalesData[[#This Row],[Sales]]&gt;5000,"High",IF(SalesData[[#This Row],[Sales]]&gt;2000,"Medium","Low"))</f>
        <v>High</v>
      </c>
      <c r="U437" s="2" t="str">
        <f>IF(COUNTIFS(SalesData[Customer_ID],SalesData[[#This Row],[Customer_ID]])&gt;1,"Repeat","New")</f>
        <v>Repeat</v>
      </c>
      <c r="V437" s="2" t="str">
        <f>IF(SalesData[[#This Row],[Sales]]&gt;AVERAGE(SalesData[Sales]),"Above Avg","Below Avg")</f>
        <v>Above Avg</v>
      </c>
      <c r="W437" s="2" t="str">
        <f>IF(SalesData[[#This Row],[Profit]]&gt;0,"Profit","Loss")</f>
        <v>Profit</v>
      </c>
      <c r="X437" s="2">
        <f>RANK(SalesData[[#This Row],[Sales]],SalesData[Sales])</f>
        <v>11</v>
      </c>
    </row>
    <row r="438" spans="1:24" x14ac:dyDescent="0.3">
      <c r="A438">
        <v>437</v>
      </c>
      <c r="B438" s="1">
        <v>45728</v>
      </c>
      <c r="C438">
        <v>1025</v>
      </c>
      <c r="D438" t="s">
        <v>14</v>
      </c>
      <c r="E438" t="s">
        <v>24</v>
      </c>
      <c r="F438" t="s">
        <v>16</v>
      </c>
      <c r="G438" t="s">
        <v>22</v>
      </c>
      <c r="H438" t="s">
        <v>37</v>
      </c>
      <c r="I438">
        <v>1502</v>
      </c>
      <c r="J438">
        <v>9</v>
      </c>
      <c r="K438">
        <v>0.27</v>
      </c>
      <c r="L438">
        <v>407</v>
      </c>
      <c r="M438" t="s">
        <v>19</v>
      </c>
      <c r="N438">
        <v>9868.14</v>
      </c>
      <c r="O438" t="str">
        <f>TEXT(SalesData[[#This Row],[Order_Date]],"mmm")</f>
        <v>Mar</v>
      </c>
      <c r="P438">
        <f>YEAR(SalesData[[#This Row],[Order_Date]])</f>
        <v>2025</v>
      </c>
      <c r="Q438" t="str">
        <f>"Q"&amp;ROUNDUP(MONTH(SalesData[[#This Row],[Order_Date]])/3,0)</f>
        <v>Q1</v>
      </c>
      <c r="R438" s="2">
        <f>IFERROR(SalesData[[#This Row],[Profit]]/SalesData[[#This Row],[Sales]],0)</f>
        <v>4.1243841291266646E-2</v>
      </c>
      <c r="S438" s="2">
        <f>SalesData[[#This Row],[Price]]*SalesData[[#This Row],[Quantity]]*SalesData[[#This Row],[Discount]]</f>
        <v>3649.86</v>
      </c>
      <c r="T438" s="2" t="str">
        <f>IF(SalesData[[#This Row],[Sales]]&gt;5000,"High",IF(SalesData[[#This Row],[Sales]]&gt;2000,"Medium","Low"))</f>
        <v>High</v>
      </c>
      <c r="U438" s="2" t="str">
        <f>IF(COUNTIFS(SalesData[Customer_ID],SalesData[[#This Row],[Customer_ID]])&gt;1,"Repeat","New")</f>
        <v>Repeat</v>
      </c>
      <c r="V438" s="2" t="str">
        <f>IF(SalesData[[#This Row],[Sales]]&gt;AVERAGE(SalesData[Sales]),"Above Avg","Below Avg")</f>
        <v>Below Avg</v>
      </c>
      <c r="W438" s="2" t="str">
        <f>IF(SalesData[[#This Row],[Profit]]&gt;0,"Profit","Loss")</f>
        <v>Profit</v>
      </c>
      <c r="X438" s="2">
        <f>RANK(SalesData[[#This Row],[Sales]],SalesData[Sales])</f>
        <v>205</v>
      </c>
    </row>
    <row r="439" spans="1:24" x14ac:dyDescent="0.3">
      <c r="A439">
        <v>438</v>
      </c>
      <c r="B439" s="1">
        <v>45729</v>
      </c>
      <c r="C439">
        <v>1047</v>
      </c>
      <c r="D439" t="s">
        <v>176</v>
      </c>
      <c r="E439" t="s">
        <v>24</v>
      </c>
      <c r="F439" t="s">
        <v>16</v>
      </c>
      <c r="G439" t="s">
        <v>34</v>
      </c>
      <c r="H439" t="s">
        <v>37</v>
      </c>
      <c r="I439">
        <v>2678</v>
      </c>
      <c r="J439">
        <v>9</v>
      </c>
      <c r="K439">
        <v>0.28000000000000003</v>
      </c>
      <c r="L439">
        <v>-115</v>
      </c>
      <c r="M439" t="s">
        <v>19</v>
      </c>
      <c r="N439">
        <v>17353.439999999999</v>
      </c>
      <c r="O439" t="str">
        <f>TEXT(SalesData[[#This Row],[Order_Date]],"mmm")</f>
        <v>Mar</v>
      </c>
      <c r="P439">
        <f>YEAR(SalesData[[#This Row],[Order_Date]])</f>
        <v>2025</v>
      </c>
      <c r="Q439" t="str">
        <f>"Q"&amp;ROUNDUP(MONTH(SalesData[[#This Row],[Order_Date]])/3,0)</f>
        <v>Q1</v>
      </c>
      <c r="R439" s="2">
        <f>IFERROR(SalesData[[#This Row],[Profit]]/SalesData[[#This Row],[Sales]],0)</f>
        <v>-6.626928147963747E-3</v>
      </c>
      <c r="S439" s="2">
        <f>SalesData[[#This Row],[Price]]*SalesData[[#This Row],[Quantity]]*SalesData[[#This Row],[Discount]]</f>
        <v>6748.56</v>
      </c>
      <c r="T439" s="2" t="str">
        <f>IF(SalesData[[#This Row],[Sales]]&gt;5000,"High",IF(SalesData[[#This Row],[Sales]]&gt;2000,"Medium","Low"))</f>
        <v>High</v>
      </c>
      <c r="U439" s="2" t="str">
        <f>IF(COUNTIFS(SalesData[Customer_ID],SalesData[[#This Row],[Customer_ID]])&gt;1,"Repeat","New")</f>
        <v>Repeat</v>
      </c>
      <c r="V439" s="2" t="str">
        <f>IF(SalesData[[#This Row],[Sales]]&gt;AVERAGE(SalesData[Sales]),"Above Avg","Below Avg")</f>
        <v>Above Avg</v>
      </c>
      <c r="W439" s="2" t="str">
        <f>IF(SalesData[[#This Row],[Profit]]&gt;0,"Profit","Loss")</f>
        <v>Loss</v>
      </c>
      <c r="X439" s="2">
        <f>RANK(SalesData[[#This Row],[Sales]],SalesData[Sales])</f>
        <v>100</v>
      </c>
    </row>
    <row r="440" spans="1:24" x14ac:dyDescent="0.3">
      <c r="A440">
        <v>439</v>
      </c>
      <c r="B440" s="1">
        <v>45730</v>
      </c>
      <c r="C440">
        <v>1076</v>
      </c>
      <c r="D440" t="s">
        <v>52</v>
      </c>
      <c r="E440" t="s">
        <v>24</v>
      </c>
      <c r="F440" t="s">
        <v>33</v>
      </c>
      <c r="G440" t="s">
        <v>22</v>
      </c>
      <c r="H440" t="s">
        <v>37</v>
      </c>
      <c r="I440">
        <v>3044</v>
      </c>
      <c r="J440">
        <v>3</v>
      </c>
      <c r="K440">
        <v>0.15</v>
      </c>
      <c r="L440">
        <v>151</v>
      </c>
      <c r="M440" t="s">
        <v>19</v>
      </c>
      <c r="N440">
        <v>7762.2</v>
      </c>
      <c r="O440" t="str">
        <f>TEXT(SalesData[[#This Row],[Order_Date]],"mmm")</f>
        <v>Mar</v>
      </c>
      <c r="P440">
        <f>YEAR(SalesData[[#This Row],[Order_Date]])</f>
        <v>2025</v>
      </c>
      <c r="Q440" t="str">
        <f>"Q"&amp;ROUNDUP(MONTH(SalesData[[#This Row],[Order_Date]])/3,0)</f>
        <v>Q1</v>
      </c>
      <c r="R440" s="2">
        <f>IFERROR(SalesData[[#This Row],[Profit]]/SalesData[[#This Row],[Sales]],0)</f>
        <v>1.9453247790574838E-2</v>
      </c>
      <c r="S440" s="2">
        <f>SalesData[[#This Row],[Price]]*SalesData[[#This Row],[Quantity]]*SalesData[[#This Row],[Discount]]</f>
        <v>1369.8</v>
      </c>
      <c r="T440" s="2" t="str">
        <f>IF(SalesData[[#This Row],[Sales]]&gt;5000,"High",IF(SalesData[[#This Row],[Sales]]&gt;2000,"Medium","Low"))</f>
        <v>High</v>
      </c>
      <c r="U440" s="2" t="str">
        <f>IF(COUNTIFS(SalesData[Customer_ID],SalesData[[#This Row],[Customer_ID]])&gt;1,"Repeat","New")</f>
        <v>Repeat</v>
      </c>
      <c r="V440" s="2" t="str">
        <f>IF(SalesData[[#This Row],[Sales]]&gt;AVERAGE(SalesData[Sales]),"Above Avg","Below Avg")</f>
        <v>Below Avg</v>
      </c>
      <c r="W440" s="2" t="str">
        <f>IF(SalesData[[#This Row],[Profit]]&gt;0,"Profit","Loss")</f>
        <v>Profit</v>
      </c>
      <c r="X440" s="2">
        <f>RANK(SalesData[[#This Row],[Sales]],SalesData[Sales])</f>
        <v>257</v>
      </c>
    </row>
    <row r="441" spans="1:24" x14ac:dyDescent="0.3">
      <c r="A441">
        <v>440</v>
      </c>
      <c r="B441" s="1">
        <v>45731</v>
      </c>
      <c r="C441">
        <v>1002</v>
      </c>
      <c r="D441" t="s">
        <v>177</v>
      </c>
      <c r="E441" t="s">
        <v>15</v>
      </c>
      <c r="F441" t="s">
        <v>16</v>
      </c>
      <c r="G441" t="s">
        <v>34</v>
      </c>
      <c r="H441" t="s">
        <v>18</v>
      </c>
      <c r="I441">
        <v>670</v>
      </c>
      <c r="J441">
        <v>9</v>
      </c>
      <c r="K441">
        <v>0.27</v>
      </c>
      <c r="L441">
        <v>-290</v>
      </c>
      <c r="M441" t="s">
        <v>26</v>
      </c>
      <c r="N441">
        <v>4401.8999999999996</v>
      </c>
      <c r="O441" t="str">
        <f>TEXT(SalesData[[#This Row],[Order_Date]],"mmm")</f>
        <v>Mar</v>
      </c>
      <c r="P441">
        <f>YEAR(SalesData[[#This Row],[Order_Date]])</f>
        <v>2025</v>
      </c>
      <c r="Q441" t="str">
        <f>"Q"&amp;ROUNDUP(MONTH(SalesData[[#This Row],[Order_Date]])/3,0)</f>
        <v>Q1</v>
      </c>
      <c r="R441" s="2">
        <f>IFERROR(SalesData[[#This Row],[Profit]]/SalesData[[#This Row],[Sales]],0)</f>
        <v>-6.5880642449851201E-2</v>
      </c>
      <c r="S441" s="2">
        <f>SalesData[[#This Row],[Price]]*SalesData[[#This Row],[Quantity]]*SalesData[[#This Row],[Discount]]</f>
        <v>1628.1000000000001</v>
      </c>
      <c r="T441" s="2" t="str">
        <f>IF(SalesData[[#This Row],[Sales]]&gt;5000,"High",IF(SalesData[[#This Row],[Sales]]&gt;2000,"Medium","Low"))</f>
        <v>Medium</v>
      </c>
      <c r="U441" s="2" t="str">
        <f>IF(COUNTIFS(SalesData[Customer_ID],SalesData[[#This Row],[Customer_ID]])&gt;1,"Repeat","New")</f>
        <v>Repeat</v>
      </c>
      <c r="V441" s="2" t="str">
        <f>IF(SalesData[[#This Row],[Sales]]&gt;AVERAGE(SalesData[Sales]),"Above Avg","Below Avg")</f>
        <v>Below Avg</v>
      </c>
      <c r="W441" s="2" t="str">
        <f>IF(SalesData[[#This Row],[Profit]]&gt;0,"Profit","Loss")</f>
        <v>Loss</v>
      </c>
      <c r="X441" s="2">
        <f>RANK(SalesData[[#This Row],[Sales]],SalesData[Sales])</f>
        <v>340</v>
      </c>
    </row>
    <row r="442" spans="1:24" x14ac:dyDescent="0.3">
      <c r="A442">
        <v>441</v>
      </c>
      <c r="B442" s="1">
        <v>45732</v>
      </c>
      <c r="C442">
        <v>1095</v>
      </c>
      <c r="D442" t="s">
        <v>212</v>
      </c>
      <c r="E442" t="s">
        <v>15</v>
      </c>
      <c r="F442" t="s">
        <v>21</v>
      </c>
      <c r="G442" t="s">
        <v>22</v>
      </c>
      <c r="H442" t="s">
        <v>25</v>
      </c>
      <c r="I442">
        <v>2551</v>
      </c>
      <c r="J442">
        <v>1</v>
      </c>
      <c r="K442">
        <v>0.15</v>
      </c>
      <c r="L442">
        <v>453</v>
      </c>
      <c r="M442" t="s">
        <v>31</v>
      </c>
      <c r="N442">
        <v>2168.35</v>
      </c>
      <c r="O442" t="str">
        <f>TEXT(SalesData[[#This Row],[Order_Date]],"mmm")</f>
        <v>Mar</v>
      </c>
      <c r="P442">
        <f>YEAR(SalesData[[#This Row],[Order_Date]])</f>
        <v>2025</v>
      </c>
      <c r="Q442" t="str">
        <f>"Q"&amp;ROUNDUP(MONTH(SalesData[[#This Row],[Order_Date]])/3,0)</f>
        <v>Q1</v>
      </c>
      <c r="R442" s="2">
        <f>IFERROR(SalesData[[#This Row],[Profit]]/SalesData[[#This Row],[Sales]],0)</f>
        <v>0.20891461249337054</v>
      </c>
      <c r="S442" s="2">
        <f>SalesData[[#This Row],[Price]]*SalesData[[#This Row],[Quantity]]*SalesData[[#This Row],[Discount]]</f>
        <v>382.65</v>
      </c>
      <c r="T442" s="2" t="str">
        <f>IF(SalesData[[#This Row],[Sales]]&gt;5000,"High",IF(SalesData[[#This Row],[Sales]]&gt;2000,"Medium","Low"))</f>
        <v>Medium</v>
      </c>
      <c r="U442" s="2" t="str">
        <f>IF(COUNTIFS(SalesData[Customer_ID],SalesData[[#This Row],[Customer_ID]])&gt;1,"Repeat","New")</f>
        <v>Repeat</v>
      </c>
      <c r="V442" s="2" t="str">
        <f>IF(SalesData[[#This Row],[Sales]]&gt;AVERAGE(SalesData[Sales]),"Above Avg","Below Avg")</f>
        <v>Below Avg</v>
      </c>
      <c r="W442" s="2" t="str">
        <f>IF(SalesData[[#This Row],[Profit]]&gt;0,"Profit","Loss")</f>
        <v>Profit</v>
      </c>
      <c r="X442" s="2">
        <f>RANK(SalesData[[#This Row],[Sales]],SalesData[Sales])</f>
        <v>420</v>
      </c>
    </row>
    <row r="443" spans="1:24" x14ac:dyDescent="0.3">
      <c r="A443">
        <v>442</v>
      </c>
      <c r="B443" s="1">
        <v>45733</v>
      </c>
      <c r="C443">
        <v>1032</v>
      </c>
      <c r="D443" t="s">
        <v>76</v>
      </c>
      <c r="E443" t="s">
        <v>24</v>
      </c>
      <c r="F443" t="s">
        <v>28</v>
      </c>
      <c r="G443" t="s">
        <v>17</v>
      </c>
      <c r="H443" t="s">
        <v>29</v>
      </c>
      <c r="I443">
        <v>1755</v>
      </c>
      <c r="J443">
        <v>4</v>
      </c>
      <c r="K443">
        <v>0.3</v>
      </c>
      <c r="L443">
        <v>678</v>
      </c>
      <c r="M443" t="s">
        <v>31</v>
      </c>
      <c r="N443">
        <v>4914</v>
      </c>
      <c r="O443" t="str">
        <f>TEXT(SalesData[[#This Row],[Order_Date]],"mmm")</f>
        <v>Mar</v>
      </c>
      <c r="P443">
        <f>YEAR(SalesData[[#This Row],[Order_Date]])</f>
        <v>2025</v>
      </c>
      <c r="Q443" t="str">
        <f>"Q"&amp;ROUNDUP(MONTH(SalesData[[#This Row],[Order_Date]])/3,0)</f>
        <v>Q1</v>
      </c>
      <c r="R443" s="2">
        <f>IFERROR(SalesData[[#This Row],[Profit]]/SalesData[[#This Row],[Sales]],0)</f>
        <v>0.13797313797313798</v>
      </c>
      <c r="S443" s="2">
        <f>SalesData[[#This Row],[Price]]*SalesData[[#This Row],[Quantity]]*SalesData[[#This Row],[Discount]]</f>
        <v>2106</v>
      </c>
      <c r="T443" s="2" t="str">
        <f>IF(SalesData[[#This Row],[Sales]]&gt;5000,"High",IF(SalesData[[#This Row],[Sales]]&gt;2000,"Medium","Low"))</f>
        <v>Medium</v>
      </c>
      <c r="U443" s="2" t="str">
        <f>IF(COUNTIFS(SalesData[Customer_ID],SalesData[[#This Row],[Customer_ID]])&gt;1,"Repeat","New")</f>
        <v>Repeat</v>
      </c>
      <c r="V443" s="2" t="str">
        <f>IF(SalesData[[#This Row],[Sales]]&gt;AVERAGE(SalesData[Sales]),"Above Avg","Below Avg")</f>
        <v>Below Avg</v>
      </c>
      <c r="W443" s="2" t="str">
        <f>IF(SalesData[[#This Row],[Profit]]&gt;0,"Profit","Loss")</f>
        <v>Profit</v>
      </c>
      <c r="X443" s="2">
        <f>RANK(SalesData[[#This Row],[Sales]],SalesData[Sales])</f>
        <v>327</v>
      </c>
    </row>
    <row r="444" spans="1:24" x14ac:dyDescent="0.3">
      <c r="A444">
        <v>443</v>
      </c>
      <c r="B444" s="1">
        <v>45734</v>
      </c>
      <c r="C444">
        <v>1096</v>
      </c>
      <c r="D444" t="s">
        <v>44</v>
      </c>
      <c r="E444" t="s">
        <v>24</v>
      </c>
      <c r="F444" t="s">
        <v>28</v>
      </c>
      <c r="G444" t="s">
        <v>22</v>
      </c>
      <c r="H444" t="s">
        <v>25</v>
      </c>
      <c r="I444">
        <v>4413</v>
      </c>
      <c r="J444">
        <v>1</v>
      </c>
      <c r="K444">
        <v>0.24</v>
      </c>
      <c r="L444">
        <v>-325</v>
      </c>
      <c r="M444" t="s">
        <v>26</v>
      </c>
      <c r="N444">
        <v>3353.88</v>
      </c>
      <c r="O444" t="str">
        <f>TEXT(SalesData[[#This Row],[Order_Date]],"mmm")</f>
        <v>Mar</v>
      </c>
      <c r="P444">
        <f>YEAR(SalesData[[#This Row],[Order_Date]])</f>
        <v>2025</v>
      </c>
      <c r="Q444" t="str">
        <f>"Q"&amp;ROUNDUP(MONTH(SalesData[[#This Row],[Order_Date]])/3,0)</f>
        <v>Q1</v>
      </c>
      <c r="R444" s="2">
        <f>IFERROR(SalesData[[#This Row],[Profit]]/SalesData[[#This Row],[Sales]],0)</f>
        <v>-9.6902691807697353E-2</v>
      </c>
      <c r="S444" s="2">
        <f>SalesData[[#This Row],[Price]]*SalesData[[#This Row],[Quantity]]*SalesData[[#This Row],[Discount]]</f>
        <v>1059.1199999999999</v>
      </c>
      <c r="T444" s="2" t="str">
        <f>IF(SalesData[[#This Row],[Sales]]&gt;5000,"High",IF(SalesData[[#This Row],[Sales]]&gt;2000,"Medium","Low"))</f>
        <v>Medium</v>
      </c>
      <c r="U444" s="2" t="str">
        <f>IF(COUNTIFS(SalesData[Customer_ID],SalesData[[#This Row],[Customer_ID]])&gt;1,"Repeat","New")</f>
        <v>Repeat</v>
      </c>
      <c r="V444" s="2" t="str">
        <f>IF(SalesData[[#This Row],[Sales]]&gt;AVERAGE(SalesData[Sales]),"Above Avg","Below Avg")</f>
        <v>Below Avg</v>
      </c>
      <c r="W444" s="2" t="str">
        <f>IF(SalesData[[#This Row],[Profit]]&gt;0,"Profit","Loss")</f>
        <v>Loss</v>
      </c>
      <c r="X444" s="2">
        <f>RANK(SalesData[[#This Row],[Sales]],SalesData[Sales])</f>
        <v>383</v>
      </c>
    </row>
    <row r="445" spans="1:24" x14ac:dyDescent="0.3">
      <c r="A445">
        <v>444</v>
      </c>
      <c r="B445" s="1">
        <v>45735</v>
      </c>
      <c r="C445">
        <v>1041</v>
      </c>
      <c r="D445" t="s">
        <v>95</v>
      </c>
      <c r="E445" t="s">
        <v>15</v>
      </c>
      <c r="F445" t="s">
        <v>28</v>
      </c>
      <c r="G445" t="s">
        <v>17</v>
      </c>
      <c r="H445" t="s">
        <v>25</v>
      </c>
      <c r="I445">
        <v>4983</v>
      </c>
      <c r="J445">
        <v>2</v>
      </c>
      <c r="K445">
        <v>0.25</v>
      </c>
      <c r="L445">
        <v>159</v>
      </c>
      <c r="M445" t="s">
        <v>31</v>
      </c>
      <c r="N445">
        <v>7474.5</v>
      </c>
      <c r="O445" t="str">
        <f>TEXT(SalesData[[#This Row],[Order_Date]],"mmm")</f>
        <v>Mar</v>
      </c>
      <c r="P445">
        <f>YEAR(SalesData[[#This Row],[Order_Date]])</f>
        <v>2025</v>
      </c>
      <c r="Q445" t="str">
        <f>"Q"&amp;ROUNDUP(MONTH(SalesData[[#This Row],[Order_Date]])/3,0)</f>
        <v>Q1</v>
      </c>
      <c r="R445" s="2">
        <f>IFERROR(SalesData[[#This Row],[Profit]]/SalesData[[#This Row],[Sales]],0)</f>
        <v>2.1272325908087499E-2</v>
      </c>
      <c r="S445" s="2">
        <f>SalesData[[#This Row],[Price]]*SalesData[[#This Row],[Quantity]]*SalesData[[#This Row],[Discount]]</f>
        <v>2491.5</v>
      </c>
      <c r="T445" s="2" t="str">
        <f>IF(SalesData[[#This Row],[Sales]]&gt;5000,"High",IF(SalesData[[#This Row],[Sales]]&gt;2000,"Medium","Low"))</f>
        <v>High</v>
      </c>
      <c r="U445" s="2" t="str">
        <f>IF(COUNTIFS(SalesData[Customer_ID],SalesData[[#This Row],[Customer_ID]])&gt;1,"Repeat","New")</f>
        <v>Repeat</v>
      </c>
      <c r="V445" s="2" t="str">
        <f>IF(SalesData[[#This Row],[Sales]]&gt;AVERAGE(SalesData[Sales]),"Above Avg","Below Avg")</f>
        <v>Below Avg</v>
      </c>
      <c r="W445" s="2" t="str">
        <f>IF(SalesData[[#This Row],[Profit]]&gt;0,"Profit","Loss")</f>
        <v>Profit</v>
      </c>
      <c r="X445" s="2">
        <f>RANK(SalesData[[#This Row],[Sales]],SalesData[Sales])</f>
        <v>265</v>
      </c>
    </row>
    <row r="446" spans="1:24" x14ac:dyDescent="0.3">
      <c r="A446">
        <v>445</v>
      </c>
      <c r="B446" s="1">
        <v>45736</v>
      </c>
      <c r="C446">
        <v>1076</v>
      </c>
      <c r="D446" t="s">
        <v>41</v>
      </c>
      <c r="E446" t="s">
        <v>15</v>
      </c>
      <c r="F446" t="s">
        <v>28</v>
      </c>
      <c r="G446" t="s">
        <v>22</v>
      </c>
      <c r="H446" t="s">
        <v>18</v>
      </c>
      <c r="I446">
        <v>2328</v>
      </c>
      <c r="J446">
        <v>4</v>
      </c>
      <c r="K446">
        <v>0.06</v>
      </c>
      <c r="L446">
        <v>878</v>
      </c>
      <c r="M446" t="s">
        <v>31</v>
      </c>
      <c r="N446">
        <v>8753.2799999999897</v>
      </c>
      <c r="O446" t="str">
        <f>TEXT(SalesData[[#This Row],[Order_Date]],"mmm")</f>
        <v>Mar</v>
      </c>
      <c r="P446">
        <f>YEAR(SalesData[[#This Row],[Order_Date]])</f>
        <v>2025</v>
      </c>
      <c r="Q446" t="str">
        <f>"Q"&amp;ROUNDUP(MONTH(SalesData[[#This Row],[Order_Date]])/3,0)</f>
        <v>Q1</v>
      </c>
      <c r="R446" s="2">
        <f>IFERROR(SalesData[[#This Row],[Profit]]/SalesData[[#This Row],[Sales]],0)</f>
        <v>0.10030525700080439</v>
      </c>
      <c r="S446" s="2">
        <f>SalesData[[#This Row],[Price]]*SalesData[[#This Row],[Quantity]]*SalesData[[#This Row],[Discount]]</f>
        <v>558.72</v>
      </c>
      <c r="T446" s="2" t="str">
        <f>IF(SalesData[[#This Row],[Sales]]&gt;5000,"High",IF(SalesData[[#This Row],[Sales]]&gt;2000,"Medium","Low"))</f>
        <v>High</v>
      </c>
      <c r="U446" s="2" t="str">
        <f>IF(COUNTIFS(SalesData[Customer_ID],SalesData[[#This Row],[Customer_ID]])&gt;1,"Repeat","New")</f>
        <v>Repeat</v>
      </c>
      <c r="V446" s="2" t="str">
        <f>IF(SalesData[[#This Row],[Sales]]&gt;AVERAGE(SalesData[Sales]),"Above Avg","Below Avg")</f>
        <v>Below Avg</v>
      </c>
      <c r="W446" s="2" t="str">
        <f>IF(SalesData[[#This Row],[Profit]]&gt;0,"Profit","Loss")</f>
        <v>Profit</v>
      </c>
      <c r="X446" s="2">
        <f>RANK(SalesData[[#This Row],[Sales]],SalesData[Sales])</f>
        <v>234</v>
      </c>
    </row>
    <row r="447" spans="1:24" x14ac:dyDescent="0.3">
      <c r="A447">
        <v>446</v>
      </c>
      <c r="B447" s="1">
        <v>45737</v>
      </c>
      <c r="C447">
        <v>1042</v>
      </c>
      <c r="D447" t="s">
        <v>69</v>
      </c>
      <c r="E447" t="s">
        <v>15</v>
      </c>
      <c r="F447" t="s">
        <v>21</v>
      </c>
      <c r="G447" t="s">
        <v>34</v>
      </c>
      <c r="H447" t="s">
        <v>25</v>
      </c>
      <c r="I447">
        <v>4886</v>
      </c>
      <c r="J447">
        <v>8</v>
      </c>
      <c r="K447">
        <v>0</v>
      </c>
      <c r="L447">
        <v>-420</v>
      </c>
      <c r="M447" t="s">
        <v>19</v>
      </c>
      <c r="N447">
        <v>39088</v>
      </c>
      <c r="O447" t="str">
        <f>TEXT(SalesData[[#This Row],[Order_Date]],"mmm")</f>
        <v>Mar</v>
      </c>
      <c r="P447">
        <f>YEAR(SalesData[[#This Row],[Order_Date]])</f>
        <v>2025</v>
      </c>
      <c r="Q447" t="str">
        <f>"Q"&amp;ROUNDUP(MONTH(SalesData[[#This Row],[Order_Date]])/3,0)</f>
        <v>Q1</v>
      </c>
      <c r="R447" s="2">
        <f>IFERROR(SalesData[[#This Row],[Profit]]/SalesData[[#This Row],[Sales]],0)</f>
        <v>-1.0744985673352435E-2</v>
      </c>
      <c r="S447" s="2">
        <f>SalesData[[#This Row],[Price]]*SalesData[[#This Row],[Quantity]]*SalesData[[#This Row],[Discount]]</f>
        <v>0</v>
      </c>
      <c r="T447" s="2" t="str">
        <f>IF(SalesData[[#This Row],[Sales]]&gt;5000,"High",IF(SalesData[[#This Row],[Sales]]&gt;2000,"Medium","Low"))</f>
        <v>High</v>
      </c>
      <c r="U447" s="2" t="str">
        <f>IF(COUNTIFS(SalesData[Customer_ID],SalesData[[#This Row],[Customer_ID]])&gt;1,"Repeat","New")</f>
        <v>New</v>
      </c>
      <c r="V447" s="2" t="str">
        <f>IF(SalesData[[#This Row],[Sales]]&gt;AVERAGE(SalesData[Sales]),"Above Avg","Below Avg")</f>
        <v>Above Avg</v>
      </c>
      <c r="W447" s="2" t="str">
        <f>IF(SalesData[[#This Row],[Profit]]&gt;0,"Profit","Loss")</f>
        <v>Loss</v>
      </c>
      <c r="X447" s="2">
        <f>RANK(SalesData[[#This Row],[Sales]],SalesData[Sales])</f>
        <v>4</v>
      </c>
    </row>
    <row r="448" spans="1:24" x14ac:dyDescent="0.3">
      <c r="A448">
        <v>447</v>
      </c>
      <c r="B448" s="1">
        <v>45738</v>
      </c>
      <c r="C448">
        <v>1069</v>
      </c>
      <c r="D448" t="s">
        <v>128</v>
      </c>
      <c r="E448" t="s">
        <v>15</v>
      </c>
      <c r="F448" t="s">
        <v>28</v>
      </c>
      <c r="G448" t="s">
        <v>22</v>
      </c>
      <c r="H448" t="s">
        <v>37</v>
      </c>
      <c r="I448">
        <v>2947</v>
      </c>
      <c r="J448">
        <v>6</v>
      </c>
      <c r="K448">
        <v>0.15</v>
      </c>
      <c r="L448">
        <v>963</v>
      </c>
      <c r="M448" t="s">
        <v>26</v>
      </c>
      <c r="N448">
        <v>15029.699999999901</v>
      </c>
      <c r="O448" t="str">
        <f>TEXT(SalesData[[#This Row],[Order_Date]],"mmm")</f>
        <v>Mar</v>
      </c>
      <c r="P448">
        <f>YEAR(SalesData[[#This Row],[Order_Date]])</f>
        <v>2025</v>
      </c>
      <c r="Q448" t="str">
        <f>"Q"&amp;ROUNDUP(MONTH(SalesData[[#This Row],[Order_Date]])/3,0)</f>
        <v>Q1</v>
      </c>
      <c r="R448" s="2">
        <f>IFERROR(SalesData[[#This Row],[Profit]]/SalesData[[#This Row],[Sales]],0)</f>
        <v>6.4073135192319636E-2</v>
      </c>
      <c r="S448" s="2">
        <f>SalesData[[#This Row],[Price]]*SalesData[[#This Row],[Quantity]]*SalesData[[#This Row],[Discount]]</f>
        <v>2652.2999999999997</v>
      </c>
      <c r="T448" s="2" t="str">
        <f>IF(SalesData[[#This Row],[Sales]]&gt;5000,"High",IF(SalesData[[#This Row],[Sales]]&gt;2000,"Medium","Low"))</f>
        <v>High</v>
      </c>
      <c r="U448" s="2" t="str">
        <f>IF(COUNTIFS(SalesData[Customer_ID],SalesData[[#This Row],[Customer_ID]])&gt;1,"Repeat","New")</f>
        <v>Repeat</v>
      </c>
      <c r="V448" s="2" t="str">
        <f>IF(SalesData[[#This Row],[Sales]]&gt;AVERAGE(SalesData[Sales]),"Above Avg","Below Avg")</f>
        <v>Above Avg</v>
      </c>
      <c r="W448" s="2" t="str">
        <f>IF(SalesData[[#This Row],[Profit]]&gt;0,"Profit","Loss")</f>
        <v>Profit</v>
      </c>
      <c r="X448" s="2">
        <f>RANK(SalesData[[#This Row],[Sales]],SalesData[Sales])</f>
        <v>137</v>
      </c>
    </row>
    <row r="449" spans="1:24" x14ac:dyDescent="0.3">
      <c r="A449">
        <v>448</v>
      </c>
      <c r="B449" s="1">
        <v>45739</v>
      </c>
      <c r="C449">
        <v>1003</v>
      </c>
      <c r="D449" t="s">
        <v>106</v>
      </c>
      <c r="E449" t="s">
        <v>24</v>
      </c>
      <c r="F449" t="s">
        <v>21</v>
      </c>
      <c r="G449" t="s">
        <v>34</v>
      </c>
      <c r="H449" t="s">
        <v>18</v>
      </c>
      <c r="I449">
        <v>3985</v>
      </c>
      <c r="J449">
        <v>4</v>
      </c>
      <c r="K449">
        <v>0.28999999999999998</v>
      </c>
      <c r="L449">
        <v>735</v>
      </c>
      <c r="M449" t="s">
        <v>26</v>
      </c>
      <c r="N449">
        <v>11317.4</v>
      </c>
      <c r="O449" t="str">
        <f>TEXT(SalesData[[#This Row],[Order_Date]],"mmm")</f>
        <v>Mar</v>
      </c>
      <c r="P449">
        <f>YEAR(SalesData[[#This Row],[Order_Date]])</f>
        <v>2025</v>
      </c>
      <c r="Q449" t="str">
        <f>"Q"&amp;ROUNDUP(MONTH(SalesData[[#This Row],[Order_Date]])/3,0)</f>
        <v>Q1</v>
      </c>
      <c r="R449" s="2">
        <f>IFERROR(SalesData[[#This Row],[Profit]]/SalesData[[#This Row],[Sales]],0)</f>
        <v>6.494424514464453E-2</v>
      </c>
      <c r="S449" s="2">
        <f>SalesData[[#This Row],[Price]]*SalesData[[#This Row],[Quantity]]*SalesData[[#This Row],[Discount]]</f>
        <v>4622.5999999999995</v>
      </c>
      <c r="T449" s="2" t="str">
        <f>IF(SalesData[[#This Row],[Sales]]&gt;5000,"High",IF(SalesData[[#This Row],[Sales]]&gt;2000,"Medium","Low"))</f>
        <v>High</v>
      </c>
      <c r="U449" s="2" t="str">
        <f>IF(COUNTIFS(SalesData[Customer_ID],SalesData[[#This Row],[Customer_ID]])&gt;1,"Repeat","New")</f>
        <v>Repeat</v>
      </c>
      <c r="V449" s="2" t="str">
        <f>IF(SalesData[[#This Row],[Sales]]&gt;AVERAGE(SalesData[Sales]),"Above Avg","Below Avg")</f>
        <v>Above Avg</v>
      </c>
      <c r="W449" s="2" t="str">
        <f>IF(SalesData[[#This Row],[Profit]]&gt;0,"Profit","Loss")</f>
        <v>Profit</v>
      </c>
      <c r="X449" s="2">
        <f>RANK(SalesData[[#This Row],[Sales]],SalesData[Sales])</f>
        <v>185</v>
      </c>
    </row>
    <row r="450" spans="1:24" x14ac:dyDescent="0.3">
      <c r="A450">
        <v>449</v>
      </c>
      <c r="B450" s="1">
        <v>45740</v>
      </c>
      <c r="C450">
        <v>1063</v>
      </c>
      <c r="D450" t="s">
        <v>194</v>
      </c>
      <c r="E450" t="s">
        <v>15</v>
      </c>
      <c r="F450" t="s">
        <v>33</v>
      </c>
      <c r="G450" t="s">
        <v>22</v>
      </c>
      <c r="H450" t="s">
        <v>29</v>
      </c>
      <c r="I450">
        <v>444</v>
      </c>
      <c r="J450">
        <v>4</v>
      </c>
      <c r="K450">
        <v>0.28999999999999998</v>
      </c>
      <c r="L450">
        <v>1226</v>
      </c>
      <c r="M450" t="s">
        <v>26</v>
      </c>
      <c r="N450">
        <v>1260.96</v>
      </c>
      <c r="O450" t="str">
        <f>TEXT(SalesData[[#This Row],[Order_Date]],"mmm")</f>
        <v>Mar</v>
      </c>
      <c r="P450">
        <f>YEAR(SalesData[[#This Row],[Order_Date]])</f>
        <v>2025</v>
      </c>
      <c r="Q450" t="str">
        <f>"Q"&amp;ROUNDUP(MONTH(SalesData[[#This Row],[Order_Date]])/3,0)</f>
        <v>Q1</v>
      </c>
      <c r="R450" s="2">
        <f>IFERROR(SalesData[[#This Row],[Profit]]/SalesData[[#This Row],[Sales]],0)</f>
        <v>0.97227509199340179</v>
      </c>
      <c r="S450" s="2">
        <f>SalesData[[#This Row],[Price]]*SalesData[[#This Row],[Quantity]]*SalesData[[#This Row],[Discount]]</f>
        <v>515.04</v>
      </c>
      <c r="T450" s="2" t="str">
        <f>IF(SalesData[[#This Row],[Sales]]&gt;5000,"High",IF(SalesData[[#This Row],[Sales]]&gt;2000,"Medium","Low"))</f>
        <v>Low</v>
      </c>
      <c r="U450" s="2" t="str">
        <f>IF(COUNTIFS(SalesData[Customer_ID],SalesData[[#This Row],[Customer_ID]])&gt;1,"Repeat","New")</f>
        <v>Repeat</v>
      </c>
      <c r="V450" s="2" t="str">
        <f>IF(SalesData[[#This Row],[Sales]]&gt;AVERAGE(SalesData[Sales]),"Above Avg","Below Avg")</f>
        <v>Below Avg</v>
      </c>
      <c r="W450" s="2" t="str">
        <f>IF(SalesData[[#This Row],[Profit]]&gt;0,"Profit","Loss")</f>
        <v>Profit</v>
      </c>
      <c r="X450" s="2">
        <f>RANK(SalesData[[#This Row],[Sales]],SalesData[Sales])</f>
        <v>467</v>
      </c>
    </row>
    <row r="451" spans="1:24" x14ac:dyDescent="0.3">
      <c r="A451">
        <v>450</v>
      </c>
      <c r="B451" s="1">
        <v>45741</v>
      </c>
      <c r="C451">
        <v>1069</v>
      </c>
      <c r="D451" t="s">
        <v>137</v>
      </c>
      <c r="E451" t="s">
        <v>15</v>
      </c>
      <c r="F451" t="s">
        <v>28</v>
      </c>
      <c r="G451" t="s">
        <v>22</v>
      </c>
      <c r="H451" t="s">
        <v>18</v>
      </c>
      <c r="I451">
        <v>3283</v>
      </c>
      <c r="J451">
        <v>6</v>
      </c>
      <c r="K451">
        <v>0.18</v>
      </c>
      <c r="L451">
        <v>-475</v>
      </c>
      <c r="M451" t="s">
        <v>26</v>
      </c>
      <c r="N451">
        <v>16152.36</v>
      </c>
      <c r="O451" t="str">
        <f>TEXT(SalesData[[#This Row],[Order_Date]],"mmm")</f>
        <v>Mar</v>
      </c>
      <c r="P451">
        <f>YEAR(SalesData[[#This Row],[Order_Date]])</f>
        <v>2025</v>
      </c>
      <c r="Q451" t="str">
        <f>"Q"&amp;ROUNDUP(MONTH(SalesData[[#This Row],[Order_Date]])/3,0)</f>
        <v>Q1</v>
      </c>
      <c r="R451" s="2">
        <f>IFERROR(SalesData[[#This Row],[Profit]]/SalesData[[#This Row],[Sales]],0)</f>
        <v>-2.9407467391761945E-2</v>
      </c>
      <c r="S451" s="2">
        <f>SalesData[[#This Row],[Price]]*SalesData[[#This Row],[Quantity]]*SalesData[[#This Row],[Discount]]</f>
        <v>3545.64</v>
      </c>
      <c r="T451" s="2" t="str">
        <f>IF(SalesData[[#This Row],[Sales]]&gt;5000,"High",IF(SalesData[[#This Row],[Sales]]&gt;2000,"Medium","Low"))</f>
        <v>High</v>
      </c>
      <c r="U451" s="2" t="str">
        <f>IF(COUNTIFS(SalesData[Customer_ID],SalesData[[#This Row],[Customer_ID]])&gt;1,"Repeat","New")</f>
        <v>Repeat</v>
      </c>
      <c r="V451" s="2" t="str">
        <f>IF(SalesData[[#This Row],[Sales]]&gt;AVERAGE(SalesData[Sales]),"Above Avg","Below Avg")</f>
        <v>Above Avg</v>
      </c>
      <c r="W451" s="2" t="str">
        <f>IF(SalesData[[#This Row],[Profit]]&gt;0,"Profit","Loss")</f>
        <v>Loss</v>
      </c>
      <c r="X451" s="2">
        <f>RANK(SalesData[[#This Row],[Sales]],SalesData[Sales])</f>
        <v>124</v>
      </c>
    </row>
    <row r="452" spans="1:24" x14ac:dyDescent="0.3">
      <c r="A452">
        <v>451</v>
      </c>
      <c r="B452" s="1">
        <v>45742</v>
      </c>
      <c r="C452">
        <v>1050</v>
      </c>
      <c r="D452" t="s">
        <v>213</v>
      </c>
      <c r="E452" t="s">
        <v>15</v>
      </c>
      <c r="F452" t="s">
        <v>21</v>
      </c>
      <c r="G452" t="s">
        <v>22</v>
      </c>
      <c r="H452" t="s">
        <v>18</v>
      </c>
      <c r="I452">
        <v>3777</v>
      </c>
      <c r="J452">
        <v>1</v>
      </c>
      <c r="K452">
        <v>0.06</v>
      </c>
      <c r="L452">
        <v>658</v>
      </c>
      <c r="M452" t="s">
        <v>19</v>
      </c>
      <c r="N452">
        <v>3550.3799999999901</v>
      </c>
      <c r="O452" t="str">
        <f>TEXT(SalesData[[#This Row],[Order_Date]],"mmm")</f>
        <v>Mar</v>
      </c>
      <c r="P452">
        <f>YEAR(SalesData[[#This Row],[Order_Date]])</f>
        <v>2025</v>
      </c>
      <c r="Q452" t="str">
        <f>"Q"&amp;ROUNDUP(MONTH(SalesData[[#This Row],[Order_Date]])/3,0)</f>
        <v>Q1</v>
      </c>
      <c r="R452" s="2">
        <f>IFERROR(SalesData[[#This Row],[Profit]]/SalesData[[#This Row],[Sales]],0)</f>
        <v>0.18533227429176646</v>
      </c>
      <c r="S452" s="2">
        <f>SalesData[[#This Row],[Price]]*SalesData[[#This Row],[Quantity]]*SalesData[[#This Row],[Discount]]</f>
        <v>226.62</v>
      </c>
      <c r="T452" s="2" t="str">
        <f>IF(SalesData[[#This Row],[Sales]]&gt;5000,"High",IF(SalesData[[#This Row],[Sales]]&gt;2000,"Medium","Low"))</f>
        <v>Medium</v>
      </c>
      <c r="U452" s="2" t="str">
        <f>IF(COUNTIFS(SalesData[Customer_ID],SalesData[[#This Row],[Customer_ID]])&gt;1,"Repeat","New")</f>
        <v>Repeat</v>
      </c>
      <c r="V452" s="2" t="str">
        <f>IF(SalesData[[#This Row],[Sales]]&gt;AVERAGE(SalesData[Sales]),"Above Avg","Below Avg")</f>
        <v>Below Avg</v>
      </c>
      <c r="W452" s="2" t="str">
        <f>IF(SalesData[[#This Row],[Profit]]&gt;0,"Profit","Loss")</f>
        <v>Profit</v>
      </c>
      <c r="X452" s="2">
        <f>RANK(SalesData[[#This Row],[Sales]],SalesData[Sales])</f>
        <v>375</v>
      </c>
    </row>
    <row r="453" spans="1:24" x14ac:dyDescent="0.3">
      <c r="A453">
        <v>452</v>
      </c>
      <c r="B453" s="1">
        <v>45743</v>
      </c>
      <c r="C453">
        <v>1066</v>
      </c>
      <c r="D453" t="s">
        <v>138</v>
      </c>
      <c r="E453" t="s">
        <v>24</v>
      </c>
      <c r="F453" t="s">
        <v>33</v>
      </c>
      <c r="G453" t="s">
        <v>17</v>
      </c>
      <c r="H453" t="s">
        <v>29</v>
      </c>
      <c r="I453">
        <v>4411</v>
      </c>
      <c r="J453">
        <v>5</v>
      </c>
      <c r="K453">
        <v>0</v>
      </c>
      <c r="L453">
        <v>1052</v>
      </c>
      <c r="M453" t="s">
        <v>31</v>
      </c>
      <c r="N453">
        <v>22055</v>
      </c>
      <c r="O453" t="str">
        <f>TEXT(SalesData[[#This Row],[Order_Date]],"mmm")</f>
        <v>Mar</v>
      </c>
      <c r="P453">
        <f>YEAR(SalesData[[#This Row],[Order_Date]])</f>
        <v>2025</v>
      </c>
      <c r="Q453" t="str">
        <f>"Q"&amp;ROUNDUP(MONTH(SalesData[[#This Row],[Order_Date]])/3,0)</f>
        <v>Q1</v>
      </c>
      <c r="R453" s="2">
        <f>IFERROR(SalesData[[#This Row],[Profit]]/SalesData[[#This Row],[Sales]],0)</f>
        <v>4.7698934481976873E-2</v>
      </c>
      <c r="S453" s="2">
        <f>SalesData[[#This Row],[Price]]*SalesData[[#This Row],[Quantity]]*SalesData[[#This Row],[Discount]]</f>
        <v>0</v>
      </c>
      <c r="T453" s="2" t="str">
        <f>IF(SalesData[[#This Row],[Sales]]&gt;5000,"High",IF(SalesData[[#This Row],[Sales]]&gt;2000,"Medium","Low"))</f>
        <v>High</v>
      </c>
      <c r="U453" s="2" t="str">
        <f>IF(COUNTIFS(SalesData[Customer_ID],SalesData[[#This Row],[Customer_ID]])&gt;1,"Repeat","New")</f>
        <v>Repeat</v>
      </c>
      <c r="V453" s="2" t="str">
        <f>IF(SalesData[[#This Row],[Sales]]&gt;AVERAGE(SalesData[Sales]),"Above Avg","Below Avg")</f>
        <v>Above Avg</v>
      </c>
      <c r="W453" s="2" t="str">
        <f>IF(SalesData[[#This Row],[Profit]]&gt;0,"Profit","Loss")</f>
        <v>Profit</v>
      </c>
      <c r="X453" s="2">
        <f>RANK(SalesData[[#This Row],[Sales]],SalesData[Sales])</f>
        <v>66</v>
      </c>
    </row>
    <row r="454" spans="1:24" x14ac:dyDescent="0.3">
      <c r="A454">
        <v>453</v>
      </c>
      <c r="B454" s="1">
        <v>45744</v>
      </c>
      <c r="C454">
        <v>1090</v>
      </c>
      <c r="D454" t="s">
        <v>44</v>
      </c>
      <c r="E454" t="s">
        <v>24</v>
      </c>
      <c r="F454" t="s">
        <v>33</v>
      </c>
      <c r="G454" t="s">
        <v>34</v>
      </c>
      <c r="H454" t="s">
        <v>18</v>
      </c>
      <c r="I454">
        <v>2976</v>
      </c>
      <c r="J454">
        <v>4</v>
      </c>
      <c r="K454">
        <v>0.15</v>
      </c>
      <c r="L454">
        <v>1151</v>
      </c>
      <c r="M454" t="s">
        <v>26</v>
      </c>
      <c r="N454">
        <v>10118.4</v>
      </c>
      <c r="O454" t="str">
        <f>TEXT(SalesData[[#This Row],[Order_Date]],"mmm")</f>
        <v>Mar</v>
      </c>
      <c r="P454">
        <f>YEAR(SalesData[[#This Row],[Order_Date]])</f>
        <v>2025</v>
      </c>
      <c r="Q454" t="str">
        <f>"Q"&amp;ROUNDUP(MONTH(SalesData[[#This Row],[Order_Date]])/3,0)</f>
        <v>Q1</v>
      </c>
      <c r="R454" s="2">
        <f>IFERROR(SalesData[[#This Row],[Profit]]/SalesData[[#This Row],[Sales]],0)</f>
        <v>0.11375316255534472</v>
      </c>
      <c r="S454" s="2">
        <f>SalesData[[#This Row],[Price]]*SalesData[[#This Row],[Quantity]]*SalesData[[#This Row],[Discount]]</f>
        <v>1785.6</v>
      </c>
      <c r="T454" s="2" t="str">
        <f>IF(SalesData[[#This Row],[Sales]]&gt;5000,"High",IF(SalesData[[#This Row],[Sales]]&gt;2000,"Medium","Low"))</f>
        <v>High</v>
      </c>
      <c r="U454" s="2" t="str">
        <f>IF(COUNTIFS(SalesData[Customer_ID],SalesData[[#This Row],[Customer_ID]])&gt;1,"Repeat","New")</f>
        <v>Repeat</v>
      </c>
      <c r="V454" s="2" t="str">
        <f>IF(SalesData[[#This Row],[Sales]]&gt;AVERAGE(SalesData[Sales]),"Above Avg","Below Avg")</f>
        <v>Below Avg</v>
      </c>
      <c r="W454" s="2" t="str">
        <f>IF(SalesData[[#This Row],[Profit]]&gt;0,"Profit","Loss")</f>
        <v>Profit</v>
      </c>
      <c r="X454" s="2">
        <f>RANK(SalesData[[#This Row],[Sales]],SalesData[Sales])</f>
        <v>199</v>
      </c>
    </row>
    <row r="455" spans="1:24" x14ac:dyDescent="0.3">
      <c r="A455">
        <v>454</v>
      </c>
      <c r="B455" s="1">
        <v>45745</v>
      </c>
      <c r="C455">
        <v>1083</v>
      </c>
      <c r="D455" t="s">
        <v>199</v>
      </c>
      <c r="E455" t="s">
        <v>24</v>
      </c>
      <c r="F455" t="s">
        <v>33</v>
      </c>
      <c r="G455" t="s">
        <v>17</v>
      </c>
      <c r="H455" t="s">
        <v>37</v>
      </c>
      <c r="I455">
        <v>504</v>
      </c>
      <c r="J455">
        <v>8</v>
      </c>
      <c r="K455">
        <v>0.09</v>
      </c>
      <c r="L455">
        <v>1073</v>
      </c>
      <c r="M455" t="s">
        <v>19</v>
      </c>
      <c r="N455">
        <v>3669.12</v>
      </c>
      <c r="O455" t="str">
        <f>TEXT(SalesData[[#This Row],[Order_Date]],"mmm")</f>
        <v>Mar</v>
      </c>
      <c r="P455">
        <f>YEAR(SalesData[[#This Row],[Order_Date]])</f>
        <v>2025</v>
      </c>
      <c r="Q455" t="str">
        <f>"Q"&amp;ROUNDUP(MONTH(SalesData[[#This Row],[Order_Date]])/3,0)</f>
        <v>Q1</v>
      </c>
      <c r="R455" s="2">
        <f>IFERROR(SalesData[[#This Row],[Profit]]/SalesData[[#This Row],[Sales]],0)</f>
        <v>0.2924406942264085</v>
      </c>
      <c r="S455" s="2">
        <f>SalesData[[#This Row],[Price]]*SalesData[[#This Row],[Quantity]]*SalesData[[#This Row],[Discount]]</f>
        <v>362.88</v>
      </c>
      <c r="T455" s="2" t="str">
        <f>IF(SalesData[[#This Row],[Sales]]&gt;5000,"High",IF(SalesData[[#This Row],[Sales]]&gt;2000,"Medium","Low"))</f>
        <v>Medium</v>
      </c>
      <c r="U455" s="2" t="str">
        <f>IF(COUNTIFS(SalesData[Customer_ID],SalesData[[#This Row],[Customer_ID]])&gt;1,"Repeat","New")</f>
        <v>Repeat</v>
      </c>
      <c r="V455" s="2" t="str">
        <f>IF(SalesData[[#This Row],[Sales]]&gt;AVERAGE(SalesData[Sales]),"Above Avg","Below Avg")</f>
        <v>Below Avg</v>
      </c>
      <c r="W455" s="2" t="str">
        <f>IF(SalesData[[#This Row],[Profit]]&gt;0,"Profit","Loss")</f>
        <v>Profit</v>
      </c>
      <c r="X455" s="2">
        <f>RANK(SalesData[[#This Row],[Sales]],SalesData[Sales])</f>
        <v>367</v>
      </c>
    </row>
    <row r="456" spans="1:24" x14ac:dyDescent="0.3">
      <c r="A456">
        <v>455</v>
      </c>
      <c r="B456" s="1">
        <v>45746</v>
      </c>
      <c r="C456">
        <v>1017</v>
      </c>
      <c r="D456" t="s">
        <v>175</v>
      </c>
      <c r="E456" t="s">
        <v>24</v>
      </c>
      <c r="F456" t="s">
        <v>28</v>
      </c>
      <c r="G456" t="s">
        <v>17</v>
      </c>
      <c r="H456" t="s">
        <v>25</v>
      </c>
      <c r="I456">
        <v>2002</v>
      </c>
      <c r="J456">
        <v>9</v>
      </c>
      <c r="K456">
        <v>0.1</v>
      </c>
      <c r="L456">
        <v>-460</v>
      </c>
      <c r="M456" t="s">
        <v>19</v>
      </c>
      <c r="N456">
        <v>16216.2</v>
      </c>
      <c r="O456" t="str">
        <f>TEXT(SalesData[[#This Row],[Order_Date]],"mmm")</f>
        <v>Mar</v>
      </c>
      <c r="P456">
        <f>YEAR(SalesData[[#This Row],[Order_Date]])</f>
        <v>2025</v>
      </c>
      <c r="Q456" t="str">
        <f>"Q"&amp;ROUNDUP(MONTH(SalesData[[#This Row],[Order_Date]])/3,0)</f>
        <v>Q1</v>
      </c>
      <c r="R456" s="2">
        <f>IFERROR(SalesData[[#This Row],[Profit]]/SalesData[[#This Row],[Sales]],0)</f>
        <v>-2.83666950333617E-2</v>
      </c>
      <c r="S456" s="2">
        <f>SalesData[[#This Row],[Price]]*SalesData[[#This Row],[Quantity]]*SalesData[[#This Row],[Discount]]</f>
        <v>1801.8000000000002</v>
      </c>
      <c r="T456" s="2" t="str">
        <f>IF(SalesData[[#This Row],[Sales]]&gt;5000,"High",IF(SalesData[[#This Row],[Sales]]&gt;2000,"Medium","Low"))</f>
        <v>High</v>
      </c>
      <c r="U456" s="2" t="str">
        <f>IF(COUNTIFS(SalesData[Customer_ID],SalesData[[#This Row],[Customer_ID]])&gt;1,"Repeat","New")</f>
        <v>Repeat</v>
      </c>
      <c r="V456" s="2" t="str">
        <f>IF(SalesData[[#This Row],[Sales]]&gt;AVERAGE(SalesData[Sales]),"Above Avg","Below Avg")</f>
        <v>Above Avg</v>
      </c>
      <c r="W456" s="2" t="str">
        <f>IF(SalesData[[#This Row],[Profit]]&gt;0,"Profit","Loss")</f>
        <v>Loss</v>
      </c>
      <c r="X456" s="2">
        <f>RANK(SalesData[[#This Row],[Sales]],SalesData[Sales])</f>
        <v>121</v>
      </c>
    </row>
    <row r="457" spans="1:24" x14ac:dyDescent="0.3">
      <c r="A457">
        <v>456</v>
      </c>
      <c r="B457" s="1">
        <v>45747</v>
      </c>
      <c r="C457">
        <v>1019</v>
      </c>
      <c r="D457" t="s">
        <v>47</v>
      </c>
      <c r="E457" t="s">
        <v>15</v>
      </c>
      <c r="F457" t="s">
        <v>16</v>
      </c>
      <c r="G457" t="s">
        <v>17</v>
      </c>
      <c r="H457" t="s">
        <v>18</v>
      </c>
      <c r="I457">
        <v>272</v>
      </c>
      <c r="J457">
        <v>2</v>
      </c>
      <c r="K457">
        <v>0.25</v>
      </c>
      <c r="L457">
        <v>237</v>
      </c>
      <c r="M457" t="s">
        <v>31</v>
      </c>
      <c r="N457">
        <v>408</v>
      </c>
      <c r="O457" t="str">
        <f>TEXT(SalesData[[#This Row],[Order_Date]],"mmm")</f>
        <v>Mar</v>
      </c>
      <c r="P457">
        <f>YEAR(SalesData[[#This Row],[Order_Date]])</f>
        <v>2025</v>
      </c>
      <c r="Q457" t="str">
        <f>"Q"&amp;ROUNDUP(MONTH(SalesData[[#This Row],[Order_Date]])/3,0)</f>
        <v>Q1</v>
      </c>
      <c r="R457" s="2">
        <f>IFERROR(SalesData[[#This Row],[Profit]]/SalesData[[#This Row],[Sales]],0)</f>
        <v>0.58088235294117652</v>
      </c>
      <c r="S457" s="2">
        <f>SalesData[[#This Row],[Price]]*SalesData[[#This Row],[Quantity]]*SalesData[[#This Row],[Discount]]</f>
        <v>136</v>
      </c>
      <c r="T457" s="2" t="str">
        <f>IF(SalesData[[#This Row],[Sales]]&gt;5000,"High",IF(SalesData[[#This Row],[Sales]]&gt;2000,"Medium","Low"))</f>
        <v>Low</v>
      </c>
      <c r="U457" s="2" t="str">
        <f>IF(COUNTIFS(SalesData[Customer_ID],SalesData[[#This Row],[Customer_ID]])&gt;1,"Repeat","New")</f>
        <v>Repeat</v>
      </c>
      <c r="V457" s="2" t="str">
        <f>IF(SalesData[[#This Row],[Sales]]&gt;AVERAGE(SalesData[Sales]),"Above Avg","Below Avg")</f>
        <v>Below Avg</v>
      </c>
      <c r="W457" s="2" t="str">
        <f>IF(SalesData[[#This Row],[Profit]]&gt;0,"Profit","Loss")</f>
        <v>Profit</v>
      </c>
      <c r="X457" s="2">
        <f>RANK(SalesData[[#This Row],[Sales]],SalesData[Sales])</f>
        <v>495</v>
      </c>
    </row>
    <row r="458" spans="1:24" x14ac:dyDescent="0.3">
      <c r="A458">
        <v>457</v>
      </c>
      <c r="B458" s="1">
        <v>45748</v>
      </c>
      <c r="C458">
        <v>1029</v>
      </c>
      <c r="D458" t="s">
        <v>162</v>
      </c>
      <c r="E458" t="s">
        <v>15</v>
      </c>
      <c r="F458" t="s">
        <v>21</v>
      </c>
      <c r="G458" t="s">
        <v>17</v>
      </c>
      <c r="H458" t="s">
        <v>29</v>
      </c>
      <c r="I458">
        <v>1217</v>
      </c>
      <c r="J458">
        <v>2</v>
      </c>
      <c r="K458">
        <v>0.03</v>
      </c>
      <c r="L458">
        <v>1969</v>
      </c>
      <c r="M458" t="s">
        <v>31</v>
      </c>
      <c r="N458">
        <v>2360.98</v>
      </c>
      <c r="O458" t="str">
        <f>TEXT(SalesData[[#This Row],[Order_Date]],"mmm")</f>
        <v>Apr</v>
      </c>
      <c r="P458">
        <f>YEAR(SalesData[[#This Row],[Order_Date]])</f>
        <v>2025</v>
      </c>
      <c r="Q458" t="str">
        <f>"Q"&amp;ROUNDUP(MONTH(SalesData[[#This Row],[Order_Date]])/3,0)</f>
        <v>Q2</v>
      </c>
      <c r="R458" s="2">
        <f>IFERROR(SalesData[[#This Row],[Profit]]/SalesData[[#This Row],[Sales]],0)</f>
        <v>0.83397572194597158</v>
      </c>
      <c r="S458" s="2">
        <f>SalesData[[#This Row],[Price]]*SalesData[[#This Row],[Quantity]]*SalesData[[#This Row],[Discount]]</f>
        <v>73.02</v>
      </c>
      <c r="T458" s="2" t="str">
        <f>IF(SalesData[[#This Row],[Sales]]&gt;5000,"High",IF(SalesData[[#This Row],[Sales]]&gt;2000,"Medium","Low"))</f>
        <v>Medium</v>
      </c>
      <c r="U458" s="2" t="str">
        <f>IF(COUNTIFS(SalesData[Customer_ID],SalesData[[#This Row],[Customer_ID]])&gt;1,"Repeat","New")</f>
        <v>Repeat</v>
      </c>
      <c r="V458" s="2" t="str">
        <f>IF(SalesData[[#This Row],[Sales]]&gt;AVERAGE(SalesData[Sales]),"Above Avg","Below Avg")</f>
        <v>Below Avg</v>
      </c>
      <c r="W458" s="2" t="str">
        <f>IF(SalesData[[#This Row],[Profit]]&gt;0,"Profit","Loss")</f>
        <v>Profit</v>
      </c>
      <c r="X458" s="2">
        <f>RANK(SalesData[[#This Row],[Sales]],SalesData[Sales])</f>
        <v>414</v>
      </c>
    </row>
    <row r="459" spans="1:24" x14ac:dyDescent="0.3">
      <c r="A459">
        <v>458</v>
      </c>
      <c r="B459" s="1">
        <v>45749</v>
      </c>
      <c r="C459">
        <v>1073</v>
      </c>
      <c r="D459" t="s">
        <v>77</v>
      </c>
      <c r="E459" t="s">
        <v>24</v>
      </c>
      <c r="F459" t="s">
        <v>28</v>
      </c>
      <c r="G459" t="s">
        <v>22</v>
      </c>
      <c r="H459" t="s">
        <v>25</v>
      </c>
      <c r="I459">
        <v>1801</v>
      </c>
      <c r="J459">
        <v>8</v>
      </c>
      <c r="K459">
        <v>0.03</v>
      </c>
      <c r="L459">
        <v>1897</v>
      </c>
      <c r="M459" t="s">
        <v>26</v>
      </c>
      <c r="N459">
        <v>13975.76</v>
      </c>
      <c r="O459" t="str">
        <f>TEXT(SalesData[[#This Row],[Order_Date]],"mmm")</f>
        <v>Apr</v>
      </c>
      <c r="P459">
        <f>YEAR(SalesData[[#This Row],[Order_Date]])</f>
        <v>2025</v>
      </c>
      <c r="Q459" t="str">
        <f>"Q"&amp;ROUNDUP(MONTH(SalesData[[#This Row],[Order_Date]])/3,0)</f>
        <v>Q2</v>
      </c>
      <c r="R459" s="2">
        <f>IFERROR(SalesData[[#This Row],[Profit]]/SalesData[[#This Row],[Sales]],0)</f>
        <v>0.13573501548395223</v>
      </c>
      <c r="S459" s="2">
        <f>SalesData[[#This Row],[Price]]*SalesData[[#This Row],[Quantity]]*SalesData[[#This Row],[Discount]]</f>
        <v>432.24</v>
      </c>
      <c r="T459" s="2" t="str">
        <f>IF(SalesData[[#This Row],[Sales]]&gt;5000,"High",IF(SalesData[[#This Row],[Sales]]&gt;2000,"Medium","Low"))</f>
        <v>High</v>
      </c>
      <c r="U459" s="2" t="str">
        <f>IF(COUNTIFS(SalesData[Customer_ID],SalesData[[#This Row],[Customer_ID]])&gt;1,"Repeat","New")</f>
        <v>Repeat</v>
      </c>
      <c r="V459" s="2" t="str">
        <f>IF(SalesData[[#This Row],[Sales]]&gt;AVERAGE(SalesData[Sales]),"Above Avg","Below Avg")</f>
        <v>Above Avg</v>
      </c>
      <c r="W459" s="2" t="str">
        <f>IF(SalesData[[#This Row],[Profit]]&gt;0,"Profit","Loss")</f>
        <v>Profit</v>
      </c>
      <c r="X459" s="2">
        <f>RANK(SalesData[[#This Row],[Sales]],SalesData[Sales])</f>
        <v>148</v>
      </c>
    </row>
    <row r="460" spans="1:24" x14ac:dyDescent="0.3">
      <c r="A460">
        <v>459</v>
      </c>
      <c r="B460" s="1">
        <v>45750</v>
      </c>
      <c r="C460">
        <v>1051</v>
      </c>
      <c r="D460" t="s">
        <v>116</v>
      </c>
      <c r="E460" t="s">
        <v>24</v>
      </c>
      <c r="F460" t="s">
        <v>21</v>
      </c>
      <c r="G460" t="s">
        <v>22</v>
      </c>
      <c r="H460" t="s">
        <v>37</v>
      </c>
      <c r="I460">
        <v>4044</v>
      </c>
      <c r="J460">
        <v>6</v>
      </c>
      <c r="K460">
        <v>0.13</v>
      </c>
      <c r="L460">
        <v>-422</v>
      </c>
      <c r="M460" t="s">
        <v>26</v>
      </c>
      <c r="N460">
        <v>21109.68</v>
      </c>
      <c r="O460" t="str">
        <f>TEXT(SalesData[[#This Row],[Order_Date]],"mmm")</f>
        <v>Apr</v>
      </c>
      <c r="P460">
        <f>YEAR(SalesData[[#This Row],[Order_Date]])</f>
        <v>2025</v>
      </c>
      <c r="Q460" t="str">
        <f>"Q"&amp;ROUNDUP(MONTH(SalesData[[#This Row],[Order_Date]])/3,0)</f>
        <v>Q2</v>
      </c>
      <c r="R460" s="2">
        <f>IFERROR(SalesData[[#This Row],[Profit]]/SalesData[[#This Row],[Sales]],0)</f>
        <v>-1.9990828851976911E-2</v>
      </c>
      <c r="S460" s="2">
        <f>SalesData[[#This Row],[Price]]*SalesData[[#This Row],[Quantity]]*SalesData[[#This Row],[Discount]]</f>
        <v>3154.32</v>
      </c>
      <c r="T460" s="2" t="str">
        <f>IF(SalesData[[#This Row],[Sales]]&gt;5000,"High",IF(SalesData[[#This Row],[Sales]]&gt;2000,"Medium","Low"))</f>
        <v>High</v>
      </c>
      <c r="U460" s="2" t="str">
        <f>IF(COUNTIFS(SalesData[Customer_ID],SalesData[[#This Row],[Customer_ID]])&gt;1,"Repeat","New")</f>
        <v>Repeat</v>
      </c>
      <c r="V460" s="2" t="str">
        <f>IF(SalesData[[#This Row],[Sales]]&gt;AVERAGE(SalesData[Sales]),"Above Avg","Below Avg")</f>
        <v>Above Avg</v>
      </c>
      <c r="W460" s="2" t="str">
        <f>IF(SalesData[[#This Row],[Profit]]&gt;0,"Profit","Loss")</f>
        <v>Loss</v>
      </c>
      <c r="X460" s="2">
        <f>RANK(SalesData[[#This Row],[Sales]],SalesData[Sales])</f>
        <v>75</v>
      </c>
    </row>
    <row r="461" spans="1:24" x14ac:dyDescent="0.3">
      <c r="A461">
        <v>460</v>
      </c>
      <c r="B461" s="1">
        <v>45751</v>
      </c>
      <c r="C461">
        <v>1022</v>
      </c>
      <c r="D461" t="s">
        <v>140</v>
      </c>
      <c r="E461" t="s">
        <v>24</v>
      </c>
      <c r="F461" t="s">
        <v>21</v>
      </c>
      <c r="G461" t="s">
        <v>17</v>
      </c>
      <c r="H461" t="s">
        <v>25</v>
      </c>
      <c r="I461">
        <v>1017</v>
      </c>
      <c r="J461">
        <v>8</v>
      </c>
      <c r="K461">
        <v>0.12</v>
      </c>
      <c r="L461">
        <v>622</v>
      </c>
      <c r="M461" t="s">
        <v>31</v>
      </c>
      <c r="N461">
        <v>7159.68</v>
      </c>
      <c r="O461" t="str">
        <f>TEXT(SalesData[[#This Row],[Order_Date]],"mmm")</f>
        <v>Apr</v>
      </c>
      <c r="P461">
        <f>YEAR(SalesData[[#This Row],[Order_Date]])</f>
        <v>2025</v>
      </c>
      <c r="Q461" t="str">
        <f>"Q"&amp;ROUNDUP(MONTH(SalesData[[#This Row],[Order_Date]])/3,0)</f>
        <v>Q2</v>
      </c>
      <c r="R461" s="2">
        <f>IFERROR(SalesData[[#This Row],[Profit]]/SalesData[[#This Row],[Sales]],0)</f>
        <v>8.68753910789309E-2</v>
      </c>
      <c r="S461" s="2">
        <f>SalesData[[#This Row],[Price]]*SalesData[[#This Row],[Quantity]]*SalesData[[#This Row],[Discount]]</f>
        <v>976.31999999999994</v>
      </c>
      <c r="T461" s="2" t="str">
        <f>IF(SalesData[[#This Row],[Sales]]&gt;5000,"High",IF(SalesData[[#This Row],[Sales]]&gt;2000,"Medium","Low"))</f>
        <v>High</v>
      </c>
      <c r="U461" s="2" t="str">
        <f>IF(COUNTIFS(SalesData[Customer_ID],SalesData[[#This Row],[Customer_ID]])&gt;1,"Repeat","New")</f>
        <v>Repeat</v>
      </c>
      <c r="V461" s="2" t="str">
        <f>IF(SalesData[[#This Row],[Sales]]&gt;AVERAGE(SalesData[Sales]),"Above Avg","Below Avg")</f>
        <v>Below Avg</v>
      </c>
      <c r="W461" s="2" t="str">
        <f>IF(SalesData[[#This Row],[Profit]]&gt;0,"Profit","Loss")</f>
        <v>Profit</v>
      </c>
      <c r="X461" s="2">
        <f>RANK(SalesData[[#This Row],[Sales]],SalesData[Sales])</f>
        <v>272</v>
      </c>
    </row>
    <row r="462" spans="1:24" x14ac:dyDescent="0.3">
      <c r="A462">
        <v>461</v>
      </c>
      <c r="B462" s="1">
        <v>45752</v>
      </c>
      <c r="C462">
        <v>1046</v>
      </c>
      <c r="D462" t="s">
        <v>99</v>
      </c>
      <c r="E462" t="s">
        <v>15</v>
      </c>
      <c r="F462" t="s">
        <v>16</v>
      </c>
      <c r="G462" t="s">
        <v>17</v>
      </c>
      <c r="H462" t="s">
        <v>37</v>
      </c>
      <c r="I462">
        <v>3058</v>
      </c>
      <c r="J462">
        <v>1</v>
      </c>
      <c r="K462">
        <v>0.02</v>
      </c>
      <c r="L462">
        <v>1633</v>
      </c>
      <c r="M462" t="s">
        <v>26</v>
      </c>
      <c r="N462">
        <v>2996.84</v>
      </c>
      <c r="O462" t="str">
        <f>TEXT(SalesData[[#This Row],[Order_Date]],"mmm")</f>
        <v>Apr</v>
      </c>
      <c r="P462">
        <f>YEAR(SalesData[[#This Row],[Order_Date]])</f>
        <v>2025</v>
      </c>
      <c r="Q462" t="str">
        <f>"Q"&amp;ROUNDUP(MONTH(SalesData[[#This Row],[Order_Date]])/3,0)</f>
        <v>Q2</v>
      </c>
      <c r="R462" s="2">
        <f>IFERROR(SalesData[[#This Row],[Profit]]/SalesData[[#This Row],[Sales]],0)</f>
        <v>0.54490730235848428</v>
      </c>
      <c r="S462" s="2">
        <f>SalesData[[#This Row],[Price]]*SalesData[[#This Row],[Quantity]]*SalesData[[#This Row],[Discount]]</f>
        <v>61.160000000000004</v>
      </c>
      <c r="T462" s="2" t="str">
        <f>IF(SalesData[[#This Row],[Sales]]&gt;5000,"High",IF(SalesData[[#This Row],[Sales]]&gt;2000,"Medium","Low"))</f>
        <v>Medium</v>
      </c>
      <c r="U462" s="2" t="str">
        <f>IF(COUNTIFS(SalesData[Customer_ID],SalesData[[#This Row],[Customer_ID]])&gt;1,"Repeat","New")</f>
        <v>Repeat</v>
      </c>
      <c r="V462" s="2" t="str">
        <f>IF(SalesData[[#This Row],[Sales]]&gt;AVERAGE(SalesData[Sales]),"Above Avg","Below Avg")</f>
        <v>Below Avg</v>
      </c>
      <c r="W462" s="2" t="str">
        <f>IF(SalesData[[#This Row],[Profit]]&gt;0,"Profit","Loss")</f>
        <v>Profit</v>
      </c>
      <c r="X462" s="2">
        <f>RANK(SalesData[[#This Row],[Sales]],SalesData[Sales])</f>
        <v>393</v>
      </c>
    </row>
    <row r="463" spans="1:24" x14ac:dyDescent="0.3">
      <c r="A463">
        <v>462</v>
      </c>
      <c r="B463" s="1">
        <v>45753</v>
      </c>
      <c r="C463">
        <v>1002</v>
      </c>
      <c r="D463" t="s">
        <v>207</v>
      </c>
      <c r="E463" t="s">
        <v>15</v>
      </c>
      <c r="F463" t="s">
        <v>28</v>
      </c>
      <c r="G463" t="s">
        <v>17</v>
      </c>
      <c r="H463" t="s">
        <v>37</v>
      </c>
      <c r="I463">
        <v>3212</v>
      </c>
      <c r="J463">
        <v>3</v>
      </c>
      <c r="K463">
        <v>0.16</v>
      </c>
      <c r="L463">
        <v>-72</v>
      </c>
      <c r="M463" t="s">
        <v>31</v>
      </c>
      <c r="N463">
        <v>8094.24</v>
      </c>
      <c r="O463" t="str">
        <f>TEXT(SalesData[[#This Row],[Order_Date]],"mmm")</f>
        <v>Apr</v>
      </c>
      <c r="P463">
        <f>YEAR(SalesData[[#This Row],[Order_Date]])</f>
        <v>2025</v>
      </c>
      <c r="Q463" t="str">
        <f>"Q"&amp;ROUNDUP(MONTH(SalesData[[#This Row],[Order_Date]])/3,0)</f>
        <v>Q2</v>
      </c>
      <c r="R463" s="2">
        <f>IFERROR(SalesData[[#This Row],[Profit]]/SalesData[[#This Row],[Sales]],0)</f>
        <v>-8.8952143746664301E-3</v>
      </c>
      <c r="S463" s="2">
        <f>SalesData[[#This Row],[Price]]*SalesData[[#This Row],[Quantity]]*SalesData[[#This Row],[Discount]]</f>
        <v>1541.76</v>
      </c>
      <c r="T463" s="2" t="str">
        <f>IF(SalesData[[#This Row],[Sales]]&gt;5000,"High",IF(SalesData[[#This Row],[Sales]]&gt;2000,"Medium","Low"))</f>
        <v>High</v>
      </c>
      <c r="U463" s="2" t="str">
        <f>IF(COUNTIFS(SalesData[Customer_ID],SalesData[[#This Row],[Customer_ID]])&gt;1,"Repeat","New")</f>
        <v>Repeat</v>
      </c>
      <c r="V463" s="2" t="str">
        <f>IF(SalesData[[#This Row],[Sales]]&gt;AVERAGE(SalesData[Sales]),"Above Avg","Below Avg")</f>
        <v>Below Avg</v>
      </c>
      <c r="W463" s="2" t="str">
        <f>IF(SalesData[[#This Row],[Profit]]&gt;0,"Profit","Loss")</f>
        <v>Loss</v>
      </c>
      <c r="X463" s="2">
        <f>RANK(SalesData[[#This Row],[Sales]],SalesData[Sales])</f>
        <v>249</v>
      </c>
    </row>
    <row r="464" spans="1:24" x14ac:dyDescent="0.3">
      <c r="A464">
        <v>463</v>
      </c>
      <c r="B464" s="1">
        <v>45754</v>
      </c>
      <c r="C464">
        <v>1049</v>
      </c>
      <c r="D464" t="s">
        <v>169</v>
      </c>
      <c r="E464" t="s">
        <v>15</v>
      </c>
      <c r="F464" t="s">
        <v>16</v>
      </c>
      <c r="G464" t="s">
        <v>34</v>
      </c>
      <c r="H464" t="s">
        <v>37</v>
      </c>
      <c r="I464">
        <v>1965</v>
      </c>
      <c r="J464">
        <v>7</v>
      </c>
      <c r="K464">
        <v>0.13</v>
      </c>
      <c r="L464">
        <v>510</v>
      </c>
      <c r="M464" t="s">
        <v>31</v>
      </c>
      <c r="N464">
        <v>11966.85</v>
      </c>
      <c r="O464" t="str">
        <f>TEXT(SalesData[[#This Row],[Order_Date]],"mmm")</f>
        <v>Apr</v>
      </c>
      <c r="P464">
        <f>YEAR(SalesData[[#This Row],[Order_Date]])</f>
        <v>2025</v>
      </c>
      <c r="Q464" t="str">
        <f>"Q"&amp;ROUNDUP(MONTH(SalesData[[#This Row],[Order_Date]])/3,0)</f>
        <v>Q2</v>
      </c>
      <c r="R464" s="2">
        <f>IFERROR(SalesData[[#This Row],[Profit]]/SalesData[[#This Row],[Sales]],0)</f>
        <v>4.2617731483222399E-2</v>
      </c>
      <c r="S464" s="2">
        <f>SalesData[[#This Row],[Price]]*SalesData[[#This Row],[Quantity]]*SalesData[[#This Row],[Discount]]</f>
        <v>1788.15</v>
      </c>
      <c r="T464" s="2" t="str">
        <f>IF(SalesData[[#This Row],[Sales]]&gt;5000,"High",IF(SalesData[[#This Row],[Sales]]&gt;2000,"Medium","Low"))</f>
        <v>High</v>
      </c>
      <c r="U464" s="2" t="str">
        <f>IF(COUNTIFS(SalesData[Customer_ID],SalesData[[#This Row],[Customer_ID]])&gt;1,"Repeat","New")</f>
        <v>Repeat</v>
      </c>
      <c r="V464" s="2" t="str">
        <f>IF(SalesData[[#This Row],[Sales]]&gt;AVERAGE(SalesData[Sales]),"Above Avg","Below Avg")</f>
        <v>Above Avg</v>
      </c>
      <c r="W464" s="2" t="str">
        <f>IF(SalesData[[#This Row],[Profit]]&gt;0,"Profit","Loss")</f>
        <v>Profit</v>
      </c>
      <c r="X464" s="2">
        <f>RANK(SalesData[[#This Row],[Sales]],SalesData[Sales])</f>
        <v>168</v>
      </c>
    </row>
    <row r="465" spans="1:24" x14ac:dyDescent="0.3">
      <c r="A465">
        <v>464</v>
      </c>
      <c r="B465" s="1">
        <v>45755</v>
      </c>
      <c r="C465">
        <v>1008</v>
      </c>
      <c r="D465" t="s">
        <v>140</v>
      </c>
      <c r="E465" t="s">
        <v>15</v>
      </c>
      <c r="F465" t="s">
        <v>33</v>
      </c>
      <c r="G465" t="s">
        <v>34</v>
      </c>
      <c r="H465" t="s">
        <v>18</v>
      </c>
      <c r="I465">
        <v>406</v>
      </c>
      <c r="J465">
        <v>7</v>
      </c>
      <c r="K465">
        <v>0.3</v>
      </c>
      <c r="L465">
        <v>648</v>
      </c>
      <c r="M465" t="s">
        <v>31</v>
      </c>
      <c r="N465">
        <v>1989.3999999999901</v>
      </c>
      <c r="O465" t="str">
        <f>TEXT(SalesData[[#This Row],[Order_Date]],"mmm")</f>
        <v>Apr</v>
      </c>
      <c r="P465">
        <f>YEAR(SalesData[[#This Row],[Order_Date]])</f>
        <v>2025</v>
      </c>
      <c r="Q465" t="str">
        <f>"Q"&amp;ROUNDUP(MONTH(SalesData[[#This Row],[Order_Date]])/3,0)</f>
        <v>Q2</v>
      </c>
      <c r="R465" s="2">
        <f>IFERROR(SalesData[[#This Row],[Profit]]/SalesData[[#This Row],[Sales]],0)</f>
        <v>0.32572634965316338</v>
      </c>
      <c r="S465" s="2">
        <f>SalesData[[#This Row],[Price]]*SalesData[[#This Row],[Quantity]]*SalesData[[#This Row],[Discount]]</f>
        <v>852.6</v>
      </c>
      <c r="T465" s="2" t="str">
        <f>IF(SalesData[[#This Row],[Sales]]&gt;5000,"High",IF(SalesData[[#This Row],[Sales]]&gt;2000,"Medium","Low"))</f>
        <v>Low</v>
      </c>
      <c r="U465" s="2" t="str">
        <f>IF(COUNTIFS(SalesData[Customer_ID],SalesData[[#This Row],[Customer_ID]])&gt;1,"Repeat","New")</f>
        <v>Repeat</v>
      </c>
      <c r="V465" s="2" t="str">
        <f>IF(SalesData[[#This Row],[Sales]]&gt;AVERAGE(SalesData[Sales]),"Above Avg","Below Avg")</f>
        <v>Below Avg</v>
      </c>
      <c r="W465" s="2" t="str">
        <f>IF(SalesData[[#This Row],[Profit]]&gt;0,"Profit","Loss")</f>
        <v>Profit</v>
      </c>
      <c r="X465" s="2">
        <f>RANK(SalesData[[#This Row],[Sales]],SalesData[Sales])</f>
        <v>431</v>
      </c>
    </row>
    <row r="466" spans="1:24" x14ac:dyDescent="0.3">
      <c r="A466">
        <v>465</v>
      </c>
      <c r="B466" s="1">
        <v>45756</v>
      </c>
      <c r="C466">
        <v>1018</v>
      </c>
      <c r="D466" t="s">
        <v>48</v>
      </c>
      <c r="E466" t="s">
        <v>15</v>
      </c>
      <c r="F466" t="s">
        <v>28</v>
      </c>
      <c r="G466" t="s">
        <v>22</v>
      </c>
      <c r="H466" t="s">
        <v>37</v>
      </c>
      <c r="I466">
        <v>1951</v>
      </c>
      <c r="J466">
        <v>5</v>
      </c>
      <c r="K466">
        <v>0.02</v>
      </c>
      <c r="L466">
        <v>575</v>
      </c>
      <c r="M466" t="s">
        <v>26</v>
      </c>
      <c r="N466">
        <v>9559.9</v>
      </c>
      <c r="O466" t="str">
        <f>TEXT(SalesData[[#This Row],[Order_Date]],"mmm")</f>
        <v>Apr</v>
      </c>
      <c r="P466">
        <f>YEAR(SalesData[[#This Row],[Order_Date]])</f>
        <v>2025</v>
      </c>
      <c r="Q466" t="str">
        <f>"Q"&amp;ROUNDUP(MONTH(SalesData[[#This Row],[Order_Date]])/3,0)</f>
        <v>Q2</v>
      </c>
      <c r="R466" s="2">
        <f>IFERROR(SalesData[[#This Row],[Profit]]/SalesData[[#This Row],[Sales]],0)</f>
        <v>6.0147072668124149E-2</v>
      </c>
      <c r="S466" s="2">
        <f>SalesData[[#This Row],[Price]]*SalesData[[#This Row],[Quantity]]*SalesData[[#This Row],[Discount]]</f>
        <v>195.1</v>
      </c>
      <c r="T466" s="2" t="str">
        <f>IF(SalesData[[#This Row],[Sales]]&gt;5000,"High",IF(SalesData[[#This Row],[Sales]]&gt;2000,"Medium","Low"))</f>
        <v>High</v>
      </c>
      <c r="U466" s="2" t="str">
        <f>IF(COUNTIFS(SalesData[Customer_ID],SalesData[[#This Row],[Customer_ID]])&gt;1,"Repeat","New")</f>
        <v>Repeat</v>
      </c>
      <c r="V466" s="2" t="str">
        <f>IF(SalesData[[#This Row],[Sales]]&gt;AVERAGE(SalesData[Sales]),"Above Avg","Below Avg")</f>
        <v>Below Avg</v>
      </c>
      <c r="W466" s="2" t="str">
        <f>IF(SalesData[[#This Row],[Profit]]&gt;0,"Profit","Loss")</f>
        <v>Profit</v>
      </c>
      <c r="X466" s="2">
        <f>RANK(SalesData[[#This Row],[Sales]],SalesData[Sales])</f>
        <v>214</v>
      </c>
    </row>
    <row r="467" spans="1:24" x14ac:dyDescent="0.3">
      <c r="A467">
        <v>466</v>
      </c>
      <c r="B467" s="1">
        <v>45757</v>
      </c>
      <c r="C467">
        <v>1035</v>
      </c>
      <c r="D467" t="s">
        <v>59</v>
      </c>
      <c r="E467" t="s">
        <v>15</v>
      </c>
      <c r="F467" t="s">
        <v>33</v>
      </c>
      <c r="G467" t="s">
        <v>34</v>
      </c>
      <c r="H467" t="s">
        <v>25</v>
      </c>
      <c r="I467">
        <v>930</v>
      </c>
      <c r="J467">
        <v>9</v>
      </c>
      <c r="K467">
        <v>0.04</v>
      </c>
      <c r="L467">
        <v>-226</v>
      </c>
      <c r="M467" t="s">
        <v>26</v>
      </c>
      <c r="N467">
        <v>8035.2</v>
      </c>
      <c r="O467" t="str">
        <f>TEXT(SalesData[[#This Row],[Order_Date]],"mmm")</f>
        <v>Apr</v>
      </c>
      <c r="P467">
        <f>YEAR(SalesData[[#This Row],[Order_Date]])</f>
        <v>2025</v>
      </c>
      <c r="Q467" t="str">
        <f>"Q"&amp;ROUNDUP(MONTH(SalesData[[#This Row],[Order_Date]])/3,0)</f>
        <v>Q2</v>
      </c>
      <c r="R467" s="2">
        <f>IFERROR(SalesData[[#This Row],[Profit]]/SalesData[[#This Row],[Sales]],0)</f>
        <v>-2.8126244524093989E-2</v>
      </c>
      <c r="S467" s="2">
        <f>SalesData[[#This Row],[Price]]*SalesData[[#This Row],[Quantity]]*SalesData[[#This Row],[Discount]]</f>
        <v>334.8</v>
      </c>
      <c r="T467" s="2" t="str">
        <f>IF(SalesData[[#This Row],[Sales]]&gt;5000,"High",IF(SalesData[[#This Row],[Sales]]&gt;2000,"Medium","Low"))</f>
        <v>High</v>
      </c>
      <c r="U467" s="2" t="str">
        <f>IF(COUNTIFS(SalesData[Customer_ID],SalesData[[#This Row],[Customer_ID]])&gt;1,"Repeat","New")</f>
        <v>Repeat</v>
      </c>
      <c r="V467" s="2" t="str">
        <f>IF(SalesData[[#This Row],[Sales]]&gt;AVERAGE(SalesData[Sales]),"Above Avg","Below Avg")</f>
        <v>Below Avg</v>
      </c>
      <c r="W467" s="2" t="str">
        <f>IF(SalesData[[#This Row],[Profit]]&gt;0,"Profit","Loss")</f>
        <v>Loss</v>
      </c>
      <c r="X467" s="2">
        <f>RANK(SalesData[[#This Row],[Sales]],SalesData[Sales])</f>
        <v>252</v>
      </c>
    </row>
    <row r="468" spans="1:24" x14ac:dyDescent="0.3">
      <c r="A468">
        <v>467</v>
      </c>
      <c r="B468" s="1">
        <v>45758</v>
      </c>
      <c r="C468">
        <v>1039</v>
      </c>
      <c r="D468" t="s">
        <v>108</v>
      </c>
      <c r="E468" t="s">
        <v>15</v>
      </c>
      <c r="F468" t="s">
        <v>16</v>
      </c>
      <c r="G468" t="s">
        <v>17</v>
      </c>
      <c r="H468" t="s">
        <v>18</v>
      </c>
      <c r="I468">
        <v>524</v>
      </c>
      <c r="J468">
        <v>2</v>
      </c>
      <c r="K468">
        <v>0.05</v>
      </c>
      <c r="L468">
        <v>563</v>
      </c>
      <c r="M468" t="s">
        <v>26</v>
      </c>
      <c r="N468">
        <v>995.599999999999</v>
      </c>
      <c r="O468" t="str">
        <f>TEXT(SalesData[[#This Row],[Order_Date]],"mmm")</f>
        <v>Apr</v>
      </c>
      <c r="P468">
        <f>YEAR(SalesData[[#This Row],[Order_Date]])</f>
        <v>2025</v>
      </c>
      <c r="Q468" t="str">
        <f>"Q"&amp;ROUNDUP(MONTH(SalesData[[#This Row],[Order_Date]])/3,0)</f>
        <v>Q2</v>
      </c>
      <c r="R468" s="2">
        <f>IFERROR(SalesData[[#This Row],[Profit]]/SalesData[[#This Row],[Sales]],0)</f>
        <v>0.56548814785054291</v>
      </c>
      <c r="S468" s="2">
        <f>SalesData[[#This Row],[Price]]*SalesData[[#This Row],[Quantity]]*SalesData[[#This Row],[Discount]]</f>
        <v>52.400000000000006</v>
      </c>
      <c r="T468" s="2" t="str">
        <f>IF(SalesData[[#This Row],[Sales]]&gt;5000,"High",IF(SalesData[[#This Row],[Sales]]&gt;2000,"Medium","Low"))</f>
        <v>Low</v>
      </c>
      <c r="U468" s="2" t="str">
        <f>IF(COUNTIFS(SalesData[Customer_ID],SalesData[[#This Row],[Customer_ID]])&gt;1,"Repeat","New")</f>
        <v>Repeat</v>
      </c>
      <c r="V468" s="2" t="str">
        <f>IF(SalesData[[#This Row],[Sales]]&gt;AVERAGE(SalesData[Sales]),"Above Avg","Below Avg")</f>
        <v>Below Avg</v>
      </c>
      <c r="W468" s="2" t="str">
        <f>IF(SalesData[[#This Row],[Profit]]&gt;0,"Profit","Loss")</f>
        <v>Profit</v>
      </c>
      <c r="X468" s="2">
        <f>RANK(SalesData[[#This Row],[Sales]],SalesData[Sales])</f>
        <v>480</v>
      </c>
    </row>
    <row r="469" spans="1:24" x14ac:dyDescent="0.3">
      <c r="A469">
        <v>468</v>
      </c>
      <c r="B469" s="1">
        <v>45759</v>
      </c>
      <c r="C469">
        <v>1026</v>
      </c>
      <c r="D469" t="s">
        <v>125</v>
      </c>
      <c r="E469" t="s">
        <v>24</v>
      </c>
      <c r="F469" t="s">
        <v>33</v>
      </c>
      <c r="G469" t="s">
        <v>34</v>
      </c>
      <c r="H469" t="s">
        <v>29</v>
      </c>
      <c r="I469">
        <v>3851</v>
      </c>
      <c r="J469">
        <v>1</v>
      </c>
      <c r="K469">
        <v>0.1</v>
      </c>
      <c r="L469">
        <v>1436</v>
      </c>
      <c r="M469" t="s">
        <v>19</v>
      </c>
      <c r="N469">
        <v>3465.9</v>
      </c>
      <c r="O469" t="str">
        <f>TEXT(SalesData[[#This Row],[Order_Date]],"mmm")</f>
        <v>Apr</v>
      </c>
      <c r="P469">
        <f>YEAR(SalesData[[#This Row],[Order_Date]])</f>
        <v>2025</v>
      </c>
      <c r="Q469" t="str">
        <f>"Q"&amp;ROUNDUP(MONTH(SalesData[[#This Row],[Order_Date]])/3,0)</f>
        <v>Q2</v>
      </c>
      <c r="R469" s="2">
        <f>IFERROR(SalesData[[#This Row],[Profit]]/SalesData[[#This Row],[Sales]],0)</f>
        <v>0.41432239822268385</v>
      </c>
      <c r="S469" s="2">
        <f>SalesData[[#This Row],[Price]]*SalesData[[#This Row],[Quantity]]*SalesData[[#This Row],[Discount]]</f>
        <v>385.1</v>
      </c>
      <c r="T469" s="2" t="str">
        <f>IF(SalesData[[#This Row],[Sales]]&gt;5000,"High",IF(SalesData[[#This Row],[Sales]]&gt;2000,"Medium","Low"))</f>
        <v>Medium</v>
      </c>
      <c r="U469" s="2" t="str">
        <f>IF(COUNTIFS(SalesData[Customer_ID],SalesData[[#This Row],[Customer_ID]])&gt;1,"Repeat","New")</f>
        <v>Repeat</v>
      </c>
      <c r="V469" s="2" t="str">
        <f>IF(SalesData[[#This Row],[Sales]]&gt;AVERAGE(SalesData[Sales]),"Above Avg","Below Avg")</f>
        <v>Below Avg</v>
      </c>
      <c r="W469" s="2" t="str">
        <f>IF(SalesData[[#This Row],[Profit]]&gt;0,"Profit","Loss")</f>
        <v>Profit</v>
      </c>
      <c r="X469" s="2">
        <f>RANK(SalesData[[#This Row],[Sales]],SalesData[Sales])</f>
        <v>377</v>
      </c>
    </row>
    <row r="470" spans="1:24" x14ac:dyDescent="0.3">
      <c r="A470">
        <v>469</v>
      </c>
      <c r="B470" s="1">
        <v>45760</v>
      </c>
      <c r="C470">
        <v>1091</v>
      </c>
      <c r="D470" t="s">
        <v>170</v>
      </c>
      <c r="E470" t="s">
        <v>24</v>
      </c>
      <c r="F470" t="s">
        <v>21</v>
      </c>
      <c r="G470" t="s">
        <v>17</v>
      </c>
      <c r="H470" t="s">
        <v>18</v>
      </c>
      <c r="I470">
        <v>4972</v>
      </c>
      <c r="J470">
        <v>3</v>
      </c>
      <c r="K470">
        <v>0.2</v>
      </c>
      <c r="L470">
        <v>1594</v>
      </c>
      <c r="M470" t="s">
        <v>31</v>
      </c>
      <c r="N470">
        <v>11932.8</v>
      </c>
      <c r="O470" t="str">
        <f>TEXT(SalesData[[#This Row],[Order_Date]],"mmm")</f>
        <v>Apr</v>
      </c>
      <c r="P470">
        <f>YEAR(SalesData[[#This Row],[Order_Date]])</f>
        <v>2025</v>
      </c>
      <c r="Q470" t="str">
        <f>"Q"&amp;ROUNDUP(MONTH(SalesData[[#This Row],[Order_Date]])/3,0)</f>
        <v>Q2</v>
      </c>
      <c r="R470" s="2">
        <f>IFERROR(SalesData[[#This Row],[Profit]]/SalesData[[#This Row],[Sales]],0)</f>
        <v>0.13358138911236256</v>
      </c>
      <c r="S470" s="2">
        <f>SalesData[[#This Row],[Price]]*SalesData[[#This Row],[Quantity]]*SalesData[[#This Row],[Discount]]</f>
        <v>2983.2000000000003</v>
      </c>
      <c r="T470" s="2" t="str">
        <f>IF(SalesData[[#This Row],[Sales]]&gt;5000,"High",IF(SalesData[[#This Row],[Sales]]&gt;2000,"Medium","Low"))</f>
        <v>High</v>
      </c>
      <c r="U470" s="2" t="str">
        <f>IF(COUNTIFS(SalesData[Customer_ID],SalesData[[#This Row],[Customer_ID]])&gt;1,"Repeat","New")</f>
        <v>Repeat</v>
      </c>
      <c r="V470" s="2" t="str">
        <f>IF(SalesData[[#This Row],[Sales]]&gt;AVERAGE(SalesData[Sales]),"Above Avg","Below Avg")</f>
        <v>Above Avg</v>
      </c>
      <c r="W470" s="2" t="str">
        <f>IF(SalesData[[#This Row],[Profit]]&gt;0,"Profit","Loss")</f>
        <v>Profit</v>
      </c>
      <c r="X470" s="2">
        <f>RANK(SalesData[[#This Row],[Sales]],SalesData[Sales])</f>
        <v>169</v>
      </c>
    </row>
    <row r="471" spans="1:24" x14ac:dyDescent="0.3">
      <c r="A471">
        <v>470</v>
      </c>
      <c r="B471" s="1">
        <v>45761</v>
      </c>
      <c r="C471">
        <v>1071</v>
      </c>
      <c r="D471" t="s">
        <v>202</v>
      </c>
      <c r="E471" t="s">
        <v>15</v>
      </c>
      <c r="F471" t="s">
        <v>16</v>
      </c>
      <c r="G471" t="s">
        <v>34</v>
      </c>
      <c r="H471" t="s">
        <v>37</v>
      </c>
      <c r="I471">
        <v>1905</v>
      </c>
      <c r="J471">
        <v>7</v>
      </c>
      <c r="K471">
        <v>0.28999999999999998</v>
      </c>
      <c r="L471">
        <v>-284</v>
      </c>
      <c r="M471" t="s">
        <v>19</v>
      </c>
      <c r="N471">
        <v>9467.85</v>
      </c>
      <c r="O471" t="str">
        <f>TEXT(SalesData[[#This Row],[Order_Date]],"mmm")</f>
        <v>Apr</v>
      </c>
      <c r="P471">
        <f>YEAR(SalesData[[#This Row],[Order_Date]])</f>
        <v>2025</v>
      </c>
      <c r="Q471" t="str">
        <f>"Q"&amp;ROUNDUP(MONTH(SalesData[[#This Row],[Order_Date]])/3,0)</f>
        <v>Q2</v>
      </c>
      <c r="R471" s="2">
        <f>IFERROR(SalesData[[#This Row],[Profit]]/SalesData[[#This Row],[Sales]],0)</f>
        <v>-2.9996250468691414E-2</v>
      </c>
      <c r="S471" s="2">
        <f>SalesData[[#This Row],[Price]]*SalesData[[#This Row],[Quantity]]*SalesData[[#This Row],[Discount]]</f>
        <v>3867.1499999999996</v>
      </c>
      <c r="T471" s="2" t="str">
        <f>IF(SalesData[[#This Row],[Sales]]&gt;5000,"High",IF(SalesData[[#This Row],[Sales]]&gt;2000,"Medium","Low"))</f>
        <v>High</v>
      </c>
      <c r="U471" s="2" t="str">
        <f>IF(COUNTIFS(SalesData[Customer_ID],SalesData[[#This Row],[Customer_ID]])&gt;1,"Repeat","New")</f>
        <v>Repeat</v>
      </c>
      <c r="V471" s="2" t="str">
        <f>IF(SalesData[[#This Row],[Sales]]&gt;AVERAGE(SalesData[Sales]),"Above Avg","Below Avg")</f>
        <v>Below Avg</v>
      </c>
      <c r="W471" s="2" t="str">
        <f>IF(SalesData[[#This Row],[Profit]]&gt;0,"Profit","Loss")</f>
        <v>Loss</v>
      </c>
      <c r="X471" s="2">
        <f>RANK(SalesData[[#This Row],[Sales]],SalesData[Sales])</f>
        <v>218</v>
      </c>
    </row>
    <row r="472" spans="1:24" x14ac:dyDescent="0.3">
      <c r="A472">
        <v>471</v>
      </c>
      <c r="B472" s="1">
        <v>45762</v>
      </c>
      <c r="C472">
        <v>1071</v>
      </c>
      <c r="D472" t="s">
        <v>55</v>
      </c>
      <c r="E472" t="s">
        <v>24</v>
      </c>
      <c r="F472" t="s">
        <v>33</v>
      </c>
      <c r="G472" t="s">
        <v>34</v>
      </c>
      <c r="H472" t="s">
        <v>29</v>
      </c>
      <c r="I472">
        <v>4820</v>
      </c>
      <c r="J472">
        <v>8</v>
      </c>
      <c r="K472">
        <v>0.27</v>
      </c>
      <c r="L472">
        <v>148</v>
      </c>
      <c r="M472" t="s">
        <v>31</v>
      </c>
      <c r="N472">
        <v>28148.799999999999</v>
      </c>
      <c r="O472" t="str">
        <f>TEXT(SalesData[[#This Row],[Order_Date]],"mmm")</f>
        <v>Apr</v>
      </c>
      <c r="P472">
        <f>YEAR(SalesData[[#This Row],[Order_Date]])</f>
        <v>2025</v>
      </c>
      <c r="Q472" t="str">
        <f>"Q"&amp;ROUNDUP(MONTH(SalesData[[#This Row],[Order_Date]])/3,0)</f>
        <v>Q2</v>
      </c>
      <c r="R472" s="2">
        <f>IFERROR(SalesData[[#This Row],[Profit]]/SalesData[[#This Row],[Sales]],0)</f>
        <v>5.257772977888933E-3</v>
      </c>
      <c r="S472" s="2">
        <f>SalesData[[#This Row],[Price]]*SalesData[[#This Row],[Quantity]]*SalesData[[#This Row],[Discount]]</f>
        <v>10411.200000000001</v>
      </c>
      <c r="T472" s="2" t="str">
        <f>IF(SalesData[[#This Row],[Sales]]&gt;5000,"High",IF(SalesData[[#This Row],[Sales]]&gt;2000,"Medium","Low"))</f>
        <v>High</v>
      </c>
      <c r="U472" s="2" t="str">
        <f>IF(COUNTIFS(SalesData[Customer_ID],SalesData[[#This Row],[Customer_ID]])&gt;1,"Repeat","New")</f>
        <v>Repeat</v>
      </c>
      <c r="V472" s="2" t="str">
        <f>IF(SalesData[[#This Row],[Sales]]&gt;AVERAGE(SalesData[Sales]),"Above Avg","Below Avg")</f>
        <v>Above Avg</v>
      </c>
      <c r="W472" s="2" t="str">
        <f>IF(SalesData[[#This Row],[Profit]]&gt;0,"Profit","Loss")</f>
        <v>Profit</v>
      </c>
      <c r="X472" s="2">
        <f>RANK(SalesData[[#This Row],[Sales]],SalesData[Sales])</f>
        <v>28</v>
      </c>
    </row>
    <row r="473" spans="1:24" x14ac:dyDescent="0.3">
      <c r="A473">
        <v>472</v>
      </c>
      <c r="B473" s="1">
        <v>45763</v>
      </c>
      <c r="C473">
        <v>1081</v>
      </c>
      <c r="D473" t="s">
        <v>121</v>
      </c>
      <c r="E473" t="s">
        <v>24</v>
      </c>
      <c r="F473" t="s">
        <v>33</v>
      </c>
      <c r="G473" t="s">
        <v>34</v>
      </c>
      <c r="H473" t="s">
        <v>37</v>
      </c>
      <c r="I473">
        <v>2519</v>
      </c>
      <c r="J473">
        <v>8</v>
      </c>
      <c r="K473">
        <v>0.13</v>
      </c>
      <c r="L473">
        <v>1049</v>
      </c>
      <c r="M473" t="s">
        <v>31</v>
      </c>
      <c r="N473">
        <v>17532.240000000002</v>
      </c>
      <c r="O473" t="str">
        <f>TEXT(SalesData[[#This Row],[Order_Date]],"mmm")</f>
        <v>Apr</v>
      </c>
      <c r="P473">
        <f>YEAR(SalesData[[#This Row],[Order_Date]])</f>
        <v>2025</v>
      </c>
      <c r="Q473" t="str">
        <f>"Q"&amp;ROUNDUP(MONTH(SalesData[[#This Row],[Order_Date]])/3,0)</f>
        <v>Q2</v>
      </c>
      <c r="R473" s="2">
        <f>IFERROR(SalesData[[#This Row],[Profit]]/SalesData[[#This Row],[Sales]],0)</f>
        <v>5.9832628346406388E-2</v>
      </c>
      <c r="S473" s="2">
        <f>SalesData[[#This Row],[Price]]*SalesData[[#This Row],[Quantity]]*SalesData[[#This Row],[Discount]]</f>
        <v>2619.7600000000002</v>
      </c>
      <c r="T473" s="2" t="str">
        <f>IF(SalesData[[#This Row],[Sales]]&gt;5000,"High",IF(SalesData[[#This Row],[Sales]]&gt;2000,"Medium","Low"))</f>
        <v>High</v>
      </c>
      <c r="U473" s="2" t="str">
        <f>IF(COUNTIFS(SalesData[Customer_ID],SalesData[[#This Row],[Customer_ID]])&gt;1,"Repeat","New")</f>
        <v>Repeat</v>
      </c>
      <c r="V473" s="2" t="str">
        <f>IF(SalesData[[#This Row],[Sales]]&gt;AVERAGE(SalesData[Sales]),"Above Avg","Below Avg")</f>
        <v>Above Avg</v>
      </c>
      <c r="W473" s="2" t="str">
        <f>IF(SalesData[[#This Row],[Profit]]&gt;0,"Profit","Loss")</f>
        <v>Profit</v>
      </c>
      <c r="X473" s="2">
        <f>RANK(SalesData[[#This Row],[Sales]],SalesData[Sales])</f>
        <v>96</v>
      </c>
    </row>
    <row r="474" spans="1:24" x14ac:dyDescent="0.3">
      <c r="A474">
        <v>473</v>
      </c>
      <c r="B474" s="1">
        <v>45764</v>
      </c>
      <c r="C474">
        <v>1020</v>
      </c>
      <c r="D474" t="s">
        <v>214</v>
      </c>
      <c r="E474" t="s">
        <v>24</v>
      </c>
      <c r="F474" t="s">
        <v>33</v>
      </c>
      <c r="G474" t="s">
        <v>22</v>
      </c>
      <c r="H474" t="s">
        <v>29</v>
      </c>
      <c r="I474">
        <v>191</v>
      </c>
      <c r="J474">
        <v>2</v>
      </c>
      <c r="K474">
        <v>0.02</v>
      </c>
      <c r="L474">
        <v>453</v>
      </c>
      <c r="M474" t="s">
        <v>26</v>
      </c>
      <c r="N474">
        <v>374.36</v>
      </c>
      <c r="O474" t="str">
        <f>TEXT(SalesData[[#This Row],[Order_Date]],"mmm")</f>
        <v>Apr</v>
      </c>
      <c r="P474">
        <f>YEAR(SalesData[[#This Row],[Order_Date]])</f>
        <v>2025</v>
      </c>
      <c r="Q474" t="str">
        <f>"Q"&amp;ROUNDUP(MONTH(SalesData[[#This Row],[Order_Date]])/3,0)</f>
        <v>Q2</v>
      </c>
      <c r="R474" s="2">
        <f>IFERROR(SalesData[[#This Row],[Profit]]/SalesData[[#This Row],[Sales]],0)</f>
        <v>1.2100651779036222</v>
      </c>
      <c r="S474" s="2">
        <f>SalesData[[#This Row],[Price]]*SalesData[[#This Row],[Quantity]]*SalesData[[#This Row],[Discount]]</f>
        <v>7.6400000000000006</v>
      </c>
      <c r="T474" s="2" t="str">
        <f>IF(SalesData[[#This Row],[Sales]]&gt;5000,"High",IF(SalesData[[#This Row],[Sales]]&gt;2000,"Medium","Low"))</f>
        <v>Low</v>
      </c>
      <c r="U474" s="2" t="str">
        <f>IF(COUNTIFS(SalesData[Customer_ID],SalesData[[#This Row],[Customer_ID]])&gt;1,"Repeat","New")</f>
        <v>Repeat</v>
      </c>
      <c r="V474" s="2" t="str">
        <f>IF(SalesData[[#This Row],[Sales]]&gt;AVERAGE(SalesData[Sales]),"Above Avg","Below Avg")</f>
        <v>Below Avg</v>
      </c>
      <c r="W474" s="2" t="str">
        <f>IF(SalesData[[#This Row],[Profit]]&gt;0,"Profit","Loss")</f>
        <v>Profit</v>
      </c>
      <c r="X474" s="2">
        <f>RANK(SalesData[[#This Row],[Sales]],SalesData[Sales])</f>
        <v>496</v>
      </c>
    </row>
    <row r="475" spans="1:24" x14ac:dyDescent="0.3">
      <c r="A475">
        <v>474</v>
      </c>
      <c r="B475" s="1">
        <v>45765</v>
      </c>
      <c r="C475">
        <v>1012</v>
      </c>
      <c r="D475" t="s">
        <v>70</v>
      </c>
      <c r="E475" t="s">
        <v>24</v>
      </c>
      <c r="F475" t="s">
        <v>33</v>
      </c>
      <c r="G475" t="s">
        <v>34</v>
      </c>
      <c r="H475" t="s">
        <v>18</v>
      </c>
      <c r="I475">
        <v>958</v>
      </c>
      <c r="J475">
        <v>6</v>
      </c>
      <c r="K475">
        <v>0.19</v>
      </c>
      <c r="L475">
        <v>1374</v>
      </c>
      <c r="M475" t="s">
        <v>26</v>
      </c>
      <c r="N475">
        <v>4655.88</v>
      </c>
      <c r="O475" t="str">
        <f>TEXT(SalesData[[#This Row],[Order_Date]],"mmm")</f>
        <v>Apr</v>
      </c>
      <c r="P475">
        <f>YEAR(SalesData[[#This Row],[Order_Date]])</f>
        <v>2025</v>
      </c>
      <c r="Q475" t="str">
        <f>"Q"&amp;ROUNDUP(MONTH(SalesData[[#This Row],[Order_Date]])/3,0)</f>
        <v>Q2</v>
      </c>
      <c r="R475" s="2">
        <f>IFERROR(SalesData[[#This Row],[Profit]]/SalesData[[#This Row],[Sales]],0)</f>
        <v>0.2951106987293487</v>
      </c>
      <c r="S475" s="2">
        <f>SalesData[[#This Row],[Price]]*SalesData[[#This Row],[Quantity]]*SalesData[[#This Row],[Discount]]</f>
        <v>1092.1200000000001</v>
      </c>
      <c r="T475" s="2" t="str">
        <f>IF(SalesData[[#This Row],[Sales]]&gt;5000,"High",IF(SalesData[[#This Row],[Sales]]&gt;2000,"Medium","Low"))</f>
        <v>Medium</v>
      </c>
      <c r="U475" s="2" t="str">
        <f>IF(COUNTIFS(SalesData[Customer_ID],SalesData[[#This Row],[Customer_ID]])&gt;1,"Repeat","New")</f>
        <v>Repeat</v>
      </c>
      <c r="V475" s="2" t="str">
        <f>IF(SalesData[[#This Row],[Sales]]&gt;AVERAGE(SalesData[Sales]),"Above Avg","Below Avg")</f>
        <v>Below Avg</v>
      </c>
      <c r="W475" s="2" t="str">
        <f>IF(SalesData[[#This Row],[Profit]]&gt;0,"Profit","Loss")</f>
        <v>Profit</v>
      </c>
      <c r="X475" s="2">
        <f>RANK(SalesData[[#This Row],[Sales]],SalesData[Sales])</f>
        <v>333</v>
      </c>
    </row>
    <row r="476" spans="1:24" x14ac:dyDescent="0.3">
      <c r="A476">
        <v>475</v>
      </c>
      <c r="B476" s="1">
        <v>45766</v>
      </c>
      <c r="C476">
        <v>1026</v>
      </c>
      <c r="D476" t="s">
        <v>148</v>
      </c>
      <c r="E476" t="s">
        <v>24</v>
      </c>
      <c r="F476" t="s">
        <v>28</v>
      </c>
      <c r="G476" t="s">
        <v>22</v>
      </c>
      <c r="H476" t="s">
        <v>25</v>
      </c>
      <c r="I476">
        <v>4109</v>
      </c>
      <c r="J476">
        <v>5</v>
      </c>
      <c r="K476">
        <v>0.13</v>
      </c>
      <c r="L476">
        <v>630</v>
      </c>
      <c r="M476" t="s">
        <v>19</v>
      </c>
      <c r="N476">
        <v>17874.150000000001</v>
      </c>
      <c r="O476" t="str">
        <f>TEXT(SalesData[[#This Row],[Order_Date]],"mmm")</f>
        <v>Apr</v>
      </c>
      <c r="P476">
        <f>YEAR(SalesData[[#This Row],[Order_Date]])</f>
        <v>2025</v>
      </c>
      <c r="Q476" t="str">
        <f>"Q"&amp;ROUNDUP(MONTH(SalesData[[#This Row],[Order_Date]])/3,0)</f>
        <v>Q2</v>
      </c>
      <c r="R476" s="2">
        <f>IFERROR(SalesData[[#This Row],[Profit]]/SalesData[[#This Row],[Sales]],0)</f>
        <v>3.5246431298830989E-2</v>
      </c>
      <c r="S476" s="2">
        <f>SalesData[[#This Row],[Price]]*SalesData[[#This Row],[Quantity]]*SalesData[[#This Row],[Discount]]</f>
        <v>2670.85</v>
      </c>
      <c r="T476" s="2" t="str">
        <f>IF(SalesData[[#This Row],[Sales]]&gt;5000,"High",IF(SalesData[[#This Row],[Sales]]&gt;2000,"Medium","Low"))</f>
        <v>High</v>
      </c>
      <c r="U476" s="2" t="str">
        <f>IF(COUNTIFS(SalesData[Customer_ID],SalesData[[#This Row],[Customer_ID]])&gt;1,"Repeat","New")</f>
        <v>Repeat</v>
      </c>
      <c r="V476" s="2" t="str">
        <f>IF(SalesData[[#This Row],[Sales]]&gt;AVERAGE(SalesData[Sales]),"Above Avg","Below Avg")</f>
        <v>Above Avg</v>
      </c>
      <c r="W476" s="2" t="str">
        <f>IF(SalesData[[#This Row],[Profit]]&gt;0,"Profit","Loss")</f>
        <v>Profit</v>
      </c>
      <c r="X476" s="2">
        <f>RANK(SalesData[[#This Row],[Sales]],SalesData[Sales])</f>
        <v>92</v>
      </c>
    </row>
    <row r="477" spans="1:24" x14ac:dyDescent="0.3">
      <c r="A477">
        <v>476</v>
      </c>
      <c r="B477" s="1">
        <v>45767</v>
      </c>
      <c r="C477">
        <v>1061</v>
      </c>
      <c r="D477" t="s">
        <v>123</v>
      </c>
      <c r="E477" t="s">
        <v>24</v>
      </c>
      <c r="F477" t="s">
        <v>33</v>
      </c>
      <c r="G477" t="s">
        <v>22</v>
      </c>
      <c r="H477" t="s">
        <v>18</v>
      </c>
      <c r="I477">
        <v>911</v>
      </c>
      <c r="J477">
        <v>2</v>
      </c>
      <c r="K477">
        <v>0.01</v>
      </c>
      <c r="L477">
        <v>61</v>
      </c>
      <c r="M477" t="s">
        <v>19</v>
      </c>
      <c r="N477">
        <v>1803.78</v>
      </c>
      <c r="O477" t="str">
        <f>TEXT(SalesData[[#This Row],[Order_Date]],"mmm")</f>
        <v>Apr</v>
      </c>
      <c r="P477">
        <f>YEAR(SalesData[[#This Row],[Order_Date]])</f>
        <v>2025</v>
      </c>
      <c r="Q477" t="str">
        <f>"Q"&amp;ROUNDUP(MONTH(SalesData[[#This Row],[Order_Date]])/3,0)</f>
        <v>Q2</v>
      </c>
      <c r="R477" s="2">
        <f>IFERROR(SalesData[[#This Row],[Profit]]/SalesData[[#This Row],[Sales]],0)</f>
        <v>3.3817871359034919E-2</v>
      </c>
      <c r="S477" s="2">
        <f>SalesData[[#This Row],[Price]]*SalesData[[#This Row],[Quantity]]*SalesData[[#This Row],[Discount]]</f>
        <v>18.22</v>
      </c>
      <c r="T477" s="2" t="str">
        <f>IF(SalesData[[#This Row],[Sales]]&gt;5000,"High",IF(SalesData[[#This Row],[Sales]]&gt;2000,"Medium","Low"))</f>
        <v>Low</v>
      </c>
      <c r="U477" s="2" t="str">
        <f>IF(COUNTIFS(SalesData[Customer_ID],SalesData[[#This Row],[Customer_ID]])&gt;1,"Repeat","New")</f>
        <v>Repeat</v>
      </c>
      <c r="V477" s="2" t="str">
        <f>IF(SalesData[[#This Row],[Sales]]&gt;AVERAGE(SalesData[Sales]),"Above Avg","Below Avg")</f>
        <v>Below Avg</v>
      </c>
      <c r="W477" s="2" t="str">
        <f>IF(SalesData[[#This Row],[Profit]]&gt;0,"Profit","Loss")</f>
        <v>Profit</v>
      </c>
      <c r="X477" s="2">
        <f>RANK(SalesData[[#This Row],[Sales]],SalesData[Sales])</f>
        <v>440</v>
      </c>
    </row>
    <row r="478" spans="1:24" x14ac:dyDescent="0.3">
      <c r="A478">
        <v>477</v>
      </c>
      <c r="B478" s="1">
        <v>45768</v>
      </c>
      <c r="C478">
        <v>1039</v>
      </c>
      <c r="D478" t="s">
        <v>118</v>
      </c>
      <c r="E478" t="s">
        <v>15</v>
      </c>
      <c r="F478" t="s">
        <v>33</v>
      </c>
      <c r="G478" t="s">
        <v>34</v>
      </c>
      <c r="H478" t="s">
        <v>25</v>
      </c>
      <c r="I478">
        <v>1853</v>
      </c>
      <c r="J478">
        <v>1</v>
      </c>
      <c r="K478">
        <v>0.25</v>
      </c>
      <c r="L478">
        <v>1755</v>
      </c>
      <c r="M478" t="s">
        <v>31</v>
      </c>
      <c r="N478">
        <v>1389.75</v>
      </c>
      <c r="O478" t="str">
        <f>TEXT(SalesData[[#This Row],[Order_Date]],"mmm")</f>
        <v>Apr</v>
      </c>
      <c r="P478">
        <f>YEAR(SalesData[[#This Row],[Order_Date]])</f>
        <v>2025</v>
      </c>
      <c r="Q478" t="str">
        <f>"Q"&amp;ROUNDUP(MONTH(SalesData[[#This Row],[Order_Date]])/3,0)</f>
        <v>Q2</v>
      </c>
      <c r="R478" s="2">
        <f>IFERROR(SalesData[[#This Row],[Profit]]/SalesData[[#This Row],[Sales]],0)</f>
        <v>1.2628170534268754</v>
      </c>
      <c r="S478" s="2">
        <f>SalesData[[#This Row],[Price]]*SalesData[[#This Row],[Quantity]]*SalesData[[#This Row],[Discount]]</f>
        <v>463.25</v>
      </c>
      <c r="T478" s="2" t="str">
        <f>IF(SalesData[[#This Row],[Sales]]&gt;5000,"High",IF(SalesData[[#This Row],[Sales]]&gt;2000,"Medium","Low"))</f>
        <v>Low</v>
      </c>
      <c r="U478" s="2" t="str">
        <f>IF(COUNTIFS(SalesData[Customer_ID],SalesData[[#This Row],[Customer_ID]])&gt;1,"Repeat","New")</f>
        <v>Repeat</v>
      </c>
      <c r="V478" s="2" t="str">
        <f>IF(SalesData[[#This Row],[Sales]]&gt;AVERAGE(SalesData[Sales]),"Above Avg","Below Avg")</f>
        <v>Below Avg</v>
      </c>
      <c r="W478" s="2" t="str">
        <f>IF(SalesData[[#This Row],[Profit]]&gt;0,"Profit","Loss")</f>
        <v>Profit</v>
      </c>
      <c r="X478" s="2">
        <f>RANK(SalesData[[#This Row],[Sales]],SalesData[Sales])</f>
        <v>461</v>
      </c>
    </row>
    <row r="479" spans="1:24" x14ac:dyDescent="0.3">
      <c r="A479">
        <v>478</v>
      </c>
      <c r="B479" s="1">
        <v>45769</v>
      </c>
      <c r="C479">
        <v>1052</v>
      </c>
      <c r="D479" t="s">
        <v>98</v>
      </c>
      <c r="E479" t="s">
        <v>24</v>
      </c>
      <c r="F479" t="s">
        <v>28</v>
      </c>
      <c r="G479" t="s">
        <v>17</v>
      </c>
      <c r="H479" t="s">
        <v>37</v>
      </c>
      <c r="I479">
        <v>3861</v>
      </c>
      <c r="J479">
        <v>4</v>
      </c>
      <c r="K479">
        <v>0.16</v>
      </c>
      <c r="L479">
        <v>1739</v>
      </c>
      <c r="M479" t="s">
        <v>26</v>
      </c>
      <c r="N479">
        <v>12972.96</v>
      </c>
      <c r="O479" t="str">
        <f>TEXT(SalesData[[#This Row],[Order_Date]],"mmm")</f>
        <v>Apr</v>
      </c>
      <c r="P479">
        <f>YEAR(SalesData[[#This Row],[Order_Date]])</f>
        <v>2025</v>
      </c>
      <c r="Q479" t="str">
        <f>"Q"&amp;ROUNDUP(MONTH(SalesData[[#This Row],[Order_Date]])/3,0)</f>
        <v>Q2</v>
      </c>
      <c r="R479" s="2">
        <f>IFERROR(SalesData[[#This Row],[Profit]]/SalesData[[#This Row],[Sales]],0)</f>
        <v>0.1340480507147174</v>
      </c>
      <c r="S479" s="2">
        <f>SalesData[[#This Row],[Price]]*SalesData[[#This Row],[Quantity]]*SalesData[[#This Row],[Discount]]</f>
        <v>2471.04</v>
      </c>
      <c r="T479" s="2" t="str">
        <f>IF(SalesData[[#This Row],[Sales]]&gt;5000,"High",IF(SalesData[[#This Row],[Sales]]&gt;2000,"Medium","Low"))</f>
        <v>High</v>
      </c>
      <c r="U479" s="2" t="str">
        <f>IF(COUNTIFS(SalesData[Customer_ID],SalesData[[#This Row],[Customer_ID]])&gt;1,"Repeat","New")</f>
        <v>Repeat</v>
      </c>
      <c r="V479" s="2" t="str">
        <f>IF(SalesData[[#This Row],[Sales]]&gt;AVERAGE(SalesData[Sales]),"Above Avg","Below Avg")</f>
        <v>Above Avg</v>
      </c>
      <c r="W479" s="2" t="str">
        <f>IF(SalesData[[#This Row],[Profit]]&gt;0,"Profit","Loss")</f>
        <v>Profit</v>
      </c>
      <c r="X479" s="2">
        <f>RANK(SalesData[[#This Row],[Sales]],SalesData[Sales])</f>
        <v>159</v>
      </c>
    </row>
    <row r="480" spans="1:24" x14ac:dyDescent="0.3">
      <c r="A480">
        <v>479</v>
      </c>
      <c r="B480" s="1">
        <v>45770</v>
      </c>
      <c r="C480">
        <v>1079</v>
      </c>
      <c r="D480" t="s">
        <v>167</v>
      </c>
      <c r="E480" t="s">
        <v>24</v>
      </c>
      <c r="F480" t="s">
        <v>33</v>
      </c>
      <c r="G480" t="s">
        <v>17</v>
      </c>
      <c r="H480" t="s">
        <v>37</v>
      </c>
      <c r="I480">
        <v>3679</v>
      </c>
      <c r="J480">
        <v>6</v>
      </c>
      <c r="K480">
        <v>0.13</v>
      </c>
      <c r="L480">
        <v>1506</v>
      </c>
      <c r="M480" t="s">
        <v>31</v>
      </c>
      <c r="N480">
        <v>19204.38</v>
      </c>
      <c r="O480" t="str">
        <f>TEXT(SalesData[[#This Row],[Order_Date]],"mmm")</f>
        <v>Apr</v>
      </c>
      <c r="P480">
        <f>YEAR(SalesData[[#This Row],[Order_Date]])</f>
        <v>2025</v>
      </c>
      <c r="Q480" t="str">
        <f>"Q"&amp;ROUNDUP(MONTH(SalesData[[#This Row],[Order_Date]])/3,0)</f>
        <v>Q2</v>
      </c>
      <c r="R480" s="2">
        <f>IFERROR(SalesData[[#This Row],[Profit]]/SalesData[[#This Row],[Sales]],0)</f>
        <v>7.8419610526348674E-2</v>
      </c>
      <c r="S480" s="2">
        <f>SalesData[[#This Row],[Price]]*SalesData[[#This Row],[Quantity]]*SalesData[[#This Row],[Discount]]</f>
        <v>2869.62</v>
      </c>
      <c r="T480" s="2" t="str">
        <f>IF(SalesData[[#This Row],[Sales]]&gt;5000,"High",IF(SalesData[[#This Row],[Sales]]&gt;2000,"Medium","Low"))</f>
        <v>High</v>
      </c>
      <c r="U480" s="2" t="str">
        <f>IF(COUNTIFS(SalesData[Customer_ID],SalesData[[#This Row],[Customer_ID]])&gt;1,"Repeat","New")</f>
        <v>Repeat</v>
      </c>
      <c r="V480" s="2" t="str">
        <f>IF(SalesData[[#This Row],[Sales]]&gt;AVERAGE(SalesData[Sales]),"Above Avg","Below Avg")</f>
        <v>Above Avg</v>
      </c>
      <c r="W480" s="2" t="str">
        <f>IF(SalesData[[#This Row],[Profit]]&gt;0,"Profit","Loss")</f>
        <v>Profit</v>
      </c>
      <c r="X480" s="2">
        <f>RANK(SalesData[[#This Row],[Sales]],SalesData[Sales])</f>
        <v>84</v>
      </c>
    </row>
    <row r="481" spans="1:24" x14ac:dyDescent="0.3">
      <c r="A481">
        <v>480</v>
      </c>
      <c r="B481" s="1">
        <v>45771</v>
      </c>
      <c r="C481">
        <v>1039</v>
      </c>
      <c r="D481" t="s">
        <v>55</v>
      </c>
      <c r="E481" t="s">
        <v>15</v>
      </c>
      <c r="F481" t="s">
        <v>33</v>
      </c>
      <c r="G481" t="s">
        <v>17</v>
      </c>
      <c r="H481" t="s">
        <v>18</v>
      </c>
      <c r="I481">
        <v>1431</v>
      </c>
      <c r="J481">
        <v>9</v>
      </c>
      <c r="K481">
        <v>0.22</v>
      </c>
      <c r="L481">
        <v>822</v>
      </c>
      <c r="M481" t="s">
        <v>19</v>
      </c>
      <c r="N481">
        <v>10045.620000000001</v>
      </c>
      <c r="O481" t="str">
        <f>TEXT(SalesData[[#This Row],[Order_Date]],"mmm")</f>
        <v>Apr</v>
      </c>
      <c r="P481">
        <f>YEAR(SalesData[[#This Row],[Order_Date]])</f>
        <v>2025</v>
      </c>
      <c r="Q481" t="str">
        <f>"Q"&amp;ROUNDUP(MONTH(SalesData[[#This Row],[Order_Date]])/3,0)</f>
        <v>Q2</v>
      </c>
      <c r="R481" s="2">
        <f>IFERROR(SalesData[[#This Row],[Profit]]/SalesData[[#This Row],[Sales]],0)</f>
        <v>8.1826706564652046E-2</v>
      </c>
      <c r="S481" s="2">
        <f>SalesData[[#This Row],[Price]]*SalesData[[#This Row],[Quantity]]*SalesData[[#This Row],[Discount]]</f>
        <v>2833.38</v>
      </c>
      <c r="T481" s="2" t="str">
        <f>IF(SalesData[[#This Row],[Sales]]&gt;5000,"High",IF(SalesData[[#This Row],[Sales]]&gt;2000,"Medium","Low"))</f>
        <v>High</v>
      </c>
      <c r="U481" s="2" t="str">
        <f>IF(COUNTIFS(SalesData[Customer_ID],SalesData[[#This Row],[Customer_ID]])&gt;1,"Repeat","New")</f>
        <v>Repeat</v>
      </c>
      <c r="V481" s="2" t="str">
        <f>IF(SalesData[[#This Row],[Sales]]&gt;AVERAGE(SalesData[Sales]),"Above Avg","Below Avg")</f>
        <v>Below Avg</v>
      </c>
      <c r="W481" s="2" t="str">
        <f>IF(SalesData[[#This Row],[Profit]]&gt;0,"Profit","Loss")</f>
        <v>Profit</v>
      </c>
      <c r="X481" s="2">
        <f>RANK(SalesData[[#This Row],[Sales]],SalesData[Sales])</f>
        <v>200</v>
      </c>
    </row>
    <row r="482" spans="1:24" x14ac:dyDescent="0.3">
      <c r="A482">
        <v>481</v>
      </c>
      <c r="B482" s="1">
        <v>45772</v>
      </c>
      <c r="C482">
        <v>1008</v>
      </c>
      <c r="D482" t="s">
        <v>122</v>
      </c>
      <c r="E482" t="s">
        <v>15</v>
      </c>
      <c r="F482" t="s">
        <v>33</v>
      </c>
      <c r="G482" t="s">
        <v>34</v>
      </c>
      <c r="H482" t="s">
        <v>37</v>
      </c>
      <c r="I482">
        <v>2112</v>
      </c>
      <c r="J482">
        <v>9</v>
      </c>
      <c r="K482">
        <v>0.26</v>
      </c>
      <c r="L482">
        <v>645</v>
      </c>
      <c r="M482" t="s">
        <v>19</v>
      </c>
      <c r="N482">
        <v>14065.92</v>
      </c>
      <c r="O482" t="str">
        <f>TEXT(SalesData[[#This Row],[Order_Date]],"mmm")</f>
        <v>Apr</v>
      </c>
      <c r="P482">
        <f>YEAR(SalesData[[#This Row],[Order_Date]])</f>
        <v>2025</v>
      </c>
      <c r="Q482" t="str">
        <f>"Q"&amp;ROUNDUP(MONTH(SalesData[[#This Row],[Order_Date]])/3,0)</f>
        <v>Q2</v>
      </c>
      <c r="R482" s="2">
        <f>IFERROR(SalesData[[#This Row],[Profit]]/SalesData[[#This Row],[Sales]],0)</f>
        <v>4.5855514605514604E-2</v>
      </c>
      <c r="S482" s="2">
        <f>SalesData[[#This Row],[Price]]*SalesData[[#This Row],[Quantity]]*SalesData[[#This Row],[Discount]]</f>
        <v>4942.08</v>
      </c>
      <c r="T482" s="2" t="str">
        <f>IF(SalesData[[#This Row],[Sales]]&gt;5000,"High",IF(SalesData[[#This Row],[Sales]]&gt;2000,"Medium","Low"))</f>
        <v>High</v>
      </c>
      <c r="U482" s="2" t="str">
        <f>IF(COUNTIFS(SalesData[Customer_ID],SalesData[[#This Row],[Customer_ID]])&gt;1,"Repeat","New")</f>
        <v>Repeat</v>
      </c>
      <c r="V482" s="2" t="str">
        <f>IF(SalesData[[#This Row],[Sales]]&gt;AVERAGE(SalesData[Sales]),"Above Avg","Below Avg")</f>
        <v>Above Avg</v>
      </c>
      <c r="W482" s="2" t="str">
        <f>IF(SalesData[[#This Row],[Profit]]&gt;0,"Profit","Loss")</f>
        <v>Profit</v>
      </c>
      <c r="X482" s="2">
        <f>RANK(SalesData[[#This Row],[Sales]],SalesData[Sales])</f>
        <v>146</v>
      </c>
    </row>
    <row r="483" spans="1:24" x14ac:dyDescent="0.3">
      <c r="A483">
        <v>482</v>
      </c>
      <c r="B483" s="1">
        <v>45773</v>
      </c>
      <c r="C483">
        <v>1026</v>
      </c>
      <c r="D483" t="s">
        <v>128</v>
      </c>
      <c r="E483" t="s">
        <v>15</v>
      </c>
      <c r="F483" t="s">
        <v>28</v>
      </c>
      <c r="G483" t="s">
        <v>22</v>
      </c>
      <c r="H483" t="s">
        <v>25</v>
      </c>
      <c r="I483">
        <v>3792</v>
      </c>
      <c r="J483">
        <v>3</v>
      </c>
      <c r="K483">
        <v>0.28000000000000003</v>
      </c>
      <c r="L483">
        <v>1742</v>
      </c>
      <c r="M483" t="s">
        <v>26</v>
      </c>
      <c r="N483">
        <v>8190.7199999999903</v>
      </c>
      <c r="O483" t="str">
        <f>TEXT(SalesData[[#This Row],[Order_Date]],"mmm")</f>
        <v>Apr</v>
      </c>
      <c r="P483">
        <f>YEAR(SalesData[[#This Row],[Order_Date]])</f>
        <v>2025</v>
      </c>
      <c r="Q483" t="str">
        <f>"Q"&amp;ROUNDUP(MONTH(SalesData[[#This Row],[Order_Date]])/3,0)</f>
        <v>Q2</v>
      </c>
      <c r="R483" s="2">
        <f>IFERROR(SalesData[[#This Row],[Profit]]/SalesData[[#This Row],[Sales]],0)</f>
        <v>0.2126797155805597</v>
      </c>
      <c r="S483" s="2">
        <f>SalesData[[#This Row],[Price]]*SalesData[[#This Row],[Quantity]]*SalesData[[#This Row],[Discount]]</f>
        <v>3185.28</v>
      </c>
      <c r="T483" s="2" t="str">
        <f>IF(SalesData[[#This Row],[Sales]]&gt;5000,"High",IF(SalesData[[#This Row],[Sales]]&gt;2000,"Medium","Low"))</f>
        <v>High</v>
      </c>
      <c r="U483" s="2" t="str">
        <f>IF(COUNTIFS(SalesData[Customer_ID],SalesData[[#This Row],[Customer_ID]])&gt;1,"Repeat","New")</f>
        <v>Repeat</v>
      </c>
      <c r="V483" s="2" t="str">
        <f>IF(SalesData[[#This Row],[Sales]]&gt;AVERAGE(SalesData[Sales]),"Above Avg","Below Avg")</f>
        <v>Below Avg</v>
      </c>
      <c r="W483" s="2" t="str">
        <f>IF(SalesData[[#This Row],[Profit]]&gt;0,"Profit","Loss")</f>
        <v>Profit</v>
      </c>
      <c r="X483" s="2">
        <f>RANK(SalesData[[#This Row],[Sales]],SalesData[Sales])</f>
        <v>244</v>
      </c>
    </row>
    <row r="484" spans="1:24" x14ac:dyDescent="0.3">
      <c r="A484">
        <v>483</v>
      </c>
      <c r="B484" s="1">
        <v>45774</v>
      </c>
      <c r="C484">
        <v>1080</v>
      </c>
      <c r="D484" t="s">
        <v>215</v>
      </c>
      <c r="E484" t="s">
        <v>15</v>
      </c>
      <c r="F484" t="s">
        <v>21</v>
      </c>
      <c r="G484" t="s">
        <v>34</v>
      </c>
      <c r="H484" t="s">
        <v>37</v>
      </c>
      <c r="I484">
        <v>2486</v>
      </c>
      <c r="J484">
        <v>9</v>
      </c>
      <c r="K484">
        <v>0.1</v>
      </c>
      <c r="L484">
        <v>-143</v>
      </c>
      <c r="M484" t="s">
        <v>19</v>
      </c>
      <c r="N484">
        <v>20136.599999999999</v>
      </c>
      <c r="O484" t="str">
        <f>TEXT(SalesData[[#This Row],[Order_Date]],"mmm")</f>
        <v>Apr</v>
      </c>
      <c r="P484">
        <f>YEAR(SalesData[[#This Row],[Order_Date]])</f>
        <v>2025</v>
      </c>
      <c r="Q484" t="str">
        <f>"Q"&amp;ROUNDUP(MONTH(SalesData[[#This Row],[Order_Date]])/3,0)</f>
        <v>Q2</v>
      </c>
      <c r="R484" s="2">
        <f>IFERROR(SalesData[[#This Row],[Profit]]/SalesData[[#This Row],[Sales]],0)</f>
        <v>-7.1014967770130014E-3</v>
      </c>
      <c r="S484" s="2">
        <f>SalesData[[#This Row],[Price]]*SalesData[[#This Row],[Quantity]]*SalesData[[#This Row],[Discount]]</f>
        <v>2237.4</v>
      </c>
      <c r="T484" s="2" t="str">
        <f>IF(SalesData[[#This Row],[Sales]]&gt;5000,"High",IF(SalesData[[#This Row],[Sales]]&gt;2000,"Medium","Low"))</f>
        <v>High</v>
      </c>
      <c r="U484" s="2" t="str">
        <f>IF(COUNTIFS(SalesData[Customer_ID],SalesData[[#This Row],[Customer_ID]])&gt;1,"Repeat","New")</f>
        <v>Repeat</v>
      </c>
      <c r="V484" s="2" t="str">
        <f>IF(SalesData[[#This Row],[Sales]]&gt;AVERAGE(SalesData[Sales]),"Above Avg","Below Avg")</f>
        <v>Above Avg</v>
      </c>
      <c r="W484" s="2" t="str">
        <f>IF(SalesData[[#This Row],[Profit]]&gt;0,"Profit","Loss")</f>
        <v>Loss</v>
      </c>
      <c r="X484" s="2">
        <f>RANK(SalesData[[#This Row],[Sales]],SalesData[Sales])</f>
        <v>78</v>
      </c>
    </row>
    <row r="485" spans="1:24" x14ac:dyDescent="0.3">
      <c r="A485">
        <v>484</v>
      </c>
      <c r="B485" s="1">
        <v>45775</v>
      </c>
      <c r="C485">
        <v>1002</v>
      </c>
      <c r="D485" t="s">
        <v>136</v>
      </c>
      <c r="E485" t="s">
        <v>24</v>
      </c>
      <c r="F485" t="s">
        <v>21</v>
      </c>
      <c r="G485" t="s">
        <v>22</v>
      </c>
      <c r="H485" t="s">
        <v>25</v>
      </c>
      <c r="I485">
        <v>306</v>
      </c>
      <c r="J485">
        <v>6</v>
      </c>
      <c r="K485">
        <v>0.06</v>
      </c>
      <c r="L485">
        <v>-483</v>
      </c>
      <c r="M485" t="s">
        <v>26</v>
      </c>
      <c r="N485">
        <v>1725.84</v>
      </c>
      <c r="O485" t="str">
        <f>TEXT(SalesData[[#This Row],[Order_Date]],"mmm")</f>
        <v>Apr</v>
      </c>
      <c r="P485">
        <f>YEAR(SalesData[[#This Row],[Order_Date]])</f>
        <v>2025</v>
      </c>
      <c r="Q485" t="str">
        <f>"Q"&amp;ROUNDUP(MONTH(SalesData[[#This Row],[Order_Date]])/3,0)</f>
        <v>Q2</v>
      </c>
      <c r="R485" s="2">
        <f>IFERROR(SalesData[[#This Row],[Profit]]/SalesData[[#This Row],[Sales]],0)</f>
        <v>-0.27986371853706021</v>
      </c>
      <c r="S485" s="2">
        <f>SalesData[[#This Row],[Price]]*SalesData[[#This Row],[Quantity]]*SalesData[[#This Row],[Discount]]</f>
        <v>110.16</v>
      </c>
      <c r="T485" s="2" t="str">
        <f>IF(SalesData[[#This Row],[Sales]]&gt;5000,"High",IF(SalesData[[#This Row],[Sales]]&gt;2000,"Medium","Low"))</f>
        <v>Low</v>
      </c>
      <c r="U485" s="2" t="str">
        <f>IF(COUNTIFS(SalesData[Customer_ID],SalesData[[#This Row],[Customer_ID]])&gt;1,"Repeat","New")</f>
        <v>Repeat</v>
      </c>
      <c r="V485" s="2" t="str">
        <f>IF(SalesData[[#This Row],[Sales]]&gt;AVERAGE(SalesData[Sales]),"Above Avg","Below Avg")</f>
        <v>Below Avg</v>
      </c>
      <c r="W485" s="2" t="str">
        <f>IF(SalesData[[#This Row],[Profit]]&gt;0,"Profit","Loss")</f>
        <v>Loss</v>
      </c>
      <c r="X485" s="2">
        <f>RANK(SalesData[[#This Row],[Sales]],SalesData[Sales])</f>
        <v>445</v>
      </c>
    </row>
    <row r="486" spans="1:24" x14ac:dyDescent="0.3">
      <c r="A486">
        <v>485</v>
      </c>
      <c r="B486" s="1">
        <v>45776</v>
      </c>
      <c r="C486">
        <v>1055</v>
      </c>
      <c r="D486" t="s">
        <v>203</v>
      </c>
      <c r="E486" t="s">
        <v>15</v>
      </c>
      <c r="F486" t="s">
        <v>28</v>
      </c>
      <c r="G486" t="s">
        <v>17</v>
      </c>
      <c r="H486" t="s">
        <v>29</v>
      </c>
      <c r="I486">
        <v>3682</v>
      </c>
      <c r="J486">
        <v>8</v>
      </c>
      <c r="K486">
        <v>0.1</v>
      </c>
      <c r="L486">
        <v>1715</v>
      </c>
      <c r="M486" t="s">
        <v>26</v>
      </c>
      <c r="N486">
        <v>26510.400000000001</v>
      </c>
      <c r="O486" t="str">
        <f>TEXT(SalesData[[#This Row],[Order_Date]],"mmm")</f>
        <v>Apr</v>
      </c>
      <c r="P486">
        <f>YEAR(SalesData[[#This Row],[Order_Date]])</f>
        <v>2025</v>
      </c>
      <c r="Q486" t="str">
        <f>"Q"&amp;ROUNDUP(MONTH(SalesData[[#This Row],[Order_Date]])/3,0)</f>
        <v>Q2</v>
      </c>
      <c r="R486" s="2">
        <f>IFERROR(SalesData[[#This Row],[Profit]]/SalesData[[#This Row],[Sales]],0)</f>
        <v>6.4691592733417819E-2</v>
      </c>
      <c r="S486" s="2">
        <f>SalesData[[#This Row],[Price]]*SalesData[[#This Row],[Quantity]]*SalesData[[#This Row],[Discount]]</f>
        <v>2945.6000000000004</v>
      </c>
      <c r="T486" s="2" t="str">
        <f>IF(SalesData[[#This Row],[Sales]]&gt;5000,"High",IF(SalesData[[#This Row],[Sales]]&gt;2000,"Medium","Low"))</f>
        <v>High</v>
      </c>
      <c r="U486" s="2" t="str">
        <f>IF(COUNTIFS(SalesData[Customer_ID],SalesData[[#This Row],[Customer_ID]])&gt;1,"Repeat","New")</f>
        <v>Repeat</v>
      </c>
      <c r="V486" s="2" t="str">
        <f>IF(SalesData[[#This Row],[Sales]]&gt;AVERAGE(SalesData[Sales]),"Above Avg","Below Avg")</f>
        <v>Above Avg</v>
      </c>
      <c r="W486" s="2" t="str">
        <f>IF(SalesData[[#This Row],[Profit]]&gt;0,"Profit","Loss")</f>
        <v>Profit</v>
      </c>
      <c r="X486" s="2">
        <f>RANK(SalesData[[#This Row],[Sales]],SalesData[Sales])</f>
        <v>37</v>
      </c>
    </row>
    <row r="487" spans="1:24" x14ac:dyDescent="0.3">
      <c r="A487">
        <v>486</v>
      </c>
      <c r="B487" s="1">
        <v>45777</v>
      </c>
      <c r="C487">
        <v>1052</v>
      </c>
      <c r="D487" t="s">
        <v>187</v>
      </c>
      <c r="E487" t="s">
        <v>15</v>
      </c>
      <c r="F487" t="s">
        <v>21</v>
      </c>
      <c r="G487" t="s">
        <v>34</v>
      </c>
      <c r="H487" t="s">
        <v>37</v>
      </c>
      <c r="I487">
        <v>4317</v>
      </c>
      <c r="J487">
        <v>8</v>
      </c>
      <c r="K487">
        <v>0.28999999999999998</v>
      </c>
      <c r="L487">
        <v>227</v>
      </c>
      <c r="M487" t="s">
        <v>19</v>
      </c>
      <c r="N487">
        <v>24520.559999999899</v>
      </c>
      <c r="O487" t="str">
        <f>TEXT(SalesData[[#This Row],[Order_Date]],"mmm")</f>
        <v>Apr</v>
      </c>
      <c r="P487">
        <f>YEAR(SalesData[[#This Row],[Order_Date]])</f>
        <v>2025</v>
      </c>
      <c r="Q487" t="str">
        <f>"Q"&amp;ROUNDUP(MONTH(SalesData[[#This Row],[Order_Date]])/3,0)</f>
        <v>Q2</v>
      </c>
      <c r="R487" s="2">
        <f>IFERROR(SalesData[[#This Row],[Profit]]/SalesData[[#This Row],[Sales]],0)</f>
        <v>9.2575373482498332E-3</v>
      </c>
      <c r="S487" s="2">
        <f>SalesData[[#This Row],[Price]]*SalesData[[#This Row],[Quantity]]*SalesData[[#This Row],[Discount]]</f>
        <v>10015.439999999999</v>
      </c>
      <c r="T487" s="2" t="str">
        <f>IF(SalesData[[#This Row],[Sales]]&gt;5000,"High",IF(SalesData[[#This Row],[Sales]]&gt;2000,"Medium","Low"))</f>
        <v>High</v>
      </c>
      <c r="U487" s="2" t="str">
        <f>IF(COUNTIFS(SalesData[Customer_ID],SalesData[[#This Row],[Customer_ID]])&gt;1,"Repeat","New")</f>
        <v>Repeat</v>
      </c>
      <c r="V487" s="2" t="str">
        <f>IF(SalesData[[#This Row],[Sales]]&gt;AVERAGE(SalesData[Sales]),"Above Avg","Below Avg")</f>
        <v>Above Avg</v>
      </c>
      <c r="W487" s="2" t="str">
        <f>IF(SalesData[[#This Row],[Profit]]&gt;0,"Profit","Loss")</f>
        <v>Profit</v>
      </c>
      <c r="X487" s="2">
        <f>RANK(SalesData[[#This Row],[Sales]],SalesData[Sales])</f>
        <v>46</v>
      </c>
    </row>
    <row r="488" spans="1:24" x14ac:dyDescent="0.3">
      <c r="A488">
        <v>487</v>
      </c>
      <c r="B488" s="1">
        <v>45778</v>
      </c>
      <c r="C488">
        <v>1003</v>
      </c>
      <c r="D488" t="s">
        <v>83</v>
      </c>
      <c r="E488" t="s">
        <v>24</v>
      </c>
      <c r="F488" t="s">
        <v>21</v>
      </c>
      <c r="G488" t="s">
        <v>17</v>
      </c>
      <c r="H488" t="s">
        <v>25</v>
      </c>
      <c r="I488">
        <v>1839</v>
      </c>
      <c r="J488">
        <v>3</v>
      </c>
      <c r="K488">
        <v>0.03</v>
      </c>
      <c r="L488">
        <v>1247</v>
      </c>
      <c r="M488" t="s">
        <v>19</v>
      </c>
      <c r="N488">
        <v>5351.49</v>
      </c>
      <c r="O488" t="str">
        <f>TEXT(SalesData[[#This Row],[Order_Date]],"mmm")</f>
        <v>May</v>
      </c>
      <c r="P488">
        <f>YEAR(SalesData[[#This Row],[Order_Date]])</f>
        <v>2025</v>
      </c>
      <c r="Q488" t="str">
        <f>"Q"&amp;ROUNDUP(MONTH(SalesData[[#This Row],[Order_Date]])/3,0)</f>
        <v>Q2</v>
      </c>
      <c r="R488" s="2">
        <f>IFERROR(SalesData[[#This Row],[Profit]]/SalesData[[#This Row],[Sales]],0)</f>
        <v>0.23301921520922211</v>
      </c>
      <c r="S488" s="2">
        <f>SalesData[[#This Row],[Price]]*SalesData[[#This Row],[Quantity]]*SalesData[[#This Row],[Discount]]</f>
        <v>165.51</v>
      </c>
      <c r="T488" s="2" t="str">
        <f>IF(SalesData[[#This Row],[Sales]]&gt;5000,"High",IF(SalesData[[#This Row],[Sales]]&gt;2000,"Medium","Low"))</f>
        <v>High</v>
      </c>
      <c r="U488" s="2" t="str">
        <f>IF(COUNTIFS(SalesData[Customer_ID],SalesData[[#This Row],[Customer_ID]])&gt;1,"Repeat","New")</f>
        <v>Repeat</v>
      </c>
      <c r="V488" s="2" t="str">
        <f>IF(SalesData[[#This Row],[Sales]]&gt;AVERAGE(SalesData[Sales]),"Above Avg","Below Avg")</f>
        <v>Below Avg</v>
      </c>
      <c r="W488" s="2" t="str">
        <f>IF(SalesData[[#This Row],[Profit]]&gt;0,"Profit","Loss")</f>
        <v>Profit</v>
      </c>
      <c r="X488" s="2">
        <f>RANK(SalesData[[#This Row],[Sales]],SalesData[Sales])</f>
        <v>314</v>
      </c>
    </row>
    <row r="489" spans="1:24" x14ac:dyDescent="0.3">
      <c r="A489">
        <v>488</v>
      </c>
      <c r="B489" s="1">
        <v>45779</v>
      </c>
      <c r="C489">
        <v>1039</v>
      </c>
      <c r="D489" t="s">
        <v>107</v>
      </c>
      <c r="E489" t="s">
        <v>15</v>
      </c>
      <c r="F489" t="s">
        <v>28</v>
      </c>
      <c r="G489" t="s">
        <v>34</v>
      </c>
      <c r="H489" t="s">
        <v>18</v>
      </c>
      <c r="I489">
        <v>3996</v>
      </c>
      <c r="J489">
        <v>3</v>
      </c>
      <c r="K489">
        <v>0.28999999999999998</v>
      </c>
      <c r="L489">
        <v>56</v>
      </c>
      <c r="M489" t="s">
        <v>26</v>
      </c>
      <c r="N489">
        <v>8511.48</v>
      </c>
      <c r="O489" t="str">
        <f>TEXT(SalesData[[#This Row],[Order_Date]],"mmm")</f>
        <v>May</v>
      </c>
      <c r="P489">
        <f>YEAR(SalesData[[#This Row],[Order_Date]])</f>
        <v>2025</v>
      </c>
      <c r="Q489" t="str">
        <f>"Q"&amp;ROUNDUP(MONTH(SalesData[[#This Row],[Order_Date]])/3,0)</f>
        <v>Q2</v>
      </c>
      <c r="R489" s="2">
        <f>IFERROR(SalesData[[#This Row],[Profit]]/SalesData[[#This Row],[Sales]],0)</f>
        <v>6.5793493023539977E-3</v>
      </c>
      <c r="S489" s="2">
        <f>SalesData[[#This Row],[Price]]*SalesData[[#This Row],[Quantity]]*SalesData[[#This Row],[Discount]]</f>
        <v>3476.52</v>
      </c>
      <c r="T489" s="2" t="str">
        <f>IF(SalesData[[#This Row],[Sales]]&gt;5000,"High",IF(SalesData[[#This Row],[Sales]]&gt;2000,"Medium","Low"))</f>
        <v>High</v>
      </c>
      <c r="U489" s="2" t="str">
        <f>IF(COUNTIFS(SalesData[Customer_ID],SalesData[[#This Row],[Customer_ID]])&gt;1,"Repeat","New")</f>
        <v>Repeat</v>
      </c>
      <c r="V489" s="2" t="str">
        <f>IF(SalesData[[#This Row],[Sales]]&gt;AVERAGE(SalesData[Sales]),"Above Avg","Below Avg")</f>
        <v>Below Avg</v>
      </c>
      <c r="W489" s="2" t="str">
        <f>IF(SalesData[[#This Row],[Profit]]&gt;0,"Profit","Loss")</f>
        <v>Profit</v>
      </c>
      <c r="X489" s="2">
        <f>RANK(SalesData[[#This Row],[Sales]],SalesData[Sales])</f>
        <v>238</v>
      </c>
    </row>
    <row r="490" spans="1:24" x14ac:dyDescent="0.3">
      <c r="A490">
        <v>489</v>
      </c>
      <c r="B490" s="1">
        <v>45780</v>
      </c>
      <c r="C490">
        <v>1051</v>
      </c>
      <c r="D490" t="s">
        <v>205</v>
      </c>
      <c r="E490" t="s">
        <v>24</v>
      </c>
      <c r="F490" t="s">
        <v>16</v>
      </c>
      <c r="G490" t="s">
        <v>17</v>
      </c>
      <c r="H490" t="s">
        <v>37</v>
      </c>
      <c r="I490">
        <v>3116</v>
      </c>
      <c r="J490">
        <v>9</v>
      </c>
      <c r="K490">
        <v>0.19</v>
      </c>
      <c r="L490">
        <v>942</v>
      </c>
      <c r="M490" t="s">
        <v>31</v>
      </c>
      <c r="N490">
        <v>22715.64</v>
      </c>
      <c r="O490" t="str">
        <f>TEXT(SalesData[[#This Row],[Order_Date]],"mmm")</f>
        <v>May</v>
      </c>
      <c r="P490">
        <f>YEAR(SalesData[[#This Row],[Order_Date]])</f>
        <v>2025</v>
      </c>
      <c r="Q490" t="str">
        <f>"Q"&amp;ROUNDUP(MONTH(SalesData[[#This Row],[Order_Date]])/3,0)</f>
        <v>Q2</v>
      </c>
      <c r="R490" s="2">
        <f>IFERROR(SalesData[[#This Row],[Profit]]/SalesData[[#This Row],[Sales]],0)</f>
        <v>4.1469225608435425E-2</v>
      </c>
      <c r="S490" s="2">
        <f>SalesData[[#This Row],[Price]]*SalesData[[#This Row],[Quantity]]*SalesData[[#This Row],[Discount]]</f>
        <v>5328.36</v>
      </c>
      <c r="T490" s="2" t="str">
        <f>IF(SalesData[[#This Row],[Sales]]&gt;5000,"High",IF(SalesData[[#This Row],[Sales]]&gt;2000,"Medium","Low"))</f>
        <v>High</v>
      </c>
      <c r="U490" s="2" t="str">
        <f>IF(COUNTIFS(SalesData[Customer_ID],SalesData[[#This Row],[Customer_ID]])&gt;1,"Repeat","New")</f>
        <v>Repeat</v>
      </c>
      <c r="V490" s="2" t="str">
        <f>IF(SalesData[[#This Row],[Sales]]&gt;AVERAGE(SalesData[Sales]),"Above Avg","Below Avg")</f>
        <v>Above Avg</v>
      </c>
      <c r="W490" s="2" t="str">
        <f>IF(SalesData[[#This Row],[Profit]]&gt;0,"Profit","Loss")</f>
        <v>Profit</v>
      </c>
      <c r="X490" s="2">
        <f>RANK(SalesData[[#This Row],[Sales]],SalesData[Sales])</f>
        <v>61</v>
      </c>
    </row>
    <row r="491" spans="1:24" x14ac:dyDescent="0.3">
      <c r="A491">
        <v>490</v>
      </c>
      <c r="B491" s="1">
        <v>45781</v>
      </c>
      <c r="C491">
        <v>1055</v>
      </c>
      <c r="D491" t="s">
        <v>216</v>
      </c>
      <c r="E491" t="s">
        <v>15</v>
      </c>
      <c r="F491" t="s">
        <v>28</v>
      </c>
      <c r="G491" t="s">
        <v>34</v>
      </c>
      <c r="H491" t="s">
        <v>25</v>
      </c>
      <c r="I491">
        <v>2104</v>
      </c>
      <c r="J491">
        <v>3</v>
      </c>
      <c r="K491">
        <v>0</v>
      </c>
      <c r="L491">
        <v>1145</v>
      </c>
      <c r="M491" t="s">
        <v>19</v>
      </c>
      <c r="N491">
        <v>6312</v>
      </c>
      <c r="O491" t="str">
        <f>TEXT(SalesData[[#This Row],[Order_Date]],"mmm")</f>
        <v>May</v>
      </c>
      <c r="P491">
        <f>YEAR(SalesData[[#This Row],[Order_Date]])</f>
        <v>2025</v>
      </c>
      <c r="Q491" t="str">
        <f>"Q"&amp;ROUNDUP(MONTH(SalesData[[#This Row],[Order_Date]])/3,0)</f>
        <v>Q2</v>
      </c>
      <c r="R491" s="2">
        <f>IFERROR(SalesData[[#This Row],[Profit]]/SalesData[[#This Row],[Sales]],0)</f>
        <v>0.18140050697084917</v>
      </c>
      <c r="S491" s="2">
        <f>SalesData[[#This Row],[Price]]*SalesData[[#This Row],[Quantity]]*SalesData[[#This Row],[Discount]]</f>
        <v>0</v>
      </c>
      <c r="T491" s="2" t="str">
        <f>IF(SalesData[[#This Row],[Sales]]&gt;5000,"High",IF(SalesData[[#This Row],[Sales]]&gt;2000,"Medium","Low"))</f>
        <v>High</v>
      </c>
      <c r="U491" s="2" t="str">
        <f>IF(COUNTIFS(SalesData[Customer_ID],SalesData[[#This Row],[Customer_ID]])&gt;1,"Repeat","New")</f>
        <v>Repeat</v>
      </c>
      <c r="V491" s="2" t="str">
        <f>IF(SalesData[[#This Row],[Sales]]&gt;AVERAGE(SalesData[Sales]),"Above Avg","Below Avg")</f>
        <v>Below Avg</v>
      </c>
      <c r="W491" s="2" t="str">
        <f>IF(SalesData[[#This Row],[Profit]]&gt;0,"Profit","Loss")</f>
        <v>Profit</v>
      </c>
      <c r="X491" s="2">
        <f>RANK(SalesData[[#This Row],[Sales]],SalesData[Sales])</f>
        <v>289</v>
      </c>
    </row>
    <row r="492" spans="1:24" x14ac:dyDescent="0.3">
      <c r="A492">
        <v>491</v>
      </c>
      <c r="B492" s="1">
        <v>45782</v>
      </c>
      <c r="C492">
        <v>1064</v>
      </c>
      <c r="D492" t="s">
        <v>188</v>
      </c>
      <c r="E492" t="s">
        <v>24</v>
      </c>
      <c r="F492" t="s">
        <v>21</v>
      </c>
      <c r="G492" t="s">
        <v>22</v>
      </c>
      <c r="H492" t="s">
        <v>29</v>
      </c>
      <c r="I492">
        <v>1692</v>
      </c>
      <c r="J492">
        <v>4</v>
      </c>
      <c r="K492">
        <v>0.26</v>
      </c>
      <c r="L492">
        <v>-81</v>
      </c>
      <c r="M492" t="s">
        <v>31</v>
      </c>
      <c r="N492">
        <v>5008.32</v>
      </c>
      <c r="O492" t="str">
        <f>TEXT(SalesData[[#This Row],[Order_Date]],"mmm")</f>
        <v>May</v>
      </c>
      <c r="P492">
        <f>YEAR(SalesData[[#This Row],[Order_Date]])</f>
        <v>2025</v>
      </c>
      <c r="Q492" t="str">
        <f>"Q"&amp;ROUNDUP(MONTH(SalesData[[#This Row],[Order_Date]])/3,0)</f>
        <v>Q2</v>
      </c>
      <c r="R492" s="2">
        <f>IFERROR(SalesData[[#This Row],[Profit]]/SalesData[[#This Row],[Sales]],0)</f>
        <v>-1.6173087981598621E-2</v>
      </c>
      <c r="S492" s="2">
        <f>SalesData[[#This Row],[Price]]*SalesData[[#This Row],[Quantity]]*SalesData[[#This Row],[Discount]]</f>
        <v>1759.68</v>
      </c>
      <c r="T492" s="2" t="str">
        <f>IF(SalesData[[#This Row],[Sales]]&gt;5000,"High",IF(SalesData[[#This Row],[Sales]]&gt;2000,"Medium","Low"))</f>
        <v>High</v>
      </c>
      <c r="U492" s="2" t="str">
        <f>IF(COUNTIFS(SalesData[Customer_ID],SalesData[[#This Row],[Customer_ID]])&gt;1,"Repeat","New")</f>
        <v>Repeat</v>
      </c>
      <c r="V492" s="2" t="str">
        <f>IF(SalesData[[#This Row],[Sales]]&gt;AVERAGE(SalesData[Sales]),"Above Avg","Below Avg")</f>
        <v>Below Avg</v>
      </c>
      <c r="W492" s="2" t="str">
        <f>IF(SalesData[[#This Row],[Profit]]&gt;0,"Profit","Loss")</f>
        <v>Loss</v>
      </c>
      <c r="X492" s="2">
        <f>RANK(SalesData[[#This Row],[Sales]],SalesData[Sales])</f>
        <v>323</v>
      </c>
    </row>
    <row r="493" spans="1:24" x14ac:dyDescent="0.3">
      <c r="A493">
        <v>492</v>
      </c>
      <c r="B493" s="1">
        <v>45783</v>
      </c>
      <c r="C493">
        <v>1077</v>
      </c>
      <c r="D493" t="s">
        <v>154</v>
      </c>
      <c r="E493" t="s">
        <v>15</v>
      </c>
      <c r="F493" t="s">
        <v>21</v>
      </c>
      <c r="G493" t="s">
        <v>22</v>
      </c>
      <c r="H493" t="s">
        <v>29</v>
      </c>
      <c r="I493">
        <v>2103</v>
      </c>
      <c r="J493">
        <v>7</v>
      </c>
      <c r="K493">
        <v>0.2</v>
      </c>
      <c r="L493">
        <v>439</v>
      </c>
      <c r="M493" t="s">
        <v>31</v>
      </c>
      <c r="N493">
        <v>11776.8</v>
      </c>
      <c r="O493" t="str">
        <f>TEXT(SalesData[[#This Row],[Order_Date]],"mmm")</f>
        <v>May</v>
      </c>
      <c r="P493">
        <f>YEAR(SalesData[[#This Row],[Order_Date]])</f>
        <v>2025</v>
      </c>
      <c r="Q493" t="str">
        <f>"Q"&amp;ROUNDUP(MONTH(SalesData[[#This Row],[Order_Date]])/3,0)</f>
        <v>Q2</v>
      </c>
      <c r="R493" s="2">
        <f>IFERROR(SalesData[[#This Row],[Profit]]/SalesData[[#This Row],[Sales]],0)</f>
        <v>3.7276679573398551E-2</v>
      </c>
      <c r="S493" s="2">
        <f>SalesData[[#This Row],[Price]]*SalesData[[#This Row],[Quantity]]*SalesData[[#This Row],[Discount]]</f>
        <v>2944.2000000000003</v>
      </c>
      <c r="T493" s="2" t="str">
        <f>IF(SalesData[[#This Row],[Sales]]&gt;5000,"High",IF(SalesData[[#This Row],[Sales]]&gt;2000,"Medium","Low"))</f>
        <v>High</v>
      </c>
      <c r="U493" s="2" t="str">
        <f>IF(COUNTIFS(SalesData[Customer_ID],SalesData[[#This Row],[Customer_ID]])&gt;1,"Repeat","New")</f>
        <v>Repeat</v>
      </c>
      <c r="V493" s="2" t="str">
        <f>IF(SalesData[[#This Row],[Sales]]&gt;AVERAGE(SalesData[Sales]),"Above Avg","Below Avg")</f>
        <v>Above Avg</v>
      </c>
      <c r="W493" s="2" t="str">
        <f>IF(SalesData[[#This Row],[Profit]]&gt;0,"Profit","Loss")</f>
        <v>Profit</v>
      </c>
      <c r="X493" s="2">
        <f>RANK(SalesData[[#This Row],[Sales]],SalesData[Sales])</f>
        <v>173</v>
      </c>
    </row>
    <row r="494" spans="1:24" x14ac:dyDescent="0.3">
      <c r="A494">
        <v>493</v>
      </c>
      <c r="B494" s="1">
        <v>45784</v>
      </c>
      <c r="C494">
        <v>1071</v>
      </c>
      <c r="D494" t="s">
        <v>193</v>
      </c>
      <c r="E494" t="s">
        <v>24</v>
      </c>
      <c r="F494" t="s">
        <v>33</v>
      </c>
      <c r="G494" t="s">
        <v>17</v>
      </c>
      <c r="H494" t="s">
        <v>37</v>
      </c>
      <c r="I494">
        <v>3019</v>
      </c>
      <c r="J494">
        <v>9</v>
      </c>
      <c r="K494">
        <v>0.04</v>
      </c>
      <c r="L494">
        <v>660</v>
      </c>
      <c r="M494" t="s">
        <v>31</v>
      </c>
      <c r="N494">
        <v>26084.16</v>
      </c>
      <c r="O494" t="str">
        <f>TEXT(SalesData[[#This Row],[Order_Date]],"mmm")</f>
        <v>May</v>
      </c>
      <c r="P494">
        <f>YEAR(SalesData[[#This Row],[Order_Date]])</f>
        <v>2025</v>
      </c>
      <c r="Q494" t="str">
        <f>"Q"&amp;ROUNDUP(MONTH(SalesData[[#This Row],[Order_Date]])/3,0)</f>
        <v>Q2</v>
      </c>
      <c r="R494" s="2">
        <f>IFERROR(SalesData[[#This Row],[Profit]]/SalesData[[#This Row],[Sales]],0)</f>
        <v>2.5302712450774725E-2</v>
      </c>
      <c r="S494" s="2">
        <f>SalesData[[#This Row],[Price]]*SalesData[[#This Row],[Quantity]]*SalesData[[#This Row],[Discount]]</f>
        <v>1086.8399999999999</v>
      </c>
      <c r="T494" s="2" t="str">
        <f>IF(SalesData[[#This Row],[Sales]]&gt;5000,"High",IF(SalesData[[#This Row],[Sales]]&gt;2000,"Medium","Low"))</f>
        <v>High</v>
      </c>
      <c r="U494" s="2" t="str">
        <f>IF(COUNTIFS(SalesData[Customer_ID],SalesData[[#This Row],[Customer_ID]])&gt;1,"Repeat","New")</f>
        <v>Repeat</v>
      </c>
      <c r="V494" s="2" t="str">
        <f>IF(SalesData[[#This Row],[Sales]]&gt;AVERAGE(SalesData[Sales]),"Above Avg","Below Avg")</f>
        <v>Above Avg</v>
      </c>
      <c r="W494" s="2" t="str">
        <f>IF(SalesData[[#This Row],[Profit]]&gt;0,"Profit","Loss")</f>
        <v>Profit</v>
      </c>
      <c r="X494" s="2">
        <f>RANK(SalesData[[#This Row],[Sales]],SalesData[Sales])</f>
        <v>39</v>
      </c>
    </row>
    <row r="495" spans="1:24" x14ac:dyDescent="0.3">
      <c r="A495">
        <v>494</v>
      </c>
      <c r="B495" s="1">
        <v>45785</v>
      </c>
      <c r="C495">
        <v>1070</v>
      </c>
      <c r="D495" t="s">
        <v>172</v>
      </c>
      <c r="E495" t="s">
        <v>15</v>
      </c>
      <c r="F495" t="s">
        <v>16</v>
      </c>
      <c r="G495" t="s">
        <v>22</v>
      </c>
      <c r="H495" t="s">
        <v>25</v>
      </c>
      <c r="I495">
        <v>208</v>
      </c>
      <c r="J495">
        <v>3</v>
      </c>
      <c r="K495">
        <v>0.1</v>
      </c>
      <c r="L495">
        <v>1549</v>
      </c>
      <c r="M495" t="s">
        <v>26</v>
      </c>
      <c r="N495">
        <v>561.6</v>
      </c>
      <c r="O495" t="str">
        <f>TEXT(SalesData[[#This Row],[Order_Date]],"mmm")</f>
        <v>May</v>
      </c>
      <c r="P495">
        <f>YEAR(SalesData[[#This Row],[Order_Date]])</f>
        <v>2025</v>
      </c>
      <c r="Q495" t="str">
        <f>"Q"&amp;ROUNDUP(MONTH(SalesData[[#This Row],[Order_Date]])/3,0)</f>
        <v>Q2</v>
      </c>
      <c r="R495" s="2">
        <f>IFERROR(SalesData[[#This Row],[Profit]]/SalesData[[#This Row],[Sales]],0)</f>
        <v>2.758190883190883</v>
      </c>
      <c r="S495" s="2">
        <f>SalesData[[#This Row],[Price]]*SalesData[[#This Row],[Quantity]]*SalesData[[#This Row],[Discount]]</f>
        <v>62.400000000000006</v>
      </c>
      <c r="T495" s="2" t="str">
        <f>IF(SalesData[[#This Row],[Sales]]&gt;5000,"High",IF(SalesData[[#This Row],[Sales]]&gt;2000,"Medium","Low"))</f>
        <v>Low</v>
      </c>
      <c r="U495" s="2" t="str">
        <f>IF(COUNTIFS(SalesData[Customer_ID],SalesData[[#This Row],[Customer_ID]])&gt;1,"Repeat","New")</f>
        <v>Repeat</v>
      </c>
      <c r="V495" s="2" t="str">
        <f>IF(SalesData[[#This Row],[Sales]]&gt;AVERAGE(SalesData[Sales]),"Above Avg","Below Avg")</f>
        <v>Below Avg</v>
      </c>
      <c r="W495" s="2" t="str">
        <f>IF(SalesData[[#This Row],[Profit]]&gt;0,"Profit","Loss")</f>
        <v>Profit</v>
      </c>
      <c r="X495" s="2">
        <f>RANK(SalesData[[#This Row],[Sales]],SalesData[Sales])</f>
        <v>489</v>
      </c>
    </row>
    <row r="496" spans="1:24" x14ac:dyDescent="0.3">
      <c r="A496">
        <v>495</v>
      </c>
      <c r="B496" s="1">
        <v>45786</v>
      </c>
      <c r="C496">
        <v>1029</v>
      </c>
      <c r="D496" t="s">
        <v>194</v>
      </c>
      <c r="E496" t="s">
        <v>24</v>
      </c>
      <c r="F496" t="s">
        <v>21</v>
      </c>
      <c r="G496" t="s">
        <v>34</v>
      </c>
      <c r="H496" t="s">
        <v>29</v>
      </c>
      <c r="I496">
        <v>3081</v>
      </c>
      <c r="J496">
        <v>1</v>
      </c>
      <c r="K496">
        <v>0.26</v>
      </c>
      <c r="L496">
        <v>606</v>
      </c>
      <c r="M496" t="s">
        <v>26</v>
      </c>
      <c r="N496">
        <v>2279.94</v>
      </c>
      <c r="O496" t="str">
        <f>TEXT(SalesData[[#This Row],[Order_Date]],"mmm")</f>
        <v>May</v>
      </c>
      <c r="P496">
        <f>YEAR(SalesData[[#This Row],[Order_Date]])</f>
        <v>2025</v>
      </c>
      <c r="Q496" t="str">
        <f>"Q"&amp;ROUNDUP(MONTH(SalesData[[#This Row],[Order_Date]])/3,0)</f>
        <v>Q2</v>
      </c>
      <c r="R496" s="2">
        <f>IFERROR(SalesData[[#This Row],[Profit]]/SalesData[[#This Row],[Sales]],0)</f>
        <v>0.26579646832811388</v>
      </c>
      <c r="S496" s="2">
        <f>SalesData[[#This Row],[Price]]*SalesData[[#This Row],[Quantity]]*SalesData[[#This Row],[Discount]]</f>
        <v>801.06000000000006</v>
      </c>
      <c r="T496" s="2" t="str">
        <f>IF(SalesData[[#This Row],[Sales]]&gt;5000,"High",IF(SalesData[[#This Row],[Sales]]&gt;2000,"Medium","Low"))</f>
        <v>Medium</v>
      </c>
      <c r="U496" s="2" t="str">
        <f>IF(COUNTIFS(SalesData[Customer_ID],SalesData[[#This Row],[Customer_ID]])&gt;1,"Repeat","New")</f>
        <v>Repeat</v>
      </c>
      <c r="V496" s="2" t="str">
        <f>IF(SalesData[[#This Row],[Sales]]&gt;AVERAGE(SalesData[Sales]),"Above Avg","Below Avg")</f>
        <v>Below Avg</v>
      </c>
      <c r="W496" s="2" t="str">
        <f>IF(SalesData[[#This Row],[Profit]]&gt;0,"Profit","Loss")</f>
        <v>Profit</v>
      </c>
      <c r="X496" s="2">
        <f>RANK(SalesData[[#This Row],[Sales]],SalesData[Sales])</f>
        <v>416</v>
      </c>
    </row>
    <row r="497" spans="1:24" x14ac:dyDescent="0.3">
      <c r="A497">
        <v>496</v>
      </c>
      <c r="B497" s="1">
        <v>45787</v>
      </c>
      <c r="C497">
        <v>1024</v>
      </c>
      <c r="D497" t="s">
        <v>97</v>
      </c>
      <c r="E497" t="s">
        <v>15</v>
      </c>
      <c r="F497" t="s">
        <v>33</v>
      </c>
      <c r="G497" t="s">
        <v>22</v>
      </c>
      <c r="H497" t="s">
        <v>18</v>
      </c>
      <c r="I497">
        <v>2595</v>
      </c>
      <c r="J497">
        <v>2</v>
      </c>
      <c r="K497">
        <v>0.22</v>
      </c>
      <c r="L497">
        <v>1965</v>
      </c>
      <c r="M497" t="s">
        <v>26</v>
      </c>
      <c r="N497">
        <v>4048.2</v>
      </c>
      <c r="O497" t="str">
        <f>TEXT(SalesData[[#This Row],[Order_Date]],"mmm")</f>
        <v>May</v>
      </c>
      <c r="P497">
        <f>YEAR(SalesData[[#This Row],[Order_Date]])</f>
        <v>2025</v>
      </c>
      <c r="Q497" t="str">
        <f>"Q"&amp;ROUNDUP(MONTH(SalesData[[#This Row],[Order_Date]])/3,0)</f>
        <v>Q2</v>
      </c>
      <c r="R497" s="2">
        <f>IFERROR(SalesData[[#This Row],[Profit]]/SalesData[[#This Row],[Sales]],0)</f>
        <v>0.48540091892693049</v>
      </c>
      <c r="S497" s="2">
        <f>SalesData[[#This Row],[Price]]*SalesData[[#This Row],[Quantity]]*SalesData[[#This Row],[Discount]]</f>
        <v>1141.8</v>
      </c>
      <c r="T497" s="2" t="str">
        <f>IF(SalesData[[#This Row],[Sales]]&gt;5000,"High",IF(SalesData[[#This Row],[Sales]]&gt;2000,"Medium","Low"))</f>
        <v>Medium</v>
      </c>
      <c r="U497" s="2" t="str">
        <f>IF(COUNTIFS(SalesData[Customer_ID],SalesData[[#This Row],[Customer_ID]])&gt;1,"Repeat","New")</f>
        <v>Repeat</v>
      </c>
      <c r="V497" s="2" t="str">
        <f>IF(SalesData[[#This Row],[Sales]]&gt;AVERAGE(SalesData[Sales]),"Above Avg","Below Avg")</f>
        <v>Below Avg</v>
      </c>
      <c r="W497" s="2" t="str">
        <f>IF(SalesData[[#This Row],[Profit]]&gt;0,"Profit","Loss")</f>
        <v>Profit</v>
      </c>
      <c r="X497" s="2">
        <f>RANK(SalesData[[#This Row],[Sales]],SalesData[Sales])</f>
        <v>352</v>
      </c>
    </row>
    <row r="498" spans="1:24" x14ac:dyDescent="0.3">
      <c r="A498">
        <v>497</v>
      </c>
      <c r="B498" s="1">
        <v>45788</v>
      </c>
      <c r="C498">
        <v>1038</v>
      </c>
      <c r="D498" t="s">
        <v>66</v>
      </c>
      <c r="E498" t="s">
        <v>24</v>
      </c>
      <c r="F498" t="s">
        <v>16</v>
      </c>
      <c r="G498" t="s">
        <v>17</v>
      </c>
      <c r="H498" t="s">
        <v>18</v>
      </c>
      <c r="I498">
        <v>1791</v>
      </c>
      <c r="J498">
        <v>4</v>
      </c>
      <c r="K498">
        <v>0.1</v>
      </c>
      <c r="L498">
        <v>-437</v>
      </c>
      <c r="M498" t="s">
        <v>19</v>
      </c>
      <c r="N498">
        <v>6447.6</v>
      </c>
      <c r="O498" t="str">
        <f>TEXT(SalesData[[#This Row],[Order_Date]],"mmm")</f>
        <v>May</v>
      </c>
      <c r="P498">
        <f>YEAR(SalesData[[#This Row],[Order_Date]])</f>
        <v>2025</v>
      </c>
      <c r="Q498" t="str">
        <f>"Q"&amp;ROUNDUP(MONTH(SalesData[[#This Row],[Order_Date]])/3,0)</f>
        <v>Q2</v>
      </c>
      <c r="R498" s="2">
        <f>IFERROR(SalesData[[#This Row],[Profit]]/SalesData[[#This Row],[Sales]],0)</f>
        <v>-6.7777157391897755E-2</v>
      </c>
      <c r="S498" s="2">
        <f>SalesData[[#This Row],[Price]]*SalesData[[#This Row],[Quantity]]*SalesData[[#This Row],[Discount]]</f>
        <v>716.40000000000009</v>
      </c>
      <c r="T498" s="2" t="str">
        <f>IF(SalesData[[#This Row],[Sales]]&gt;5000,"High",IF(SalesData[[#This Row],[Sales]]&gt;2000,"Medium","Low"))</f>
        <v>High</v>
      </c>
      <c r="U498" s="2" t="str">
        <f>IF(COUNTIFS(SalesData[Customer_ID],SalesData[[#This Row],[Customer_ID]])&gt;1,"Repeat","New")</f>
        <v>Repeat</v>
      </c>
      <c r="V498" s="2" t="str">
        <f>IF(SalesData[[#This Row],[Sales]]&gt;AVERAGE(SalesData[Sales]),"Above Avg","Below Avg")</f>
        <v>Below Avg</v>
      </c>
      <c r="W498" s="2" t="str">
        <f>IF(SalesData[[#This Row],[Profit]]&gt;0,"Profit","Loss")</f>
        <v>Loss</v>
      </c>
      <c r="X498" s="2">
        <f>RANK(SalesData[[#This Row],[Sales]],SalesData[Sales])</f>
        <v>286</v>
      </c>
    </row>
    <row r="499" spans="1:24" x14ac:dyDescent="0.3">
      <c r="A499">
        <v>498</v>
      </c>
      <c r="B499" s="1">
        <v>45789</v>
      </c>
      <c r="C499">
        <v>1079</v>
      </c>
      <c r="D499" t="s">
        <v>217</v>
      </c>
      <c r="E499" t="s">
        <v>15</v>
      </c>
      <c r="F499" t="s">
        <v>21</v>
      </c>
      <c r="G499" t="s">
        <v>17</v>
      </c>
      <c r="H499" t="s">
        <v>25</v>
      </c>
      <c r="I499">
        <v>4085</v>
      </c>
      <c r="J499">
        <v>7</v>
      </c>
      <c r="K499">
        <v>0.24</v>
      </c>
      <c r="L499">
        <v>1108</v>
      </c>
      <c r="M499" t="s">
        <v>19</v>
      </c>
      <c r="N499">
        <v>21732.2</v>
      </c>
      <c r="O499" t="str">
        <f>TEXT(SalesData[[#This Row],[Order_Date]],"mmm")</f>
        <v>May</v>
      </c>
      <c r="P499">
        <f>YEAR(SalesData[[#This Row],[Order_Date]])</f>
        <v>2025</v>
      </c>
      <c r="Q499" t="str">
        <f>"Q"&amp;ROUNDUP(MONTH(SalesData[[#This Row],[Order_Date]])/3,0)</f>
        <v>Q2</v>
      </c>
      <c r="R499" s="2">
        <f>IFERROR(SalesData[[#This Row],[Profit]]/SalesData[[#This Row],[Sales]],0)</f>
        <v>5.0984253780105099E-2</v>
      </c>
      <c r="S499" s="2">
        <f>SalesData[[#This Row],[Price]]*SalesData[[#This Row],[Quantity]]*SalesData[[#This Row],[Discount]]</f>
        <v>6862.8</v>
      </c>
      <c r="T499" s="2" t="str">
        <f>IF(SalesData[[#This Row],[Sales]]&gt;5000,"High",IF(SalesData[[#This Row],[Sales]]&gt;2000,"Medium","Low"))</f>
        <v>High</v>
      </c>
      <c r="U499" s="2" t="str">
        <f>IF(COUNTIFS(SalesData[Customer_ID],SalesData[[#This Row],[Customer_ID]])&gt;1,"Repeat","New")</f>
        <v>Repeat</v>
      </c>
      <c r="V499" s="2" t="str">
        <f>IF(SalesData[[#This Row],[Sales]]&gt;AVERAGE(SalesData[Sales]),"Above Avg","Below Avg")</f>
        <v>Above Avg</v>
      </c>
      <c r="W499" s="2" t="str">
        <f>IF(SalesData[[#This Row],[Profit]]&gt;0,"Profit","Loss")</f>
        <v>Profit</v>
      </c>
      <c r="X499" s="2">
        <f>RANK(SalesData[[#This Row],[Sales]],SalesData[Sales])</f>
        <v>70</v>
      </c>
    </row>
    <row r="500" spans="1:24" x14ac:dyDescent="0.3">
      <c r="A500">
        <v>499</v>
      </c>
      <c r="B500" s="1">
        <v>45790</v>
      </c>
      <c r="C500">
        <v>1074</v>
      </c>
      <c r="D500" t="s">
        <v>80</v>
      </c>
      <c r="E500" t="s">
        <v>24</v>
      </c>
      <c r="F500" t="s">
        <v>16</v>
      </c>
      <c r="G500" t="s">
        <v>17</v>
      </c>
      <c r="H500" t="s">
        <v>18</v>
      </c>
      <c r="I500">
        <v>4431</v>
      </c>
      <c r="J500">
        <v>1</v>
      </c>
      <c r="K500">
        <v>0.08</v>
      </c>
      <c r="L500">
        <v>394</v>
      </c>
      <c r="M500" t="s">
        <v>26</v>
      </c>
      <c r="N500">
        <v>4076.52</v>
      </c>
      <c r="O500" t="str">
        <f>TEXT(SalesData[[#This Row],[Order_Date]],"mmm")</f>
        <v>May</v>
      </c>
      <c r="P500">
        <f>YEAR(SalesData[[#This Row],[Order_Date]])</f>
        <v>2025</v>
      </c>
      <c r="Q500" t="str">
        <f>"Q"&amp;ROUNDUP(MONTH(SalesData[[#This Row],[Order_Date]])/3,0)</f>
        <v>Q2</v>
      </c>
      <c r="R500" s="2">
        <f>IFERROR(SalesData[[#This Row],[Profit]]/SalesData[[#This Row],[Sales]],0)</f>
        <v>9.665106512417454E-2</v>
      </c>
      <c r="S500" s="2">
        <f>SalesData[[#This Row],[Price]]*SalesData[[#This Row],[Quantity]]*SalesData[[#This Row],[Discount]]</f>
        <v>354.48</v>
      </c>
      <c r="T500" s="2" t="str">
        <f>IF(SalesData[[#This Row],[Sales]]&gt;5000,"High",IF(SalesData[[#This Row],[Sales]]&gt;2000,"Medium","Low"))</f>
        <v>Medium</v>
      </c>
      <c r="U500" s="2" t="str">
        <f>IF(COUNTIFS(SalesData[Customer_ID],SalesData[[#This Row],[Customer_ID]])&gt;1,"Repeat","New")</f>
        <v>Repeat</v>
      </c>
      <c r="V500" s="2" t="str">
        <f>IF(SalesData[[#This Row],[Sales]]&gt;AVERAGE(SalesData[Sales]),"Above Avg","Below Avg")</f>
        <v>Below Avg</v>
      </c>
      <c r="W500" s="2" t="str">
        <f>IF(SalesData[[#This Row],[Profit]]&gt;0,"Profit","Loss")</f>
        <v>Profit</v>
      </c>
      <c r="X500" s="2">
        <f>RANK(SalesData[[#This Row],[Sales]],SalesData[Sales])</f>
        <v>350</v>
      </c>
    </row>
    <row r="501" spans="1:24" x14ac:dyDescent="0.3">
      <c r="A501">
        <v>500</v>
      </c>
      <c r="B501" s="1">
        <v>45791</v>
      </c>
      <c r="C501">
        <v>1024</v>
      </c>
      <c r="D501" t="s">
        <v>179</v>
      </c>
      <c r="E501" t="s">
        <v>15</v>
      </c>
      <c r="F501" t="s">
        <v>33</v>
      </c>
      <c r="G501" t="s">
        <v>34</v>
      </c>
      <c r="H501" t="s">
        <v>29</v>
      </c>
      <c r="I501">
        <v>1822</v>
      </c>
      <c r="J501">
        <v>4</v>
      </c>
      <c r="K501">
        <v>0.16</v>
      </c>
      <c r="L501">
        <v>1668</v>
      </c>
      <c r="M501" t="s">
        <v>26</v>
      </c>
      <c r="N501">
        <v>6121.92</v>
      </c>
      <c r="O501" t="str">
        <f>TEXT(SalesData[[#This Row],[Order_Date]],"mmm")</f>
        <v>May</v>
      </c>
      <c r="P501">
        <f>YEAR(SalesData[[#This Row],[Order_Date]])</f>
        <v>2025</v>
      </c>
      <c r="Q501" t="str">
        <f>"Q"&amp;ROUNDUP(MONTH(SalesData[[#This Row],[Order_Date]])/3,0)</f>
        <v>Q2</v>
      </c>
      <c r="R501" s="2">
        <f>IFERROR(SalesData[[#This Row],[Profit]]/SalesData[[#This Row],[Sales]],0)</f>
        <v>0.27246354084992941</v>
      </c>
      <c r="S501" s="2">
        <f>SalesData[[#This Row],[Price]]*SalesData[[#This Row],[Quantity]]*SalesData[[#This Row],[Discount]]</f>
        <v>1166.08</v>
      </c>
      <c r="T501" s="2" t="str">
        <f>IF(SalesData[[#This Row],[Sales]]&gt;5000,"High",IF(SalesData[[#This Row],[Sales]]&gt;2000,"Medium","Low"))</f>
        <v>High</v>
      </c>
      <c r="U501" s="2" t="str">
        <f>IF(COUNTIFS(SalesData[Customer_ID],SalesData[[#This Row],[Customer_ID]])&gt;1,"Repeat","New")</f>
        <v>Repeat</v>
      </c>
      <c r="V501" s="2" t="str">
        <f>IF(SalesData[[#This Row],[Sales]]&gt;AVERAGE(SalesData[Sales]),"Above Avg","Below Avg")</f>
        <v>Below Avg</v>
      </c>
      <c r="W501" s="2" t="str">
        <f>IF(SalesData[[#This Row],[Profit]]&gt;0,"Profit","Loss")</f>
        <v>Profit</v>
      </c>
      <c r="X501" s="2">
        <f>RANK(SalesData[[#This Row],[Sales]],SalesData[Sales])</f>
        <v>294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71EC-24F6-4BE8-95EA-EDC65AF5538F}">
  <dimension ref="A1:J55"/>
  <sheetViews>
    <sheetView zoomScale="32" zoomScaleNormal="70" workbookViewId="0">
      <selection activeCell="M9" sqref="M9"/>
    </sheetView>
  </sheetViews>
  <sheetFormatPr defaultRowHeight="14.4" x14ac:dyDescent="0.3"/>
  <cols>
    <col min="1" max="1" width="13.77734375" bestFit="1" customWidth="1"/>
    <col min="2" max="2" width="12" bestFit="1" customWidth="1"/>
    <col min="3" max="3" width="19.21875" bestFit="1" customWidth="1"/>
    <col min="4" max="4" width="31.77734375" bestFit="1" customWidth="1"/>
    <col min="5" max="5" width="23.33203125" bestFit="1" customWidth="1"/>
    <col min="6" max="6" width="14.33203125" bestFit="1" customWidth="1"/>
    <col min="7" max="7" width="19.88671875" bestFit="1" customWidth="1"/>
    <col min="8" max="9" width="29.5546875" bestFit="1" customWidth="1"/>
    <col min="10" max="10" width="32.109375" bestFit="1" customWidth="1"/>
  </cols>
  <sheetData>
    <row r="1" spans="1:8" x14ac:dyDescent="0.3">
      <c r="A1" s="18" t="s">
        <v>231</v>
      </c>
      <c r="B1" s="18"/>
      <c r="D1" s="18" t="s">
        <v>232</v>
      </c>
      <c r="E1" s="18"/>
      <c r="G1" s="18" t="s">
        <v>233</v>
      </c>
      <c r="H1" s="18"/>
    </row>
    <row r="2" spans="1:8" x14ac:dyDescent="0.3">
      <c r="A2" s="18"/>
      <c r="B2" s="18"/>
      <c r="D2" s="18"/>
      <c r="E2" s="18"/>
      <c r="G2" s="18"/>
      <c r="H2" s="18"/>
    </row>
    <row r="3" spans="1:8" x14ac:dyDescent="0.3">
      <c r="A3" s="3" t="s">
        <v>228</v>
      </c>
      <c r="B3" s="4" t="s">
        <v>230</v>
      </c>
      <c r="D3" s="3" t="s">
        <v>228</v>
      </c>
      <c r="E3" s="4" t="s">
        <v>230</v>
      </c>
      <c r="G3" s="3" t="s">
        <v>228</v>
      </c>
      <c r="H3" s="4" t="s">
        <v>230</v>
      </c>
    </row>
    <row r="4" spans="1:8" x14ac:dyDescent="0.3">
      <c r="A4" s="5" t="s">
        <v>21</v>
      </c>
      <c r="B4" s="6">
        <v>1401104.8199999989</v>
      </c>
      <c r="D4" s="5" t="s">
        <v>22</v>
      </c>
      <c r="E4" s="6">
        <v>1613798.9599999997</v>
      </c>
      <c r="G4" s="5" t="s">
        <v>234</v>
      </c>
      <c r="H4" s="6">
        <v>612694.81999999972</v>
      </c>
    </row>
    <row r="5" spans="1:8" x14ac:dyDescent="0.3">
      <c r="A5" s="5" t="s">
        <v>33</v>
      </c>
      <c r="B5" s="6">
        <v>1346134.5999999992</v>
      </c>
      <c r="D5" s="5" t="s">
        <v>17</v>
      </c>
      <c r="E5" s="6">
        <v>1666487.2599999991</v>
      </c>
      <c r="G5" s="5" t="s">
        <v>235</v>
      </c>
      <c r="H5" s="6">
        <v>620062.52999999956</v>
      </c>
    </row>
    <row r="6" spans="1:8" x14ac:dyDescent="0.3">
      <c r="A6" s="5" t="s">
        <v>16</v>
      </c>
      <c r="B6" s="6">
        <v>1276144.9099999997</v>
      </c>
      <c r="D6" s="5" t="s">
        <v>34</v>
      </c>
      <c r="E6" s="6">
        <v>2035154.9899999986</v>
      </c>
      <c r="G6" s="5" t="s">
        <v>236</v>
      </c>
      <c r="H6" s="6">
        <v>567827.47999999952</v>
      </c>
    </row>
    <row r="7" spans="1:8" x14ac:dyDescent="0.3">
      <c r="A7" s="5" t="s">
        <v>28</v>
      </c>
      <c r="B7" s="6">
        <v>1292056.879999999</v>
      </c>
      <c r="D7" s="5" t="s">
        <v>229</v>
      </c>
      <c r="E7" s="6">
        <v>5315441.2099999972</v>
      </c>
      <c r="G7" s="5" t="s">
        <v>237</v>
      </c>
      <c r="H7" s="6">
        <v>696989.80999999959</v>
      </c>
    </row>
    <row r="8" spans="1:8" x14ac:dyDescent="0.3">
      <c r="A8" s="5" t="s">
        <v>229</v>
      </c>
      <c r="B8" s="6">
        <v>5315441.2099999972</v>
      </c>
      <c r="G8" s="5" t="s">
        <v>238</v>
      </c>
      <c r="H8" s="6">
        <v>493018.73999999976</v>
      </c>
    </row>
    <row r="9" spans="1:8" x14ac:dyDescent="0.3">
      <c r="G9" s="5" t="s">
        <v>239</v>
      </c>
      <c r="H9" s="6">
        <v>313355.62</v>
      </c>
    </row>
    <row r="10" spans="1:8" x14ac:dyDescent="0.3">
      <c r="A10" s="18" t="s">
        <v>246</v>
      </c>
      <c r="B10" s="18"/>
      <c r="D10" s="18" t="s">
        <v>247</v>
      </c>
      <c r="E10" s="18"/>
      <c r="G10" s="5" t="s">
        <v>240</v>
      </c>
      <c r="H10" s="6">
        <v>288120.84999999992</v>
      </c>
    </row>
    <row r="11" spans="1:8" x14ac:dyDescent="0.3">
      <c r="A11" s="18"/>
      <c r="B11" s="18"/>
      <c r="D11" s="18"/>
      <c r="E11" s="18"/>
      <c r="G11" s="5" t="s">
        <v>241</v>
      </c>
      <c r="H11" s="6">
        <v>366169.0099999996</v>
      </c>
    </row>
    <row r="12" spans="1:8" x14ac:dyDescent="0.3">
      <c r="A12" s="3" t="s">
        <v>228</v>
      </c>
      <c r="B12" s="4" t="s">
        <v>230</v>
      </c>
      <c r="D12" s="3" t="s">
        <v>228</v>
      </c>
      <c r="E12" s="4" t="s">
        <v>248</v>
      </c>
      <c r="G12" s="5" t="s">
        <v>242</v>
      </c>
      <c r="H12" s="6">
        <v>284657.71999999986</v>
      </c>
    </row>
    <row r="13" spans="1:8" x14ac:dyDescent="0.3">
      <c r="A13" s="5" t="s">
        <v>18</v>
      </c>
      <c r="B13" s="6">
        <v>1363016.3699999996</v>
      </c>
      <c r="D13" s="5" t="s">
        <v>26</v>
      </c>
      <c r="E13" s="6">
        <v>168</v>
      </c>
      <c r="G13" s="5" t="s">
        <v>243</v>
      </c>
      <c r="H13" s="6">
        <v>313433.91999999969</v>
      </c>
    </row>
    <row r="14" spans="1:8" x14ac:dyDescent="0.3">
      <c r="A14" s="5" t="s">
        <v>37</v>
      </c>
      <c r="B14" s="6">
        <v>1667888.2599999986</v>
      </c>
      <c r="D14" s="5" t="s">
        <v>31</v>
      </c>
      <c r="E14" s="6">
        <v>165</v>
      </c>
      <c r="G14" s="5" t="s">
        <v>244</v>
      </c>
      <c r="H14" s="6">
        <v>377254.86999999988</v>
      </c>
    </row>
    <row r="15" spans="1:8" x14ac:dyDescent="0.3">
      <c r="A15" s="5" t="s">
        <v>229</v>
      </c>
      <c r="B15" s="6">
        <v>3030904.629999998</v>
      </c>
      <c r="D15" s="5" t="s">
        <v>19</v>
      </c>
      <c r="E15" s="6">
        <v>167</v>
      </c>
      <c r="G15" s="5" t="s">
        <v>245</v>
      </c>
      <c r="H15" s="6">
        <v>381855.83999999991</v>
      </c>
    </row>
    <row r="16" spans="1:8" x14ac:dyDescent="0.3">
      <c r="D16" s="5" t="s">
        <v>229</v>
      </c>
      <c r="E16" s="6">
        <v>500</v>
      </c>
      <c r="G16" s="5" t="s">
        <v>229</v>
      </c>
      <c r="H16" s="6">
        <v>5315441.2099999981</v>
      </c>
    </row>
    <row r="18" spans="1:9" x14ac:dyDescent="0.3">
      <c r="A18" s="18" t="s">
        <v>249</v>
      </c>
      <c r="B18" s="18"/>
      <c r="D18" s="18" t="s">
        <v>261</v>
      </c>
      <c r="E18" s="18"/>
      <c r="G18" s="18" t="s">
        <v>262</v>
      </c>
      <c r="H18" s="18"/>
    </row>
    <row r="19" spans="1:9" x14ac:dyDescent="0.3">
      <c r="A19" s="18"/>
      <c r="B19" s="18"/>
      <c r="D19" s="18"/>
      <c r="E19" s="18"/>
      <c r="G19" s="18"/>
      <c r="H19" s="18"/>
    </row>
    <row r="20" spans="1:9" x14ac:dyDescent="0.3">
      <c r="A20" s="3" t="s">
        <v>228</v>
      </c>
      <c r="B20" s="4" t="s">
        <v>230</v>
      </c>
      <c r="D20" s="3" t="s">
        <v>228</v>
      </c>
      <c r="E20" s="4" t="s">
        <v>250</v>
      </c>
      <c r="G20" s="3" t="s">
        <v>228</v>
      </c>
      <c r="H20" s="4" t="s">
        <v>251</v>
      </c>
    </row>
    <row r="21" spans="1:9" x14ac:dyDescent="0.3">
      <c r="A21" s="5" t="s">
        <v>15</v>
      </c>
      <c r="B21" s="6">
        <v>2693576.3499999987</v>
      </c>
      <c r="D21" s="5" t="s">
        <v>21</v>
      </c>
      <c r="E21" s="6">
        <v>74198</v>
      </c>
      <c r="G21" s="5" t="s">
        <v>21</v>
      </c>
      <c r="H21" s="6">
        <v>18.469999999999995</v>
      </c>
    </row>
    <row r="22" spans="1:9" x14ac:dyDescent="0.3">
      <c r="A22" s="5" t="s">
        <v>24</v>
      </c>
      <c r="B22" s="6">
        <v>2621864.8599999971</v>
      </c>
      <c r="D22" s="5" t="s">
        <v>33</v>
      </c>
      <c r="E22" s="6">
        <v>113017</v>
      </c>
      <c r="G22" s="5" t="s">
        <v>33</v>
      </c>
      <c r="H22" s="6">
        <v>19.309999999999995</v>
      </c>
    </row>
    <row r="23" spans="1:9" x14ac:dyDescent="0.3">
      <c r="A23" s="5" t="s">
        <v>229</v>
      </c>
      <c r="B23" s="6">
        <v>5315441.2099999953</v>
      </c>
      <c r="D23" s="5" t="s">
        <v>16</v>
      </c>
      <c r="E23" s="6">
        <v>83763</v>
      </c>
      <c r="G23" s="5" t="s">
        <v>16</v>
      </c>
      <c r="H23" s="6">
        <v>19.990000000000002</v>
      </c>
    </row>
    <row r="24" spans="1:9" x14ac:dyDescent="0.3">
      <c r="D24" s="5" t="s">
        <v>28</v>
      </c>
      <c r="E24" s="6">
        <v>88113</v>
      </c>
      <c r="G24" s="5" t="s">
        <v>28</v>
      </c>
      <c r="H24" s="6">
        <v>18.470000000000002</v>
      </c>
    </row>
    <row r="25" spans="1:9" x14ac:dyDescent="0.3">
      <c r="D25" s="5" t="s">
        <v>229</v>
      </c>
      <c r="E25" s="6">
        <v>359091</v>
      </c>
      <c r="G25" s="5" t="s">
        <v>229</v>
      </c>
      <c r="H25" s="6">
        <v>76.239999999999995</v>
      </c>
    </row>
    <row r="27" spans="1:9" x14ac:dyDescent="0.3">
      <c r="A27" s="19" t="s">
        <v>263</v>
      </c>
      <c r="B27" s="19"/>
      <c r="C27" s="19"/>
      <c r="D27" s="19"/>
      <c r="F27" s="19" t="s">
        <v>264</v>
      </c>
      <c r="G27" s="19"/>
      <c r="H27" s="19"/>
      <c r="I27" s="19"/>
    </row>
    <row r="28" spans="1:9" ht="26.4" customHeight="1" x14ac:dyDescent="0.3">
      <c r="A28" s="19"/>
      <c r="B28" s="19"/>
      <c r="C28" s="19"/>
      <c r="D28" s="19"/>
      <c r="F28" s="19"/>
      <c r="G28" s="19"/>
      <c r="H28" s="19"/>
      <c r="I28" s="19"/>
    </row>
    <row r="29" spans="1:9" x14ac:dyDescent="0.3">
      <c r="A29" s="3" t="s">
        <v>228</v>
      </c>
      <c r="B29" s="3" t="s">
        <v>230</v>
      </c>
      <c r="C29" s="4" t="s">
        <v>252</v>
      </c>
      <c r="D29" s="4" t="s">
        <v>253</v>
      </c>
      <c r="F29" s="3" t="s">
        <v>228</v>
      </c>
      <c r="G29" s="3" t="s">
        <v>252</v>
      </c>
      <c r="H29" s="4" t="s">
        <v>253</v>
      </c>
      <c r="I29" s="4" t="s">
        <v>250</v>
      </c>
    </row>
    <row r="30" spans="1:9" x14ac:dyDescent="0.3">
      <c r="A30" s="5" t="s">
        <v>18</v>
      </c>
      <c r="B30" s="6">
        <v>1363016.3699999996</v>
      </c>
      <c r="C30" s="6">
        <v>26.662922190653894</v>
      </c>
      <c r="D30" s="6">
        <v>201296.62999999995</v>
      </c>
      <c r="F30" s="5" t="s">
        <v>26</v>
      </c>
      <c r="G30" s="6">
        <v>36.46755743000584</v>
      </c>
      <c r="H30" s="6">
        <v>303216.44999999978</v>
      </c>
      <c r="I30" s="6">
        <v>124153</v>
      </c>
    </row>
    <row r="31" spans="1:9" x14ac:dyDescent="0.3">
      <c r="A31" s="5" t="s">
        <v>29</v>
      </c>
      <c r="B31" s="6">
        <v>1169728.7299999993</v>
      </c>
      <c r="C31" s="6">
        <v>25.939747679776964</v>
      </c>
      <c r="D31" s="6">
        <v>223652.27</v>
      </c>
      <c r="F31" s="5" t="s">
        <v>31</v>
      </c>
      <c r="G31" s="6">
        <v>42.500748914053318</v>
      </c>
      <c r="H31" s="6">
        <v>299100.32000000012</v>
      </c>
      <c r="I31" s="6">
        <v>112104</v>
      </c>
    </row>
    <row r="32" spans="1:9" x14ac:dyDescent="0.3">
      <c r="A32" s="5" t="s">
        <v>37</v>
      </c>
      <c r="B32" s="6">
        <v>1667888.2599999986</v>
      </c>
      <c r="C32" s="6">
        <v>34.199819602829805</v>
      </c>
      <c r="D32" s="6">
        <v>313721.74000000005</v>
      </c>
      <c r="F32" s="5" t="s">
        <v>19</v>
      </c>
      <c r="G32" s="6">
        <v>29.282094500030706</v>
      </c>
      <c r="H32" s="6">
        <v>364587.01999999984</v>
      </c>
      <c r="I32" s="6">
        <v>122834</v>
      </c>
    </row>
    <row r="33" spans="1:10" x14ac:dyDescent="0.3">
      <c r="A33" s="5" t="s">
        <v>25</v>
      </c>
      <c r="B33" s="6">
        <v>1114807.8499999992</v>
      </c>
      <c r="C33" s="6">
        <v>21.447911370829221</v>
      </c>
      <c r="D33" s="6">
        <v>228233.15000000002</v>
      </c>
      <c r="F33" s="5" t="s">
        <v>229</v>
      </c>
      <c r="G33" s="6">
        <v>108.25040084408987</v>
      </c>
      <c r="H33" s="6">
        <v>966903.7899999998</v>
      </c>
      <c r="I33" s="6">
        <v>359091</v>
      </c>
    </row>
    <row r="34" spans="1:10" x14ac:dyDescent="0.3">
      <c r="A34" s="5" t="s">
        <v>229</v>
      </c>
      <c r="B34" s="6">
        <v>5315441.2099999972</v>
      </c>
      <c r="C34" s="6">
        <v>108.25040084408988</v>
      </c>
      <c r="D34" s="6">
        <v>966903.78999999992</v>
      </c>
    </row>
    <row r="36" spans="1:10" ht="14.4" customHeight="1" x14ac:dyDescent="0.3">
      <c r="A36" s="18" t="s">
        <v>265</v>
      </c>
      <c r="B36" s="20"/>
      <c r="C36" s="20"/>
      <c r="D36" s="20"/>
      <c r="F36" s="19" t="s">
        <v>266</v>
      </c>
      <c r="G36" s="19"/>
      <c r="H36" s="12"/>
      <c r="I36" s="18" t="s">
        <v>223</v>
      </c>
      <c r="J36" s="18"/>
    </row>
    <row r="37" spans="1:10" ht="23.4" customHeight="1" x14ac:dyDescent="0.3">
      <c r="A37" s="20"/>
      <c r="B37" s="20"/>
      <c r="C37" s="20"/>
      <c r="D37" s="20"/>
      <c r="F37" s="19"/>
      <c r="G37" s="19"/>
      <c r="H37" s="12"/>
      <c r="I37" s="18"/>
      <c r="J37" s="18"/>
    </row>
    <row r="38" spans="1:10" ht="18" x14ac:dyDescent="0.3">
      <c r="A38" s="3" t="s">
        <v>228</v>
      </c>
      <c r="B38" s="3" t="s">
        <v>253</v>
      </c>
      <c r="C38" s="4" t="s">
        <v>250</v>
      </c>
      <c r="D38" s="4" t="s">
        <v>251</v>
      </c>
      <c r="F38" s="3" t="s">
        <v>228</v>
      </c>
      <c r="G38" s="4" t="s">
        <v>251</v>
      </c>
      <c r="I38" s="8" t="s">
        <v>228</v>
      </c>
      <c r="J38" s="9" t="s">
        <v>248</v>
      </c>
    </row>
    <row r="39" spans="1:10" ht="18" x14ac:dyDescent="0.3">
      <c r="A39" s="5" t="s">
        <v>254</v>
      </c>
      <c r="B39" s="6">
        <v>326439.17</v>
      </c>
      <c r="C39" s="6">
        <v>120370</v>
      </c>
      <c r="D39" s="6">
        <v>27.91</v>
      </c>
      <c r="F39" s="5" t="s">
        <v>258</v>
      </c>
      <c r="G39" s="6">
        <v>48.75</v>
      </c>
      <c r="I39" s="10" t="s">
        <v>258</v>
      </c>
      <c r="J39" s="11">
        <v>323</v>
      </c>
    </row>
    <row r="40" spans="1:10" ht="18" x14ac:dyDescent="0.3">
      <c r="A40" s="7" t="s">
        <v>234</v>
      </c>
      <c r="B40" s="6">
        <v>109395.18</v>
      </c>
      <c r="C40" s="6">
        <v>44086</v>
      </c>
      <c r="D40" s="6">
        <v>9.1100000000000012</v>
      </c>
      <c r="F40" s="5" t="s">
        <v>259</v>
      </c>
      <c r="G40" s="6">
        <v>10.55</v>
      </c>
      <c r="I40" s="10" t="s">
        <v>259</v>
      </c>
      <c r="J40" s="11">
        <v>70</v>
      </c>
    </row>
    <row r="41" spans="1:10" ht="18" x14ac:dyDescent="0.3">
      <c r="A41" s="7" t="s">
        <v>235</v>
      </c>
      <c r="B41" s="6">
        <v>117335.47</v>
      </c>
      <c r="C41" s="6">
        <v>37113</v>
      </c>
      <c r="D41" s="6">
        <v>8.92</v>
      </c>
      <c r="F41" s="5" t="s">
        <v>260</v>
      </c>
      <c r="G41" s="6">
        <v>16.940000000000008</v>
      </c>
      <c r="I41" s="10" t="s">
        <v>260</v>
      </c>
      <c r="J41" s="11">
        <v>107</v>
      </c>
    </row>
    <row r="42" spans="1:10" ht="18" x14ac:dyDescent="0.3">
      <c r="A42" s="7" t="s">
        <v>236</v>
      </c>
      <c r="B42" s="6">
        <v>99708.52</v>
      </c>
      <c r="C42" s="6">
        <v>39171</v>
      </c>
      <c r="D42" s="6">
        <v>9.879999999999999</v>
      </c>
      <c r="F42" s="5" t="s">
        <v>229</v>
      </c>
      <c r="G42" s="6">
        <v>76.240000000000009</v>
      </c>
      <c r="I42" s="10" t="s">
        <v>229</v>
      </c>
      <c r="J42" s="11">
        <v>500</v>
      </c>
    </row>
    <row r="43" spans="1:10" x14ac:dyDescent="0.3">
      <c r="A43" s="5" t="s">
        <v>255</v>
      </c>
      <c r="B43" s="6">
        <v>278294.83</v>
      </c>
      <c r="C43" s="6">
        <v>99884</v>
      </c>
      <c r="D43" s="6">
        <v>20.49</v>
      </c>
    </row>
    <row r="44" spans="1:10" x14ac:dyDescent="0.3">
      <c r="A44" s="7" t="s">
        <v>237</v>
      </c>
      <c r="B44" s="6">
        <v>113252.19</v>
      </c>
      <c r="C44" s="6">
        <v>45345</v>
      </c>
      <c r="D44" s="6">
        <v>8.3499999999999979</v>
      </c>
      <c r="F44" s="18" t="s">
        <v>224</v>
      </c>
      <c r="G44" s="18"/>
    </row>
    <row r="45" spans="1:10" x14ac:dyDescent="0.3">
      <c r="A45" s="7" t="s">
        <v>238</v>
      </c>
      <c r="B45" s="6">
        <v>93553.25999999998</v>
      </c>
      <c r="C45" s="6">
        <v>34624</v>
      </c>
      <c r="D45" s="6">
        <v>6.8500000000000005</v>
      </c>
      <c r="F45" s="18"/>
      <c r="G45" s="18"/>
    </row>
    <row r="46" spans="1:10" x14ac:dyDescent="0.3">
      <c r="A46" s="7" t="s">
        <v>239</v>
      </c>
      <c r="B46" s="6">
        <v>71489.380000000019</v>
      </c>
      <c r="C46" s="6">
        <v>19915</v>
      </c>
      <c r="D46" s="6">
        <v>5.29</v>
      </c>
      <c r="F46" s="3" t="s">
        <v>228</v>
      </c>
      <c r="G46" s="4" t="s">
        <v>230</v>
      </c>
    </row>
    <row r="47" spans="1:10" x14ac:dyDescent="0.3">
      <c r="A47" s="5" t="s">
        <v>256</v>
      </c>
      <c r="B47" s="6">
        <v>161255.41999999998</v>
      </c>
      <c r="C47" s="6">
        <v>74611</v>
      </c>
      <c r="D47" s="6">
        <v>13.91</v>
      </c>
      <c r="F47" s="5" t="s">
        <v>267</v>
      </c>
      <c r="G47" s="6">
        <v>62731.8</v>
      </c>
    </row>
    <row r="48" spans="1:10" x14ac:dyDescent="0.3">
      <c r="A48" s="7" t="s">
        <v>240</v>
      </c>
      <c r="B48" s="6">
        <v>52648.150000000009</v>
      </c>
      <c r="C48" s="6">
        <v>18716</v>
      </c>
      <c r="D48" s="6">
        <v>5.07</v>
      </c>
      <c r="F48" s="5" t="s">
        <v>268</v>
      </c>
      <c r="G48" s="6">
        <v>5252709.4099999964</v>
      </c>
    </row>
    <row r="49" spans="1:7" x14ac:dyDescent="0.3">
      <c r="A49" s="7" t="s">
        <v>241</v>
      </c>
      <c r="B49" s="6">
        <v>70919.989999999991</v>
      </c>
      <c r="C49" s="6">
        <v>28698</v>
      </c>
      <c r="D49" s="6">
        <v>4.7399999999999993</v>
      </c>
      <c r="F49" s="5" t="s">
        <v>229</v>
      </c>
      <c r="G49" s="6">
        <v>5315441.2099999962</v>
      </c>
    </row>
    <row r="50" spans="1:7" x14ac:dyDescent="0.3">
      <c r="A50" s="7" t="s">
        <v>242</v>
      </c>
      <c r="B50" s="6">
        <v>37687.279999999999</v>
      </c>
      <c r="C50" s="6">
        <v>27197</v>
      </c>
      <c r="D50" s="6">
        <v>4.1000000000000005</v>
      </c>
    </row>
    <row r="51" spans="1:7" x14ac:dyDescent="0.3">
      <c r="A51" s="5" t="s">
        <v>257</v>
      </c>
      <c r="B51" s="6">
        <v>200914.37</v>
      </c>
      <c r="C51" s="6">
        <v>64226</v>
      </c>
      <c r="D51" s="6">
        <v>13.93</v>
      </c>
    </row>
    <row r="52" spans="1:7" x14ac:dyDescent="0.3">
      <c r="A52" s="7" t="s">
        <v>243</v>
      </c>
      <c r="B52" s="6">
        <v>50356.08</v>
      </c>
      <c r="C52" s="6">
        <v>18576</v>
      </c>
      <c r="D52" s="6">
        <v>4.4000000000000012</v>
      </c>
    </row>
    <row r="53" spans="1:7" x14ac:dyDescent="0.3">
      <c r="A53" s="7" t="s">
        <v>244</v>
      </c>
      <c r="B53" s="6">
        <v>69353.13</v>
      </c>
      <c r="C53" s="6">
        <v>28797</v>
      </c>
      <c r="D53" s="6">
        <v>4.4400000000000004</v>
      </c>
    </row>
    <row r="54" spans="1:7" x14ac:dyDescent="0.3">
      <c r="A54" s="7" t="s">
        <v>245</v>
      </c>
      <c r="B54" s="6">
        <v>81205.16</v>
      </c>
      <c r="C54" s="6">
        <v>16853</v>
      </c>
      <c r="D54" s="6">
        <v>5.089999999999999</v>
      </c>
    </row>
    <row r="55" spans="1:7" x14ac:dyDescent="0.3">
      <c r="A55" s="5" t="s">
        <v>229</v>
      </c>
      <c r="B55" s="6">
        <v>966903.79</v>
      </c>
      <c r="C55" s="6">
        <v>359091</v>
      </c>
      <c r="D55" s="6">
        <v>76.240000000000009</v>
      </c>
    </row>
  </sheetData>
  <mergeCells count="14">
    <mergeCell ref="F44:G45"/>
    <mergeCell ref="A27:D28"/>
    <mergeCell ref="F27:I28"/>
    <mergeCell ref="A36:D37"/>
    <mergeCell ref="F36:G37"/>
    <mergeCell ref="I36:J37"/>
    <mergeCell ref="A18:B19"/>
    <mergeCell ref="D18:E19"/>
    <mergeCell ref="G18:H19"/>
    <mergeCell ref="A1:B2"/>
    <mergeCell ref="D1:E2"/>
    <mergeCell ref="G1:H2"/>
    <mergeCell ref="A10:B11"/>
    <mergeCell ref="D10:E11"/>
  </mergeCells>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634F-2405-4218-87BF-791EB43F8A57}">
  <dimension ref="A1:N872"/>
  <sheetViews>
    <sheetView zoomScaleNormal="100" workbookViewId="0">
      <selection activeCell="G874" sqref="G874"/>
    </sheetView>
  </sheetViews>
  <sheetFormatPr defaultRowHeight="14.4" x14ac:dyDescent="0.3"/>
  <cols>
    <col min="1" max="1" width="12.6640625" bestFit="1" customWidth="1"/>
    <col min="2" max="2" width="10.6640625" bestFit="1" customWidth="1"/>
    <col min="3" max="3" width="11.88671875" bestFit="1" customWidth="1"/>
    <col min="4" max="4" width="15.21875" bestFit="1" customWidth="1"/>
    <col min="5" max="5" width="9.33203125" bestFit="1" customWidth="1"/>
    <col min="6" max="6" width="6.77734375" bestFit="1" customWidth="1"/>
    <col min="7" max="7" width="9.88671875" bestFit="1" customWidth="1"/>
    <col min="8" max="8" width="13.77734375" bestFit="1" customWidth="1"/>
    <col min="9" max="9" width="5.109375" bestFit="1" customWidth="1"/>
    <col min="10" max="11" width="8.33203125" bestFit="1" customWidth="1"/>
    <col min="12" max="12" width="5.6640625" bestFit="1" customWidth="1"/>
    <col min="13" max="13" width="14.6640625" bestFit="1" customWidth="1"/>
    <col min="14" max="14" width="9" bestFit="1" customWidth="1"/>
  </cols>
  <sheetData>
    <row r="1" spans="1:14" x14ac:dyDescent="0.3">
      <c r="A1" s="21" t="s">
        <v>269</v>
      </c>
      <c r="B1" s="21"/>
      <c r="C1" s="21"/>
      <c r="D1" s="21"/>
      <c r="E1" s="21"/>
      <c r="F1" s="21"/>
      <c r="G1" s="21"/>
      <c r="H1" s="21"/>
      <c r="I1" s="21"/>
      <c r="J1" s="21"/>
      <c r="K1" s="21"/>
      <c r="L1" s="21"/>
      <c r="M1" s="21"/>
      <c r="N1" s="21"/>
    </row>
    <row r="2" spans="1:14" x14ac:dyDescent="0.3">
      <c r="A2" s="13" t="s">
        <v>0</v>
      </c>
      <c r="B2" s="14" t="s">
        <v>1</v>
      </c>
      <c r="C2" s="13" t="s">
        <v>2</v>
      </c>
      <c r="D2" s="13" t="s">
        <v>3</v>
      </c>
      <c r="E2" s="13" t="s">
        <v>4</v>
      </c>
      <c r="F2" s="13" t="s">
        <v>5</v>
      </c>
      <c r="G2" s="13" t="s">
        <v>6</v>
      </c>
      <c r="H2" s="13" t="s">
        <v>7</v>
      </c>
      <c r="I2" s="13" t="s">
        <v>8</v>
      </c>
      <c r="J2" s="13" t="s">
        <v>9</v>
      </c>
      <c r="K2" s="13" t="s">
        <v>10</v>
      </c>
      <c r="L2" s="13" t="s">
        <v>11</v>
      </c>
      <c r="M2" s="13" t="s">
        <v>12</v>
      </c>
      <c r="N2" s="13" t="s">
        <v>13</v>
      </c>
    </row>
    <row r="3" spans="1:14" x14ac:dyDescent="0.3">
      <c r="A3" s="4" cm="1">
        <f t="array" ref="A3:N151">_xlfn._xlws.FILTER(CHOOSE({1,2,3,4,5,6,7,8,9,10,11,12,13,14},SalesData[Order_ID],SalesData[Order_Date],SalesData[Customer_ID],SalesData[Customer_Name],SalesData[Segment],SalesData[Region],SalesData[Category],
 SalesData[Product_Name],SalesData[Price],SalesData[Quantity],SalesData[Discount],SalesData[Profit],
  SalesData[Payment_Mode],SalesData[Sales]),SalesData[Category]="Electronics")</f>
        <v>1</v>
      </c>
      <c r="B3" s="15">
        <v>45292</v>
      </c>
      <c r="C3" s="4">
        <v>1066</v>
      </c>
      <c r="D3" s="4" t="str">
        <v>Customer_33</v>
      </c>
      <c r="E3" s="4" t="str">
        <v>Consumer</v>
      </c>
      <c r="F3" s="4" t="str">
        <v>South</v>
      </c>
      <c r="G3" s="4" t="str">
        <v>Electronics</v>
      </c>
      <c r="H3" s="4" t="str">
        <v>Product_A</v>
      </c>
      <c r="I3" s="4">
        <v>2755</v>
      </c>
      <c r="J3" s="4">
        <v>3</v>
      </c>
      <c r="K3" s="4">
        <v>0.25</v>
      </c>
      <c r="L3" s="4">
        <v>559</v>
      </c>
      <c r="M3" s="4" t="str">
        <v>UPI</v>
      </c>
      <c r="N3" s="4">
        <v>6198.75</v>
      </c>
    </row>
    <row r="4" spans="1:14" x14ac:dyDescent="0.3">
      <c r="A4" s="4">
        <v>4</v>
      </c>
      <c r="B4" s="15">
        <v>45295</v>
      </c>
      <c r="C4" s="4">
        <v>1017</v>
      </c>
      <c r="D4" s="4" t="str">
        <v>Customer_116</v>
      </c>
      <c r="E4" s="4" t="str">
        <v>Consumer</v>
      </c>
      <c r="F4" s="4" t="str">
        <v>West</v>
      </c>
      <c r="G4" s="4" t="str">
        <v>Electronics</v>
      </c>
      <c r="H4" s="4" t="str">
        <v>Product_B</v>
      </c>
      <c r="I4" s="4">
        <v>759</v>
      </c>
      <c r="J4" s="4">
        <v>5</v>
      </c>
      <c r="K4" s="4">
        <v>0.01</v>
      </c>
      <c r="L4" s="4">
        <v>-75</v>
      </c>
      <c r="M4" s="4" t="str">
        <v>UPI</v>
      </c>
      <c r="N4" s="4">
        <v>3757.05</v>
      </c>
    </row>
    <row r="5" spans="1:14" x14ac:dyDescent="0.3">
      <c r="A5" s="4">
        <v>5</v>
      </c>
      <c r="B5" s="15">
        <v>45296</v>
      </c>
      <c r="C5" s="4">
        <v>1083</v>
      </c>
      <c r="D5" s="4" t="str">
        <v>Customer_179</v>
      </c>
      <c r="E5" s="4" t="str">
        <v>Consumer</v>
      </c>
      <c r="F5" s="4" t="str">
        <v>West</v>
      </c>
      <c r="G5" s="4" t="str">
        <v>Electronics</v>
      </c>
      <c r="H5" s="4" t="str">
        <v>Product_B</v>
      </c>
      <c r="I5" s="4">
        <v>243</v>
      </c>
      <c r="J5" s="4">
        <v>1</v>
      </c>
      <c r="K5" s="4">
        <v>0.17</v>
      </c>
      <c r="L5" s="4">
        <v>-482</v>
      </c>
      <c r="M5" s="4" t="str">
        <v>COD</v>
      </c>
      <c r="N5" s="4">
        <v>201.69</v>
      </c>
    </row>
    <row r="6" spans="1:14" x14ac:dyDescent="0.3">
      <c r="A6" s="4">
        <v>9</v>
      </c>
      <c r="B6" s="15">
        <v>45300</v>
      </c>
      <c r="C6" s="4">
        <v>1096</v>
      </c>
      <c r="D6" s="4" t="str">
        <v>Customer_184</v>
      </c>
      <c r="E6" s="4" t="str">
        <v>Consumer</v>
      </c>
      <c r="F6" s="4" t="str">
        <v>West</v>
      </c>
      <c r="G6" s="4" t="str">
        <v>Electronics</v>
      </c>
      <c r="H6" s="4" t="str">
        <v>Product_C</v>
      </c>
      <c r="I6" s="4">
        <v>4121</v>
      </c>
      <c r="J6" s="4">
        <v>4</v>
      </c>
      <c r="K6" s="4">
        <v>0.03</v>
      </c>
      <c r="L6" s="4">
        <v>-169</v>
      </c>
      <c r="M6" s="4" t="str">
        <v>Card</v>
      </c>
      <c r="N6" s="4">
        <v>15989.48</v>
      </c>
    </row>
    <row r="7" spans="1:14" x14ac:dyDescent="0.3">
      <c r="A7" s="4">
        <v>10</v>
      </c>
      <c r="B7" s="15">
        <v>45301</v>
      </c>
      <c r="C7" s="4">
        <v>1047</v>
      </c>
      <c r="D7" s="4" t="str">
        <v>Customer_114</v>
      </c>
      <c r="E7" s="4" t="str">
        <v>Corporate</v>
      </c>
      <c r="F7" s="4" t="str">
        <v>West</v>
      </c>
      <c r="G7" s="4" t="str">
        <v>Electronics</v>
      </c>
      <c r="H7" s="4" t="str">
        <v>Product_B</v>
      </c>
      <c r="I7" s="4">
        <v>735</v>
      </c>
      <c r="J7" s="4">
        <v>2</v>
      </c>
      <c r="K7" s="4">
        <v>0.01</v>
      </c>
      <c r="L7" s="4">
        <v>-250</v>
      </c>
      <c r="M7" s="4" t="str">
        <v>COD</v>
      </c>
      <c r="N7" s="4">
        <v>1455.3</v>
      </c>
    </row>
    <row r="8" spans="1:14" x14ac:dyDescent="0.3">
      <c r="A8" s="4">
        <v>12</v>
      </c>
      <c r="B8" s="15">
        <v>45303</v>
      </c>
      <c r="C8" s="4">
        <v>1032</v>
      </c>
      <c r="D8" s="4" t="str">
        <v>Customer_1</v>
      </c>
      <c r="E8" s="4" t="str">
        <v>Consumer</v>
      </c>
      <c r="F8" s="4" t="str">
        <v>West</v>
      </c>
      <c r="G8" s="4" t="str">
        <v>Electronics</v>
      </c>
      <c r="H8" s="4" t="str">
        <v>Product_C</v>
      </c>
      <c r="I8" s="4">
        <v>3851</v>
      </c>
      <c r="J8" s="4">
        <v>6</v>
      </c>
      <c r="K8" s="4">
        <v>0.2</v>
      </c>
      <c r="L8" s="4">
        <v>-7</v>
      </c>
      <c r="M8" s="4" t="str">
        <v>UPI</v>
      </c>
      <c r="N8" s="4">
        <v>18484.8</v>
      </c>
    </row>
    <row r="9" spans="1:14" x14ac:dyDescent="0.3">
      <c r="A9" s="4">
        <v>19</v>
      </c>
      <c r="B9" s="15">
        <v>45310</v>
      </c>
      <c r="C9" s="4">
        <v>1096</v>
      </c>
      <c r="D9" s="4" t="str">
        <v>Customer_188</v>
      </c>
      <c r="E9" s="4" t="str">
        <v>Consumer</v>
      </c>
      <c r="F9" s="4" t="str">
        <v>North</v>
      </c>
      <c r="G9" s="4" t="str">
        <v>Electronics</v>
      </c>
      <c r="H9" s="4" t="str">
        <v>Product_A</v>
      </c>
      <c r="I9" s="4">
        <v>4690</v>
      </c>
      <c r="J9" s="4">
        <v>1</v>
      </c>
      <c r="K9" s="4">
        <v>0.12</v>
      </c>
      <c r="L9" s="4">
        <v>-18</v>
      </c>
      <c r="M9" s="4" t="str">
        <v>COD</v>
      </c>
      <c r="N9" s="4">
        <v>4127.2</v>
      </c>
    </row>
    <row r="10" spans="1:14" x14ac:dyDescent="0.3">
      <c r="A10" s="4">
        <v>30</v>
      </c>
      <c r="B10" s="15">
        <v>45321</v>
      </c>
      <c r="C10" s="4">
        <v>1047</v>
      </c>
      <c r="D10" s="4" t="str">
        <v>Customer_94</v>
      </c>
      <c r="E10" s="4" t="str">
        <v>Corporate</v>
      </c>
      <c r="F10" s="4" t="str">
        <v>West</v>
      </c>
      <c r="G10" s="4" t="str">
        <v>Electronics</v>
      </c>
      <c r="H10" s="4" t="str">
        <v>Product_A</v>
      </c>
      <c r="I10" s="4">
        <v>2171</v>
      </c>
      <c r="J10" s="4">
        <v>2</v>
      </c>
      <c r="K10" s="4">
        <v>0.11</v>
      </c>
      <c r="L10" s="4">
        <v>1464</v>
      </c>
      <c r="M10" s="4" t="str">
        <v>UPI</v>
      </c>
      <c r="N10" s="4">
        <v>3864.38</v>
      </c>
    </row>
    <row r="11" spans="1:14" x14ac:dyDescent="0.3">
      <c r="A11" s="4">
        <v>33</v>
      </c>
      <c r="B11" s="15">
        <v>45324</v>
      </c>
      <c r="C11" s="4">
        <v>1007</v>
      </c>
      <c r="D11" s="4" t="str">
        <v>Customer_72</v>
      </c>
      <c r="E11" s="4" t="str">
        <v>Corporate</v>
      </c>
      <c r="F11" s="4" t="str">
        <v>North</v>
      </c>
      <c r="G11" s="4" t="str">
        <v>Electronics</v>
      </c>
      <c r="H11" s="4" t="str">
        <v>Product_D</v>
      </c>
      <c r="I11" s="4">
        <v>4961</v>
      </c>
      <c r="J11" s="4">
        <v>9</v>
      </c>
      <c r="K11" s="4">
        <v>0.28000000000000003</v>
      </c>
      <c r="L11" s="4">
        <v>1103</v>
      </c>
      <c r="M11" s="4" t="str">
        <v>Card</v>
      </c>
      <c r="N11" s="4">
        <v>32147.279999999999</v>
      </c>
    </row>
    <row r="12" spans="1:14" x14ac:dyDescent="0.3">
      <c r="A12" s="4">
        <v>34</v>
      </c>
      <c r="B12" s="15">
        <v>45325</v>
      </c>
      <c r="C12" s="4">
        <v>1099</v>
      </c>
      <c r="D12" s="4" t="str">
        <v>Customer_175</v>
      </c>
      <c r="E12" s="4" t="str">
        <v>Consumer</v>
      </c>
      <c r="F12" s="4" t="str">
        <v>West</v>
      </c>
      <c r="G12" s="4" t="str">
        <v>Electronics</v>
      </c>
      <c r="H12" s="4" t="str">
        <v>Product_A</v>
      </c>
      <c r="I12" s="4">
        <v>2141</v>
      </c>
      <c r="J12" s="4">
        <v>9</v>
      </c>
      <c r="K12" s="4">
        <v>0.13</v>
      </c>
      <c r="L12" s="4">
        <v>191</v>
      </c>
      <c r="M12" s="4" t="str">
        <v>COD</v>
      </c>
      <c r="N12" s="4">
        <v>16764.03</v>
      </c>
    </row>
    <row r="13" spans="1:14" x14ac:dyDescent="0.3">
      <c r="A13" s="4">
        <v>36</v>
      </c>
      <c r="B13" s="15">
        <v>45327</v>
      </c>
      <c r="C13" s="4">
        <v>1052</v>
      </c>
      <c r="D13" s="4" t="str">
        <v>Customer_192</v>
      </c>
      <c r="E13" s="4" t="str">
        <v>Corporate</v>
      </c>
      <c r="F13" s="4" t="str">
        <v>South</v>
      </c>
      <c r="G13" s="4" t="str">
        <v>Electronics</v>
      </c>
      <c r="H13" s="4" t="str">
        <v>Product_A</v>
      </c>
      <c r="I13" s="4">
        <v>2529</v>
      </c>
      <c r="J13" s="4">
        <v>7</v>
      </c>
      <c r="K13" s="4">
        <v>0.06</v>
      </c>
      <c r="L13" s="4">
        <v>-454</v>
      </c>
      <c r="M13" s="4" t="str">
        <v>Card</v>
      </c>
      <c r="N13" s="4">
        <v>16640.82</v>
      </c>
    </row>
    <row r="14" spans="1:14" x14ac:dyDescent="0.3">
      <c r="A14" s="4">
        <v>39</v>
      </c>
      <c r="B14" s="15">
        <v>45330</v>
      </c>
      <c r="C14" s="4">
        <v>1094</v>
      </c>
      <c r="D14" s="4" t="str">
        <v>Customer_16</v>
      </c>
      <c r="E14" s="4" t="str">
        <v>Consumer</v>
      </c>
      <c r="F14" s="4" t="str">
        <v>East</v>
      </c>
      <c r="G14" s="4" t="str">
        <v>Electronics</v>
      </c>
      <c r="H14" s="4" t="str">
        <v>Product_D</v>
      </c>
      <c r="I14" s="4">
        <v>1152</v>
      </c>
      <c r="J14" s="4">
        <v>2</v>
      </c>
      <c r="K14" s="4">
        <v>0.13</v>
      </c>
      <c r="L14" s="4">
        <v>-297</v>
      </c>
      <c r="M14" s="4" t="str">
        <v>UPI</v>
      </c>
      <c r="N14" s="4">
        <v>2004.48</v>
      </c>
    </row>
    <row r="15" spans="1:14" x14ac:dyDescent="0.3">
      <c r="A15" s="4">
        <v>40</v>
      </c>
      <c r="B15" s="15">
        <v>45331</v>
      </c>
      <c r="C15" s="4">
        <v>1027</v>
      </c>
      <c r="D15" s="4" t="str">
        <v>Customer_119</v>
      </c>
      <c r="E15" s="4" t="str">
        <v>Corporate</v>
      </c>
      <c r="F15" s="4" t="str">
        <v>South</v>
      </c>
      <c r="G15" s="4" t="str">
        <v>Electronics</v>
      </c>
      <c r="H15" s="4" t="str">
        <v>Product_A</v>
      </c>
      <c r="I15" s="4">
        <v>1345</v>
      </c>
      <c r="J15" s="4">
        <v>4</v>
      </c>
      <c r="K15" s="4">
        <v>0.22</v>
      </c>
      <c r="L15" s="4">
        <v>1624</v>
      </c>
      <c r="M15" s="4" t="str">
        <v>COD</v>
      </c>
      <c r="N15" s="4">
        <v>4196.3999999999996</v>
      </c>
    </row>
    <row r="16" spans="1:14" x14ac:dyDescent="0.3">
      <c r="A16" s="4">
        <v>43</v>
      </c>
      <c r="B16" s="15">
        <v>45334</v>
      </c>
      <c r="C16" s="4">
        <v>1076</v>
      </c>
      <c r="D16" s="4" t="str">
        <v>Customer_50</v>
      </c>
      <c r="E16" s="4" t="str">
        <v>Consumer</v>
      </c>
      <c r="F16" s="4" t="str">
        <v>West</v>
      </c>
      <c r="G16" s="4" t="str">
        <v>Electronics</v>
      </c>
      <c r="H16" s="4" t="str">
        <v>Product_D</v>
      </c>
      <c r="I16" s="4">
        <v>1934</v>
      </c>
      <c r="J16" s="4">
        <v>8</v>
      </c>
      <c r="K16" s="4">
        <v>0.24</v>
      </c>
      <c r="L16" s="4">
        <v>1168</v>
      </c>
      <c r="M16" s="4" t="str">
        <v>Card</v>
      </c>
      <c r="N16" s="4">
        <v>11758.72</v>
      </c>
    </row>
    <row r="17" spans="1:14" x14ac:dyDescent="0.3">
      <c r="A17" s="4">
        <v>44</v>
      </c>
      <c r="B17" s="15">
        <v>45335</v>
      </c>
      <c r="C17" s="4">
        <v>1040</v>
      </c>
      <c r="D17" s="4" t="str">
        <v>Customer_34</v>
      </c>
      <c r="E17" s="4" t="str">
        <v>Corporate</v>
      </c>
      <c r="F17" s="4" t="str">
        <v>North</v>
      </c>
      <c r="G17" s="4" t="str">
        <v>Electronics</v>
      </c>
      <c r="H17" s="4" t="str">
        <v>Product_C</v>
      </c>
      <c r="I17" s="4">
        <v>3605</v>
      </c>
      <c r="J17" s="4">
        <v>2</v>
      </c>
      <c r="K17" s="4">
        <v>0.22</v>
      </c>
      <c r="L17" s="4">
        <v>1510</v>
      </c>
      <c r="M17" s="4" t="str">
        <v>Card</v>
      </c>
      <c r="N17" s="4">
        <v>5623.8</v>
      </c>
    </row>
    <row r="18" spans="1:14" x14ac:dyDescent="0.3">
      <c r="A18" s="4">
        <v>47</v>
      </c>
      <c r="B18" s="15">
        <v>45338</v>
      </c>
      <c r="C18" s="4">
        <v>1064</v>
      </c>
      <c r="D18" s="4" t="str">
        <v>Customer_13</v>
      </c>
      <c r="E18" s="4" t="str">
        <v>Corporate</v>
      </c>
      <c r="F18" s="4" t="str">
        <v>West</v>
      </c>
      <c r="G18" s="4" t="str">
        <v>Electronics</v>
      </c>
      <c r="H18" s="4" t="str">
        <v>Product_B</v>
      </c>
      <c r="I18" s="4">
        <v>1788</v>
      </c>
      <c r="J18" s="4">
        <v>7</v>
      </c>
      <c r="K18" s="4">
        <v>0.06</v>
      </c>
      <c r="L18" s="4">
        <v>-196</v>
      </c>
      <c r="M18" s="4" t="str">
        <v>Card</v>
      </c>
      <c r="N18" s="4">
        <v>11765.039999999901</v>
      </c>
    </row>
    <row r="19" spans="1:14" x14ac:dyDescent="0.3">
      <c r="A19" s="4">
        <v>49</v>
      </c>
      <c r="B19" s="15">
        <v>45340</v>
      </c>
      <c r="C19" s="4">
        <v>1034</v>
      </c>
      <c r="D19" s="4" t="str">
        <v>Customer_27</v>
      </c>
      <c r="E19" s="4" t="str">
        <v>Consumer</v>
      </c>
      <c r="F19" s="4" t="str">
        <v>South</v>
      </c>
      <c r="G19" s="4" t="str">
        <v>Electronics</v>
      </c>
      <c r="H19" s="4" t="str">
        <v>Product_B</v>
      </c>
      <c r="I19" s="4">
        <v>1734</v>
      </c>
      <c r="J19" s="4">
        <v>6</v>
      </c>
      <c r="K19" s="4">
        <v>0.27</v>
      </c>
      <c r="L19" s="4">
        <v>318</v>
      </c>
      <c r="M19" s="4" t="str">
        <v>UPI</v>
      </c>
      <c r="N19" s="4">
        <v>7594.92</v>
      </c>
    </row>
    <row r="20" spans="1:14" x14ac:dyDescent="0.3">
      <c r="A20" s="4">
        <v>53</v>
      </c>
      <c r="B20" s="15">
        <v>45344</v>
      </c>
      <c r="C20" s="4">
        <v>1077</v>
      </c>
      <c r="D20" s="4" t="str">
        <v>Customer_144</v>
      </c>
      <c r="E20" s="4" t="str">
        <v>Corporate</v>
      </c>
      <c r="F20" s="4" t="str">
        <v>North</v>
      </c>
      <c r="G20" s="4" t="str">
        <v>Electronics</v>
      </c>
      <c r="H20" s="4" t="str">
        <v>Product_B</v>
      </c>
      <c r="I20" s="4">
        <v>3756</v>
      </c>
      <c r="J20" s="4">
        <v>9</v>
      </c>
      <c r="K20" s="4">
        <v>0.1</v>
      </c>
      <c r="L20" s="4">
        <v>1822</v>
      </c>
      <c r="M20" s="4" t="str">
        <v>Card</v>
      </c>
      <c r="N20" s="4">
        <v>30423.599999999999</v>
      </c>
    </row>
    <row r="21" spans="1:14" x14ac:dyDescent="0.3">
      <c r="A21" s="4">
        <v>56</v>
      </c>
      <c r="B21" s="15">
        <v>45347</v>
      </c>
      <c r="C21" s="4">
        <v>1027</v>
      </c>
      <c r="D21" s="4" t="str">
        <v>Customer_197</v>
      </c>
      <c r="E21" s="4" t="str">
        <v>Corporate</v>
      </c>
      <c r="F21" s="4" t="str">
        <v>North</v>
      </c>
      <c r="G21" s="4" t="str">
        <v>Electronics</v>
      </c>
      <c r="H21" s="4" t="str">
        <v>Product_C</v>
      </c>
      <c r="I21" s="4">
        <v>879</v>
      </c>
      <c r="J21" s="4">
        <v>7</v>
      </c>
      <c r="K21" s="4">
        <v>0.03</v>
      </c>
      <c r="L21" s="4">
        <v>1934</v>
      </c>
      <c r="M21" s="4" t="str">
        <v>Card</v>
      </c>
      <c r="N21" s="4">
        <v>5968.41</v>
      </c>
    </row>
    <row r="22" spans="1:14" x14ac:dyDescent="0.3">
      <c r="A22" s="4">
        <v>60</v>
      </c>
      <c r="B22" s="15">
        <v>45351</v>
      </c>
      <c r="C22" s="4">
        <v>1026</v>
      </c>
      <c r="D22" s="4" t="str">
        <v>Customer_143</v>
      </c>
      <c r="E22" s="4" t="str">
        <v>Consumer</v>
      </c>
      <c r="F22" s="4" t="str">
        <v>North</v>
      </c>
      <c r="G22" s="4" t="str">
        <v>Electronics</v>
      </c>
      <c r="H22" s="4" t="str">
        <v>Product_C</v>
      </c>
      <c r="I22" s="4">
        <v>4776</v>
      </c>
      <c r="J22" s="4">
        <v>3</v>
      </c>
      <c r="K22" s="4">
        <v>7.0000000000000007E-2</v>
      </c>
      <c r="L22" s="4">
        <v>1297</v>
      </c>
      <c r="M22" s="4" t="str">
        <v>UPI</v>
      </c>
      <c r="N22" s="4">
        <v>13325.039999999901</v>
      </c>
    </row>
    <row r="23" spans="1:14" x14ac:dyDescent="0.3">
      <c r="A23" s="4">
        <v>63</v>
      </c>
      <c r="B23" s="15">
        <v>45354</v>
      </c>
      <c r="C23" s="4">
        <v>1014</v>
      </c>
      <c r="D23" s="4" t="str">
        <v>Customer_9</v>
      </c>
      <c r="E23" s="4" t="str">
        <v>Consumer</v>
      </c>
      <c r="F23" s="4" t="str">
        <v>South</v>
      </c>
      <c r="G23" s="4" t="str">
        <v>Electronics</v>
      </c>
      <c r="H23" s="4" t="str">
        <v>Product_B</v>
      </c>
      <c r="I23" s="4">
        <v>156</v>
      </c>
      <c r="J23" s="4">
        <v>9</v>
      </c>
      <c r="K23" s="4">
        <v>0.17</v>
      </c>
      <c r="L23" s="4">
        <v>325</v>
      </c>
      <c r="M23" s="4" t="str">
        <v>COD</v>
      </c>
      <c r="N23" s="4">
        <v>1165.32</v>
      </c>
    </row>
    <row r="24" spans="1:14" x14ac:dyDescent="0.3">
      <c r="A24" s="4">
        <v>64</v>
      </c>
      <c r="B24" s="15">
        <v>45355</v>
      </c>
      <c r="C24" s="4">
        <v>1075</v>
      </c>
      <c r="D24" s="4" t="str">
        <v>Customer_154</v>
      </c>
      <c r="E24" s="4" t="str">
        <v>Consumer</v>
      </c>
      <c r="F24" s="4" t="str">
        <v>South</v>
      </c>
      <c r="G24" s="4" t="str">
        <v>Electronics</v>
      </c>
      <c r="H24" s="4" t="str">
        <v>Product_A</v>
      </c>
      <c r="I24" s="4">
        <v>3350</v>
      </c>
      <c r="J24" s="4">
        <v>4</v>
      </c>
      <c r="K24" s="4">
        <v>0.09</v>
      </c>
      <c r="L24" s="4">
        <v>1332</v>
      </c>
      <c r="M24" s="4" t="str">
        <v>COD</v>
      </c>
      <c r="N24" s="4">
        <v>12194</v>
      </c>
    </row>
    <row r="25" spans="1:14" x14ac:dyDescent="0.3">
      <c r="A25" s="4">
        <v>65</v>
      </c>
      <c r="B25" s="15">
        <v>45356</v>
      </c>
      <c r="C25" s="4">
        <v>1054</v>
      </c>
      <c r="D25" s="4" t="str">
        <v>Customer_77</v>
      </c>
      <c r="E25" s="4" t="str">
        <v>Consumer</v>
      </c>
      <c r="F25" s="4" t="str">
        <v>West</v>
      </c>
      <c r="G25" s="4" t="str">
        <v>Electronics</v>
      </c>
      <c r="H25" s="4" t="str">
        <v>Product_B</v>
      </c>
      <c r="I25" s="4">
        <v>642</v>
      </c>
      <c r="J25" s="4">
        <v>4</v>
      </c>
      <c r="K25" s="4">
        <v>0.25</v>
      </c>
      <c r="L25" s="4">
        <v>30</v>
      </c>
      <c r="M25" s="4" t="str">
        <v>UPI</v>
      </c>
      <c r="N25" s="4">
        <v>1926</v>
      </c>
    </row>
    <row r="26" spans="1:14" x14ac:dyDescent="0.3">
      <c r="A26" s="4">
        <v>66</v>
      </c>
      <c r="B26" s="15">
        <v>45357</v>
      </c>
      <c r="C26" s="4">
        <v>1071</v>
      </c>
      <c r="D26" s="4" t="str">
        <v>Customer_146</v>
      </c>
      <c r="E26" s="4" t="str">
        <v>Corporate</v>
      </c>
      <c r="F26" s="4" t="str">
        <v>West</v>
      </c>
      <c r="G26" s="4" t="str">
        <v>Electronics</v>
      </c>
      <c r="H26" s="4" t="str">
        <v>Product_A</v>
      </c>
      <c r="I26" s="4">
        <v>1032</v>
      </c>
      <c r="J26" s="4">
        <v>7</v>
      </c>
      <c r="K26" s="4">
        <v>0.23</v>
      </c>
      <c r="L26" s="4">
        <v>-33</v>
      </c>
      <c r="M26" s="4" t="str">
        <v>UPI</v>
      </c>
      <c r="N26" s="4">
        <v>5562.48</v>
      </c>
    </row>
    <row r="27" spans="1:14" x14ac:dyDescent="0.3">
      <c r="A27" s="4">
        <v>68</v>
      </c>
      <c r="B27" s="15">
        <v>45359</v>
      </c>
      <c r="C27" s="4">
        <v>1043</v>
      </c>
      <c r="D27" s="4" t="str">
        <v>Customer_23</v>
      </c>
      <c r="E27" s="4" t="str">
        <v>Corporate</v>
      </c>
      <c r="F27" s="4" t="str">
        <v>North</v>
      </c>
      <c r="G27" s="4" t="str">
        <v>Electronics</v>
      </c>
      <c r="H27" s="4" t="str">
        <v>Product_D</v>
      </c>
      <c r="I27" s="4">
        <v>1275</v>
      </c>
      <c r="J27" s="4">
        <v>9</v>
      </c>
      <c r="K27" s="4">
        <v>0.14000000000000001</v>
      </c>
      <c r="L27" s="4">
        <v>1604</v>
      </c>
      <c r="M27" s="4" t="str">
        <v>Card</v>
      </c>
      <c r="N27" s="4">
        <v>9868.5</v>
      </c>
    </row>
    <row r="28" spans="1:14" x14ac:dyDescent="0.3">
      <c r="A28" s="4">
        <v>74</v>
      </c>
      <c r="B28" s="15">
        <v>45365</v>
      </c>
      <c r="C28" s="4">
        <v>1056</v>
      </c>
      <c r="D28" s="4" t="str">
        <v>Customer_61</v>
      </c>
      <c r="E28" s="4" t="str">
        <v>Corporate</v>
      </c>
      <c r="F28" s="4" t="str">
        <v>East</v>
      </c>
      <c r="G28" s="4" t="str">
        <v>Electronics</v>
      </c>
      <c r="H28" s="4" t="str">
        <v>Product_D</v>
      </c>
      <c r="I28" s="4">
        <v>1766</v>
      </c>
      <c r="J28" s="4">
        <v>2</v>
      </c>
      <c r="K28" s="4">
        <v>0.28999999999999998</v>
      </c>
      <c r="L28" s="4">
        <v>620</v>
      </c>
      <c r="M28" s="4" t="str">
        <v>Card</v>
      </c>
      <c r="N28" s="4">
        <v>2507.7199999999998</v>
      </c>
    </row>
    <row r="29" spans="1:14" x14ac:dyDescent="0.3">
      <c r="A29" s="4">
        <v>82</v>
      </c>
      <c r="B29" s="15">
        <v>45373</v>
      </c>
      <c r="C29" s="4">
        <v>1048</v>
      </c>
      <c r="D29" s="4" t="str">
        <v>Customer_175</v>
      </c>
      <c r="E29" s="4" t="str">
        <v>Consumer</v>
      </c>
      <c r="F29" s="4" t="str">
        <v>South</v>
      </c>
      <c r="G29" s="4" t="str">
        <v>Electronics</v>
      </c>
      <c r="H29" s="4" t="str">
        <v>Product_A</v>
      </c>
      <c r="I29" s="4">
        <v>222</v>
      </c>
      <c r="J29" s="4">
        <v>6</v>
      </c>
      <c r="K29" s="4">
        <v>0.16</v>
      </c>
      <c r="L29" s="4">
        <v>9</v>
      </c>
      <c r="M29" s="4" t="str">
        <v>UPI</v>
      </c>
      <c r="N29" s="4">
        <v>1118.8799999999901</v>
      </c>
    </row>
    <row r="30" spans="1:14" x14ac:dyDescent="0.3">
      <c r="A30" s="4">
        <v>84</v>
      </c>
      <c r="B30" s="15">
        <v>45375</v>
      </c>
      <c r="C30" s="4">
        <v>1091</v>
      </c>
      <c r="D30" s="4" t="str">
        <v>Customer_76</v>
      </c>
      <c r="E30" s="4" t="str">
        <v>Corporate</v>
      </c>
      <c r="F30" s="4" t="str">
        <v>East</v>
      </c>
      <c r="G30" s="4" t="str">
        <v>Electronics</v>
      </c>
      <c r="H30" s="4" t="str">
        <v>Product_C</v>
      </c>
      <c r="I30" s="4">
        <v>4171</v>
      </c>
      <c r="J30" s="4">
        <v>6</v>
      </c>
      <c r="K30" s="4">
        <v>0.26</v>
      </c>
      <c r="L30" s="4">
        <v>1941</v>
      </c>
      <c r="M30" s="4" t="str">
        <v>UPI</v>
      </c>
      <c r="N30" s="4">
        <v>18519.2399999999</v>
      </c>
    </row>
    <row r="31" spans="1:14" x14ac:dyDescent="0.3">
      <c r="A31" s="4">
        <v>86</v>
      </c>
      <c r="B31" s="15">
        <v>45377</v>
      </c>
      <c r="C31" s="4">
        <v>1086</v>
      </c>
      <c r="D31" s="4" t="str">
        <v>Customer_131</v>
      </c>
      <c r="E31" s="4" t="str">
        <v>Consumer</v>
      </c>
      <c r="F31" s="4" t="str">
        <v>South</v>
      </c>
      <c r="G31" s="4" t="str">
        <v>Electronics</v>
      </c>
      <c r="H31" s="4" t="str">
        <v>Product_C</v>
      </c>
      <c r="I31" s="4">
        <v>1745</v>
      </c>
      <c r="J31" s="4">
        <v>7</v>
      </c>
      <c r="K31" s="4">
        <v>0.22</v>
      </c>
      <c r="L31" s="4">
        <v>1411</v>
      </c>
      <c r="M31" s="4" t="str">
        <v>UPI</v>
      </c>
      <c r="N31" s="4">
        <v>9527.7000000000007</v>
      </c>
    </row>
    <row r="32" spans="1:14" x14ac:dyDescent="0.3">
      <c r="A32" s="4">
        <v>87</v>
      </c>
      <c r="B32" s="15">
        <v>45378</v>
      </c>
      <c r="C32" s="4">
        <v>1003</v>
      </c>
      <c r="D32" s="4" t="str">
        <v>Customer_150</v>
      </c>
      <c r="E32" s="4" t="str">
        <v>Corporate</v>
      </c>
      <c r="F32" s="4" t="str">
        <v>South</v>
      </c>
      <c r="G32" s="4" t="str">
        <v>Electronics</v>
      </c>
      <c r="H32" s="4" t="str">
        <v>Product_D</v>
      </c>
      <c r="I32" s="4">
        <v>2969</v>
      </c>
      <c r="J32" s="4">
        <v>3</v>
      </c>
      <c r="K32" s="4">
        <v>0.28999999999999998</v>
      </c>
      <c r="L32" s="4">
        <v>735</v>
      </c>
      <c r="M32" s="4" t="str">
        <v>UPI</v>
      </c>
      <c r="N32" s="4">
        <v>6323.9699999999903</v>
      </c>
    </row>
    <row r="33" spans="1:14" x14ac:dyDescent="0.3">
      <c r="A33" s="4">
        <v>89</v>
      </c>
      <c r="B33" s="15">
        <v>45380</v>
      </c>
      <c r="C33" s="4">
        <v>1011</v>
      </c>
      <c r="D33" s="4" t="str">
        <v>Customer_191</v>
      </c>
      <c r="E33" s="4" t="str">
        <v>Corporate</v>
      </c>
      <c r="F33" s="4" t="str">
        <v>South</v>
      </c>
      <c r="G33" s="4" t="str">
        <v>Electronics</v>
      </c>
      <c r="H33" s="4" t="str">
        <v>Product_B</v>
      </c>
      <c r="I33" s="4">
        <v>2972</v>
      </c>
      <c r="J33" s="4">
        <v>6</v>
      </c>
      <c r="K33" s="4">
        <v>0.04</v>
      </c>
      <c r="L33" s="4">
        <v>64</v>
      </c>
      <c r="M33" s="4" t="str">
        <v>UPI</v>
      </c>
      <c r="N33" s="4">
        <v>17118.72</v>
      </c>
    </row>
    <row r="34" spans="1:14" x14ac:dyDescent="0.3">
      <c r="A34" s="4">
        <v>91</v>
      </c>
      <c r="B34" s="15">
        <v>45382</v>
      </c>
      <c r="C34" s="4">
        <v>1089</v>
      </c>
      <c r="D34" s="4" t="str">
        <v>Customer_148</v>
      </c>
      <c r="E34" s="4" t="str">
        <v>Corporate</v>
      </c>
      <c r="F34" s="4" t="str">
        <v>North</v>
      </c>
      <c r="G34" s="4" t="str">
        <v>Electronics</v>
      </c>
      <c r="H34" s="4" t="str">
        <v>Product_B</v>
      </c>
      <c r="I34" s="4">
        <v>775</v>
      </c>
      <c r="J34" s="4">
        <v>6</v>
      </c>
      <c r="K34" s="4">
        <v>0.18</v>
      </c>
      <c r="L34" s="4">
        <v>1459</v>
      </c>
      <c r="M34" s="4" t="str">
        <v>UPI</v>
      </c>
      <c r="N34" s="4">
        <v>3813</v>
      </c>
    </row>
    <row r="35" spans="1:14" x14ac:dyDescent="0.3">
      <c r="A35" s="4">
        <v>93</v>
      </c>
      <c r="B35" s="15">
        <v>45384</v>
      </c>
      <c r="C35" s="4">
        <v>1003</v>
      </c>
      <c r="D35" s="4" t="str">
        <v>Customer_105</v>
      </c>
      <c r="E35" s="4" t="str">
        <v>Corporate</v>
      </c>
      <c r="F35" s="4" t="str">
        <v>North</v>
      </c>
      <c r="G35" s="4" t="str">
        <v>Electronics</v>
      </c>
      <c r="H35" s="4" t="str">
        <v>Product_D</v>
      </c>
      <c r="I35" s="4">
        <v>2396</v>
      </c>
      <c r="J35" s="4">
        <v>8</v>
      </c>
      <c r="K35" s="4">
        <v>0.16</v>
      </c>
      <c r="L35" s="4">
        <v>943</v>
      </c>
      <c r="M35" s="4" t="str">
        <v>Card</v>
      </c>
      <c r="N35" s="4">
        <v>16101.119999999901</v>
      </c>
    </row>
    <row r="36" spans="1:14" x14ac:dyDescent="0.3">
      <c r="A36" s="4">
        <v>98</v>
      </c>
      <c r="B36" s="15">
        <v>45389</v>
      </c>
      <c r="C36" s="4">
        <v>1009</v>
      </c>
      <c r="D36" s="4" t="str">
        <v>Customer_41</v>
      </c>
      <c r="E36" s="4" t="str">
        <v>Consumer</v>
      </c>
      <c r="F36" s="4" t="str">
        <v>South</v>
      </c>
      <c r="G36" s="4" t="str">
        <v>Electronics</v>
      </c>
      <c r="H36" s="4" t="str">
        <v>Product_A</v>
      </c>
      <c r="I36" s="4">
        <v>3094</v>
      </c>
      <c r="J36" s="4">
        <v>4</v>
      </c>
      <c r="K36" s="4">
        <v>0.2</v>
      </c>
      <c r="L36" s="4">
        <v>236</v>
      </c>
      <c r="M36" s="4" t="str">
        <v>Card</v>
      </c>
      <c r="N36" s="4">
        <v>9900.7999999999993</v>
      </c>
    </row>
    <row r="37" spans="1:14" x14ac:dyDescent="0.3">
      <c r="A37" s="4">
        <v>99</v>
      </c>
      <c r="B37" s="15">
        <v>45390</v>
      </c>
      <c r="C37" s="4">
        <v>1087</v>
      </c>
      <c r="D37" s="4" t="str">
        <v>Customer_123</v>
      </c>
      <c r="E37" s="4" t="str">
        <v>Consumer</v>
      </c>
      <c r="F37" s="4" t="str">
        <v>West</v>
      </c>
      <c r="G37" s="4" t="str">
        <v>Electronics</v>
      </c>
      <c r="H37" s="4" t="str">
        <v>Product_A</v>
      </c>
      <c r="I37" s="4">
        <v>4656</v>
      </c>
      <c r="J37" s="4">
        <v>8</v>
      </c>
      <c r="K37" s="4">
        <v>0.05</v>
      </c>
      <c r="L37" s="4">
        <v>115</v>
      </c>
      <c r="M37" s="4" t="str">
        <v>Card</v>
      </c>
      <c r="N37" s="4">
        <v>35385.599999999999</v>
      </c>
    </row>
    <row r="38" spans="1:14" x14ac:dyDescent="0.3">
      <c r="A38" s="4">
        <v>102</v>
      </c>
      <c r="B38" s="15">
        <v>45393</v>
      </c>
      <c r="C38" s="4">
        <v>1070</v>
      </c>
      <c r="D38" s="4" t="str">
        <v>Customer_182</v>
      </c>
      <c r="E38" s="4" t="str">
        <v>Consumer</v>
      </c>
      <c r="F38" s="4" t="str">
        <v>East</v>
      </c>
      <c r="G38" s="4" t="str">
        <v>Electronics</v>
      </c>
      <c r="H38" s="4" t="str">
        <v>Product_B</v>
      </c>
      <c r="I38" s="4">
        <v>4505</v>
      </c>
      <c r="J38" s="4">
        <v>4</v>
      </c>
      <c r="K38" s="4">
        <v>0.2</v>
      </c>
      <c r="L38" s="4">
        <v>-150</v>
      </c>
      <c r="M38" s="4" t="str">
        <v>UPI</v>
      </c>
      <c r="N38" s="4">
        <v>14416</v>
      </c>
    </row>
    <row r="39" spans="1:14" x14ac:dyDescent="0.3">
      <c r="A39" s="4">
        <v>103</v>
      </c>
      <c r="B39" s="15">
        <v>45394</v>
      </c>
      <c r="C39" s="4">
        <v>1012</v>
      </c>
      <c r="D39" s="4" t="str">
        <v>Customer_23</v>
      </c>
      <c r="E39" s="4" t="str">
        <v>Consumer</v>
      </c>
      <c r="F39" s="4" t="str">
        <v>East</v>
      </c>
      <c r="G39" s="4" t="str">
        <v>Electronics</v>
      </c>
      <c r="H39" s="4" t="str">
        <v>Product_C</v>
      </c>
      <c r="I39" s="4">
        <v>3765</v>
      </c>
      <c r="J39" s="4">
        <v>2</v>
      </c>
      <c r="K39" s="4">
        <v>0.23</v>
      </c>
      <c r="L39" s="4">
        <v>820</v>
      </c>
      <c r="M39" s="4" t="str">
        <v>COD</v>
      </c>
      <c r="N39" s="4">
        <v>5798.1</v>
      </c>
    </row>
    <row r="40" spans="1:14" x14ac:dyDescent="0.3">
      <c r="A40" s="4">
        <v>107</v>
      </c>
      <c r="B40" s="15">
        <v>45398</v>
      </c>
      <c r="C40" s="4">
        <v>1017</v>
      </c>
      <c r="D40" s="4" t="str">
        <v>Customer_109</v>
      </c>
      <c r="E40" s="4" t="str">
        <v>Consumer</v>
      </c>
      <c r="F40" s="4" t="str">
        <v>East</v>
      </c>
      <c r="G40" s="4" t="str">
        <v>Electronics</v>
      </c>
      <c r="H40" s="4" t="str">
        <v>Product_B</v>
      </c>
      <c r="I40" s="4">
        <v>101</v>
      </c>
      <c r="J40" s="4">
        <v>2</v>
      </c>
      <c r="K40" s="4">
        <v>0.26</v>
      </c>
      <c r="L40" s="4">
        <v>1747</v>
      </c>
      <c r="M40" s="4" t="str">
        <v>COD</v>
      </c>
      <c r="N40" s="4">
        <v>149.47999999999999</v>
      </c>
    </row>
    <row r="41" spans="1:14" x14ac:dyDescent="0.3">
      <c r="A41" s="4">
        <v>114</v>
      </c>
      <c r="B41" s="15">
        <v>45405</v>
      </c>
      <c r="C41" s="4">
        <v>1016</v>
      </c>
      <c r="D41" s="4" t="str">
        <v>Customer_174</v>
      </c>
      <c r="E41" s="4" t="str">
        <v>Corporate</v>
      </c>
      <c r="F41" s="4" t="str">
        <v>South</v>
      </c>
      <c r="G41" s="4" t="str">
        <v>Electronics</v>
      </c>
      <c r="H41" s="4" t="str">
        <v>Product_D</v>
      </c>
      <c r="I41" s="4">
        <v>327</v>
      </c>
      <c r="J41" s="4">
        <v>6</v>
      </c>
      <c r="K41" s="4">
        <v>0.02</v>
      </c>
      <c r="L41" s="4">
        <v>-476</v>
      </c>
      <c r="M41" s="4" t="str">
        <v>UPI</v>
      </c>
      <c r="N41" s="4">
        <v>1922.76</v>
      </c>
    </row>
    <row r="42" spans="1:14" x14ac:dyDescent="0.3">
      <c r="A42" s="4">
        <v>126</v>
      </c>
      <c r="B42" s="15">
        <v>45417</v>
      </c>
      <c r="C42" s="4">
        <v>1029</v>
      </c>
      <c r="D42" s="4" t="str">
        <v>Customer_46</v>
      </c>
      <c r="E42" s="4" t="str">
        <v>Consumer</v>
      </c>
      <c r="F42" s="4" t="str">
        <v>North</v>
      </c>
      <c r="G42" s="4" t="str">
        <v>Electronics</v>
      </c>
      <c r="H42" s="4" t="str">
        <v>Product_C</v>
      </c>
      <c r="I42" s="4">
        <v>3817</v>
      </c>
      <c r="J42" s="4">
        <v>5</v>
      </c>
      <c r="K42" s="4">
        <v>0.14000000000000001</v>
      </c>
      <c r="L42" s="4">
        <v>381</v>
      </c>
      <c r="M42" s="4" t="str">
        <v>COD</v>
      </c>
      <c r="N42" s="4">
        <v>16413.099999999999</v>
      </c>
    </row>
    <row r="43" spans="1:14" x14ac:dyDescent="0.3">
      <c r="A43" s="4">
        <v>129</v>
      </c>
      <c r="B43" s="15">
        <v>45420</v>
      </c>
      <c r="C43" s="4">
        <v>1068</v>
      </c>
      <c r="D43" s="4" t="str">
        <v>Customer_111</v>
      </c>
      <c r="E43" s="4" t="str">
        <v>Consumer</v>
      </c>
      <c r="F43" s="4" t="str">
        <v>South</v>
      </c>
      <c r="G43" s="4" t="str">
        <v>Electronics</v>
      </c>
      <c r="H43" s="4" t="str">
        <v>Product_A</v>
      </c>
      <c r="I43" s="4">
        <v>3250</v>
      </c>
      <c r="J43" s="4">
        <v>7</v>
      </c>
      <c r="K43" s="4">
        <v>0.24</v>
      </c>
      <c r="L43" s="4">
        <v>170</v>
      </c>
      <c r="M43" s="4" t="str">
        <v>COD</v>
      </c>
      <c r="N43" s="4">
        <v>17290</v>
      </c>
    </row>
    <row r="44" spans="1:14" x14ac:dyDescent="0.3">
      <c r="A44" s="4">
        <v>131</v>
      </c>
      <c r="B44" s="15">
        <v>45422</v>
      </c>
      <c r="C44" s="4">
        <v>1007</v>
      </c>
      <c r="D44" s="4" t="str">
        <v>Customer_32</v>
      </c>
      <c r="E44" s="4" t="str">
        <v>Consumer</v>
      </c>
      <c r="F44" s="4" t="str">
        <v>South</v>
      </c>
      <c r="G44" s="4" t="str">
        <v>Electronics</v>
      </c>
      <c r="H44" s="4" t="str">
        <v>Product_C</v>
      </c>
      <c r="I44" s="4">
        <v>4420</v>
      </c>
      <c r="J44" s="4">
        <v>9</v>
      </c>
      <c r="K44" s="4">
        <v>0.18</v>
      </c>
      <c r="L44" s="4">
        <v>-333</v>
      </c>
      <c r="M44" s="4" t="str">
        <v>UPI</v>
      </c>
      <c r="N44" s="4">
        <v>32619.599999999999</v>
      </c>
    </row>
    <row r="45" spans="1:14" x14ac:dyDescent="0.3">
      <c r="A45" s="4">
        <v>134</v>
      </c>
      <c r="B45" s="15">
        <v>45425</v>
      </c>
      <c r="C45" s="4">
        <v>1065</v>
      </c>
      <c r="D45" s="4" t="str">
        <v>Customer_164</v>
      </c>
      <c r="E45" s="4" t="str">
        <v>Consumer</v>
      </c>
      <c r="F45" s="4" t="str">
        <v>South</v>
      </c>
      <c r="G45" s="4" t="str">
        <v>Electronics</v>
      </c>
      <c r="H45" s="4" t="str">
        <v>Product_D</v>
      </c>
      <c r="I45" s="4">
        <v>1391</v>
      </c>
      <c r="J45" s="4">
        <v>7</v>
      </c>
      <c r="K45" s="4">
        <v>0.13</v>
      </c>
      <c r="L45" s="4">
        <v>1496</v>
      </c>
      <c r="M45" s="4" t="str">
        <v>COD</v>
      </c>
      <c r="N45" s="4">
        <v>8471.19</v>
      </c>
    </row>
    <row r="46" spans="1:14" x14ac:dyDescent="0.3">
      <c r="A46" s="4">
        <v>136</v>
      </c>
      <c r="B46" s="15">
        <v>45427</v>
      </c>
      <c r="C46" s="4">
        <v>1067</v>
      </c>
      <c r="D46" s="4" t="str">
        <v>Customer_70</v>
      </c>
      <c r="E46" s="4" t="str">
        <v>Consumer</v>
      </c>
      <c r="F46" s="4" t="str">
        <v>East</v>
      </c>
      <c r="G46" s="4" t="str">
        <v>Electronics</v>
      </c>
      <c r="H46" s="4" t="str">
        <v>Product_D</v>
      </c>
      <c r="I46" s="4">
        <v>2652</v>
      </c>
      <c r="J46" s="4">
        <v>1</v>
      </c>
      <c r="K46" s="4">
        <v>0.08</v>
      </c>
      <c r="L46" s="4">
        <v>-241</v>
      </c>
      <c r="M46" s="4" t="str">
        <v>Card</v>
      </c>
      <c r="N46" s="4">
        <v>2439.84</v>
      </c>
    </row>
    <row r="47" spans="1:14" x14ac:dyDescent="0.3">
      <c r="A47" s="4">
        <v>138</v>
      </c>
      <c r="B47" s="15">
        <v>45429</v>
      </c>
      <c r="C47" s="4">
        <v>1051</v>
      </c>
      <c r="D47" s="4" t="str">
        <v>Customer_21</v>
      </c>
      <c r="E47" s="4" t="str">
        <v>Corporate</v>
      </c>
      <c r="F47" s="4" t="str">
        <v>South</v>
      </c>
      <c r="G47" s="4" t="str">
        <v>Electronics</v>
      </c>
      <c r="H47" s="4" t="str">
        <v>Product_A</v>
      </c>
      <c r="I47" s="4">
        <v>314</v>
      </c>
      <c r="J47" s="4">
        <v>3</v>
      </c>
      <c r="K47" s="4">
        <v>0.19</v>
      </c>
      <c r="L47" s="4">
        <v>1084</v>
      </c>
      <c r="M47" s="4" t="str">
        <v>COD</v>
      </c>
      <c r="N47" s="4">
        <v>763.02</v>
      </c>
    </row>
    <row r="48" spans="1:14" x14ac:dyDescent="0.3">
      <c r="A48" s="4">
        <v>142</v>
      </c>
      <c r="B48" s="15">
        <v>45433</v>
      </c>
      <c r="C48" s="4">
        <v>1013</v>
      </c>
      <c r="D48" s="4" t="str">
        <v>Customer_24</v>
      </c>
      <c r="E48" s="4" t="str">
        <v>Corporate</v>
      </c>
      <c r="F48" s="4" t="str">
        <v>West</v>
      </c>
      <c r="G48" s="4" t="str">
        <v>Electronics</v>
      </c>
      <c r="H48" s="4" t="str">
        <v>Product_B</v>
      </c>
      <c r="I48" s="4">
        <v>2445</v>
      </c>
      <c r="J48" s="4">
        <v>3</v>
      </c>
      <c r="K48" s="4">
        <v>7.0000000000000007E-2</v>
      </c>
      <c r="L48" s="4">
        <v>834</v>
      </c>
      <c r="M48" s="4" t="str">
        <v>COD</v>
      </c>
      <c r="N48" s="4">
        <v>6821.5499999999902</v>
      </c>
    </row>
    <row r="49" spans="1:14" x14ac:dyDescent="0.3">
      <c r="A49" s="4">
        <v>152</v>
      </c>
      <c r="B49" s="15">
        <v>45443</v>
      </c>
      <c r="C49" s="4">
        <v>1077</v>
      </c>
      <c r="D49" s="4" t="str">
        <v>Customer_52</v>
      </c>
      <c r="E49" s="4" t="str">
        <v>Consumer</v>
      </c>
      <c r="F49" s="4" t="str">
        <v>West</v>
      </c>
      <c r="G49" s="4" t="str">
        <v>Electronics</v>
      </c>
      <c r="H49" s="4" t="str">
        <v>Product_A</v>
      </c>
      <c r="I49" s="4">
        <v>3953</v>
      </c>
      <c r="J49" s="4">
        <v>3</v>
      </c>
      <c r="K49" s="4">
        <v>0.13</v>
      </c>
      <c r="L49" s="4">
        <v>1405</v>
      </c>
      <c r="M49" s="4" t="str">
        <v>COD</v>
      </c>
      <c r="N49" s="4">
        <v>10317.33</v>
      </c>
    </row>
    <row r="50" spans="1:14" x14ac:dyDescent="0.3">
      <c r="A50" s="4">
        <v>158</v>
      </c>
      <c r="B50" s="15">
        <v>45449</v>
      </c>
      <c r="C50" s="4">
        <v>1070</v>
      </c>
      <c r="D50" s="4" t="str">
        <v>Customer_182</v>
      </c>
      <c r="E50" s="4" t="str">
        <v>Consumer</v>
      </c>
      <c r="F50" s="4" t="str">
        <v>South</v>
      </c>
      <c r="G50" s="4" t="str">
        <v>Electronics</v>
      </c>
      <c r="H50" s="4" t="str">
        <v>Product_B</v>
      </c>
      <c r="I50" s="4">
        <v>3662</v>
      </c>
      <c r="J50" s="4">
        <v>1</v>
      </c>
      <c r="K50" s="4">
        <v>0.22</v>
      </c>
      <c r="L50" s="4">
        <v>-184</v>
      </c>
      <c r="M50" s="4" t="str">
        <v>Card</v>
      </c>
      <c r="N50" s="4">
        <v>2856.36</v>
      </c>
    </row>
    <row r="51" spans="1:14" x14ac:dyDescent="0.3">
      <c r="A51" s="4">
        <v>164</v>
      </c>
      <c r="B51" s="15">
        <v>45455</v>
      </c>
      <c r="C51" s="4">
        <v>1007</v>
      </c>
      <c r="D51" s="4" t="str">
        <v>Customer_95</v>
      </c>
      <c r="E51" s="4" t="str">
        <v>Consumer</v>
      </c>
      <c r="F51" s="4" t="str">
        <v>South</v>
      </c>
      <c r="G51" s="4" t="str">
        <v>Electronics</v>
      </c>
      <c r="H51" s="4" t="str">
        <v>Product_C</v>
      </c>
      <c r="I51" s="4">
        <v>4335</v>
      </c>
      <c r="J51" s="4">
        <v>5</v>
      </c>
      <c r="K51" s="4">
        <v>0.24</v>
      </c>
      <c r="L51" s="4">
        <v>1958</v>
      </c>
      <c r="M51" s="4" t="str">
        <v>UPI</v>
      </c>
      <c r="N51" s="4">
        <v>16473</v>
      </c>
    </row>
    <row r="52" spans="1:14" x14ac:dyDescent="0.3">
      <c r="A52" s="4">
        <v>166</v>
      </c>
      <c r="B52" s="15">
        <v>45457</v>
      </c>
      <c r="C52" s="4">
        <v>1044</v>
      </c>
      <c r="D52" s="4" t="str">
        <v>Customer_168</v>
      </c>
      <c r="E52" s="4" t="str">
        <v>Corporate</v>
      </c>
      <c r="F52" s="4" t="str">
        <v>North</v>
      </c>
      <c r="G52" s="4" t="str">
        <v>Electronics</v>
      </c>
      <c r="H52" s="4" t="str">
        <v>Product_D</v>
      </c>
      <c r="I52" s="4">
        <v>3206</v>
      </c>
      <c r="J52" s="4">
        <v>2</v>
      </c>
      <c r="K52" s="4">
        <v>0.19</v>
      </c>
      <c r="L52" s="4">
        <v>1742</v>
      </c>
      <c r="M52" s="4" t="str">
        <v>COD</v>
      </c>
      <c r="N52" s="4">
        <v>5193.72</v>
      </c>
    </row>
    <row r="53" spans="1:14" x14ac:dyDescent="0.3">
      <c r="A53" s="4">
        <v>174</v>
      </c>
      <c r="B53" s="15">
        <v>45465</v>
      </c>
      <c r="C53" s="4">
        <v>1003</v>
      </c>
      <c r="D53" s="4" t="str">
        <v>Customer_111</v>
      </c>
      <c r="E53" s="4" t="str">
        <v>Consumer</v>
      </c>
      <c r="F53" s="4" t="str">
        <v>East</v>
      </c>
      <c r="G53" s="4" t="str">
        <v>Electronics</v>
      </c>
      <c r="H53" s="4" t="str">
        <v>Product_A</v>
      </c>
      <c r="I53" s="4">
        <v>3120</v>
      </c>
      <c r="J53" s="4">
        <v>6</v>
      </c>
      <c r="K53" s="4">
        <v>0.11</v>
      </c>
      <c r="L53" s="4">
        <v>-429</v>
      </c>
      <c r="M53" s="4" t="str">
        <v>UPI</v>
      </c>
      <c r="N53" s="4">
        <v>16660.8</v>
      </c>
    </row>
    <row r="54" spans="1:14" x14ac:dyDescent="0.3">
      <c r="A54" s="4">
        <v>182</v>
      </c>
      <c r="B54" s="15">
        <v>45473</v>
      </c>
      <c r="C54" s="4">
        <v>1018</v>
      </c>
      <c r="D54" s="4" t="str">
        <v>Customer_164</v>
      </c>
      <c r="E54" s="4" t="str">
        <v>Consumer</v>
      </c>
      <c r="F54" s="4" t="str">
        <v>South</v>
      </c>
      <c r="G54" s="4" t="str">
        <v>Electronics</v>
      </c>
      <c r="H54" s="4" t="str">
        <v>Product_B</v>
      </c>
      <c r="I54" s="4">
        <v>3546</v>
      </c>
      <c r="J54" s="4">
        <v>6</v>
      </c>
      <c r="K54" s="4">
        <v>0.25</v>
      </c>
      <c r="L54" s="4">
        <v>1825</v>
      </c>
      <c r="M54" s="4" t="str">
        <v>UPI</v>
      </c>
      <c r="N54" s="4">
        <v>15957</v>
      </c>
    </row>
    <row r="55" spans="1:14" x14ac:dyDescent="0.3">
      <c r="A55" s="4">
        <v>185</v>
      </c>
      <c r="B55" s="15">
        <v>45476</v>
      </c>
      <c r="C55" s="4">
        <v>1057</v>
      </c>
      <c r="D55" s="4" t="str">
        <v>Customer_65</v>
      </c>
      <c r="E55" s="4" t="str">
        <v>Consumer</v>
      </c>
      <c r="F55" s="4" t="str">
        <v>East</v>
      </c>
      <c r="G55" s="4" t="str">
        <v>Electronics</v>
      </c>
      <c r="H55" s="4" t="str">
        <v>Product_C</v>
      </c>
      <c r="I55" s="4">
        <v>1851</v>
      </c>
      <c r="J55" s="4">
        <v>3</v>
      </c>
      <c r="K55" s="4">
        <v>0.28999999999999998</v>
      </c>
      <c r="L55" s="4">
        <v>589</v>
      </c>
      <c r="M55" s="4" t="str">
        <v>Card</v>
      </c>
      <c r="N55" s="4">
        <v>3942.6299999999901</v>
      </c>
    </row>
    <row r="56" spans="1:14" x14ac:dyDescent="0.3">
      <c r="A56" s="4">
        <v>193</v>
      </c>
      <c r="B56" s="15">
        <v>45484</v>
      </c>
      <c r="C56" s="4">
        <v>1062</v>
      </c>
      <c r="D56" s="4" t="str">
        <v>Customer_133</v>
      </c>
      <c r="E56" s="4" t="str">
        <v>Corporate</v>
      </c>
      <c r="F56" s="4" t="str">
        <v>South</v>
      </c>
      <c r="G56" s="4" t="str">
        <v>Electronics</v>
      </c>
      <c r="H56" s="4" t="str">
        <v>Product_D</v>
      </c>
      <c r="I56" s="4">
        <v>1568</v>
      </c>
      <c r="J56" s="4">
        <v>1</v>
      </c>
      <c r="K56" s="4">
        <v>0.06</v>
      </c>
      <c r="L56" s="4">
        <v>1807</v>
      </c>
      <c r="M56" s="4" t="str">
        <v>UPI</v>
      </c>
      <c r="N56" s="4">
        <v>1473.9199999999901</v>
      </c>
    </row>
    <row r="57" spans="1:14" x14ac:dyDescent="0.3">
      <c r="A57" s="4">
        <v>196</v>
      </c>
      <c r="B57" s="15">
        <v>45487</v>
      </c>
      <c r="C57" s="4">
        <v>1026</v>
      </c>
      <c r="D57" s="4" t="str">
        <v>Customer_34</v>
      </c>
      <c r="E57" s="4" t="str">
        <v>Corporate</v>
      </c>
      <c r="F57" s="4" t="str">
        <v>West</v>
      </c>
      <c r="G57" s="4" t="str">
        <v>Electronics</v>
      </c>
      <c r="H57" s="4" t="str">
        <v>Product_A</v>
      </c>
      <c r="I57" s="4">
        <v>209</v>
      </c>
      <c r="J57" s="4">
        <v>7</v>
      </c>
      <c r="K57" s="4">
        <v>0.24</v>
      </c>
      <c r="L57" s="4">
        <v>-125</v>
      </c>
      <c r="M57" s="4" t="str">
        <v>UPI</v>
      </c>
      <c r="N57" s="4">
        <v>1111.8800000000001</v>
      </c>
    </row>
    <row r="58" spans="1:14" x14ac:dyDescent="0.3">
      <c r="A58" s="4">
        <v>197</v>
      </c>
      <c r="B58" s="15">
        <v>45488</v>
      </c>
      <c r="C58" s="4">
        <v>1092</v>
      </c>
      <c r="D58" s="4" t="str">
        <v>Customer_153</v>
      </c>
      <c r="E58" s="4" t="str">
        <v>Corporate</v>
      </c>
      <c r="F58" s="4" t="str">
        <v>South</v>
      </c>
      <c r="G58" s="4" t="str">
        <v>Electronics</v>
      </c>
      <c r="H58" s="4" t="str">
        <v>Product_D</v>
      </c>
      <c r="I58" s="4">
        <v>2452</v>
      </c>
      <c r="J58" s="4">
        <v>4</v>
      </c>
      <c r="K58" s="4">
        <v>0.19</v>
      </c>
      <c r="L58" s="4">
        <v>1641</v>
      </c>
      <c r="M58" s="4" t="str">
        <v>Card</v>
      </c>
      <c r="N58" s="4">
        <v>7944.48</v>
      </c>
    </row>
    <row r="59" spans="1:14" x14ac:dyDescent="0.3">
      <c r="A59" s="4">
        <v>198</v>
      </c>
      <c r="B59" s="15">
        <v>45489</v>
      </c>
      <c r="C59" s="4">
        <v>1075</v>
      </c>
      <c r="D59" s="4" t="str">
        <v>Customer_151</v>
      </c>
      <c r="E59" s="4" t="str">
        <v>Consumer</v>
      </c>
      <c r="F59" s="4" t="str">
        <v>East</v>
      </c>
      <c r="G59" s="4" t="str">
        <v>Electronics</v>
      </c>
      <c r="H59" s="4" t="str">
        <v>Product_C</v>
      </c>
      <c r="I59" s="4">
        <v>4378</v>
      </c>
      <c r="J59" s="4">
        <v>4</v>
      </c>
      <c r="K59" s="4">
        <v>0.08</v>
      </c>
      <c r="L59" s="4">
        <v>-266</v>
      </c>
      <c r="M59" s="4" t="str">
        <v>COD</v>
      </c>
      <c r="N59" s="4">
        <v>16111.04</v>
      </c>
    </row>
    <row r="60" spans="1:14" x14ac:dyDescent="0.3">
      <c r="A60" s="4">
        <v>203</v>
      </c>
      <c r="B60" s="15">
        <v>45494</v>
      </c>
      <c r="C60" s="4">
        <v>1059</v>
      </c>
      <c r="D60" s="4" t="str">
        <v>Customer_174</v>
      </c>
      <c r="E60" s="4" t="str">
        <v>Consumer</v>
      </c>
      <c r="F60" s="4" t="str">
        <v>West</v>
      </c>
      <c r="G60" s="4" t="str">
        <v>Electronics</v>
      </c>
      <c r="H60" s="4" t="str">
        <v>Product_B</v>
      </c>
      <c r="I60" s="4">
        <v>3815</v>
      </c>
      <c r="J60" s="4">
        <v>6</v>
      </c>
      <c r="K60" s="4">
        <v>0.08</v>
      </c>
      <c r="L60" s="4">
        <v>971</v>
      </c>
      <c r="M60" s="4" t="str">
        <v>Card</v>
      </c>
      <c r="N60" s="4">
        <v>21058.799999999999</v>
      </c>
    </row>
    <row r="61" spans="1:14" x14ac:dyDescent="0.3">
      <c r="A61" s="4">
        <v>208</v>
      </c>
      <c r="B61" s="15">
        <v>45499</v>
      </c>
      <c r="C61" s="4">
        <v>1003</v>
      </c>
      <c r="D61" s="4" t="str">
        <v>Customer_45</v>
      </c>
      <c r="E61" s="4" t="str">
        <v>Corporate</v>
      </c>
      <c r="F61" s="4" t="str">
        <v>South</v>
      </c>
      <c r="G61" s="4" t="str">
        <v>Electronics</v>
      </c>
      <c r="H61" s="4" t="str">
        <v>Product_D</v>
      </c>
      <c r="I61" s="4">
        <v>3344</v>
      </c>
      <c r="J61" s="4">
        <v>7</v>
      </c>
      <c r="K61" s="4">
        <v>0.06</v>
      </c>
      <c r="L61" s="4">
        <v>581</v>
      </c>
      <c r="M61" s="4" t="str">
        <v>COD</v>
      </c>
      <c r="N61" s="4">
        <v>22003.52</v>
      </c>
    </row>
    <row r="62" spans="1:14" x14ac:dyDescent="0.3">
      <c r="A62" s="4">
        <v>209</v>
      </c>
      <c r="B62" s="15">
        <v>45500</v>
      </c>
      <c r="C62" s="4">
        <v>1099</v>
      </c>
      <c r="D62" s="4" t="str">
        <v>Customer_151</v>
      </c>
      <c r="E62" s="4" t="str">
        <v>Corporate</v>
      </c>
      <c r="F62" s="4" t="str">
        <v>West</v>
      </c>
      <c r="G62" s="4" t="str">
        <v>Electronics</v>
      </c>
      <c r="H62" s="4" t="str">
        <v>Product_A</v>
      </c>
      <c r="I62" s="4">
        <v>4041</v>
      </c>
      <c r="J62" s="4">
        <v>7</v>
      </c>
      <c r="K62" s="4">
        <v>0.19</v>
      </c>
      <c r="L62" s="4">
        <v>1642</v>
      </c>
      <c r="M62" s="4" t="str">
        <v>UPI</v>
      </c>
      <c r="N62" s="4">
        <v>22912.47</v>
      </c>
    </row>
    <row r="63" spans="1:14" x14ac:dyDescent="0.3">
      <c r="A63" s="4">
        <v>210</v>
      </c>
      <c r="B63" s="15">
        <v>45501</v>
      </c>
      <c r="C63" s="4">
        <v>1078</v>
      </c>
      <c r="D63" s="4" t="str">
        <v>Customer_177</v>
      </c>
      <c r="E63" s="4" t="str">
        <v>Consumer</v>
      </c>
      <c r="F63" s="4" t="str">
        <v>West</v>
      </c>
      <c r="G63" s="4" t="str">
        <v>Electronics</v>
      </c>
      <c r="H63" s="4" t="str">
        <v>Product_B</v>
      </c>
      <c r="I63" s="4">
        <v>4048</v>
      </c>
      <c r="J63" s="4">
        <v>8</v>
      </c>
      <c r="K63" s="4">
        <v>0.08</v>
      </c>
      <c r="L63" s="4">
        <v>-375</v>
      </c>
      <c r="M63" s="4" t="str">
        <v>COD</v>
      </c>
      <c r="N63" s="4">
        <v>29793.279999999999</v>
      </c>
    </row>
    <row r="64" spans="1:14" x14ac:dyDescent="0.3">
      <c r="A64" s="4">
        <v>221</v>
      </c>
      <c r="B64" s="15">
        <v>45512</v>
      </c>
      <c r="C64" s="4">
        <v>1009</v>
      </c>
      <c r="D64" s="4" t="str">
        <v>Customer_78</v>
      </c>
      <c r="E64" s="4" t="str">
        <v>Corporate</v>
      </c>
      <c r="F64" s="4" t="str">
        <v>West</v>
      </c>
      <c r="G64" s="4" t="str">
        <v>Electronics</v>
      </c>
      <c r="H64" s="4" t="str">
        <v>Product_A</v>
      </c>
      <c r="I64" s="4">
        <v>607</v>
      </c>
      <c r="J64" s="4">
        <v>6</v>
      </c>
      <c r="K64" s="4">
        <v>0.05</v>
      </c>
      <c r="L64" s="4">
        <v>1509</v>
      </c>
      <c r="M64" s="4" t="str">
        <v>Card</v>
      </c>
      <c r="N64" s="4">
        <v>3459.8999999999901</v>
      </c>
    </row>
    <row r="65" spans="1:14" x14ac:dyDescent="0.3">
      <c r="A65" s="4">
        <v>231</v>
      </c>
      <c r="B65" s="15">
        <v>45522</v>
      </c>
      <c r="C65" s="4">
        <v>1048</v>
      </c>
      <c r="D65" s="4" t="str">
        <v>Customer_95</v>
      </c>
      <c r="E65" s="4" t="str">
        <v>Consumer</v>
      </c>
      <c r="F65" s="4" t="str">
        <v>North</v>
      </c>
      <c r="G65" s="4" t="str">
        <v>Electronics</v>
      </c>
      <c r="H65" s="4" t="str">
        <v>Product_C</v>
      </c>
      <c r="I65" s="4">
        <v>3916</v>
      </c>
      <c r="J65" s="4">
        <v>7</v>
      </c>
      <c r="K65" s="4">
        <v>0.12</v>
      </c>
      <c r="L65" s="4">
        <v>1533</v>
      </c>
      <c r="M65" s="4" t="str">
        <v>UPI</v>
      </c>
      <c r="N65" s="4">
        <v>24122.560000000001</v>
      </c>
    </row>
    <row r="66" spans="1:14" x14ac:dyDescent="0.3">
      <c r="A66" s="4">
        <v>237</v>
      </c>
      <c r="B66" s="15">
        <v>45528</v>
      </c>
      <c r="C66" s="4">
        <v>1037</v>
      </c>
      <c r="D66" s="4" t="str">
        <v>Customer_40</v>
      </c>
      <c r="E66" s="4" t="str">
        <v>Corporate</v>
      </c>
      <c r="F66" s="4" t="str">
        <v>North</v>
      </c>
      <c r="G66" s="4" t="str">
        <v>Electronics</v>
      </c>
      <c r="H66" s="4" t="str">
        <v>Product_D</v>
      </c>
      <c r="I66" s="4">
        <v>1901</v>
      </c>
      <c r="J66" s="4">
        <v>8</v>
      </c>
      <c r="K66" s="4">
        <v>0.26</v>
      </c>
      <c r="L66" s="4">
        <v>1933</v>
      </c>
      <c r="M66" s="4" t="str">
        <v>UPI</v>
      </c>
      <c r="N66" s="4">
        <v>11253.92</v>
      </c>
    </row>
    <row r="67" spans="1:14" x14ac:dyDescent="0.3">
      <c r="A67" s="4">
        <v>238</v>
      </c>
      <c r="B67" s="15">
        <v>45529</v>
      </c>
      <c r="C67" s="4">
        <v>1049</v>
      </c>
      <c r="D67" s="4" t="str">
        <v>Customer_144</v>
      </c>
      <c r="E67" s="4" t="str">
        <v>Consumer</v>
      </c>
      <c r="F67" s="4" t="str">
        <v>South</v>
      </c>
      <c r="G67" s="4" t="str">
        <v>Electronics</v>
      </c>
      <c r="H67" s="4" t="str">
        <v>Product_A</v>
      </c>
      <c r="I67" s="4">
        <v>4270</v>
      </c>
      <c r="J67" s="4">
        <v>6</v>
      </c>
      <c r="K67" s="4">
        <v>0.05</v>
      </c>
      <c r="L67" s="4">
        <v>1845</v>
      </c>
      <c r="M67" s="4" t="str">
        <v>Card</v>
      </c>
      <c r="N67" s="4">
        <v>24339</v>
      </c>
    </row>
    <row r="68" spans="1:14" x14ac:dyDescent="0.3">
      <c r="A68" s="4">
        <v>242</v>
      </c>
      <c r="B68" s="15">
        <v>45533</v>
      </c>
      <c r="C68" s="4">
        <v>1017</v>
      </c>
      <c r="D68" s="4" t="str">
        <v>Customer_127</v>
      </c>
      <c r="E68" s="4" t="str">
        <v>Corporate</v>
      </c>
      <c r="F68" s="4" t="str">
        <v>South</v>
      </c>
      <c r="G68" s="4" t="str">
        <v>Electronics</v>
      </c>
      <c r="H68" s="4" t="str">
        <v>Product_B</v>
      </c>
      <c r="I68" s="4">
        <v>2687</v>
      </c>
      <c r="J68" s="4">
        <v>2</v>
      </c>
      <c r="K68" s="4">
        <v>0.15</v>
      </c>
      <c r="L68" s="4">
        <v>564</v>
      </c>
      <c r="M68" s="4" t="str">
        <v>UPI</v>
      </c>
      <c r="N68" s="4">
        <v>4567.8999999999996</v>
      </c>
    </row>
    <row r="69" spans="1:14" x14ac:dyDescent="0.3">
      <c r="A69" s="4">
        <v>244</v>
      </c>
      <c r="B69" s="15">
        <v>45535</v>
      </c>
      <c r="C69" s="4">
        <v>1066</v>
      </c>
      <c r="D69" s="4" t="str">
        <v>Customer_103</v>
      </c>
      <c r="E69" s="4" t="str">
        <v>Consumer</v>
      </c>
      <c r="F69" s="4" t="str">
        <v>North</v>
      </c>
      <c r="G69" s="4" t="str">
        <v>Electronics</v>
      </c>
      <c r="H69" s="4" t="str">
        <v>Product_D</v>
      </c>
      <c r="I69" s="4">
        <v>1799</v>
      </c>
      <c r="J69" s="4">
        <v>2</v>
      </c>
      <c r="K69" s="4">
        <v>0.05</v>
      </c>
      <c r="L69" s="4">
        <v>241</v>
      </c>
      <c r="M69" s="4" t="str">
        <v>Card</v>
      </c>
      <c r="N69" s="4">
        <v>3418.1</v>
      </c>
    </row>
    <row r="70" spans="1:14" x14ac:dyDescent="0.3">
      <c r="A70" s="4">
        <v>247</v>
      </c>
      <c r="B70" s="15">
        <v>45538</v>
      </c>
      <c r="C70" s="4">
        <v>1008</v>
      </c>
      <c r="D70" s="4" t="str">
        <v>Customer_114</v>
      </c>
      <c r="E70" s="4" t="str">
        <v>Corporate</v>
      </c>
      <c r="F70" s="4" t="str">
        <v>North</v>
      </c>
      <c r="G70" s="4" t="str">
        <v>Electronics</v>
      </c>
      <c r="H70" s="4" t="str">
        <v>Product_B</v>
      </c>
      <c r="I70" s="4">
        <v>1629</v>
      </c>
      <c r="J70" s="4">
        <v>6</v>
      </c>
      <c r="K70" s="4">
        <v>0.17</v>
      </c>
      <c r="L70" s="4">
        <v>1561</v>
      </c>
      <c r="M70" s="4" t="str">
        <v>UPI</v>
      </c>
      <c r="N70" s="4">
        <v>8112.4199999999901</v>
      </c>
    </row>
    <row r="71" spans="1:14" x14ac:dyDescent="0.3">
      <c r="A71" s="4">
        <v>248</v>
      </c>
      <c r="B71" s="15">
        <v>45539</v>
      </c>
      <c r="C71" s="4">
        <v>1096</v>
      </c>
      <c r="D71" s="4" t="str">
        <v>Customer_149</v>
      </c>
      <c r="E71" s="4" t="str">
        <v>Corporate</v>
      </c>
      <c r="F71" s="4" t="str">
        <v>East</v>
      </c>
      <c r="G71" s="4" t="str">
        <v>Electronics</v>
      </c>
      <c r="H71" s="4" t="str">
        <v>Product_A</v>
      </c>
      <c r="I71" s="4">
        <v>4607</v>
      </c>
      <c r="J71" s="4">
        <v>8</v>
      </c>
      <c r="K71" s="4">
        <v>7.0000000000000007E-2</v>
      </c>
      <c r="L71" s="4">
        <v>746</v>
      </c>
      <c r="M71" s="4" t="str">
        <v>UPI</v>
      </c>
      <c r="N71" s="4">
        <v>34276.0799999999</v>
      </c>
    </row>
    <row r="72" spans="1:14" x14ac:dyDescent="0.3">
      <c r="A72" s="4">
        <v>250</v>
      </c>
      <c r="B72" s="15">
        <v>45541</v>
      </c>
      <c r="C72" s="4">
        <v>1099</v>
      </c>
      <c r="D72" s="4" t="str">
        <v>Customer_157</v>
      </c>
      <c r="E72" s="4" t="str">
        <v>Corporate</v>
      </c>
      <c r="F72" s="4" t="str">
        <v>East</v>
      </c>
      <c r="G72" s="4" t="str">
        <v>Electronics</v>
      </c>
      <c r="H72" s="4" t="str">
        <v>Product_A</v>
      </c>
      <c r="I72" s="4">
        <v>4979</v>
      </c>
      <c r="J72" s="4">
        <v>2</v>
      </c>
      <c r="K72" s="4">
        <v>0.02</v>
      </c>
      <c r="L72" s="4">
        <v>1538</v>
      </c>
      <c r="M72" s="4" t="str">
        <v>COD</v>
      </c>
      <c r="N72" s="4">
        <v>9758.84</v>
      </c>
    </row>
    <row r="73" spans="1:14" x14ac:dyDescent="0.3">
      <c r="A73" s="4">
        <v>253</v>
      </c>
      <c r="B73" s="15">
        <v>45544</v>
      </c>
      <c r="C73" s="4">
        <v>1007</v>
      </c>
      <c r="D73" s="4" t="str">
        <v>Customer_26</v>
      </c>
      <c r="E73" s="4" t="str">
        <v>Consumer</v>
      </c>
      <c r="F73" s="4" t="str">
        <v>South</v>
      </c>
      <c r="G73" s="4" t="str">
        <v>Electronics</v>
      </c>
      <c r="H73" s="4" t="str">
        <v>Product_A</v>
      </c>
      <c r="I73" s="4">
        <v>2947</v>
      </c>
      <c r="J73" s="4">
        <v>2</v>
      </c>
      <c r="K73" s="4">
        <v>0.24</v>
      </c>
      <c r="L73" s="4">
        <v>48</v>
      </c>
      <c r="M73" s="4" t="str">
        <v>COD</v>
      </c>
      <c r="N73" s="4">
        <v>4479.4399999999996</v>
      </c>
    </row>
    <row r="74" spans="1:14" x14ac:dyDescent="0.3">
      <c r="A74" s="4">
        <v>254</v>
      </c>
      <c r="B74" s="15">
        <v>45545</v>
      </c>
      <c r="C74" s="4">
        <v>1070</v>
      </c>
      <c r="D74" s="4" t="str">
        <v>Customer_44</v>
      </c>
      <c r="E74" s="4" t="str">
        <v>Corporate</v>
      </c>
      <c r="F74" s="4" t="str">
        <v>East</v>
      </c>
      <c r="G74" s="4" t="str">
        <v>Electronics</v>
      </c>
      <c r="H74" s="4" t="str">
        <v>Product_C</v>
      </c>
      <c r="I74" s="4">
        <v>1121</v>
      </c>
      <c r="J74" s="4">
        <v>5</v>
      </c>
      <c r="K74" s="4">
        <v>0.26</v>
      </c>
      <c r="L74" s="4">
        <v>1771</v>
      </c>
      <c r="M74" s="4" t="str">
        <v>COD</v>
      </c>
      <c r="N74" s="4">
        <v>4147.7</v>
      </c>
    </row>
    <row r="75" spans="1:14" x14ac:dyDescent="0.3">
      <c r="A75" s="4">
        <v>255</v>
      </c>
      <c r="B75" s="15">
        <v>45546</v>
      </c>
      <c r="C75" s="4">
        <v>1099</v>
      </c>
      <c r="D75" s="4" t="str">
        <v>Customer_18</v>
      </c>
      <c r="E75" s="4" t="str">
        <v>Consumer</v>
      </c>
      <c r="F75" s="4" t="str">
        <v>South</v>
      </c>
      <c r="G75" s="4" t="str">
        <v>Electronics</v>
      </c>
      <c r="H75" s="4" t="str">
        <v>Product_B</v>
      </c>
      <c r="I75" s="4">
        <v>2319</v>
      </c>
      <c r="J75" s="4">
        <v>7</v>
      </c>
      <c r="K75" s="4">
        <v>0.11</v>
      </c>
      <c r="L75" s="4">
        <v>-105</v>
      </c>
      <c r="M75" s="4" t="str">
        <v>UPI</v>
      </c>
      <c r="N75" s="4">
        <v>14447.37</v>
      </c>
    </row>
    <row r="76" spans="1:14" x14ac:dyDescent="0.3">
      <c r="A76" s="4">
        <v>258</v>
      </c>
      <c r="B76" s="15">
        <v>45549</v>
      </c>
      <c r="C76" s="4">
        <v>1082</v>
      </c>
      <c r="D76" s="4" t="str">
        <v>Customer_108</v>
      </c>
      <c r="E76" s="4" t="str">
        <v>Corporate</v>
      </c>
      <c r="F76" s="4" t="str">
        <v>South</v>
      </c>
      <c r="G76" s="4" t="str">
        <v>Electronics</v>
      </c>
      <c r="H76" s="4" t="str">
        <v>Product_B</v>
      </c>
      <c r="I76" s="4">
        <v>316</v>
      </c>
      <c r="J76" s="4">
        <v>5</v>
      </c>
      <c r="K76" s="4">
        <v>0.15</v>
      </c>
      <c r="L76" s="4">
        <v>897</v>
      </c>
      <c r="M76" s="4" t="str">
        <v>UPI</v>
      </c>
      <c r="N76" s="4">
        <v>1343</v>
      </c>
    </row>
    <row r="77" spans="1:14" x14ac:dyDescent="0.3">
      <c r="A77" s="4">
        <v>266</v>
      </c>
      <c r="B77" s="15">
        <v>45557</v>
      </c>
      <c r="C77" s="4">
        <v>1021</v>
      </c>
      <c r="D77" s="4" t="str">
        <v>Customer_72</v>
      </c>
      <c r="E77" s="4" t="str">
        <v>Corporate</v>
      </c>
      <c r="F77" s="4" t="str">
        <v>West</v>
      </c>
      <c r="G77" s="4" t="str">
        <v>Electronics</v>
      </c>
      <c r="H77" s="4" t="str">
        <v>Product_A</v>
      </c>
      <c r="I77" s="4">
        <v>1107</v>
      </c>
      <c r="J77" s="4">
        <v>9</v>
      </c>
      <c r="K77" s="4">
        <v>0.13</v>
      </c>
      <c r="L77" s="4">
        <v>655</v>
      </c>
      <c r="M77" s="4" t="str">
        <v>Card</v>
      </c>
      <c r="N77" s="4">
        <v>8667.81</v>
      </c>
    </row>
    <row r="78" spans="1:14" x14ac:dyDescent="0.3">
      <c r="A78" s="4">
        <v>267</v>
      </c>
      <c r="B78" s="15">
        <v>45558</v>
      </c>
      <c r="C78" s="4">
        <v>1089</v>
      </c>
      <c r="D78" s="4" t="str">
        <v>Customer_142</v>
      </c>
      <c r="E78" s="4" t="str">
        <v>Consumer</v>
      </c>
      <c r="F78" s="4" t="str">
        <v>South</v>
      </c>
      <c r="G78" s="4" t="str">
        <v>Electronics</v>
      </c>
      <c r="H78" s="4" t="str">
        <v>Product_D</v>
      </c>
      <c r="I78" s="4">
        <v>2696</v>
      </c>
      <c r="J78" s="4">
        <v>9</v>
      </c>
      <c r="K78" s="4">
        <v>0.02</v>
      </c>
      <c r="L78" s="4">
        <v>445</v>
      </c>
      <c r="M78" s="4" t="str">
        <v>Card</v>
      </c>
      <c r="N78" s="4">
        <v>23778.720000000001</v>
      </c>
    </row>
    <row r="79" spans="1:14" x14ac:dyDescent="0.3">
      <c r="A79" s="4">
        <v>269</v>
      </c>
      <c r="B79" s="15">
        <v>45560</v>
      </c>
      <c r="C79" s="4">
        <v>1036</v>
      </c>
      <c r="D79" s="4" t="str">
        <v>Customer_110</v>
      </c>
      <c r="E79" s="4" t="str">
        <v>Corporate</v>
      </c>
      <c r="F79" s="4" t="str">
        <v>West</v>
      </c>
      <c r="G79" s="4" t="str">
        <v>Electronics</v>
      </c>
      <c r="H79" s="4" t="str">
        <v>Product_A</v>
      </c>
      <c r="I79" s="4">
        <v>1882</v>
      </c>
      <c r="J79" s="4">
        <v>3</v>
      </c>
      <c r="K79" s="4">
        <v>0.24</v>
      </c>
      <c r="L79" s="4">
        <v>1096</v>
      </c>
      <c r="M79" s="4" t="str">
        <v>COD</v>
      </c>
      <c r="N79" s="4">
        <v>4290.96</v>
      </c>
    </row>
    <row r="80" spans="1:14" x14ac:dyDescent="0.3">
      <c r="A80" s="4">
        <v>272</v>
      </c>
      <c r="B80" s="15">
        <v>45563</v>
      </c>
      <c r="C80" s="4">
        <v>1099</v>
      </c>
      <c r="D80" s="4" t="str">
        <v>Customer_122</v>
      </c>
      <c r="E80" s="4" t="str">
        <v>Corporate</v>
      </c>
      <c r="F80" s="4" t="str">
        <v>South</v>
      </c>
      <c r="G80" s="4" t="str">
        <v>Electronics</v>
      </c>
      <c r="H80" s="4" t="str">
        <v>Product_B</v>
      </c>
      <c r="I80" s="4">
        <v>4549</v>
      </c>
      <c r="J80" s="4">
        <v>3</v>
      </c>
      <c r="K80" s="4">
        <v>0.14000000000000001</v>
      </c>
      <c r="L80" s="4">
        <v>1353</v>
      </c>
      <c r="M80" s="4" t="str">
        <v>COD</v>
      </c>
      <c r="N80" s="4">
        <v>11736.42</v>
      </c>
    </row>
    <row r="81" spans="1:14" x14ac:dyDescent="0.3">
      <c r="A81" s="4">
        <v>274</v>
      </c>
      <c r="B81" s="15">
        <v>45565</v>
      </c>
      <c r="C81" s="4">
        <v>1081</v>
      </c>
      <c r="D81" s="4" t="str">
        <v>Customer_100</v>
      </c>
      <c r="E81" s="4" t="str">
        <v>Consumer</v>
      </c>
      <c r="F81" s="4" t="str">
        <v>West</v>
      </c>
      <c r="G81" s="4" t="str">
        <v>Electronics</v>
      </c>
      <c r="H81" s="4" t="str">
        <v>Product_C</v>
      </c>
      <c r="I81" s="4">
        <v>3921</v>
      </c>
      <c r="J81" s="4">
        <v>3</v>
      </c>
      <c r="K81" s="4">
        <v>0.03</v>
      </c>
      <c r="L81" s="4">
        <v>-471</v>
      </c>
      <c r="M81" s="4" t="str">
        <v>COD</v>
      </c>
      <c r="N81" s="4">
        <v>11410.11</v>
      </c>
    </row>
    <row r="82" spans="1:14" x14ac:dyDescent="0.3">
      <c r="A82" s="4">
        <v>275</v>
      </c>
      <c r="B82" s="15">
        <v>45566</v>
      </c>
      <c r="C82" s="4">
        <v>1061</v>
      </c>
      <c r="D82" s="4" t="str">
        <v>Customer_9</v>
      </c>
      <c r="E82" s="4" t="str">
        <v>Consumer</v>
      </c>
      <c r="F82" s="4" t="str">
        <v>North</v>
      </c>
      <c r="G82" s="4" t="str">
        <v>Electronics</v>
      </c>
      <c r="H82" s="4" t="str">
        <v>Product_C</v>
      </c>
      <c r="I82" s="4">
        <v>3876</v>
      </c>
      <c r="J82" s="4">
        <v>1</v>
      </c>
      <c r="K82" s="4">
        <v>0.28999999999999998</v>
      </c>
      <c r="L82" s="4">
        <v>71</v>
      </c>
      <c r="M82" s="4" t="str">
        <v>UPI</v>
      </c>
      <c r="N82" s="4">
        <v>2751.96</v>
      </c>
    </row>
    <row r="83" spans="1:14" x14ac:dyDescent="0.3">
      <c r="A83" s="4">
        <v>279</v>
      </c>
      <c r="B83" s="15">
        <v>45570</v>
      </c>
      <c r="C83" s="4">
        <v>1062</v>
      </c>
      <c r="D83" s="4" t="str">
        <v>Customer_27</v>
      </c>
      <c r="E83" s="4" t="str">
        <v>Corporate</v>
      </c>
      <c r="F83" s="4" t="str">
        <v>North</v>
      </c>
      <c r="G83" s="4" t="str">
        <v>Electronics</v>
      </c>
      <c r="H83" s="4" t="str">
        <v>Product_B</v>
      </c>
      <c r="I83" s="4">
        <v>592</v>
      </c>
      <c r="J83" s="4">
        <v>4</v>
      </c>
      <c r="K83" s="4">
        <v>0.14000000000000001</v>
      </c>
      <c r="L83" s="4">
        <v>549</v>
      </c>
      <c r="M83" s="4" t="str">
        <v>COD</v>
      </c>
      <c r="N83" s="4">
        <v>2036.48</v>
      </c>
    </row>
    <row r="84" spans="1:14" x14ac:dyDescent="0.3">
      <c r="A84" s="4">
        <v>280</v>
      </c>
      <c r="B84" s="15">
        <v>45571</v>
      </c>
      <c r="C84" s="4">
        <v>1028</v>
      </c>
      <c r="D84" s="4" t="str">
        <v>Customer_15</v>
      </c>
      <c r="E84" s="4" t="str">
        <v>Consumer</v>
      </c>
      <c r="F84" s="4" t="str">
        <v>West</v>
      </c>
      <c r="G84" s="4" t="str">
        <v>Electronics</v>
      </c>
      <c r="H84" s="4" t="str">
        <v>Product_A</v>
      </c>
      <c r="I84" s="4">
        <v>4041</v>
      </c>
      <c r="J84" s="4">
        <v>2</v>
      </c>
      <c r="K84" s="4">
        <v>0.09</v>
      </c>
      <c r="L84" s="4">
        <v>-358</v>
      </c>
      <c r="M84" s="4" t="str">
        <v>UPI</v>
      </c>
      <c r="N84" s="4">
        <v>7354.62</v>
      </c>
    </row>
    <row r="85" spans="1:14" x14ac:dyDescent="0.3">
      <c r="A85" s="4">
        <v>284</v>
      </c>
      <c r="B85" s="15">
        <v>45575</v>
      </c>
      <c r="C85" s="4">
        <v>1049</v>
      </c>
      <c r="D85" s="4" t="str">
        <v>Customer_12</v>
      </c>
      <c r="E85" s="4" t="str">
        <v>Corporate</v>
      </c>
      <c r="F85" s="4" t="str">
        <v>South</v>
      </c>
      <c r="G85" s="4" t="str">
        <v>Electronics</v>
      </c>
      <c r="H85" s="4" t="str">
        <v>Product_B</v>
      </c>
      <c r="I85" s="4">
        <v>2743</v>
      </c>
      <c r="J85" s="4">
        <v>5</v>
      </c>
      <c r="K85" s="4">
        <v>0.18</v>
      </c>
      <c r="L85" s="4">
        <v>-288</v>
      </c>
      <c r="M85" s="4" t="str">
        <v>COD</v>
      </c>
      <c r="N85" s="4">
        <v>11246.3</v>
      </c>
    </row>
    <row r="86" spans="1:14" x14ac:dyDescent="0.3">
      <c r="A86" s="4">
        <v>286</v>
      </c>
      <c r="B86" s="15">
        <v>45577</v>
      </c>
      <c r="C86" s="4">
        <v>1084</v>
      </c>
      <c r="D86" s="4" t="str">
        <v>Customer_152</v>
      </c>
      <c r="E86" s="4" t="str">
        <v>Corporate</v>
      </c>
      <c r="F86" s="4" t="str">
        <v>South</v>
      </c>
      <c r="G86" s="4" t="str">
        <v>Electronics</v>
      </c>
      <c r="H86" s="4" t="str">
        <v>Product_C</v>
      </c>
      <c r="I86" s="4">
        <v>3612</v>
      </c>
      <c r="J86" s="4">
        <v>9</v>
      </c>
      <c r="K86" s="4">
        <v>0.14000000000000001</v>
      </c>
      <c r="L86" s="4">
        <v>74</v>
      </c>
      <c r="M86" s="4" t="str">
        <v>COD</v>
      </c>
      <c r="N86" s="4">
        <v>27956.880000000001</v>
      </c>
    </row>
    <row r="87" spans="1:14" x14ac:dyDescent="0.3">
      <c r="A87" s="4">
        <v>287</v>
      </c>
      <c r="B87" s="15">
        <v>45578</v>
      </c>
      <c r="C87" s="4">
        <v>1090</v>
      </c>
      <c r="D87" s="4" t="str">
        <v>Customer_70</v>
      </c>
      <c r="E87" s="4" t="str">
        <v>Corporate</v>
      </c>
      <c r="F87" s="4" t="str">
        <v>North</v>
      </c>
      <c r="G87" s="4" t="str">
        <v>Electronics</v>
      </c>
      <c r="H87" s="4" t="str">
        <v>Product_D</v>
      </c>
      <c r="I87" s="4">
        <v>1459</v>
      </c>
      <c r="J87" s="4">
        <v>2</v>
      </c>
      <c r="K87" s="4">
        <v>0.13</v>
      </c>
      <c r="L87" s="4">
        <v>-190</v>
      </c>
      <c r="M87" s="4" t="str">
        <v>UPI</v>
      </c>
      <c r="N87" s="4">
        <v>2538.66</v>
      </c>
    </row>
    <row r="88" spans="1:14" x14ac:dyDescent="0.3">
      <c r="A88" s="4">
        <v>288</v>
      </c>
      <c r="B88" s="15">
        <v>45579</v>
      </c>
      <c r="C88" s="4">
        <v>1004</v>
      </c>
      <c r="D88" s="4" t="str">
        <v>Customer_112</v>
      </c>
      <c r="E88" s="4" t="str">
        <v>Corporate</v>
      </c>
      <c r="F88" s="4" t="str">
        <v>South</v>
      </c>
      <c r="G88" s="4" t="str">
        <v>Electronics</v>
      </c>
      <c r="H88" s="4" t="str">
        <v>Product_A</v>
      </c>
      <c r="I88" s="4">
        <v>2607</v>
      </c>
      <c r="J88" s="4">
        <v>7</v>
      </c>
      <c r="K88" s="4">
        <v>0.03</v>
      </c>
      <c r="L88" s="4">
        <v>431</v>
      </c>
      <c r="M88" s="4" t="str">
        <v>UPI</v>
      </c>
      <c r="N88" s="4">
        <v>17701.53</v>
      </c>
    </row>
    <row r="89" spans="1:14" x14ac:dyDescent="0.3">
      <c r="A89" s="4">
        <v>294</v>
      </c>
      <c r="B89" s="15">
        <v>45585</v>
      </c>
      <c r="C89" s="4">
        <v>1082</v>
      </c>
      <c r="D89" s="4" t="str">
        <v>Customer_75</v>
      </c>
      <c r="E89" s="4" t="str">
        <v>Corporate</v>
      </c>
      <c r="F89" s="4" t="str">
        <v>North</v>
      </c>
      <c r="G89" s="4" t="str">
        <v>Electronics</v>
      </c>
      <c r="H89" s="4" t="str">
        <v>Product_A</v>
      </c>
      <c r="I89" s="4">
        <v>373</v>
      </c>
      <c r="J89" s="4">
        <v>2</v>
      </c>
      <c r="K89" s="4">
        <v>0</v>
      </c>
      <c r="L89" s="4">
        <v>509</v>
      </c>
      <c r="M89" s="4" t="str">
        <v>COD</v>
      </c>
      <c r="N89" s="4">
        <v>746</v>
      </c>
    </row>
    <row r="90" spans="1:14" x14ac:dyDescent="0.3">
      <c r="A90" s="4">
        <v>303</v>
      </c>
      <c r="B90" s="15">
        <v>45594</v>
      </c>
      <c r="C90" s="4">
        <v>1022</v>
      </c>
      <c r="D90" s="4" t="str">
        <v>Customer_156</v>
      </c>
      <c r="E90" s="4" t="str">
        <v>Consumer</v>
      </c>
      <c r="F90" s="4" t="str">
        <v>West</v>
      </c>
      <c r="G90" s="4" t="str">
        <v>Electronics</v>
      </c>
      <c r="H90" s="4" t="str">
        <v>Product_C</v>
      </c>
      <c r="I90" s="4">
        <v>4615</v>
      </c>
      <c r="J90" s="4">
        <v>4</v>
      </c>
      <c r="K90" s="4">
        <v>0.22</v>
      </c>
      <c r="L90" s="4">
        <v>247</v>
      </c>
      <c r="M90" s="4" t="str">
        <v>COD</v>
      </c>
      <c r="N90" s="4">
        <v>14398.8</v>
      </c>
    </row>
    <row r="91" spans="1:14" x14ac:dyDescent="0.3">
      <c r="A91" s="4">
        <v>305</v>
      </c>
      <c r="B91" s="15">
        <v>45596</v>
      </c>
      <c r="C91" s="4">
        <v>1089</v>
      </c>
      <c r="D91" s="4" t="str">
        <v>Customer_18</v>
      </c>
      <c r="E91" s="4" t="str">
        <v>Corporate</v>
      </c>
      <c r="F91" s="4" t="str">
        <v>South</v>
      </c>
      <c r="G91" s="4" t="str">
        <v>Electronics</v>
      </c>
      <c r="H91" s="4" t="str">
        <v>Product_A</v>
      </c>
      <c r="I91" s="4">
        <v>170</v>
      </c>
      <c r="J91" s="4">
        <v>9</v>
      </c>
      <c r="K91" s="4">
        <v>0.23</v>
      </c>
      <c r="L91" s="4">
        <v>291</v>
      </c>
      <c r="M91" s="4" t="str">
        <v>COD</v>
      </c>
      <c r="N91" s="4">
        <v>1178.0999999999999</v>
      </c>
    </row>
    <row r="92" spans="1:14" x14ac:dyDescent="0.3">
      <c r="A92" s="4">
        <v>306</v>
      </c>
      <c r="B92" s="15">
        <v>45597</v>
      </c>
      <c r="C92" s="4">
        <v>1074</v>
      </c>
      <c r="D92" s="4" t="str">
        <v>Customer_57</v>
      </c>
      <c r="E92" s="4" t="str">
        <v>Corporate</v>
      </c>
      <c r="F92" s="4" t="str">
        <v>South</v>
      </c>
      <c r="G92" s="4" t="str">
        <v>Electronics</v>
      </c>
      <c r="H92" s="4" t="str">
        <v>Product_C</v>
      </c>
      <c r="I92" s="4">
        <v>4005</v>
      </c>
      <c r="J92" s="4">
        <v>3</v>
      </c>
      <c r="K92" s="4">
        <v>0.18</v>
      </c>
      <c r="L92" s="4">
        <v>940</v>
      </c>
      <c r="M92" s="4" t="str">
        <v>COD</v>
      </c>
      <c r="N92" s="4">
        <v>9852.2999999999993</v>
      </c>
    </row>
    <row r="93" spans="1:14" x14ac:dyDescent="0.3">
      <c r="A93" s="4">
        <v>307</v>
      </c>
      <c r="B93" s="15">
        <v>45598</v>
      </c>
      <c r="C93" s="4">
        <v>1000</v>
      </c>
      <c r="D93" s="4" t="str">
        <v>Customer_98</v>
      </c>
      <c r="E93" s="4" t="str">
        <v>Consumer</v>
      </c>
      <c r="F93" s="4" t="str">
        <v>South</v>
      </c>
      <c r="G93" s="4" t="str">
        <v>Electronics</v>
      </c>
      <c r="H93" s="4" t="str">
        <v>Product_C</v>
      </c>
      <c r="I93" s="4">
        <v>568</v>
      </c>
      <c r="J93" s="4">
        <v>1</v>
      </c>
      <c r="K93" s="4">
        <v>7.0000000000000007E-2</v>
      </c>
      <c r="L93" s="4">
        <v>1894</v>
      </c>
      <c r="M93" s="4" t="str">
        <v>UPI</v>
      </c>
      <c r="N93" s="4">
        <v>528.24</v>
      </c>
    </row>
    <row r="94" spans="1:14" x14ac:dyDescent="0.3">
      <c r="A94" s="4">
        <v>315</v>
      </c>
      <c r="B94" s="15">
        <v>45606</v>
      </c>
      <c r="C94" s="4">
        <v>1078</v>
      </c>
      <c r="D94" s="4" t="str">
        <v>Customer_91</v>
      </c>
      <c r="E94" s="4" t="str">
        <v>Corporate</v>
      </c>
      <c r="F94" s="4" t="str">
        <v>East</v>
      </c>
      <c r="G94" s="4" t="str">
        <v>Electronics</v>
      </c>
      <c r="H94" s="4" t="str">
        <v>Product_D</v>
      </c>
      <c r="I94" s="4">
        <v>3227</v>
      </c>
      <c r="J94" s="4">
        <v>4</v>
      </c>
      <c r="K94" s="4">
        <v>0.15</v>
      </c>
      <c r="L94" s="4">
        <v>200</v>
      </c>
      <c r="M94" s="4" t="str">
        <v>COD</v>
      </c>
      <c r="N94" s="4">
        <v>10971.8</v>
      </c>
    </row>
    <row r="95" spans="1:14" x14ac:dyDescent="0.3">
      <c r="A95" s="4">
        <v>316</v>
      </c>
      <c r="B95" s="15">
        <v>45607</v>
      </c>
      <c r="C95" s="4">
        <v>1029</v>
      </c>
      <c r="D95" s="4" t="str">
        <v>Customer_17</v>
      </c>
      <c r="E95" s="4" t="str">
        <v>Corporate</v>
      </c>
      <c r="F95" s="4" t="str">
        <v>North</v>
      </c>
      <c r="G95" s="4" t="str">
        <v>Electronics</v>
      </c>
      <c r="H95" s="4" t="str">
        <v>Product_B</v>
      </c>
      <c r="I95" s="4">
        <v>4116</v>
      </c>
      <c r="J95" s="4">
        <v>7</v>
      </c>
      <c r="K95" s="4">
        <v>0.13</v>
      </c>
      <c r="L95" s="4">
        <v>1791</v>
      </c>
      <c r="M95" s="4" t="str">
        <v>UPI</v>
      </c>
      <c r="N95" s="4">
        <v>25066.44</v>
      </c>
    </row>
    <row r="96" spans="1:14" x14ac:dyDescent="0.3">
      <c r="A96" s="4">
        <v>317</v>
      </c>
      <c r="B96" s="15">
        <v>45608</v>
      </c>
      <c r="C96" s="4">
        <v>1019</v>
      </c>
      <c r="D96" s="4" t="str">
        <v>Customer_171</v>
      </c>
      <c r="E96" s="4" t="str">
        <v>Corporate</v>
      </c>
      <c r="F96" s="4" t="str">
        <v>East</v>
      </c>
      <c r="G96" s="4" t="str">
        <v>Electronics</v>
      </c>
      <c r="H96" s="4" t="str">
        <v>Product_C</v>
      </c>
      <c r="I96" s="4">
        <v>1265</v>
      </c>
      <c r="J96" s="4">
        <v>4</v>
      </c>
      <c r="K96" s="4">
        <v>0.01</v>
      </c>
      <c r="L96" s="4">
        <v>458</v>
      </c>
      <c r="M96" s="4" t="str">
        <v>Card</v>
      </c>
      <c r="N96" s="4">
        <v>5009.3999999999996</v>
      </c>
    </row>
    <row r="97" spans="1:14" x14ac:dyDescent="0.3">
      <c r="A97" s="4">
        <v>322</v>
      </c>
      <c r="B97" s="15">
        <v>45613</v>
      </c>
      <c r="C97" s="4">
        <v>1035</v>
      </c>
      <c r="D97" s="4" t="str">
        <v>Customer_138</v>
      </c>
      <c r="E97" s="4" t="str">
        <v>Consumer</v>
      </c>
      <c r="F97" s="4" t="str">
        <v>North</v>
      </c>
      <c r="G97" s="4" t="str">
        <v>Electronics</v>
      </c>
      <c r="H97" s="4" t="str">
        <v>Product_D</v>
      </c>
      <c r="I97" s="4">
        <v>3410</v>
      </c>
      <c r="J97" s="4">
        <v>5</v>
      </c>
      <c r="K97" s="4">
        <v>0.2</v>
      </c>
      <c r="L97" s="4">
        <v>1549</v>
      </c>
      <c r="M97" s="4" t="str">
        <v>Card</v>
      </c>
      <c r="N97" s="4">
        <v>13640</v>
      </c>
    </row>
    <row r="98" spans="1:14" x14ac:dyDescent="0.3">
      <c r="A98" s="4">
        <v>329</v>
      </c>
      <c r="B98" s="15">
        <v>45620</v>
      </c>
      <c r="C98" s="4">
        <v>1029</v>
      </c>
      <c r="D98" s="4" t="str">
        <v>Customer_178</v>
      </c>
      <c r="E98" s="4" t="str">
        <v>Consumer</v>
      </c>
      <c r="F98" s="4" t="str">
        <v>West</v>
      </c>
      <c r="G98" s="4" t="str">
        <v>Electronics</v>
      </c>
      <c r="H98" s="4" t="str">
        <v>Product_C</v>
      </c>
      <c r="I98" s="4">
        <v>2929</v>
      </c>
      <c r="J98" s="4">
        <v>6</v>
      </c>
      <c r="K98" s="4">
        <v>0.08</v>
      </c>
      <c r="L98" s="4">
        <v>122</v>
      </c>
      <c r="M98" s="4" t="str">
        <v>COD</v>
      </c>
      <c r="N98" s="4">
        <v>16168.08</v>
      </c>
    </row>
    <row r="99" spans="1:14" x14ac:dyDescent="0.3">
      <c r="A99" s="4">
        <v>331</v>
      </c>
      <c r="B99" s="15">
        <v>45622</v>
      </c>
      <c r="C99" s="4">
        <v>1021</v>
      </c>
      <c r="D99" s="4" t="str">
        <v>Customer_196</v>
      </c>
      <c r="E99" s="4" t="str">
        <v>Corporate</v>
      </c>
      <c r="F99" s="4" t="str">
        <v>South</v>
      </c>
      <c r="G99" s="4" t="str">
        <v>Electronics</v>
      </c>
      <c r="H99" s="4" t="str">
        <v>Product_C</v>
      </c>
      <c r="I99" s="4">
        <v>1725</v>
      </c>
      <c r="J99" s="4">
        <v>9</v>
      </c>
      <c r="K99" s="4">
        <v>0.19</v>
      </c>
      <c r="L99" s="4">
        <v>508</v>
      </c>
      <c r="M99" s="4" t="str">
        <v>COD</v>
      </c>
      <c r="N99" s="4">
        <v>12575.25</v>
      </c>
    </row>
    <row r="100" spans="1:14" x14ac:dyDescent="0.3">
      <c r="A100" s="4">
        <v>333</v>
      </c>
      <c r="B100" s="15">
        <v>45624</v>
      </c>
      <c r="C100" s="4">
        <v>1030</v>
      </c>
      <c r="D100" s="4" t="str">
        <v>Customer_33</v>
      </c>
      <c r="E100" s="4" t="str">
        <v>Consumer</v>
      </c>
      <c r="F100" s="4" t="str">
        <v>South</v>
      </c>
      <c r="G100" s="4" t="str">
        <v>Electronics</v>
      </c>
      <c r="H100" s="4" t="str">
        <v>Product_B</v>
      </c>
      <c r="I100" s="4">
        <v>2252</v>
      </c>
      <c r="J100" s="4">
        <v>8</v>
      </c>
      <c r="K100" s="4">
        <v>0.17</v>
      </c>
      <c r="L100" s="4">
        <v>1739</v>
      </c>
      <c r="M100" s="4" t="str">
        <v>Card</v>
      </c>
      <c r="N100" s="4">
        <v>14953.279999999901</v>
      </c>
    </row>
    <row r="101" spans="1:14" x14ac:dyDescent="0.3">
      <c r="A101" s="4">
        <v>336</v>
      </c>
      <c r="B101" s="15">
        <v>45627</v>
      </c>
      <c r="C101" s="4">
        <v>1030</v>
      </c>
      <c r="D101" s="4" t="str">
        <v>Customer_128</v>
      </c>
      <c r="E101" s="4" t="str">
        <v>Consumer</v>
      </c>
      <c r="F101" s="4" t="str">
        <v>South</v>
      </c>
      <c r="G101" s="4" t="str">
        <v>Electronics</v>
      </c>
      <c r="H101" s="4" t="str">
        <v>Product_D</v>
      </c>
      <c r="I101" s="4">
        <v>4426</v>
      </c>
      <c r="J101" s="4">
        <v>9</v>
      </c>
      <c r="K101" s="4">
        <v>0.27</v>
      </c>
      <c r="L101" s="4">
        <v>-447</v>
      </c>
      <c r="M101" s="4" t="str">
        <v>Card</v>
      </c>
      <c r="N101" s="4">
        <v>29078.82</v>
      </c>
    </row>
    <row r="102" spans="1:14" x14ac:dyDescent="0.3">
      <c r="A102" s="4">
        <v>339</v>
      </c>
      <c r="B102" s="15">
        <v>45630</v>
      </c>
      <c r="C102" s="4">
        <v>1083</v>
      </c>
      <c r="D102" s="4" t="str">
        <v>Customer_186</v>
      </c>
      <c r="E102" s="4" t="str">
        <v>Corporate</v>
      </c>
      <c r="F102" s="4" t="str">
        <v>East</v>
      </c>
      <c r="G102" s="4" t="str">
        <v>Electronics</v>
      </c>
      <c r="H102" s="4" t="str">
        <v>Product_A</v>
      </c>
      <c r="I102" s="4">
        <v>4189</v>
      </c>
      <c r="J102" s="4">
        <v>5</v>
      </c>
      <c r="K102" s="4">
        <v>0.16</v>
      </c>
      <c r="L102" s="4">
        <v>798</v>
      </c>
      <c r="M102" s="4" t="str">
        <v>Card</v>
      </c>
      <c r="N102" s="4">
        <v>17593.8</v>
      </c>
    </row>
    <row r="103" spans="1:14" x14ac:dyDescent="0.3">
      <c r="A103" s="4">
        <v>340</v>
      </c>
      <c r="B103" s="15">
        <v>45631</v>
      </c>
      <c r="C103" s="4">
        <v>1016</v>
      </c>
      <c r="D103" s="4" t="str">
        <v>Customer_147</v>
      </c>
      <c r="E103" s="4" t="str">
        <v>Consumer</v>
      </c>
      <c r="F103" s="4" t="str">
        <v>East</v>
      </c>
      <c r="G103" s="4" t="str">
        <v>Electronics</v>
      </c>
      <c r="H103" s="4" t="str">
        <v>Product_C</v>
      </c>
      <c r="I103" s="4">
        <v>190</v>
      </c>
      <c r="J103" s="4">
        <v>8</v>
      </c>
      <c r="K103" s="4">
        <v>0.03</v>
      </c>
      <c r="L103" s="4">
        <v>728</v>
      </c>
      <c r="M103" s="4" t="str">
        <v>Card</v>
      </c>
      <c r="N103" s="4">
        <v>1474.3999999999901</v>
      </c>
    </row>
    <row r="104" spans="1:14" x14ac:dyDescent="0.3">
      <c r="A104" s="4">
        <v>342</v>
      </c>
      <c r="B104" s="15">
        <v>45633</v>
      </c>
      <c r="C104" s="4">
        <v>1038</v>
      </c>
      <c r="D104" s="4" t="str">
        <v>Customer_114</v>
      </c>
      <c r="E104" s="4" t="str">
        <v>Corporate</v>
      </c>
      <c r="F104" s="4" t="str">
        <v>West</v>
      </c>
      <c r="G104" s="4" t="str">
        <v>Electronics</v>
      </c>
      <c r="H104" s="4" t="str">
        <v>Product_A</v>
      </c>
      <c r="I104" s="4">
        <v>1830</v>
      </c>
      <c r="J104" s="4">
        <v>4</v>
      </c>
      <c r="K104" s="4">
        <v>0.14000000000000001</v>
      </c>
      <c r="L104" s="4">
        <v>898</v>
      </c>
      <c r="M104" s="4" t="str">
        <v>COD</v>
      </c>
      <c r="N104" s="4">
        <v>6295.2</v>
      </c>
    </row>
    <row r="105" spans="1:14" x14ac:dyDescent="0.3">
      <c r="A105" s="4">
        <v>344</v>
      </c>
      <c r="B105" s="15">
        <v>45635</v>
      </c>
      <c r="C105" s="4">
        <v>1007</v>
      </c>
      <c r="D105" s="4" t="str">
        <v>Customer_84</v>
      </c>
      <c r="E105" s="4" t="str">
        <v>Consumer</v>
      </c>
      <c r="F105" s="4" t="str">
        <v>East</v>
      </c>
      <c r="G105" s="4" t="str">
        <v>Electronics</v>
      </c>
      <c r="H105" s="4" t="str">
        <v>Product_B</v>
      </c>
      <c r="I105" s="4">
        <v>2809</v>
      </c>
      <c r="J105" s="4">
        <v>1</v>
      </c>
      <c r="K105" s="4">
        <v>0.27</v>
      </c>
      <c r="L105" s="4">
        <v>-352</v>
      </c>
      <c r="M105" s="4" t="str">
        <v>COD</v>
      </c>
      <c r="N105" s="4">
        <v>2050.5700000000002</v>
      </c>
    </row>
    <row r="106" spans="1:14" x14ac:dyDescent="0.3">
      <c r="A106" s="4">
        <v>349</v>
      </c>
      <c r="B106" s="15">
        <v>45640</v>
      </c>
      <c r="C106" s="4">
        <v>1002</v>
      </c>
      <c r="D106" s="4" t="str">
        <v>Customer_186</v>
      </c>
      <c r="E106" s="4" t="str">
        <v>Consumer</v>
      </c>
      <c r="F106" s="4" t="str">
        <v>West</v>
      </c>
      <c r="G106" s="4" t="str">
        <v>Electronics</v>
      </c>
      <c r="H106" s="4" t="str">
        <v>Product_C</v>
      </c>
      <c r="I106" s="4">
        <v>4564</v>
      </c>
      <c r="J106" s="4">
        <v>5</v>
      </c>
      <c r="K106" s="4">
        <v>0.27</v>
      </c>
      <c r="L106" s="4">
        <v>710</v>
      </c>
      <c r="M106" s="4" t="str">
        <v>UPI</v>
      </c>
      <c r="N106" s="4">
        <v>16658.599999999999</v>
      </c>
    </row>
    <row r="107" spans="1:14" x14ac:dyDescent="0.3">
      <c r="A107" s="4">
        <v>352</v>
      </c>
      <c r="B107" s="15">
        <v>45643</v>
      </c>
      <c r="C107" s="4">
        <v>1062</v>
      </c>
      <c r="D107" s="4" t="str">
        <v>Customer_101</v>
      </c>
      <c r="E107" s="4" t="str">
        <v>Consumer</v>
      </c>
      <c r="F107" s="4" t="str">
        <v>North</v>
      </c>
      <c r="G107" s="4" t="str">
        <v>Electronics</v>
      </c>
      <c r="H107" s="4" t="str">
        <v>Product_C</v>
      </c>
      <c r="I107" s="4">
        <v>2900</v>
      </c>
      <c r="J107" s="4">
        <v>7</v>
      </c>
      <c r="K107" s="4">
        <v>7.0000000000000007E-2</v>
      </c>
      <c r="L107" s="4">
        <v>1932</v>
      </c>
      <c r="M107" s="4" t="str">
        <v>UPI</v>
      </c>
      <c r="N107" s="4">
        <v>18879</v>
      </c>
    </row>
    <row r="108" spans="1:14" x14ac:dyDescent="0.3">
      <c r="A108" s="4">
        <v>358</v>
      </c>
      <c r="B108" s="15">
        <v>45649</v>
      </c>
      <c r="C108" s="4">
        <v>1094</v>
      </c>
      <c r="D108" s="4" t="str">
        <v>Customer_184</v>
      </c>
      <c r="E108" s="4" t="str">
        <v>Consumer</v>
      </c>
      <c r="F108" s="4" t="str">
        <v>North</v>
      </c>
      <c r="G108" s="4" t="str">
        <v>Electronics</v>
      </c>
      <c r="H108" s="4" t="str">
        <v>Product_C</v>
      </c>
      <c r="I108" s="4">
        <v>570</v>
      </c>
      <c r="J108" s="4">
        <v>8</v>
      </c>
      <c r="K108" s="4">
        <v>0.26</v>
      </c>
      <c r="L108" s="4">
        <v>1134</v>
      </c>
      <c r="M108" s="4" t="str">
        <v>UPI</v>
      </c>
      <c r="N108" s="4">
        <v>3374.4</v>
      </c>
    </row>
    <row r="109" spans="1:14" x14ac:dyDescent="0.3">
      <c r="A109" s="4">
        <v>364</v>
      </c>
      <c r="B109" s="15">
        <v>45655</v>
      </c>
      <c r="C109" s="4">
        <v>1077</v>
      </c>
      <c r="D109" s="4" t="str">
        <v>Customer_163</v>
      </c>
      <c r="E109" s="4" t="str">
        <v>Consumer</v>
      </c>
      <c r="F109" s="4" t="str">
        <v>North</v>
      </c>
      <c r="G109" s="4" t="str">
        <v>Electronics</v>
      </c>
      <c r="H109" s="4" t="str">
        <v>Product_D</v>
      </c>
      <c r="I109" s="4">
        <v>1198</v>
      </c>
      <c r="J109" s="4">
        <v>9</v>
      </c>
      <c r="K109" s="4">
        <v>0.11</v>
      </c>
      <c r="L109" s="4">
        <v>-189</v>
      </c>
      <c r="M109" s="4" t="str">
        <v>UPI</v>
      </c>
      <c r="N109" s="4">
        <v>9595.98</v>
      </c>
    </row>
    <row r="110" spans="1:14" x14ac:dyDescent="0.3">
      <c r="A110" s="4">
        <v>367</v>
      </c>
      <c r="B110" s="15">
        <v>45658</v>
      </c>
      <c r="C110" s="4">
        <v>1096</v>
      </c>
      <c r="D110" s="4" t="str">
        <v>Customer_11</v>
      </c>
      <c r="E110" s="4" t="str">
        <v>Corporate</v>
      </c>
      <c r="F110" s="4" t="str">
        <v>North</v>
      </c>
      <c r="G110" s="4" t="str">
        <v>Electronics</v>
      </c>
      <c r="H110" s="4" t="str">
        <v>Product_D</v>
      </c>
      <c r="I110" s="4">
        <v>1333</v>
      </c>
      <c r="J110" s="4">
        <v>1</v>
      </c>
      <c r="K110" s="4">
        <v>0.05</v>
      </c>
      <c r="L110" s="4">
        <v>-123</v>
      </c>
      <c r="M110" s="4" t="str">
        <v>UPI</v>
      </c>
      <c r="N110" s="4">
        <v>1266.3499999999999</v>
      </c>
    </row>
    <row r="111" spans="1:14" x14ac:dyDescent="0.3">
      <c r="A111" s="4">
        <v>373</v>
      </c>
      <c r="B111" s="15">
        <v>45664</v>
      </c>
      <c r="C111" s="4">
        <v>1094</v>
      </c>
      <c r="D111" s="4" t="str">
        <v>Customer_174</v>
      </c>
      <c r="E111" s="4" t="str">
        <v>Consumer</v>
      </c>
      <c r="F111" s="4" t="str">
        <v>West</v>
      </c>
      <c r="G111" s="4" t="str">
        <v>Electronics</v>
      </c>
      <c r="H111" s="4" t="str">
        <v>Product_C</v>
      </c>
      <c r="I111" s="4">
        <v>3947</v>
      </c>
      <c r="J111" s="4">
        <v>8</v>
      </c>
      <c r="K111" s="4">
        <v>0.08</v>
      </c>
      <c r="L111" s="4">
        <v>655</v>
      </c>
      <c r="M111" s="4" t="str">
        <v>COD</v>
      </c>
      <c r="N111" s="4">
        <v>29049.919999999998</v>
      </c>
    </row>
    <row r="112" spans="1:14" x14ac:dyDescent="0.3">
      <c r="A112" s="4">
        <v>377</v>
      </c>
      <c r="B112" s="15">
        <v>45668</v>
      </c>
      <c r="C112" s="4">
        <v>1002</v>
      </c>
      <c r="D112" s="4" t="str">
        <v>Customer_55</v>
      </c>
      <c r="E112" s="4" t="str">
        <v>Consumer</v>
      </c>
      <c r="F112" s="4" t="str">
        <v>South</v>
      </c>
      <c r="G112" s="4" t="str">
        <v>Electronics</v>
      </c>
      <c r="H112" s="4" t="str">
        <v>Product_B</v>
      </c>
      <c r="I112" s="4">
        <v>2552</v>
      </c>
      <c r="J112" s="4">
        <v>4</v>
      </c>
      <c r="K112" s="4">
        <v>0.06</v>
      </c>
      <c r="L112" s="4">
        <v>-131</v>
      </c>
      <c r="M112" s="4" t="str">
        <v>UPI</v>
      </c>
      <c r="N112" s="4">
        <v>9595.5199999999895</v>
      </c>
    </row>
    <row r="113" spans="1:14" x14ac:dyDescent="0.3">
      <c r="A113" s="4">
        <v>378</v>
      </c>
      <c r="B113" s="15">
        <v>45669</v>
      </c>
      <c r="C113" s="4">
        <v>1098</v>
      </c>
      <c r="D113" s="4" t="str">
        <v>Customer_187</v>
      </c>
      <c r="E113" s="4" t="str">
        <v>Corporate</v>
      </c>
      <c r="F113" s="4" t="str">
        <v>North</v>
      </c>
      <c r="G113" s="4" t="str">
        <v>Electronics</v>
      </c>
      <c r="H113" s="4" t="str">
        <v>Product_C</v>
      </c>
      <c r="I113" s="4">
        <v>817</v>
      </c>
      <c r="J113" s="4">
        <v>4</v>
      </c>
      <c r="K113" s="4">
        <v>0.15</v>
      </c>
      <c r="L113" s="4">
        <v>514</v>
      </c>
      <c r="M113" s="4" t="str">
        <v>UPI</v>
      </c>
      <c r="N113" s="4">
        <v>2777.7999999999902</v>
      </c>
    </row>
    <row r="114" spans="1:14" x14ac:dyDescent="0.3">
      <c r="A114" s="4">
        <v>384</v>
      </c>
      <c r="B114" s="15">
        <v>45675</v>
      </c>
      <c r="C114" s="4">
        <v>1032</v>
      </c>
      <c r="D114" s="4" t="str">
        <v>Customer_20</v>
      </c>
      <c r="E114" s="4" t="str">
        <v>Corporate</v>
      </c>
      <c r="F114" s="4" t="str">
        <v>North</v>
      </c>
      <c r="G114" s="4" t="str">
        <v>Electronics</v>
      </c>
      <c r="H114" s="4" t="str">
        <v>Product_A</v>
      </c>
      <c r="I114" s="4">
        <v>1860</v>
      </c>
      <c r="J114" s="4">
        <v>3</v>
      </c>
      <c r="K114" s="4">
        <v>0.14000000000000001</v>
      </c>
      <c r="L114" s="4">
        <v>1994</v>
      </c>
      <c r="M114" s="4" t="str">
        <v>Card</v>
      </c>
      <c r="N114" s="4">
        <v>4798.8</v>
      </c>
    </row>
    <row r="115" spans="1:14" x14ac:dyDescent="0.3">
      <c r="A115" s="4">
        <v>387</v>
      </c>
      <c r="B115" s="15">
        <v>45678</v>
      </c>
      <c r="C115" s="4">
        <v>1032</v>
      </c>
      <c r="D115" s="4" t="str">
        <v>Customer_35</v>
      </c>
      <c r="E115" s="4" t="str">
        <v>Consumer</v>
      </c>
      <c r="F115" s="4" t="str">
        <v>North</v>
      </c>
      <c r="G115" s="4" t="str">
        <v>Electronics</v>
      </c>
      <c r="H115" s="4" t="str">
        <v>Product_A</v>
      </c>
      <c r="I115" s="4">
        <v>3993</v>
      </c>
      <c r="J115" s="4">
        <v>5</v>
      </c>
      <c r="K115" s="4">
        <v>0.21</v>
      </c>
      <c r="L115" s="4">
        <v>1730</v>
      </c>
      <c r="M115" s="4" t="str">
        <v>COD</v>
      </c>
      <c r="N115" s="4">
        <v>15772.35</v>
      </c>
    </row>
    <row r="116" spans="1:14" x14ac:dyDescent="0.3">
      <c r="A116" s="4">
        <v>388</v>
      </c>
      <c r="B116" s="15">
        <v>45679</v>
      </c>
      <c r="C116" s="4">
        <v>1030</v>
      </c>
      <c r="D116" s="4" t="str">
        <v>Customer_29</v>
      </c>
      <c r="E116" s="4" t="str">
        <v>Consumer</v>
      </c>
      <c r="F116" s="4" t="str">
        <v>East</v>
      </c>
      <c r="G116" s="4" t="str">
        <v>Electronics</v>
      </c>
      <c r="H116" s="4" t="str">
        <v>Product_B</v>
      </c>
      <c r="I116" s="4">
        <v>1045</v>
      </c>
      <c r="J116" s="4">
        <v>3</v>
      </c>
      <c r="K116" s="4">
        <v>0.15</v>
      </c>
      <c r="L116" s="4">
        <v>1869</v>
      </c>
      <c r="M116" s="4" t="str">
        <v>Card</v>
      </c>
      <c r="N116" s="4">
        <v>2664.75</v>
      </c>
    </row>
    <row r="117" spans="1:14" x14ac:dyDescent="0.3">
      <c r="A117" s="4">
        <v>394</v>
      </c>
      <c r="B117" s="15">
        <v>45685</v>
      </c>
      <c r="C117" s="4">
        <v>1078</v>
      </c>
      <c r="D117" s="4" t="str">
        <v>Customer_176</v>
      </c>
      <c r="E117" s="4" t="str">
        <v>Corporate</v>
      </c>
      <c r="F117" s="4" t="str">
        <v>South</v>
      </c>
      <c r="G117" s="4" t="str">
        <v>Electronics</v>
      </c>
      <c r="H117" s="4" t="str">
        <v>Product_B</v>
      </c>
      <c r="I117" s="4">
        <v>4543</v>
      </c>
      <c r="J117" s="4">
        <v>1</v>
      </c>
      <c r="K117" s="4">
        <v>0.21</v>
      </c>
      <c r="L117" s="4">
        <v>62</v>
      </c>
      <c r="M117" s="4" t="str">
        <v>UPI</v>
      </c>
      <c r="N117" s="4">
        <v>3588.97</v>
      </c>
    </row>
    <row r="118" spans="1:14" x14ac:dyDescent="0.3">
      <c r="A118" s="4">
        <v>401</v>
      </c>
      <c r="B118" s="15">
        <v>45692</v>
      </c>
      <c r="C118" s="4">
        <v>1096</v>
      </c>
      <c r="D118" s="4" t="str">
        <v>Customer_28</v>
      </c>
      <c r="E118" s="4" t="str">
        <v>Consumer</v>
      </c>
      <c r="F118" s="4" t="str">
        <v>East</v>
      </c>
      <c r="G118" s="4" t="str">
        <v>Electronics</v>
      </c>
      <c r="H118" s="4" t="str">
        <v>Product_C</v>
      </c>
      <c r="I118" s="4">
        <v>3601</v>
      </c>
      <c r="J118" s="4">
        <v>7</v>
      </c>
      <c r="K118" s="4">
        <v>0.06</v>
      </c>
      <c r="L118" s="4">
        <v>774</v>
      </c>
      <c r="M118" s="4" t="str">
        <v>Card</v>
      </c>
      <c r="N118" s="4">
        <v>23694.5799999999</v>
      </c>
    </row>
    <row r="119" spans="1:14" x14ac:dyDescent="0.3">
      <c r="A119" s="4">
        <v>404</v>
      </c>
      <c r="B119" s="15">
        <v>45695</v>
      </c>
      <c r="C119" s="4">
        <v>1061</v>
      </c>
      <c r="D119" s="4" t="str">
        <v>Customer_60</v>
      </c>
      <c r="E119" s="4" t="str">
        <v>Consumer</v>
      </c>
      <c r="F119" s="4" t="str">
        <v>South</v>
      </c>
      <c r="G119" s="4" t="str">
        <v>Electronics</v>
      </c>
      <c r="H119" s="4" t="str">
        <v>Product_D</v>
      </c>
      <c r="I119" s="4">
        <v>4231</v>
      </c>
      <c r="J119" s="4">
        <v>3</v>
      </c>
      <c r="K119" s="4">
        <v>7.0000000000000007E-2</v>
      </c>
      <c r="L119" s="4">
        <v>-225</v>
      </c>
      <c r="M119" s="4" t="str">
        <v>UPI</v>
      </c>
      <c r="N119" s="4">
        <v>11804.49</v>
      </c>
    </row>
    <row r="120" spans="1:14" x14ac:dyDescent="0.3">
      <c r="A120" s="4">
        <v>405</v>
      </c>
      <c r="B120" s="15">
        <v>45696</v>
      </c>
      <c r="C120" s="4">
        <v>1088</v>
      </c>
      <c r="D120" s="4" t="str">
        <v>Customer_13</v>
      </c>
      <c r="E120" s="4" t="str">
        <v>Corporate</v>
      </c>
      <c r="F120" s="4" t="str">
        <v>South</v>
      </c>
      <c r="G120" s="4" t="str">
        <v>Electronics</v>
      </c>
      <c r="H120" s="4" t="str">
        <v>Product_B</v>
      </c>
      <c r="I120" s="4">
        <v>2954</v>
      </c>
      <c r="J120" s="4">
        <v>6</v>
      </c>
      <c r="K120" s="4">
        <v>7.0000000000000007E-2</v>
      </c>
      <c r="L120" s="4">
        <v>-111</v>
      </c>
      <c r="M120" s="4" t="str">
        <v>COD</v>
      </c>
      <c r="N120" s="4">
        <v>16483.32</v>
      </c>
    </row>
    <row r="121" spans="1:14" x14ac:dyDescent="0.3">
      <c r="A121" s="4">
        <v>406</v>
      </c>
      <c r="B121" s="15">
        <v>45697</v>
      </c>
      <c r="C121" s="4">
        <v>1095</v>
      </c>
      <c r="D121" s="4" t="str">
        <v>Customer_18</v>
      </c>
      <c r="E121" s="4" t="str">
        <v>Corporate</v>
      </c>
      <c r="F121" s="4" t="str">
        <v>West</v>
      </c>
      <c r="G121" s="4" t="str">
        <v>Electronics</v>
      </c>
      <c r="H121" s="4" t="str">
        <v>Product_D</v>
      </c>
      <c r="I121" s="4">
        <v>3263</v>
      </c>
      <c r="J121" s="4">
        <v>8</v>
      </c>
      <c r="K121" s="4">
        <v>0.15</v>
      </c>
      <c r="L121" s="4">
        <v>562</v>
      </c>
      <c r="M121" s="4" t="str">
        <v>COD</v>
      </c>
      <c r="N121" s="4">
        <v>22188.3999999999</v>
      </c>
    </row>
    <row r="122" spans="1:14" x14ac:dyDescent="0.3">
      <c r="A122" s="4">
        <v>407</v>
      </c>
      <c r="B122" s="15">
        <v>45698</v>
      </c>
      <c r="C122" s="4">
        <v>1027</v>
      </c>
      <c r="D122" s="4" t="str">
        <v>Customer_179</v>
      </c>
      <c r="E122" s="4" t="str">
        <v>Corporate</v>
      </c>
      <c r="F122" s="4" t="str">
        <v>North</v>
      </c>
      <c r="G122" s="4" t="str">
        <v>Electronics</v>
      </c>
      <c r="H122" s="4" t="str">
        <v>Product_D</v>
      </c>
      <c r="I122" s="4">
        <v>1024</v>
      </c>
      <c r="J122" s="4">
        <v>5</v>
      </c>
      <c r="K122" s="4">
        <v>0.11</v>
      </c>
      <c r="L122" s="4">
        <v>538</v>
      </c>
      <c r="M122" s="4" t="str">
        <v>COD</v>
      </c>
      <c r="N122" s="4">
        <v>4556.8</v>
      </c>
    </row>
    <row r="123" spans="1:14" x14ac:dyDescent="0.3">
      <c r="A123" s="4">
        <v>409</v>
      </c>
      <c r="B123" s="15">
        <v>45700</v>
      </c>
      <c r="C123" s="4">
        <v>1016</v>
      </c>
      <c r="D123" s="4" t="str">
        <v>Customer_43</v>
      </c>
      <c r="E123" s="4" t="str">
        <v>Consumer</v>
      </c>
      <c r="F123" s="4" t="str">
        <v>West</v>
      </c>
      <c r="G123" s="4" t="str">
        <v>Electronics</v>
      </c>
      <c r="H123" s="4" t="str">
        <v>Product_A</v>
      </c>
      <c r="I123" s="4">
        <v>4617</v>
      </c>
      <c r="J123" s="4">
        <v>9</v>
      </c>
      <c r="K123" s="4">
        <v>0.08</v>
      </c>
      <c r="L123" s="4">
        <v>1491</v>
      </c>
      <c r="M123" s="4" t="str">
        <v>Card</v>
      </c>
      <c r="N123" s="4">
        <v>38228.76</v>
      </c>
    </row>
    <row r="124" spans="1:14" x14ac:dyDescent="0.3">
      <c r="A124" s="4">
        <v>413</v>
      </c>
      <c r="B124" s="15">
        <v>45704</v>
      </c>
      <c r="C124" s="4">
        <v>1037</v>
      </c>
      <c r="D124" s="4" t="str">
        <v>Customer_5</v>
      </c>
      <c r="E124" s="4" t="str">
        <v>Corporate</v>
      </c>
      <c r="F124" s="4" t="str">
        <v>South</v>
      </c>
      <c r="G124" s="4" t="str">
        <v>Electronics</v>
      </c>
      <c r="H124" s="4" t="str">
        <v>Product_C</v>
      </c>
      <c r="I124" s="4">
        <v>2851</v>
      </c>
      <c r="J124" s="4">
        <v>4</v>
      </c>
      <c r="K124" s="4">
        <v>0.17</v>
      </c>
      <c r="L124" s="4">
        <v>385</v>
      </c>
      <c r="M124" s="4" t="str">
        <v>Card</v>
      </c>
      <c r="N124" s="4">
        <v>9465.32</v>
      </c>
    </row>
    <row r="125" spans="1:14" x14ac:dyDescent="0.3">
      <c r="A125" s="4">
        <v>417</v>
      </c>
      <c r="B125" s="15">
        <v>45708</v>
      </c>
      <c r="C125" s="4">
        <v>1089</v>
      </c>
      <c r="D125" s="4" t="str">
        <v>Customer_152</v>
      </c>
      <c r="E125" s="4" t="str">
        <v>Consumer</v>
      </c>
      <c r="F125" s="4" t="str">
        <v>South</v>
      </c>
      <c r="G125" s="4" t="str">
        <v>Electronics</v>
      </c>
      <c r="H125" s="4" t="str">
        <v>Product_B</v>
      </c>
      <c r="I125" s="4">
        <v>895</v>
      </c>
      <c r="J125" s="4">
        <v>7</v>
      </c>
      <c r="K125" s="4">
        <v>0.05</v>
      </c>
      <c r="L125" s="4">
        <v>305</v>
      </c>
      <c r="M125" s="4" t="str">
        <v>Card</v>
      </c>
      <c r="N125" s="4">
        <v>5951.75</v>
      </c>
    </row>
    <row r="126" spans="1:14" x14ac:dyDescent="0.3">
      <c r="A126" s="4">
        <v>419</v>
      </c>
      <c r="B126" s="15">
        <v>45710</v>
      </c>
      <c r="C126" s="4">
        <v>1083</v>
      </c>
      <c r="D126" s="4" t="str">
        <v>Customer_142</v>
      </c>
      <c r="E126" s="4" t="str">
        <v>Corporate</v>
      </c>
      <c r="F126" s="4" t="str">
        <v>North</v>
      </c>
      <c r="G126" s="4" t="str">
        <v>Electronics</v>
      </c>
      <c r="H126" s="4" t="str">
        <v>Product_A</v>
      </c>
      <c r="I126" s="4">
        <v>1037</v>
      </c>
      <c r="J126" s="4">
        <v>9</v>
      </c>
      <c r="K126" s="4">
        <v>0.14000000000000001</v>
      </c>
      <c r="L126" s="4">
        <v>1107</v>
      </c>
      <c r="M126" s="4" t="str">
        <v>Card</v>
      </c>
      <c r="N126" s="4">
        <v>8026.38</v>
      </c>
    </row>
    <row r="127" spans="1:14" x14ac:dyDescent="0.3">
      <c r="A127" s="4">
        <v>424</v>
      </c>
      <c r="B127" s="15">
        <v>45715</v>
      </c>
      <c r="C127" s="4">
        <v>1089</v>
      </c>
      <c r="D127" s="4" t="str">
        <v>Customer_90</v>
      </c>
      <c r="E127" s="4" t="str">
        <v>Corporate</v>
      </c>
      <c r="F127" s="4" t="str">
        <v>West</v>
      </c>
      <c r="G127" s="4" t="str">
        <v>Electronics</v>
      </c>
      <c r="H127" s="4" t="str">
        <v>Product_B</v>
      </c>
      <c r="I127" s="4">
        <v>316</v>
      </c>
      <c r="J127" s="4">
        <v>7</v>
      </c>
      <c r="K127" s="4">
        <v>0.27</v>
      </c>
      <c r="L127" s="4">
        <v>1139</v>
      </c>
      <c r="M127" s="4" t="str">
        <v>Card</v>
      </c>
      <c r="N127" s="4">
        <v>1614.76</v>
      </c>
    </row>
    <row r="128" spans="1:14" x14ac:dyDescent="0.3">
      <c r="A128" s="4">
        <v>429</v>
      </c>
      <c r="B128" s="15">
        <v>45720</v>
      </c>
      <c r="C128" s="4">
        <v>1028</v>
      </c>
      <c r="D128" s="4" t="str">
        <v>Customer_49</v>
      </c>
      <c r="E128" s="4" t="str">
        <v>Corporate</v>
      </c>
      <c r="F128" s="4" t="str">
        <v>West</v>
      </c>
      <c r="G128" s="4" t="str">
        <v>Electronics</v>
      </c>
      <c r="H128" s="4" t="str">
        <v>Product_D</v>
      </c>
      <c r="I128" s="4">
        <v>1966</v>
      </c>
      <c r="J128" s="4">
        <v>3</v>
      </c>
      <c r="K128" s="4">
        <v>0.08</v>
      </c>
      <c r="L128" s="4">
        <v>919</v>
      </c>
      <c r="M128" s="4" t="str">
        <v>Card</v>
      </c>
      <c r="N128" s="4">
        <v>5426.16</v>
      </c>
    </row>
    <row r="129" spans="1:14" x14ac:dyDescent="0.3">
      <c r="A129" s="4">
        <v>435</v>
      </c>
      <c r="B129" s="15">
        <v>45726</v>
      </c>
      <c r="C129" s="4">
        <v>1095</v>
      </c>
      <c r="D129" s="4" t="str">
        <v>Customer_94</v>
      </c>
      <c r="E129" s="4" t="str">
        <v>Consumer</v>
      </c>
      <c r="F129" s="4" t="str">
        <v>East</v>
      </c>
      <c r="G129" s="4" t="str">
        <v>Electronics</v>
      </c>
      <c r="H129" s="4" t="str">
        <v>Product_A</v>
      </c>
      <c r="I129" s="4">
        <v>3695</v>
      </c>
      <c r="J129" s="4">
        <v>9</v>
      </c>
      <c r="K129" s="4">
        <v>0.02</v>
      </c>
      <c r="L129" s="4">
        <v>1064</v>
      </c>
      <c r="M129" s="4" t="str">
        <v>COD</v>
      </c>
      <c r="N129" s="4">
        <v>32589.8999999999</v>
      </c>
    </row>
    <row r="130" spans="1:14" x14ac:dyDescent="0.3">
      <c r="A130" s="4">
        <v>442</v>
      </c>
      <c r="B130" s="15">
        <v>45733</v>
      </c>
      <c r="C130" s="4">
        <v>1032</v>
      </c>
      <c r="D130" s="4" t="str">
        <v>Customer_169</v>
      </c>
      <c r="E130" s="4" t="str">
        <v>Corporate</v>
      </c>
      <c r="F130" s="4" t="str">
        <v>West</v>
      </c>
      <c r="G130" s="4" t="str">
        <v>Electronics</v>
      </c>
      <c r="H130" s="4" t="str">
        <v>Product_B</v>
      </c>
      <c r="I130" s="4">
        <v>1755</v>
      </c>
      <c r="J130" s="4">
        <v>4</v>
      </c>
      <c r="K130" s="4">
        <v>0.3</v>
      </c>
      <c r="L130" s="4">
        <v>678</v>
      </c>
      <c r="M130" s="4" t="str">
        <v>COD</v>
      </c>
      <c r="N130" s="4">
        <v>4914</v>
      </c>
    </row>
    <row r="131" spans="1:14" x14ac:dyDescent="0.3">
      <c r="A131" s="4">
        <v>444</v>
      </c>
      <c r="B131" s="15">
        <v>45735</v>
      </c>
      <c r="C131" s="4">
        <v>1041</v>
      </c>
      <c r="D131" s="4" t="str">
        <v>Customer_101</v>
      </c>
      <c r="E131" s="4" t="str">
        <v>Consumer</v>
      </c>
      <c r="F131" s="4" t="str">
        <v>West</v>
      </c>
      <c r="G131" s="4" t="str">
        <v>Electronics</v>
      </c>
      <c r="H131" s="4" t="str">
        <v>Product_D</v>
      </c>
      <c r="I131" s="4">
        <v>4983</v>
      </c>
      <c r="J131" s="4">
        <v>2</v>
      </c>
      <c r="K131" s="4">
        <v>0.25</v>
      </c>
      <c r="L131" s="4">
        <v>159</v>
      </c>
      <c r="M131" s="4" t="str">
        <v>COD</v>
      </c>
      <c r="N131" s="4">
        <v>7474.5</v>
      </c>
    </row>
    <row r="132" spans="1:14" x14ac:dyDescent="0.3">
      <c r="A132" s="4">
        <v>452</v>
      </c>
      <c r="B132" s="15">
        <v>45743</v>
      </c>
      <c r="C132" s="4">
        <v>1066</v>
      </c>
      <c r="D132" s="4" t="str">
        <v>Customer_60</v>
      </c>
      <c r="E132" s="4" t="str">
        <v>Corporate</v>
      </c>
      <c r="F132" s="4" t="str">
        <v>North</v>
      </c>
      <c r="G132" s="4" t="str">
        <v>Electronics</v>
      </c>
      <c r="H132" s="4" t="str">
        <v>Product_B</v>
      </c>
      <c r="I132" s="4">
        <v>4411</v>
      </c>
      <c r="J132" s="4">
        <v>5</v>
      </c>
      <c r="K132" s="4">
        <v>0</v>
      </c>
      <c r="L132" s="4">
        <v>1052</v>
      </c>
      <c r="M132" s="4" t="str">
        <v>COD</v>
      </c>
      <c r="N132" s="4">
        <v>22055</v>
      </c>
    </row>
    <row r="133" spans="1:14" x14ac:dyDescent="0.3">
      <c r="A133" s="4">
        <v>454</v>
      </c>
      <c r="B133" s="15">
        <v>45745</v>
      </c>
      <c r="C133" s="4">
        <v>1083</v>
      </c>
      <c r="D133" s="4" t="str">
        <v>Customer_186</v>
      </c>
      <c r="E133" s="4" t="str">
        <v>Corporate</v>
      </c>
      <c r="F133" s="4" t="str">
        <v>North</v>
      </c>
      <c r="G133" s="4" t="str">
        <v>Electronics</v>
      </c>
      <c r="H133" s="4" t="str">
        <v>Product_C</v>
      </c>
      <c r="I133" s="4">
        <v>504</v>
      </c>
      <c r="J133" s="4">
        <v>8</v>
      </c>
      <c r="K133" s="4">
        <v>0.09</v>
      </c>
      <c r="L133" s="4">
        <v>1073</v>
      </c>
      <c r="M133" s="4" t="str">
        <v>UPI</v>
      </c>
      <c r="N133" s="4">
        <v>3669.12</v>
      </c>
    </row>
    <row r="134" spans="1:14" x14ac:dyDescent="0.3">
      <c r="A134" s="4">
        <v>455</v>
      </c>
      <c r="B134" s="15">
        <v>45746</v>
      </c>
      <c r="C134" s="4">
        <v>1017</v>
      </c>
      <c r="D134" s="4" t="str">
        <v>Customer_40</v>
      </c>
      <c r="E134" s="4" t="str">
        <v>Corporate</v>
      </c>
      <c r="F134" s="4" t="str">
        <v>West</v>
      </c>
      <c r="G134" s="4" t="str">
        <v>Electronics</v>
      </c>
      <c r="H134" s="4" t="str">
        <v>Product_D</v>
      </c>
      <c r="I134" s="4">
        <v>2002</v>
      </c>
      <c r="J134" s="4">
        <v>9</v>
      </c>
      <c r="K134" s="4">
        <v>0.1</v>
      </c>
      <c r="L134" s="4">
        <v>-460</v>
      </c>
      <c r="M134" s="4" t="str">
        <v>UPI</v>
      </c>
      <c r="N134" s="4">
        <v>16216.2</v>
      </c>
    </row>
    <row r="135" spans="1:14" x14ac:dyDescent="0.3">
      <c r="A135" s="4">
        <v>456</v>
      </c>
      <c r="B135" s="15">
        <v>45747</v>
      </c>
      <c r="C135" s="4">
        <v>1019</v>
      </c>
      <c r="D135" s="4" t="str">
        <v>Customer_124</v>
      </c>
      <c r="E135" s="4" t="str">
        <v>Consumer</v>
      </c>
      <c r="F135" s="4" t="str">
        <v>South</v>
      </c>
      <c r="G135" s="4" t="str">
        <v>Electronics</v>
      </c>
      <c r="H135" s="4" t="str">
        <v>Product_A</v>
      </c>
      <c r="I135" s="4">
        <v>272</v>
      </c>
      <c r="J135" s="4">
        <v>2</v>
      </c>
      <c r="K135" s="4">
        <v>0.25</v>
      </c>
      <c r="L135" s="4">
        <v>237</v>
      </c>
      <c r="M135" s="4" t="str">
        <v>COD</v>
      </c>
      <c r="N135" s="4">
        <v>408</v>
      </c>
    </row>
    <row r="136" spans="1:14" x14ac:dyDescent="0.3">
      <c r="A136" s="4">
        <v>457</v>
      </c>
      <c r="B136" s="15">
        <v>45748</v>
      </c>
      <c r="C136" s="4">
        <v>1029</v>
      </c>
      <c r="D136" s="4" t="str">
        <v>Customer_45</v>
      </c>
      <c r="E136" s="4" t="str">
        <v>Consumer</v>
      </c>
      <c r="F136" s="4" t="str">
        <v>East</v>
      </c>
      <c r="G136" s="4" t="str">
        <v>Electronics</v>
      </c>
      <c r="H136" s="4" t="str">
        <v>Product_B</v>
      </c>
      <c r="I136" s="4">
        <v>1217</v>
      </c>
      <c r="J136" s="4">
        <v>2</v>
      </c>
      <c r="K136" s="4">
        <v>0.03</v>
      </c>
      <c r="L136" s="4">
        <v>1969</v>
      </c>
      <c r="M136" s="4" t="str">
        <v>COD</v>
      </c>
      <c r="N136" s="4">
        <v>2360.98</v>
      </c>
    </row>
    <row r="137" spans="1:14" x14ac:dyDescent="0.3">
      <c r="A137" s="4">
        <v>460</v>
      </c>
      <c r="B137" s="15">
        <v>45751</v>
      </c>
      <c r="C137" s="4">
        <v>1022</v>
      </c>
      <c r="D137" s="4" t="str">
        <v>Customer_152</v>
      </c>
      <c r="E137" s="4" t="str">
        <v>Corporate</v>
      </c>
      <c r="F137" s="4" t="str">
        <v>East</v>
      </c>
      <c r="G137" s="4" t="str">
        <v>Electronics</v>
      </c>
      <c r="H137" s="4" t="str">
        <v>Product_D</v>
      </c>
      <c r="I137" s="4">
        <v>1017</v>
      </c>
      <c r="J137" s="4">
        <v>8</v>
      </c>
      <c r="K137" s="4">
        <v>0.12</v>
      </c>
      <c r="L137" s="4">
        <v>622</v>
      </c>
      <c r="M137" s="4" t="str">
        <v>COD</v>
      </c>
      <c r="N137" s="4">
        <v>7159.68</v>
      </c>
    </row>
    <row r="138" spans="1:14" x14ac:dyDescent="0.3">
      <c r="A138" s="4">
        <v>461</v>
      </c>
      <c r="B138" s="15">
        <v>45752</v>
      </c>
      <c r="C138" s="4">
        <v>1046</v>
      </c>
      <c r="D138" s="4" t="str">
        <v>Customer_150</v>
      </c>
      <c r="E138" s="4" t="str">
        <v>Consumer</v>
      </c>
      <c r="F138" s="4" t="str">
        <v>South</v>
      </c>
      <c r="G138" s="4" t="str">
        <v>Electronics</v>
      </c>
      <c r="H138" s="4" t="str">
        <v>Product_C</v>
      </c>
      <c r="I138" s="4">
        <v>3058</v>
      </c>
      <c r="J138" s="4">
        <v>1</v>
      </c>
      <c r="K138" s="4">
        <v>0.02</v>
      </c>
      <c r="L138" s="4">
        <v>1633</v>
      </c>
      <c r="M138" s="4" t="str">
        <v>Card</v>
      </c>
      <c r="N138" s="4">
        <v>2996.84</v>
      </c>
    </row>
    <row r="139" spans="1:14" x14ac:dyDescent="0.3">
      <c r="A139" s="4">
        <v>462</v>
      </c>
      <c r="B139" s="15">
        <v>45753</v>
      </c>
      <c r="C139" s="4">
        <v>1002</v>
      </c>
      <c r="D139" s="4" t="str">
        <v>Customer_53</v>
      </c>
      <c r="E139" s="4" t="str">
        <v>Consumer</v>
      </c>
      <c r="F139" s="4" t="str">
        <v>West</v>
      </c>
      <c r="G139" s="4" t="str">
        <v>Electronics</v>
      </c>
      <c r="H139" s="4" t="str">
        <v>Product_C</v>
      </c>
      <c r="I139" s="4">
        <v>3212</v>
      </c>
      <c r="J139" s="4">
        <v>3</v>
      </c>
      <c r="K139" s="4">
        <v>0.16</v>
      </c>
      <c r="L139" s="4">
        <v>-72</v>
      </c>
      <c r="M139" s="4" t="str">
        <v>COD</v>
      </c>
      <c r="N139" s="4">
        <v>8094.24</v>
      </c>
    </row>
    <row r="140" spans="1:14" x14ac:dyDescent="0.3">
      <c r="A140" s="4">
        <v>467</v>
      </c>
      <c r="B140" s="15">
        <v>45758</v>
      </c>
      <c r="C140" s="4">
        <v>1039</v>
      </c>
      <c r="D140" s="4" t="str">
        <v>Customer_123</v>
      </c>
      <c r="E140" s="4" t="str">
        <v>Consumer</v>
      </c>
      <c r="F140" s="4" t="str">
        <v>South</v>
      </c>
      <c r="G140" s="4" t="str">
        <v>Electronics</v>
      </c>
      <c r="H140" s="4" t="str">
        <v>Product_A</v>
      </c>
      <c r="I140" s="4">
        <v>524</v>
      </c>
      <c r="J140" s="4">
        <v>2</v>
      </c>
      <c r="K140" s="4">
        <v>0.05</v>
      </c>
      <c r="L140" s="4">
        <v>563</v>
      </c>
      <c r="M140" s="4" t="str">
        <v>Card</v>
      </c>
      <c r="N140" s="4">
        <v>995.599999999999</v>
      </c>
    </row>
    <row r="141" spans="1:14" x14ac:dyDescent="0.3">
      <c r="A141" s="4">
        <v>469</v>
      </c>
      <c r="B141" s="15">
        <v>45760</v>
      </c>
      <c r="C141" s="4">
        <v>1091</v>
      </c>
      <c r="D141" s="4" t="str">
        <v>Customer_110</v>
      </c>
      <c r="E141" s="4" t="str">
        <v>Corporate</v>
      </c>
      <c r="F141" s="4" t="str">
        <v>East</v>
      </c>
      <c r="G141" s="4" t="str">
        <v>Electronics</v>
      </c>
      <c r="H141" s="4" t="str">
        <v>Product_A</v>
      </c>
      <c r="I141" s="4">
        <v>4972</v>
      </c>
      <c r="J141" s="4">
        <v>3</v>
      </c>
      <c r="K141" s="4">
        <v>0.2</v>
      </c>
      <c r="L141" s="4">
        <v>1594</v>
      </c>
      <c r="M141" s="4" t="str">
        <v>COD</v>
      </c>
      <c r="N141" s="4">
        <v>11932.8</v>
      </c>
    </row>
    <row r="142" spans="1:14" x14ac:dyDescent="0.3">
      <c r="A142" s="4">
        <v>478</v>
      </c>
      <c r="B142" s="15">
        <v>45769</v>
      </c>
      <c r="C142" s="4">
        <v>1052</v>
      </c>
      <c r="D142" s="4" t="str">
        <v>Customer_131</v>
      </c>
      <c r="E142" s="4" t="str">
        <v>Corporate</v>
      </c>
      <c r="F142" s="4" t="str">
        <v>West</v>
      </c>
      <c r="G142" s="4" t="str">
        <v>Electronics</v>
      </c>
      <c r="H142" s="4" t="str">
        <v>Product_C</v>
      </c>
      <c r="I142" s="4">
        <v>3861</v>
      </c>
      <c r="J142" s="4">
        <v>4</v>
      </c>
      <c r="K142" s="4">
        <v>0.16</v>
      </c>
      <c r="L142" s="4">
        <v>1739</v>
      </c>
      <c r="M142" s="4" t="str">
        <v>Card</v>
      </c>
      <c r="N142" s="4">
        <v>12972.96</v>
      </c>
    </row>
    <row r="143" spans="1:14" x14ac:dyDescent="0.3">
      <c r="A143" s="4">
        <v>479</v>
      </c>
      <c r="B143" s="15">
        <v>45770</v>
      </c>
      <c r="C143" s="4">
        <v>1079</v>
      </c>
      <c r="D143" s="4" t="str">
        <v>Customer_187</v>
      </c>
      <c r="E143" s="4" t="str">
        <v>Corporate</v>
      </c>
      <c r="F143" s="4" t="str">
        <v>North</v>
      </c>
      <c r="G143" s="4" t="str">
        <v>Electronics</v>
      </c>
      <c r="H143" s="4" t="str">
        <v>Product_C</v>
      </c>
      <c r="I143" s="4">
        <v>3679</v>
      </c>
      <c r="J143" s="4">
        <v>6</v>
      </c>
      <c r="K143" s="4">
        <v>0.13</v>
      </c>
      <c r="L143" s="4">
        <v>1506</v>
      </c>
      <c r="M143" s="4" t="str">
        <v>COD</v>
      </c>
      <c r="N143" s="4">
        <v>19204.38</v>
      </c>
    </row>
    <row r="144" spans="1:14" x14ac:dyDescent="0.3">
      <c r="A144" s="4">
        <v>480</v>
      </c>
      <c r="B144" s="15">
        <v>45771</v>
      </c>
      <c r="C144" s="4">
        <v>1039</v>
      </c>
      <c r="D144" s="4" t="str">
        <v>Customer_56</v>
      </c>
      <c r="E144" s="4" t="str">
        <v>Consumer</v>
      </c>
      <c r="F144" s="4" t="str">
        <v>North</v>
      </c>
      <c r="G144" s="4" t="str">
        <v>Electronics</v>
      </c>
      <c r="H144" s="4" t="str">
        <v>Product_A</v>
      </c>
      <c r="I144" s="4">
        <v>1431</v>
      </c>
      <c r="J144" s="4">
        <v>9</v>
      </c>
      <c r="K144" s="4">
        <v>0.22</v>
      </c>
      <c r="L144" s="4">
        <v>822</v>
      </c>
      <c r="M144" s="4" t="str">
        <v>UPI</v>
      </c>
      <c r="N144" s="4">
        <v>10045.620000000001</v>
      </c>
    </row>
    <row r="145" spans="1:14" x14ac:dyDescent="0.3">
      <c r="A145" s="4">
        <v>485</v>
      </c>
      <c r="B145" s="15">
        <v>45776</v>
      </c>
      <c r="C145" s="4">
        <v>1055</v>
      </c>
      <c r="D145" s="4" t="str">
        <v>Customer_118</v>
      </c>
      <c r="E145" s="4" t="str">
        <v>Consumer</v>
      </c>
      <c r="F145" s="4" t="str">
        <v>West</v>
      </c>
      <c r="G145" s="4" t="str">
        <v>Electronics</v>
      </c>
      <c r="H145" s="4" t="str">
        <v>Product_B</v>
      </c>
      <c r="I145" s="4">
        <v>3682</v>
      </c>
      <c r="J145" s="4">
        <v>8</v>
      </c>
      <c r="K145" s="4">
        <v>0.1</v>
      </c>
      <c r="L145" s="4">
        <v>1715</v>
      </c>
      <c r="M145" s="4" t="str">
        <v>Card</v>
      </c>
      <c r="N145" s="4">
        <v>26510.400000000001</v>
      </c>
    </row>
    <row r="146" spans="1:14" x14ac:dyDescent="0.3">
      <c r="A146" s="4">
        <v>487</v>
      </c>
      <c r="B146" s="15">
        <v>45778</v>
      </c>
      <c r="C146" s="4">
        <v>1003</v>
      </c>
      <c r="D146" s="4" t="str">
        <v>Customer_37</v>
      </c>
      <c r="E146" s="4" t="str">
        <v>Corporate</v>
      </c>
      <c r="F146" s="4" t="str">
        <v>East</v>
      </c>
      <c r="G146" s="4" t="str">
        <v>Electronics</v>
      </c>
      <c r="H146" s="4" t="str">
        <v>Product_D</v>
      </c>
      <c r="I146" s="4">
        <v>1839</v>
      </c>
      <c r="J146" s="4">
        <v>3</v>
      </c>
      <c r="K146" s="4">
        <v>0.03</v>
      </c>
      <c r="L146" s="4">
        <v>1247</v>
      </c>
      <c r="M146" s="4" t="str">
        <v>UPI</v>
      </c>
      <c r="N146" s="4">
        <v>5351.49</v>
      </c>
    </row>
    <row r="147" spans="1:14" x14ac:dyDescent="0.3">
      <c r="A147" s="4">
        <v>489</v>
      </c>
      <c r="B147" s="15">
        <v>45780</v>
      </c>
      <c r="C147" s="4">
        <v>1051</v>
      </c>
      <c r="D147" s="4" t="str">
        <v>Customer_58</v>
      </c>
      <c r="E147" s="4" t="str">
        <v>Corporate</v>
      </c>
      <c r="F147" s="4" t="str">
        <v>South</v>
      </c>
      <c r="G147" s="4" t="str">
        <v>Electronics</v>
      </c>
      <c r="H147" s="4" t="str">
        <v>Product_C</v>
      </c>
      <c r="I147" s="4">
        <v>3116</v>
      </c>
      <c r="J147" s="4">
        <v>9</v>
      </c>
      <c r="K147" s="4">
        <v>0.19</v>
      </c>
      <c r="L147" s="4">
        <v>942</v>
      </c>
      <c r="M147" s="4" t="str">
        <v>COD</v>
      </c>
      <c r="N147" s="4">
        <v>22715.64</v>
      </c>
    </row>
    <row r="148" spans="1:14" x14ac:dyDescent="0.3">
      <c r="A148" s="4">
        <v>493</v>
      </c>
      <c r="B148" s="15">
        <v>45784</v>
      </c>
      <c r="C148" s="4">
        <v>1071</v>
      </c>
      <c r="D148" s="4" t="str">
        <v>Customer_91</v>
      </c>
      <c r="E148" s="4" t="str">
        <v>Corporate</v>
      </c>
      <c r="F148" s="4" t="str">
        <v>North</v>
      </c>
      <c r="G148" s="4" t="str">
        <v>Electronics</v>
      </c>
      <c r="H148" s="4" t="str">
        <v>Product_C</v>
      </c>
      <c r="I148" s="4">
        <v>3019</v>
      </c>
      <c r="J148" s="4">
        <v>9</v>
      </c>
      <c r="K148" s="4">
        <v>0.04</v>
      </c>
      <c r="L148" s="4">
        <v>660</v>
      </c>
      <c r="M148" s="4" t="str">
        <v>COD</v>
      </c>
      <c r="N148" s="4">
        <v>26084.16</v>
      </c>
    </row>
    <row r="149" spans="1:14" x14ac:dyDescent="0.3">
      <c r="A149" s="4">
        <v>497</v>
      </c>
      <c r="B149" s="15">
        <v>45788</v>
      </c>
      <c r="C149" s="4">
        <v>1038</v>
      </c>
      <c r="D149" s="4" t="str">
        <v>Customer_119</v>
      </c>
      <c r="E149" s="4" t="str">
        <v>Corporate</v>
      </c>
      <c r="F149" s="4" t="str">
        <v>South</v>
      </c>
      <c r="G149" s="4" t="str">
        <v>Electronics</v>
      </c>
      <c r="H149" s="4" t="str">
        <v>Product_A</v>
      </c>
      <c r="I149" s="4">
        <v>1791</v>
      </c>
      <c r="J149" s="4">
        <v>4</v>
      </c>
      <c r="K149" s="4">
        <v>0.1</v>
      </c>
      <c r="L149" s="4">
        <v>-437</v>
      </c>
      <c r="M149" s="4" t="str">
        <v>UPI</v>
      </c>
      <c r="N149" s="4">
        <v>6447.6</v>
      </c>
    </row>
    <row r="150" spans="1:14" x14ac:dyDescent="0.3">
      <c r="A150" s="4">
        <v>498</v>
      </c>
      <c r="B150" s="15">
        <v>45789</v>
      </c>
      <c r="C150" s="4">
        <v>1079</v>
      </c>
      <c r="D150" s="4" t="str">
        <v>Customer_155</v>
      </c>
      <c r="E150" s="4" t="str">
        <v>Consumer</v>
      </c>
      <c r="F150" s="4" t="str">
        <v>East</v>
      </c>
      <c r="G150" s="4" t="str">
        <v>Electronics</v>
      </c>
      <c r="H150" s="4" t="str">
        <v>Product_D</v>
      </c>
      <c r="I150" s="4">
        <v>4085</v>
      </c>
      <c r="J150" s="4">
        <v>7</v>
      </c>
      <c r="K150" s="4">
        <v>0.24</v>
      </c>
      <c r="L150" s="4">
        <v>1108</v>
      </c>
      <c r="M150" s="4" t="str">
        <v>UPI</v>
      </c>
      <c r="N150" s="4">
        <v>21732.2</v>
      </c>
    </row>
    <row r="151" spans="1:14" x14ac:dyDescent="0.3">
      <c r="A151" s="4">
        <v>499</v>
      </c>
      <c r="B151" s="15">
        <v>45790</v>
      </c>
      <c r="C151" s="4">
        <v>1074</v>
      </c>
      <c r="D151" s="4" t="str">
        <v>Customer_181</v>
      </c>
      <c r="E151" s="4" t="str">
        <v>Corporate</v>
      </c>
      <c r="F151" s="4" t="str">
        <v>South</v>
      </c>
      <c r="G151" s="4" t="str">
        <v>Electronics</v>
      </c>
      <c r="H151" s="4" t="str">
        <v>Product_A</v>
      </c>
      <c r="I151" s="4">
        <v>4431</v>
      </c>
      <c r="J151" s="4">
        <v>1</v>
      </c>
      <c r="K151" s="4">
        <v>0.08</v>
      </c>
      <c r="L151" s="4">
        <v>394</v>
      </c>
      <c r="M151" s="4" t="str">
        <v>Card</v>
      </c>
      <c r="N151" s="4">
        <v>4076.52</v>
      </c>
    </row>
    <row r="153" spans="1:14" x14ac:dyDescent="0.3">
      <c r="A153" s="21" t="s">
        <v>270</v>
      </c>
      <c r="B153" s="21"/>
      <c r="C153" s="21"/>
      <c r="D153" s="21"/>
      <c r="E153" s="21"/>
      <c r="F153" s="21"/>
      <c r="G153" s="21"/>
      <c r="H153" s="21"/>
      <c r="I153" s="21"/>
      <c r="J153" s="21"/>
      <c r="K153" s="21"/>
      <c r="L153" s="21"/>
      <c r="M153" s="21"/>
      <c r="N153" s="21"/>
    </row>
    <row r="154" spans="1:14" x14ac:dyDescent="0.3">
      <c r="A154" s="13" t="s">
        <v>0</v>
      </c>
      <c r="B154" s="14" t="s">
        <v>1</v>
      </c>
      <c r="C154" s="13" t="s">
        <v>2</v>
      </c>
      <c r="D154" s="13" t="s">
        <v>3</v>
      </c>
      <c r="E154" s="13" t="s">
        <v>4</v>
      </c>
      <c r="F154" s="13" t="s">
        <v>5</v>
      </c>
      <c r="G154" s="13" t="s">
        <v>6</v>
      </c>
      <c r="H154" s="13" t="s">
        <v>7</v>
      </c>
      <c r="I154" s="13" t="s">
        <v>8</v>
      </c>
      <c r="J154" s="13" t="s">
        <v>9</v>
      </c>
      <c r="K154" s="13" t="s">
        <v>10</v>
      </c>
      <c r="L154" s="13" t="s">
        <v>11</v>
      </c>
      <c r="M154" s="13" t="s">
        <v>12</v>
      </c>
      <c r="N154" s="13" t="s">
        <v>13</v>
      </c>
    </row>
    <row r="155" spans="1:14" x14ac:dyDescent="0.3">
      <c r="A155" s="4" cm="1">
        <f t="array" ref="A155:N477">_xlfn._xlws.FILTER(CHOOSE({1,2,3,4,5,6,7,8,9,10,11,12,13,14},SalesData[Order_ID],SalesData[Order_Date],SalesData[Customer_ID],SalesData[Customer_Name],SalesData[Segment],SalesData[Region],SalesData[Category],SalesData[Product_Name],SalesData[Price],SalesData[Quantity],SalesData[Discount],SalesData[Profit],SalesData[Payment_Mode],SalesData[Sales]),
 SalesData[Sales]&gt;5000
)</f>
        <v>1</v>
      </c>
      <c r="B155" s="4">
        <v>45292</v>
      </c>
      <c r="C155" s="4">
        <v>1066</v>
      </c>
      <c r="D155" s="4" t="str">
        <v>Customer_33</v>
      </c>
      <c r="E155" s="4" t="str">
        <v>Consumer</v>
      </c>
      <c r="F155" s="4" t="str">
        <v>South</v>
      </c>
      <c r="G155" s="4" t="str">
        <v>Electronics</v>
      </c>
      <c r="H155" s="4" t="str">
        <v>Product_A</v>
      </c>
      <c r="I155" s="4">
        <v>2755</v>
      </c>
      <c r="J155" s="4">
        <v>3</v>
      </c>
      <c r="K155" s="4">
        <v>0.25</v>
      </c>
      <c r="L155" s="4">
        <v>559</v>
      </c>
      <c r="M155" s="4" t="str">
        <v>UPI</v>
      </c>
      <c r="N155" s="4">
        <v>6198.75</v>
      </c>
    </row>
    <row r="156" spans="1:14" x14ac:dyDescent="0.3">
      <c r="A156" s="4">
        <v>3</v>
      </c>
      <c r="B156" s="4">
        <v>45294</v>
      </c>
      <c r="C156" s="4">
        <v>1098</v>
      </c>
      <c r="D156" s="4" t="str">
        <v>Customer_54</v>
      </c>
      <c r="E156" s="4" t="str">
        <v>Corporate</v>
      </c>
      <c r="F156" s="4" t="str">
        <v>East</v>
      </c>
      <c r="G156" s="4" t="str">
        <v>Clothing</v>
      </c>
      <c r="H156" s="4" t="str">
        <v>Product_D</v>
      </c>
      <c r="I156" s="4">
        <v>3914</v>
      </c>
      <c r="J156" s="4">
        <v>7</v>
      </c>
      <c r="K156" s="4">
        <v>0.16</v>
      </c>
      <c r="L156" s="4">
        <v>-225</v>
      </c>
      <c r="M156" s="4" t="str">
        <v>Card</v>
      </c>
      <c r="N156" s="4">
        <v>23014.32</v>
      </c>
    </row>
    <row r="157" spans="1:14" x14ac:dyDescent="0.3">
      <c r="A157" s="4">
        <v>6</v>
      </c>
      <c r="B157" s="4">
        <v>45297</v>
      </c>
      <c r="C157" s="4">
        <v>1057</v>
      </c>
      <c r="D157" s="4" t="str">
        <v>Customer_112</v>
      </c>
      <c r="E157" s="4" t="str">
        <v>Consumer</v>
      </c>
      <c r="F157" s="4" t="str">
        <v>North</v>
      </c>
      <c r="G157" s="4" t="str">
        <v>Furniture</v>
      </c>
      <c r="H157" s="4" t="str">
        <v>Product_D</v>
      </c>
      <c r="I157" s="4">
        <v>2090</v>
      </c>
      <c r="J157" s="4">
        <v>8</v>
      </c>
      <c r="K157" s="4">
        <v>0.04</v>
      </c>
      <c r="L157" s="4">
        <v>1271</v>
      </c>
      <c r="M157" s="4" t="str">
        <v>UPI</v>
      </c>
      <c r="N157" s="4">
        <v>16051.199999999901</v>
      </c>
    </row>
    <row r="158" spans="1:14" x14ac:dyDescent="0.3">
      <c r="A158" s="4">
        <v>9</v>
      </c>
      <c r="B158" s="4">
        <v>45300</v>
      </c>
      <c r="C158" s="4">
        <v>1096</v>
      </c>
      <c r="D158" s="4" t="str">
        <v>Customer_184</v>
      </c>
      <c r="E158" s="4" t="str">
        <v>Consumer</v>
      </c>
      <c r="F158" s="4" t="str">
        <v>West</v>
      </c>
      <c r="G158" s="4" t="str">
        <v>Electronics</v>
      </c>
      <c r="H158" s="4" t="str">
        <v>Product_C</v>
      </c>
      <c r="I158" s="4">
        <v>4121</v>
      </c>
      <c r="J158" s="4">
        <v>4</v>
      </c>
      <c r="K158" s="4">
        <v>0.03</v>
      </c>
      <c r="L158" s="4">
        <v>-169</v>
      </c>
      <c r="M158" s="4" t="str">
        <v>Card</v>
      </c>
      <c r="N158" s="4">
        <v>15989.48</v>
      </c>
    </row>
    <row r="159" spans="1:14" x14ac:dyDescent="0.3">
      <c r="A159" s="4">
        <v>12</v>
      </c>
      <c r="B159" s="4">
        <v>45303</v>
      </c>
      <c r="C159" s="4">
        <v>1032</v>
      </c>
      <c r="D159" s="4" t="str">
        <v>Customer_1</v>
      </c>
      <c r="E159" s="4" t="str">
        <v>Consumer</v>
      </c>
      <c r="F159" s="4" t="str">
        <v>West</v>
      </c>
      <c r="G159" s="4" t="str">
        <v>Electronics</v>
      </c>
      <c r="H159" s="4" t="str">
        <v>Product_C</v>
      </c>
      <c r="I159" s="4">
        <v>3851</v>
      </c>
      <c r="J159" s="4">
        <v>6</v>
      </c>
      <c r="K159" s="4">
        <v>0.2</v>
      </c>
      <c r="L159" s="4">
        <v>-7</v>
      </c>
      <c r="M159" s="4" t="str">
        <v>UPI</v>
      </c>
      <c r="N159" s="4">
        <v>18484.8</v>
      </c>
    </row>
    <row r="160" spans="1:14" x14ac:dyDescent="0.3">
      <c r="A160" s="4">
        <v>14</v>
      </c>
      <c r="B160" s="4">
        <v>45305</v>
      </c>
      <c r="C160" s="4">
        <v>1096</v>
      </c>
      <c r="D160" s="4" t="str">
        <v>Customer_21</v>
      </c>
      <c r="E160" s="4" t="str">
        <v>Consumer</v>
      </c>
      <c r="F160" s="4" t="str">
        <v>North</v>
      </c>
      <c r="G160" s="4" t="str">
        <v>Clothing</v>
      </c>
      <c r="H160" s="4" t="str">
        <v>Product_A</v>
      </c>
      <c r="I160" s="4">
        <v>4554</v>
      </c>
      <c r="J160" s="4">
        <v>9</v>
      </c>
      <c r="K160" s="4">
        <v>0.02</v>
      </c>
      <c r="L160" s="4">
        <v>1529</v>
      </c>
      <c r="M160" s="4" t="str">
        <v>Card</v>
      </c>
      <c r="N160" s="4">
        <v>40166.28</v>
      </c>
    </row>
    <row r="161" spans="1:14" x14ac:dyDescent="0.3">
      <c r="A161" s="4">
        <v>15</v>
      </c>
      <c r="B161" s="4">
        <v>45306</v>
      </c>
      <c r="C161" s="4">
        <v>1025</v>
      </c>
      <c r="D161" s="4" t="str">
        <v>Customer_24</v>
      </c>
      <c r="E161" s="4" t="str">
        <v>Corporate</v>
      </c>
      <c r="F161" s="4" t="str">
        <v>South</v>
      </c>
      <c r="G161" s="4" t="str">
        <v>Clothing</v>
      </c>
      <c r="H161" s="4" t="str">
        <v>Product_A</v>
      </c>
      <c r="I161" s="4">
        <v>2930</v>
      </c>
      <c r="J161" s="4">
        <v>4</v>
      </c>
      <c r="K161" s="4">
        <v>0.12</v>
      </c>
      <c r="L161" s="4">
        <v>1243</v>
      </c>
      <c r="M161" s="4" t="str">
        <v>Card</v>
      </c>
      <c r="N161" s="4">
        <v>10313.6</v>
      </c>
    </row>
    <row r="162" spans="1:14" x14ac:dyDescent="0.3">
      <c r="A162" s="4">
        <v>16</v>
      </c>
      <c r="B162" s="4">
        <v>45307</v>
      </c>
      <c r="C162" s="4">
        <v>1083</v>
      </c>
      <c r="D162" s="4" t="str">
        <v>Customer_19</v>
      </c>
      <c r="E162" s="4" t="str">
        <v>Consumer</v>
      </c>
      <c r="F162" s="4" t="str">
        <v>North</v>
      </c>
      <c r="G162" s="4" t="str">
        <v>Furniture</v>
      </c>
      <c r="H162" s="4" t="str">
        <v>Product_D</v>
      </c>
      <c r="I162" s="4">
        <v>2870</v>
      </c>
      <c r="J162" s="4">
        <v>2</v>
      </c>
      <c r="K162" s="4">
        <v>0.05</v>
      </c>
      <c r="L162" s="4">
        <v>1714</v>
      </c>
      <c r="M162" s="4" t="str">
        <v>Card</v>
      </c>
      <c r="N162" s="4">
        <v>5453</v>
      </c>
    </row>
    <row r="163" spans="1:14" x14ac:dyDescent="0.3">
      <c r="A163" s="4">
        <v>18</v>
      </c>
      <c r="B163" s="4">
        <v>45309</v>
      </c>
      <c r="C163" s="4">
        <v>1036</v>
      </c>
      <c r="D163" s="4" t="str">
        <v>Customer_112</v>
      </c>
      <c r="E163" s="4" t="str">
        <v>Consumer</v>
      </c>
      <c r="F163" s="4" t="str">
        <v>North</v>
      </c>
      <c r="G163" s="4" t="str">
        <v>Furniture</v>
      </c>
      <c r="H163" s="4" t="str">
        <v>Product_A</v>
      </c>
      <c r="I163" s="4">
        <v>4545</v>
      </c>
      <c r="J163" s="4">
        <v>4</v>
      </c>
      <c r="K163" s="4">
        <v>7.0000000000000007E-2</v>
      </c>
      <c r="L163" s="4">
        <v>1171</v>
      </c>
      <c r="M163" s="4" t="str">
        <v>UPI</v>
      </c>
      <c r="N163" s="4">
        <v>16907.3999999999</v>
      </c>
    </row>
    <row r="164" spans="1:14" x14ac:dyDescent="0.3">
      <c r="A164" s="4">
        <v>20</v>
      </c>
      <c r="B164" s="4">
        <v>45311</v>
      </c>
      <c r="C164" s="4">
        <v>1080</v>
      </c>
      <c r="D164" s="4" t="str">
        <v>Customer_124</v>
      </c>
      <c r="E164" s="4" t="str">
        <v>Corporate</v>
      </c>
      <c r="F164" s="4" t="str">
        <v>East</v>
      </c>
      <c r="G164" s="4" t="str">
        <v>Furniture</v>
      </c>
      <c r="H164" s="4" t="str">
        <v>Product_A</v>
      </c>
      <c r="I164" s="4">
        <v>1487</v>
      </c>
      <c r="J164" s="4">
        <v>8</v>
      </c>
      <c r="K164" s="4">
        <v>0.11</v>
      </c>
      <c r="L164" s="4">
        <v>992</v>
      </c>
      <c r="M164" s="4" t="str">
        <v>Card</v>
      </c>
      <c r="N164" s="4">
        <v>10587.44</v>
      </c>
    </row>
    <row r="165" spans="1:14" x14ac:dyDescent="0.3">
      <c r="A165" s="4">
        <v>21</v>
      </c>
      <c r="B165" s="4">
        <v>45312</v>
      </c>
      <c r="C165" s="4">
        <v>1068</v>
      </c>
      <c r="D165" s="4" t="str">
        <v>Customer_153</v>
      </c>
      <c r="E165" s="4" t="str">
        <v>Consumer</v>
      </c>
      <c r="F165" s="4" t="str">
        <v>South</v>
      </c>
      <c r="G165" s="4" t="str">
        <v>Clothing</v>
      </c>
      <c r="H165" s="4" t="str">
        <v>Product_B</v>
      </c>
      <c r="I165" s="4">
        <v>2066</v>
      </c>
      <c r="J165" s="4">
        <v>4</v>
      </c>
      <c r="K165" s="4">
        <v>0.21</v>
      </c>
      <c r="L165" s="4">
        <v>-488</v>
      </c>
      <c r="M165" s="4" t="str">
        <v>UPI</v>
      </c>
      <c r="N165" s="4">
        <v>6528.56</v>
      </c>
    </row>
    <row r="166" spans="1:14" x14ac:dyDescent="0.3">
      <c r="A166" s="4">
        <v>22</v>
      </c>
      <c r="B166" s="4">
        <v>45313</v>
      </c>
      <c r="C166" s="4">
        <v>1049</v>
      </c>
      <c r="D166" s="4" t="str">
        <v>Customer_20</v>
      </c>
      <c r="E166" s="4" t="str">
        <v>Corporate</v>
      </c>
      <c r="F166" s="4" t="str">
        <v>East</v>
      </c>
      <c r="G166" s="4" t="str">
        <v>Clothing</v>
      </c>
      <c r="H166" s="4" t="str">
        <v>Product_D</v>
      </c>
      <c r="I166" s="4">
        <v>4415</v>
      </c>
      <c r="J166" s="4">
        <v>4</v>
      </c>
      <c r="K166" s="4">
        <v>0.22</v>
      </c>
      <c r="L166" s="4">
        <v>316</v>
      </c>
      <c r="M166" s="4" t="str">
        <v>COD</v>
      </c>
      <c r="N166" s="4">
        <v>13774.8</v>
      </c>
    </row>
    <row r="167" spans="1:14" x14ac:dyDescent="0.3">
      <c r="A167" s="4">
        <v>24</v>
      </c>
      <c r="B167" s="4">
        <v>45315</v>
      </c>
      <c r="C167" s="4">
        <v>1067</v>
      </c>
      <c r="D167" s="4" t="str">
        <v>Customer_154</v>
      </c>
      <c r="E167" s="4" t="str">
        <v>Corporate</v>
      </c>
      <c r="F167" s="4" t="str">
        <v>North</v>
      </c>
      <c r="G167" s="4" t="str">
        <v>Clothing</v>
      </c>
      <c r="H167" s="4" t="str">
        <v>Product_A</v>
      </c>
      <c r="I167" s="4">
        <v>4346</v>
      </c>
      <c r="J167" s="4">
        <v>2</v>
      </c>
      <c r="K167" s="4">
        <v>7.0000000000000007E-2</v>
      </c>
      <c r="L167" s="4">
        <v>-8</v>
      </c>
      <c r="M167" s="4" t="str">
        <v>Card</v>
      </c>
      <c r="N167" s="4">
        <v>8083.5599999999904</v>
      </c>
    </row>
    <row r="168" spans="1:14" x14ac:dyDescent="0.3">
      <c r="A168" s="4">
        <v>25</v>
      </c>
      <c r="B168" s="4">
        <v>45316</v>
      </c>
      <c r="C168" s="4">
        <v>1002</v>
      </c>
      <c r="D168" s="4" t="str">
        <v>Customer_127</v>
      </c>
      <c r="E168" s="4" t="str">
        <v>Consumer</v>
      </c>
      <c r="F168" s="4" t="str">
        <v>South</v>
      </c>
      <c r="G168" s="4" t="str">
        <v>Furniture</v>
      </c>
      <c r="H168" s="4" t="str">
        <v>Product_D</v>
      </c>
      <c r="I168" s="4">
        <v>2176</v>
      </c>
      <c r="J168" s="4">
        <v>6</v>
      </c>
      <c r="K168" s="4">
        <v>0.24</v>
      </c>
      <c r="L168" s="4">
        <v>337</v>
      </c>
      <c r="M168" s="4" t="str">
        <v>UPI</v>
      </c>
      <c r="N168" s="4">
        <v>9922.56</v>
      </c>
    </row>
    <row r="169" spans="1:14" x14ac:dyDescent="0.3">
      <c r="A169" s="4">
        <v>26</v>
      </c>
      <c r="B169" s="4">
        <v>45317</v>
      </c>
      <c r="C169" s="4">
        <v>1084</v>
      </c>
      <c r="D169" s="4" t="str">
        <v>Customer_7</v>
      </c>
      <c r="E169" s="4" t="str">
        <v>Corporate</v>
      </c>
      <c r="F169" s="4" t="str">
        <v>North</v>
      </c>
      <c r="G169" s="4" t="str">
        <v>Clothing</v>
      </c>
      <c r="H169" s="4" t="str">
        <v>Product_C</v>
      </c>
      <c r="I169" s="4">
        <v>1857</v>
      </c>
      <c r="J169" s="4">
        <v>6</v>
      </c>
      <c r="K169" s="4">
        <v>0.25</v>
      </c>
      <c r="L169" s="4">
        <v>1296</v>
      </c>
      <c r="M169" s="4" t="str">
        <v>Card</v>
      </c>
      <c r="N169" s="4">
        <v>8356.5</v>
      </c>
    </row>
    <row r="170" spans="1:14" x14ac:dyDescent="0.3">
      <c r="A170" s="4">
        <v>27</v>
      </c>
      <c r="B170" s="4">
        <v>45318</v>
      </c>
      <c r="C170" s="4">
        <v>1039</v>
      </c>
      <c r="D170" s="4" t="str">
        <v>Customer_195</v>
      </c>
      <c r="E170" s="4" t="str">
        <v>Consumer</v>
      </c>
      <c r="F170" s="4" t="str">
        <v>East</v>
      </c>
      <c r="G170" s="4" t="str">
        <v>Furniture</v>
      </c>
      <c r="H170" s="4" t="str">
        <v>Product_D</v>
      </c>
      <c r="I170" s="4">
        <v>4258</v>
      </c>
      <c r="J170" s="4">
        <v>7</v>
      </c>
      <c r="K170" s="4">
        <v>0.16</v>
      </c>
      <c r="L170" s="4">
        <v>1331</v>
      </c>
      <c r="M170" s="4" t="str">
        <v>COD</v>
      </c>
      <c r="N170" s="4">
        <v>25037.040000000001</v>
      </c>
    </row>
    <row r="171" spans="1:14" x14ac:dyDescent="0.3">
      <c r="A171" s="4">
        <v>29</v>
      </c>
      <c r="B171" s="4">
        <v>45320</v>
      </c>
      <c r="C171" s="4">
        <v>1084</v>
      </c>
      <c r="D171" s="4" t="str">
        <v>Customer_72</v>
      </c>
      <c r="E171" s="4" t="str">
        <v>Corporate</v>
      </c>
      <c r="F171" s="4" t="str">
        <v>North</v>
      </c>
      <c r="G171" s="4" t="str">
        <v>Furniture</v>
      </c>
      <c r="H171" s="4" t="str">
        <v>Product_A</v>
      </c>
      <c r="I171" s="4">
        <v>1757</v>
      </c>
      <c r="J171" s="4">
        <v>7</v>
      </c>
      <c r="K171" s="4">
        <v>0.24</v>
      </c>
      <c r="L171" s="4">
        <v>1198</v>
      </c>
      <c r="M171" s="4" t="str">
        <v>Card</v>
      </c>
      <c r="N171" s="4">
        <v>9347.24</v>
      </c>
    </row>
    <row r="172" spans="1:14" x14ac:dyDescent="0.3">
      <c r="A172" s="4">
        <v>31</v>
      </c>
      <c r="B172" s="4">
        <v>45322</v>
      </c>
      <c r="C172" s="4">
        <v>1061</v>
      </c>
      <c r="D172" s="4" t="str">
        <v>Customer_11</v>
      </c>
      <c r="E172" s="4" t="str">
        <v>Consumer</v>
      </c>
      <c r="F172" s="4" t="str">
        <v>North</v>
      </c>
      <c r="G172" s="4" t="str">
        <v>Furniture</v>
      </c>
      <c r="H172" s="4" t="str">
        <v>Product_D</v>
      </c>
      <c r="I172" s="4">
        <v>4589</v>
      </c>
      <c r="J172" s="4">
        <v>2</v>
      </c>
      <c r="K172" s="4">
        <v>0.28000000000000003</v>
      </c>
      <c r="L172" s="4">
        <v>1849</v>
      </c>
      <c r="M172" s="4" t="str">
        <v>COD</v>
      </c>
      <c r="N172" s="4">
        <v>6608.16</v>
      </c>
    </row>
    <row r="173" spans="1:14" x14ac:dyDescent="0.3">
      <c r="A173" s="4">
        <v>33</v>
      </c>
      <c r="B173" s="4">
        <v>45324</v>
      </c>
      <c r="C173" s="4">
        <v>1007</v>
      </c>
      <c r="D173" s="4" t="str">
        <v>Customer_72</v>
      </c>
      <c r="E173" s="4" t="str">
        <v>Corporate</v>
      </c>
      <c r="F173" s="4" t="str">
        <v>North</v>
      </c>
      <c r="G173" s="4" t="str">
        <v>Electronics</v>
      </c>
      <c r="H173" s="4" t="str">
        <v>Product_D</v>
      </c>
      <c r="I173" s="4">
        <v>4961</v>
      </c>
      <c r="J173" s="4">
        <v>9</v>
      </c>
      <c r="K173" s="4">
        <v>0.28000000000000003</v>
      </c>
      <c r="L173" s="4">
        <v>1103</v>
      </c>
      <c r="M173" s="4" t="str">
        <v>Card</v>
      </c>
      <c r="N173" s="4">
        <v>32147.279999999999</v>
      </c>
    </row>
    <row r="174" spans="1:14" x14ac:dyDescent="0.3">
      <c r="A174" s="4">
        <v>34</v>
      </c>
      <c r="B174" s="4">
        <v>45325</v>
      </c>
      <c r="C174" s="4">
        <v>1099</v>
      </c>
      <c r="D174" s="4" t="str">
        <v>Customer_175</v>
      </c>
      <c r="E174" s="4" t="str">
        <v>Consumer</v>
      </c>
      <c r="F174" s="4" t="str">
        <v>West</v>
      </c>
      <c r="G174" s="4" t="str">
        <v>Electronics</v>
      </c>
      <c r="H174" s="4" t="str">
        <v>Product_A</v>
      </c>
      <c r="I174" s="4">
        <v>2141</v>
      </c>
      <c r="J174" s="4">
        <v>9</v>
      </c>
      <c r="K174" s="4">
        <v>0.13</v>
      </c>
      <c r="L174" s="4">
        <v>191</v>
      </c>
      <c r="M174" s="4" t="str">
        <v>COD</v>
      </c>
      <c r="N174" s="4">
        <v>16764.03</v>
      </c>
    </row>
    <row r="175" spans="1:14" x14ac:dyDescent="0.3">
      <c r="A175" s="4">
        <v>35</v>
      </c>
      <c r="B175" s="4">
        <v>45326</v>
      </c>
      <c r="C175" s="4">
        <v>1092</v>
      </c>
      <c r="D175" s="4" t="str">
        <v>Customer_172</v>
      </c>
      <c r="E175" s="4" t="str">
        <v>Consumer</v>
      </c>
      <c r="F175" s="4" t="str">
        <v>West</v>
      </c>
      <c r="G175" s="4" t="str">
        <v>Furniture</v>
      </c>
      <c r="H175" s="4" t="str">
        <v>Product_B</v>
      </c>
      <c r="I175" s="4">
        <v>4536</v>
      </c>
      <c r="J175" s="4">
        <v>5</v>
      </c>
      <c r="K175" s="4">
        <v>0.23</v>
      </c>
      <c r="L175" s="4">
        <v>954</v>
      </c>
      <c r="M175" s="4" t="str">
        <v>UPI</v>
      </c>
      <c r="N175" s="4">
        <v>17463.599999999999</v>
      </c>
    </row>
    <row r="176" spans="1:14" x14ac:dyDescent="0.3">
      <c r="A176" s="4">
        <v>36</v>
      </c>
      <c r="B176" s="4">
        <v>45327</v>
      </c>
      <c r="C176" s="4">
        <v>1052</v>
      </c>
      <c r="D176" s="4" t="str">
        <v>Customer_192</v>
      </c>
      <c r="E176" s="4" t="str">
        <v>Corporate</v>
      </c>
      <c r="F176" s="4" t="str">
        <v>South</v>
      </c>
      <c r="G176" s="4" t="str">
        <v>Electronics</v>
      </c>
      <c r="H176" s="4" t="str">
        <v>Product_A</v>
      </c>
      <c r="I176" s="4">
        <v>2529</v>
      </c>
      <c r="J176" s="4">
        <v>7</v>
      </c>
      <c r="K176" s="4">
        <v>0.06</v>
      </c>
      <c r="L176" s="4">
        <v>-454</v>
      </c>
      <c r="M176" s="4" t="str">
        <v>Card</v>
      </c>
      <c r="N176" s="4">
        <v>16640.82</v>
      </c>
    </row>
    <row r="177" spans="1:14" x14ac:dyDescent="0.3">
      <c r="A177" s="4">
        <v>37</v>
      </c>
      <c r="B177" s="4">
        <v>45328</v>
      </c>
      <c r="C177" s="4">
        <v>1097</v>
      </c>
      <c r="D177" s="4" t="str">
        <v>Customer_158</v>
      </c>
      <c r="E177" s="4" t="str">
        <v>Consumer</v>
      </c>
      <c r="F177" s="4" t="str">
        <v>East</v>
      </c>
      <c r="G177" s="4" t="str">
        <v>Clothing</v>
      </c>
      <c r="H177" s="4" t="str">
        <v>Product_C</v>
      </c>
      <c r="I177" s="4">
        <v>3484</v>
      </c>
      <c r="J177" s="4">
        <v>7</v>
      </c>
      <c r="K177" s="4">
        <v>0.19</v>
      </c>
      <c r="L177" s="4">
        <v>-398</v>
      </c>
      <c r="M177" s="4" t="str">
        <v>UPI</v>
      </c>
      <c r="N177" s="4">
        <v>19754.28</v>
      </c>
    </row>
    <row r="178" spans="1:14" x14ac:dyDescent="0.3">
      <c r="A178" s="4">
        <v>41</v>
      </c>
      <c r="B178" s="4">
        <v>45332</v>
      </c>
      <c r="C178" s="4">
        <v>1034</v>
      </c>
      <c r="D178" s="4" t="str">
        <v>Customer_4</v>
      </c>
      <c r="E178" s="4" t="str">
        <v>Corporate</v>
      </c>
      <c r="F178" s="4" t="str">
        <v>West</v>
      </c>
      <c r="G178" s="4" t="str">
        <v>Furniture</v>
      </c>
      <c r="H178" s="4" t="str">
        <v>Product_D</v>
      </c>
      <c r="I178" s="4">
        <v>3274</v>
      </c>
      <c r="J178" s="4">
        <v>8</v>
      </c>
      <c r="K178" s="4">
        <v>0.25</v>
      </c>
      <c r="L178" s="4">
        <v>578</v>
      </c>
      <c r="M178" s="4" t="str">
        <v>Card</v>
      </c>
      <c r="N178" s="4">
        <v>19644</v>
      </c>
    </row>
    <row r="179" spans="1:14" x14ac:dyDescent="0.3">
      <c r="A179" s="4">
        <v>43</v>
      </c>
      <c r="B179" s="4">
        <v>45334</v>
      </c>
      <c r="C179" s="4">
        <v>1076</v>
      </c>
      <c r="D179" s="4" t="str">
        <v>Customer_50</v>
      </c>
      <c r="E179" s="4" t="str">
        <v>Consumer</v>
      </c>
      <c r="F179" s="4" t="str">
        <v>West</v>
      </c>
      <c r="G179" s="4" t="str">
        <v>Electronics</v>
      </c>
      <c r="H179" s="4" t="str">
        <v>Product_D</v>
      </c>
      <c r="I179" s="4">
        <v>1934</v>
      </c>
      <c r="J179" s="4">
        <v>8</v>
      </c>
      <c r="K179" s="4">
        <v>0.24</v>
      </c>
      <c r="L179" s="4">
        <v>1168</v>
      </c>
      <c r="M179" s="4" t="str">
        <v>Card</v>
      </c>
      <c r="N179" s="4">
        <v>11758.72</v>
      </c>
    </row>
    <row r="180" spans="1:14" x14ac:dyDescent="0.3">
      <c r="A180" s="4">
        <v>44</v>
      </c>
      <c r="B180" s="4">
        <v>45335</v>
      </c>
      <c r="C180" s="4">
        <v>1040</v>
      </c>
      <c r="D180" s="4" t="str">
        <v>Customer_34</v>
      </c>
      <c r="E180" s="4" t="str">
        <v>Corporate</v>
      </c>
      <c r="F180" s="4" t="str">
        <v>North</v>
      </c>
      <c r="G180" s="4" t="str">
        <v>Electronics</v>
      </c>
      <c r="H180" s="4" t="str">
        <v>Product_C</v>
      </c>
      <c r="I180" s="4">
        <v>3605</v>
      </c>
      <c r="J180" s="4">
        <v>2</v>
      </c>
      <c r="K180" s="4">
        <v>0.22</v>
      </c>
      <c r="L180" s="4">
        <v>1510</v>
      </c>
      <c r="M180" s="4" t="str">
        <v>Card</v>
      </c>
      <c r="N180" s="4">
        <v>5623.8</v>
      </c>
    </row>
    <row r="181" spans="1:14" x14ac:dyDescent="0.3">
      <c r="A181" s="4">
        <v>45</v>
      </c>
      <c r="B181" s="4">
        <v>45336</v>
      </c>
      <c r="C181" s="4">
        <v>1003</v>
      </c>
      <c r="D181" s="4" t="str">
        <v>Customer_35</v>
      </c>
      <c r="E181" s="4" t="str">
        <v>Corporate</v>
      </c>
      <c r="F181" s="4" t="str">
        <v>East</v>
      </c>
      <c r="G181" s="4" t="str">
        <v>Furniture</v>
      </c>
      <c r="H181" s="4" t="str">
        <v>Product_B</v>
      </c>
      <c r="I181" s="4">
        <v>4693</v>
      </c>
      <c r="J181" s="4">
        <v>8</v>
      </c>
      <c r="K181" s="4">
        <v>0.04</v>
      </c>
      <c r="L181" s="4">
        <v>1809</v>
      </c>
      <c r="M181" s="4" t="str">
        <v>UPI</v>
      </c>
      <c r="N181" s="4">
        <v>36042.239999999998</v>
      </c>
    </row>
    <row r="182" spans="1:14" x14ac:dyDescent="0.3">
      <c r="A182" s="4">
        <v>46</v>
      </c>
      <c r="B182" s="4">
        <v>45337</v>
      </c>
      <c r="C182" s="4">
        <v>1069</v>
      </c>
      <c r="D182" s="4" t="str">
        <v>Customer_64</v>
      </c>
      <c r="E182" s="4" t="str">
        <v>Consumer</v>
      </c>
      <c r="F182" s="4" t="str">
        <v>South</v>
      </c>
      <c r="G182" s="4" t="str">
        <v>Furniture</v>
      </c>
      <c r="H182" s="4" t="str">
        <v>Product_C</v>
      </c>
      <c r="I182" s="4">
        <v>4092</v>
      </c>
      <c r="J182" s="4">
        <v>2</v>
      </c>
      <c r="K182" s="4">
        <v>0.23</v>
      </c>
      <c r="L182" s="4">
        <v>779</v>
      </c>
      <c r="M182" s="4" t="str">
        <v>Card</v>
      </c>
      <c r="N182" s="4">
        <v>6301.68</v>
      </c>
    </row>
    <row r="183" spans="1:14" x14ac:dyDescent="0.3">
      <c r="A183" s="4">
        <v>47</v>
      </c>
      <c r="B183" s="4">
        <v>45338</v>
      </c>
      <c r="C183" s="4">
        <v>1064</v>
      </c>
      <c r="D183" s="4" t="str">
        <v>Customer_13</v>
      </c>
      <c r="E183" s="4" t="str">
        <v>Corporate</v>
      </c>
      <c r="F183" s="4" t="str">
        <v>West</v>
      </c>
      <c r="G183" s="4" t="str">
        <v>Electronics</v>
      </c>
      <c r="H183" s="4" t="str">
        <v>Product_B</v>
      </c>
      <c r="I183" s="4">
        <v>1788</v>
      </c>
      <c r="J183" s="4">
        <v>7</v>
      </c>
      <c r="K183" s="4">
        <v>0.06</v>
      </c>
      <c r="L183" s="4">
        <v>-196</v>
      </c>
      <c r="M183" s="4" t="str">
        <v>Card</v>
      </c>
      <c r="N183" s="4">
        <v>11765.039999999901</v>
      </c>
    </row>
    <row r="184" spans="1:14" x14ac:dyDescent="0.3">
      <c r="A184" s="4">
        <v>49</v>
      </c>
      <c r="B184" s="4">
        <v>45340</v>
      </c>
      <c r="C184" s="4">
        <v>1034</v>
      </c>
      <c r="D184" s="4" t="str">
        <v>Customer_27</v>
      </c>
      <c r="E184" s="4" t="str">
        <v>Consumer</v>
      </c>
      <c r="F184" s="4" t="str">
        <v>South</v>
      </c>
      <c r="G184" s="4" t="str">
        <v>Electronics</v>
      </c>
      <c r="H184" s="4" t="str">
        <v>Product_B</v>
      </c>
      <c r="I184" s="4">
        <v>1734</v>
      </c>
      <c r="J184" s="4">
        <v>6</v>
      </c>
      <c r="K184" s="4">
        <v>0.27</v>
      </c>
      <c r="L184" s="4">
        <v>318</v>
      </c>
      <c r="M184" s="4" t="str">
        <v>UPI</v>
      </c>
      <c r="N184" s="4">
        <v>7594.92</v>
      </c>
    </row>
    <row r="185" spans="1:14" x14ac:dyDescent="0.3">
      <c r="A185" s="4">
        <v>50</v>
      </c>
      <c r="B185" s="4">
        <v>45341</v>
      </c>
      <c r="C185" s="4">
        <v>1058</v>
      </c>
      <c r="D185" s="4" t="str">
        <v>Customer_169</v>
      </c>
      <c r="E185" s="4" t="str">
        <v>Consumer</v>
      </c>
      <c r="F185" s="4" t="str">
        <v>East</v>
      </c>
      <c r="G185" s="4" t="str">
        <v>Furniture</v>
      </c>
      <c r="H185" s="4" t="str">
        <v>Product_C</v>
      </c>
      <c r="I185" s="4">
        <v>2310</v>
      </c>
      <c r="J185" s="4">
        <v>7</v>
      </c>
      <c r="K185" s="4">
        <v>0.18</v>
      </c>
      <c r="L185" s="4">
        <v>-22</v>
      </c>
      <c r="M185" s="4" t="str">
        <v>COD</v>
      </c>
      <c r="N185" s="4">
        <v>13259.4</v>
      </c>
    </row>
    <row r="186" spans="1:14" x14ac:dyDescent="0.3">
      <c r="A186" s="4">
        <v>52</v>
      </c>
      <c r="B186" s="4">
        <v>45343</v>
      </c>
      <c r="C186" s="4">
        <v>1022</v>
      </c>
      <c r="D186" s="4" t="str">
        <v>Customer_157</v>
      </c>
      <c r="E186" s="4" t="str">
        <v>Corporate</v>
      </c>
      <c r="F186" s="4" t="str">
        <v>West</v>
      </c>
      <c r="G186" s="4" t="str">
        <v>Clothing</v>
      </c>
      <c r="H186" s="4" t="str">
        <v>Product_A</v>
      </c>
      <c r="I186" s="4">
        <v>2319</v>
      </c>
      <c r="J186" s="4">
        <v>5</v>
      </c>
      <c r="K186" s="4">
        <v>0.19</v>
      </c>
      <c r="L186" s="4">
        <v>51</v>
      </c>
      <c r="M186" s="4" t="str">
        <v>COD</v>
      </c>
      <c r="N186" s="4">
        <v>9391.9500000000007</v>
      </c>
    </row>
    <row r="187" spans="1:14" x14ac:dyDescent="0.3">
      <c r="A187" s="4">
        <v>53</v>
      </c>
      <c r="B187" s="4">
        <v>45344</v>
      </c>
      <c r="C187" s="4">
        <v>1077</v>
      </c>
      <c r="D187" s="4" t="str">
        <v>Customer_144</v>
      </c>
      <c r="E187" s="4" t="str">
        <v>Corporate</v>
      </c>
      <c r="F187" s="4" t="str">
        <v>North</v>
      </c>
      <c r="G187" s="4" t="str">
        <v>Electronics</v>
      </c>
      <c r="H187" s="4" t="str">
        <v>Product_B</v>
      </c>
      <c r="I187" s="4">
        <v>3756</v>
      </c>
      <c r="J187" s="4">
        <v>9</v>
      </c>
      <c r="K187" s="4">
        <v>0.1</v>
      </c>
      <c r="L187" s="4">
        <v>1822</v>
      </c>
      <c r="M187" s="4" t="str">
        <v>Card</v>
      </c>
      <c r="N187" s="4">
        <v>30423.599999999999</v>
      </c>
    </row>
    <row r="188" spans="1:14" x14ac:dyDescent="0.3">
      <c r="A188" s="4">
        <v>56</v>
      </c>
      <c r="B188" s="4">
        <v>45347</v>
      </c>
      <c r="C188" s="4">
        <v>1027</v>
      </c>
      <c r="D188" s="4" t="str">
        <v>Customer_197</v>
      </c>
      <c r="E188" s="4" t="str">
        <v>Corporate</v>
      </c>
      <c r="F188" s="4" t="str">
        <v>North</v>
      </c>
      <c r="G188" s="4" t="str">
        <v>Electronics</v>
      </c>
      <c r="H188" s="4" t="str">
        <v>Product_C</v>
      </c>
      <c r="I188" s="4">
        <v>879</v>
      </c>
      <c r="J188" s="4">
        <v>7</v>
      </c>
      <c r="K188" s="4">
        <v>0.03</v>
      </c>
      <c r="L188" s="4">
        <v>1934</v>
      </c>
      <c r="M188" s="4" t="str">
        <v>Card</v>
      </c>
      <c r="N188" s="4">
        <v>5968.41</v>
      </c>
    </row>
    <row r="189" spans="1:14" x14ac:dyDescent="0.3">
      <c r="A189" s="4">
        <v>57</v>
      </c>
      <c r="B189" s="4">
        <v>45348</v>
      </c>
      <c r="C189" s="4">
        <v>1030</v>
      </c>
      <c r="D189" s="4" t="str">
        <v>Customer_37</v>
      </c>
      <c r="E189" s="4" t="str">
        <v>Corporate</v>
      </c>
      <c r="F189" s="4" t="str">
        <v>East</v>
      </c>
      <c r="G189" s="4" t="str">
        <v>Furniture</v>
      </c>
      <c r="H189" s="4" t="str">
        <v>Product_B</v>
      </c>
      <c r="I189" s="4">
        <v>4731</v>
      </c>
      <c r="J189" s="4">
        <v>2</v>
      </c>
      <c r="K189" s="4">
        <v>0.28999999999999998</v>
      </c>
      <c r="L189" s="4">
        <v>1177</v>
      </c>
      <c r="M189" s="4" t="str">
        <v>COD</v>
      </c>
      <c r="N189" s="4">
        <v>6718.0199999999904</v>
      </c>
    </row>
    <row r="190" spans="1:14" x14ac:dyDescent="0.3">
      <c r="A190" s="4">
        <v>60</v>
      </c>
      <c r="B190" s="4">
        <v>45351</v>
      </c>
      <c r="C190" s="4">
        <v>1026</v>
      </c>
      <c r="D190" s="4" t="str">
        <v>Customer_143</v>
      </c>
      <c r="E190" s="4" t="str">
        <v>Consumer</v>
      </c>
      <c r="F190" s="4" t="str">
        <v>North</v>
      </c>
      <c r="G190" s="4" t="str">
        <v>Electronics</v>
      </c>
      <c r="H190" s="4" t="str">
        <v>Product_C</v>
      </c>
      <c r="I190" s="4">
        <v>4776</v>
      </c>
      <c r="J190" s="4">
        <v>3</v>
      </c>
      <c r="K190" s="4">
        <v>7.0000000000000007E-2</v>
      </c>
      <c r="L190" s="4">
        <v>1297</v>
      </c>
      <c r="M190" s="4" t="str">
        <v>UPI</v>
      </c>
      <c r="N190" s="4">
        <v>13325.039999999901</v>
      </c>
    </row>
    <row r="191" spans="1:14" x14ac:dyDescent="0.3">
      <c r="A191" s="4">
        <v>62</v>
      </c>
      <c r="B191" s="4">
        <v>45353</v>
      </c>
      <c r="C191" s="4">
        <v>1006</v>
      </c>
      <c r="D191" s="4" t="str">
        <v>Customer_34</v>
      </c>
      <c r="E191" s="4" t="str">
        <v>Corporate</v>
      </c>
      <c r="F191" s="4" t="str">
        <v>East</v>
      </c>
      <c r="G191" s="4" t="str">
        <v>Clothing</v>
      </c>
      <c r="H191" s="4" t="str">
        <v>Product_C</v>
      </c>
      <c r="I191" s="4">
        <v>4000</v>
      </c>
      <c r="J191" s="4">
        <v>3</v>
      </c>
      <c r="K191" s="4">
        <v>0.01</v>
      </c>
      <c r="L191" s="4">
        <v>1902</v>
      </c>
      <c r="M191" s="4" t="str">
        <v>COD</v>
      </c>
      <c r="N191" s="4">
        <v>11880</v>
      </c>
    </row>
    <row r="192" spans="1:14" x14ac:dyDescent="0.3">
      <c r="A192" s="4">
        <v>64</v>
      </c>
      <c r="B192" s="4">
        <v>45355</v>
      </c>
      <c r="C192" s="4">
        <v>1075</v>
      </c>
      <c r="D192" s="4" t="str">
        <v>Customer_154</v>
      </c>
      <c r="E192" s="4" t="str">
        <v>Consumer</v>
      </c>
      <c r="F192" s="4" t="str">
        <v>South</v>
      </c>
      <c r="G192" s="4" t="str">
        <v>Electronics</v>
      </c>
      <c r="H192" s="4" t="str">
        <v>Product_A</v>
      </c>
      <c r="I192" s="4">
        <v>3350</v>
      </c>
      <c r="J192" s="4">
        <v>4</v>
      </c>
      <c r="K192" s="4">
        <v>0.09</v>
      </c>
      <c r="L192" s="4">
        <v>1332</v>
      </c>
      <c r="M192" s="4" t="str">
        <v>COD</v>
      </c>
      <c r="N192" s="4">
        <v>12194</v>
      </c>
    </row>
    <row r="193" spans="1:14" x14ac:dyDescent="0.3">
      <c r="A193" s="4">
        <v>66</v>
      </c>
      <c r="B193" s="4">
        <v>45357</v>
      </c>
      <c r="C193" s="4">
        <v>1071</v>
      </c>
      <c r="D193" s="4" t="str">
        <v>Customer_146</v>
      </c>
      <c r="E193" s="4" t="str">
        <v>Corporate</v>
      </c>
      <c r="F193" s="4" t="str">
        <v>West</v>
      </c>
      <c r="G193" s="4" t="str">
        <v>Electronics</v>
      </c>
      <c r="H193" s="4" t="str">
        <v>Product_A</v>
      </c>
      <c r="I193" s="4">
        <v>1032</v>
      </c>
      <c r="J193" s="4">
        <v>7</v>
      </c>
      <c r="K193" s="4">
        <v>0.23</v>
      </c>
      <c r="L193" s="4">
        <v>-33</v>
      </c>
      <c r="M193" s="4" t="str">
        <v>UPI</v>
      </c>
      <c r="N193" s="4">
        <v>5562.48</v>
      </c>
    </row>
    <row r="194" spans="1:14" x14ac:dyDescent="0.3">
      <c r="A194" s="4">
        <v>68</v>
      </c>
      <c r="B194" s="4">
        <v>45359</v>
      </c>
      <c r="C194" s="4">
        <v>1043</v>
      </c>
      <c r="D194" s="4" t="str">
        <v>Customer_23</v>
      </c>
      <c r="E194" s="4" t="str">
        <v>Corporate</v>
      </c>
      <c r="F194" s="4" t="str">
        <v>North</v>
      </c>
      <c r="G194" s="4" t="str">
        <v>Electronics</v>
      </c>
      <c r="H194" s="4" t="str">
        <v>Product_D</v>
      </c>
      <c r="I194" s="4">
        <v>1275</v>
      </c>
      <c r="J194" s="4">
        <v>9</v>
      </c>
      <c r="K194" s="4">
        <v>0.14000000000000001</v>
      </c>
      <c r="L194" s="4">
        <v>1604</v>
      </c>
      <c r="M194" s="4" t="str">
        <v>Card</v>
      </c>
      <c r="N194" s="4">
        <v>9868.5</v>
      </c>
    </row>
    <row r="195" spans="1:14" x14ac:dyDescent="0.3">
      <c r="A195" s="4">
        <v>69</v>
      </c>
      <c r="B195" s="4">
        <v>45360</v>
      </c>
      <c r="C195" s="4">
        <v>1058</v>
      </c>
      <c r="D195" s="4" t="str">
        <v>Customer_33</v>
      </c>
      <c r="E195" s="4" t="str">
        <v>Consumer</v>
      </c>
      <c r="F195" s="4" t="str">
        <v>North</v>
      </c>
      <c r="G195" s="4" t="str">
        <v>Clothing</v>
      </c>
      <c r="H195" s="4" t="str">
        <v>Product_D</v>
      </c>
      <c r="I195" s="4">
        <v>622</v>
      </c>
      <c r="J195" s="4">
        <v>9</v>
      </c>
      <c r="K195" s="4">
        <v>0.02</v>
      </c>
      <c r="L195" s="4">
        <v>442</v>
      </c>
      <c r="M195" s="4" t="str">
        <v>Card</v>
      </c>
      <c r="N195" s="4">
        <v>5486.04</v>
      </c>
    </row>
    <row r="196" spans="1:14" x14ac:dyDescent="0.3">
      <c r="A196" s="4">
        <v>71</v>
      </c>
      <c r="B196" s="4">
        <v>45362</v>
      </c>
      <c r="C196" s="4">
        <v>1025</v>
      </c>
      <c r="D196" s="4" t="str">
        <v>Customer_95</v>
      </c>
      <c r="E196" s="4" t="str">
        <v>Consumer</v>
      </c>
      <c r="F196" s="4" t="str">
        <v>South</v>
      </c>
      <c r="G196" s="4" t="str">
        <v>Clothing</v>
      </c>
      <c r="H196" s="4" t="str">
        <v>Product_D</v>
      </c>
      <c r="I196" s="4">
        <v>3545</v>
      </c>
      <c r="J196" s="4">
        <v>6</v>
      </c>
      <c r="K196" s="4">
        <v>0.21</v>
      </c>
      <c r="L196" s="4">
        <v>706</v>
      </c>
      <c r="M196" s="4" t="str">
        <v>Card</v>
      </c>
      <c r="N196" s="4">
        <v>16803.3</v>
      </c>
    </row>
    <row r="197" spans="1:14" x14ac:dyDescent="0.3">
      <c r="A197" s="4">
        <v>73</v>
      </c>
      <c r="B197" s="4">
        <v>45364</v>
      </c>
      <c r="C197" s="4">
        <v>1084</v>
      </c>
      <c r="D197" s="4" t="str">
        <v>Customer_21</v>
      </c>
      <c r="E197" s="4" t="str">
        <v>Consumer</v>
      </c>
      <c r="F197" s="4" t="str">
        <v>West</v>
      </c>
      <c r="G197" s="4" t="str">
        <v>Clothing</v>
      </c>
      <c r="H197" s="4" t="str">
        <v>Product_C</v>
      </c>
      <c r="I197" s="4">
        <v>3923</v>
      </c>
      <c r="J197" s="4">
        <v>3</v>
      </c>
      <c r="K197" s="4">
        <v>0.24</v>
      </c>
      <c r="L197" s="4">
        <v>1141</v>
      </c>
      <c r="M197" s="4" t="str">
        <v>UPI</v>
      </c>
      <c r="N197" s="4">
        <v>8944.44</v>
      </c>
    </row>
    <row r="198" spans="1:14" x14ac:dyDescent="0.3">
      <c r="A198" s="4">
        <v>75</v>
      </c>
      <c r="B198" s="4">
        <v>45366</v>
      </c>
      <c r="C198" s="4">
        <v>1049</v>
      </c>
      <c r="D198" s="4" t="str">
        <v>Customer_27</v>
      </c>
      <c r="E198" s="4" t="str">
        <v>Consumer</v>
      </c>
      <c r="F198" s="4" t="str">
        <v>East</v>
      </c>
      <c r="G198" s="4" t="str">
        <v>Furniture</v>
      </c>
      <c r="H198" s="4" t="str">
        <v>Product_B</v>
      </c>
      <c r="I198" s="4">
        <v>4017</v>
      </c>
      <c r="J198" s="4">
        <v>2</v>
      </c>
      <c r="K198" s="4">
        <v>0.02</v>
      </c>
      <c r="L198" s="4">
        <v>755</v>
      </c>
      <c r="M198" s="4" t="str">
        <v>COD</v>
      </c>
      <c r="N198" s="4">
        <v>7873.32</v>
      </c>
    </row>
    <row r="199" spans="1:14" x14ac:dyDescent="0.3">
      <c r="A199" s="4">
        <v>76</v>
      </c>
      <c r="B199" s="4">
        <v>45367</v>
      </c>
      <c r="C199" s="4">
        <v>1012</v>
      </c>
      <c r="D199" s="4" t="str">
        <v>Customer_191</v>
      </c>
      <c r="E199" s="4" t="str">
        <v>Consumer</v>
      </c>
      <c r="F199" s="4" t="str">
        <v>East</v>
      </c>
      <c r="G199" s="4" t="str">
        <v>Clothing</v>
      </c>
      <c r="H199" s="4" t="str">
        <v>Product_D</v>
      </c>
      <c r="I199" s="4">
        <v>1527</v>
      </c>
      <c r="J199" s="4">
        <v>7</v>
      </c>
      <c r="K199" s="4">
        <v>0.14000000000000001</v>
      </c>
      <c r="L199" s="4">
        <v>-113</v>
      </c>
      <c r="M199" s="4" t="str">
        <v>COD</v>
      </c>
      <c r="N199" s="4">
        <v>9192.53999999999</v>
      </c>
    </row>
    <row r="200" spans="1:14" x14ac:dyDescent="0.3">
      <c r="A200" s="4">
        <v>78</v>
      </c>
      <c r="B200" s="4">
        <v>45369</v>
      </c>
      <c r="C200" s="4">
        <v>1081</v>
      </c>
      <c r="D200" s="4" t="str">
        <v>Customer_180</v>
      </c>
      <c r="E200" s="4" t="str">
        <v>Consumer</v>
      </c>
      <c r="F200" s="4" t="str">
        <v>North</v>
      </c>
      <c r="G200" s="4" t="str">
        <v>Clothing</v>
      </c>
      <c r="H200" s="4" t="str">
        <v>Product_D</v>
      </c>
      <c r="I200" s="4">
        <v>3795</v>
      </c>
      <c r="J200" s="4">
        <v>4</v>
      </c>
      <c r="K200" s="4">
        <v>0.24</v>
      </c>
      <c r="L200" s="4">
        <v>842</v>
      </c>
      <c r="M200" s="4" t="str">
        <v>UPI</v>
      </c>
      <c r="N200" s="4">
        <v>11536.8</v>
      </c>
    </row>
    <row r="201" spans="1:14" x14ac:dyDescent="0.3">
      <c r="A201" s="4">
        <v>79</v>
      </c>
      <c r="B201" s="4">
        <v>45370</v>
      </c>
      <c r="C201" s="4">
        <v>1001</v>
      </c>
      <c r="D201" s="4" t="str">
        <v>Customer_192</v>
      </c>
      <c r="E201" s="4" t="str">
        <v>Consumer</v>
      </c>
      <c r="F201" s="4" t="str">
        <v>West</v>
      </c>
      <c r="G201" s="4" t="str">
        <v>Clothing</v>
      </c>
      <c r="H201" s="4" t="str">
        <v>Product_A</v>
      </c>
      <c r="I201" s="4">
        <v>4704</v>
      </c>
      <c r="J201" s="4">
        <v>2</v>
      </c>
      <c r="K201" s="4">
        <v>0.05</v>
      </c>
      <c r="L201" s="4">
        <v>-31</v>
      </c>
      <c r="M201" s="4" t="str">
        <v>Card</v>
      </c>
      <c r="N201" s="4">
        <v>8937.6</v>
      </c>
    </row>
    <row r="202" spans="1:14" x14ac:dyDescent="0.3">
      <c r="A202" s="4">
        <v>80</v>
      </c>
      <c r="B202" s="4">
        <v>45371</v>
      </c>
      <c r="C202" s="4">
        <v>1051</v>
      </c>
      <c r="D202" s="4" t="str">
        <v>Customer_142</v>
      </c>
      <c r="E202" s="4" t="str">
        <v>Corporate</v>
      </c>
      <c r="F202" s="4" t="str">
        <v>East</v>
      </c>
      <c r="G202" s="4" t="str">
        <v>Clothing</v>
      </c>
      <c r="H202" s="4" t="str">
        <v>Product_A</v>
      </c>
      <c r="I202" s="4">
        <v>1428</v>
      </c>
      <c r="J202" s="4">
        <v>4</v>
      </c>
      <c r="K202" s="4">
        <v>0.11</v>
      </c>
      <c r="L202" s="4">
        <v>361</v>
      </c>
      <c r="M202" s="4" t="str">
        <v>UPI</v>
      </c>
      <c r="N202" s="4">
        <v>5083.68</v>
      </c>
    </row>
    <row r="203" spans="1:14" x14ac:dyDescent="0.3">
      <c r="A203" s="4">
        <v>83</v>
      </c>
      <c r="B203" s="4">
        <v>45374</v>
      </c>
      <c r="C203" s="4">
        <v>1056</v>
      </c>
      <c r="D203" s="4" t="str">
        <v>Customer_7</v>
      </c>
      <c r="E203" s="4" t="str">
        <v>Corporate</v>
      </c>
      <c r="F203" s="4" t="str">
        <v>West</v>
      </c>
      <c r="G203" s="4" t="str">
        <v>Clothing</v>
      </c>
      <c r="H203" s="4" t="str">
        <v>Product_A</v>
      </c>
      <c r="I203" s="4">
        <v>1447</v>
      </c>
      <c r="J203" s="4">
        <v>8</v>
      </c>
      <c r="K203" s="4">
        <v>0.05</v>
      </c>
      <c r="L203" s="4">
        <v>1686</v>
      </c>
      <c r="M203" s="4" t="str">
        <v>UPI</v>
      </c>
      <c r="N203" s="4">
        <v>10997.199999999901</v>
      </c>
    </row>
    <row r="204" spans="1:14" x14ac:dyDescent="0.3">
      <c r="A204" s="4">
        <v>84</v>
      </c>
      <c r="B204" s="4">
        <v>45375</v>
      </c>
      <c r="C204" s="4">
        <v>1091</v>
      </c>
      <c r="D204" s="4" t="str">
        <v>Customer_76</v>
      </c>
      <c r="E204" s="4" t="str">
        <v>Corporate</v>
      </c>
      <c r="F204" s="4" t="str">
        <v>East</v>
      </c>
      <c r="G204" s="4" t="str">
        <v>Electronics</v>
      </c>
      <c r="H204" s="4" t="str">
        <v>Product_C</v>
      </c>
      <c r="I204" s="4">
        <v>4171</v>
      </c>
      <c r="J204" s="4">
        <v>6</v>
      </c>
      <c r="K204" s="4">
        <v>0.26</v>
      </c>
      <c r="L204" s="4">
        <v>1941</v>
      </c>
      <c r="M204" s="4" t="str">
        <v>UPI</v>
      </c>
      <c r="N204" s="4">
        <v>18519.2399999999</v>
      </c>
    </row>
    <row r="205" spans="1:14" x14ac:dyDescent="0.3">
      <c r="A205" s="4">
        <v>85</v>
      </c>
      <c r="B205" s="4">
        <v>45376</v>
      </c>
      <c r="C205" s="4">
        <v>1049</v>
      </c>
      <c r="D205" s="4" t="str">
        <v>Customer_156</v>
      </c>
      <c r="E205" s="4" t="str">
        <v>Corporate</v>
      </c>
      <c r="F205" s="4" t="str">
        <v>North</v>
      </c>
      <c r="G205" s="4" t="str">
        <v>Clothing</v>
      </c>
      <c r="H205" s="4" t="str">
        <v>Product_D</v>
      </c>
      <c r="I205" s="4">
        <v>2001</v>
      </c>
      <c r="J205" s="4">
        <v>5</v>
      </c>
      <c r="K205" s="4">
        <v>0.28000000000000003</v>
      </c>
      <c r="L205" s="4">
        <v>832</v>
      </c>
      <c r="M205" s="4" t="str">
        <v>UPI</v>
      </c>
      <c r="N205" s="4">
        <v>7203.5999999999904</v>
      </c>
    </row>
    <row r="206" spans="1:14" x14ac:dyDescent="0.3">
      <c r="A206" s="4">
        <v>86</v>
      </c>
      <c r="B206" s="4">
        <v>45377</v>
      </c>
      <c r="C206" s="4">
        <v>1086</v>
      </c>
      <c r="D206" s="4" t="str">
        <v>Customer_131</v>
      </c>
      <c r="E206" s="4" t="str">
        <v>Consumer</v>
      </c>
      <c r="F206" s="4" t="str">
        <v>South</v>
      </c>
      <c r="G206" s="4" t="str">
        <v>Electronics</v>
      </c>
      <c r="H206" s="4" t="str">
        <v>Product_C</v>
      </c>
      <c r="I206" s="4">
        <v>1745</v>
      </c>
      <c r="J206" s="4">
        <v>7</v>
      </c>
      <c r="K206" s="4">
        <v>0.22</v>
      </c>
      <c r="L206" s="4">
        <v>1411</v>
      </c>
      <c r="M206" s="4" t="str">
        <v>UPI</v>
      </c>
      <c r="N206" s="4">
        <v>9527.7000000000007</v>
      </c>
    </row>
    <row r="207" spans="1:14" x14ac:dyDescent="0.3">
      <c r="A207" s="4">
        <v>87</v>
      </c>
      <c r="B207" s="4">
        <v>45378</v>
      </c>
      <c r="C207" s="4">
        <v>1003</v>
      </c>
      <c r="D207" s="4" t="str">
        <v>Customer_150</v>
      </c>
      <c r="E207" s="4" t="str">
        <v>Corporate</v>
      </c>
      <c r="F207" s="4" t="str">
        <v>South</v>
      </c>
      <c r="G207" s="4" t="str">
        <v>Electronics</v>
      </c>
      <c r="H207" s="4" t="str">
        <v>Product_D</v>
      </c>
      <c r="I207" s="4">
        <v>2969</v>
      </c>
      <c r="J207" s="4">
        <v>3</v>
      </c>
      <c r="K207" s="4">
        <v>0.28999999999999998</v>
      </c>
      <c r="L207" s="4">
        <v>735</v>
      </c>
      <c r="M207" s="4" t="str">
        <v>UPI</v>
      </c>
      <c r="N207" s="4">
        <v>6323.9699999999903</v>
      </c>
    </row>
    <row r="208" spans="1:14" x14ac:dyDescent="0.3">
      <c r="A208" s="4">
        <v>89</v>
      </c>
      <c r="B208" s="4">
        <v>45380</v>
      </c>
      <c r="C208" s="4">
        <v>1011</v>
      </c>
      <c r="D208" s="4" t="str">
        <v>Customer_191</v>
      </c>
      <c r="E208" s="4" t="str">
        <v>Corporate</v>
      </c>
      <c r="F208" s="4" t="str">
        <v>South</v>
      </c>
      <c r="G208" s="4" t="str">
        <v>Electronics</v>
      </c>
      <c r="H208" s="4" t="str">
        <v>Product_B</v>
      </c>
      <c r="I208" s="4">
        <v>2972</v>
      </c>
      <c r="J208" s="4">
        <v>6</v>
      </c>
      <c r="K208" s="4">
        <v>0.04</v>
      </c>
      <c r="L208" s="4">
        <v>64</v>
      </c>
      <c r="M208" s="4" t="str">
        <v>UPI</v>
      </c>
      <c r="N208" s="4">
        <v>17118.72</v>
      </c>
    </row>
    <row r="209" spans="1:14" x14ac:dyDescent="0.3">
      <c r="A209" s="4">
        <v>90</v>
      </c>
      <c r="B209" s="4">
        <v>45381</v>
      </c>
      <c r="C209" s="4">
        <v>1021</v>
      </c>
      <c r="D209" s="4" t="str">
        <v>Customer_29</v>
      </c>
      <c r="E209" s="4" t="str">
        <v>Consumer</v>
      </c>
      <c r="F209" s="4" t="str">
        <v>East</v>
      </c>
      <c r="G209" s="4" t="str">
        <v>Furniture</v>
      </c>
      <c r="H209" s="4" t="str">
        <v>Product_B</v>
      </c>
      <c r="I209" s="4">
        <v>1596</v>
      </c>
      <c r="J209" s="4">
        <v>9</v>
      </c>
      <c r="K209" s="4">
        <v>0.12</v>
      </c>
      <c r="L209" s="4">
        <v>1887</v>
      </c>
      <c r="M209" s="4" t="str">
        <v>UPI</v>
      </c>
      <c r="N209" s="4">
        <v>12640.32</v>
      </c>
    </row>
    <row r="210" spans="1:14" x14ac:dyDescent="0.3">
      <c r="A210" s="4">
        <v>92</v>
      </c>
      <c r="B210" s="4">
        <v>45383</v>
      </c>
      <c r="C210" s="4">
        <v>1098</v>
      </c>
      <c r="D210" s="4" t="str">
        <v>Customer_67</v>
      </c>
      <c r="E210" s="4" t="str">
        <v>Corporate</v>
      </c>
      <c r="F210" s="4" t="str">
        <v>South</v>
      </c>
      <c r="G210" s="4" t="str">
        <v>Furniture</v>
      </c>
      <c r="H210" s="4" t="str">
        <v>Product_D</v>
      </c>
      <c r="I210" s="4">
        <v>2608</v>
      </c>
      <c r="J210" s="4">
        <v>4</v>
      </c>
      <c r="K210" s="4">
        <v>0.22</v>
      </c>
      <c r="L210" s="4">
        <v>1774</v>
      </c>
      <c r="M210" s="4" t="str">
        <v>UPI</v>
      </c>
      <c r="N210" s="4">
        <v>8136.96</v>
      </c>
    </row>
    <row r="211" spans="1:14" x14ac:dyDescent="0.3">
      <c r="A211" s="4">
        <v>93</v>
      </c>
      <c r="B211" s="4">
        <v>45384</v>
      </c>
      <c r="C211" s="4">
        <v>1003</v>
      </c>
      <c r="D211" s="4" t="str">
        <v>Customer_105</v>
      </c>
      <c r="E211" s="4" t="str">
        <v>Corporate</v>
      </c>
      <c r="F211" s="4" t="str">
        <v>North</v>
      </c>
      <c r="G211" s="4" t="str">
        <v>Electronics</v>
      </c>
      <c r="H211" s="4" t="str">
        <v>Product_D</v>
      </c>
      <c r="I211" s="4">
        <v>2396</v>
      </c>
      <c r="J211" s="4">
        <v>8</v>
      </c>
      <c r="K211" s="4">
        <v>0.16</v>
      </c>
      <c r="L211" s="4">
        <v>943</v>
      </c>
      <c r="M211" s="4" t="str">
        <v>Card</v>
      </c>
      <c r="N211" s="4">
        <v>16101.119999999901</v>
      </c>
    </row>
    <row r="212" spans="1:14" x14ac:dyDescent="0.3">
      <c r="A212" s="4">
        <v>95</v>
      </c>
      <c r="B212" s="4">
        <v>45386</v>
      </c>
      <c r="C212" s="4">
        <v>1003</v>
      </c>
      <c r="D212" s="4" t="str">
        <v>Customer_94</v>
      </c>
      <c r="E212" s="4" t="str">
        <v>Consumer</v>
      </c>
      <c r="F212" s="4" t="str">
        <v>West</v>
      </c>
      <c r="G212" s="4" t="str">
        <v>Clothing</v>
      </c>
      <c r="H212" s="4" t="str">
        <v>Product_C</v>
      </c>
      <c r="I212" s="4">
        <v>4372</v>
      </c>
      <c r="J212" s="4">
        <v>5</v>
      </c>
      <c r="K212" s="4">
        <v>0.04</v>
      </c>
      <c r="L212" s="4">
        <v>1771</v>
      </c>
      <c r="M212" s="4" t="str">
        <v>UPI</v>
      </c>
      <c r="N212" s="4">
        <v>20985.599999999999</v>
      </c>
    </row>
    <row r="213" spans="1:14" x14ac:dyDescent="0.3">
      <c r="A213" s="4">
        <v>97</v>
      </c>
      <c r="B213" s="4">
        <v>45388</v>
      </c>
      <c r="C213" s="4">
        <v>1006</v>
      </c>
      <c r="D213" s="4" t="str">
        <v>Customer_103</v>
      </c>
      <c r="E213" s="4" t="str">
        <v>Corporate</v>
      </c>
      <c r="F213" s="4" t="str">
        <v>East</v>
      </c>
      <c r="G213" s="4" t="str">
        <v>Furniture</v>
      </c>
      <c r="H213" s="4" t="str">
        <v>Product_A</v>
      </c>
      <c r="I213" s="4">
        <v>4572</v>
      </c>
      <c r="J213" s="4">
        <v>9</v>
      </c>
      <c r="K213" s="4">
        <v>0</v>
      </c>
      <c r="L213" s="4">
        <v>519</v>
      </c>
      <c r="M213" s="4" t="str">
        <v>UPI</v>
      </c>
      <c r="N213" s="4">
        <v>41148</v>
      </c>
    </row>
    <row r="214" spans="1:14" x14ac:dyDescent="0.3">
      <c r="A214" s="4">
        <v>98</v>
      </c>
      <c r="B214" s="4">
        <v>45389</v>
      </c>
      <c r="C214" s="4">
        <v>1009</v>
      </c>
      <c r="D214" s="4" t="str">
        <v>Customer_41</v>
      </c>
      <c r="E214" s="4" t="str">
        <v>Consumer</v>
      </c>
      <c r="F214" s="4" t="str">
        <v>South</v>
      </c>
      <c r="G214" s="4" t="str">
        <v>Electronics</v>
      </c>
      <c r="H214" s="4" t="str">
        <v>Product_A</v>
      </c>
      <c r="I214" s="4">
        <v>3094</v>
      </c>
      <c r="J214" s="4">
        <v>4</v>
      </c>
      <c r="K214" s="4">
        <v>0.2</v>
      </c>
      <c r="L214" s="4">
        <v>236</v>
      </c>
      <c r="M214" s="4" t="str">
        <v>Card</v>
      </c>
      <c r="N214" s="4">
        <v>9900.7999999999993</v>
      </c>
    </row>
    <row r="215" spans="1:14" x14ac:dyDescent="0.3">
      <c r="A215" s="4">
        <v>99</v>
      </c>
      <c r="B215" s="4">
        <v>45390</v>
      </c>
      <c r="C215" s="4">
        <v>1087</v>
      </c>
      <c r="D215" s="4" t="str">
        <v>Customer_123</v>
      </c>
      <c r="E215" s="4" t="str">
        <v>Consumer</v>
      </c>
      <c r="F215" s="4" t="str">
        <v>West</v>
      </c>
      <c r="G215" s="4" t="str">
        <v>Electronics</v>
      </c>
      <c r="H215" s="4" t="str">
        <v>Product_A</v>
      </c>
      <c r="I215" s="4">
        <v>4656</v>
      </c>
      <c r="J215" s="4">
        <v>8</v>
      </c>
      <c r="K215" s="4">
        <v>0.05</v>
      </c>
      <c r="L215" s="4">
        <v>115</v>
      </c>
      <c r="M215" s="4" t="str">
        <v>Card</v>
      </c>
      <c r="N215" s="4">
        <v>35385.599999999999</v>
      </c>
    </row>
    <row r="216" spans="1:14" x14ac:dyDescent="0.3">
      <c r="A216" s="4">
        <v>100</v>
      </c>
      <c r="B216" s="4">
        <v>45391</v>
      </c>
      <c r="C216" s="4">
        <v>1014</v>
      </c>
      <c r="D216" s="4" t="str">
        <v>Customer_137</v>
      </c>
      <c r="E216" s="4" t="str">
        <v>Corporate</v>
      </c>
      <c r="F216" s="4" t="str">
        <v>North</v>
      </c>
      <c r="G216" s="4" t="str">
        <v>Clothing</v>
      </c>
      <c r="H216" s="4" t="str">
        <v>Product_B</v>
      </c>
      <c r="I216" s="4">
        <v>4815</v>
      </c>
      <c r="J216" s="4">
        <v>8</v>
      </c>
      <c r="K216" s="4">
        <v>0.12</v>
      </c>
      <c r="L216" s="4">
        <v>271</v>
      </c>
      <c r="M216" s="4" t="str">
        <v>UPI</v>
      </c>
      <c r="N216" s="4">
        <v>33897.599999999999</v>
      </c>
    </row>
    <row r="217" spans="1:14" x14ac:dyDescent="0.3">
      <c r="A217" s="4">
        <v>101</v>
      </c>
      <c r="B217" s="4">
        <v>45392</v>
      </c>
      <c r="C217" s="4">
        <v>1083</v>
      </c>
      <c r="D217" s="4" t="str">
        <v>Customer_176</v>
      </c>
      <c r="E217" s="4" t="str">
        <v>Consumer</v>
      </c>
      <c r="F217" s="4" t="str">
        <v>South</v>
      </c>
      <c r="G217" s="4" t="str">
        <v>Furniture</v>
      </c>
      <c r="H217" s="4" t="str">
        <v>Product_C</v>
      </c>
      <c r="I217" s="4">
        <v>4598</v>
      </c>
      <c r="J217" s="4">
        <v>3</v>
      </c>
      <c r="K217" s="4">
        <v>0.15</v>
      </c>
      <c r="L217" s="4">
        <v>93</v>
      </c>
      <c r="M217" s="4" t="str">
        <v>Card</v>
      </c>
      <c r="N217" s="4">
        <v>11724.9</v>
      </c>
    </row>
    <row r="218" spans="1:14" x14ac:dyDescent="0.3">
      <c r="A218" s="4">
        <v>102</v>
      </c>
      <c r="B218" s="4">
        <v>45393</v>
      </c>
      <c r="C218" s="4">
        <v>1070</v>
      </c>
      <c r="D218" s="4" t="str">
        <v>Customer_182</v>
      </c>
      <c r="E218" s="4" t="str">
        <v>Consumer</v>
      </c>
      <c r="F218" s="4" t="str">
        <v>East</v>
      </c>
      <c r="G218" s="4" t="str">
        <v>Electronics</v>
      </c>
      <c r="H218" s="4" t="str">
        <v>Product_B</v>
      </c>
      <c r="I218" s="4">
        <v>4505</v>
      </c>
      <c r="J218" s="4">
        <v>4</v>
      </c>
      <c r="K218" s="4">
        <v>0.2</v>
      </c>
      <c r="L218" s="4">
        <v>-150</v>
      </c>
      <c r="M218" s="4" t="str">
        <v>UPI</v>
      </c>
      <c r="N218" s="4">
        <v>14416</v>
      </c>
    </row>
    <row r="219" spans="1:14" x14ac:dyDescent="0.3">
      <c r="A219" s="4">
        <v>103</v>
      </c>
      <c r="B219" s="4">
        <v>45394</v>
      </c>
      <c r="C219" s="4">
        <v>1012</v>
      </c>
      <c r="D219" s="4" t="str">
        <v>Customer_23</v>
      </c>
      <c r="E219" s="4" t="str">
        <v>Consumer</v>
      </c>
      <c r="F219" s="4" t="str">
        <v>East</v>
      </c>
      <c r="G219" s="4" t="str">
        <v>Electronics</v>
      </c>
      <c r="H219" s="4" t="str">
        <v>Product_C</v>
      </c>
      <c r="I219" s="4">
        <v>3765</v>
      </c>
      <c r="J219" s="4">
        <v>2</v>
      </c>
      <c r="K219" s="4">
        <v>0.23</v>
      </c>
      <c r="L219" s="4">
        <v>820</v>
      </c>
      <c r="M219" s="4" t="str">
        <v>COD</v>
      </c>
      <c r="N219" s="4">
        <v>5798.1</v>
      </c>
    </row>
    <row r="220" spans="1:14" x14ac:dyDescent="0.3">
      <c r="A220" s="4">
        <v>104</v>
      </c>
      <c r="B220" s="4">
        <v>45395</v>
      </c>
      <c r="C220" s="4">
        <v>1054</v>
      </c>
      <c r="D220" s="4" t="str">
        <v>Customer_193</v>
      </c>
      <c r="E220" s="4" t="str">
        <v>Corporate</v>
      </c>
      <c r="F220" s="4" t="str">
        <v>East</v>
      </c>
      <c r="G220" s="4" t="str">
        <v>Furniture</v>
      </c>
      <c r="H220" s="4" t="str">
        <v>Product_A</v>
      </c>
      <c r="I220" s="4">
        <v>4195</v>
      </c>
      <c r="J220" s="4">
        <v>5</v>
      </c>
      <c r="K220" s="4">
        <v>0.21</v>
      </c>
      <c r="L220" s="4">
        <v>-479</v>
      </c>
      <c r="M220" s="4" t="str">
        <v>Card</v>
      </c>
      <c r="N220" s="4">
        <v>16570.25</v>
      </c>
    </row>
    <row r="221" spans="1:14" x14ac:dyDescent="0.3">
      <c r="A221" s="4">
        <v>105</v>
      </c>
      <c r="B221" s="4">
        <v>45396</v>
      </c>
      <c r="C221" s="4">
        <v>1027</v>
      </c>
      <c r="D221" s="4" t="str">
        <v>Customer_149</v>
      </c>
      <c r="E221" s="4" t="str">
        <v>Corporate</v>
      </c>
      <c r="F221" s="4" t="str">
        <v>South</v>
      </c>
      <c r="G221" s="4" t="str">
        <v>Furniture</v>
      </c>
      <c r="H221" s="4" t="str">
        <v>Product_A</v>
      </c>
      <c r="I221" s="4">
        <v>1628</v>
      </c>
      <c r="J221" s="4">
        <v>6</v>
      </c>
      <c r="K221" s="4">
        <v>0.17</v>
      </c>
      <c r="L221" s="4">
        <v>1224</v>
      </c>
      <c r="M221" s="4" t="str">
        <v>Card</v>
      </c>
      <c r="N221" s="4">
        <v>8107.44</v>
      </c>
    </row>
    <row r="222" spans="1:14" x14ac:dyDescent="0.3">
      <c r="A222" s="4">
        <v>110</v>
      </c>
      <c r="B222" s="4">
        <v>45401</v>
      </c>
      <c r="C222" s="4">
        <v>1099</v>
      </c>
      <c r="D222" s="4" t="str">
        <v>Customer_188</v>
      </c>
      <c r="E222" s="4" t="str">
        <v>Corporate</v>
      </c>
      <c r="F222" s="4" t="str">
        <v>North</v>
      </c>
      <c r="G222" s="4" t="str">
        <v>Furniture</v>
      </c>
      <c r="H222" s="4" t="str">
        <v>Product_B</v>
      </c>
      <c r="I222" s="4">
        <v>3354</v>
      </c>
      <c r="J222" s="4">
        <v>5</v>
      </c>
      <c r="K222" s="4">
        <v>0.08</v>
      </c>
      <c r="L222" s="4">
        <v>556</v>
      </c>
      <c r="M222" s="4" t="str">
        <v>Card</v>
      </c>
      <c r="N222" s="4">
        <v>15428.4</v>
      </c>
    </row>
    <row r="223" spans="1:14" x14ac:dyDescent="0.3">
      <c r="A223" s="4">
        <v>111</v>
      </c>
      <c r="B223" s="4">
        <v>45402</v>
      </c>
      <c r="C223" s="4">
        <v>1099</v>
      </c>
      <c r="D223" s="4" t="str">
        <v>Customer_137</v>
      </c>
      <c r="E223" s="4" t="str">
        <v>Corporate</v>
      </c>
      <c r="F223" s="4" t="str">
        <v>East</v>
      </c>
      <c r="G223" s="4" t="str">
        <v>Furniture</v>
      </c>
      <c r="H223" s="4" t="str">
        <v>Product_A</v>
      </c>
      <c r="I223" s="4">
        <v>3754</v>
      </c>
      <c r="J223" s="4">
        <v>2</v>
      </c>
      <c r="K223" s="4">
        <v>0.28000000000000003</v>
      </c>
      <c r="L223" s="4">
        <v>853</v>
      </c>
      <c r="M223" s="4" t="str">
        <v>Card</v>
      </c>
      <c r="N223" s="4">
        <v>5405.76</v>
      </c>
    </row>
    <row r="224" spans="1:14" x14ac:dyDescent="0.3">
      <c r="A224" s="4">
        <v>112</v>
      </c>
      <c r="B224" s="4">
        <v>45403</v>
      </c>
      <c r="C224" s="4">
        <v>1065</v>
      </c>
      <c r="D224" s="4" t="str">
        <v>Customer_81</v>
      </c>
      <c r="E224" s="4" t="str">
        <v>Consumer</v>
      </c>
      <c r="F224" s="4" t="str">
        <v>North</v>
      </c>
      <c r="G224" s="4" t="str">
        <v>Clothing</v>
      </c>
      <c r="H224" s="4" t="str">
        <v>Product_A</v>
      </c>
      <c r="I224" s="4">
        <v>1685</v>
      </c>
      <c r="J224" s="4">
        <v>9</v>
      </c>
      <c r="K224" s="4">
        <v>0.18</v>
      </c>
      <c r="L224" s="4">
        <v>1489</v>
      </c>
      <c r="M224" s="4" t="str">
        <v>COD</v>
      </c>
      <c r="N224" s="4">
        <v>12435.3</v>
      </c>
    </row>
    <row r="225" spans="1:14" x14ac:dyDescent="0.3">
      <c r="A225" s="4">
        <v>115</v>
      </c>
      <c r="B225" s="4">
        <v>45406</v>
      </c>
      <c r="C225" s="4">
        <v>1005</v>
      </c>
      <c r="D225" s="4" t="str">
        <v>Customer_7</v>
      </c>
      <c r="E225" s="4" t="str">
        <v>Corporate</v>
      </c>
      <c r="F225" s="4" t="str">
        <v>East</v>
      </c>
      <c r="G225" s="4" t="str">
        <v>Clothing</v>
      </c>
      <c r="H225" s="4" t="str">
        <v>Product_C</v>
      </c>
      <c r="I225" s="4">
        <v>2697</v>
      </c>
      <c r="J225" s="4">
        <v>9</v>
      </c>
      <c r="K225" s="4">
        <v>0.03</v>
      </c>
      <c r="L225" s="4">
        <v>196</v>
      </c>
      <c r="M225" s="4" t="str">
        <v>Card</v>
      </c>
      <c r="N225" s="4">
        <v>23544.809999999899</v>
      </c>
    </row>
    <row r="226" spans="1:14" x14ac:dyDescent="0.3">
      <c r="A226" s="4">
        <v>116</v>
      </c>
      <c r="B226" s="4">
        <v>45407</v>
      </c>
      <c r="C226" s="4">
        <v>1086</v>
      </c>
      <c r="D226" s="4" t="str">
        <v>Customer_128</v>
      </c>
      <c r="E226" s="4" t="str">
        <v>Consumer</v>
      </c>
      <c r="F226" s="4" t="str">
        <v>West</v>
      </c>
      <c r="G226" s="4" t="str">
        <v>Clothing</v>
      </c>
      <c r="H226" s="4" t="str">
        <v>Product_A</v>
      </c>
      <c r="I226" s="4">
        <v>2905</v>
      </c>
      <c r="J226" s="4">
        <v>3</v>
      </c>
      <c r="K226" s="4">
        <v>0.23</v>
      </c>
      <c r="L226" s="4">
        <v>1412</v>
      </c>
      <c r="M226" s="4" t="str">
        <v>Card</v>
      </c>
      <c r="N226" s="4">
        <v>6710.55</v>
      </c>
    </row>
    <row r="227" spans="1:14" x14ac:dyDescent="0.3">
      <c r="A227" s="4">
        <v>117</v>
      </c>
      <c r="B227" s="4">
        <v>45408</v>
      </c>
      <c r="C227" s="4">
        <v>1046</v>
      </c>
      <c r="D227" s="4" t="str">
        <v>Customer_7</v>
      </c>
      <c r="E227" s="4" t="str">
        <v>Corporate</v>
      </c>
      <c r="F227" s="4" t="str">
        <v>East</v>
      </c>
      <c r="G227" s="4" t="str">
        <v>Furniture</v>
      </c>
      <c r="H227" s="4" t="str">
        <v>Product_A</v>
      </c>
      <c r="I227" s="4">
        <v>4460</v>
      </c>
      <c r="J227" s="4">
        <v>9</v>
      </c>
      <c r="K227" s="4">
        <v>7.0000000000000007E-2</v>
      </c>
      <c r="L227" s="4">
        <v>683</v>
      </c>
      <c r="M227" s="4" t="str">
        <v>UPI</v>
      </c>
      <c r="N227" s="4">
        <v>37330.199999999997</v>
      </c>
    </row>
    <row r="228" spans="1:14" x14ac:dyDescent="0.3">
      <c r="A228" s="4">
        <v>118</v>
      </c>
      <c r="B228" s="4">
        <v>45409</v>
      </c>
      <c r="C228" s="4">
        <v>1015</v>
      </c>
      <c r="D228" s="4" t="str">
        <v>Customer_121</v>
      </c>
      <c r="E228" s="4" t="str">
        <v>Consumer</v>
      </c>
      <c r="F228" s="4" t="str">
        <v>East</v>
      </c>
      <c r="G228" s="4" t="str">
        <v>Clothing</v>
      </c>
      <c r="H228" s="4" t="str">
        <v>Product_B</v>
      </c>
      <c r="I228" s="4">
        <v>3646</v>
      </c>
      <c r="J228" s="4">
        <v>2</v>
      </c>
      <c r="K228" s="4">
        <v>7.0000000000000007E-2</v>
      </c>
      <c r="L228" s="4">
        <v>1559</v>
      </c>
      <c r="M228" s="4" t="str">
        <v>COD</v>
      </c>
      <c r="N228" s="4">
        <v>6781.5599999999904</v>
      </c>
    </row>
    <row r="229" spans="1:14" x14ac:dyDescent="0.3">
      <c r="A229" s="4">
        <v>119</v>
      </c>
      <c r="B229" s="4">
        <v>45410</v>
      </c>
      <c r="C229" s="4">
        <v>1059</v>
      </c>
      <c r="D229" s="4" t="str">
        <v>Customer_197</v>
      </c>
      <c r="E229" s="4" t="str">
        <v>Corporate</v>
      </c>
      <c r="F229" s="4" t="str">
        <v>West</v>
      </c>
      <c r="G229" s="4" t="str">
        <v>Furniture</v>
      </c>
      <c r="H229" s="4" t="str">
        <v>Product_D</v>
      </c>
      <c r="I229" s="4">
        <v>3772</v>
      </c>
      <c r="J229" s="4">
        <v>2</v>
      </c>
      <c r="K229" s="4">
        <v>0.04</v>
      </c>
      <c r="L229" s="4">
        <v>189</v>
      </c>
      <c r="M229" s="4" t="str">
        <v>Card</v>
      </c>
      <c r="N229" s="4">
        <v>7242.24</v>
      </c>
    </row>
    <row r="230" spans="1:14" x14ac:dyDescent="0.3">
      <c r="A230" s="4">
        <v>120</v>
      </c>
      <c r="B230" s="4">
        <v>45411</v>
      </c>
      <c r="C230" s="4">
        <v>1040</v>
      </c>
      <c r="D230" s="4" t="str">
        <v>Customer_161</v>
      </c>
      <c r="E230" s="4" t="str">
        <v>Corporate</v>
      </c>
      <c r="F230" s="4" t="str">
        <v>East</v>
      </c>
      <c r="G230" s="4" t="str">
        <v>Clothing</v>
      </c>
      <c r="H230" s="4" t="str">
        <v>Product_B</v>
      </c>
      <c r="I230" s="4">
        <v>4990</v>
      </c>
      <c r="J230" s="4">
        <v>2</v>
      </c>
      <c r="K230" s="4">
        <v>0.18</v>
      </c>
      <c r="L230" s="4">
        <v>829</v>
      </c>
      <c r="M230" s="4" t="str">
        <v>UPI</v>
      </c>
      <c r="N230" s="4">
        <v>8183.6</v>
      </c>
    </row>
    <row r="231" spans="1:14" x14ac:dyDescent="0.3">
      <c r="A231" s="4">
        <v>121</v>
      </c>
      <c r="B231" s="4">
        <v>45412</v>
      </c>
      <c r="C231" s="4">
        <v>1025</v>
      </c>
      <c r="D231" s="4" t="str">
        <v>Customer_114</v>
      </c>
      <c r="E231" s="4" t="str">
        <v>Corporate</v>
      </c>
      <c r="F231" s="4" t="str">
        <v>South</v>
      </c>
      <c r="G231" s="4" t="str">
        <v>Clothing</v>
      </c>
      <c r="H231" s="4" t="str">
        <v>Product_D</v>
      </c>
      <c r="I231" s="4">
        <v>4660</v>
      </c>
      <c r="J231" s="4">
        <v>3</v>
      </c>
      <c r="K231" s="4">
        <v>0.15</v>
      </c>
      <c r="L231" s="4">
        <v>697</v>
      </c>
      <c r="M231" s="4" t="str">
        <v>UPI</v>
      </c>
      <c r="N231" s="4">
        <v>11883</v>
      </c>
    </row>
    <row r="232" spans="1:14" x14ac:dyDescent="0.3">
      <c r="A232" s="4">
        <v>122</v>
      </c>
      <c r="B232" s="4">
        <v>45413</v>
      </c>
      <c r="C232" s="4">
        <v>1045</v>
      </c>
      <c r="D232" s="4" t="str">
        <v>Customer_138</v>
      </c>
      <c r="E232" s="4" t="str">
        <v>Corporate</v>
      </c>
      <c r="F232" s="4" t="str">
        <v>East</v>
      </c>
      <c r="G232" s="4" t="str">
        <v>Furniture</v>
      </c>
      <c r="H232" s="4" t="str">
        <v>Product_B</v>
      </c>
      <c r="I232" s="4">
        <v>2622</v>
      </c>
      <c r="J232" s="4">
        <v>4</v>
      </c>
      <c r="K232" s="4">
        <v>0.08</v>
      </c>
      <c r="L232" s="4">
        <v>-69</v>
      </c>
      <c r="M232" s="4" t="str">
        <v>COD</v>
      </c>
      <c r="N232" s="4">
        <v>9648.9599999999991</v>
      </c>
    </row>
    <row r="233" spans="1:14" x14ac:dyDescent="0.3">
      <c r="A233" s="4">
        <v>125</v>
      </c>
      <c r="B233" s="4">
        <v>45416</v>
      </c>
      <c r="C233" s="4">
        <v>1035</v>
      </c>
      <c r="D233" s="4" t="str">
        <v>Customer_175</v>
      </c>
      <c r="E233" s="4" t="str">
        <v>Corporate</v>
      </c>
      <c r="F233" s="4" t="str">
        <v>West</v>
      </c>
      <c r="G233" s="4" t="str">
        <v>Furniture</v>
      </c>
      <c r="H233" s="4" t="str">
        <v>Product_D</v>
      </c>
      <c r="I233" s="4">
        <v>2666</v>
      </c>
      <c r="J233" s="4">
        <v>6</v>
      </c>
      <c r="K233" s="4">
        <v>0.28999999999999998</v>
      </c>
      <c r="L233" s="4">
        <v>1830</v>
      </c>
      <c r="M233" s="4" t="str">
        <v>Card</v>
      </c>
      <c r="N233" s="4">
        <v>11357.16</v>
      </c>
    </row>
    <row r="234" spans="1:14" x14ac:dyDescent="0.3">
      <c r="A234" s="4">
        <v>126</v>
      </c>
      <c r="B234" s="4">
        <v>45417</v>
      </c>
      <c r="C234" s="4">
        <v>1029</v>
      </c>
      <c r="D234" s="4" t="str">
        <v>Customer_46</v>
      </c>
      <c r="E234" s="4" t="str">
        <v>Consumer</v>
      </c>
      <c r="F234" s="4" t="str">
        <v>North</v>
      </c>
      <c r="G234" s="4" t="str">
        <v>Electronics</v>
      </c>
      <c r="H234" s="4" t="str">
        <v>Product_C</v>
      </c>
      <c r="I234" s="4">
        <v>3817</v>
      </c>
      <c r="J234" s="4">
        <v>5</v>
      </c>
      <c r="K234" s="4">
        <v>0.14000000000000001</v>
      </c>
      <c r="L234" s="4">
        <v>381</v>
      </c>
      <c r="M234" s="4" t="str">
        <v>COD</v>
      </c>
      <c r="N234" s="4">
        <v>16413.099999999999</v>
      </c>
    </row>
    <row r="235" spans="1:14" x14ac:dyDescent="0.3">
      <c r="A235" s="4">
        <v>127</v>
      </c>
      <c r="B235" s="4">
        <v>45418</v>
      </c>
      <c r="C235" s="4">
        <v>1001</v>
      </c>
      <c r="D235" s="4" t="str">
        <v>Customer_22</v>
      </c>
      <c r="E235" s="4" t="str">
        <v>Consumer</v>
      </c>
      <c r="F235" s="4" t="str">
        <v>West</v>
      </c>
      <c r="G235" s="4" t="str">
        <v>Furniture</v>
      </c>
      <c r="H235" s="4" t="str">
        <v>Product_B</v>
      </c>
      <c r="I235" s="4">
        <v>3162</v>
      </c>
      <c r="J235" s="4">
        <v>2</v>
      </c>
      <c r="K235" s="4">
        <v>0.12</v>
      </c>
      <c r="L235" s="4">
        <v>1730</v>
      </c>
      <c r="M235" s="4" t="str">
        <v>UPI</v>
      </c>
      <c r="N235" s="4">
        <v>5565.12</v>
      </c>
    </row>
    <row r="236" spans="1:14" x14ac:dyDescent="0.3">
      <c r="A236" s="4">
        <v>129</v>
      </c>
      <c r="B236" s="4">
        <v>45420</v>
      </c>
      <c r="C236" s="4">
        <v>1068</v>
      </c>
      <c r="D236" s="4" t="str">
        <v>Customer_111</v>
      </c>
      <c r="E236" s="4" t="str">
        <v>Consumer</v>
      </c>
      <c r="F236" s="4" t="str">
        <v>South</v>
      </c>
      <c r="G236" s="4" t="str">
        <v>Electronics</v>
      </c>
      <c r="H236" s="4" t="str">
        <v>Product_A</v>
      </c>
      <c r="I236" s="4">
        <v>3250</v>
      </c>
      <c r="J236" s="4">
        <v>7</v>
      </c>
      <c r="K236" s="4">
        <v>0.24</v>
      </c>
      <c r="L236" s="4">
        <v>170</v>
      </c>
      <c r="M236" s="4" t="str">
        <v>COD</v>
      </c>
      <c r="N236" s="4">
        <v>17290</v>
      </c>
    </row>
    <row r="237" spans="1:14" x14ac:dyDescent="0.3">
      <c r="A237" s="4">
        <v>130</v>
      </c>
      <c r="B237" s="4">
        <v>45421</v>
      </c>
      <c r="C237" s="4">
        <v>1030</v>
      </c>
      <c r="D237" s="4" t="str">
        <v>Customer_184</v>
      </c>
      <c r="E237" s="4" t="str">
        <v>Corporate</v>
      </c>
      <c r="F237" s="4" t="str">
        <v>East</v>
      </c>
      <c r="G237" s="4" t="str">
        <v>Furniture</v>
      </c>
      <c r="H237" s="4" t="str">
        <v>Product_D</v>
      </c>
      <c r="I237" s="4">
        <v>2350</v>
      </c>
      <c r="J237" s="4">
        <v>8</v>
      </c>
      <c r="K237" s="4">
        <v>0.28999999999999998</v>
      </c>
      <c r="L237" s="4">
        <v>188</v>
      </c>
      <c r="M237" s="4" t="str">
        <v>Card</v>
      </c>
      <c r="N237" s="4">
        <v>13348</v>
      </c>
    </row>
    <row r="238" spans="1:14" x14ac:dyDescent="0.3">
      <c r="A238" s="4">
        <v>131</v>
      </c>
      <c r="B238" s="4">
        <v>45422</v>
      </c>
      <c r="C238" s="4">
        <v>1007</v>
      </c>
      <c r="D238" s="4" t="str">
        <v>Customer_32</v>
      </c>
      <c r="E238" s="4" t="str">
        <v>Consumer</v>
      </c>
      <c r="F238" s="4" t="str">
        <v>South</v>
      </c>
      <c r="G238" s="4" t="str">
        <v>Electronics</v>
      </c>
      <c r="H238" s="4" t="str">
        <v>Product_C</v>
      </c>
      <c r="I238" s="4">
        <v>4420</v>
      </c>
      <c r="J238" s="4">
        <v>9</v>
      </c>
      <c r="K238" s="4">
        <v>0.18</v>
      </c>
      <c r="L238" s="4">
        <v>-333</v>
      </c>
      <c r="M238" s="4" t="str">
        <v>UPI</v>
      </c>
      <c r="N238" s="4">
        <v>32619.599999999999</v>
      </c>
    </row>
    <row r="239" spans="1:14" x14ac:dyDescent="0.3">
      <c r="A239" s="4">
        <v>132</v>
      </c>
      <c r="B239" s="4">
        <v>45423</v>
      </c>
      <c r="C239" s="4">
        <v>1093</v>
      </c>
      <c r="D239" s="4" t="str">
        <v>Customer_160</v>
      </c>
      <c r="E239" s="4" t="str">
        <v>Consumer</v>
      </c>
      <c r="F239" s="4" t="str">
        <v>North</v>
      </c>
      <c r="G239" s="4" t="str">
        <v>Furniture</v>
      </c>
      <c r="H239" s="4" t="str">
        <v>Product_B</v>
      </c>
      <c r="I239" s="4">
        <v>3715</v>
      </c>
      <c r="J239" s="4">
        <v>2</v>
      </c>
      <c r="K239" s="4">
        <v>0.19</v>
      </c>
      <c r="L239" s="4">
        <v>931</v>
      </c>
      <c r="M239" s="4" t="str">
        <v>COD</v>
      </c>
      <c r="N239" s="4">
        <v>6018.3</v>
      </c>
    </row>
    <row r="240" spans="1:14" x14ac:dyDescent="0.3">
      <c r="A240" s="4">
        <v>133</v>
      </c>
      <c r="B240" s="4">
        <v>45424</v>
      </c>
      <c r="C240" s="4">
        <v>1060</v>
      </c>
      <c r="D240" s="4" t="str">
        <v>Customer_115</v>
      </c>
      <c r="E240" s="4" t="str">
        <v>Corporate</v>
      </c>
      <c r="F240" s="4" t="str">
        <v>East</v>
      </c>
      <c r="G240" s="4" t="str">
        <v>Clothing</v>
      </c>
      <c r="H240" s="4" t="str">
        <v>Product_C</v>
      </c>
      <c r="I240" s="4">
        <v>1879</v>
      </c>
      <c r="J240" s="4">
        <v>9</v>
      </c>
      <c r="K240" s="4">
        <v>0.21</v>
      </c>
      <c r="L240" s="4">
        <v>738</v>
      </c>
      <c r="M240" s="4" t="str">
        <v>UPI</v>
      </c>
      <c r="N240" s="4">
        <v>13359.69</v>
      </c>
    </row>
    <row r="241" spans="1:14" x14ac:dyDescent="0.3">
      <c r="A241" s="4">
        <v>134</v>
      </c>
      <c r="B241" s="4">
        <v>45425</v>
      </c>
      <c r="C241" s="4">
        <v>1065</v>
      </c>
      <c r="D241" s="4" t="str">
        <v>Customer_164</v>
      </c>
      <c r="E241" s="4" t="str">
        <v>Consumer</v>
      </c>
      <c r="F241" s="4" t="str">
        <v>South</v>
      </c>
      <c r="G241" s="4" t="str">
        <v>Electronics</v>
      </c>
      <c r="H241" s="4" t="str">
        <v>Product_D</v>
      </c>
      <c r="I241" s="4">
        <v>1391</v>
      </c>
      <c r="J241" s="4">
        <v>7</v>
      </c>
      <c r="K241" s="4">
        <v>0.13</v>
      </c>
      <c r="L241" s="4">
        <v>1496</v>
      </c>
      <c r="M241" s="4" t="str">
        <v>COD</v>
      </c>
      <c r="N241" s="4">
        <v>8471.19</v>
      </c>
    </row>
    <row r="242" spans="1:14" x14ac:dyDescent="0.3">
      <c r="A242" s="4">
        <v>135</v>
      </c>
      <c r="B242" s="4">
        <v>45426</v>
      </c>
      <c r="C242" s="4">
        <v>1076</v>
      </c>
      <c r="D242" s="4" t="str">
        <v>Customer_159</v>
      </c>
      <c r="E242" s="4" t="str">
        <v>Consumer</v>
      </c>
      <c r="F242" s="4" t="str">
        <v>East</v>
      </c>
      <c r="G242" s="4" t="str">
        <v>Furniture</v>
      </c>
      <c r="H242" s="4" t="str">
        <v>Product_D</v>
      </c>
      <c r="I242" s="4">
        <v>778</v>
      </c>
      <c r="J242" s="4">
        <v>7</v>
      </c>
      <c r="K242" s="4">
        <v>7.0000000000000007E-2</v>
      </c>
      <c r="L242" s="4">
        <v>1345</v>
      </c>
      <c r="M242" s="4" t="str">
        <v>UPI</v>
      </c>
      <c r="N242" s="4">
        <v>5064.78</v>
      </c>
    </row>
    <row r="243" spans="1:14" x14ac:dyDescent="0.3">
      <c r="A243" s="4">
        <v>137</v>
      </c>
      <c r="B243" s="4">
        <v>45428</v>
      </c>
      <c r="C243" s="4">
        <v>1044</v>
      </c>
      <c r="D243" s="4" t="str">
        <v>Customer_54</v>
      </c>
      <c r="E243" s="4" t="str">
        <v>Corporate</v>
      </c>
      <c r="F243" s="4" t="str">
        <v>East</v>
      </c>
      <c r="G243" s="4" t="str">
        <v>Clothing</v>
      </c>
      <c r="H243" s="4" t="str">
        <v>Product_C</v>
      </c>
      <c r="I243" s="4">
        <v>3324</v>
      </c>
      <c r="J243" s="4">
        <v>8</v>
      </c>
      <c r="K243" s="4">
        <v>0.19</v>
      </c>
      <c r="L243" s="4">
        <v>1450</v>
      </c>
      <c r="M243" s="4" t="str">
        <v>UPI</v>
      </c>
      <c r="N243" s="4">
        <v>21539.52</v>
      </c>
    </row>
    <row r="244" spans="1:14" x14ac:dyDescent="0.3">
      <c r="A244" s="4">
        <v>140</v>
      </c>
      <c r="B244" s="4">
        <v>45431</v>
      </c>
      <c r="C244" s="4">
        <v>1088</v>
      </c>
      <c r="D244" s="4" t="str">
        <v>Customer_23</v>
      </c>
      <c r="E244" s="4" t="str">
        <v>Corporate</v>
      </c>
      <c r="F244" s="4" t="str">
        <v>North</v>
      </c>
      <c r="G244" s="4" t="str">
        <v>Furniture</v>
      </c>
      <c r="H244" s="4" t="str">
        <v>Product_A</v>
      </c>
      <c r="I244" s="4">
        <v>3383</v>
      </c>
      <c r="J244" s="4">
        <v>4</v>
      </c>
      <c r="K244" s="4">
        <v>0.01</v>
      </c>
      <c r="L244" s="4">
        <v>1826</v>
      </c>
      <c r="M244" s="4" t="str">
        <v>COD</v>
      </c>
      <c r="N244" s="4">
        <v>13396.68</v>
      </c>
    </row>
    <row r="245" spans="1:14" x14ac:dyDescent="0.3">
      <c r="A245" s="4">
        <v>141</v>
      </c>
      <c r="B245" s="4">
        <v>45432</v>
      </c>
      <c r="C245" s="4">
        <v>1070</v>
      </c>
      <c r="D245" s="4" t="str">
        <v>Customer_170</v>
      </c>
      <c r="E245" s="4" t="str">
        <v>Consumer</v>
      </c>
      <c r="F245" s="4" t="str">
        <v>South</v>
      </c>
      <c r="G245" s="4" t="str">
        <v>Clothing</v>
      </c>
      <c r="H245" s="4" t="str">
        <v>Product_C</v>
      </c>
      <c r="I245" s="4">
        <v>4806</v>
      </c>
      <c r="J245" s="4">
        <v>2</v>
      </c>
      <c r="K245" s="4">
        <v>0.26</v>
      </c>
      <c r="L245" s="4">
        <v>126</v>
      </c>
      <c r="M245" s="4" t="str">
        <v>UPI</v>
      </c>
      <c r="N245" s="4">
        <v>7112.88</v>
      </c>
    </row>
    <row r="246" spans="1:14" x14ac:dyDescent="0.3">
      <c r="A246" s="4">
        <v>142</v>
      </c>
      <c r="B246" s="4">
        <v>45433</v>
      </c>
      <c r="C246" s="4">
        <v>1013</v>
      </c>
      <c r="D246" s="4" t="str">
        <v>Customer_24</v>
      </c>
      <c r="E246" s="4" t="str">
        <v>Corporate</v>
      </c>
      <c r="F246" s="4" t="str">
        <v>West</v>
      </c>
      <c r="G246" s="4" t="str">
        <v>Electronics</v>
      </c>
      <c r="H246" s="4" t="str">
        <v>Product_B</v>
      </c>
      <c r="I246" s="4">
        <v>2445</v>
      </c>
      <c r="J246" s="4">
        <v>3</v>
      </c>
      <c r="K246" s="4">
        <v>7.0000000000000007E-2</v>
      </c>
      <c r="L246" s="4">
        <v>834</v>
      </c>
      <c r="M246" s="4" t="str">
        <v>COD</v>
      </c>
      <c r="N246" s="4">
        <v>6821.5499999999902</v>
      </c>
    </row>
    <row r="247" spans="1:14" x14ac:dyDescent="0.3">
      <c r="A247" s="4">
        <v>143</v>
      </c>
      <c r="B247" s="4">
        <v>45434</v>
      </c>
      <c r="C247" s="4">
        <v>1028</v>
      </c>
      <c r="D247" s="4" t="str">
        <v>Customer_94</v>
      </c>
      <c r="E247" s="4" t="str">
        <v>Consumer</v>
      </c>
      <c r="F247" s="4" t="str">
        <v>North</v>
      </c>
      <c r="G247" s="4" t="str">
        <v>Furniture</v>
      </c>
      <c r="H247" s="4" t="str">
        <v>Product_C</v>
      </c>
      <c r="I247" s="4">
        <v>4838</v>
      </c>
      <c r="J247" s="4">
        <v>5</v>
      </c>
      <c r="K247" s="4">
        <v>0.17</v>
      </c>
      <c r="L247" s="4">
        <v>-431</v>
      </c>
      <c r="M247" s="4" t="str">
        <v>UPI</v>
      </c>
      <c r="N247" s="4">
        <v>20077.7</v>
      </c>
    </row>
    <row r="248" spans="1:14" x14ac:dyDescent="0.3">
      <c r="A248" s="4">
        <v>144</v>
      </c>
      <c r="B248" s="4">
        <v>45435</v>
      </c>
      <c r="C248" s="4">
        <v>1063</v>
      </c>
      <c r="D248" s="4" t="str">
        <v>Customer_74</v>
      </c>
      <c r="E248" s="4" t="str">
        <v>Consumer</v>
      </c>
      <c r="F248" s="4" t="str">
        <v>West</v>
      </c>
      <c r="G248" s="4" t="str">
        <v>Furniture</v>
      </c>
      <c r="H248" s="4" t="str">
        <v>Product_A</v>
      </c>
      <c r="I248" s="4">
        <v>3533</v>
      </c>
      <c r="J248" s="4">
        <v>3</v>
      </c>
      <c r="K248" s="4">
        <v>0.22</v>
      </c>
      <c r="L248" s="4">
        <v>1071</v>
      </c>
      <c r="M248" s="4" t="str">
        <v>UPI</v>
      </c>
      <c r="N248" s="4">
        <v>8267.2199999999993</v>
      </c>
    </row>
    <row r="249" spans="1:14" x14ac:dyDescent="0.3">
      <c r="A249" s="4">
        <v>145</v>
      </c>
      <c r="B249" s="4">
        <v>45436</v>
      </c>
      <c r="C249" s="4">
        <v>1084</v>
      </c>
      <c r="D249" s="4" t="str">
        <v>Customer_69</v>
      </c>
      <c r="E249" s="4" t="str">
        <v>Corporate</v>
      </c>
      <c r="F249" s="4" t="str">
        <v>West</v>
      </c>
      <c r="G249" s="4" t="str">
        <v>Furniture</v>
      </c>
      <c r="H249" s="4" t="str">
        <v>Product_D</v>
      </c>
      <c r="I249" s="4">
        <v>3727</v>
      </c>
      <c r="J249" s="4">
        <v>5</v>
      </c>
      <c r="K249" s="4">
        <v>0.06</v>
      </c>
      <c r="L249" s="4">
        <v>1304</v>
      </c>
      <c r="M249" s="4" t="str">
        <v>COD</v>
      </c>
      <c r="N249" s="4">
        <v>17516.8999999999</v>
      </c>
    </row>
    <row r="250" spans="1:14" x14ac:dyDescent="0.3">
      <c r="A250" s="4">
        <v>146</v>
      </c>
      <c r="B250" s="4">
        <v>45437</v>
      </c>
      <c r="C250" s="4">
        <v>1036</v>
      </c>
      <c r="D250" s="4" t="str">
        <v>Customer_127</v>
      </c>
      <c r="E250" s="4" t="str">
        <v>Consumer</v>
      </c>
      <c r="F250" s="4" t="str">
        <v>North</v>
      </c>
      <c r="G250" s="4" t="str">
        <v>Clothing</v>
      </c>
      <c r="H250" s="4" t="str">
        <v>Product_D</v>
      </c>
      <c r="I250" s="4">
        <v>3173</v>
      </c>
      <c r="J250" s="4">
        <v>8</v>
      </c>
      <c r="K250" s="4">
        <v>0.14000000000000001</v>
      </c>
      <c r="L250" s="4">
        <v>1176</v>
      </c>
      <c r="M250" s="4" t="str">
        <v>Card</v>
      </c>
      <c r="N250" s="4">
        <v>21830.2399999999</v>
      </c>
    </row>
    <row r="251" spans="1:14" x14ac:dyDescent="0.3">
      <c r="A251" s="4">
        <v>147</v>
      </c>
      <c r="B251" s="4">
        <v>45438</v>
      </c>
      <c r="C251" s="4">
        <v>1096</v>
      </c>
      <c r="D251" s="4" t="str">
        <v>Customer_125</v>
      </c>
      <c r="E251" s="4" t="str">
        <v>Consumer</v>
      </c>
      <c r="F251" s="4" t="str">
        <v>East</v>
      </c>
      <c r="G251" s="4" t="str">
        <v>Furniture</v>
      </c>
      <c r="H251" s="4" t="str">
        <v>Product_A</v>
      </c>
      <c r="I251" s="4">
        <v>4473</v>
      </c>
      <c r="J251" s="4">
        <v>8</v>
      </c>
      <c r="K251" s="4">
        <v>0</v>
      </c>
      <c r="L251" s="4">
        <v>126</v>
      </c>
      <c r="M251" s="4" t="str">
        <v>Card</v>
      </c>
      <c r="N251" s="4">
        <v>35784</v>
      </c>
    </row>
    <row r="252" spans="1:14" x14ac:dyDescent="0.3">
      <c r="A252" s="4">
        <v>148</v>
      </c>
      <c r="B252" s="4">
        <v>45439</v>
      </c>
      <c r="C252" s="4">
        <v>1040</v>
      </c>
      <c r="D252" s="4" t="str">
        <v>Customer_170</v>
      </c>
      <c r="E252" s="4" t="str">
        <v>Consumer</v>
      </c>
      <c r="F252" s="4" t="str">
        <v>North</v>
      </c>
      <c r="G252" s="4" t="str">
        <v>Clothing</v>
      </c>
      <c r="H252" s="4" t="str">
        <v>Product_B</v>
      </c>
      <c r="I252" s="4">
        <v>3339</v>
      </c>
      <c r="J252" s="4">
        <v>3</v>
      </c>
      <c r="K252" s="4">
        <v>0.01</v>
      </c>
      <c r="L252" s="4">
        <v>-386</v>
      </c>
      <c r="M252" s="4" t="str">
        <v>Card</v>
      </c>
      <c r="N252" s="4">
        <v>9916.83</v>
      </c>
    </row>
    <row r="253" spans="1:14" x14ac:dyDescent="0.3">
      <c r="A253" s="4">
        <v>149</v>
      </c>
      <c r="B253" s="4">
        <v>45440</v>
      </c>
      <c r="C253" s="4">
        <v>1088</v>
      </c>
      <c r="D253" s="4" t="str">
        <v>Customer_158</v>
      </c>
      <c r="E253" s="4" t="str">
        <v>Corporate</v>
      </c>
      <c r="F253" s="4" t="str">
        <v>South</v>
      </c>
      <c r="G253" s="4" t="str">
        <v>Clothing</v>
      </c>
      <c r="H253" s="4" t="str">
        <v>Product_D</v>
      </c>
      <c r="I253" s="4">
        <v>1472</v>
      </c>
      <c r="J253" s="4">
        <v>5</v>
      </c>
      <c r="K253" s="4">
        <v>0.08</v>
      </c>
      <c r="L253" s="4">
        <v>788</v>
      </c>
      <c r="M253" s="4" t="str">
        <v>UPI</v>
      </c>
      <c r="N253" s="4">
        <v>6771.2</v>
      </c>
    </row>
    <row r="254" spans="1:14" x14ac:dyDescent="0.3">
      <c r="A254" s="4">
        <v>151</v>
      </c>
      <c r="B254" s="4">
        <v>45442</v>
      </c>
      <c r="C254" s="4">
        <v>1058</v>
      </c>
      <c r="D254" s="4" t="str">
        <v>Customer_134</v>
      </c>
      <c r="E254" s="4" t="str">
        <v>Consumer</v>
      </c>
      <c r="F254" s="4" t="str">
        <v>East</v>
      </c>
      <c r="G254" s="4" t="str">
        <v>Furniture</v>
      </c>
      <c r="H254" s="4" t="str">
        <v>Product_D</v>
      </c>
      <c r="I254" s="4">
        <v>4818</v>
      </c>
      <c r="J254" s="4">
        <v>7</v>
      </c>
      <c r="K254" s="4">
        <v>0.27</v>
      </c>
      <c r="L254" s="4">
        <v>841</v>
      </c>
      <c r="M254" s="4" t="str">
        <v>Card</v>
      </c>
      <c r="N254" s="4">
        <v>24619.98</v>
      </c>
    </row>
    <row r="255" spans="1:14" x14ac:dyDescent="0.3">
      <c r="A255" s="4">
        <v>152</v>
      </c>
      <c r="B255" s="4">
        <v>45443</v>
      </c>
      <c r="C255" s="4">
        <v>1077</v>
      </c>
      <c r="D255" s="4" t="str">
        <v>Customer_52</v>
      </c>
      <c r="E255" s="4" t="str">
        <v>Consumer</v>
      </c>
      <c r="F255" s="4" t="str">
        <v>West</v>
      </c>
      <c r="G255" s="4" t="str">
        <v>Electronics</v>
      </c>
      <c r="H255" s="4" t="str">
        <v>Product_A</v>
      </c>
      <c r="I255" s="4">
        <v>3953</v>
      </c>
      <c r="J255" s="4">
        <v>3</v>
      </c>
      <c r="K255" s="4">
        <v>0.13</v>
      </c>
      <c r="L255" s="4">
        <v>1405</v>
      </c>
      <c r="M255" s="4" t="str">
        <v>COD</v>
      </c>
      <c r="N255" s="4">
        <v>10317.33</v>
      </c>
    </row>
    <row r="256" spans="1:14" x14ac:dyDescent="0.3">
      <c r="A256" s="4">
        <v>153</v>
      </c>
      <c r="B256" s="4">
        <v>45444</v>
      </c>
      <c r="C256" s="4">
        <v>1008</v>
      </c>
      <c r="D256" s="4" t="str">
        <v>Customer_82</v>
      </c>
      <c r="E256" s="4" t="str">
        <v>Corporate</v>
      </c>
      <c r="F256" s="4" t="str">
        <v>North</v>
      </c>
      <c r="G256" s="4" t="str">
        <v>Furniture</v>
      </c>
      <c r="H256" s="4" t="str">
        <v>Product_C</v>
      </c>
      <c r="I256" s="4">
        <v>3443</v>
      </c>
      <c r="J256" s="4">
        <v>7</v>
      </c>
      <c r="K256" s="4">
        <v>0.01</v>
      </c>
      <c r="L256" s="4">
        <v>1505</v>
      </c>
      <c r="M256" s="4" t="str">
        <v>Card</v>
      </c>
      <c r="N256" s="4">
        <v>23859.99</v>
      </c>
    </row>
    <row r="257" spans="1:14" x14ac:dyDescent="0.3">
      <c r="A257" s="4">
        <v>154</v>
      </c>
      <c r="B257" s="4">
        <v>45445</v>
      </c>
      <c r="C257" s="4">
        <v>1078</v>
      </c>
      <c r="D257" s="4" t="str">
        <v>Customer_154</v>
      </c>
      <c r="E257" s="4" t="str">
        <v>Consumer</v>
      </c>
      <c r="F257" s="4" t="str">
        <v>East</v>
      </c>
      <c r="G257" s="4" t="str">
        <v>Furniture</v>
      </c>
      <c r="H257" s="4" t="str">
        <v>Product_C</v>
      </c>
      <c r="I257" s="4">
        <v>4783</v>
      </c>
      <c r="J257" s="4">
        <v>8</v>
      </c>
      <c r="K257" s="4">
        <v>0.09</v>
      </c>
      <c r="L257" s="4">
        <v>605</v>
      </c>
      <c r="M257" s="4" t="str">
        <v>COD</v>
      </c>
      <c r="N257" s="4">
        <v>34820.239999999998</v>
      </c>
    </row>
    <row r="258" spans="1:14" x14ac:dyDescent="0.3">
      <c r="A258" s="4">
        <v>155</v>
      </c>
      <c r="B258" s="4">
        <v>45446</v>
      </c>
      <c r="C258" s="4">
        <v>1006</v>
      </c>
      <c r="D258" s="4" t="str">
        <v>Customer_100</v>
      </c>
      <c r="E258" s="4" t="str">
        <v>Consumer</v>
      </c>
      <c r="F258" s="4" t="str">
        <v>South</v>
      </c>
      <c r="G258" s="4" t="str">
        <v>Furniture</v>
      </c>
      <c r="H258" s="4" t="str">
        <v>Product_B</v>
      </c>
      <c r="I258" s="4">
        <v>4252</v>
      </c>
      <c r="J258" s="4">
        <v>7</v>
      </c>
      <c r="K258" s="4">
        <v>0.28999999999999998</v>
      </c>
      <c r="L258" s="4">
        <v>-483</v>
      </c>
      <c r="M258" s="4" t="str">
        <v>Card</v>
      </c>
      <c r="N258" s="4">
        <v>21132.44</v>
      </c>
    </row>
    <row r="259" spans="1:14" x14ac:dyDescent="0.3">
      <c r="A259" s="4">
        <v>156</v>
      </c>
      <c r="B259" s="4">
        <v>45447</v>
      </c>
      <c r="C259" s="4">
        <v>1065</v>
      </c>
      <c r="D259" s="4" t="str">
        <v>Customer_41</v>
      </c>
      <c r="E259" s="4" t="str">
        <v>Corporate</v>
      </c>
      <c r="F259" s="4" t="str">
        <v>South</v>
      </c>
      <c r="G259" s="4" t="str">
        <v>Furniture</v>
      </c>
      <c r="H259" s="4" t="str">
        <v>Product_A</v>
      </c>
      <c r="I259" s="4">
        <v>1868</v>
      </c>
      <c r="J259" s="4">
        <v>5</v>
      </c>
      <c r="K259" s="4">
        <v>0.03</v>
      </c>
      <c r="L259" s="4">
        <v>200</v>
      </c>
      <c r="M259" s="4" t="str">
        <v>Card</v>
      </c>
      <c r="N259" s="4">
        <v>9059.7999999999993</v>
      </c>
    </row>
    <row r="260" spans="1:14" x14ac:dyDescent="0.3">
      <c r="A260" s="4">
        <v>159</v>
      </c>
      <c r="B260" s="4">
        <v>45450</v>
      </c>
      <c r="C260" s="4">
        <v>1040</v>
      </c>
      <c r="D260" s="4" t="str">
        <v>Customer_60</v>
      </c>
      <c r="E260" s="4" t="str">
        <v>Corporate</v>
      </c>
      <c r="F260" s="4" t="str">
        <v>North</v>
      </c>
      <c r="G260" s="4" t="str">
        <v>Furniture</v>
      </c>
      <c r="H260" s="4" t="str">
        <v>Product_A</v>
      </c>
      <c r="I260" s="4">
        <v>1929</v>
      </c>
      <c r="J260" s="4">
        <v>6</v>
      </c>
      <c r="K260" s="4">
        <v>0.18</v>
      </c>
      <c r="L260" s="4">
        <v>1743</v>
      </c>
      <c r="M260" s="4" t="str">
        <v>COD</v>
      </c>
      <c r="N260" s="4">
        <v>9490.68</v>
      </c>
    </row>
    <row r="261" spans="1:14" x14ac:dyDescent="0.3">
      <c r="A261" s="4">
        <v>160</v>
      </c>
      <c r="B261" s="4">
        <v>45451</v>
      </c>
      <c r="C261" s="4">
        <v>1074</v>
      </c>
      <c r="D261" s="4" t="str">
        <v>Customer_77</v>
      </c>
      <c r="E261" s="4" t="str">
        <v>Consumer</v>
      </c>
      <c r="F261" s="4" t="str">
        <v>South</v>
      </c>
      <c r="G261" s="4" t="str">
        <v>Furniture</v>
      </c>
      <c r="H261" s="4" t="str">
        <v>Product_C</v>
      </c>
      <c r="I261" s="4">
        <v>2271</v>
      </c>
      <c r="J261" s="4">
        <v>6</v>
      </c>
      <c r="K261" s="4">
        <v>0.28000000000000003</v>
      </c>
      <c r="L261" s="4">
        <v>1840</v>
      </c>
      <c r="M261" s="4" t="str">
        <v>COD</v>
      </c>
      <c r="N261" s="4">
        <v>9810.7199999999993</v>
      </c>
    </row>
    <row r="262" spans="1:14" x14ac:dyDescent="0.3">
      <c r="A262" s="4">
        <v>162</v>
      </c>
      <c r="B262" s="4">
        <v>45453</v>
      </c>
      <c r="C262" s="4">
        <v>1076</v>
      </c>
      <c r="D262" s="4" t="str">
        <v>Customer_152</v>
      </c>
      <c r="E262" s="4" t="str">
        <v>Consumer</v>
      </c>
      <c r="F262" s="4" t="str">
        <v>South</v>
      </c>
      <c r="G262" s="4" t="str">
        <v>Clothing</v>
      </c>
      <c r="H262" s="4" t="str">
        <v>Product_C</v>
      </c>
      <c r="I262" s="4">
        <v>4940</v>
      </c>
      <c r="J262" s="4">
        <v>7</v>
      </c>
      <c r="K262" s="4">
        <v>0.28999999999999998</v>
      </c>
      <c r="L262" s="4">
        <v>-154</v>
      </c>
      <c r="M262" s="4" t="str">
        <v>Card</v>
      </c>
      <c r="N262" s="4">
        <v>24551.8</v>
      </c>
    </row>
    <row r="263" spans="1:14" x14ac:dyDescent="0.3">
      <c r="A263" s="4">
        <v>163</v>
      </c>
      <c r="B263" s="4">
        <v>45454</v>
      </c>
      <c r="C263" s="4">
        <v>1025</v>
      </c>
      <c r="D263" s="4" t="str">
        <v>Customer_119</v>
      </c>
      <c r="E263" s="4" t="str">
        <v>Consumer</v>
      </c>
      <c r="F263" s="4" t="str">
        <v>West</v>
      </c>
      <c r="G263" s="4" t="str">
        <v>Clothing</v>
      </c>
      <c r="H263" s="4" t="str">
        <v>Product_B</v>
      </c>
      <c r="I263" s="4">
        <v>4228</v>
      </c>
      <c r="J263" s="4">
        <v>2</v>
      </c>
      <c r="K263" s="4">
        <v>0.25</v>
      </c>
      <c r="L263" s="4">
        <v>115</v>
      </c>
      <c r="M263" s="4" t="str">
        <v>Card</v>
      </c>
      <c r="N263" s="4">
        <v>6342</v>
      </c>
    </row>
    <row r="264" spans="1:14" x14ac:dyDescent="0.3">
      <c r="A264" s="4">
        <v>164</v>
      </c>
      <c r="B264" s="4">
        <v>45455</v>
      </c>
      <c r="C264" s="4">
        <v>1007</v>
      </c>
      <c r="D264" s="4" t="str">
        <v>Customer_95</v>
      </c>
      <c r="E264" s="4" t="str">
        <v>Consumer</v>
      </c>
      <c r="F264" s="4" t="str">
        <v>South</v>
      </c>
      <c r="G264" s="4" t="str">
        <v>Electronics</v>
      </c>
      <c r="H264" s="4" t="str">
        <v>Product_C</v>
      </c>
      <c r="I264" s="4">
        <v>4335</v>
      </c>
      <c r="J264" s="4">
        <v>5</v>
      </c>
      <c r="K264" s="4">
        <v>0.24</v>
      </c>
      <c r="L264" s="4">
        <v>1958</v>
      </c>
      <c r="M264" s="4" t="str">
        <v>UPI</v>
      </c>
      <c r="N264" s="4">
        <v>16473</v>
      </c>
    </row>
    <row r="265" spans="1:14" x14ac:dyDescent="0.3">
      <c r="A265" s="4">
        <v>165</v>
      </c>
      <c r="B265" s="4">
        <v>45456</v>
      </c>
      <c r="C265" s="4">
        <v>1013</v>
      </c>
      <c r="D265" s="4" t="str">
        <v>Customer_127</v>
      </c>
      <c r="E265" s="4" t="str">
        <v>Consumer</v>
      </c>
      <c r="F265" s="4" t="str">
        <v>West</v>
      </c>
      <c r="G265" s="4" t="str">
        <v>Clothing</v>
      </c>
      <c r="H265" s="4" t="str">
        <v>Product_B</v>
      </c>
      <c r="I265" s="4">
        <v>4277</v>
      </c>
      <c r="J265" s="4">
        <v>6</v>
      </c>
      <c r="K265" s="4">
        <v>0.28999999999999998</v>
      </c>
      <c r="L265" s="4">
        <v>-94</v>
      </c>
      <c r="M265" s="4" t="str">
        <v>COD</v>
      </c>
      <c r="N265" s="4">
        <v>18220.02</v>
      </c>
    </row>
    <row r="266" spans="1:14" x14ac:dyDescent="0.3">
      <c r="A266" s="4">
        <v>166</v>
      </c>
      <c r="B266" s="4">
        <v>45457</v>
      </c>
      <c r="C266" s="4">
        <v>1044</v>
      </c>
      <c r="D266" s="4" t="str">
        <v>Customer_168</v>
      </c>
      <c r="E266" s="4" t="str">
        <v>Corporate</v>
      </c>
      <c r="F266" s="4" t="str">
        <v>North</v>
      </c>
      <c r="G266" s="4" t="str">
        <v>Electronics</v>
      </c>
      <c r="H266" s="4" t="str">
        <v>Product_D</v>
      </c>
      <c r="I266" s="4">
        <v>3206</v>
      </c>
      <c r="J266" s="4">
        <v>2</v>
      </c>
      <c r="K266" s="4">
        <v>0.19</v>
      </c>
      <c r="L266" s="4">
        <v>1742</v>
      </c>
      <c r="M266" s="4" t="str">
        <v>COD</v>
      </c>
      <c r="N266" s="4">
        <v>5193.72</v>
      </c>
    </row>
    <row r="267" spans="1:14" x14ac:dyDescent="0.3">
      <c r="A267" s="4">
        <v>168</v>
      </c>
      <c r="B267" s="4">
        <v>45459</v>
      </c>
      <c r="C267" s="4">
        <v>1041</v>
      </c>
      <c r="D267" s="4" t="str">
        <v>Customer_162</v>
      </c>
      <c r="E267" s="4" t="str">
        <v>Corporate</v>
      </c>
      <c r="F267" s="4" t="str">
        <v>North</v>
      </c>
      <c r="G267" s="4" t="str">
        <v>Clothing</v>
      </c>
      <c r="H267" s="4" t="str">
        <v>Product_C</v>
      </c>
      <c r="I267" s="4">
        <v>3837</v>
      </c>
      <c r="J267" s="4">
        <v>6</v>
      </c>
      <c r="K267" s="4">
        <v>0.03</v>
      </c>
      <c r="L267" s="4">
        <v>-151</v>
      </c>
      <c r="M267" s="4" t="str">
        <v>COD</v>
      </c>
      <c r="N267" s="4">
        <v>22331.34</v>
      </c>
    </row>
    <row r="268" spans="1:14" x14ac:dyDescent="0.3">
      <c r="A268" s="4">
        <v>169</v>
      </c>
      <c r="B268" s="4">
        <v>45460</v>
      </c>
      <c r="C268" s="4">
        <v>1078</v>
      </c>
      <c r="D268" s="4" t="str">
        <v>Customer_39</v>
      </c>
      <c r="E268" s="4" t="str">
        <v>Consumer</v>
      </c>
      <c r="F268" s="4" t="str">
        <v>North</v>
      </c>
      <c r="G268" s="4" t="str">
        <v>Furniture</v>
      </c>
      <c r="H268" s="4" t="str">
        <v>Product_C</v>
      </c>
      <c r="I268" s="4">
        <v>3951</v>
      </c>
      <c r="J268" s="4">
        <v>5</v>
      </c>
      <c r="K268" s="4">
        <v>0.21</v>
      </c>
      <c r="L268" s="4">
        <v>1112</v>
      </c>
      <c r="M268" s="4" t="str">
        <v>COD</v>
      </c>
      <c r="N268" s="4">
        <v>15606.45</v>
      </c>
    </row>
    <row r="269" spans="1:14" x14ac:dyDescent="0.3">
      <c r="A269" s="4">
        <v>173</v>
      </c>
      <c r="B269" s="4">
        <v>45464</v>
      </c>
      <c r="C269" s="4">
        <v>1097</v>
      </c>
      <c r="D269" s="4" t="str">
        <v>Customer_20</v>
      </c>
      <c r="E269" s="4" t="str">
        <v>Consumer</v>
      </c>
      <c r="F269" s="4" t="str">
        <v>South</v>
      </c>
      <c r="G269" s="4" t="str">
        <v>Clothing</v>
      </c>
      <c r="H269" s="4" t="str">
        <v>Product_D</v>
      </c>
      <c r="I269" s="4">
        <v>3396</v>
      </c>
      <c r="J269" s="4">
        <v>7</v>
      </c>
      <c r="K269" s="4">
        <v>0.27</v>
      </c>
      <c r="L269" s="4">
        <v>1252</v>
      </c>
      <c r="M269" s="4" t="str">
        <v>COD</v>
      </c>
      <c r="N269" s="4">
        <v>17353.560000000001</v>
      </c>
    </row>
    <row r="270" spans="1:14" x14ac:dyDescent="0.3">
      <c r="A270" s="4">
        <v>174</v>
      </c>
      <c r="B270" s="4">
        <v>45465</v>
      </c>
      <c r="C270" s="4">
        <v>1003</v>
      </c>
      <c r="D270" s="4" t="str">
        <v>Customer_111</v>
      </c>
      <c r="E270" s="4" t="str">
        <v>Consumer</v>
      </c>
      <c r="F270" s="4" t="str">
        <v>East</v>
      </c>
      <c r="G270" s="4" t="str">
        <v>Electronics</v>
      </c>
      <c r="H270" s="4" t="str">
        <v>Product_A</v>
      </c>
      <c r="I270" s="4">
        <v>3120</v>
      </c>
      <c r="J270" s="4">
        <v>6</v>
      </c>
      <c r="K270" s="4">
        <v>0.11</v>
      </c>
      <c r="L270" s="4">
        <v>-429</v>
      </c>
      <c r="M270" s="4" t="str">
        <v>UPI</v>
      </c>
      <c r="N270" s="4">
        <v>16660.8</v>
      </c>
    </row>
    <row r="271" spans="1:14" x14ac:dyDescent="0.3">
      <c r="A271" s="4">
        <v>175</v>
      </c>
      <c r="B271" s="4">
        <v>45466</v>
      </c>
      <c r="C271" s="4">
        <v>1017</v>
      </c>
      <c r="D271" s="4" t="str">
        <v>Customer_153</v>
      </c>
      <c r="E271" s="4" t="str">
        <v>Corporate</v>
      </c>
      <c r="F271" s="4" t="str">
        <v>East</v>
      </c>
      <c r="G271" s="4" t="str">
        <v>Clothing</v>
      </c>
      <c r="H271" s="4" t="str">
        <v>Product_D</v>
      </c>
      <c r="I271" s="4">
        <v>3469</v>
      </c>
      <c r="J271" s="4">
        <v>3</v>
      </c>
      <c r="K271" s="4">
        <v>0.28000000000000003</v>
      </c>
      <c r="L271" s="4">
        <v>431</v>
      </c>
      <c r="M271" s="4" t="str">
        <v>UPI</v>
      </c>
      <c r="N271" s="4">
        <v>7493.04</v>
      </c>
    </row>
    <row r="272" spans="1:14" x14ac:dyDescent="0.3">
      <c r="A272" s="4">
        <v>179</v>
      </c>
      <c r="B272" s="4">
        <v>45470</v>
      </c>
      <c r="C272" s="4">
        <v>1097</v>
      </c>
      <c r="D272" s="4" t="str">
        <v>Customer_120</v>
      </c>
      <c r="E272" s="4" t="str">
        <v>Corporate</v>
      </c>
      <c r="F272" s="4" t="str">
        <v>South</v>
      </c>
      <c r="G272" s="4" t="str">
        <v>Clothing</v>
      </c>
      <c r="H272" s="4" t="str">
        <v>Product_C</v>
      </c>
      <c r="I272" s="4">
        <v>2769</v>
      </c>
      <c r="J272" s="4">
        <v>3</v>
      </c>
      <c r="K272" s="4">
        <v>0.03</v>
      </c>
      <c r="L272" s="4">
        <v>-283</v>
      </c>
      <c r="M272" s="4" t="str">
        <v>Card</v>
      </c>
      <c r="N272" s="4">
        <v>8057.79</v>
      </c>
    </row>
    <row r="273" spans="1:14" x14ac:dyDescent="0.3">
      <c r="A273" s="4">
        <v>180</v>
      </c>
      <c r="B273" s="4">
        <v>45471</v>
      </c>
      <c r="C273" s="4">
        <v>1050</v>
      </c>
      <c r="D273" s="4" t="str">
        <v>Customer_113</v>
      </c>
      <c r="E273" s="4" t="str">
        <v>Consumer</v>
      </c>
      <c r="F273" s="4" t="str">
        <v>North</v>
      </c>
      <c r="G273" s="4" t="str">
        <v>Furniture</v>
      </c>
      <c r="H273" s="4" t="str">
        <v>Product_C</v>
      </c>
      <c r="I273" s="4">
        <v>1277</v>
      </c>
      <c r="J273" s="4">
        <v>6</v>
      </c>
      <c r="K273" s="4">
        <v>0.05</v>
      </c>
      <c r="L273" s="4">
        <v>-393</v>
      </c>
      <c r="M273" s="4" t="str">
        <v>Card</v>
      </c>
      <c r="N273" s="4">
        <v>7278.9</v>
      </c>
    </row>
    <row r="274" spans="1:14" x14ac:dyDescent="0.3">
      <c r="A274" s="4">
        <v>182</v>
      </c>
      <c r="B274" s="4">
        <v>45473</v>
      </c>
      <c r="C274" s="4">
        <v>1018</v>
      </c>
      <c r="D274" s="4" t="str">
        <v>Customer_164</v>
      </c>
      <c r="E274" s="4" t="str">
        <v>Consumer</v>
      </c>
      <c r="F274" s="4" t="str">
        <v>South</v>
      </c>
      <c r="G274" s="4" t="str">
        <v>Electronics</v>
      </c>
      <c r="H274" s="4" t="str">
        <v>Product_B</v>
      </c>
      <c r="I274" s="4">
        <v>3546</v>
      </c>
      <c r="J274" s="4">
        <v>6</v>
      </c>
      <c r="K274" s="4">
        <v>0.25</v>
      </c>
      <c r="L274" s="4">
        <v>1825</v>
      </c>
      <c r="M274" s="4" t="str">
        <v>UPI</v>
      </c>
      <c r="N274" s="4">
        <v>15957</v>
      </c>
    </row>
    <row r="275" spans="1:14" x14ac:dyDescent="0.3">
      <c r="A275" s="4">
        <v>183</v>
      </c>
      <c r="B275" s="4">
        <v>45474</v>
      </c>
      <c r="C275" s="4">
        <v>1046</v>
      </c>
      <c r="D275" s="4" t="str">
        <v>Customer_70</v>
      </c>
      <c r="E275" s="4" t="str">
        <v>Corporate</v>
      </c>
      <c r="F275" s="4" t="str">
        <v>South</v>
      </c>
      <c r="G275" s="4" t="str">
        <v>Furniture</v>
      </c>
      <c r="H275" s="4" t="str">
        <v>Product_A</v>
      </c>
      <c r="I275" s="4">
        <v>951</v>
      </c>
      <c r="J275" s="4">
        <v>8</v>
      </c>
      <c r="K275" s="4">
        <v>7.0000000000000007E-2</v>
      </c>
      <c r="L275" s="4">
        <v>1104</v>
      </c>
      <c r="M275" s="4" t="str">
        <v>COD</v>
      </c>
      <c r="N275" s="4">
        <v>7075.44</v>
      </c>
    </row>
    <row r="276" spans="1:14" x14ac:dyDescent="0.3">
      <c r="A276" s="4">
        <v>184</v>
      </c>
      <c r="B276" s="4">
        <v>45475</v>
      </c>
      <c r="C276" s="4">
        <v>1045</v>
      </c>
      <c r="D276" s="4" t="str">
        <v>Customer_166</v>
      </c>
      <c r="E276" s="4" t="str">
        <v>Corporate</v>
      </c>
      <c r="F276" s="4" t="str">
        <v>North</v>
      </c>
      <c r="G276" s="4" t="str">
        <v>Furniture</v>
      </c>
      <c r="H276" s="4" t="str">
        <v>Product_C</v>
      </c>
      <c r="I276" s="4">
        <v>4700</v>
      </c>
      <c r="J276" s="4">
        <v>3</v>
      </c>
      <c r="K276" s="4">
        <v>0.22</v>
      </c>
      <c r="L276" s="4">
        <v>140</v>
      </c>
      <c r="M276" s="4" t="str">
        <v>COD</v>
      </c>
      <c r="N276" s="4">
        <v>10998</v>
      </c>
    </row>
    <row r="277" spans="1:14" x14ac:dyDescent="0.3">
      <c r="A277" s="4">
        <v>187</v>
      </c>
      <c r="B277" s="4">
        <v>45478</v>
      </c>
      <c r="C277" s="4">
        <v>1018</v>
      </c>
      <c r="D277" s="4" t="str">
        <v>Customer_38</v>
      </c>
      <c r="E277" s="4" t="str">
        <v>Corporate</v>
      </c>
      <c r="F277" s="4" t="str">
        <v>North</v>
      </c>
      <c r="G277" s="4" t="str">
        <v>Clothing</v>
      </c>
      <c r="H277" s="4" t="str">
        <v>Product_A</v>
      </c>
      <c r="I277" s="4">
        <v>4924</v>
      </c>
      <c r="J277" s="4">
        <v>3</v>
      </c>
      <c r="K277" s="4">
        <v>0.13</v>
      </c>
      <c r="L277" s="4">
        <v>1357</v>
      </c>
      <c r="M277" s="4" t="str">
        <v>UPI</v>
      </c>
      <c r="N277" s="4">
        <v>12851.64</v>
      </c>
    </row>
    <row r="278" spans="1:14" x14ac:dyDescent="0.3">
      <c r="A278" s="4">
        <v>188</v>
      </c>
      <c r="B278" s="4">
        <v>45479</v>
      </c>
      <c r="C278" s="4">
        <v>1091</v>
      </c>
      <c r="D278" s="4" t="str">
        <v>Customer_28</v>
      </c>
      <c r="E278" s="4" t="str">
        <v>Corporate</v>
      </c>
      <c r="F278" s="4" t="str">
        <v>East</v>
      </c>
      <c r="G278" s="4" t="str">
        <v>Furniture</v>
      </c>
      <c r="H278" s="4" t="str">
        <v>Product_A</v>
      </c>
      <c r="I278" s="4">
        <v>1821</v>
      </c>
      <c r="J278" s="4">
        <v>7</v>
      </c>
      <c r="K278" s="4">
        <v>0.26</v>
      </c>
      <c r="L278" s="4">
        <v>-309</v>
      </c>
      <c r="M278" s="4" t="str">
        <v>Card</v>
      </c>
      <c r="N278" s="4">
        <v>9432.7800000000007</v>
      </c>
    </row>
    <row r="279" spans="1:14" x14ac:dyDescent="0.3">
      <c r="A279" s="4">
        <v>189</v>
      </c>
      <c r="B279" s="4">
        <v>45480</v>
      </c>
      <c r="C279" s="4">
        <v>1046</v>
      </c>
      <c r="D279" s="4" t="str">
        <v>Customer_175</v>
      </c>
      <c r="E279" s="4" t="str">
        <v>Corporate</v>
      </c>
      <c r="F279" s="4" t="str">
        <v>East</v>
      </c>
      <c r="G279" s="4" t="str">
        <v>Clothing</v>
      </c>
      <c r="H279" s="4" t="str">
        <v>Product_B</v>
      </c>
      <c r="I279" s="4">
        <v>1873</v>
      </c>
      <c r="J279" s="4">
        <v>9</v>
      </c>
      <c r="K279" s="4">
        <v>0.17</v>
      </c>
      <c r="L279" s="4">
        <v>-234</v>
      </c>
      <c r="M279" s="4" t="str">
        <v>UPI</v>
      </c>
      <c r="N279" s="4">
        <v>13991.31</v>
      </c>
    </row>
    <row r="280" spans="1:14" x14ac:dyDescent="0.3">
      <c r="A280" s="4">
        <v>192</v>
      </c>
      <c r="B280" s="4">
        <v>45483</v>
      </c>
      <c r="C280" s="4">
        <v>1081</v>
      </c>
      <c r="D280" s="4" t="str">
        <v>Customer_88</v>
      </c>
      <c r="E280" s="4" t="str">
        <v>Corporate</v>
      </c>
      <c r="F280" s="4" t="str">
        <v>South</v>
      </c>
      <c r="G280" s="4" t="str">
        <v>Clothing</v>
      </c>
      <c r="H280" s="4" t="str">
        <v>Product_A</v>
      </c>
      <c r="I280" s="4">
        <v>3609</v>
      </c>
      <c r="J280" s="4">
        <v>5</v>
      </c>
      <c r="K280" s="4">
        <v>0.12</v>
      </c>
      <c r="L280" s="4">
        <v>514</v>
      </c>
      <c r="M280" s="4" t="str">
        <v>COD</v>
      </c>
      <c r="N280" s="4">
        <v>15879.6</v>
      </c>
    </row>
    <row r="281" spans="1:14" x14ac:dyDescent="0.3">
      <c r="A281" s="4">
        <v>195</v>
      </c>
      <c r="B281" s="4">
        <v>45486</v>
      </c>
      <c r="C281" s="4">
        <v>1011</v>
      </c>
      <c r="D281" s="4" t="str">
        <v>Customer_86</v>
      </c>
      <c r="E281" s="4" t="str">
        <v>Corporate</v>
      </c>
      <c r="F281" s="4" t="str">
        <v>South</v>
      </c>
      <c r="G281" s="4" t="str">
        <v>Furniture</v>
      </c>
      <c r="H281" s="4" t="str">
        <v>Product_C</v>
      </c>
      <c r="I281" s="4">
        <v>851</v>
      </c>
      <c r="J281" s="4">
        <v>9</v>
      </c>
      <c r="K281" s="4">
        <v>0.19</v>
      </c>
      <c r="L281" s="4">
        <v>1126</v>
      </c>
      <c r="M281" s="4" t="str">
        <v>Card</v>
      </c>
      <c r="N281" s="4">
        <v>6203.79</v>
      </c>
    </row>
    <row r="282" spans="1:14" x14ac:dyDescent="0.3">
      <c r="A282" s="4">
        <v>197</v>
      </c>
      <c r="B282" s="4">
        <v>45488</v>
      </c>
      <c r="C282" s="4">
        <v>1092</v>
      </c>
      <c r="D282" s="4" t="str">
        <v>Customer_153</v>
      </c>
      <c r="E282" s="4" t="str">
        <v>Corporate</v>
      </c>
      <c r="F282" s="4" t="str">
        <v>South</v>
      </c>
      <c r="G282" s="4" t="str">
        <v>Electronics</v>
      </c>
      <c r="H282" s="4" t="str">
        <v>Product_D</v>
      </c>
      <c r="I282" s="4">
        <v>2452</v>
      </c>
      <c r="J282" s="4">
        <v>4</v>
      </c>
      <c r="K282" s="4">
        <v>0.19</v>
      </c>
      <c r="L282" s="4">
        <v>1641</v>
      </c>
      <c r="M282" s="4" t="str">
        <v>Card</v>
      </c>
      <c r="N282" s="4">
        <v>7944.48</v>
      </c>
    </row>
    <row r="283" spans="1:14" x14ac:dyDescent="0.3">
      <c r="A283" s="4">
        <v>198</v>
      </c>
      <c r="B283" s="4">
        <v>45489</v>
      </c>
      <c r="C283" s="4">
        <v>1075</v>
      </c>
      <c r="D283" s="4" t="str">
        <v>Customer_151</v>
      </c>
      <c r="E283" s="4" t="str">
        <v>Consumer</v>
      </c>
      <c r="F283" s="4" t="str">
        <v>East</v>
      </c>
      <c r="G283" s="4" t="str">
        <v>Electronics</v>
      </c>
      <c r="H283" s="4" t="str">
        <v>Product_C</v>
      </c>
      <c r="I283" s="4">
        <v>4378</v>
      </c>
      <c r="J283" s="4">
        <v>4</v>
      </c>
      <c r="K283" s="4">
        <v>0.08</v>
      </c>
      <c r="L283" s="4">
        <v>-266</v>
      </c>
      <c r="M283" s="4" t="str">
        <v>COD</v>
      </c>
      <c r="N283" s="4">
        <v>16111.04</v>
      </c>
    </row>
    <row r="284" spans="1:14" x14ac:dyDescent="0.3">
      <c r="A284" s="4">
        <v>199</v>
      </c>
      <c r="B284" s="4">
        <v>45490</v>
      </c>
      <c r="C284" s="4">
        <v>1010</v>
      </c>
      <c r="D284" s="4" t="str">
        <v>Customer_112</v>
      </c>
      <c r="E284" s="4" t="str">
        <v>Corporate</v>
      </c>
      <c r="F284" s="4" t="str">
        <v>South</v>
      </c>
      <c r="G284" s="4" t="str">
        <v>Furniture</v>
      </c>
      <c r="H284" s="4" t="str">
        <v>Product_C</v>
      </c>
      <c r="I284" s="4">
        <v>3624</v>
      </c>
      <c r="J284" s="4">
        <v>3</v>
      </c>
      <c r="K284" s="4">
        <v>0.28999999999999998</v>
      </c>
      <c r="L284" s="4">
        <v>-429</v>
      </c>
      <c r="M284" s="4" t="str">
        <v>COD</v>
      </c>
      <c r="N284" s="4">
        <v>7719.12</v>
      </c>
    </row>
    <row r="285" spans="1:14" x14ac:dyDescent="0.3">
      <c r="A285" s="4">
        <v>202</v>
      </c>
      <c r="B285" s="4">
        <v>45493</v>
      </c>
      <c r="C285" s="4">
        <v>1058</v>
      </c>
      <c r="D285" s="4" t="str">
        <v>Customer_8</v>
      </c>
      <c r="E285" s="4" t="str">
        <v>Consumer</v>
      </c>
      <c r="F285" s="4" t="str">
        <v>West</v>
      </c>
      <c r="G285" s="4" t="str">
        <v>Clothing</v>
      </c>
      <c r="H285" s="4" t="str">
        <v>Product_A</v>
      </c>
      <c r="I285" s="4">
        <v>4590</v>
      </c>
      <c r="J285" s="4">
        <v>3</v>
      </c>
      <c r="K285" s="4">
        <v>0.23</v>
      </c>
      <c r="L285" s="4">
        <v>458</v>
      </c>
      <c r="M285" s="4" t="str">
        <v>Card</v>
      </c>
      <c r="N285" s="4">
        <v>10602.9</v>
      </c>
    </row>
    <row r="286" spans="1:14" x14ac:dyDescent="0.3">
      <c r="A286" s="4">
        <v>203</v>
      </c>
      <c r="B286" s="4">
        <v>45494</v>
      </c>
      <c r="C286" s="4">
        <v>1059</v>
      </c>
      <c r="D286" s="4" t="str">
        <v>Customer_174</v>
      </c>
      <c r="E286" s="4" t="str">
        <v>Consumer</v>
      </c>
      <c r="F286" s="4" t="str">
        <v>West</v>
      </c>
      <c r="G286" s="4" t="str">
        <v>Electronics</v>
      </c>
      <c r="H286" s="4" t="str">
        <v>Product_B</v>
      </c>
      <c r="I286" s="4">
        <v>3815</v>
      </c>
      <c r="J286" s="4">
        <v>6</v>
      </c>
      <c r="K286" s="4">
        <v>0.08</v>
      </c>
      <c r="L286" s="4">
        <v>971</v>
      </c>
      <c r="M286" s="4" t="str">
        <v>Card</v>
      </c>
      <c r="N286" s="4">
        <v>21058.799999999999</v>
      </c>
    </row>
    <row r="287" spans="1:14" x14ac:dyDescent="0.3">
      <c r="A287" s="4">
        <v>207</v>
      </c>
      <c r="B287" s="4">
        <v>45498</v>
      </c>
      <c r="C287" s="4">
        <v>1057</v>
      </c>
      <c r="D287" s="4" t="str">
        <v>Customer_22</v>
      </c>
      <c r="E287" s="4" t="str">
        <v>Consumer</v>
      </c>
      <c r="F287" s="4" t="str">
        <v>South</v>
      </c>
      <c r="G287" s="4" t="str">
        <v>Furniture</v>
      </c>
      <c r="H287" s="4" t="str">
        <v>Product_C</v>
      </c>
      <c r="I287" s="4">
        <v>3249</v>
      </c>
      <c r="J287" s="4">
        <v>8</v>
      </c>
      <c r="K287" s="4">
        <v>0.23</v>
      </c>
      <c r="L287" s="4">
        <v>1197</v>
      </c>
      <c r="M287" s="4" t="str">
        <v>UPI</v>
      </c>
      <c r="N287" s="4">
        <v>20013.84</v>
      </c>
    </row>
    <row r="288" spans="1:14" x14ac:dyDescent="0.3">
      <c r="A288" s="4">
        <v>208</v>
      </c>
      <c r="B288" s="4">
        <v>45499</v>
      </c>
      <c r="C288" s="4">
        <v>1003</v>
      </c>
      <c r="D288" s="4" t="str">
        <v>Customer_45</v>
      </c>
      <c r="E288" s="4" t="str">
        <v>Corporate</v>
      </c>
      <c r="F288" s="4" t="str">
        <v>South</v>
      </c>
      <c r="G288" s="4" t="str">
        <v>Electronics</v>
      </c>
      <c r="H288" s="4" t="str">
        <v>Product_D</v>
      </c>
      <c r="I288" s="4">
        <v>3344</v>
      </c>
      <c r="J288" s="4">
        <v>7</v>
      </c>
      <c r="K288" s="4">
        <v>0.06</v>
      </c>
      <c r="L288" s="4">
        <v>581</v>
      </c>
      <c r="M288" s="4" t="str">
        <v>COD</v>
      </c>
      <c r="N288" s="4">
        <v>22003.52</v>
      </c>
    </row>
    <row r="289" spans="1:14" x14ac:dyDescent="0.3">
      <c r="A289" s="4">
        <v>209</v>
      </c>
      <c r="B289" s="4">
        <v>45500</v>
      </c>
      <c r="C289" s="4">
        <v>1099</v>
      </c>
      <c r="D289" s="4" t="str">
        <v>Customer_151</v>
      </c>
      <c r="E289" s="4" t="str">
        <v>Corporate</v>
      </c>
      <c r="F289" s="4" t="str">
        <v>West</v>
      </c>
      <c r="G289" s="4" t="str">
        <v>Electronics</v>
      </c>
      <c r="H289" s="4" t="str">
        <v>Product_A</v>
      </c>
      <c r="I289" s="4">
        <v>4041</v>
      </c>
      <c r="J289" s="4">
        <v>7</v>
      </c>
      <c r="K289" s="4">
        <v>0.19</v>
      </c>
      <c r="L289" s="4">
        <v>1642</v>
      </c>
      <c r="M289" s="4" t="str">
        <v>UPI</v>
      </c>
      <c r="N289" s="4">
        <v>22912.47</v>
      </c>
    </row>
    <row r="290" spans="1:14" x14ac:dyDescent="0.3">
      <c r="A290" s="4">
        <v>210</v>
      </c>
      <c r="B290" s="4">
        <v>45501</v>
      </c>
      <c r="C290" s="4">
        <v>1078</v>
      </c>
      <c r="D290" s="4" t="str">
        <v>Customer_177</v>
      </c>
      <c r="E290" s="4" t="str">
        <v>Consumer</v>
      </c>
      <c r="F290" s="4" t="str">
        <v>West</v>
      </c>
      <c r="G290" s="4" t="str">
        <v>Electronics</v>
      </c>
      <c r="H290" s="4" t="str">
        <v>Product_B</v>
      </c>
      <c r="I290" s="4">
        <v>4048</v>
      </c>
      <c r="J290" s="4">
        <v>8</v>
      </c>
      <c r="K290" s="4">
        <v>0.08</v>
      </c>
      <c r="L290" s="4">
        <v>-375</v>
      </c>
      <c r="M290" s="4" t="str">
        <v>COD</v>
      </c>
      <c r="N290" s="4">
        <v>29793.279999999999</v>
      </c>
    </row>
    <row r="291" spans="1:14" x14ac:dyDescent="0.3">
      <c r="A291" s="4">
        <v>211</v>
      </c>
      <c r="B291" s="4">
        <v>45502</v>
      </c>
      <c r="C291" s="4">
        <v>1085</v>
      </c>
      <c r="D291" s="4" t="str">
        <v>Customer_80</v>
      </c>
      <c r="E291" s="4" t="str">
        <v>Consumer</v>
      </c>
      <c r="F291" s="4" t="str">
        <v>South</v>
      </c>
      <c r="G291" s="4" t="str">
        <v>Furniture</v>
      </c>
      <c r="H291" s="4" t="str">
        <v>Product_A</v>
      </c>
      <c r="I291" s="4">
        <v>745</v>
      </c>
      <c r="J291" s="4">
        <v>9</v>
      </c>
      <c r="K291" s="4">
        <v>0.21</v>
      </c>
      <c r="L291" s="4">
        <v>515</v>
      </c>
      <c r="M291" s="4" t="str">
        <v>Card</v>
      </c>
      <c r="N291" s="4">
        <v>5296.95</v>
      </c>
    </row>
    <row r="292" spans="1:14" x14ac:dyDescent="0.3">
      <c r="A292" s="4">
        <v>212</v>
      </c>
      <c r="B292" s="4">
        <v>45503</v>
      </c>
      <c r="C292" s="4">
        <v>1059</v>
      </c>
      <c r="D292" s="4" t="str">
        <v>Customer_124</v>
      </c>
      <c r="E292" s="4" t="str">
        <v>Consumer</v>
      </c>
      <c r="F292" s="4" t="str">
        <v>North</v>
      </c>
      <c r="G292" s="4" t="str">
        <v>Furniture</v>
      </c>
      <c r="H292" s="4" t="str">
        <v>Product_D</v>
      </c>
      <c r="I292" s="4">
        <v>3695</v>
      </c>
      <c r="J292" s="4">
        <v>3</v>
      </c>
      <c r="K292" s="4">
        <v>0.04</v>
      </c>
      <c r="L292" s="4">
        <v>333</v>
      </c>
      <c r="M292" s="4" t="str">
        <v>Card</v>
      </c>
      <c r="N292" s="4">
        <v>10641.6</v>
      </c>
    </row>
    <row r="293" spans="1:14" x14ac:dyDescent="0.3">
      <c r="A293" s="4">
        <v>213</v>
      </c>
      <c r="B293" s="4">
        <v>45504</v>
      </c>
      <c r="C293" s="4">
        <v>1048</v>
      </c>
      <c r="D293" s="4" t="str">
        <v>Customer_179</v>
      </c>
      <c r="E293" s="4" t="str">
        <v>Corporate</v>
      </c>
      <c r="F293" s="4" t="str">
        <v>West</v>
      </c>
      <c r="G293" s="4" t="str">
        <v>Clothing</v>
      </c>
      <c r="H293" s="4" t="str">
        <v>Product_D</v>
      </c>
      <c r="I293" s="4">
        <v>4178</v>
      </c>
      <c r="J293" s="4">
        <v>2</v>
      </c>
      <c r="K293" s="4">
        <v>0.19</v>
      </c>
      <c r="L293" s="4">
        <v>1860</v>
      </c>
      <c r="M293" s="4" t="str">
        <v>Card</v>
      </c>
      <c r="N293" s="4">
        <v>6768.36</v>
      </c>
    </row>
    <row r="294" spans="1:14" x14ac:dyDescent="0.3">
      <c r="A294" s="4">
        <v>214</v>
      </c>
      <c r="B294" s="4">
        <v>45505</v>
      </c>
      <c r="C294" s="4">
        <v>1056</v>
      </c>
      <c r="D294" s="4" t="str">
        <v>Customer_28</v>
      </c>
      <c r="E294" s="4" t="str">
        <v>Consumer</v>
      </c>
      <c r="F294" s="4" t="str">
        <v>West</v>
      </c>
      <c r="G294" s="4" t="str">
        <v>Clothing</v>
      </c>
      <c r="H294" s="4" t="str">
        <v>Product_B</v>
      </c>
      <c r="I294" s="4">
        <v>2035</v>
      </c>
      <c r="J294" s="4">
        <v>4</v>
      </c>
      <c r="K294" s="4">
        <v>0.06</v>
      </c>
      <c r="L294" s="4">
        <v>1215</v>
      </c>
      <c r="M294" s="4" t="str">
        <v>UPI</v>
      </c>
      <c r="N294" s="4">
        <v>7651.5999999999904</v>
      </c>
    </row>
    <row r="295" spans="1:14" x14ac:dyDescent="0.3">
      <c r="A295" s="4">
        <v>215</v>
      </c>
      <c r="B295" s="4">
        <v>45506</v>
      </c>
      <c r="C295" s="4">
        <v>1087</v>
      </c>
      <c r="D295" s="4" t="str">
        <v>Customer_99</v>
      </c>
      <c r="E295" s="4" t="str">
        <v>Consumer</v>
      </c>
      <c r="F295" s="4" t="str">
        <v>South</v>
      </c>
      <c r="G295" s="4" t="str">
        <v>Clothing</v>
      </c>
      <c r="H295" s="4" t="str">
        <v>Product_A</v>
      </c>
      <c r="I295" s="4">
        <v>2833</v>
      </c>
      <c r="J295" s="4">
        <v>4</v>
      </c>
      <c r="K295" s="4">
        <v>0.15</v>
      </c>
      <c r="L295" s="4">
        <v>-499</v>
      </c>
      <c r="M295" s="4" t="str">
        <v>COD</v>
      </c>
      <c r="N295" s="4">
        <v>9632.1999999999898</v>
      </c>
    </row>
    <row r="296" spans="1:14" x14ac:dyDescent="0.3">
      <c r="A296" s="4">
        <v>216</v>
      </c>
      <c r="B296" s="4">
        <v>45507</v>
      </c>
      <c r="C296" s="4">
        <v>1087</v>
      </c>
      <c r="D296" s="4" t="str">
        <v>Customer_106</v>
      </c>
      <c r="E296" s="4" t="str">
        <v>Consumer</v>
      </c>
      <c r="F296" s="4" t="str">
        <v>East</v>
      </c>
      <c r="G296" s="4" t="str">
        <v>Furniture</v>
      </c>
      <c r="H296" s="4" t="str">
        <v>Product_C</v>
      </c>
      <c r="I296" s="4">
        <v>2661</v>
      </c>
      <c r="J296" s="4">
        <v>8</v>
      </c>
      <c r="K296" s="4">
        <v>0.26</v>
      </c>
      <c r="L296" s="4">
        <v>-152</v>
      </c>
      <c r="M296" s="4" t="str">
        <v>COD</v>
      </c>
      <c r="N296" s="4">
        <v>15753.119999999901</v>
      </c>
    </row>
    <row r="297" spans="1:14" x14ac:dyDescent="0.3">
      <c r="A297" s="4">
        <v>217</v>
      </c>
      <c r="B297" s="4">
        <v>45508</v>
      </c>
      <c r="C297" s="4">
        <v>1004</v>
      </c>
      <c r="D297" s="4" t="str">
        <v>Customer_29</v>
      </c>
      <c r="E297" s="4" t="str">
        <v>Consumer</v>
      </c>
      <c r="F297" s="4" t="str">
        <v>West</v>
      </c>
      <c r="G297" s="4" t="str">
        <v>Furniture</v>
      </c>
      <c r="H297" s="4" t="str">
        <v>Product_A</v>
      </c>
      <c r="I297" s="4">
        <v>2152</v>
      </c>
      <c r="J297" s="4">
        <v>8</v>
      </c>
      <c r="K297" s="4">
        <v>0.14000000000000001</v>
      </c>
      <c r="L297" s="4">
        <v>925</v>
      </c>
      <c r="M297" s="4" t="str">
        <v>COD</v>
      </c>
      <c r="N297" s="4">
        <v>14805.76</v>
      </c>
    </row>
    <row r="298" spans="1:14" x14ac:dyDescent="0.3">
      <c r="A298" s="4">
        <v>218</v>
      </c>
      <c r="B298" s="4">
        <v>45509</v>
      </c>
      <c r="C298" s="4">
        <v>1069</v>
      </c>
      <c r="D298" s="4" t="str">
        <v>Customer_187</v>
      </c>
      <c r="E298" s="4" t="str">
        <v>Consumer</v>
      </c>
      <c r="F298" s="4" t="str">
        <v>North</v>
      </c>
      <c r="G298" s="4" t="str">
        <v>Clothing</v>
      </c>
      <c r="H298" s="4" t="str">
        <v>Product_D</v>
      </c>
      <c r="I298" s="4">
        <v>2039</v>
      </c>
      <c r="J298" s="4">
        <v>7</v>
      </c>
      <c r="K298" s="4">
        <v>0.23</v>
      </c>
      <c r="L298" s="4">
        <v>-462</v>
      </c>
      <c r="M298" s="4" t="str">
        <v>UPI</v>
      </c>
      <c r="N298" s="4">
        <v>10990.21</v>
      </c>
    </row>
    <row r="299" spans="1:14" x14ac:dyDescent="0.3">
      <c r="A299" s="4">
        <v>224</v>
      </c>
      <c r="B299" s="4">
        <v>45515</v>
      </c>
      <c r="C299" s="4">
        <v>1069</v>
      </c>
      <c r="D299" s="4" t="str">
        <v>Customer_175</v>
      </c>
      <c r="E299" s="4" t="str">
        <v>Corporate</v>
      </c>
      <c r="F299" s="4" t="str">
        <v>North</v>
      </c>
      <c r="G299" s="4" t="str">
        <v>Furniture</v>
      </c>
      <c r="H299" s="4" t="str">
        <v>Product_C</v>
      </c>
      <c r="I299" s="4">
        <v>4265</v>
      </c>
      <c r="J299" s="4">
        <v>6</v>
      </c>
      <c r="K299" s="4">
        <v>0.12</v>
      </c>
      <c r="L299" s="4">
        <v>490</v>
      </c>
      <c r="M299" s="4" t="str">
        <v>COD</v>
      </c>
      <c r="N299" s="4">
        <v>22519.200000000001</v>
      </c>
    </row>
    <row r="300" spans="1:14" x14ac:dyDescent="0.3">
      <c r="A300" s="4">
        <v>226</v>
      </c>
      <c r="B300" s="4">
        <v>45517</v>
      </c>
      <c r="C300" s="4">
        <v>1079</v>
      </c>
      <c r="D300" s="4" t="str">
        <v>Customer_130</v>
      </c>
      <c r="E300" s="4" t="str">
        <v>Corporate</v>
      </c>
      <c r="F300" s="4" t="str">
        <v>South</v>
      </c>
      <c r="G300" s="4" t="str">
        <v>Furniture</v>
      </c>
      <c r="H300" s="4" t="str">
        <v>Product_B</v>
      </c>
      <c r="I300" s="4">
        <v>2116</v>
      </c>
      <c r="J300" s="4">
        <v>6</v>
      </c>
      <c r="K300" s="4">
        <v>0.05</v>
      </c>
      <c r="L300" s="4">
        <v>1516</v>
      </c>
      <c r="M300" s="4" t="str">
        <v>UPI</v>
      </c>
      <c r="N300" s="4">
        <v>12061.199999999901</v>
      </c>
    </row>
    <row r="301" spans="1:14" x14ac:dyDescent="0.3">
      <c r="A301" s="4">
        <v>228</v>
      </c>
      <c r="B301" s="4">
        <v>45519</v>
      </c>
      <c r="C301" s="4">
        <v>1066</v>
      </c>
      <c r="D301" s="4" t="str">
        <v>Customer_64</v>
      </c>
      <c r="E301" s="4" t="str">
        <v>Consumer</v>
      </c>
      <c r="F301" s="4" t="str">
        <v>West</v>
      </c>
      <c r="G301" s="4" t="str">
        <v>Furniture</v>
      </c>
      <c r="H301" s="4" t="str">
        <v>Product_A</v>
      </c>
      <c r="I301" s="4">
        <v>2655</v>
      </c>
      <c r="J301" s="4">
        <v>6</v>
      </c>
      <c r="K301" s="4">
        <v>0.27</v>
      </c>
      <c r="L301" s="4">
        <v>1403</v>
      </c>
      <c r="M301" s="4" t="str">
        <v>COD</v>
      </c>
      <c r="N301" s="4">
        <v>11628.9</v>
      </c>
    </row>
    <row r="302" spans="1:14" x14ac:dyDescent="0.3">
      <c r="A302" s="4">
        <v>230</v>
      </c>
      <c r="B302" s="4">
        <v>45521</v>
      </c>
      <c r="C302" s="4">
        <v>1003</v>
      </c>
      <c r="D302" s="4" t="str">
        <v>Customer_89</v>
      </c>
      <c r="E302" s="4" t="str">
        <v>Consumer</v>
      </c>
      <c r="F302" s="4" t="str">
        <v>East</v>
      </c>
      <c r="G302" s="4" t="str">
        <v>Furniture</v>
      </c>
      <c r="H302" s="4" t="str">
        <v>Product_B</v>
      </c>
      <c r="I302" s="4">
        <v>1820</v>
      </c>
      <c r="J302" s="4">
        <v>9</v>
      </c>
      <c r="K302" s="4">
        <v>0.09</v>
      </c>
      <c r="L302" s="4">
        <v>631</v>
      </c>
      <c r="M302" s="4" t="str">
        <v>UPI</v>
      </c>
      <c r="N302" s="4">
        <v>14905.8</v>
      </c>
    </row>
    <row r="303" spans="1:14" x14ac:dyDescent="0.3">
      <c r="A303" s="4">
        <v>231</v>
      </c>
      <c r="B303" s="4">
        <v>45522</v>
      </c>
      <c r="C303" s="4">
        <v>1048</v>
      </c>
      <c r="D303" s="4" t="str">
        <v>Customer_95</v>
      </c>
      <c r="E303" s="4" t="str">
        <v>Consumer</v>
      </c>
      <c r="F303" s="4" t="str">
        <v>North</v>
      </c>
      <c r="G303" s="4" t="str">
        <v>Electronics</v>
      </c>
      <c r="H303" s="4" t="str">
        <v>Product_C</v>
      </c>
      <c r="I303" s="4">
        <v>3916</v>
      </c>
      <c r="J303" s="4">
        <v>7</v>
      </c>
      <c r="K303" s="4">
        <v>0.12</v>
      </c>
      <c r="L303" s="4">
        <v>1533</v>
      </c>
      <c r="M303" s="4" t="str">
        <v>UPI</v>
      </c>
      <c r="N303" s="4">
        <v>24122.560000000001</v>
      </c>
    </row>
    <row r="304" spans="1:14" x14ac:dyDescent="0.3">
      <c r="A304" s="4">
        <v>232</v>
      </c>
      <c r="B304" s="4">
        <v>45523</v>
      </c>
      <c r="C304" s="4">
        <v>1003</v>
      </c>
      <c r="D304" s="4" t="str">
        <v>Customer_175</v>
      </c>
      <c r="E304" s="4" t="str">
        <v>Consumer</v>
      </c>
      <c r="F304" s="4" t="str">
        <v>West</v>
      </c>
      <c r="G304" s="4" t="str">
        <v>Clothing</v>
      </c>
      <c r="H304" s="4" t="str">
        <v>Product_D</v>
      </c>
      <c r="I304" s="4">
        <v>3888</v>
      </c>
      <c r="J304" s="4">
        <v>5</v>
      </c>
      <c r="K304" s="4">
        <v>7.0000000000000007E-2</v>
      </c>
      <c r="L304" s="4">
        <v>1032</v>
      </c>
      <c r="M304" s="4" t="str">
        <v>Card</v>
      </c>
      <c r="N304" s="4">
        <v>18079.199999999899</v>
      </c>
    </row>
    <row r="305" spans="1:14" x14ac:dyDescent="0.3">
      <c r="A305" s="4">
        <v>233</v>
      </c>
      <c r="B305" s="4">
        <v>45524</v>
      </c>
      <c r="C305" s="4">
        <v>1023</v>
      </c>
      <c r="D305" s="4" t="str">
        <v>Customer_15</v>
      </c>
      <c r="E305" s="4" t="str">
        <v>Consumer</v>
      </c>
      <c r="F305" s="4" t="str">
        <v>North</v>
      </c>
      <c r="G305" s="4" t="str">
        <v>Clothing</v>
      </c>
      <c r="H305" s="4" t="str">
        <v>Product_B</v>
      </c>
      <c r="I305" s="4">
        <v>1813</v>
      </c>
      <c r="J305" s="4">
        <v>7</v>
      </c>
      <c r="K305" s="4">
        <v>0.13</v>
      </c>
      <c r="L305" s="4">
        <v>937</v>
      </c>
      <c r="M305" s="4" t="str">
        <v>COD</v>
      </c>
      <c r="N305" s="4">
        <v>11041.17</v>
      </c>
    </row>
    <row r="306" spans="1:14" x14ac:dyDescent="0.3">
      <c r="A306" s="4">
        <v>234</v>
      </c>
      <c r="B306" s="4">
        <v>45525</v>
      </c>
      <c r="C306" s="4">
        <v>1091</v>
      </c>
      <c r="D306" s="4" t="str">
        <v>Customer_166</v>
      </c>
      <c r="E306" s="4" t="str">
        <v>Corporate</v>
      </c>
      <c r="F306" s="4" t="str">
        <v>West</v>
      </c>
      <c r="G306" s="4" t="str">
        <v>Furniture</v>
      </c>
      <c r="H306" s="4" t="str">
        <v>Product_C</v>
      </c>
      <c r="I306" s="4">
        <v>4283</v>
      </c>
      <c r="J306" s="4">
        <v>6</v>
      </c>
      <c r="K306" s="4">
        <v>0.15</v>
      </c>
      <c r="L306" s="4">
        <v>436</v>
      </c>
      <c r="M306" s="4" t="str">
        <v>COD</v>
      </c>
      <c r="N306" s="4">
        <v>21843.3</v>
      </c>
    </row>
    <row r="307" spans="1:14" x14ac:dyDescent="0.3">
      <c r="A307" s="4">
        <v>235</v>
      </c>
      <c r="B307" s="4">
        <v>45526</v>
      </c>
      <c r="C307" s="4">
        <v>1055</v>
      </c>
      <c r="D307" s="4" t="str">
        <v>Customer_97</v>
      </c>
      <c r="E307" s="4" t="str">
        <v>Corporate</v>
      </c>
      <c r="F307" s="4" t="str">
        <v>North</v>
      </c>
      <c r="G307" s="4" t="str">
        <v>Clothing</v>
      </c>
      <c r="H307" s="4" t="str">
        <v>Product_C</v>
      </c>
      <c r="I307" s="4">
        <v>4730</v>
      </c>
      <c r="J307" s="4">
        <v>8</v>
      </c>
      <c r="K307" s="4">
        <v>0.28000000000000003</v>
      </c>
      <c r="L307" s="4">
        <v>1356</v>
      </c>
      <c r="M307" s="4" t="str">
        <v>Card</v>
      </c>
      <c r="N307" s="4">
        <v>27244.799999999999</v>
      </c>
    </row>
    <row r="308" spans="1:14" x14ac:dyDescent="0.3">
      <c r="A308" s="4">
        <v>236</v>
      </c>
      <c r="B308" s="4">
        <v>45527</v>
      </c>
      <c r="C308" s="4">
        <v>1034</v>
      </c>
      <c r="D308" s="4" t="str">
        <v>Customer_177</v>
      </c>
      <c r="E308" s="4" t="str">
        <v>Consumer</v>
      </c>
      <c r="F308" s="4" t="str">
        <v>West</v>
      </c>
      <c r="G308" s="4" t="str">
        <v>Furniture</v>
      </c>
      <c r="H308" s="4" t="str">
        <v>Product_C</v>
      </c>
      <c r="I308" s="4">
        <v>4044</v>
      </c>
      <c r="J308" s="4">
        <v>8</v>
      </c>
      <c r="K308" s="4">
        <v>0.13</v>
      </c>
      <c r="L308" s="4">
        <v>-288</v>
      </c>
      <c r="M308" s="4" t="str">
        <v>UPI</v>
      </c>
      <c r="N308" s="4">
        <v>28146.240000000002</v>
      </c>
    </row>
    <row r="309" spans="1:14" x14ac:dyDescent="0.3">
      <c r="A309" s="4">
        <v>237</v>
      </c>
      <c r="B309" s="4">
        <v>45528</v>
      </c>
      <c r="C309" s="4">
        <v>1037</v>
      </c>
      <c r="D309" s="4" t="str">
        <v>Customer_40</v>
      </c>
      <c r="E309" s="4" t="str">
        <v>Corporate</v>
      </c>
      <c r="F309" s="4" t="str">
        <v>North</v>
      </c>
      <c r="G309" s="4" t="str">
        <v>Electronics</v>
      </c>
      <c r="H309" s="4" t="str">
        <v>Product_D</v>
      </c>
      <c r="I309" s="4">
        <v>1901</v>
      </c>
      <c r="J309" s="4">
        <v>8</v>
      </c>
      <c r="K309" s="4">
        <v>0.26</v>
      </c>
      <c r="L309" s="4">
        <v>1933</v>
      </c>
      <c r="M309" s="4" t="str">
        <v>UPI</v>
      </c>
      <c r="N309" s="4">
        <v>11253.92</v>
      </c>
    </row>
    <row r="310" spans="1:14" x14ac:dyDescent="0.3">
      <c r="A310" s="4">
        <v>238</v>
      </c>
      <c r="B310" s="4">
        <v>45529</v>
      </c>
      <c r="C310" s="4">
        <v>1049</v>
      </c>
      <c r="D310" s="4" t="str">
        <v>Customer_144</v>
      </c>
      <c r="E310" s="4" t="str">
        <v>Consumer</v>
      </c>
      <c r="F310" s="4" t="str">
        <v>South</v>
      </c>
      <c r="G310" s="4" t="str">
        <v>Electronics</v>
      </c>
      <c r="H310" s="4" t="str">
        <v>Product_A</v>
      </c>
      <c r="I310" s="4">
        <v>4270</v>
      </c>
      <c r="J310" s="4">
        <v>6</v>
      </c>
      <c r="K310" s="4">
        <v>0.05</v>
      </c>
      <c r="L310" s="4">
        <v>1845</v>
      </c>
      <c r="M310" s="4" t="str">
        <v>Card</v>
      </c>
      <c r="N310" s="4">
        <v>24339</v>
      </c>
    </row>
    <row r="311" spans="1:14" x14ac:dyDescent="0.3">
      <c r="A311" s="4">
        <v>239</v>
      </c>
      <c r="B311" s="4">
        <v>45530</v>
      </c>
      <c r="C311" s="4">
        <v>1087</v>
      </c>
      <c r="D311" s="4" t="str">
        <v>Customer_102</v>
      </c>
      <c r="E311" s="4" t="str">
        <v>Corporate</v>
      </c>
      <c r="F311" s="4" t="str">
        <v>North</v>
      </c>
      <c r="G311" s="4" t="str">
        <v>Furniture</v>
      </c>
      <c r="H311" s="4" t="str">
        <v>Product_B</v>
      </c>
      <c r="I311" s="4">
        <v>3460</v>
      </c>
      <c r="J311" s="4">
        <v>2</v>
      </c>
      <c r="K311" s="4">
        <v>0.16</v>
      </c>
      <c r="L311" s="4">
        <v>898</v>
      </c>
      <c r="M311" s="4" t="str">
        <v>UPI</v>
      </c>
      <c r="N311" s="4">
        <v>5812.8</v>
      </c>
    </row>
    <row r="312" spans="1:14" x14ac:dyDescent="0.3">
      <c r="A312" s="4">
        <v>241</v>
      </c>
      <c r="B312" s="4">
        <v>45532</v>
      </c>
      <c r="C312" s="4">
        <v>1025</v>
      </c>
      <c r="D312" s="4" t="str">
        <v>Customer_34</v>
      </c>
      <c r="E312" s="4" t="str">
        <v>Corporate</v>
      </c>
      <c r="F312" s="4" t="str">
        <v>South</v>
      </c>
      <c r="G312" s="4" t="str">
        <v>Furniture</v>
      </c>
      <c r="H312" s="4" t="str">
        <v>Product_C</v>
      </c>
      <c r="I312" s="4">
        <v>3312</v>
      </c>
      <c r="J312" s="4">
        <v>6</v>
      </c>
      <c r="K312" s="4">
        <v>0.18</v>
      </c>
      <c r="L312" s="4">
        <v>1603</v>
      </c>
      <c r="M312" s="4" t="str">
        <v>UPI</v>
      </c>
      <c r="N312" s="4">
        <v>16295.04</v>
      </c>
    </row>
    <row r="313" spans="1:14" x14ac:dyDescent="0.3">
      <c r="A313" s="4">
        <v>243</v>
      </c>
      <c r="B313" s="4">
        <v>45534</v>
      </c>
      <c r="C313" s="4">
        <v>1058</v>
      </c>
      <c r="D313" s="4" t="str">
        <v>Customer_134</v>
      </c>
      <c r="E313" s="4" t="str">
        <v>Corporate</v>
      </c>
      <c r="F313" s="4" t="str">
        <v>North</v>
      </c>
      <c r="G313" s="4" t="str">
        <v>Furniture</v>
      </c>
      <c r="H313" s="4" t="str">
        <v>Product_B</v>
      </c>
      <c r="I313" s="4">
        <v>4904</v>
      </c>
      <c r="J313" s="4">
        <v>7</v>
      </c>
      <c r="K313" s="4">
        <v>0.23</v>
      </c>
      <c r="L313" s="4">
        <v>984</v>
      </c>
      <c r="M313" s="4" t="str">
        <v>Card</v>
      </c>
      <c r="N313" s="4">
        <v>26432.560000000001</v>
      </c>
    </row>
    <row r="314" spans="1:14" x14ac:dyDescent="0.3">
      <c r="A314" s="4">
        <v>247</v>
      </c>
      <c r="B314" s="4">
        <v>45538</v>
      </c>
      <c r="C314" s="4">
        <v>1008</v>
      </c>
      <c r="D314" s="4" t="str">
        <v>Customer_114</v>
      </c>
      <c r="E314" s="4" t="str">
        <v>Corporate</v>
      </c>
      <c r="F314" s="4" t="str">
        <v>North</v>
      </c>
      <c r="G314" s="4" t="str">
        <v>Electronics</v>
      </c>
      <c r="H314" s="4" t="str">
        <v>Product_B</v>
      </c>
      <c r="I314" s="4">
        <v>1629</v>
      </c>
      <c r="J314" s="4">
        <v>6</v>
      </c>
      <c r="K314" s="4">
        <v>0.17</v>
      </c>
      <c r="L314" s="4">
        <v>1561</v>
      </c>
      <c r="M314" s="4" t="str">
        <v>UPI</v>
      </c>
      <c r="N314" s="4">
        <v>8112.4199999999901</v>
      </c>
    </row>
    <row r="315" spans="1:14" x14ac:dyDescent="0.3">
      <c r="A315" s="4">
        <v>248</v>
      </c>
      <c r="B315" s="4">
        <v>45539</v>
      </c>
      <c r="C315" s="4">
        <v>1096</v>
      </c>
      <c r="D315" s="4" t="str">
        <v>Customer_149</v>
      </c>
      <c r="E315" s="4" t="str">
        <v>Corporate</v>
      </c>
      <c r="F315" s="4" t="str">
        <v>East</v>
      </c>
      <c r="G315" s="4" t="str">
        <v>Electronics</v>
      </c>
      <c r="H315" s="4" t="str">
        <v>Product_A</v>
      </c>
      <c r="I315" s="4">
        <v>4607</v>
      </c>
      <c r="J315" s="4">
        <v>8</v>
      </c>
      <c r="K315" s="4">
        <v>7.0000000000000007E-2</v>
      </c>
      <c r="L315" s="4">
        <v>746</v>
      </c>
      <c r="M315" s="4" t="str">
        <v>UPI</v>
      </c>
      <c r="N315" s="4">
        <v>34276.0799999999</v>
      </c>
    </row>
    <row r="316" spans="1:14" x14ac:dyDescent="0.3">
      <c r="A316" s="4">
        <v>250</v>
      </c>
      <c r="B316" s="4">
        <v>45541</v>
      </c>
      <c r="C316" s="4">
        <v>1099</v>
      </c>
      <c r="D316" s="4" t="str">
        <v>Customer_157</v>
      </c>
      <c r="E316" s="4" t="str">
        <v>Corporate</v>
      </c>
      <c r="F316" s="4" t="str">
        <v>East</v>
      </c>
      <c r="G316" s="4" t="str">
        <v>Electronics</v>
      </c>
      <c r="H316" s="4" t="str">
        <v>Product_A</v>
      </c>
      <c r="I316" s="4">
        <v>4979</v>
      </c>
      <c r="J316" s="4">
        <v>2</v>
      </c>
      <c r="K316" s="4">
        <v>0.02</v>
      </c>
      <c r="L316" s="4">
        <v>1538</v>
      </c>
      <c r="M316" s="4" t="str">
        <v>COD</v>
      </c>
      <c r="N316" s="4">
        <v>9758.84</v>
      </c>
    </row>
    <row r="317" spans="1:14" x14ac:dyDescent="0.3">
      <c r="A317" s="4">
        <v>252</v>
      </c>
      <c r="B317" s="4">
        <v>45543</v>
      </c>
      <c r="C317" s="4">
        <v>1065</v>
      </c>
      <c r="D317" s="4" t="str">
        <v>Customer_97</v>
      </c>
      <c r="E317" s="4" t="str">
        <v>Consumer</v>
      </c>
      <c r="F317" s="4" t="str">
        <v>West</v>
      </c>
      <c r="G317" s="4" t="str">
        <v>Furniture</v>
      </c>
      <c r="H317" s="4" t="str">
        <v>Product_C</v>
      </c>
      <c r="I317" s="4">
        <v>1335</v>
      </c>
      <c r="J317" s="4">
        <v>6</v>
      </c>
      <c r="K317" s="4">
        <v>0.28999999999999998</v>
      </c>
      <c r="L317" s="4">
        <v>598</v>
      </c>
      <c r="M317" s="4" t="str">
        <v>Card</v>
      </c>
      <c r="N317" s="4">
        <v>5687.0999999999904</v>
      </c>
    </row>
    <row r="318" spans="1:14" x14ac:dyDescent="0.3">
      <c r="A318" s="4">
        <v>255</v>
      </c>
      <c r="B318" s="4">
        <v>45546</v>
      </c>
      <c r="C318" s="4">
        <v>1099</v>
      </c>
      <c r="D318" s="4" t="str">
        <v>Customer_18</v>
      </c>
      <c r="E318" s="4" t="str">
        <v>Consumer</v>
      </c>
      <c r="F318" s="4" t="str">
        <v>South</v>
      </c>
      <c r="G318" s="4" t="str">
        <v>Electronics</v>
      </c>
      <c r="H318" s="4" t="str">
        <v>Product_B</v>
      </c>
      <c r="I318" s="4">
        <v>2319</v>
      </c>
      <c r="J318" s="4">
        <v>7</v>
      </c>
      <c r="K318" s="4">
        <v>0.11</v>
      </c>
      <c r="L318" s="4">
        <v>-105</v>
      </c>
      <c r="M318" s="4" t="str">
        <v>UPI</v>
      </c>
      <c r="N318" s="4">
        <v>14447.37</v>
      </c>
    </row>
    <row r="319" spans="1:14" x14ac:dyDescent="0.3">
      <c r="A319" s="4">
        <v>256</v>
      </c>
      <c r="B319" s="4">
        <v>45547</v>
      </c>
      <c r="C319" s="4">
        <v>1097</v>
      </c>
      <c r="D319" s="4" t="str">
        <v>Customer_98</v>
      </c>
      <c r="E319" s="4" t="str">
        <v>Corporate</v>
      </c>
      <c r="F319" s="4" t="str">
        <v>South</v>
      </c>
      <c r="G319" s="4" t="str">
        <v>Clothing</v>
      </c>
      <c r="H319" s="4" t="str">
        <v>Product_C</v>
      </c>
      <c r="I319" s="4">
        <v>3265</v>
      </c>
      <c r="J319" s="4">
        <v>3</v>
      </c>
      <c r="K319" s="4">
        <v>0.05</v>
      </c>
      <c r="L319" s="4">
        <v>1937</v>
      </c>
      <c r="M319" s="4" t="str">
        <v>Card</v>
      </c>
      <c r="N319" s="4">
        <v>9305.25</v>
      </c>
    </row>
    <row r="320" spans="1:14" x14ac:dyDescent="0.3">
      <c r="A320" s="4">
        <v>259</v>
      </c>
      <c r="B320" s="4">
        <v>45550</v>
      </c>
      <c r="C320" s="4">
        <v>1092</v>
      </c>
      <c r="D320" s="4" t="str">
        <v>Customer_23</v>
      </c>
      <c r="E320" s="4" t="str">
        <v>Consumer</v>
      </c>
      <c r="F320" s="4" t="str">
        <v>South</v>
      </c>
      <c r="G320" s="4" t="str">
        <v>Furniture</v>
      </c>
      <c r="H320" s="4" t="str">
        <v>Product_C</v>
      </c>
      <c r="I320" s="4">
        <v>4046</v>
      </c>
      <c r="J320" s="4">
        <v>5</v>
      </c>
      <c r="K320" s="4">
        <v>0.2</v>
      </c>
      <c r="L320" s="4">
        <v>-246</v>
      </c>
      <c r="M320" s="4" t="str">
        <v>COD</v>
      </c>
      <c r="N320" s="4">
        <v>16184</v>
      </c>
    </row>
    <row r="321" spans="1:14" x14ac:dyDescent="0.3">
      <c r="A321" s="4">
        <v>260</v>
      </c>
      <c r="B321" s="4">
        <v>45551</v>
      </c>
      <c r="C321" s="4">
        <v>1038</v>
      </c>
      <c r="D321" s="4" t="str">
        <v>Customer_48</v>
      </c>
      <c r="E321" s="4" t="str">
        <v>Corporate</v>
      </c>
      <c r="F321" s="4" t="str">
        <v>West</v>
      </c>
      <c r="G321" s="4" t="str">
        <v>Clothing</v>
      </c>
      <c r="H321" s="4" t="str">
        <v>Product_C</v>
      </c>
      <c r="I321" s="4">
        <v>2805</v>
      </c>
      <c r="J321" s="4">
        <v>7</v>
      </c>
      <c r="K321" s="4">
        <v>0.17</v>
      </c>
      <c r="L321" s="4">
        <v>1777</v>
      </c>
      <c r="M321" s="4" t="str">
        <v>Card</v>
      </c>
      <c r="N321" s="4">
        <v>16297.05</v>
      </c>
    </row>
    <row r="322" spans="1:14" x14ac:dyDescent="0.3">
      <c r="A322" s="4">
        <v>261</v>
      </c>
      <c r="B322" s="4">
        <v>45552</v>
      </c>
      <c r="C322" s="4">
        <v>1005</v>
      </c>
      <c r="D322" s="4" t="str">
        <v>Customer_183</v>
      </c>
      <c r="E322" s="4" t="str">
        <v>Corporate</v>
      </c>
      <c r="F322" s="4" t="str">
        <v>South</v>
      </c>
      <c r="G322" s="4" t="str">
        <v>Clothing</v>
      </c>
      <c r="H322" s="4" t="str">
        <v>Product_B</v>
      </c>
      <c r="I322" s="4">
        <v>1983</v>
      </c>
      <c r="J322" s="4">
        <v>6</v>
      </c>
      <c r="K322" s="4">
        <v>0.03</v>
      </c>
      <c r="L322" s="4">
        <v>722</v>
      </c>
      <c r="M322" s="4" t="str">
        <v>UPI</v>
      </c>
      <c r="N322" s="4">
        <v>11541.06</v>
      </c>
    </row>
    <row r="323" spans="1:14" x14ac:dyDescent="0.3">
      <c r="A323" s="4">
        <v>264</v>
      </c>
      <c r="B323" s="4">
        <v>45555</v>
      </c>
      <c r="C323" s="4">
        <v>1068</v>
      </c>
      <c r="D323" s="4" t="str">
        <v>Customer_40</v>
      </c>
      <c r="E323" s="4" t="str">
        <v>Corporate</v>
      </c>
      <c r="F323" s="4" t="str">
        <v>East</v>
      </c>
      <c r="G323" s="4" t="str">
        <v>Furniture</v>
      </c>
      <c r="H323" s="4" t="str">
        <v>Product_A</v>
      </c>
      <c r="I323" s="4">
        <v>2397</v>
      </c>
      <c r="J323" s="4">
        <v>7</v>
      </c>
      <c r="K323" s="4">
        <v>0.01</v>
      </c>
      <c r="L323" s="4">
        <v>-217</v>
      </c>
      <c r="M323" s="4" t="str">
        <v>COD</v>
      </c>
      <c r="N323" s="4">
        <v>16611.21</v>
      </c>
    </row>
    <row r="324" spans="1:14" x14ac:dyDescent="0.3">
      <c r="A324" s="4">
        <v>266</v>
      </c>
      <c r="B324" s="4">
        <v>45557</v>
      </c>
      <c r="C324" s="4">
        <v>1021</v>
      </c>
      <c r="D324" s="4" t="str">
        <v>Customer_72</v>
      </c>
      <c r="E324" s="4" t="str">
        <v>Corporate</v>
      </c>
      <c r="F324" s="4" t="str">
        <v>West</v>
      </c>
      <c r="G324" s="4" t="str">
        <v>Electronics</v>
      </c>
      <c r="H324" s="4" t="str">
        <v>Product_A</v>
      </c>
      <c r="I324" s="4">
        <v>1107</v>
      </c>
      <c r="J324" s="4">
        <v>9</v>
      </c>
      <c r="K324" s="4">
        <v>0.13</v>
      </c>
      <c r="L324" s="4">
        <v>655</v>
      </c>
      <c r="M324" s="4" t="str">
        <v>Card</v>
      </c>
      <c r="N324" s="4">
        <v>8667.81</v>
      </c>
    </row>
    <row r="325" spans="1:14" x14ac:dyDescent="0.3">
      <c r="A325" s="4">
        <v>267</v>
      </c>
      <c r="B325" s="4">
        <v>45558</v>
      </c>
      <c r="C325" s="4">
        <v>1089</v>
      </c>
      <c r="D325" s="4" t="str">
        <v>Customer_142</v>
      </c>
      <c r="E325" s="4" t="str">
        <v>Consumer</v>
      </c>
      <c r="F325" s="4" t="str">
        <v>South</v>
      </c>
      <c r="G325" s="4" t="str">
        <v>Electronics</v>
      </c>
      <c r="H325" s="4" t="str">
        <v>Product_D</v>
      </c>
      <c r="I325" s="4">
        <v>2696</v>
      </c>
      <c r="J325" s="4">
        <v>9</v>
      </c>
      <c r="K325" s="4">
        <v>0.02</v>
      </c>
      <c r="L325" s="4">
        <v>445</v>
      </c>
      <c r="M325" s="4" t="str">
        <v>Card</v>
      </c>
      <c r="N325" s="4">
        <v>23778.720000000001</v>
      </c>
    </row>
    <row r="326" spans="1:14" x14ac:dyDescent="0.3">
      <c r="A326" s="4">
        <v>268</v>
      </c>
      <c r="B326" s="4">
        <v>45559</v>
      </c>
      <c r="C326" s="4">
        <v>1050</v>
      </c>
      <c r="D326" s="4" t="str">
        <v>Customer_124</v>
      </c>
      <c r="E326" s="4" t="str">
        <v>Corporate</v>
      </c>
      <c r="F326" s="4" t="str">
        <v>West</v>
      </c>
      <c r="G326" s="4" t="str">
        <v>Furniture</v>
      </c>
      <c r="H326" s="4" t="str">
        <v>Product_B</v>
      </c>
      <c r="I326" s="4">
        <v>3486</v>
      </c>
      <c r="J326" s="4">
        <v>4</v>
      </c>
      <c r="K326" s="4">
        <v>0.05</v>
      </c>
      <c r="L326" s="4">
        <v>1943</v>
      </c>
      <c r="M326" s="4" t="str">
        <v>COD</v>
      </c>
      <c r="N326" s="4">
        <v>13246.8</v>
      </c>
    </row>
    <row r="327" spans="1:14" x14ac:dyDescent="0.3">
      <c r="A327" s="4">
        <v>270</v>
      </c>
      <c r="B327" s="4">
        <v>45561</v>
      </c>
      <c r="C327" s="4">
        <v>1044</v>
      </c>
      <c r="D327" s="4" t="str">
        <v>Customer_78</v>
      </c>
      <c r="E327" s="4" t="str">
        <v>Corporate</v>
      </c>
      <c r="F327" s="4" t="str">
        <v>North</v>
      </c>
      <c r="G327" s="4" t="str">
        <v>Furniture</v>
      </c>
      <c r="H327" s="4" t="str">
        <v>Product_C</v>
      </c>
      <c r="I327" s="4">
        <v>4244</v>
      </c>
      <c r="J327" s="4">
        <v>8</v>
      </c>
      <c r="K327" s="4">
        <v>0.18</v>
      </c>
      <c r="L327" s="4">
        <v>1997</v>
      </c>
      <c r="M327" s="4" t="str">
        <v>UPI</v>
      </c>
      <c r="N327" s="4">
        <v>27840.639999999999</v>
      </c>
    </row>
    <row r="328" spans="1:14" x14ac:dyDescent="0.3">
      <c r="A328" s="4">
        <v>271</v>
      </c>
      <c r="B328" s="4">
        <v>45562</v>
      </c>
      <c r="C328" s="4">
        <v>1092</v>
      </c>
      <c r="D328" s="4" t="str">
        <v>Customer_2</v>
      </c>
      <c r="E328" s="4" t="str">
        <v>Consumer</v>
      </c>
      <c r="F328" s="4" t="str">
        <v>East</v>
      </c>
      <c r="G328" s="4" t="str">
        <v>Clothing</v>
      </c>
      <c r="H328" s="4" t="str">
        <v>Product_D</v>
      </c>
      <c r="I328" s="4">
        <v>2461</v>
      </c>
      <c r="J328" s="4">
        <v>4</v>
      </c>
      <c r="K328" s="4">
        <v>7.0000000000000007E-2</v>
      </c>
      <c r="L328" s="4">
        <v>1327</v>
      </c>
      <c r="M328" s="4" t="str">
        <v>Card</v>
      </c>
      <c r="N328" s="4">
        <v>9154.92</v>
      </c>
    </row>
    <row r="329" spans="1:14" x14ac:dyDescent="0.3">
      <c r="A329" s="4">
        <v>272</v>
      </c>
      <c r="B329" s="4">
        <v>45563</v>
      </c>
      <c r="C329" s="4">
        <v>1099</v>
      </c>
      <c r="D329" s="4" t="str">
        <v>Customer_122</v>
      </c>
      <c r="E329" s="4" t="str">
        <v>Corporate</v>
      </c>
      <c r="F329" s="4" t="str">
        <v>South</v>
      </c>
      <c r="G329" s="4" t="str">
        <v>Electronics</v>
      </c>
      <c r="H329" s="4" t="str">
        <v>Product_B</v>
      </c>
      <c r="I329" s="4">
        <v>4549</v>
      </c>
      <c r="J329" s="4">
        <v>3</v>
      </c>
      <c r="K329" s="4">
        <v>0.14000000000000001</v>
      </c>
      <c r="L329" s="4">
        <v>1353</v>
      </c>
      <c r="M329" s="4" t="str">
        <v>COD</v>
      </c>
      <c r="N329" s="4">
        <v>11736.42</v>
      </c>
    </row>
    <row r="330" spans="1:14" x14ac:dyDescent="0.3">
      <c r="A330" s="4">
        <v>274</v>
      </c>
      <c r="B330" s="4">
        <v>45565</v>
      </c>
      <c r="C330" s="4">
        <v>1081</v>
      </c>
      <c r="D330" s="4" t="str">
        <v>Customer_100</v>
      </c>
      <c r="E330" s="4" t="str">
        <v>Consumer</v>
      </c>
      <c r="F330" s="4" t="str">
        <v>West</v>
      </c>
      <c r="G330" s="4" t="str">
        <v>Electronics</v>
      </c>
      <c r="H330" s="4" t="str">
        <v>Product_C</v>
      </c>
      <c r="I330" s="4">
        <v>3921</v>
      </c>
      <c r="J330" s="4">
        <v>3</v>
      </c>
      <c r="K330" s="4">
        <v>0.03</v>
      </c>
      <c r="L330" s="4">
        <v>-471</v>
      </c>
      <c r="M330" s="4" t="str">
        <v>COD</v>
      </c>
      <c r="N330" s="4">
        <v>11410.11</v>
      </c>
    </row>
    <row r="331" spans="1:14" x14ac:dyDescent="0.3">
      <c r="A331" s="4">
        <v>276</v>
      </c>
      <c r="B331" s="4">
        <v>45567</v>
      </c>
      <c r="C331" s="4">
        <v>1014</v>
      </c>
      <c r="D331" s="4" t="str">
        <v>Customer_16</v>
      </c>
      <c r="E331" s="4" t="str">
        <v>Corporate</v>
      </c>
      <c r="F331" s="4" t="str">
        <v>West</v>
      </c>
      <c r="G331" s="4" t="str">
        <v>Furniture</v>
      </c>
      <c r="H331" s="4" t="str">
        <v>Product_B</v>
      </c>
      <c r="I331" s="4">
        <v>4808</v>
      </c>
      <c r="J331" s="4">
        <v>5</v>
      </c>
      <c r="K331" s="4">
        <v>0.04</v>
      </c>
      <c r="L331" s="4">
        <v>860</v>
      </c>
      <c r="M331" s="4" t="str">
        <v>COD</v>
      </c>
      <c r="N331" s="4">
        <v>23078.3999999999</v>
      </c>
    </row>
    <row r="332" spans="1:14" x14ac:dyDescent="0.3">
      <c r="A332" s="4">
        <v>280</v>
      </c>
      <c r="B332" s="4">
        <v>45571</v>
      </c>
      <c r="C332" s="4">
        <v>1028</v>
      </c>
      <c r="D332" s="4" t="str">
        <v>Customer_15</v>
      </c>
      <c r="E332" s="4" t="str">
        <v>Consumer</v>
      </c>
      <c r="F332" s="4" t="str">
        <v>West</v>
      </c>
      <c r="G332" s="4" t="str">
        <v>Electronics</v>
      </c>
      <c r="H332" s="4" t="str">
        <v>Product_A</v>
      </c>
      <c r="I332" s="4">
        <v>4041</v>
      </c>
      <c r="J332" s="4">
        <v>2</v>
      </c>
      <c r="K332" s="4">
        <v>0.09</v>
      </c>
      <c r="L332" s="4">
        <v>-358</v>
      </c>
      <c r="M332" s="4" t="str">
        <v>UPI</v>
      </c>
      <c r="N332" s="4">
        <v>7354.62</v>
      </c>
    </row>
    <row r="333" spans="1:14" x14ac:dyDescent="0.3">
      <c r="A333" s="4">
        <v>281</v>
      </c>
      <c r="B333" s="4">
        <v>45572</v>
      </c>
      <c r="C333" s="4">
        <v>1080</v>
      </c>
      <c r="D333" s="4" t="str">
        <v>Customer_68</v>
      </c>
      <c r="E333" s="4" t="str">
        <v>Consumer</v>
      </c>
      <c r="F333" s="4" t="str">
        <v>North</v>
      </c>
      <c r="G333" s="4" t="str">
        <v>Furniture</v>
      </c>
      <c r="H333" s="4" t="str">
        <v>Product_D</v>
      </c>
      <c r="I333" s="4">
        <v>2216</v>
      </c>
      <c r="J333" s="4">
        <v>8</v>
      </c>
      <c r="K333" s="4">
        <v>0.3</v>
      </c>
      <c r="L333" s="4">
        <v>618</v>
      </c>
      <c r="M333" s="4" t="str">
        <v>COD</v>
      </c>
      <c r="N333" s="4">
        <v>12409.5999999999</v>
      </c>
    </row>
    <row r="334" spans="1:14" x14ac:dyDescent="0.3">
      <c r="A334" s="4">
        <v>282</v>
      </c>
      <c r="B334" s="4">
        <v>45573</v>
      </c>
      <c r="C334" s="4">
        <v>1024</v>
      </c>
      <c r="D334" s="4" t="str">
        <v>Customer_25</v>
      </c>
      <c r="E334" s="4" t="str">
        <v>Consumer</v>
      </c>
      <c r="F334" s="4" t="str">
        <v>North</v>
      </c>
      <c r="G334" s="4" t="str">
        <v>Furniture</v>
      </c>
      <c r="H334" s="4" t="str">
        <v>Product_A</v>
      </c>
      <c r="I334" s="4">
        <v>2168</v>
      </c>
      <c r="J334" s="4">
        <v>8</v>
      </c>
      <c r="K334" s="4">
        <v>0</v>
      </c>
      <c r="L334" s="4">
        <v>853</v>
      </c>
      <c r="M334" s="4" t="str">
        <v>Card</v>
      </c>
      <c r="N334" s="4">
        <v>17344</v>
      </c>
    </row>
    <row r="335" spans="1:14" x14ac:dyDescent="0.3">
      <c r="A335" s="4">
        <v>284</v>
      </c>
      <c r="B335" s="4">
        <v>45575</v>
      </c>
      <c r="C335" s="4">
        <v>1049</v>
      </c>
      <c r="D335" s="4" t="str">
        <v>Customer_12</v>
      </c>
      <c r="E335" s="4" t="str">
        <v>Corporate</v>
      </c>
      <c r="F335" s="4" t="str">
        <v>South</v>
      </c>
      <c r="G335" s="4" t="str">
        <v>Electronics</v>
      </c>
      <c r="H335" s="4" t="str">
        <v>Product_B</v>
      </c>
      <c r="I335" s="4">
        <v>2743</v>
      </c>
      <c r="J335" s="4">
        <v>5</v>
      </c>
      <c r="K335" s="4">
        <v>0.18</v>
      </c>
      <c r="L335" s="4">
        <v>-288</v>
      </c>
      <c r="M335" s="4" t="str">
        <v>COD</v>
      </c>
      <c r="N335" s="4">
        <v>11246.3</v>
      </c>
    </row>
    <row r="336" spans="1:14" x14ac:dyDescent="0.3">
      <c r="A336" s="4">
        <v>285</v>
      </c>
      <c r="B336" s="4">
        <v>45576</v>
      </c>
      <c r="C336" s="4">
        <v>1080</v>
      </c>
      <c r="D336" s="4" t="str">
        <v>Customer_71</v>
      </c>
      <c r="E336" s="4" t="str">
        <v>Corporate</v>
      </c>
      <c r="F336" s="4" t="str">
        <v>North</v>
      </c>
      <c r="G336" s="4" t="str">
        <v>Clothing</v>
      </c>
      <c r="H336" s="4" t="str">
        <v>Product_C</v>
      </c>
      <c r="I336" s="4">
        <v>3747</v>
      </c>
      <c r="J336" s="4">
        <v>2</v>
      </c>
      <c r="K336" s="4">
        <v>0.1</v>
      </c>
      <c r="L336" s="4">
        <v>-334</v>
      </c>
      <c r="M336" s="4" t="str">
        <v>Card</v>
      </c>
      <c r="N336" s="4">
        <v>6744.6</v>
      </c>
    </row>
    <row r="337" spans="1:14" x14ac:dyDescent="0.3">
      <c r="A337" s="4">
        <v>286</v>
      </c>
      <c r="B337" s="4">
        <v>45577</v>
      </c>
      <c r="C337" s="4">
        <v>1084</v>
      </c>
      <c r="D337" s="4" t="str">
        <v>Customer_152</v>
      </c>
      <c r="E337" s="4" t="str">
        <v>Corporate</v>
      </c>
      <c r="F337" s="4" t="str">
        <v>South</v>
      </c>
      <c r="G337" s="4" t="str">
        <v>Electronics</v>
      </c>
      <c r="H337" s="4" t="str">
        <v>Product_C</v>
      </c>
      <c r="I337" s="4">
        <v>3612</v>
      </c>
      <c r="J337" s="4">
        <v>9</v>
      </c>
      <c r="K337" s="4">
        <v>0.14000000000000001</v>
      </c>
      <c r="L337" s="4">
        <v>74</v>
      </c>
      <c r="M337" s="4" t="str">
        <v>COD</v>
      </c>
      <c r="N337" s="4">
        <v>27956.880000000001</v>
      </c>
    </row>
    <row r="338" spans="1:14" x14ac:dyDescent="0.3">
      <c r="A338" s="4">
        <v>288</v>
      </c>
      <c r="B338" s="4">
        <v>45579</v>
      </c>
      <c r="C338" s="4">
        <v>1004</v>
      </c>
      <c r="D338" s="4" t="str">
        <v>Customer_112</v>
      </c>
      <c r="E338" s="4" t="str">
        <v>Corporate</v>
      </c>
      <c r="F338" s="4" t="str">
        <v>South</v>
      </c>
      <c r="G338" s="4" t="str">
        <v>Electronics</v>
      </c>
      <c r="H338" s="4" t="str">
        <v>Product_A</v>
      </c>
      <c r="I338" s="4">
        <v>2607</v>
      </c>
      <c r="J338" s="4">
        <v>7</v>
      </c>
      <c r="K338" s="4">
        <v>0.03</v>
      </c>
      <c r="L338" s="4">
        <v>431</v>
      </c>
      <c r="M338" s="4" t="str">
        <v>UPI</v>
      </c>
      <c r="N338" s="4">
        <v>17701.53</v>
      </c>
    </row>
    <row r="339" spans="1:14" x14ac:dyDescent="0.3">
      <c r="A339" s="4">
        <v>289</v>
      </c>
      <c r="B339" s="4">
        <v>45580</v>
      </c>
      <c r="C339" s="4">
        <v>1021</v>
      </c>
      <c r="D339" s="4" t="str">
        <v>Customer_169</v>
      </c>
      <c r="E339" s="4" t="str">
        <v>Consumer</v>
      </c>
      <c r="F339" s="4" t="str">
        <v>South</v>
      </c>
      <c r="G339" s="4" t="str">
        <v>Furniture</v>
      </c>
      <c r="H339" s="4" t="str">
        <v>Product_C</v>
      </c>
      <c r="I339" s="4">
        <v>3261</v>
      </c>
      <c r="J339" s="4">
        <v>2</v>
      </c>
      <c r="K339" s="4">
        <v>0.19</v>
      </c>
      <c r="L339" s="4">
        <v>1891</v>
      </c>
      <c r="M339" s="4" t="str">
        <v>COD</v>
      </c>
      <c r="N339" s="4">
        <v>5282.82</v>
      </c>
    </row>
    <row r="340" spans="1:14" x14ac:dyDescent="0.3">
      <c r="A340" s="4">
        <v>290</v>
      </c>
      <c r="B340" s="4">
        <v>45581</v>
      </c>
      <c r="C340" s="4">
        <v>1032</v>
      </c>
      <c r="D340" s="4" t="str">
        <v>Customer_60</v>
      </c>
      <c r="E340" s="4" t="str">
        <v>Corporate</v>
      </c>
      <c r="F340" s="4" t="str">
        <v>West</v>
      </c>
      <c r="G340" s="4" t="str">
        <v>Furniture</v>
      </c>
      <c r="H340" s="4" t="str">
        <v>Product_D</v>
      </c>
      <c r="I340" s="4">
        <v>3495</v>
      </c>
      <c r="J340" s="4">
        <v>2</v>
      </c>
      <c r="K340" s="4">
        <v>0.25</v>
      </c>
      <c r="L340" s="4">
        <v>1055</v>
      </c>
      <c r="M340" s="4" t="str">
        <v>UPI</v>
      </c>
      <c r="N340" s="4">
        <v>5242.5</v>
      </c>
    </row>
    <row r="341" spans="1:14" x14ac:dyDescent="0.3">
      <c r="A341" s="4">
        <v>295</v>
      </c>
      <c r="B341" s="4">
        <v>45586</v>
      </c>
      <c r="C341" s="4">
        <v>1090</v>
      </c>
      <c r="D341" s="4" t="str">
        <v>Customer_14</v>
      </c>
      <c r="E341" s="4" t="str">
        <v>Corporate</v>
      </c>
      <c r="F341" s="4" t="str">
        <v>South</v>
      </c>
      <c r="G341" s="4" t="str">
        <v>Clothing</v>
      </c>
      <c r="H341" s="4" t="str">
        <v>Product_B</v>
      </c>
      <c r="I341" s="4">
        <v>4106</v>
      </c>
      <c r="J341" s="4">
        <v>3</v>
      </c>
      <c r="K341" s="4">
        <v>0.27</v>
      </c>
      <c r="L341" s="4">
        <v>1883</v>
      </c>
      <c r="M341" s="4" t="str">
        <v>UPI</v>
      </c>
      <c r="N341" s="4">
        <v>8992.14</v>
      </c>
    </row>
    <row r="342" spans="1:14" x14ac:dyDescent="0.3">
      <c r="A342" s="4">
        <v>296</v>
      </c>
      <c r="B342" s="4">
        <v>45587</v>
      </c>
      <c r="C342" s="4">
        <v>1035</v>
      </c>
      <c r="D342" s="4" t="str">
        <v>Customer_102</v>
      </c>
      <c r="E342" s="4" t="str">
        <v>Corporate</v>
      </c>
      <c r="F342" s="4" t="str">
        <v>East</v>
      </c>
      <c r="G342" s="4" t="str">
        <v>Clothing</v>
      </c>
      <c r="H342" s="4" t="str">
        <v>Product_A</v>
      </c>
      <c r="I342" s="4">
        <v>3188</v>
      </c>
      <c r="J342" s="4">
        <v>9</v>
      </c>
      <c r="K342" s="4">
        <v>7.0000000000000007E-2</v>
      </c>
      <c r="L342" s="4">
        <v>956</v>
      </c>
      <c r="M342" s="4" t="str">
        <v>COD</v>
      </c>
      <c r="N342" s="4">
        <v>26683.559999999899</v>
      </c>
    </row>
    <row r="343" spans="1:14" x14ac:dyDescent="0.3">
      <c r="A343" s="4">
        <v>297</v>
      </c>
      <c r="B343" s="4">
        <v>45588</v>
      </c>
      <c r="C343" s="4">
        <v>1058</v>
      </c>
      <c r="D343" s="4" t="str">
        <v>Customer_82</v>
      </c>
      <c r="E343" s="4" t="str">
        <v>Consumer</v>
      </c>
      <c r="F343" s="4" t="str">
        <v>South</v>
      </c>
      <c r="G343" s="4" t="str">
        <v>Clothing</v>
      </c>
      <c r="H343" s="4" t="str">
        <v>Product_D</v>
      </c>
      <c r="I343" s="4">
        <v>3427</v>
      </c>
      <c r="J343" s="4">
        <v>6</v>
      </c>
      <c r="K343" s="4">
        <v>0.27</v>
      </c>
      <c r="L343" s="4">
        <v>803</v>
      </c>
      <c r="M343" s="4" t="str">
        <v>Card</v>
      </c>
      <c r="N343" s="4">
        <v>15010.26</v>
      </c>
    </row>
    <row r="344" spans="1:14" x14ac:dyDescent="0.3">
      <c r="A344" s="4">
        <v>299</v>
      </c>
      <c r="B344" s="4">
        <v>45590</v>
      </c>
      <c r="C344" s="4">
        <v>1001</v>
      </c>
      <c r="D344" s="4" t="str">
        <v>Customer_152</v>
      </c>
      <c r="E344" s="4" t="str">
        <v>Corporate</v>
      </c>
      <c r="F344" s="4" t="str">
        <v>North</v>
      </c>
      <c r="G344" s="4" t="str">
        <v>Furniture</v>
      </c>
      <c r="H344" s="4" t="str">
        <v>Product_B</v>
      </c>
      <c r="I344" s="4">
        <v>3346</v>
      </c>
      <c r="J344" s="4">
        <v>9</v>
      </c>
      <c r="K344" s="4">
        <v>0.28999999999999998</v>
      </c>
      <c r="L344" s="4">
        <v>784</v>
      </c>
      <c r="M344" s="4" t="str">
        <v>UPI</v>
      </c>
      <c r="N344" s="4">
        <v>21380.94</v>
      </c>
    </row>
    <row r="345" spans="1:14" x14ac:dyDescent="0.3">
      <c r="A345" s="4">
        <v>300</v>
      </c>
      <c r="B345" s="4">
        <v>45591</v>
      </c>
      <c r="C345" s="4">
        <v>1052</v>
      </c>
      <c r="D345" s="4" t="str">
        <v>Customer_25</v>
      </c>
      <c r="E345" s="4" t="str">
        <v>Corporate</v>
      </c>
      <c r="F345" s="4" t="str">
        <v>North</v>
      </c>
      <c r="G345" s="4" t="str">
        <v>Clothing</v>
      </c>
      <c r="H345" s="4" t="str">
        <v>Product_A</v>
      </c>
      <c r="I345" s="4">
        <v>1300</v>
      </c>
      <c r="J345" s="4">
        <v>7</v>
      </c>
      <c r="K345" s="4">
        <v>0.25</v>
      </c>
      <c r="L345" s="4">
        <v>-190</v>
      </c>
      <c r="M345" s="4" t="str">
        <v>UPI</v>
      </c>
      <c r="N345" s="4">
        <v>6825</v>
      </c>
    </row>
    <row r="346" spans="1:14" x14ac:dyDescent="0.3">
      <c r="A346" s="4">
        <v>301</v>
      </c>
      <c r="B346" s="4">
        <v>45592</v>
      </c>
      <c r="C346" s="4">
        <v>1017</v>
      </c>
      <c r="D346" s="4" t="str">
        <v>Customer_109</v>
      </c>
      <c r="E346" s="4" t="str">
        <v>Corporate</v>
      </c>
      <c r="F346" s="4" t="str">
        <v>North</v>
      </c>
      <c r="G346" s="4" t="str">
        <v>Clothing</v>
      </c>
      <c r="H346" s="4" t="str">
        <v>Product_A</v>
      </c>
      <c r="I346" s="4">
        <v>3165</v>
      </c>
      <c r="J346" s="4">
        <v>3</v>
      </c>
      <c r="K346" s="4">
        <v>0</v>
      </c>
      <c r="L346" s="4">
        <v>286</v>
      </c>
      <c r="M346" s="4" t="str">
        <v>Card</v>
      </c>
      <c r="N346" s="4">
        <v>9495</v>
      </c>
    </row>
    <row r="347" spans="1:14" x14ac:dyDescent="0.3">
      <c r="A347" s="4">
        <v>302</v>
      </c>
      <c r="B347" s="4">
        <v>45593</v>
      </c>
      <c r="C347" s="4">
        <v>1045</v>
      </c>
      <c r="D347" s="4" t="str">
        <v>Customer_108</v>
      </c>
      <c r="E347" s="4" t="str">
        <v>Corporate</v>
      </c>
      <c r="F347" s="4" t="str">
        <v>South</v>
      </c>
      <c r="G347" s="4" t="str">
        <v>Clothing</v>
      </c>
      <c r="H347" s="4" t="str">
        <v>Product_A</v>
      </c>
      <c r="I347" s="4">
        <v>4359</v>
      </c>
      <c r="J347" s="4">
        <v>9</v>
      </c>
      <c r="K347" s="4">
        <v>0</v>
      </c>
      <c r="L347" s="4">
        <v>198</v>
      </c>
      <c r="M347" s="4" t="str">
        <v>Card</v>
      </c>
      <c r="N347" s="4">
        <v>39231</v>
      </c>
    </row>
    <row r="348" spans="1:14" x14ac:dyDescent="0.3">
      <c r="A348" s="4">
        <v>303</v>
      </c>
      <c r="B348" s="4">
        <v>45594</v>
      </c>
      <c r="C348" s="4">
        <v>1022</v>
      </c>
      <c r="D348" s="4" t="str">
        <v>Customer_156</v>
      </c>
      <c r="E348" s="4" t="str">
        <v>Consumer</v>
      </c>
      <c r="F348" s="4" t="str">
        <v>West</v>
      </c>
      <c r="G348" s="4" t="str">
        <v>Electronics</v>
      </c>
      <c r="H348" s="4" t="str">
        <v>Product_C</v>
      </c>
      <c r="I348" s="4">
        <v>4615</v>
      </c>
      <c r="J348" s="4">
        <v>4</v>
      </c>
      <c r="K348" s="4">
        <v>0.22</v>
      </c>
      <c r="L348" s="4">
        <v>247</v>
      </c>
      <c r="M348" s="4" t="str">
        <v>COD</v>
      </c>
      <c r="N348" s="4">
        <v>14398.8</v>
      </c>
    </row>
    <row r="349" spans="1:14" x14ac:dyDescent="0.3">
      <c r="A349" s="4">
        <v>304</v>
      </c>
      <c r="B349" s="4">
        <v>45595</v>
      </c>
      <c r="C349" s="4">
        <v>1053</v>
      </c>
      <c r="D349" s="4" t="str">
        <v>Customer_88</v>
      </c>
      <c r="E349" s="4" t="str">
        <v>Consumer</v>
      </c>
      <c r="F349" s="4" t="str">
        <v>North</v>
      </c>
      <c r="G349" s="4" t="str">
        <v>Clothing</v>
      </c>
      <c r="H349" s="4" t="str">
        <v>Product_D</v>
      </c>
      <c r="I349" s="4">
        <v>3662</v>
      </c>
      <c r="J349" s="4">
        <v>3</v>
      </c>
      <c r="K349" s="4">
        <v>0.16</v>
      </c>
      <c r="L349" s="4">
        <v>1555</v>
      </c>
      <c r="M349" s="4" t="str">
        <v>COD</v>
      </c>
      <c r="N349" s="4">
        <v>9228.24</v>
      </c>
    </row>
    <row r="350" spans="1:14" x14ac:dyDescent="0.3">
      <c r="A350" s="4">
        <v>306</v>
      </c>
      <c r="B350" s="4">
        <v>45597</v>
      </c>
      <c r="C350" s="4">
        <v>1074</v>
      </c>
      <c r="D350" s="4" t="str">
        <v>Customer_57</v>
      </c>
      <c r="E350" s="4" t="str">
        <v>Corporate</v>
      </c>
      <c r="F350" s="4" t="str">
        <v>South</v>
      </c>
      <c r="G350" s="4" t="str">
        <v>Electronics</v>
      </c>
      <c r="H350" s="4" t="str">
        <v>Product_C</v>
      </c>
      <c r="I350" s="4">
        <v>4005</v>
      </c>
      <c r="J350" s="4">
        <v>3</v>
      </c>
      <c r="K350" s="4">
        <v>0.18</v>
      </c>
      <c r="L350" s="4">
        <v>940</v>
      </c>
      <c r="M350" s="4" t="str">
        <v>COD</v>
      </c>
      <c r="N350" s="4">
        <v>9852.2999999999993</v>
      </c>
    </row>
    <row r="351" spans="1:14" x14ac:dyDescent="0.3">
      <c r="A351" s="4">
        <v>308</v>
      </c>
      <c r="B351" s="4">
        <v>45599</v>
      </c>
      <c r="C351" s="4">
        <v>1035</v>
      </c>
      <c r="D351" s="4" t="str">
        <v>Customer_170</v>
      </c>
      <c r="E351" s="4" t="str">
        <v>Consumer</v>
      </c>
      <c r="F351" s="4" t="str">
        <v>North</v>
      </c>
      <c r="G351" s="4" t="str">
        <v>Clothing</v>
      </c>
      <c r="H351" s="4" t="str">
        <v>Product_A</v>
      </c>
      <c r="I351" s="4">
        <v>3660</v>
      </c>
      <c r="J351" s="4">
        <v>3</v>
      </c>
      <c r="K351" s="4">
        <v>0.24</v>
      </c>
      <c r="L351" s="4">
        <v>1824</v>
      </c>
      <c r="M351" s="4" t="str">
        <v>COD</v>
      </c>
      <c r="N351" s="4">
        <v>8344.7999999999993</v>
      </c>
    </row>
    <row r="352" spans="1:14" x14ac:dyDescent="0.3">
      <c r="A352" s="4">
        <v>309</v>
      </c>
      <c r="B352" s="4">
        <v>45600</v>
      </c>
      <c r="C352" s="4">
        <v>1083</v>
      </c>
      <c r="D352" s="4" t="str">
        <v>Customer_67</v>
      </c>
      <c r="E352" s="4" t="str">
        <v>Corporate</v>
      </c>
      <c r="F352" s="4" t="str">
        <v>East</v>
      </c>
      <c r="G352" s="4" t="str">
        <v>Furniture</v>
      </c>
      <c r="H352" s="4" t="str">
        <v>Product_D</v>
      </c>
      <c r="I352" s="4">
        <v>2023</v>
      </c>
      <c r="J352" s="4">
        <v>3</v>
      </c>
      <c r="K352" s="4">
        <v>0.01</v>
      </c>
      <c r="L352" s="4">
        <v>356</v>
      </c>
      <c r="M352" s="4" t="str">
        <v>Card</v>
      </c>
      <c r="N352" s="4">
        <v>6008.31</v>
      </c>
    </row>
    <row r="353" spans="1:14" x14ac:dyDescent="0.3">
      <c r="A353" s="4">
        <v>310</v>
      </c>
      <c r="B353" s="4">
        <v>45601</v>
      </c>
      <c r="C353" s="4">
        <v>1094</v>
      </c>
      <c r="D353" s="4" t="str">
        <v>Customer_140</v>
      </c>
      <c r="E353" s="4" t="str">
        <v>Consumer</v>
      </c>
      <c r="F353" s="4" t="str">
        <v>North</v>
      </c>
      <c r="G353" s="4" t="str">
        <v>Clothing</v>
      </c>
      <c r="H353" s="4" t="str">
        <v>Product_B</v>
      </c>
      <c r="I353" s="4">
        <v>3079</v>
      </c>
      <c r="J353" s="4">
        <v>5</v>
      </c>
      <c r="K353" s="4">
        <v>0.24</v>
      </c>
      <c r="L353" s="4">
        <v>1522</v>
      </c>
      <c r="M353" s="4" t="str">
        <v>UPI</v>
      </c>
      <c r="N353" s="4">
        <v>11700.2</v>
      </c>
    </row>
    <row r="354" spans="1:14" x14ac:dyDescent="0.3">
      <c r="A354" s="4">
        <v>311</v>
      </c>
      <c r="B354" s="4">
        <v>45602</v>
      </c>
      <c r="C354" s="4">
        <v>1071</v>
      </c>
      <c r="D354" s="4" t="str">
        <v>Customer_164</v>
      </c>
      <c r="E354" s="4" t="str">
        <v>Corporate</v>
      </c>
      <c r="F354" s="4" t="str">
        <v>South</v>
      </c>
      <c r="G354" s="4" t="str">
        <v>Furniture</v>
      </c>
      <c r="H354" s="4" t="str">
        <v>Product_B</v>
      </c>
      <c r="I354" s="4">
        <v>4122</v>
      </c>
      <c r="J354" s="4">
        <v>9</v>
      </c>
      <c r="K354" s="4">
        <v>0.2</v>
      </c>
      <c r="L354" s="4">
        <v>-297</v>
      </c>
      <c r="M354" s="4" t="str">
        <v>Card</v>
      </c>
      <c r="N354" s="4">
        <v>29678.400000000001</v>
      </c>
    </row>
    <row r="355" spans="1:14" x14ac:dyDescent="0.3">
      <c r="A355" s="4">
        <v>312</v>
      </c>
      <c r="B355" s="4">
        <v>45603</v>
      </c>
      <c r="C355" s="4">
        <v>1039</v>
      </c>
      <c r="D355" s="4" t="str">
        <v>Customer_69</v>
      </c>
      <c r="E355" s="4" t="str">
        <v>Corporate</v>
      </c>
      <c r="F355" s="4" t="str">
        <v>North</v>
      </c>
      <c r="G355" s="4" t="str">
        <v>Clothing</v>
      </c>
      <c r="H355" s="4" t="str">
        <v>Product_A</v>
      </c>
      <c r="I355" s="4">
        <v>4319</v>
      </c>
      <c r="J355" s="4">
        <v>7</v>
      </c>
      <c r="K355" s="4">
        <v>0.2</v>
      </c>
      <c r="L355" s="4">
        <v>1668</v>
      </c>
      <c r="M355" s="4" t="str">
        <v>UPI</v>
      </c>
      <c r="N355" s="4">
        <v>24186.400000000001</v>
      </c>
    </row>
    <row r="356" spans="1:14" x14ac:dyDescent="0.3">
      <c r="A356" s="4">
        <v>313</v>
      </c>
      <c r="B356" s="4">
        <v>45604</v>
      </c>
      <c r="C356" s="4">
        <v>1087</v>
      </c>
      <c r="D356" s="4" t="str">
        <v>Customer_83</v>
      </c>
      <c r="E356" s="4" t="str">
        <v>Consumer</v>
      </c>
      <c r="F356" s="4" t="str">
        <v>West</v>
      </c>
      <c r="G356" s="4" t="str">
        <v>Clothing</v>
      </c>
      <c r="H356" s="4" t="str">
        <v>Product_D</v>
      </c>
      <c r="I356" s="4">
        <v>4618</v>
      </c>
      <c r="J356" s="4">
        <v>3</v>
      </c>
      <c r="K356" s="4">
        <v>0.01</v>
      </c>
      <c r="L356" s="4">
        <v>1802</v>
      </c>
      <c r="M356" s="4" t="str">
        <v>COD</v>
      </c>
      <c r="N356" s="4">
        <v>13715.46</v>
      </c>
    </row>
    <row r="357" spans="1:14" x14ac:dyDescent="0.3">
      <c r="A357" s="4">
        <v>315</v>
      </c>
      <c r="B357" s="4">
        <v>45606</v>
      </c>
      <c r="C357" s="4">
        <v>1078</v>
      </c>
      <c r="D357" s="4" t="str">
        <v>Customer_91</v>
      </c>
      <c r="E357" s="4" t="str">
        <v>Corporate</v>
      </c>
      <c r="F357" s="4" t="str">
        <v>East</v>
      </c>
      <c r="G357" s="4" t="str">
        <v>Electronics</v>
      </c>
      <c r="H357" s="4" t="str">
        <v>Product_D</v>
      </c>
      <c r="I357" s="4">
        <v>3227</v>
      </c>
      <c r="J357" s="4">
        <v>4</v>
      </c>
      <c r="K357" s="4">
        <v>0.15</v>
      </c>
      <c r="L357" s="4">
        <v>200</v>
      </c>
      <c r="M357" s="4" t="str">
        <v>COD</v>
      </c>
      <c r="N357" s="4">
        <v>10971.8</v>
      </c>
    </row>
    <row r="358" spans="1:14" x14ac:dyDescent="0.3">
      <c r="A358" s="4">
        <v>316</v>
      </c>
      <c r="B358" s="4">
        <v>45607</v>
      </c>
      <c r="C358" s="4">
        <v>1029</v>
      </c>
      <c r="D358" s="4" t="str">
        <v>Customer_17</v>
      </c>
      <c r="E358" s="4" t="str">
        <v>Corporate</v>
      </c>
      <c r="F358" s="4" t="str">
        <v>North</v>
      </c>
      <c r="G358" s="4" t="str">
        <v>Electronics</v>
      </c>
      <c r="H358" s="4" t="str">
        <v>Product_B</v>
      </c>
      <c r="I358" s="4">
        <v>4116</v>
      </c>
      <c r="J358" s="4">
        <v>7</v>
      </c>
      <c r="K358" s="4">
        <v>0.13</v>
      </c>
      <c r="L358" s="4">
        <v>1791</v>
      </c>
      <c r="M358" s="4" t="str">
        <v>UPI</v>
      </c>
      <c r="N358" s="4">
        <v>25066.44</v>
      </c>
    </row>
    <row r="359" spans="1:14" x14ac:dyDescent="0.3">
      <c r="A359" s="4">
        <v>317</v>
      </c>
      <c r="B359" s="4">
        <v>45608</v>
      </c>
      <c r="C359" s="4">
        <v>1019</v>
      </c>
      <c r="D359" s="4" t="str">
        <v>Customer_171</v>
      </c>
      <c r="E359" s="4" t="str">
        <v>Corporate</v>
      </c>
      <c r="F359" s="4" t="str">
        <v>East</v>
      </c>
      <c r="G359" s="4" t="str">
        <v>Electronics</v>
      </c>
      <c r="H359" s="4" t="str">
        <v>Product_C</v>
      </c>
      <c r="I359" s="4">
        <v>1265</v>
      </c>
      <c r="J359" s="4">
        <v>4</v>
      </c>
      <c r="K359" s="4">
        <v>0.01</v>
      </c>
      <c r="L359" s="4">
        <v>458</v>
      </c>
      <c r="M359" s="4" t="str">
        <v>Card</v>
      </c>
      <c r="N359" s="4">
        <v>5009.3999999999996</v>
      </c>
    </row>
    <row r="360" spans="1:14" x14ac:dyDescent="0.3">
      <c r="A360" s="4">
        <v>318</v>
      </c>
      <c r="B360" s="4">
        <v>45609</v>
      </c>
      <c r="C360" s="4">
        <v>1037</v>
      </c>
      <c r="D360" s="4" t="str">
        <v>Customer_92</v>
      </c>
      <c r="E360" s="4" t="str">
        <v>Corporate</v>
      </c>
      <c r="F360" s="4" t="str">
        <v>East</v>
      </c>
      <c r="G360" s="4" t="str">
        <v>Furniture</v>
      </c>
      <c r="H360" s="4" t="str">
        <v>Product_D</v>
      </c>
      <c r="I360" s="4">
        <v>4336</v>
      </c>
      <c r="J360" s="4">
        <v>9</v>
      </c>
      <c r="K360" s="4">
        <v>0.1</v>
      </c>
      <c r="L360" s="4">
        <v>-99</v>
      </c>
      <c r="M360" s="4" t="str">
        <v>COD</v>
      </c>
      <c r="N360" s="4">
        <v>35121.599999999999</v>
      </c>
    </row>
    <row r="361" spans="1:14" x14ac:dyDescent="0.3">
      <c r="A361" s="4">
        <v>320</v>
      </c>
      <c r="B361" s="4">
        <v>45611</v>
      </c>
      <c r="C361" s="4">
        <v>1005</v>
      </c>
      <c r="D361" s="4" t="str">
        <v>Customer_22</v>
      </c>
      <c r="E361" s="4" t="str">
        <v>Corporate</v>
      </c>
      <c r="F361" s="4" t="str">
        <v>South</v>
      </c>
      <c r="G361" s="4" t="str">
        <v>Clothing</v>
      </c>
      <c r="H361" s="4" t="str">
        <v>Product_A</v>
      </c>
      <c r="I361" s="4">
        <v>4067</v>
      </c>
      <c r="J361" s="4">
        <v>7</v>
      </c>
      <c r="K361" s="4">
        <v>0.09</v>
      </c>
      <c r="L361" s="4">
        <v>1720</v>
      </c>
      <c r="M361" s="4" t="str">
        <v>UPI</v>
      </c>
      <c r="N361" s="4">
        <v>25906.79</v>
      </c>
    </row>
    <row r="362" spans="1:14" x14ac:dyDescent="0.3">
      <c r="A362" s="4">
        <v>322</v>
      </c>
      <c r="B362" s="4">
        <v>45613</v>
      </c>
      <c r="C362" s="4">
        <v>1035</v>
      </c>
      <c r="D362" s="4" t="str">
        <v>Customer_138</v>
      </c>
      <c r="E362" s="4" t="str">
        <v>Consumer</v>
      </c>
      <c r="F362" s="4" t="str">
        <v>North</v>
      </c>
      <c r="G362" s="4" t="str">
        <v>Electronics</v>
      </c>
      <c r="H362" s="4" t="str">
        <v>Product_D</v>
      </c>
      <c r="I362" s="4">
        <v>3410</v>
      </c>
      <c r="J362" s="4">
        <v>5</v>
      </c>
      <c r="K362" s="4">
        <v>0.2</v>
      </c>
      <c r="L362" s="4">
        <v>1549</v>
      </c>
      <c r="M362" s="4" t="str">
        <v>Card</v>
      </c>
      <c r="N362" s="4">
        <v>13640</v>
      </c>
    </row>
    <row r="363" spans="1:14" x14ac:dyDescent="0.3">
      <c r="A363" s="4">
        <v>325</v>
      </c>
      <c r="B363" s="4">
        <v>45616</v>
      </c>
      <c r="C363" s="4">
        <v>1097</v>
      </c>
      <c r="D363" s="4" t="str">
        <v>Customer_17</v>
      </c>
      <c r="E363" s="4" t="str">
        <v>Consumer</v>
      </c>
      <c r="F363" s="4" t="str">
        <v>South</v>
      </c>
      <c r="G363" s="4" t="str">
        <v>Furniture</v>
      </c>
      <c r="H363" s="4" t="str">
        <v>Product_C</v>
      </c>
      <c r="I363" s="4">
        <v>4379</v>
      </c>
      <c r="J363" s="4">
        <v>5</v>
      </c>
      <c r="K363" s="4">
        <v>0.17</v>
      </c>
      <c r="L363" s="4">
        <v>884</v>
      </c>
      <c r="M363" s="4" t="str">
        <v>UPI</v>
      </c>
      <c r="N363" s="4">
        <v>18172.849999999999</v>
      </c>
    </row>
    <row r="364" spans="1:14" x14ac:dyDescent="0.3">
      <c r="A364" s="4">
        <v>327</v>
      </c>
      <c r="B364" s="4">
        <v>45618</v>
      </c>
      <c r="C364" s="4">
        <v>1070</v>
      </c>
      <c r="D364" s="4" t="str">
        <v>Customer_191</v>
      </c>
      <c r="E364" s="4" t="str">
        <v>Consumer</v>
      </c>
      <c r="F364" s="4" t="str">
        <v>East</v>
      </c>
      <c r="G364" s="4" t="str">
        <v>Furniture</v>
      </c>
      <c r="H364" s="4" t="str">
        <v>Product_B</v>
      </c>
      <c r="I364" s="4">
        <v>2260</v>
      </c>
      <c r="J364" s="4">
        <v>3</v>
      </c>
      <c r="K364" s="4">
        <v>0.11</v>
      </c>
      <c r="L364" s="4">
        <v>1691</v>
      </c>
      <c r="M364" s="4" t="str">
        <v>UPI</v>
      </c>
      <c r="N364" s="4">
        <v>6034.2</v>
      </c>
    </row>
    <row r="365" spans="1:14" x14ac:dyDescent="0.3">
      <c r="A365" s="4">
        <v>328</v>
      </c>
      <c r="B365" s="4">
        <v>45619</v>
      </c>
      <c r="C365" s="4">
        <v>1058</v>
      </c>
      <c r="D365" s="4" t="str">
        <v>Customer_198</v>
      </c>
      <c r="E365" s="4" t="str">
        <v>Consumer</v>
      </c>
      <c r="F365" s="4" t="str">
        <v>West</v>
      </c>
      <c r="G365" s="4" t="str">
        <v>Furniture</v>
      </c>
      <c r="H365" s="4" t="str">
        <v>Product_C</v>
      </c>
      <c r="I365" s="4">
        <v>4341</v>
      </c>
      <c r="J365" s="4">
        <v>7</v>
      </c>
      <c r="K365" s="4">
        <v>0.08</v>
      </c>
      <c r="L365" s="4">
        <v>-164</v>
      </c>
      <c r="M365" s="4" t="str">
        <v>COD</v>
      </c>
      <c r="N365" s="4">
        <v>27956.04</v>
      </c>
    </row>
    <row r="366" spans="1:14" x14ac:dyDescent="0.3">
      <c r="A366" s="4">
        <v>329</v>
      </c>
      <c r="B366" s="4">
        <v>45620</v>
      </c>
      <c r="C366" s="4">
        <v>1029</v>
      </c>
      <c r="D366" s="4" t="str">
        <v>Customer_178</v>
      </c>
      <c r="E366" s="4" t="str">
        <v>Consumer</v>
      </c>
      <c r="F366" s="4" t="str">
        <v>West</v>
      </c>
      <c r="G366" s="4" t="str">
        <v>Electronics</v>
      </c>
      <c r="H366" s="4" t="str">
        <v>Product_C</v>
      </c>
      <c r="I366" s="4">
        <v>2929</v>
      </c>
      <c r="J366" s="4">
        <v>6</v>
      </c>
      <c r="K366" s="4">
        <v>0.08</v>
      </c>
      <c r="L366" s="4">
        <v>122</v>
      </c>
      <c r="M366" s="4" t="str">
        <v>COD</v>
      </c>
      <c r="N366" s="4">
        <v>16168.08</v>
      </c>
    </row>
    <row r="367" spans="1:14" x14ac:dyDescent="0.3">
      <c r="A367" s="4">
        <v>330</v>
      </c>
      <c r="B367" s="4">
        <v>45621</v>
      </c>
      <c r="C367" s="4">
        <v>1081</v>
      </c>
      <c r="D367" s="4" t="str">
        <v>Customer_80</v>
      </c>
      <c r="E367" s="4" t="str">
        <v>Corporate</v>
      </c>
      <c r="F367" s="4" t="str">
        <v>North</v>
      </c>
      <c r="G367" s="4" t="str">
        <v>Furniture</v>
      </c>
      <c r="H367" s="4" t="str">
        <v>Product_A</v>
      </c>
      <c r="I367" s="4">
        <v>4483</v>
      </c>
      <c r="J367" s="4">
        <v>3</v>
      </c>
      <c r="K367" s="4">
        <v>0.28000000000000003</v>
      </c>
      <c r="L367" s="4">
        <v>1527</v>
      </c>
      <c r="M367" s="4" t="str">
        <v>Card</v>
      </c>
      <c r="N367" s="4">
        <v>9683.2799999999897</v>
      </c>
    </row>
    <row r="368" spans="1:14" x14ac:dyDescent="0.3">
      <c r="A368" s="4">
        <v>331</v>
      </c>
      <c r="B368" s="4">
        <v>45622</v>
      </c>
      <c r="C368" s="4">
        <v>1021</v>
      </c>
      <c r="D368" s="4" t="str">
        <v>Customer_196</v>
      </c>
      <c r="E368" s="4" t="str">
        <v>Corporate</v>
      </c>
      <c r="F368" s="4" t="str">
        <v>South</v>
      </c>
      <c r="G368" s="4" t="str">
        <v>Electronics</v>
      </c>
      <c r="H368" s="4" t="str">
        <v>Product_C</v>
      </c>
      <c r="I368" s="4">
        <v>1725</v>
      </c>
      <c r="J368" s="4">
        <v>9</v>
      </c>
      <c r="K368" s="4">
        <v>0.19</v>
      </c>
      <c r="L368" s="4">
        <v>508</v>
      </c>
      <c r="M368" s="4" t="str">
        <v>COD</v>
      </c>
      <c r="N368" s="4">
        <v>12575.25</v>
      </c>
    </row>
    <row r="369" spans="1:14" x14ac:dyDescent="0.3">
      <c r="A369" s="4">
        <v>332</v>
      </c>
      <c r="B369" s="4">
        <v>45623</v>
      </c>
      <c r="C369" s="4">
        <v>1016</v>
      </c>
      <c r="D369" s="4" t="str">
        <v>Customer_153</v>
      </c>
      <c r="E369" s="4" t="str">
        <v>Consumer</v>
      </c>
      <c r="F369" s="4" t="str">
        <v>South</v>
      </c>
      <c r="G369" s="4" t="str">
        <v>Furniture</v>
      </c>
      <c r="H369" s="4" t="str">
        <v>Product_B</v>
      </c>
      <c r="I369" s="4">
        <v>4547</v>
      </c>
      <c r="J369" s="4">
        <v>7</v>
      </c>
      <c r="K369" s="4">
        <v>0.23</v>
      </c>
      <c r="L369" s="4">
        <v>695</v>
      </c>
      <c r="M369" s="4" t="str">
        <v>UPI</v>
      </c>
      <c r="N369" s="4">
        <v>24508.33</v>
      </c>
    </row>
    <row r="370" spans="1:14" x14ac:dyDescent="0.3">
      <c r="A370" s="4">
        <v>333</v>
      </c>
      <c r="B370" s="4">
        <v>45624</v>
      </c>
      <c r="C370" s="4">
        <v>1030</v>
      </c>
      <c r="D370" s="4" t="str">
        <v>Customer_33</v>
      </c>
      <c r="E370" s="4" t="str">
        <v>Consumer</v>
      </c>
      <c r="F370" s="4" t="str">
        <v>South</v>
      </c>
      <c r="G370" s="4" t="str">
        <v>Electronics</v>
      </c>
      <c r="H370" s="4" t="str">
        <v>Product_B</v>
      </c>
      <c r="I370" s="4">
        <v>2252</v>
      </c>
      <c r="J370" s="4">
        <v>8</v>
      </c>
      <c r="K370" s="4">
        <v>0.17</v>
      </c>
      <c r="L370" s="4">
        <v>1739</v>
      </c>
      <c r="M370" s="4" t="str">
        <v>Card</v>
      </c>
      <c r="N370" s="4">
        <v>14953.279999999901</v>
      </c>
    </row>
    <row r="371" spans="1:14" x14ac:dyDescent="0.3">
      <c r="A371" s="4">
        <v>334</v>
      </c>
      <c r="B371" s="4">
        <v>45625</v>
      </c>
      <c r="C371" s="4">
        <v>1055</v>
      </c>
      <c r="D371" s="4" t="str">
        <v>Customer_1</v>
      </c>
      <c r="E371" s="4" t="str">
        <v>Corporate</v>
      </c>
      <c r="F371" s="4" t="str">
        <v>West</v>
      </c>
      <c r="G371" s="4" t="str">
        <v>Clothing</v>
      </c>
      <c r="H371" s="4" t="str">
        <v>Product_B</v>
      </c>
      <c r="I371" s="4">
        <v>3427</v>
      </c>
      <c r="J371" s="4">
        <v>4</v>
      </c>
      <c r="K371" s="4">
        <v>0.19</v>
      </c>
      <c r="L371" s="4">
        <v>922</v>
      </c>
      <c r="M371" s="4" t="str">
        <v>Card</v>
      </c>
      <c r="N371" s="4">
        <v>11103.48</v>
      </c>
    </row>
    <row r="372" spans="1:14" x14ac:dyDescent="0.3">
      <c r="A372" s="4">
        <v>336</v>
      </c>
      <c r="B372" s="4">
        <v>45627</v>
      </c>
      <c r="C372" s="4">
        <v>1030</v>
      </c>
      <c r="D372" s="4" t="str">
        <v>Customer_128</v>
      </c>
      <c r="E372" s="4" t="str">
        <v>Consumer</v>
      </c>
      <c r="F372" s="4" t="str">
        <v>South</v>
      </c>
      <c r="G372" s="4" t="str">
        <v>Electronics</v>
      </c>
      <c r="H372" s="4" t="str">
        <v>Product_D</v>
      </c>
      <c r="I372" s="4">
        <v>4426</v>
      </c>
      <c r="J372" s="4">
        <v>9</v>
      </c>
      <c r="K372" s="4">
        <v>0.27</v>
      </c>
      <c r="L372" s="4">
        <v>-447</v>
      </c>
      <c r="M372" s="4" t="str">
        <v>Card</v>
      </c>
      <c r="N372" s="4">
        <v>29078.82</v>
      </c>
    </row>
    <row r="373" spans="1:14" x14ac:dyDescent="0.3">
      <c r="A373" s="4">
        <v>337</v>
      </c>
      <c r="B373" s="4">
        <v>45628</v>
      </c>
      <c r="C373" s="4">
        <v>1012</v>
      </c>
      <c r="D373" s="4" t="str">
        <v>Customer_145</v>
      </c>
      <c r="E373" s="4" t="str">
        <v>Corporate</v>
      </c>
      <c r="F373" s="4" t="str">
        <v>West</v>
      </c>
      <c r="G373" s="4" t="str">
        <v>Clothing</v>
      </c>
      <c r="H373" s="4" t="str">
        <v>Product_C</v>
      </c>
      <c r="I373" s="4">
        <v>3915</v>
      </c>
      <c r="J373" s="4">
        <v>8</v>
      </c>
      <c r="K373" s="4">
        <v>0.15</v>
      </c>
      <c r="L373" s="4">
        <v>-47</v>
      </c>
      <c r="M373" s="4" t="str">
        <v>Card</v>
      </c>
      <c r="N373" s="4">
        <v>26622</v>
      </c>
    </row>
    <row r="374" spans="1:14" x14ac:dyDescent="0.3">
      <c r="A374" s="4">
        <v>338</v>
      </c>
      <c r="B374" s="4">
        <v>45629</v>
      </c>
      <c r="C374" s="4">
        <v>1090</v>
      </c>
      <c r="D374" s="4" t="str">
        <v>Customer_171</v>
      </c>
      <c r="E374" s="4" t="str">
        <v>Consumer</v>
      </c>
      <c r="F374" s="4" t="str">
        <v>North</v>
      </c>
      <c r="G374" s="4" t="str">
        <v>Furniture</v>
      </c>
      <c r="H374" s="4" t="str">
        <v>Product_B</v>
      </c>
      <c r="I374" s="4">
        <v>1456</v>
      </c>
      <c r="J374" s="4">
        <v>7</v>
      </c>
      <c r="K374" s="4">
        <v>0.24</v>
      </c>
      <c r="L374" s="4">
        <v>-31</v>
      </c>
      <c r="M374" s="4" t="str">
        <v>Card</v>
      </c>
      <c r="N374" s="4">
        <v>7745.92</v>
      </c>
    </row>
    <row r="375" spans="1:14" x14ac:dyDescent="0.3">
      <c r="A375" s="4">
        <v>339</v>
      </c>
      <c r="B375" s="4">
        <v>45630</v>
      </c>
      <c r="C375" s="4">
        <v>1083</v>
      </c>
      <c r="D375" s="4" t="str">
        <v>Customer_186</v>
      </c>
      <c r="E375" s="4" t="str">
        <v>Corporate</v>
      </c>
      <c r="F375" s="4" t="str">
        <v>East</v>
      </c>
      <c r="G375" s="4" t="str">
        <v>Electronics</v>
      </c>
      <c r="H375" s="4" t="str">
        <v>Product_A</v>
      </c>
      <c r="I375" s="4">
        <v>4189</v>
      </c>
      <c r="J375" s="4">
        <v>5</v>
      </c>
      <c r="K375" s="4">
        <v>0.16</v>
      </c>
      <c r="L375" s="4">
        <v>798</v>
      </c>
      <c r="M375" s="4" t="str">
        <v>Card</v>
      </c>
      <c r="N375" s="4">
        <v>17593.8</v>
      </c>
    </row>
    <row r="376" spans="1:14" x14ac:dyDescent="0.3">
      <c r="A376" s="4">
        <v>341</v>
      </c>
      <c r="B376" s="4">
        <v>45632</v>
      </c>
      <c r="C376" s="4">
        <v>1092</v>
      </c>
      <c r="D376" s="4" t="str">
        <v>Customer_54</v>
      </c>
      <c r="E376" s="4" t="str">
        <v>Corporate</v>
      </c>
      <c r="F376" s="4" t="str">
        <v>East</v>
      </c>
      <c r="G376" s="4" t="str">
        <v>Clothing</v>
      </c>
      <c r="H376" s="4" t="str">
        <v>Product_D</v>
      </c>
      <c r="I376" s="4">
        <v>2277</v>
      </c>
      <c r="J376" s="4">
        <v>8</v>
      </c>
      <c r="K376" s="4">
        <v>0.03</v>
      </c>
      <c r="L376" s="4">
        <v>297</v>
      </c>
      <c r="M376" s="4" t="str">
        <v>UPI</v>
      </c>
      <c r="N376" s="4">
        <v>17669.52</v>
      </c>
    </row>
    <row r="377" spans="1:14" x14ac:dyDescent="0.3">
      <c r="A377" s="4">
        <v>342</v>
      </c>
      <c r="B377" s="4">
        <v>45633</v>
      </c>
      <c r="C377" s="4">
        <v>1038</v>
      </c>
      <c r="D377" s="4" t="str">
        <v>Customer_114</v>
      </c>
      <c r="E377" s="4" t="str">
        <v>Corporate</v>
      </c>
      <c r="F377" s="4" t="str">
        <v>West</v>
      </c>
      <c r="G377" s="4" t="str">
        <v>Electronics</v>
      </c>
      <c r="H377" s="4" t="str">
        <v>Product_A</v>
      </c>
      <c r="I377" s="4">
        <v>1830</v>
      </c>
      <c r="J377" s="4">
        <v>4</v>
      </c>
      <c r="K377" s="4">
        <v>0.14000000000000001</v>
      </c>
      <c r="L377" s="4">
        <v>898</v>
      </c>
      <c r="M377" s="4" t="str">
        <v>COD</v>
      </c>
      <c r="N377" s="4">
        <v>6295.2</v>
      </c>
    </row>
    <row r="378" spans="1:14" x14ac:dyDescent="0.3">
      <c r="A378" s="4">
        <v>343</v>
      </c>
      <c r="B378" s="4">
        <v>45634</v>
      </c>
      <c r="C378" s="4">
        <v>1098</v>
      </c>
      <c r="D378" s="4" t="str">
        <v>Customer_83</v>
      </c>
      <c r="E378" s="4" t="str">
        <v>Corporate</v>
      </c>
      <c r="F378" s="4" t="str">
        <v>East</v>
      </c>
      <c r="G378" s="4" t="str">
        <v>Clothing</v>
      </c>
      <c r="H378" s="4" t="str">
        <v>Product_B</v>
      </c>
      <c r="I378" s="4">
        <v>2458</v>
      </c>
      <c r="J378" s="4">
        <v>9</v>
      </c>
      <c r="K378" s="4">
        <v>0.13</v>
      </c>
      <c r="L378" s="4">
        <v>-443</v>
      </c>
      <c r="M378" s="4" t="str">
        <v>COD</v>
      </c>
      <c r="N378" s="4">
        <v>19246.14</v>
      </c>
    </row>
    <row r="379" spans="1:14" x14ac:dyDescent="0.3">
      <c r="A379" s="4">
        <v>347</v>
      </c>
      <c r="B379" s="4">
        <v>45638</v>
      </c>
      <c r="C379" s="4">
        <v>1000</v>
      </c>
      <c r="D379" s="4" t="str">
        <v>Customer_152</v>
      </c>
      <c r="E379" s="4" t="str">
        <v>Consumer</v>
      </c>
      <c r="F379" s="4" t="str">
        <v>East</v>
      </c>
      <c r="G379" s="4" t="str">
        <v>Furniture</v>
      </c>
      <c r="H379" s="4" t="str">
        <v>Product_A</v>
      </c>
      <c r="I379" s="4">
        <v>4432</v>
      </c>
      <c r="J379" s="4">
        <v>5</v>
      </c>
      <c r="K379" s="4">
        <v>0.28000000000000003</v>
      </c>
      <c r="L379" s="4">
        <v>1809</v>
      </c>
      <c r="M379" s="4" t="str">
        <v>UPI</v>
      </c>
      <c r="N379" s="4">
        <v>15955.199999999901</v>
      </c>
    </row>
    <row r="380" spans="1:14" x14ac:dyDescent="0.3">
      <c r="A380" s="4">
        <v>348</v>
      </c>
      <c r="B380" s="4">
        <v>45639</v>
      </c>
      <c r="C380" s="4">
        <v>1096</v>
      </c>
      <c r="D380" s="4" t="str">
        <v>Customer_192</v>
      </c>
      <c r="E380" s="4" t="str">
        <v>Corporate</v>
      </c>
      <c r="F380" s="4" t="str">
        <v>West</v>
      </c>
      <c r="G380" s="4" t="str">
        <v>Furniture</v>
      </c>
      <c r="H380" s="4" t="str">
        <v>Product_A</v>
      </c>
      <c r="I380" s="4">
        <v>1393</v>
      </c>
      <c r="J380" s="4">
        <v>6</v>
      </c>
      <c r="K380" s="4">
        <v>0.12</v>
      </c>
      <c r="L380" s="4">
        <v>1693</v>
      </c>
      <c r="M380" s="4" t="str">
        <v>Card</v>
      </c>
      <c r="N380" s="4">
        <v>7355.04</v>
      </c>
    </row>
    <row r="381" spans="1:14" x14ac:dyDescent="0.3">
      <c r="A381" s="4">
        <v>349</v>
      </c>
      <c r="B381" s="4">
        <v>45640</v>
      </c>
      <c r="C381" s="4">
        <v>1002</v>
      </c>
      <c r="D381" s="4" t="str">
        <v>Customer_186</v>
      </c>
      <c r="E381" s="4" t="str">
        <v>Consumer</v>
      </c>
      <c r="F381" s="4" t="str">
        <v>West</v>
      </c>
      <c r="G381" s="4" t="str">
        <v>Electronics</v>
      </c>
      <c r="H381" s="4" t="str">
        <v>Product_C</v>
      </c>
      <c r="I381" s="4">
        <v>4564</v>
      </c>
      <c r="J381" s="4">
        <v>5</v>
      </c>
      <c r="K381" s="4">
        <v>0.27</v>
      </c>
      <c r="L381" s="4">
        <v>710</v>
      </c>
      <c r="M381" s="4" t="str">
        <v>UPI</v>
      </c>
      <c r="N381" s="4">
        <v>16658.599999999999</v>
      </c>
    </row>
    <row r="382" spans="1:14" x14ac:dyDescent="0.3">
      <c r="A382" s="4">
        <v>350</v>
      </c>
      <c r="B382" s="4">
        <v>45641</v>
      </c>
      <c r="C382" s="4">
        <v>1037</v>
      </c>
      <c r="D382" s="4" t="str">
        <v>Customer_152</v>
      </c>
      <c r="E382" s="4" t="str">
        <v>Consumer</v>
      </c>
      <c r="F382" s="4" t="str">
        <v>West</v>
      </c>
      <c r="G382" s="4" t="str">
        <v>Clothing</v>
      </c>
      <c r="H382" s="4" t="str">
        <v>Product_B</v>
      </c>
      <c r="I382" s="4">
        <v>2447</v>
      </c>
      <c r="J382" s="4">
        <v>4</v>
      </c>
      <c r="K382" s="4">
        <v>0.04</v>
      </c>
      <c r="L382" s="4">
        <v>-339</v>
      </c>
      <c r="M382" s="4" t="str">
        <v>UPI</v>
      </c>
      <c r="N382" s="4">
        <v>9396.48</v>
      </c>
    </row>
    <row r="383" spans="1:14" x14ac:dyDescent="0.3">
      <c r="A383" s="4">
        <v>351</v>
      </c>
      <c r="B383" s="4">
        <v>45642</v>
      </c>
      <c r="C383" s="4">
        <v>1047</v>
      </c>
      <c r="D383" s="4" t="str">
        <v>Customer_186</v>
      </c>
      <c r="E383" s="4" t="str">
        <v>Consumer</v>
      </c>
      <c r="F383" s="4" t="str">
        <v>East</v>
      </c>
      <c r="G383" s="4" t="str">
        <v>Furniture</v>
      </c>
      <c r="H383" s="4" t="str">
        <v>Product_C</v>
      </c>
      <c r="I383" s="4">
        <v>3091</v>
      </c>
      <c r="J383" s="4">
        <v>5</v>
      </c>
      <c r="K383" s="4">
        <v>0.03</v>
      </c>
      <c r="L383" s="4">
        <v>644</v>
      </c>
      <c r="M383" s="4" t="str">
        <v>UPI</v>
      </c>
      <c r="N383" s="4">
        <v>14991.35</v>
      </c>
    </row>
    <row r="384" spans="1:14" x14ac:dyDescent="0.3">
      <c r="A384" s="4">
        <v>352</v>
      </c>
      <c r="B384" s="4">
        <v>45643</v>
      </c>
      <c r="C384" s="4">
        <v>1062</v>
      </c>
      <c r="D384" s="4" t="str">
        <v>Customer_101</v>
      </c>
      <c r="E384" s="4" t="str">
        <v>Consumer</v>
      </c>
      <c r="F384" s="4" t="str">
        <v>North</v>
      </c>
      <c r="G384" s="4" t="str">
        <v>Electronics</v>
      </c>
      <c r="H384" s="4" t="str">
        <v>Product_C</v>
      </c>
      <c r="I384" s="4">
        <v>2900</v>
      </c>
      <c r="J384" s="4">
        <v>7</v>
      </c>
      <c r="K384" s="4">
        <v>7.0000000000000007E-2</v>
      </c>
      <c r="L384" s="4">
        <v>1932</v>
      </c>
      <c r="M384" s="4" t="str">
        <v>UPI</v>
      </c>
      <c r="N384" s="4">
        <v>18879</v>
      </c>
    </row>
    <row r="385" spans="1:14" x14ac:dyDescent="0.3">
      <c r="A385" s="4">
        <v>353</v>
      </c>
      <c r="B385" s="4">
        <v>45644</v>
      </c>
      <c r="C385" s="4">
        <v>1061</v>
      </c>
      <c r="D385" s="4" t="str">
        <v>Customer_192</v>
      </c>
      <c r="E385" s="4" t="str">
        <v>Consumer</v>
      </c>
      <c r="F385" s="4" t="str">
        <v>South</v>
      </c>
      <c r="G385" s="4" t="str">
        <v>Clothing</v>
      </c>
      <c r="H385" s="4" t="str">
        <v>Product_C</v>
      </c>
      <c r="I385" s="4">
        <v>4356</v>
      </c>
      <c r="J385" s="4">
        <v>2</v>
      </c>
      <c r="K385" s="4">
        <v>0.16</v>
      </c>
      <c r="L385" s="4">
        <v>332</v>
      </c>
      <c r="M385" s="4" t="str">
        <v>COD</v>
      </c>
      <c r="N385" s="4">
        <v>7318.08</v>
      </c>
    </row>
    <row r="386" spans="1:14" x14ac:dyDescent="0.3">
      <c r="A386" s="4">
        <v>354</v>
      </c>
      <c r="B386" s="4">
        <v>45645</v>
      </c>
      <c r="C386" s="4">
        <v>1014</v>
      </c>
      <c r="D386" s="4" t="str">
        <v>Customer_169</v>
      </c>
      <c r="E386" s="4" t="str">
        <v>Corporate</v>
      </c>
      <c r="F386" s="4" t="str">
        <v>West</v>
      </c>
      <c r="G386" s="4" t="str">
        <v>Furniture</v>
      </c>
      <c r="H386" s="4" t="str">
        <v>Product_B</v>
      </c>
      <c r="I386" s="4">
        <v>1224</v>
      </c>
      <c r="J386" s="4">
        <v>7</v>
      </c>
      <c r="K386" s="4">
        <v>0.19</v>
      </c>
      <c r="L386" s="4">
        <v>210</v>
      </c>
      <c r="M386" s="4" t="str">
        <v>COD</v>
      </c>
      <c r="N386" s="4">
        <v>6940.08</v>
      </c>
    </row>
    <row r="387" spans="1:14" x14ac:dyDescent="0.3">
      <c r="A387" s="4">
        <v>356</v>
      </c>
      <c r="B387" s="4">
        <v>45647</v>
      </c>
      <c r="C387" s="4">
        <v>1081</v>
      </c>
      <c r="D387" s="4" t="str">
        <v>Customer_186</v>
      </c>
      <c r="E387" s="4" t="str">
        <v>Corporate</v>
      </c>
      <c r="F387" s="4" t="str">
        <v>East</v>
      </c>
      <c r="G387" s="4" t="str">
        <v>Furniture</v>
      </c>
      <c r="H387" s="4" t="str">
        <v>Product_A</v>
      </c>
      <c r="I387" s="4">
        <v>4179</v>
      </c>
      <c r="J387" s="4">
        <v>7</v>
      </c>
      <c r="K387" s="4">
        <v>0.23</v>
      </c>
      <c r="L387" s="4">
        <v>-144</v>
      </c>
      <c r="M387" s="4" t="str">
        <v>UPI</v>
      </c>
      <c r="N387" s="4">
        <v>22524.81</v>
      </c>
    </row>
    <row r="388" spans="1:14" x14ac:dyDescent="0.3">
      <c r="A388" s="4">
        <v>359</v>
      </c>
      <c r="B388" s="4">
        <v>45650</v>
      </c>
      <c r="C388" s="4">
        <v>1019</v>
      </c>
      <c r="D388" s="4" t="str">
        <v>Customer_95</v>
      </c>
      <c r="E388" s="4" t="str">
        <v>Corporate</v>
      </c>
      <c r="F388" s="4" t="str">
        <v>South</v>
      </c>
      <c r="G388" s="4" t="str">
        <v>Furniture</v>
      </c>
      <c r="H388" s="4" t="str">
        <v>Product_B</v>
      </c>
      <c r="I388" s="4">
        <v>4250</v>
      </c>
      <c r="J388" s="4">
        <v>8</v>
      </c>
      <c r="K388" s="4">
        <v>0.03</v>
      </c>
      <c r="L388" s="4">
        <v>335</v>
      </c>
      <c r="M388" s="4" t="str">
        <v>Card</v>
      </c>
      <c r="N388" s="4">
        <v>32980</v>
      </c>
    </row>
    <row r="389" spans="1:14" x14ac:dyDescent="0.3">
      <c r="A389" s="4">
        <v>360</v>
      </c>
      <c r="B389" s="4">
        <v>45651</v>
      </c>
      <c r="C389" s="4">
        <v>1058</v>
      </c>
      <c r="D389" s="4" t="str">
        <v>Customer_15</v>
      </c>
      <c r="E389" s="4" t="str">
        <v>Corporate</v>
      </c>
      <c r="F389" s="4" t="str">
        <v>North</v>
      </c>
      <c r="G389" s="4" t="str">
        <v>Clothing</v>
      </c>
      <c r="H389" s="4" t="str">
        <v>Product_B</v>
      </c>
      <c r="I389" s="4">
        <v>2351</v>
      </c>
      <c r="J389" s="4">
        <v>9</v>
      </c>
      <c r="K389" s="4">
        <v>0.27</v>
      </c>
      <c r="L389" s="4">
        <v>28</v>
      </c>
      <c r="M389" s="4" t="str">
        <v>COD</v>
      </c>
      <c r="N389" s="4">
        <v>15446.07</v>
      </c>
    </row>
    <row r="390" spans="1:14" x14ac:dyDescent="0.3">
      <c r="A390" s="4">
        <v>361</v>
      </c>
      <c r="B390" s="4">
        <v>45652</v>
      </c>
      <c r="C390" s="4">
        <v>1006</v>
      </c>
      <c r="D390" s="4" t="str">
        <v>Customer_65</v>
      </c>
      <c r="E390" s="4" t="str">
        <v>Corporate</v>
      </c>
      <c r="F390" s="4" t="str">
        <v>East</v>
      </c>
      <c r="G390" s="4" t="str">
        <v>Furniture</v>
      </c>
      <c r="H390" s="4" t="str">
        <v>Product_C</v>
      </c>
      <c r="I390" s="4">
        <v>4067</v>
      </c>
      <c r="J390" s="4">
        <v>6</v>
      </c>
      <c r="K390" s="4">
        <v>0.28999999999999998</v>
      </c>
      <c r="L390" s="4">
        <v>1213</v>
      </c>
      <c r="M390" s="4" t="str">
        <v>UPI</v>
      </c>
      <c r="N390" s="4">
        <v>17325.419999999998</v>
      </c>
    </row>
    <row r="391" spans="1:14" x14ac:dyDescent="0.3">
      <c r="A391" s="4">
        <v>363</v>
      </c>
      <c r="B391" s="4">
        <v>45654</v>
      </c>
      <c r="C391" s="4">
        <v>1071</v>
      </c>
      <c r="D391" s="4" t="str">
        <v>Customer_140</v>
      </c>
      <c r="E391" s="4" t="str">
        <v>Consumer</v>
      </c>
      <c r="F391" s="4" t="str">
        <v>North</v>
      </c>
      <c r="G391" s="4" t="str">
        <v>Clothing</v>
      </c>
      <c r="H391" s="4" t="str">
        <v>Product_B</v>
      </c>
      <c r="I391" s="4">
        <v>4332</v>
      </c>
      <c r="J391" s="4">
        <v>9</v>
      </c>
      <c r="K391" s="4">
        <v>0.21</v>
      </c>
      <c r="L391" s="4">
        <v>1493</v>
      </c>
      <c r="M391" s="4" t="str">
        <v>COD</v>
      </c>
      <c r="N391" s="4">
        <v>30800.52</v>
      </c>
    </row>
    <row r="392" spans="1:14" x14ac:dyDescent="0.3">
      <c r="A392" s="4">
        <v>364</v>
      </c>
      <c r="B392" s="4">
        <v>45655</v>
      </c>
      <c r="C392" s="4">
        <v>1077</v>
      </c>
      <c r="D392" s="4" t="str">
        <v>Customer_163</v>
      </c>
      <c r="E392" s="4" t="str">
        <v>Consumer</v>
      </c>
      <c r="F392" s="4" t="str">
        <v>North</v>
      </c>
      <c r="G392" s="4" t="str">
        <v>Electronics</v>
      </c>
      <c r="H392" s="4" t="str">
        <v>Product_D</v>
      </c>
      <c r="I392" s="4">
        <v>1198</v>
      </c>
      <c r="J392" s="4">
        <v>9</v>
      </c>
      <c r="K392" s="4">
        <v>0.11</v>
      </c>
      <c r="L392" s="4">
        <v>-189</v>
      </c>
      <c r="M392" s="4" t="str">
        <v>UPI</v>
      </c>
      <c r="N392" s="4">
        <v>9595.98</v>
      </c>
    </row>
    <row r="393" spans="1:14" x14ac:dyDescent="0.3">
      <c r="A393" s="4">
        <v>369</v>
      </c>
      <c r="B393" s="4">
        <v>45660</v>
      </c>
      <c r="C393" s="4">
        <v>1097</v>
      </c>
      <c r="D393" s="4" t="str">
        <v>Customer_32</v>
      </c>
      <c r="E393" s="4" t="str">
        <v>Corporate</v>
      </c>
      <c r="F393" s="4" t="str">
        <v>East</v>
      </c>
      <c r="G393" s="4" t="str">
        <v>Clothing</v>
      </c>
      <c r="H393" s="4" t="str">
        <v>Product_C</v>
      </c>
      <c r="I393" s="4">
        <v>4451</v>
      </c>
      <c r="J393" s="4">
        <v>6</v>
      </c>
      <c r="K393" s="4">
        <v>0.12</v>
      </c>
      <c r="L393" s="4">
        <v>978</v>
      </c>
      <c r="M393" s="4" t="str">
        <v>UPI</v>
      </c>
      <c r="N393" s="4">
        <v>23501.279999999999</v>
      </c>
    </row>
    <row r="394" spans="1:14" x14ac:dyDescent="0.3">
      <c r="A394" s="4">
        <v>370</v>
      </c>
      <c r="B394" s="4">
        <v>45661</v>
      </c>
      <c r="C394" s="4">
        <v>1003</v>
      </c>
      <c r="D394" s="4" t="str">
        <v>Customer_2</v>
      </c>
      <c r="E394" s="4" t="str">
        <v>Consumer</v>
      </c>
      <c r="F394" s="4" t="str">
        <v>South</v>
      </c>
      <c r="G394" s="4" t="str">
        <v>Furniture</v>
      </c>
      <c r="H394" s="4" t="str">
        <v>Product_D</v>
      </c>
      <c r="I394" s="4">
        <v>1480</v>
      </c>
      <c r="J394" s="4">
        <v>7</v>
      </c>
      <c r="K394" s="4">
        <v>0.26</v>
      </c>
      <c r="L394" s="4">
        <v>1989</v>
      </c>
      <c r="M394" s="4" t="str">
        <v>UPI</v>
      </c>
      <c r="N394" s="4">
        <v>7666.4</v>
      </c>
    </row>
    <row r="395" spans="1:14" x14ac:dyDescent="0.3">
      <c r="A395" s="4">
        <v>372</v>
      </c>
      <c r="B395" s="4">
        <v>45663</v>
      </c>
      <c r="C395" s="4">
        <v>1077</v>
      </c>
      <c r="D395" s="4" t="str">
        <v>Customer_124</v>
      </c>
      <c r="E395" s="4" t="str">
        <v>Corporate</v>
      </c>
      <c r="F395" s="4" t="str">
        <v>South</v>
      </c>
      <c r="G395" s="4" t="str">
        <v>Clothing</v>
      </c>
      <c r="H395" s="4" t="str">
        <v>Product_D</v>
      </c>
      <c r="I395" s="4">
        <v>1316</v>
      </c>
      <c r="J395" s="4">
        <v>6</v>
      </c>
      <c r="K395" s="4">
        <v>0.27</v>
      </c>
      <c r="L395" s="4">
        <v>-31</v>
      </c>
      <c r="M395" s="4" t="str">
        <v>COD</v>
      </c>
      <c r="N395" s="4">
        <v>5764.08</v>
      </c>
    </row>
    <row r="396" spans="1:14" x14ac:dyDescent="0.3">
      <c r="A396" s="4">
        <v>373</v>
      </c>
      <c r="B396" s="4">
        <v>45664</v>
      </c>
      <c r="C396" s="4">
        <v>1094</v>
      </c>
      <c r="D396" s="4" t="str">
        <v>Customer_174</v>
      </c>
      <c r="E396" s="4" t="str">
        <v>Consumer</v>
      </c>
      <c r="F396" s="4" t="str">
        <v>West</v>
      </c>
      <c r="G396" s="4" t="str">
        <v>Electronics</v>
      </c>
      <c r="H396" s="4" t="str">
        <v>Product_C</v>
      </c>
      <c r="I396" s="4">
        <v>3947</v>
      </c>
      <c r="J396" s="4">
        <v>8</v>
      </c>
      <c r="K396" s="4">
        <v>0.08</v>
      </c>
      <c r="L396" s="4">
        <v>655</v>
      </c>
      <c r="M396" s="4" t="str">
        <v>COD</v>
      </c>
      <c r="N396" s="4">
        <v>29049.919999999998</v>
      </c>
    </row>
    <row r="397" spans="1:14" x14ac:dyDescent="0.3">
      <c r="A397" s="4">
        <v>374</v>
      </c>
      <c r="B397" s="4">
        <v>45665</v>
      </c>
      <c r="C397" s="4">
        <v>1037</v>
      </c>
      <c r="D397" s="4" t="str">
        <v>Customer_22</v>
      </c>
      <c r="E397" s="4" t="str">
        <v>Consumer</v>
      </c>
      <c r="F397" s="4" t="str">
        <v>East</v>
      </c>
      <c r="G397" s="4" t="str">
        <v>Furniture</v>
      </c>
      <c r="H397" s="4" t="str">
        <v>Product_B</v>
      </c>
      <c r="I397" s="4">
        <v>4287</v>
      </c>
      <c r="J397" s="4">
        <v>8</v>
      </c>
      <c r="K397" s="4">
        <v>0.18</v>
      </c>
      <c r="L397" s="4">
        <v>312</v>
      </c>
      <c r="M397" s="4" t="str">
        <v>UPI</v>
      </c>
      <c r="N397" s="4">
        <v>28122.720000000001</v>
      </c>
    </row>
    <row r="398" spans="1:14" x14ac:dyDescent="0.3">
      <c r="A398" s="4">
        <v>376</v>
      </c>
      <c r="B398" s="4">
        <v>45667</v>
      </c>
      <c r="C398" s="4">
        <v>1083</v>
      </c>
      <c r="D398" s="4" t="str">
        <v>Customer_118</v>
      </c>
      <c r="E398" s="4" t="str">
        <v>Corporate</v>
      </c>
      <c r="F398" s="4" t="str">
        <v>South</v>
      </c>
      <c r="G398" s="4" t="str">
        <v>Furniture</v>
      </c>
      <c r="H398" s="4" t="str">
        <v>Product_C</v>
      </c>
      <c r="I398" s="4">
        <v>3751</v>
      </c>
      <c r="J398" s="4">
        <v>9</v>
      </c>
      <c r="K398" s="4">
        <v>0.28000000000000003</v>
      </c>
      <c r="L398" s="4">
        <v>339</v>
      </c>
      <c r="M398" s="4" t="str">
        <v>COD</v>
      </c>
      <c r="N398" s="4">
        <v>24306.48</v>
      </c>
    </row>
    <row r="399" spans="1:14" x14ac:dyDescent="0.3">
      <c r="A399" s="4">
        <v>377</v>
      </c>
      <c r="B399" s="4">
        <v>45668</v>
      </c>
      <c r="C399" s="4">
        <v>1002</v>
      </c>
      <c r="D399" s="4" t="str">
        <v>Customer_55</v>
      </c>
      <c r="E399" s="4" t="str">
        <v>Consumer</v>
      </c>
      <c r="F399" s="4" t="str">
        <v>South</v>
      </c>
      <c r="G399" s="4" t="str">
        <v>Electronics</v>
      </c>
      <c r="H399" s="4" t="str">
        <v>Product_B</v>
      </c>
      <c r="I399" s="4">
        <v>2552</v>
      </c>
      <c r="J399" s="4">
        <v>4</v>
      </c>
      <c r="K399" s="4">
        <v>0.06</v>
      </c>
      <c r="L399" s="4">
        <v>-131</v>
      </c>
      <c r="M399" s="4" t="str">
        <v>UPI</v>
      </c>
      <c r="N399" s="4">
        <v>9595.5199999999895</v>
      </c>
    </row>
    <row r="400" spans="1:14" x14ac:dyDescent="0.3">
      <c r="A400" s="4">
        <v>379</v>
      </c>
      <c r="B400" s="4">
        <v>45670</v>
      </c>
      <c r="C400" s="4">
        <v>1096</v>
      </c>
      <c r="D400" s="4" t="str">
        <v>Customer_30</v>
      </c>
      <c r="E400" s="4" t="str">
        <v>Corporate</v>
      </c>
      <c r="F400" s="4" t="str">
        <v>South</v>
      </c>
      <c r="G400" s="4" t="str">
        <v>Clothing</v>
      </c>
      <c r="H400" s="4" t="str">
        <v>Product_B</v>
      </c>
      <c r="I400" s="4">
        <v>660</v>
      </c>
      <c r="J400" s="4">
        <v>9</v>
      </c>
      <c r="K400" s="4">
        <v>7.0000000000000007E-2</v>
      </c>
      <c r="L400" s="4">
        <v>-250</v>
      </c>
      <c r="M400" s="4" t="str">
        <v>UPI</v>
      </c>
      <c r="N400" s="4">
        <v>5524.2</v>
      </c>
    </row>
    <row r="401" spans="1:14" x14ac:dyDescent="0.3">
      <c r="A401" s="4">
        <v>381</v>
      </c>
      <c r="B401" s="4">
        <v>45672</v>
      </c>
      <c r="C401" s="4">
        <v>1002</v>
      </c>
      <c r="D401" s="4" t="str">
        <v>Customer_89</v>
      </c>
      <c r="E401" s="4" t="str">
        <v>Consumer</v>
      </c>
      <c r="F401" s="4" t="str">
        <v>South</v>
      </c>
      <c r="G401" s="4" t="str">
        <v>Clothing</v>
      </c>
      <c r="H401" s="4" t="str">
        <v>Product_D</v>
      </c>
      <c r="I401" s="4">
        <v>1036</v>
      </c>
      <c r="J401" s="4">
        <v>6</v>
      </c>
      <c r="K401" s="4">
        <v>0.08</v>
      </c>
      <c r="L401" s="4">
        <v>162</v>
      </c>
      <c r="M401" s="4" t="str">
        <v>COD</v>
      </c>
      <c r="N401" s="4">
        <v>5718.72</v>
      </c>
    </row>
    <row r="402" spans="1:14" x14ac:dyDescent="0.3">
      <c r="A402" s="4">
        <v>383</v>
      </c>
      <c r="B402" s="4">
        <v>45674</v>
      </c>
      <c r="C402" s="4">
        <v>1090</v>
      </c>
      <c r="D402" s="4" t="str">
        <v>Customer_82</v>
      </c>
      <c r="E402" s="4" t="str">
        <v>Consumer</v>
      </c>
      <c r="F402" s="4" t="str">
        <v>West</v>
      </c>
      <c r="G402" s="4" t="str">
        <v>Furniture</v>
      </c>
      <c r="H402" s="4" t="str">
        <v>Product_B</v>
      </c>
      <c r="I402" s="4">
        <v>4994</v>
      </c>
      <c r="J402" s="4">
        <v>9</v>
      </c>
      <c r="K402" s="4">
        <v>0.28000000000000003</v>
      </c>
      <c r="L402" s="4">
        <v>992</v>
      </c>
      <c r="M402" s="4" t="str">
        <v>COD</v>
      </c>
      <c r="N402" s="4">
        <v>32361.119999999999</v>
      </c>
    </row>
    <row r="403" spans="1:14" x14ac:dyDescent="0.3">
      <c r="A403" s="4">
        <v>385</v>
      </c>
      <c r="B403" s="4">
        <v>45676</v>
      </c>
      <c r="C403" s="4">
        <v>1082</v>
      </c>
      <c r="D403" s="4" t="str">
        <v>Customer_113</v>
      </c>
      <c r="E403" s="4" t="str">
        <v>Corporate</v>
      </c>
      <c r="F403" s="4" t="str">
        <v>West</v>
      </c>
      <c r="G403" s="4" t="str">
        <v>Clothing</v>
      </c>
      <c r="H403" s="4" t="str">
        <v>Product_C</v>
      </c>
      <c r="I403" s="4">
        <v>1299</v>
      </c>
      <c r="J403" s="4">
        <v>6</v>
      </c>
      <c r="K403" s="4">
        <v>0</v>
      </c>
      <c r="L403" s="4">
        <v>92</v>
      </c>
      <c r="M403" s="4" t="str">
        <v>UPI</v>
      </c>
      <c r="N403" s="4">
        <v>7794</v>
      </c>
    </row>
    <row r="404" spans="1:14" x14ac:dyDescent="0.3">
      <c r="A404" s="4">
        <v>386</v>
      </c>
      <c r="B404" s="4">
        <v>45677</v>
      </c>
      <c r="C404" s="4">
        <v>1055</v>
      </c>
      <c r="D404" s="4" t="str">
        <v>Customer_167</v>
      </c>
      <c r="E404" s="4" t="str">
        <v>Consumer</v>
      </c>
      <c r="F404" s="4" t="str">
        <v>North</v>
      </c>
      <c r="G404" s="4" t="str">
        <v>Furniture</v>
      </c>
      <c r="H404" s="4" t="str">
        <v>Product_C</v>
      </c>
      <c r="I404" s="4">
        <v>4386</v>
      </c>
      <c r="J404" s="4">
        <v>3</v>
      </c>
      <c r="K404" s="4">
        <v>0.28999999999999998</v>
      </c>
      <c r="L404" s="4">
        <v>838</v>
      </c>
      <c r="M404" s="4" t="str">
        <v>COD</v>
      </c>
      <c r="N404" s="4">
        <v>9342.18</v>
      </c>
    </row>
    <row r="405" spans="1:14" x14ac:dyDescent="0.3">
      <c r="A405" s="4">
        <v>387</v>
      </c>
      <c r="B405" s="4">
        <v>45678</v>
      </c>
      <c r="C405" s="4">
        <v>1032</v>
      </c>
      <c r="D405" s="4" t="str">
        <v>Customer_35</v>
      </c>
      <c r="E405" s="4" t="str">
        <v>Consumer</v>
      </c>
      <c r="F405" s="4" t="str">
        <v>North</v>
      </c>
      <c r="G405" s="4" t="str">
        <v>Electronics</v>
      </c>
      <c r="H405" s="4" t="str">
        <v>Product_A</v>
      </c>
      <c r="I405" s="4">
        <v>3993</v>
      </c>
      <c r="J405" s="4">
        <v>5</v>
      </c>
      <c r="K405" s="4">
        <v>0.21</v>
      </c>
      <c r="L405" s="4">
        <v>1730</v>
      </c>
      <c r="M405" s="4" t="str">
        <v>COD</v>
      </c>
      <c r="N405" s="4">
        <v>15772.35</v>
      </c>
    </row>
    <row r="406" spans="1:14" x14ac:dyDescent="0.3">
      <c r="A406" s="4">
        <v>389</v>
      </c>
      <c r="B406" s="4">
        <v>45680</v>
      </c>
      <c r="C406" s="4">
        <v>1003</v>
      </c>
      <c r="D406" s="4" t="str">
        <v>Customer_110</v>
      </c>
      <c r="E406" s="4" t="str">
        <v>Corporate</v>
      </c>
      <c r="F406" s="4" t="str">
        <v>West</v>
      </c>
      <c r="G406" s="4" t="str">
        <v>Furniture</v>
      </c>
      <c r="H406" s="4" t="str">
        <v>Product_C</v>
      </c>
      <c r="I406" s="4">
        <v>1736</v>
      </c>
      <c r="J406" s="4">
        <v>8</v>
      </c>
      <c r="K406" s="4">
        <v>0.18</v>
      </c>
      <c r="L406" s="4">
        <v>492</v>
      </c>
      <c r="M406" s="4" t="str">
        <v>COD</v>
      </c>
      <c r="N406" s="4">
        <v>11388.16</v>
      </c>
    </row>
    <row r="407" spans="1:14" x14ac:dyDescent="0.3">
      <c r="A407" s="4">
        <v>390</v>
      </c>
      <c r="B407" s="4">
        <v>45681</v>
      </c>
      <c r="C407" s="4">
        <v>1095</v>
      </c>
      <c r="D407" s="4" t="str">
        <v>Customer_56</v>
      </c>
      <c r="E407" s="4" t="str">
        <v>Consumer</v>
      </c>
      <c r="F407" s="4" t="str">
        <v>North</v>
      </c>
      <c r="G407" s="4" t="str">
        <v>Clothing</v>
      </c>
      <c r="H407" s="4" t="str">
        <v>Product_A</v>
      </c>
      <c r="I407" s="4">
        <v>2341</v>
      </c>
      <c r="J407" s="4">
        <v>4</v>
      </c>
      <c r="K407" s="4">
        <v>0.03</v>
      </c>
      <c r="L407" s="4">
        <v>1730</v>
      </c>
      <c r="M407" s="4" t="str">
        <v>Card</v>
      </c>
      <c r="N407" s="4">
        <v>9083.08</v>
      </c>
    </row>
    <row r="408" spans="1:14" x14ac:dyDescent="0.3">
      <c r="A408" s="4">
        <v>391</v>
      </c>
      <c r="B408" s="4">
        <v>45682</v>
      </c>
      <c r="C408" s="4">
        <v>1091</v>
      </c>
      <c r="D408" s="4" t="str">
        <v>Customer_116</v>
      </c>
      <c r="E408" s="4" t="str">
        <v>Consumer</v>
      </c>
      <c r="F408" s="4" t="str">
        <v>West</v>
      </c>
      <c r="G408" s="4" t="str">
        <v>Clothing</v>
      </c>
      <c r="H408" s="4" t="str">
        <v>Product_C</v>
      </c>
      <c r="I408" s="4">
        <v>3013</v>
      </c>
      <c r="J408" s="4">
        <v>3</v>
      </c>
      <c r="K408" s="4">
        <v>0.05</v>
      </c>
      <c r="L408" s="4">
        <v>1502</v>
      </c>
      <c r="M408" s="4" t="str">
        <v>COD</v>
      </c>
      <c r="N408" s="4">
        <v>8587.0499999999993</v>
      </c>
    </row>
    <row r="409" spans="1:14" x14ac:dyDescent="0.3">
      <c r="A409" s="4">
        <v>392</v>
      </c>
      <c r="B409" s="4">
        <v>45683</v>
      </c>
      <c r="C409" s="4">
        <v>1079</v>
      </c>
      <c r="D409" s="4" t="str">
        <v>Customer_183</v>
      </c>
      <c r="E409" s="4" t="str">
        <v>Corporate</v>
      </c>
      <c r="F409" s="4" t="str">
        <v>North</v>
      </c>
      <c r="G409" s="4" t="str">
        <v>Clothing</v>
      </c>
      <c r="H409" s="4" t="str">
        <v>Product_D</v>
      </c>
      <c r="I409" s="4">
        <v>3266</v>
      </c>
      <c r="J409" s="4">
        <v>8</v>
      </c>
      <c r="K409" s="4">
        <v>0.19</v>
      </c>
      <c r="L409" s="4">
        <v>658</v>
      </c>
      <c r="M409" s="4" t="str">
        <v>UPI</v>
      </c>
      <c r="N409" s="4">
        <v>21163.68</v>
      </c>
    </row>
    <row r="410" spans="1:14" x14ac:dyDescent="0.3">
      <c r="A410" s="4">
        <v>393</v>
      </c>
      <c r="B410" s="4">
        <v>45684</v>
      </c>
      <c r="C410" s="4">
        <v>1091</v>
      </c>
      <c r="D410" s="4" t="str">
        <v>Customer_181</v>
      </c>
      <c r="E410" s="4" t="str">
        <v>Consumer</v>
      </c>
      <c r="F410" s="4" t="str">
        <v>South</v>
      </c>
      <c r="G410" s="4" t="str">
        <v>Clothing</v>
      </c>
      <c r="H410" s="4" t="str">
        <v>Product_C</v>
      </c>
      <c r="I410" s="4">
        <v>4888</v>
      </c>
      <c r="J410" s="4">
        <v>7</v>
      </c>
      <c r="K410" s="4">
        <v>0.01</v>
      </c>
      <c r="L410" s="4">
        <v>249</v>
      </c>
      <c r="M410" s="4" t="str">
        <v>COD</v>
      </c>
      <c r="N410" s="4">
        <v>33873.839999999997</v>
      </c>
    </row>
    <row r="411" spans="1:14" x14ac:dyDescent="0.3">
      <c r="A411" s="4">
        <v>395</v>
      </c>
      <c r="B411" s="4">
        <v>45686</v>
      </c>
      <c r="C411" s="4">
        <v>1021</v>
      </c>
      <c r="D411" s="4" t="str">
        <v>Customer_67</v>
      </c>
      <c r="E411" s="4" t="str">
        <v>Corporate</v>
      </c>
      <c r="F411" s="4" t="str">
        <v>West</v>
      </c>
      <c r="G411" s="4" t="str">
        <v>Clothing</v>
      </c>
      <c r="H411" s="4" t="str">
        <v>Product_B</v>
      </c>
      <c r="I411" s="4">
        <v>2496</v>
      </c>
      <c r="J411" s="4">
        <v>3</v>
      </c>
      <c r="K411" s="4">
        <v>0.28000000000000003</v>
      </c>
      <c r="L411" s="4">
        <v>455</v>
      </c>
      <c r="M411" s="4" t="str">
        <v>Card</v>
      </c>
      <c r="N411" s="4">
        <v>5391.36</v>
      </c>
    </row>
    <row r="412" spans="1:14" x14ac:dyDescent="0.3">
      <c r="A412" s="4">
        <v>401</v>
      </c>
      <c r="B412" s="4">
        <v>45692</v>
      </c>
      <c r="C412" s="4">
        <v>1096</v>
      </c>
      <c r="D412" s="4" t="str">
        <v>Customer_28</v>
      </c>
      <c r="E412" s="4" t="str">
        <v>Consumer</v>
      </c>
      <c r="F412" s="4" t="str">
        <v>East</v>
      </c>
      <c r="G412" s="4" t="str">
        <v>Electronics</v>
      </c>
      <c r="H412" s="4" t="str">
        <v>Product_C</v>
      </c>
      <c r="I412" s="4">
        <v>3601</v>
      </c>
      <c r="J412" s="4">
        <v>7</v>
      </c>
      <c r="K412" s="4">
        <v>0.06</v>
      </c>
      <c r="L412" s="4">
        <v>774</v>
      </c>
      <c r="M412" s="4" t="str">
        <v>Card</v>
      </c>
      <c r="N412" s="4">
        <v>23694.5799999999</v>
      </c>
    </row>
    <row r="413" spans="1:14" x14ac:dyDescent="0.3">
      <c r="A413" s="4">
        <v>403</v>
      </c>
      <c r="B413" s="4">
        <v>45694</v>
      </c>
      <c r="C413" s="4">
        <v>1077</v>
      </c>
      <c r="D413" s="4" t="str">
        <v>Customer_109</v>
      </c>
      <c r="E413" s="4" t="str">
        <v>Consumer</v>
      </c>
      <c r="F413" s="4" t="str">
        <v>West</v>
      </c>
      <c r="G413" s="4" t="str">
        <v>Clothing</v>
      </c>
      <c r="H413" s="4" t="str">
        <v>Product_D</v>
      </c>
      <c r="I413" s="4">
        <v>4889</v>
      </c>
      <c r="J413" s="4">
        <v>8</v>
      </c>
      <c r="K413" s="4">
        <v>0.14000000000000001</v>
      </c>
      <c r="L413" s="4">
        <v>517</v>
      </c>
      <c r="M413" s="4" t="str">
        <v>UPI</v>
      </c>
      <c r="N413" s="4">
        <v>33636.32</v>
      </c>
    </row>
    <row r="414" spans="1:14" x14ac:dyDescent="0.3">
      <c r="A414" s="4">
        <v>404</v>
      </c>
      <c r="B414" s="4">
        <v>45695</v>
      </c>
      <c r="C414" s="4">
        <v>1061</v>
      </c>
      <c r="D414" s="4" t="str">
        <v>Customer_60</v>
      </c>
      <c r="E414" s="4" t="str">
        <v>Consumer</v>
      </c>
      <c r="F414" s="4" t="str">
        <v>South</v>
      </c>
      <c r="G414" s="4" t="str">
        <v>Electronics</v>
      </c>
      <c r="H414" s="4" t="str">
        <v>Product_D</v>
      </c>
      <c r="I414" s="4">
        <v>4231</v>
      </c>
      <c r="J414" s="4">
        <v>3</v>
      </c>
      <c r="K414" s="4">
        <v>7.0000000000000007E-2</v>
      </c>
      <c r="L414" s="4">
        <v>-225</v>
      </c>
      <c r="M414" s="4" t="str">
        <v>UPI</v>
      </c>
      <c r="N414" s="4">
        <v>11804.49</v>
      </c>
    </row>
    <row r="415" spans="1:14" x14ac:dyDescent="0.3">
      <c r="A415" s="4">
        <v>405</v>
      </c>
      <c r="B415" s="4">
        <v>45696</v>
      </c>
      <c r="C415" s="4">
        <v>1088</v>
      </c>
      <c r="D415" s="4" t="str">
        <v>Customer_13</v>
      </c>
      <c r="E415" s="4" t="str">
        <v>Corporate</v>
      </c>
      <c r="F415" s="4" t="str">
        <v>South</v>
      </c>
      <c r="G415" s="4" t="str">
        <v>Electronics</v>
      </c>
      <c r="H415" s="4" t="str">
        <v>Product_B</v>
      </c>
      <c r="I415" s="4">
        <v>2954</v>
      </c>
      <c r="J415" s="4">
        <v>6</v>
      </c>
      <c r="K415" s="4">
        <v>7.0000000000000007E-2</v>
      </c>
      <c r="L415" s="4">
        <v>-111</v>
      </c>
      <c r="M415" s="4" t="str">
        <v>COD</v>
      </c>
      <c r="N415" s="4">
        <v>16483.32</v>
      </c>
    </row>
    <row r="416" spans="1:14" x14ac:dyDescent="0.3">
      <c r="A416" s="4">
        <v>406</v>
      </c>
      <c r="B416" s="4">
        <v>45697</v>
      </c>
      <c r="C416" s="4">
        <v>1095</v>
      </c>
      <c r="D416" s="4" t="str">
        <v>Customer_18</v>
      </c>
      <c r="E416" s="4" t="str">
        <v>Corporate</v>
      </c>
      <c r="F416" s="4" t="str">
        <v>West</v>
      </c>
      <c r="G416" s="4" t="str">
        <v>Electronics</v>
      </c>
      <c r="H416" s="4" t="str">
        <v>Product_D</v>
      </c>
      <c r="I416" s="4">
        <v>3263</v>
      </c>
      <c r="J416" s="4">
        <v>8</v>
      </c>
      <c r="K416" s="4">
        <v>0.15</v>
      </c>
      <c r="L416" s="4">
        <v>562</v>
      </c>
      <c r="M416" s="4" t="str">
        <v>COD</v>
      </c>
      <c r="N416" s="4">
        <v>22188.3999999999</v>
      </c>
    </row>
    <row r="417" spans="1:14" x14ac:dyDescent="0.3">
      <c r="A417" s="4">
        <v>408</v>
      </c>
      <c r="B417" s="4">
        <v>45699</v>
      </c>
      <c r="C417" s="4">
        <v>1065</v>
      </c>
      <c r="D417" s="4" t="str">
        <v>Customer_50</v>
      </c>
      <c r="E417" s="4" t="str">
        <v>Consumer</v>
      </c>
      <c r="F417" s="4" t="str">
        <v>East</v>
      </c>
      <c r="G417" s="4" t="str">
        <v>Clothing</v>
      </c>
      <c r="H417" s="4" t="str">
        <v>Product_A</v>
      </c>
      <c r="I417" s="4">
        <v>2288</v>
      </c>
      <c r="J417" s="4">
        <v>7</v>
      </c>
      <c r="K417" s="4">
        <v>0.15</v>
      </c>
      <c r="L417" s="4">
        <v>634</v>
      </c>
      <c r="M417" s="4" t="str">
        <v>Card</v>
      </c>
      <c r="N417" s="4">
        <v>13613.6</v>
      </c>
    </row>
    <row r="418" spans="1:14" x14ac:dyDescent="0.3">
      <c r="A418" s="4">
        <v>409</v>
      </c>
      <c r="B418" s="4">
        <v>45700</v>
      </c>
      <c r="C418" s="4">
        <v>1016</v>
      </c>
      <c r="D418" s="4" t="str">
        <v>Customer_43</v>
      </c>
      <c r="E418" s="4" t="str">
        <v>Consumer</v>
      </c>
      <c r="F418" s="4" t="str">
        <v>West</v>
      </c>
      <c r="G418" s="4" t="str">
        <v>Electronics</v>
      </c>
      <c r="H418" s="4" t="str">
        <v>Product_A</v>
      </c>
      <c r="I418" s="4">
        <v>4617</v>
      </c>
      <c r="J418" s="4">
        <v>9</v>
      </c>
      <c r="K418" s="4">
        <v>0.08</v>
      </c>
      <c r="L418" s="4">
        <v>1491</v>
      </c>
      <c r="M418" s="4" t="str">
        <v>Card</v>
      </c>
      <c r="N418" s="4">
        <v>38228.76</v>
      </c>
    </row>
    <row r="419" spans="1:14" x14ac:dyDescent="0.3">
      <c r="A419" s="4">
        <v>410</v>
      </c>
      <c r="B419" s="4">
        <v>45701</v>
      </c>
      <c r="C419" s="4">
        <v>1090</v>
      </c>
      <c r="D419" s="4" t="str">
        <v>Customer_85</v>
      </c>
      <c r="E419" s="4" t="str">
        <v>Consumer</v>
      </c>
      <c r="F419" s="4" t="str">
        <v>West</v>
      </c>
      <c r="G419" s="4" t="str">
        <v>Clothing</v>
      </c>
      <c r="H419" s="4" t="str">
        <v>Product_D</v>
      </c>
      <c r="I419" s="4">
        <v>1303</v>
      </c>
      <c r="J419" s="4">
        <v>5</v>
      </c>
      <c r="K419" s="4">
        <v>0.18</v>
      </c>
      <c r="L419" s="4">
        <v>826</v>
      </c>
      <c r="M419" s="4" t="str">
        <v>Card</v>
      </c>
      <c r="N419" s="4">
        <v>5342.3</v>
      </c>
    </row>
    <row r="420" spans="1:14" x14ac:dyDescent="0.3">
      <c r="A420" s="4">
        <v>411</v>
      </c>
      <c r="B420" s="4">
        <v>45702</v>
      </c>
      <c r="C420" s="4">
        <v>1001</v>
      </c>
      <c r="D420" s="4" t="str">
        <v>Customer_46</v>
      </c>
      <c r="E420" s="4" t="str">
        <v>Consumer</v>
      </c>
      <c r="F420" s="4" t="str">
        <v>South</v>
      </c>
      <c r="G420" s="4" t="str">
        <v>Furniture</v>
      </c>
      <c r="H420" s="4" t="str">
        <v>Product_A</v>
      </c>
      <c r="I420" s="4">
        <v>2942</v>
      </c>
      <c r="J420" s="4">
        <v>7</v>
      </c>
      <c r="K420" s="4">
        <v>0.19</v>
      </c>
      <c r="L420" s="4">
        <v>90</v>
      </c>
      <c r="M420" s="4" t="str">
        <v>UPI</v>
      </c>
      <c r="N420" s="4">
        <v>16681.14</v>
      </c>
    </row>
    <row r="421" spans="1:14" x14ac:dyDescent="0.3">
      <c r="A421" s="4">
        <v>412</v>
      </c>
      <c r="B421" s="4">
        <v>45703</v>
      </c>
      <c r="C421" s="4">
        <v>1007</v>
      </c>
      <c r="D421" s="4" t="str">
        <v>Customer_24</v>
      </c>
      <c r="E421" s="4" t="str">
        <v>Consumer</v>
      </c>
      <c r="F421" s="4" t="str">
        <v>West</v>
      </c>
      <c r="G421" s="4" t="str">
        <v>Furniture</v>
      </c>
      <c r="H421" s="4" t="str">
        <v>Product_C</v>
      </c>
      <c r="I421" s="4">
        <v>3138</v>
      </c>
      <c r="J421" s="4">
        <v>8</v>
      </c>
      <c r="K421" s="4">
        <v>0.06</v>
      </c>
      <c r="L421" s="4">
        <v>281</v>
      </c>
      <c r="M421" s="4" t="str">
        <v>COD</v>
      </c>
      <c r="N421" s="4">
        <v>23597.759999999998</v>
      </c>
    </row>
    <row r="422" spans="1:14" x14ac:dyDescent="0.3">
      <c r="A422" s="4">
        <v>413</v>
      </c>
      <c r="B422" s="4">
        <v>45704</v>
      </c>
      <c r="C422" s="4">
        <v>1037</v>
      </c>
      <c r="D422" s="4" t="str">
        <v>Customer_5</v>
      </c>
      <c r="E422" s="4" t="str">
        <v>Corporate</v>
      </c>
      <c r="F422" s="4" t="str">
        <v>South</v>
      </c>
      <c r="G422" s="4" t="str">
        <v>Electronics</v>
      </c>
      <c r="H422" s="4" t="str">
        <v>Product_C</v>
      </c>
      <c r="I422" s="4">
        <v>2851</v>
      </c>
      <c r="J422" s="4">
        <v>4</v>
      </c>
      <c r="K422" s="4">
        <v>0.17</v>
      </c>
      <c r="L422" s="4">
        <v>385</v>
      </c>
      <c r="M422" s="4" t="str">
        <v>Card</v>
      </c>
      <c r="N422" s="4">
        <v>9465.32</v>
      </c>
    </row>
    <row r="423" spans="1:14" x14ac:dyDescent="0.3">
      <c r="A423" s="4">
        <v>414</v>
      </c>
      <c r="B423" s="4">
        <v>45705</v>
      </c>
      <c r="C423" s="4">
        <v>1019</v>
      </c>
      <c r="D423" s="4" t="str">
        <v>Customer_158</v>
      </c>
      <c r="E423" s="4" t="str">
        <v>Consumer</v>
      </c>
      <c r="F423" s="4" t="str">
        <v>East</v>
      </c>
      <c r="G423" s="4" t="str">
        <v>Clothing</v>
      </c>
      <c r="H423" s="4" t="str">
        <v>Product_A</v>
      </c>
      <c r="I423" s="4">
        <v>1181</v>
      </c>
      <c r="J423" s="4">
        <v>8</v>
      </c>
      <c r="K423" s="4">
        <v>0.13</v>
      </c>
      <c r="L423" s="4">
        <v>-134</v>
      </c>
      <c r="M423" s="4" t="str">
        <v>COD</v>
      </c>
      <c r="N423" s="4">
        <v>8219.76</v>
      </c>
    </row>
    <row r="424" spans="1:14" x14ac:dyDescent="0.3">
      <c r="A424" s="4">
        <v>415</v>
      </c>
      <c r="B424" s="4">
        <v>45706</v>
      </c>
      <c r="C424" s="4">
        <v>1063</v>
      </c>
      <c r="D424" s="4" t="str">
        <v>Customer_43</v>
      </c>
      <c r="E424" s="4" t="str">
        <v>Corporate</v>
      </c>
      <c r="F424" s="4" t="str">
        <v>West</v>
      </c>
      <c r="G424" s="4" t="str">
        <v>Furniture</v>
      </c>
      <c r="H424" s="4" t="str">
        <v>Product_A</v>
      </c>
      <c r="I424" s="4">
        <v>4382</v>
      </c>
      <c r="J424" s="4">
        <v>8</v>
      </c>
      <c r="K424" s="4">
        <v>0.28999999999999998</v>
      </c>
      <c r="L424" s="4">
        <v>420</v>
      </c>
      <c r="M424" s="4" t="str">
        <v>UPI</v>
      </c>
      <c r="N424" s="4">
        <v>24889.759999999998</v>
      </c>
    </row>
    <row r="425" spans="1:14" x14ac:dyDescent="0.3">
      <c r="A425" s="4">
        <v>417</v>
      </c>
      <c r="B425" s="4">
        <v>45708</v>
      </c>
      <c r="C425" s="4">
        <v>1089</v>
      </c>
      <c r="D425" s="4" t="str">
        <v>Customer_152</v>
      </c>
      <c r="E425" s="4" t="str">
        <v>Consumer</v>
      </c>
      <c r="F425" s="4" t="str">
        <v>South</v>
      </c>
      <c r="G425" s="4" t="str">
        <v>Electronics</v>
      </c>
      <c r="H425" s="4" t="str">
        <v>Product_B</v>
      </c>
      <c r="I425" s="4">
        <v>895</v>
      </c>
      <c r="J425" s="4">
        <v>7</v>
      </c>
      <c r="K425" s="4">
        <v>0.05</v>
      </c>
      <c r="L425" s="4">
        <v>305</v>
      </c>
      <c r="M425" s="4" t="str">
        <v>Card</v>
      </c>
      <c r="N425" s="4">
        <v>5951.75</v>
      </c>
    </row>
    <row r="426" spans="1:14" x14ac:dyDescent="0.3">
      <c r="A426" s="4">
        <v>418</v>
      </c>
      <c r="B426" s="4">
        <v>45709</v>
      </c>
      <c r="C426" s="4">
        <v>1030</v>
      </c>
      <c r="D426" s="4" t="str">
        <v>Customer_103</v>
      </c>
      <c r="E426" s="4" t="str">
        <v>Consumer</v>
      </c>
      <c r="F426" s="4" t="str">
        <v>North</v>
      </c>
      <c r="G426" s="4" t="str">
        <v>Clothing</v>
      </c>
      <c r="H426" s="4" t="str">
        <v>Product_D</v>
      </c>
      <c r="I426" s="4">
        <v>3786</v>
      </c>
      <c r="J426" s="4">
        <v>6</v>
      </c>
      <c r="K426" s="4">
        <v>0.26</v>
      </c>
      <c r="L426" s="4">
        <v>1046</v>
      </c>
      <c r="M426" s="4" t="str">
        <v>UPI</v>
      </c>
      <c r="N426" s="4">
        <v>16809.84</v>
      </c>
    </row>
    <row r="427" spans="1:14" x14ac:dyDescent="0.3">
      <c r="A427" s="4">
        <v>419</v>
      </c>
      <c r="B427" s="4">
        <v>45710</v>
      </c>
      <c r="C427" s="4">
        <v>1083</v>
      </c>
      <c r="D427" s="4" t="str">
        <v>Customer_142</v>
      </c>
      <c r="E427" s="4" t="str">
        <v>Corporate</v>
      </c>
      <c r="F427" s="4" t="str">
        <v>North</v>
      </c>
      <c r="G427" s="4" t="str">
        <v>Electronics</v>
      </c>
      <c r="H427" s="4" t="str">
        <v>Product_A</v>
      </c>
      <c r="I427" s="4">
        <v>1037</v>
      </c>
      <c r="J427" s="4">
        <v>9</v>
      </c>
      <c r="K427" s="4">
        <v>0.14000000000000001</v>
      </c>
      <c r="L427" s="4">
        <v>1107</v>
      </c>
      <c r="M427" s="4" t="str">
        <v>Card</v>
      </c>
      <c r="N427" s="4">
        <v>8026.38</v>
      </c>
    </row>
    <row r="428" spans="1:14" x14ac:dyDescent="0.3">
      <c r="A428" s="4">
        <v>420</v>
      </c>
      <c r="B428" s="4">
        <v>45711</v>
      </c>
      <c r="C428" s="4">
        <v>1069</v>
      </c>
      <c r="D428" s="4" t="str">
        <v>Customer_164</v>
      </c>
      <c r="E428" s="4" t="str">
        <v>Corporate</v>
      </c>
      <c r="F428" s="4" t="str">
        <v>East</v>
      </c>
      <c r="G428" s="4" t="str">
        <v>Clothing</v>
      </c>
      <c r="H428" s="4" t="str">
        <v>Product_B</v>
      </c>
      <c r="I428" s="4">
        <v>2011</v>
      </c>
      <c r="J428" s="4">
        <v>8</v>
      </c>
      <c r="K428" s="4">
        <v>0.25</v>
      </c>
      <c r="L428" s="4">
        <v>1506</v>
      </c>
      <c r="M428" s="4" t="str">
        <v>Card</v>
      </c>
      <c r="N428" s="4">
        <v>12066</v>
      </c>
    </row>
    <row r="429" spans="1:14" x14ac:dyDescent="0.3">
      <c r="A429" s="4">
        <v>426</v>
      </c>
      <c r="B429" s="4">
        <v>45717</v>
      </c>
      <c r="C429" s="4">
        <v>1065</v>
      </c>
      <c r="D429" s="4" t="str">
        <v>Customer_40</v>
      </c>
      <c r="E429" s="4" t="str">
        <v>Consumer</v>
      </c>
      <c r="F429" s="4" t="str">
        <v>North</v>
      </c>
      <c r="G429" s="4" t="str">
        <v>Clothing</v>
      </c>
      <c r="H429" s="4" t="str">
        <v>Product_A</v>
      </c>
      <c r="I429" s="4">
        <v>2662</v>
      </c>
      <c r="J429" s="4">
        <v>3</v>
      </c>
      <c r="K429" s="4">
        <v>0.04</v>
      </c>
      <c r="L429" s="4">
        <v>1264</v>
      </c>
      <c r="M429" s="4" t="str">
        <v>UPI</v>
      </c>
      <c r="N429" s="4">
        <v>7666.5599999999904</v>
      </c>
    </row>
    <row r="430" spans="1:14" x14ac:dyDescent="0.3">
      <c r="A430" s="4">
        <v>429</v>
      </c>
      <c r="B430" s="4">
        <v>45720</v>
      </c>
      <c r="C430" s="4">
        <v>1028</v>
      </c>
      <c r="D430" s="4" t="str">
        <v>Customer_49</v>
      </c>
      <c r="E430" s="4" t="str">
        <v>Corporate</v>
      </c>
      <c r="F430" s="4" t="str">
        <v>West</v>
      </c>
      <c r="G430" s="4" t="str">
        <v>Electronics</v>
      </c>
      <c r="H430" s="4" t="str">
        <v>Product_D</v>
      </c>
      <c r="I430" s="4">
        <v>1966</v>
      </c>
      <c r="J430" s="4">
        <v>3</v>
      </c>
      <c r="K430" s="4">
        <v>0.08</v>
      </c>
      <c r="L430" s="4">
        <v>919</v>
      </c>
      <c r="M430" s="4" t="str">
        <v>Card</v>
      </c>
      <c r="N430" s="4">
        <v>5426.16</v>
      </c>
    </row>
    <row r="431" spans="1:14" x14ac:dyDescent="0.3">
      <c r="A431" s="4">
        <v>431</v>
      </c>
      <c r="B431" s="4">
        <v>45722</v>
      </c>
      <c r="C431" s="4">
        <v>1040</v>
      </c>
      <c r="D431" s="4" t="str">
        <v>Customer_147</v>
      </c>
      <c r="E431" s="4" t="str">
        <v>Corporate</v>
      </c>
      <c r="F431" s="4" t="str">
        <v>East</v>
      </c>
      <c r="G431" s="4" t="str">
        <v>Furniture</v>
      </c>
      <c r="H431" s="4" t="str">
        <v>Product_D</v>
      </c>
      <c r="I431" s="4">
        <v>3878</v>
      </c>
      <c r="J431" s="4">
        <v>6</v>
      </c>
      <c r="K431" s="4">
        <v>0.3</v>
      </c>
      <c r="L431" s="4">
        <v>227</v>
      </c>
      <c r="M431" s="4" t="str">
        <v>Card</v>
      </c>
      <c r="N431" s="4">
        <v>16287.5999999999</v>
      </c>
    </row>
    <row r="432" spans="1:14" x14ac:dyDescent="0.3">
      <c r="A432" s="4">
        <v>432</v>
      </c>
      <c r="B432" s="4">
        <v>45723</v>
      </c>
      <c r="C432" s="4">
        <v>1020</v>
      </c>
      <c r="D432" s="4" t="str">
        <v>Customer_140</v>
      </c>
      <c r="E432" s="4" t="str">
        <v>Consumer</v>
      </c>
      <c r="F432" s="4" t="str">
        <v>North</v>
      </c>
      <c r="G432" s="4" t="str">
        <v>Clothing</v>
      </c>
      <c r="H432" s="4" t="str">
        <v>Product_C</v>
      </c>
      <c r="I432" s="4">
        <v>2387</v>
      </c>
      <c r="J432" s="4">
        <v>9</v>
      </c>
      <c r="K432" s="4">
        <v>0.14000000000000001</v>
      </c>
      <c r="L432" s="4">
        <v>-68</v>
      </c>
      <c r="M432" s="4" t="str">
        <v>COD</v>
      </c>
      <c r="N432" s="4">
        <v>18475.38</v>
      </c>
    </row>
    <row r="433" spans="1:14" x14ac:dyDescent="0.3">
      <c r="A433" s="4">
        <v>433</v>
      </c>
      <c r="B433" s="4">
        <v>45724</v>
      </c>
      <c r="C433" s="4">
        <v>1054</v>
      </c>
      <c r="D433" s="4" t="str">
        <v>Customer_36</v>
      </c>
      <c r="E433" s="4" t="str">
        <v>Consumer</v>
      </c>
      <c r="F433" s="4" t="str">
        <v>North</v>
      </c>
      <c r="G433" s="4" t="str">
        <v>Furniture</v>
      </c>
      <c r="H433" s="4" t="str">
        <v>Product_A</v>
      </c>
      <c r="I433" s="4">
        <v>3414</v>
      </c>
      <c r="J433" s="4">
        <v>3</v>
      </c>
      <c r="K433" s="4">
        <v>0.16</v>
      </c>
      <c r="L433" s="4">
        <v>1361</v>
      </c>
      <c r="M433" s="4" t="str">
        <v>UPI</v>
      </c>
      <c r="N433" s="4">
        <v>8603.2799999999897</v>
      </c>
    </row>
    <row r="434" spans="1:14" x14ac:dyDescent="0.3">
      <c r="A434" s="4">
        <v>435</v>
      </c>
      <c r="B434" s="4">
        <v>45726</v>
      </c>
      <c r="C434" s="4">
        <v>1095</v>
      </c>
      <c r="D434" s="4" t="str">
        <v>Customer_94</v>
      </c>
      <c r="E434" s="4" t="str">
        <v>Consumer</v>
      </c>
      <c r="F434" s="4" t="str">
        <v>East</v>
      </c>
      <c r="G434" s="4" t="str">
        <v>Electronics</v>
      </c>
      <c r="H434" s="4" t="str">
        <v>Product_A</v>
      </c>
      <c r="I434" s="4">
        <v>3695</v>
      </c>
      <c r="J434" s="4">
        <v>9</v>
      </c>
      <c r="K434" s="4">
        <v>0.02</v>
      </c>
      <c r="L434" s="4">
        <v>1064</v>
      </c>
      <c r="M434" s="4" t="str">
        <v>COD</v>
      </c>
      <c r="N434" s="4">
        <v>32589.8999999999</v>
      </c>
    </row>
    <row r="435" spans="1:14" x14ac:dyDescent="0.3">
      <c r="A435" s="4">
        <v>436</v>
      </c>
      <c r="B435" s="4">
        <v>45727</v>
      </c>
      <c r="C435" s="4">
        <v>1039</v>
      </c>
      <c r="D435" s="4" t="str">
        <v>Customer_108</v>
      </c>
      <c r="E435" s="4" t="str">
        <v>Corporate</v>
      </c>
      <c r="F435" s="4" t="str">
        <v>East</v>
      </c>
      <c r="G435" s="4" t="str">
        <v>Furniture</v>
      </c>
      <c r="H435" s="4" t="str">
        <v>Product_C</v>
      </c>
      <c r="I435" s="4">
        <v>4987</v>
      </c>
      <c r="J435" s="4">
        <v>8</v>
      </c>
      <c r="K435" s="4">
        <v>0.12</v>
      </c>
      <c r="L435" s="4">
        <v>1901</v>
      </c>
      <c r="M435" s="4" t="str">
        <v>UPI</v>
      </c>
      <c r="N435" s="4">
        <v>35108.480000000003</v>
      </c>
    </row>
    <row r="436" spans="1:14" x14ac:dyDescent="0.3">
      <c r="A436" s="4">
        <v>437</v>
      </c>
      <c r="B436" s="4">
        <v>45728</v>
      </c>
      <c r="C436" s="4">
        <v>1025</v>
      </c>
      <c r="D436" s="4" t="str">
        <v>Customer_33</v>
      </c>
      <c r="E436" s="4" t="str">
        <v>Corporate</v>
      </c>
      <c r="F436" s="4" t="str">
        <v>South</v>
      </c>
      <c r="G436" s="4" t="str">
        <v>Clothing</v>
      </c>
      <c r="H436" s="4" t="str">
        <v>Product_C</v>
      </c>
      <c r="I436" s="4">
        <v>1502</v>
      </c>
      <c r="J436" s="4">
        <v>9</v>
      </c>
      <c r="K436" s="4">
        <v>0.27</v>
      </c>
      <c r="L436" s="4">
        <v>407</v>
      </c>
      <c r="M436" s="4" t="str">
        <v>UPI</v>
      </c>
      <c r="N436" s="4">
        <v>9868.14</v>
      </c>
    </row>
    <row r="437" spans="1:14" x14ac:dyDescent="0.3">
      <c r="A437" s="4">
        <v>438</v>
      </c>
      <c r="B437" s="4">
        <v>45729</v>
      </c>
      <c r="C437" s="4">
        <v>1047</v>
      </c>
      <c r="D437" s="4" t="str">
        <v>Customer_108</v>
      </c>
      <c r="E437" s="4" t="str">
        <v>Corporate</v>
      </c>
      <c r="F437" s="4" t="str">
        <v>South</v>
      </c>
      <c r="G437" s="4" t="str">
        <v>Furniture</v>
      </c>
      <c r="H437" s="4" t="str">
        <v>Product_C</v>
      </c>
      <c r="I437" s="4">
        <v>2678</v>
      </c>
      <c r="J437" s="4">
        <v>9</v>
      </c>
      <c r="K437" s="4">
        <v>0.28000000000000003</v>
      </c>
      <c r="L437" s="4">
        <v>-115</v>
      </c>
      <c r="M437" s="4" t="str">
        <v>UPI</v>
      </c>
      <c r="N437" s="4">
        <v>17353.439999999999</v>
      </c>
    </row>
    <row r="438" spans="1:14" x14ac:dyDescent="0.3">
      <c r="A438" s="4">
        <v>439</v>
      </c>
      <c r="B438" s="4">
        <v>45730</v>
      </c>
      <c r="C438" s="4">
        <v>1076</v>
      </c>
      <c r="D438" s="4" t="str">
        <v>Customer_127</v>
      </c>
      <c r="E438" s="4" t="str">
        <v>Corporate</v>
      </c>
      <c r="F438" s="4" t="str">
        <v>North</v>
      </c>
      <c r="G438" s="4" t="str">
        <v>Clothing</v>
      </c>
      <c r="H438" s="4" t="str">
        <v>Product_C</v>
      </c>
      <c r="I438" s="4">
        <v>3044</v>
      </c>
      <c r="J438" s="4">
        <v>3</v>
      </c>
      <c r="K438" s="4">
        <v>0.15</v>
      </c>
      <c r="L438" s="4">
        <v>151</v>
      </c>
      <c r="M438" s="4" t="str">
        <v>UPI</v>
      </c>
      <c r="N438" s="4">
        <v>7762.2</v>
      </c>
    </row>
    <row r="439" spans="1:14" x14ac:dyDescent="0.3">
      <c r="A439" s="4">
        <v>444</v>
      </c>
      <c r="B439" s="4">
        <v>45735</v>
      </c>
      <c r="C439" s="4">
        <v>1041</v>
      </c>
      <c r="D439" s="4" t="str">
        <v>Customer_101</v>
      </c>
      <c r="E439" s="4" t="str">
        <v>Consumer</v>
      </c>
      <c r="F439" s="4" t="str">
        <v>West</v>
      </c>
      <c r="G439" s="4" t="str">
        <v>Electronics</v>
      </c>
      <c r="H439" s="4" t="str">
        <v>Product_D</v>
      </c>
      <c r="I439" s="4">
        <v>4983</v>
      </c>
      <c r="J439" s="4">
        <v>2</v>
      </c>
      <c r="K439" s="4">
        <v>0.25</v>
      </c>
      <c r="L439" s="4">
        <v>159</v>
      </c>
      <c r="M439" s="4" t="str">
        <v>COD</v>
      </c>
      <c r="N439" s="4">
        <v>7474.5</v>
      </c>
    </row>
    <row r="440" spans="1:14" x14ac:dyDescent="0.3">
      <c r="A440" s="4">
        <v>445</v>
      </c>
      <c r="B440" s="4">
        <v>45736</v>
      </c>
      <c r="C440" s="4">
        <v>1076</v>
      </c>
      <c r="D440" s="4" t="str">
        <v>Customer_31</v>
      </c>
      <c r="E440" s="4" t="str">
        <v>Consumer</v>
      </c>
      <c r="F440" s="4" t="str">
        <v>West</v>
      </c>
      <c r="G440" s="4" t="str">
        <v>Clothing</v>
      </c>
      <c r="H440" s="4" t="str">
        <v>Product_A</v>
      </c>
      <c r="I440" s="4">
        <v>2328</v>
      </c>
      <c r="J440" s="4">
        <v>4</v>
      </c>
      <c r="K440" s="4">
        <v>0.06</v>
      </c>
      <c r="L440" s="4">
        <v>878</v>
      </c>
      <c r="M440" s="4" t="str">
        <v>COD</v>
      </c>
      <c r="N440" s="4">
        <v>8753.2799999999897</v>
      </c>
    </row>
    <row r="441" spans="1:14" x14ac:dyDescent="0.3">
      <c r="A441" s="4">
        <v>446</v>
      </c>
      <c r="B441" s="4">
        <v>45737</v>
      </c>
      <c r="C441" s="4">
        <v>1042</v>
      </c>
      <c r="D441" s="4" t="str">
        <v>Customer_50</v>
      </c>
      <c r="E441" s="4" t="str">
        <v>Consumer</v>
      </c>
      <c r="F441" s="4" t="str">
        <v>East</v>
      </c>
      <c r="G441" s="4" t="str">
        <v>Furniture</v>
      </c>
      <c r="H441" s="4" t="str">
        <v>Product_D</v>
      </c>
      <c r="I441" s="4">
        <v>4886</v>
      </c>
      <c r="J441" s="4">
        <v>8</v>
      </c>
      <c r="K441" s="4">
        <v>0</v>
      </c>
      <c r="L441" s="4">
        <v>-420</v>
      </c>
      <c r="M441" s="4" t="str">
        <v>UPI</v>
      </c>
      <c r="N441" s="4">
        <v>39088</v>
      </c>
    </row>
    <row r="442" spans="1:14" x14ac:dyDescent="0.3">
      <c r="A442" s="4">
        <v>447</v>
      </c>
      <c r="B442" s="4">
        <v>45738</v>
      </c>
      <c r="C442" s="4">
        <v>1069</v>
      </c>
      <c r="D442" s="4" t="str">
        <v>Customer_170</v>
      </c>
      <c r="E442" s="4" t="str">
        <v>Consumer</v>
      </c>
      <c r="F442" s="4" t="str">
        <v>West</v>
      </c>
      <c r="G442" s="4" t="str">
        <v>Clothing</v>
      </c>
      <c r="H442" s="4" t="str">
        <v>Product_C</v>
      </c>
      <c r="I442" s="4">
        <v>2947</v>
      </c>
      <c r="J442" s="4">
        <v>6</v>
      </c>
      <c r="K442" s="4">
        <v>0.15</v>
      </c>
      <c r="L442" s="4">
        <v>963</v>
      </c>
      <c r="M442" s="4" t="str">
        <v>Card</v>
      </c>
      <c r="N442" s="4">
        <v>15029.699999999901</v>
      </c>
    </row>
    <row r="443" spans="1:14" x14ac:dyDescent="0.3">
      <c r="A443" s="4">
        <v>448</v>
      </c>
      <c r="B443" s="4">
        <v>45739</v>
      </c>
      <c r="C443" s="4">
        <v>1003</v>
      </c>
      <c r="D443" s="4" t="str">
        <v>Customer_103</v>
      </c>
      <c r="E443" s="4" t="str">
        <v>Corporate</v>
      </c>
      <c r="F443" s="4" t="str">
        <v>East</v>
      </c>
      <c r="G443" s="4" t="str">
        <v>Furniture</v>
      </c>
      <c r="H443" s="4" t="str">
        <v>Product_A</v>
      </c>
      <c r="I443" s="4">
        <v>3985</v>
      </c>
      <c r="J443" s="4">
        <v>4</v>
      </c>
      <c r="K443" s="4">
        <v>0.28999999999999998</v>
      </c>
      <c r="L443" s="4">
        <v>735</v>
      </c>
      <c r="M443" s="4" t="str">
        <v>Card</v>
      </c>
      <c r="N443" s="4">
        <v>11317.4</v>
      </c>
    </row>
    <row r="444" spans="1:14" x14ac:dyDescent="0.3">
      <c r="A444" s="4">
        <v>450</v>
      </c>
      <c r="B444" s="4">
        <v>45741</v>
      </c>
      <c r="C444" s="4">
        <v>1069</v>
      </c>
      <c r="D444" s="4" t="str">
        <v>Customer_196</v>
      </c>
      <c r="E444" s="4" t="str">
        <v>Consumer</v>
      </c>
      <c r="F444" s="4" t="str">
        <v>West</v>
      </c>
      <c r="G444" s="4" t="str">
        <v>Clothing</v>
      </c>
      <c r="H444" s="4" t="str">
        <v>Product_A</v>
      </c>
      <c r="I444" s="4">
        <v>3283</v>
      </c>
      <c r="J444" s="4">
        <v>6</v>
      </c>
      <c r="K444" s="4">
        <v>0.18</v>
      </c>
      <c r="L444" s="4">
        <v>-475</v>
      </c>
      <c r="M444" s="4" t="str">
        <v>Card</v>
      </c>
      <c r="N444" s="4">
        <v>16152.36</v>
      </c>
    </row>
    <row r="445" spans="1:14" x14ac:dyDescent="0.3">
      <c r="A445" s="4">
        <v>452</v>
      </c>
      <c r="B445" s="4">
        <v>45743</v>
      </c>
      <c r="C445" s="4">
        <v>1066</v>
      </c>
      <c r="D445" s="4" t="str">
        <v>Customer_60</v>
      </c>
      <c r="E445" s="4" t="str">
        <v>Corporate</v>
      </c>
      <c r="F445" s="4" t="str">
        <v>North</v>
      </c>
      <c r="G445" s="4" t="str">
        <v>Electronics</v>
      </c>
      <c r="H445" s="4" t="str">
        <v>Product_B</v>
      </c>
      <c r="I445" s="4">
        <v>4411</v>
      </c>
      <c r="J445" s="4">
        <v>5</v>
      </c>
      <c r="K445" s="4">
        <v>0</v>
      </c>
      <c r="L445" s="4">
        <v>1052</v>
      </c>
      <c r="M445" s="4" t="str">
        <v>COD</v>
      </c>
      <c r="N445" s="4">
        <v>22055</v>
      </c>
    </row>
    <row r="446" spans="1:14" x14ac:dyDescent="0.3">
      <c r="A446" s="4">
        <v>453</v>
      </c>
      <c r="B446" s="4">
        <v>45744</v>
      </c>
      <c r="C446" s="4">
        <v>1090</v>
      </c>
      <c r="D446" s="4" t="str">
        <v>Customer_19</v>
      </c>
      <c r="E446" s="4" t="str">
        <v>Corporate</v>
      </c>
      <c r="F446" s="4" t="str">
        <v>North</v>
      </c>
      <c r="G446" s="4" t="str">
        <v>Furniture</v>
      </c>
      <c r="H446" s="4" t="str">
        <v>Product_A</v>
      </c>
      <c r="I446" s="4">
        <v>2976</v>
      </c>
      <c r="J446" s="4">
        <v>4</v>
      </c>
      <c r="K446" s="4">
        <v>0.15</v>
      </c>
      <c r="L446" s="4">
        <v>1151</v>
      </c>
      <c r="M446" s="4" t="str">
        <v>Card</v>
      </c>
      <c r="N446" s="4">
        <v>10118.4</v>
      </c>
    </row>
    <row r="447" spans="1:14" x14ac:dyDescent="0.3">
      <c r="A447" s="4">
        <v>455</v>
      </c>
      <c r="B447" s="4">
        <v>45746</v>
      </c>
      <c r="C447" s="4">
        <v>1017</v>
      </c>
      <c r="D447" s="4" t="str">
        <v>Customer_40</v>
      </c>
      <c r="E447" s="4" t="str">
        <v>Corporate</v>
      </c>
      <c r="F447" s="4" t="str">
        <v>West</v>
      </c>
      <c r="G447" s="4" t="str">
        <v>Electronics</v>
      </c>
      <c r="H447" s="4" t="str">
        <v>Product_D</v>
      </c>
      <c r="I447" s="4">
        <v>2002</v>
      </c>
      <c r="J447" s="4">
        <v>9</v>
      </c>
      <c r="K447" s="4">
        <v>0.1</v>
      </c>
      <c r="L447" s="4">
        <v>-460</v>
      </c>
      <c r="M447" s="4" t="str">
        <v>UPI</v>
      </c>
      <c r="N447" s="4">
        <v>16216.2</v>
      </c>
    </row>
    <row r="448" spans="1:14" x14ac:dyDescent="0.3">
      <c r="A448" s="4">
        <v>458</v>
      </c>
      <c r="B448" s="4">
        <v>45749</v>
      </c>
      <c r="C448" s="4">
        <v>1073</v>
      </c>
      <c r="D448" s="4" t="str">
        <v>Customer_42</v>
      </c>
      <c r="E448" s="4" t="str">
        <v>Corporate</v>
      </c>
      <c r="F448" s="4" t="str">
        <v>West</v>
      </c>
      <c r="G448" s="4" t="str">
        <v>Clothing</v>
      </c>
      <c r="H448" s="4" t="str">
        <v>Product_D</v>
      </c>
      <c r="I448" s="4">
        <v>1801</v>
      </c>
      <c r="J448" s="4">
        <v>8</v>
      </c>
      <c r="K448" s="4">
        <v>0.03</v>
      </c>
      <c r="L448" s="4">
        <v>1897</v>
      </c>
      <c r="M448" s="4" t="str">
        <v>Card</v>
      </c>
      <c r="N448" s="4">
        <v>13975.76</v>
      </c>
    </row>
    <row r="449" spans="1:14" x14ac:dyDescent="0.3">
      <c r="A449" s="4">
        <v>459</v>
      </c>
      <c r="B449" s="4">
        <v>45750</v>
      </c>
      <c r="C449" s="4">
        <v>1051</v>
      </c>
      <c r="D449" s="4" t="str">
        <v>Customer_70</v>
      </c>
      <c r="E449" s="4" t="str">
        <v>Corporate</v>
      </c>
      <c r="F449" s="4" t="str">
        <v>East</v>
      </c>
      <c r="G449" s="4" t="str">
        <v>Clothing</v>
      </c>
      <c r="H449" s="4" t="str">
        <v>Product_C</v>
      </c>
      <c r="I449" s="4">
        <v>4044</v>
      </c>
      <c r="J449" s="4">
        <v>6</v>
      </c>
      <c r="K449" s="4">
        <v>0.13</v>
      </c>
      <c r="L449" s="4">
        <v>-422</v>
      </c>
      <c r="M449" s="4" t="str">
        <v>Card</v>
      </c>
      <c r="N449" s="4">
        <v>21109.68</v>
      </c>
    </row>
    <row r="450" spans="1:14" x14ac:dyDescent="0.3">
      <c r="A450" s="4">
        <v>460</v>
      </c>
      <c r="B450" s="4">
        <v>45751</v>
      </c>
      <c r="C450" s="4">
        <v>1022</v>
      </c>
      <c r="D450" s="4" t="str">
        <v>Customer_152</v>
      </c>
      <c r="E450" s="4" t="str">
        <v>Corporate</v>
      </c>
      <c r="F450" s="4" t="str">
        <v>East</v>
      </c>
      <c r="G450" s="4" t="str">
        <v>Electronics</v>
      </c>
      <c r="H450" s="4" t="str">
        <v>Product_D</v>
      </c>
      <c r="I450" s="4">
        <v>1017</v>
      </c>
      <c r="J450" s="4">
        <v>8</v>
      </c>
      <c r="K450" s="4">
        <v>0.12</v>
      </c>
      <c r="L450" s="4">
        <v>622</v>
      </c>
      <c r="M450" s="4" t="str">
        <v>COD</v>
      </c>
      <c r="N450" s="4">
        <v>7159.68</v>
      </c>
    </row>
    <row r="451" spans="1:14" x14ac:dyDescent="0.3">
      <c r="A451" s="4">
        <v>462</v>
      </c>
      <c r="B451" s="4">
        <v>45753</v>
      </c>
      <c r="C451" s="4">
        <v>1002</v>
      </c>
      <c r="D451" s="4" t="str">
        <v>Customer_53</v>
      </c>
      <c r="E451" s="4" t="str">
        <v>Consumer</v>
      </c>
      <c r="F451" s="4" t="str">
        <v>West</v>
      </c>
      <c r="G451" s="4" t="str">
        <v>Electronics</v>
      </c>
      <c r="H451" s="4" t="str">
        <v>Product_C</v>
      </c>
      <c r="I451" s="4">
        <v>3212</v>
      </c>
      <c r="J451" s="4">
        <v>3</v>
      </c>
      <c r="K451" s="4">
        <v>0.16</v>
      </c>
      <c r="L451" s="4">
        <v>-72</v>
      </c>
      <c r="M451" s="4" t="str">
        <v>COD</v>
      </c>
      <c r="N451" s="4">
        <v>8094.24</v>
      </c>
    </row>
    <row r="452" spans="1:14" x14ac:dyDescent="0.3">
      <c r="A452" s="4">
        <v>463</v>
      </c>
      <c r="B452" s="4">
        <v>45754</v>
      </c>
      <c r="C452" s="4">
        <v>1049</v>
      </c>
      <c r="D452" s="4" t="str">
        <v>Customer_78</v>
      </c>
      <c r="E452" s="4" t="str">
        <v>Consumer</v>
      </c>
      <c r="F452" s="4" t="str">
        <v>South</v>
      </c>
      <c r="G452" s="4" t="str">
        <v>Furniture</v>
      </c>
      <c r="H452" s="4" t="str">
        <v>Product_C</v>
      </c>
      <c r="I452" s="4">
        <v>1965</v>
      </c>
      <c r="J452" s="4">
        <v>7</v>
      </c>
      <c r="K452" s="4">
        <v>0.13</v>
      </c>
      <c r="L452" s="4">
        <v>510</v>
      </c>
      <c r="M452" s="4" t="str">
        <v>COD</v>
      </c>
      <c r="N452" s="4">
        <v>11966.85</v>
      </c>
    </row>
    <row r="453" spans="1:14" x14ac:dyDescent="0.3">
      <c r="A453" s="4">
        <v>465</v>
      </c>
      <c r="B453" s="4">
        <v>45756</v>
      </c>
      <c r="C453" s="4">
        <v>1018</v>
      </c>
      <c r="D453" s="4" t="str">
        <v>Customer_153</v>
      </c>
      <c r="E453" s="4" t="str">
        <v>Consumer</v>
      </c>
      <c r="F453" s="4" t="str">
        <v>West</v>
      </c>
      <c r="G453" s="4" t="str">
        <v>Clothing</v>
      </c>
      <c r="H453" s="4" t="str">
        <v>Product_C</v>
      </c>
      <c r="I453" s="4">
        <v>1951</v>
      </c>
      <c r="J453" s="4">
        <v>5</v>
      </c>
      <c r="K453" s="4">
        <v>0.02</v>
      </c>
      <c r="L453" s="4">
        <v>575</v>
      </c>
      <c r="M453" s="4" t="str">
        <v>Card</v>
      </c>
      <c r="N453" s="4">
        <v>9559.9</v>
      </c>
    </row>
    <row r="454" spans="1:14" x14ac:dyDescent="0.3">
      <c r="A454" s="4">
        <v>466</v>
      </c>
      <c r="B454" s="4">
        <v>45757</v>
      </c>
      <c r="C454" s="4">
        <v>1035</v>
      </c>
      <c r="D454" s="4" t="str">
        <v>Customer_145</v>
      </c>
      <c r="E454" s="4" t="str">
        <v>Consumer</v>
      </c>
      <c r="F454" s="4" t="str">
        <v>North</v>
      </c>
      <c r="G454" s="4" t="str">
        <v>Furniture</v>
      </c>
      <c r="H454" s="4" t="str">
        <v>Product_D</v>
      </c>
      <c r="I454" s="4">
        <v>930</v>
      </c>
      <c r="J454" s="4">
        <v>9</v>
      </c>
      <c r="K454" s="4">
        <v>0.04</v>
      </c>
      <c r="L454" s="4">
        <v>-226</v>
      </c>
      <c r="M454" s="4" t="str">
        <v>Card</v>
      </c>
      <c r="N454" s="4">
        <v>8035.2</v>
      </c>
    </row>
    <row r="455" spans="1:14" x14ac:dyDescent="0.3">
      <c r="A455" s="4">
        <v>469</v>
      </c>
      <c r="B455" s="4">
        <v>45760</v>
      </c>
      <c r="C455" s="4">
        <v>1091</v>
      </c>
      <c r="D455" s="4" t="str">
        <v>Customer_110</v>
      </c>
      <c r="E455" s="4" t="str">
        <v>Corporate</v>
      </c>
      <c r="F455" s="4" t="str">
        <v>East</v>
      </c>
      <c r="G455" s="4" t="str">
        <v>Electronics</v>
      </c>
      <c r="H455" s="4" t="str">
        <v>Product_A</v>
      </c>
      <c r="I455" s="4">
        <v>4972</v>
      </c>
      <c r="J455" s="4">
        <v>3</v>
      </c>
      <c r="K455" s="4">
        <v>0.2</v>
      </c>
      <c r="L455" s="4">
        <v>1594</v>
      </c>
      <c r="M455" s="4" t="str">
        <v>COD</v>
      </c>
      <c r="N455" s="4">
        <v>11932.8</v>
      </c>
    </row>
    <row r="456" spans="1:14" x14ac:dyDescent="0.3">
      <c r="A456" s="4">
        <v>470</v>
      </c>
      <c r="B456" s="4">
        <v>45761</v>
      </c>
      <c r="C456" s="4">
        <v>1071</v>
      </c>
      <c r="D456" s="4" t="str">
        <v>Customer_163</v>
      </c>
      <c r="E456" s="4" t="str">
        <v>Consumer</v>
      </c>
      <c r="F456" s="4" t="str">
        <v>South</v>
      </c>
      <c r="G456" s="4" t="str">
        <v>Furniture</v>
      </c>
      <c r="H456" s="4" t="str">
        <v>Product_C</v>
      </c>
      <c r="I456" s="4">
        <v>1905</v>
      </c>
      <c r="J456" s="4">
        <v>7</v>
      </c>
      <c r="K456" s="4">
        <v>0.28999999999999998</v>
      </c>
      <c r="L456" s="4">
        <v>-284</v>
      </c>
      <c r="M456" s="4" t="str">
        <v>UPI</v>
      </c>
      <c r="N456" s="4">
        <v>9467.85</v>
      </c>
    </row>
    <row r="457" spans="1:14" x14ac:dyDescent="0.3">
      <c r="A457" s="4">
        <v>471</v>
      </c>
      <c r="B457" s="4">
        <v>45762</v>
      </c>
      <c r="C457" s="4">
        <v>1071</v>
      </c>
      <c r="D457" s="4" t="str">
        <v>Customer_56</v>
      </c>
      <c r="E457" s="4" t="str">
        <v>Corporate</v>
      </c>
      <c r="F457" s="4" t="str">
        <v>North</v>
      </c>
      <c r="G457" s="4" t="str">
        <v>Furniture</v>
      </c>
      <c r="H457" s="4" t="str">
        <v>Product_B</v>
      </c>
      <c r="I457" s="4">
        <v>4820</v>
      </c>
      <c r="J457" s="4">
        <v>8</v>
      </c>
      <c r="K457" s="4">
        <v>0.27</v>
      </c>
      <c r="L457" s="4">
        <v>148</v>
      </c>
      <c r="M457" s="4" t="str">
        <v>COD</v>
      </c>
      <c r="N457" s="4">
        <v>28148.799999999999</v>
      </c>
    </row>
    <row r="458" spans="1:14" x14ac:dyDescent="0.3">
      <c r="A458" s="4">
        <v>472</v>
      </c>
      <c r="B458" s="4">
        <v>45763</v>
      </c>
      <c r="C458" s="4">
        <v>1081</v>
      </c>
      <c r="D458" s="4" t="str">
        <v>Customer_28</v>
      </c>
      <c r="E458" s="4" t="str">
        <v>Corporate</v>
      </c>
      <c r="F458" s="4" t="str">
        <v>North</v>
      </c>
      <c r="G458" s="4" t="str">
        <v>Furniture</v>
      </c>
      <c r="H458" s="4" t="str">
        <v>Product_C</v>
      </c>
      <c r="I458" s="4">
        <v>2519</v>
      </c>
      <c r="J458" s="4">
        <v>8</v>
      </c>
      <c r="K458" s="4">
        <v>0.13</v>
      </c>
      <c r="L458" s="4">
        <v>1049</v>
      </c>
      <c r="M458" s="4" t="str">
        <v>COD</v>
      </c>
      <c r="N458" s="4">
        <v>17532.240000000002</v>
      </c>
    </row>
    <row r="459" spans="1:14" x14ac:dyDescent="0.3">
      <c r="A459" s="4">
        <v>475</v>
      </c>
      <c r="B459" s="4">
        <v>45766</v>
      </c>
      <c r="C459" s="4">
        <v>1026</v>
      </c>
      <c r="D459" s="4" t="str">
        <v>Customer_65</v>
      </c>
      <c r="E459" s="4" t="str">
        <v>Corporate</v>
      </c>
      <c r="F459" s="4" t="str">
        <v>West</v>
      </c>
      <c r="G459" s="4" t="str">
        <v>Clothing</v>
      </c>
      <c r="H459" s="4" t="str">
        <v>Product_D</v>
      </c>
      <c r="I459" s="4">
        <v>4109</v>
      </c>
      <c r="J459" s="4">
        <v>5</v>
      </c>
      <c r="K459" s="4">
        <v>0.13</v>
      </c>
      <c r="L459" s="4">
        <v>630</v>
      </c>
      <c r="M459" s="4" t="str">
        <v>UPI</v>
      </c>
      <c r="N459" s="4">
        <v>17874.150000000001</v>
      </c>
    </row>
    <row r="460" spans="1:14" x14ac:dyDescent="0.3">
      <c r="A460" s="4">
        <v>478</v>
      </c>
      <c r="B460" s="4">
        <v>45769</v>
      </c>
      <c r="C460" s="4">
        <v>1052</v>
      </c>
      <c r="D460" s="4" t="str">
        <v>Customer_131</v>
      </c>
      <c r="E460" s="4" t="str">
        <v>Corporate</v>
      </c>
      <c r="F460" s="4" t="str">
        <v>West</v>
      </c>
      <c r="G460" s="4" t="str">
        <v>Electronics</v>
      </c>
      <c r="H460" s="4" t="str">
        <v>Product_C</v>
      </c>
      <c r="I460" s="4">
        <v>3861</v>
      </c>
      <c r="J460" s="4">
        <v>4</v>
      </c>
      <c r="K460" s="4">
        <v>0.16</v>
      </c>
      <c r="L460" s="4">
        <v>1739</v>
      </c>
      <c r="M460" s="4" t="str">
        <v>Card</v>
      </c>
      <c r="N460" s="4">
        <v>12972.96</v>
      </c>
    </row>
    <row r="461" spans="1:14" x14ac:dyDescent="0.3">
      <c r="A461" s="4">
        <v>479</v>
      </c>
      <c r="B461" s="4">
        <v>45770</v>
      </c>
      <c r="C461" s="4">
        <v>1079</v>
      </c>
      <c r="D461" s="4" t="str">
        <v>Customer_187</v>
      </c>
      <c r="E461" s="4" t="str">
        <v>Corporate</v>
      </c>
      <c r="F461" s="4" t="str">
        <v>North</v>
      </c>
      <c r="G461" s="4" t="str">
        <v>Electronics</v>
      </c>
      <c r="H461" s="4" t="str">
        <v>Product_C</v>
      </c>
      <c r="I461" s="4">
        <v>3679</v>
      </c>
      <c r="J461" s="4">
        <v>6</v>
      </c>
      <c r="K461" s="4">
        <v>0.13</v>
      </c>
      <c r="L461" s="4">
        <v>1506</v>
      </c>
      <c r="M461" s="4" t="str">
        <v>COD</v>
      </c>
      <c r="N461" s="4">
        <v>19204.38</v>
      </c>
    </row>
    <row r="462" spans="1:14" x14ac:dyDescent="0.3">
      <c r="A462" s="4">
        <v>480</v>
      </c>
      <c r="B462" s="4">
        <v>45771</v>
      </c>
      <c r="C462" s="4">
        <v>1039</v>
      </c>
      <c r="D462" s="4" t="str">
        <v>Customer_56</v>
      </c>
      <c r="E462" s="4" t="str">
        <v>Consumer</v>
      </c>
      <c r="F462" s="4" t="str">
        <v>North</v>
      </c>
      <c r="G462" s="4" t="str">
        <v>Electronics</v>
      </c>
      <c r="H462" s="4" t="str">
        <v>Product_A</v>
      </c>
      <c r="I462" s="4">
        <v>1431</v>
      </c>
      <c r="J462" s="4">
        <v>9</v>
      </c>
      <c r="K462" s="4">
        <v>0.22</v>
      </c>
      <c r="L462" s="4">
        <v>822</v>
      </c>
      <c r="M462" s="4" t="str">
        <v>UPI</v>
      </c>
      <c r="N462" s="4">
        <v>10045.620000000001</v>
      </c>
    </row>
    <row r="463" spans="1:14" x14ac:dyDescent="0.3">
      <c r="A463" s="4">
        <v>481</v>
      </c>
      <c r="B463" s="4">
        <v>45772</v>
      </c>
      <c r="C463" s="4">
        <v>1008</v>
      </c>
      <c r="D463" s="4" t="str">
        <v>Customer_22</v>
      </c>
      <c r="E463" s="4" t="str">
        <v>Consumer</v>
      </c>
      <c r="F463" s="4" t="str">
        <v>North</v>
      </c>
      <c r="G463" s="4" t="str">
        <v>Furniture</v>
      </c>
      <c r="H463" s="4" t="str">
        <v>Product_C</v>
      </c>
      <c r="I463" s="4">
        <v>2112</v>
      </c>
      <c r="J463" s="4">
        <v>9</v>
      </c>
      <c r="K463" s="4">
        <v>0.26</v>
      </c>
      <c r="L463" s="4">
        <v>645</v>
      </c>
      <c r="M463" s="4" t="str">
        <v>UPI</v>
      </c>
      <c r="N463" s="4">
        <v>14065.92</v>
      </c>
    </row>
    <row r="464" spans="1:14" x14ac:dyDescent="0.3">
      <c r="A464" s="4">
        <v>482</v>
      </c>
      <c r="B464" s="4">
        <v>45773</v>
      </c>
      <c r="C464" s="4">
        <v>1026</v>
      </c>
      <c r="D464" s="4" t="str">
        <v>Customer_170</v>
      </c>
      <c r="E464" s="4" t="str">
        <v>Consumer</v>
      </c>
      <c r="F464" s="4" t="str">
        <v>West</v>
      </c>
      <c r="G464" s="4" t="str">
        <v>Clothing</v>
      </c>
      <c r="H464" s="4" t="str">
        <v>Product_D</v>
      </c>
      <c r="I464" s="4">
        <v>3792</v>
      </c>
      <c r="J464" s="4">
        <v>3</v>
      </c>
      <c r="K464" s="4">
        <v>0.28000000000000003</v>
      </c>
      <c r="L464" s="4">
        <v>1742</v>
      </c>
      <c r="M464" s="4" t="str">
        <v>Card</v>
      </c>
      <c r="N464" s="4">
        <v>8190.7199999999903</v>
      </c>
    </row>
    <row r="465" spans="1:14" x14ac:dyDescent="0.3">
      <c r="A465" s="4">
        <v>483</v>
      </c>
      <c r="B465" s="4">
        <v>45774</v>
      </c>
      <c r="C465" s="4">
        <v>1080</v>
      </c>
      <c r="D465" s="4" t="str">
        <v>Customer_132</v>
      </c>
      <c r="E465" s="4" t="str">
        <v>Consumer</v>
      </c>
      <c r="F465" s="4" t="str">
        <v>East</v>
      </c>
      <c r="G465" s="4" t="str">
        <v>Furniture</v>
      </c>
      <c r="H465" s="4" t="str">
        <v>Product_C</v>
      </c>
      <c r="I465" s="4">
        <v>2486</v>
      </c>
      <c r="J465" s="4">
        <v>9</v>
      </c>
      <c r="K465" s="4">
        <v>0.1</v>
      </c>
      <c r="L465" s="4">
        <v>-143</v>
      </c>
      <c r="M465" s="4" t="str">
        <v>UPI</v>
      </c>
      <c r="N465" s="4">
        <v>20136.599999999999</v>
      </c>
    </row>
    <row r="466" spans="1:14" x14ac:dyDescent="0.3">
      <c r="A466" s="4">
        <v>485</v>
      </c>
      <c r="B466" s="4">
        <v>45776</v>
      </c>
      <c r="C466" s="4">
        <v>1055</v>
      </c>
      <c r="D466" s="4" t="str">
        <v>Customer_118</v>
      </c>
      <c r="E466" s="4" t="str">
        <v>Consumer</v>
      </c>
      <c r="F466" s="4" t="str">
        <v>West</v>
      </c>
      <c r="G466" s="4" t="str">
        <v>Electronics</v>
      </c>
      <c r="H466" s="4" t="str">
        <v>Product_B</v>
      </c>
      <c r="I466" s="4">
        <v>3682</v>
      </c>
      <c r="J466" s="4">
        <v>8</v>
      </c>
      <c r="K466" s="4">
        <v>0.1</v>
      </c>
      <c r="L466" s="4">
        <v>1715</v>
      </c>
      <c r="M466" s="4" t="str">
        <v>Card</v>
      </c>
      <c r="N466" s="4">
        <v>26510.400000000001</v>
      </c>
    </row>
    <row r="467" spans="1:14" x14ac:dyDescent="0.3">
      <c r="A467" s="4">
        <v>486</v>
      </c>
      <c r="B467" s="4">
        <v>45777</v>
      </c>
      <c r="C467" s="4">
        <v>1052</v>
      </c>
      <c r="D467" s="4" t="str">
        <v>Customer_12</v>
      </c>
      <c r="E467" s="4" t="str">
        <v>Consumer</v>
      </c>
      <c r="F467" s="4" t="str">
        <v>East</v>
      </c>
      <c r="G467" s="4" t="str">
        <v>Furniture</v>
      </c>
      <c r="H467" s="4" t="str">
        <v>Product_C</v>
      </c>
      <c r="I467" s="4">
        <v>4317</v>
      </c>
      <c r="J467" s="4">
        <v>8</v>
      </c>
      <c r="K467" s="4">
        <v>0.28999999999999998</v>
      </c>
      <c r="L467" s="4">
        <v>227</v>
      </c>
      <c r="M467" s="4" t="str">
        <v>UPI</v>
      </c>
      <c r="N467" s="4">
        <v>24520.559999999899</v>
      </c>
    </row>
    <row r="468" spans="1:14" x14ac:dyDescent="0.3">
      <c r="A468" s="4">
        <v>487</v>
      </c>
      <c r="B468" s="4">
        <v>45778</v>
      </c>
      <c r="C468" s="4">
        <v>1003</v>
      </c>
      <c r="D468" s="4" t="str">
        <v>Customer_37</v>
      </c>
      <c r="E468" s="4" t="str">
        <v>Corporate</v>
      </c>
      <c r="F468" s="4" t="str">
        <v>East</v>
      </c>
      <c r="G468" s="4" t="str">
        <v>Electronics</v>
      </c>
      <c r="H468" s="4" t="str">
        <v>Product_D</v>
      </c>
      <c r="I468" s="4">
        <v>1839</v>
      </c>
      <c r="J468" s="4">
        <v>3</v>
      </c>
      <c r="K468" s="4">
        <v>0.03</v>
      </c>
      <c r="L468" s="4">
        <v>1247</v>
      </c>
      <c r="M468" s="4" t="str">
        <v>UPI</v>
      </c>
      <c r="N468" s="4">
        <v>5351.49</v>
      </c>
    </row>
    <row r="469" spans="1:14" x14ac:dyDescent="0.3">
      <c r="A469" s="4">
        <v>488</v>
      </c>
      <c r="B469" s="4">
        <v>45779</v>
      </c>
      <c r="C469" s="4">
        <v>1039</v>
      </c>
      <c r="D469" s="4" t="str">
        <v>Customer_41</v>
      </c>
      <c r="E469" s="4" t="str">
        <v>Consumer</v>
      </c>
      <c r="F469" s="4" t="str">
        <v>West</v>
      </c>
      <c r="G469" s="4" t="str">
        <v>Furniture</v>
      </c>
      <c r="H469" s="4" t="str">
        <v>Product_A</v>
      </c>
      <c r="I469" s="4">
        <v>3996</v>
      </c>
      <c r="J469" s="4">
        <v>3</v>
      </c>
      <c r="K469" s="4">
        <v>0.28999999999999998</v>
      </c>
      <c r="L469" s="4">
        <v>56</v>
      </c>
      <c r="M469" s="4" t="str">
        <v>Card</v>
      </c>
      <c r="N469" s="4">
        <v>8511.48</v>
      </c>
    </row>
    <row r="470" spans="1:14" x14ac:dyDescent="0.3">
      <c r="A470" s="4">
        <v>489</v>
      </c>
      <c r="B470" s="4">
        <v>45780</v>
      </c>
      <c r="C470" s="4">
        <v>1051</v>
      </c>
      <c r="D470" s="4" t="str">
        <v>Customer_58</v>
      </c>
      <c r="E470" s="4" t="str">
        <v>Corporate</v>
      </c>
      <c r="F470" s="4" t="str">
        <v>South</v>
      </c>
      <c r="G470" s="4" t="str">
        <v>Electronics</v>
      </c>
      <c r="H470" s="4" t="str">
        <v>Product_C</v>
      </c>
      <c r="I470" s="4">
        <v>3116</v>
      </c>
      <c r="J470" s="4">
        <v>9</v>
      </c>
      <c r="K470" s="4">
        <v>0.19</v>
      </c>
      <c r="L470" s="4">
        <v>942</v>
      </c>
      <c r="M470" s="4" t="str">
        <v>COD</v>
      </c>
      <c r="N470" s="4">
        <v>22715.64</v>
      </c>
    </row>
    <row r="471" spans="1:14" x14ac:dyDescent="0.3">
      <c r="A471" s="4">
        <v>490</v>
      </c>
      <c r="B471" s="4">
        <v>45781</v>
      </c>
      <c r="C471" s="4">
        <v>1055</v>
      </c>
      <c r="D471" s="4" t="str">
        <v>Customer_63</v>
      </c>
      <c r="E471" s="4" t="str">
        <v>Consumer</v>
      </c>
      <c r="F471" s="4" t="str">
        <v>West</v>
      </c>
      <c r="G471" s="4" t="str">
        <v>Furniture</v>
      </c>
      <c r="H471" s="4" t="str">
        <v>Product_D</v>
      </c>
      <c r="I471" s="4">
        <v>2104</v>
      </c>
      <c r="J471" s="4">
        <v>3</v>
      </c>
      <c r="K471" s="4">
        <v>0</v>
      </c>
      <c r="L471" s="4">
        <v>1145</v>
      </c>
      <c r="M471" s="4" t="str">
        <v>UPI</v>
      </c>
      <c r="N471" s="4">
        <v>6312</v>
      </c>
    </row>
    <row r="472" spans="1:14" x14ac:dyDescent="0.3">
      <c r="A472" s="4">
        <v>491</v>
      </c>
      <c r="B472" s="4">
        <v>45782</v>
      </c>
      <c r="C472" s="4">
        <v>1064</v>
      </c>
      <c r="D472" s="4" t="str">
        <v>Customer_71</v>
      </c>
      <c r="E472" s="4" t="str">
        <v>Corporate</v>
      </c>
      <c r="F472" s="4" t="str">
        <v>East</v>
      </c>
      <c r="G472" s="4" t="str">
        <v>Clothing</v>
      </c>
      <c r="H472" s="4" t="str">
        <v>Product_B</v>
      </c>
      <c r="I472" s="4">
        <v>1692</v>
      </c>
      <c r="J472" s="4">
        <v>4</v>
      </c>
      <c r="K472" s="4">
        <v>0.26</v>
      </c>
      <c r="L472" s="4">
        <v>-81</v>
      </c>
      <c r="M472" s="4" t="str">
        <v>COD</v>
      </c>
      <c r="N472" s="4">
        <v>5008.32</v>
      </c>
    </row>
    <row r="473" spans="1:14" x14ac:dyDescent="0.3">
      <c r="A473" s="4">
        <v>492</v>
      </c>
      <c r="B473" s="4">
        <v>45783</v>
      </c>
      <c r="C473" s="4">
        <v>1077</v>
      </c>
      <c r="D473" s="4" t="str">
        <v>Customer_133</v>
      </c>
      <c r="E473" s="4" t="str">
        <v>Consumer</v>
      </c>
      <c r="F473" s="4" t="str">
        <v>East</v>
      </c>
      <c r="G473" s="4" t="str">
        <v>Clothing</v>
      </c>
      <c r="H473" s="4" t="str">
        <v>Product_B</v>
      </c>
      <c r="I473" s="4">
        <v>2103</v>
      </c>
      <c r="J473" s="4">
        <v>7</v>
      </c>
      <c r="K473" s="4">
        <v>0.2</v>
      </c>
      <c r="L473" s="4">
        <v>439</v>
      </c>
      <c r="M473" s="4" t="str">
        <v>COD</v>
      </c>
      <c r="N473" s="4">
        <v>11776.8</v>
      </c>
    </row>
    <row r="474" spans="1:14" x14ac:dyDescent="0.3">
      <c r="A474" s="4">
        <v>493</v>
      </c>
      <c r="B474" s="4">
        <v>45784</v>
      </c>
      <c r="C474" s="4">
        <v>1071</v>
      </c>
      <c r="D474" s="4" t="str">
        <v>Customer_91</v>
      </c>
      <c r="E474" s="4" t="str">
        <v>Corporate</v>
      </c>
      <c r="F474" s="4" t="str">
        <v>North</v>
      </c>
      <c r="G474" s="4" t="str">
        <v>Electronics</v>
      </c>
      <c r="H474" s="4" t="str">
        <v>Product_C</v>
      </c>
      <c r="I474" s="4">
        <v>3019</v>
      </c>
      <c r="J474" s="4">
        <v>9</v>
      </c>
      <c r="K474" s="4">
        <v>0.04</v>
      </c>
      <c r="L474" s="4">
        <v>660</v>
      </c>
      <c r="M474" s="4" t="str">
        <v>COD</v>
      </c>
      <c r="N474" s="4">
        <v>26084.16</v>
      </c>
    </row>
    <row r="475" spans="1:14" x14ac:dyDescent="0.3">
      <c r="A475" s="4">
        <v>497</v>
      </c>
      <c r="B475" s="4">
        <v>45788</v>
      </c>
      <c r="C475" s="4">
        <v>1038</v>
      </c>
      <c r="D475" s="4" t="str">
        <v>Customer_119</v>
      </c>
      <c r="E475" s="4" t="str">
        <v>Corporate</v>
      </c>
      <c r="F475" s="4" t="str">
        <v>South</v>
      </c>
      <c r="G475" s="4" t="str">
        <v>Electronics</v>
      </c>
      <c r="H475" s="4" t="str">
        <v>Product_A</v>
      </c>
      <c r="I475" s="4">
        <v>1791</v>
      </c>
      <c r="J475" s="4">
        <v>4</v>
      </c>
      <c r="K475" s="4">
        <v>0.1</v>
      </c>
      <c r="L475" s="4">
        <v>-437</v>
      </c>
      <c r="M475" s="4" t="str">
        <v>UPI</v>
      </c>
      <c r="N475" s="4">
        <v>6447.6</v>
      </c>
    </row>
    <row r="476" spans="1:14" x14ac:dyDescent="0.3">
      <c r="A476" s="4">
        <v>498</v>
      </c>
      <c r="B476" s="4">
        <v>45789</v>
      </c>
      <c r="C476" s="4">
        <v>1079</v>
      </c>
      <c r="D476" s="4" t="str">
        <v>Customer_155</v>
      </c>
      <c r="E476" s="4" t="str">
        <v>Consumer</v>
      </c>
      <c r="F476" s="4" t="str">
        <v>East</v>
      </c>
      <c r="G476" s="4" t="str">
        <v>Electronics</v>
      </c>
      <c r="H476" s="4" t="str">
        <v>Product_D</v>
      </c>
      <c r="I476" s="4">
        <v>4085</v>
      </c>
      <c r="J476" s="4">
        <v>7</v>
      </c>
      <c r="K476" s="4">
        <v>0.24</v>
      </c>
      <c r="L476" s="4">
        <v>1108</v>
      </c>
      <c r="M476" s="4" t="str">
        <v>UPI</v>
      </c>
      <c r="N476" s="4">
        <v>21732.2</v>
      </c>
    </row>
    <row r="477" spans="1:14" x14ac:dyDescent="0.3">
      <c r="A477" s="4">
        <v>500</v>
      </c>
      <c r="B477" s="4">
        <v>45791</v>
      </c>
      <c r="C477" s="4">
        <v>1024</v>
      </c>
      <c r="D477" s="4" t="str">
        <v>Customer_26</v>
      </c>
      <c r="E477" s="4" t="str">
        <v>Consumer</v>
      </c>
      <c r="F477" s="4" t="str">
        <v>North</v>
      </c>
      <c r="G477" s="4" t="str">
        <v>Furniture</v>
      </c>
      <c r="H477" s="4" t="str">
        <v>Product_B</v>
      </c>
      <c r="I477" s="4">
        <v>1822</v>
      </c>
      <c r="J477" s="4">
        <v>4</v>
      </c>
      <c r="K477" s="4">
        <v>0.16</v>
      </c>
      <c r="L477" s="4">
        <v>1668</v>
      </c>
      <c r="M477" s="4" t="str">
        <v>Card</v>
      </c>
      <c r="N477" s="4">
        <v>6121.92</v>
      </c>
    </row>
    <row r="479" spans="1:14" x14ac:dyDescent="0.3">
      <c r="A479" s="21" t="s">
        <v>271</v>
      </c>
      <c r="B479" s="21"/>
      <c r="C479" s="21"/>
      <c r="D479" s="21"/>
      <c r="E479" s="21"/>
      <c r="F479" s="21"/>
      <c r="G479" s="21"/>
      <c r="H479" s="21"/>
      <c r="I479" s="21"/>
      <c r="J479" s="21"/>
      <c r="K479" s="21"/>
      <c r="L479" s="21"/>
      <c r="M479" s="21"/>
      <c r="N479" s="21"/>
    </row>
    <row r="480" spans="1:14" x14ac:dyDescent="0.3">
      <c r="A480" s="13" t="s">
        <v>0</v>
      </c>
      <c r="B480" s="14" t="s">
        <v>1</v>
      </c>
      <c r="C480" s="13" t="s">
        <v>2</v>
      </c>
      <c r="D480" s="13" t="s">
        <v>3</v>
      </c>
      <c r="E480" s="13" t="s">
        <v>4</v>
      </c>
      <c r="F480" s="13" t="s">
        <v>5</v>
      </c>
      <c r="G480" s="13" t="s">
        <v>6</v>
      </c>
      <c r="H480" s="13" t="s">
        <v>7</v>
      </c>
      <c r="I480" s="13" t="s">
        <v>8</v>
      </c>
      <c r="J480" s="13" t="s">
        <v>9</v>
      </c>
      <c r="K480" s="13" t="s">
        <v>10</v>
      </c>
      <c r="L480" s="13" t="s">
        <v>11</v>
      </c>
      <c r="M480" s="13" t="s">
        <v>12</v>
      </c>
      <c r="N480" s="13" t="s">
        <v>13</v>
      </c>
    </row>
    <row r="481" spans="1:14" x14ac:dyDescent="0.3">
      <c r="A481" s="4" cm="1">
        <f t="array" ref="A481:N867">_xlfn._xlws.FILTER(CHOOSE({1,2,3,4,5,6,7,8,9,10,11,12,13,14},SalesData[Order_ID],
  SalesData[Order_Date],SalesData[Customer_ID],SalesData[Customer_Name],SalesData[Segment],SalesData[Region],SalesData[Category],SalesData[Product_Name],SalesData[Price],SalesData[Quantity],SalesData[Discount],SalesData[Profit],SalesData[Payment_Mode],SalesData[Sales]),
 SalesData[Profit]&gt;0
)</f>
        <v>1</v>
      </c>
      <c r="B481" s="4">
        <v>45292</v>
      </c>
      <c r="C481" s="4">
        <v>1066</v>
      </c>
      <c r="D481" s="4" t="str">
        <v>Customer_33</v>
      </c>
      <c r="E481" s="4" t="str">
        <v>Consumer</v>
      </c>
      <c r="F481" s="4" t="str">
        <v>South</v>
      </c>
      <c r="G481" s="4" t="str">
        <v>Electronics</v>
      </c>
      <c r="H481" s="4" t="str">
        <v>Product_A</v>
      </c>
      <c r="I481" s="4">
        <v>2755</v>
      </c>
      <c r="J481" s="4">
        <v>3</v>
      </c>
      <c r="K481" s="4">
        <v>0.25</v>
      </c>
      <c r="L481" s="4">
        <v>559</v>
      </c>
      <c r="M481" s="4" t="str">
        <v>UPI</v>
      </c>
      <c r="N481" s="4">
        <v>6198.75</v>
      </c>
    </row>
    <row r="482" spans="1:14" x14ac:dyDescent="0.3">
      <c r="A482" s="4">
        <v>2</v>
      </c>
      <c r="B482" s="4">
        <v>45293</v>
      </c>
      <c r="C482" s="4">
        <v>1092</v>
      </c>
      <c r="D482" s="4" t="str">
        <v>Customer_191</v>
      </c>
      <c r="E482" s="4" t="str">
        <v>Consumer</v>
      </c>
      <c r="F482" s="4" t="str">
        <v>East</v>
      </c>
      <c r="G482" s="4" t="str">
        <v>Clothing</v>
      </c>
      <c r="H482" s="4" t="str">
        <v>Product_A</v>
      </c>
      <c r="I482" s="4">
        <v>1709</v>
      </c>
      <c r="J482" s="4">
        <v>3</v>
      </c>
      <c r="K482" s="4">
        <v>0.04</v>
      </c>
      <c r="L482" s="4">
        <v>1735</v>
      </c>
      <c r="M482" s="4" t="str">
        <v>UPI</v>
      </c>
      <c r="N482" s="4">
        <v>4921.92</v>
      </c>
    </row>
    <row r="483" spans="1:14" x14ac:dyDescent="0.3">
      <c r="A483" s="4">
        <v>6</v>
      </c>
      <c r="B483" s="4">
        <v>45297</v>
      </c>
      <c r="C483" s="4">
        <v>1057</v>
      </c>
      <c r="D483" s="4" t="str">
        <v>Customer_112</v>
      </c>
      <c r="E483" s="4" t="str">
        <v>Consumer</v>
      </c>
      <c r="F483" s="4" t="str">
        <v>North</v>
      </c>
      <c r="G483" s="4" t="str">
        <v>Furniture</v>
      </c>
      <c r="H483" s="4" t="str">
        <v>Product_D</v>
      </c>
      <c r="I483" s="4">
        <v>2090</v>
      </c>
      <c r="J483" s="4">
        <v>8</v>
      </c>
      <c r="K483" s="4">
        <v>0.04</v>
      </c>
      <c r="L483" s="4">
        <v>1271</v>
      </c>
      <c r="M483" s="4" t="str">
        <v>UPI</v>
      </c>
      <c r="N483" s="4">
        <v>16051.199999999901</v>
      </c>
    </row>
    <row r="484" spans="1:14" x14ac:dyDescent="0.3">
      <c r="A484" s="4">
        <v>7</v>
      </c>
      <c r="B484" s="4">
        <v>45298</v>
      </c>
      <c r="C484" s="4">
        <v>1086</v>
      </c>
      <c r="D484" s="4" t="str">
        <v>Customer_180</v>
      </c>
      <c r="E484" s="4" t="str">
        <v>Corporate</v>
      </c>
      <c r="F484" s="4" t="str">
        <v>North</v>
      </c>
      <c r="G484" s="4" t="str">
        <v>Furniture</v>
      </c>
      <c r="H484" s="4" t="str">
        <v>Product_D</v>
      </c>
      <c r="I484" s="4">
        <v>550</v>
      </c>
      <c r="J484" s="4">
        <v>5</v>
      </c>
      <c r="K484" s="4">
        <v>0.24</v>
      </c>
      <c r="L484" s="4">
        <v>1300</v>
      </c>
      <c r="M484" s="4" t="str">
        <v>COD</v>
      </c>
      <c r="N484" s="4">
        <v>2090</v>
      </c>
    </row>
    <row r="485" spans="1:14" x14ac:dyDescent="0.3">
      <c r="A485" s="4">
        <v>8</v>
      </c>
      <c r="B485" s="4">
        <v>45299</v>
      </c>
      <c r="C485" s="4">
        <v>1097</v>
      </c>
      <c r="D485" s="4" t="str">
        <v>Customer_180</v>
      </c>
      <c r="E485" s="4" t="str">
        <v>Corporate</v>
      </c>
      <c r="F485" s="4" t="str">
        <v>South</v>
      </c>
      <c r="G485" s="4" t="str">
        <v>Furniture</v>
      </c>
      <c r="H485" s="4" t="str">
        <v>Product_A</v>
      </c>
      <c r="I485" s="4">
        <v>1291</v>
      </c>
      <c r="J485" s="4">
        <v>4</v>
      </c>
      <c r="K485" s="4">
        <v>7.0000000000000007E-2</v>
      </c>
      <c r="L485" s="4">
        <v>829</v>
      </c>
      <c r="M485" s="4" t="str">
        <v>COD</v>
      </c>
      <c r="N485" s="4">
        <v>4802.5199999999904</v>
      </c>
    </row>
    <row r="486" spans="1:14" x14ac:dyDescent="0.3">
      <c r="A486" s="4">
        <v>11</v>
      </c>
      <c r="B486" s="4">
        <v>45302</v>
      </c>
      <c r="C486" s="4">
        <v>1073</v>
      </c>
      <c r="D486" s="4" t="str">
        <v>Customer_73</v>
      </c>
      <c r="E486" s="4" t="str">
        <v>Consumer</v>
      </c>
      <c r="F486" s="4" t="str">
        <v>West</v>
      </c>
      <c r="G486" s="4" t="str">
        <v>Clothing</v>
      </c>
      <c r="H486" s="4" t="str">
        <v>Product_A</v>
      </c>
      <c r="I486" s="4">
        <v>2257</v>
      </c>
      <c r="J486" s="4">
        <v>1</v>
      </c>
      <c r="K486" s="4">
        <v>0.17</v>
      </c>
      <c r="L486" s="4">
        <v>960</v>
      </c>
      <c r="M486" s="4" t="str">
        <v>Card</v>
      </c>
      <c r="N486" s="4">
        <v>1873.31</v>
      </c>
    </row>
    <row r="487" spans="1:14" x14ac:dyDescent="0.3">
      <c r="A487" s="4">
        <v>14</v>
      </c>
      <c r="B487" s="4">
        <v>45305</v>
      </c>
      <c r="C487" s="4">
        <v>1096</v>
      </c>
      <c r="D487" s="4" t="str">
        <v>Customer_21</v>
      </c>
      <c r="E487" s="4" t="str">
        <v>Consumer</v>
      </c>
      <c r="F487" s="4" t="str">
        <v>North</v>
      </c>
      <c r="G487" s="4" t="str">
        <v>Clothing</v>
      </c>
      <c r="H487" s="4" t="str">
        <v>Product_A</v>
      </c>
      <c r="I487" s="4">
        <v>4554</v>
      </c>
      <c r="J487" s="4">
        <v>9</v>
      </c>
      <c r="K487" s="4">
        <v>0.02</v>
      </c>
      <c r="L487" s="4">
        <v>1529</v>
      </c>
      <c r="M487" s="4" t="str">
        <v>Card</v>
      </c>
      <c r="N487" s="4">
        <v>40166.28</v>
      </c>
    </row>
    <row r="488" spans="1:14" x14ac:dyDescent="0.3">
      <c r="A488" s="4">
        <v>15</v>
      </c>
      <c r="B488" s="4">
        <v>45306</v>
      </c>
      <c r="C488" s="4">
        <v>1025</v>
      </c>
      <c r="D488" s="4" t="str">
        <v>Customer_24</v>
      </c>
      <c r="E488" s="4" t="str">
        <v>Corporate</v>
      </c>
      <c r="F488" s="4" t="str">
        <v>South</v>
      </c>
      <c r="G488" s="4" t="str">
        <v>Clothing</v>
      </c>
      <c r="H488" s="4" t="str">
        <v>Product_A</v>
      </c>
      <c r="I488" s="4">
        <v>2930</v>
      </c>
      <c r="J488" s="4">
        <v>4</v>
      </c>
      <c r="K488" s="4">
        <v>0.12</v>
      </c>
      <c r="L488" s="4">
        <v>1243</v>
      </c>
      <c r="M488" s="4" t="str">
        <v>Card</v>
      </c>
      <c r="N488" s="4">
        <v>10313.6</v>
      </c>
    </row>
    <row r="489" spans="1:14" x14ac:dyDescent="0.3">
      <c r="A489" s="4">
        <v>16</v>
      </c>
      <c r="B489" s="4">
        <v>45307</v>
      </c>
      <c r="C489" s="4">
        <v>1083</v>
      </c>
      <c r="D489" s="4" t="str">
        <v>Customer_19</v>
      </c>
      <c r="E489" s="4" t="str">
        <v>Consumer</v>
      </c>
      <c r="F489" s="4" t="str">
        <v>North</v>
      </c>
      <c r="G489" s="4" t="str">
        <v>Furniture</v>
      </c>
      <c r="H489" s="4" t="str">
        <v>Product_D</v>
      </c>
      <c r="I489" s="4">
        <v>2870</v>
      </c>
      <c r="J489" s="4">
        <v>2</v>
      </c>
      <c r="K489" s="4">
        <v>0.05</v>
      </c>
      <c r="L489" s="4">
        <v>1714</v>
      </c>
      <c r="M489" s="4" t="str">
        <v>Card</v>
      </c>
      <c r="N489" s="4">
        <v>5453</v>
      </c>
    </row>
    <row r="490" spans="1:14" x14ac:dyDescent="0.3">
      <c r="A490" s="4">
        <v>17</v>
      </c>
      <c r="B490" s="4">
        <v>45308</v>
      </c>
      <c r="C490" s="4">
        <v>1078</v>
      </c>
      <c r="D490" s="4" t="str">
        <v>Customer_61</v>
      </c>
      <c r="E490" s="4" t="str">
        <v>Corporate</v>
      </c>
      <c r="F490" s="4" t="str">
        <v>North</v>
      </c>
      <c r="G490" s="4" t="str">
        <v>Clothing</v>
      </c>
      <c r="H490" s="4" t="str">
        <v>Product_C</v>
      </c>
      <c r="I490" s="4">
        <v>1320</v>
      </c>
      <c r="J490" s="4">
        <v>4</v>
      </c>
      <c r="K490" s="4">
        <v>0.15</v>
      </c>
      <c r="L490" s="4">
        <v>644</v>
      </c>
      <c r="M490" s="4" t="str">
        <v>UPI</v>
      </c>
      <c r="N490" s="4">
        <v>4488</v>
      </c>
    </row>
    <row r="491" spans="1:14" x14ac:dyDescent="0.3">
      <c r="A491" s="4">
        <v>18</v>
      </c>
      <c r="B491" s="4">
        <v>45309</v>
      </c>
      <c r="C491" s="4">
        <v>1036</v>
      </c>
      <c r="D491" s="4" t="str">
        <v>Customer_112</v>
      </c>
      <c r="E491" s="4" t="str">
        <v>Consumer</v>
      </c>
      <c r="F491" s="4" t="str">
        <v>North</v>
      </c>
      <c r="G491" s="4" t="str">
        <v>Furniture</v>
      </c>
      <c r="H491" s="4" t="str">
        <v>Product_A</v>
      </c>
      <c r="I491" s="4">
        <v>4545</v>
      </c>
      <c r="J491" s="4">
        <v>4</v>
      </c>
      <c r="K491" s="4">
        <v>7.0000000000000007E-2</v>
      </c>
      <c r="L491" s="4">
        <v>1171</v>
      </c>
      <c r="M491" s="4" t="str">
        <v>UPI</v>
      </c>
      <c r="N491" s="4">
        <v>16907.3999999999</v>
      </c>
    </row>
    <row r="492" spans="1:14" x14ac:dyDescent="0.3">
      <c r="A492" s="4">
        <v>20</v>
      </c>
      <c r="B492" s="4">
        <v>45311</v>
      </c>
      <c r="C492" s="4">
        <v>1080</v>
      </c>
      <c r="D492" s="4" t="str">
        <v>Customer_124</v>
      </c>
      <c r="E492" s="4" t="str">
        <v>Corporate</v>
      </c>
      <c r="F492" s="4" t="str">
        <v>East</v>
      </c>
      <c r="G492" s="4" t="str">
        <v>Furniture</v>
      </c>
      <c r="H492" s="4" t="str">
        <v>Product_A</v>
      </c>
      <c r="I492" s="4">
        <v>1487</v>
      </c>
      <c r="J492" s="4">
        <v>8</v>
      </c>
      <c r="K492" s="4">
        <v>0.11</v>
      </c>
      <c r="L492" s="4">
        <v>992</v>
      </c>
      <c r="M492" s="4" t="str">
        <v>Card</v>
      </c>
      <c r="N492" s="4">
        <v>10587.44</v>
      </c>
    </row>
    <row r="493" spans="1:14" x14ac:dyDescent="0.3">
      <c r="A493" s="4">
        <v>22</v>
      </c>
      <c r="B493" s="4">
        <v>45313</v>
      </c>
      <c r="C493" s="4">
        <v>1049</v>
      </c>
      <c r="D493" s="4" t="str">
        <v>Customer_20</v>
      </c>
      <c r="E493" s="4" t="str">
        <v>Corporate</v>
      </c>
      <c r="F493" s="4" t="str">
        <v>East</v>
      </c>
      <c r="G493" s="4" t="str">
        <v>Clothing</v>
      </c>
      <c r="H493" s="4" t="str">
        <v>Product_D</v>
      </c>
      <c r="I493" s="4">
        <v>4415</v>
      </c>
      <c r="J493" s="4">
        <v>4</v>
      </c>
      <c r="K493" s="4">
        <v>0.22</v>
      </c>
      <c r="L493" s="4">
        <v>316</v>
      </c>
      <c r="M493" s="4" t="str">
        <v>COD</v>
      </c>
      <c r="N493" s="4">
        <v>13774.8</v>
      </c>
    </row>
    <row r="494" spans="1:14" x14ac:dyDescent="0.3">
      <c r="A494" s="4">
        <v>23</v>
      </c>
      <c r="B494" s="4">
        <v>45314</v>
      </c>
      <c r="C494" s="4">
        <v>1055</v>
      </c>
      <c r="D494" s="4" t="str">
        <v>Customer_117</v>
      </c>
      <c r="E494" s="4" t="str">
        <v>Consumer</v>
      </c>
      <c r="F494" s="4" t="str">
        <v>West</v>
      </c>
      <c r="G494" s="4" t="str">
        <v>Furniture</v>
      </c>
      <c r="H494" s="4" t="str">
        <v>Product_A</v>
      </c>
      <c r="I494" s="4">
        <v>790</v>
      </c>
      <c r="J494" s="4">
        <v>7</v>
      </c>
      <c r="K494" s="4">
        <v>0.13</v>
      </c>
      <c r="L494" s="4">
        <v>1889</v>
      </c>
      <c r="M494" s="4" t="str">
        <v>COD</v>
      </c>
      <c r="N494" s="4">
        <v>4811.1000000000004</v>
      </c>
    </row>
    <row r="495" spans="1:14" x14ac:dyDescent="0.3">
      <c r="A495" s="4">
        <v>25</v>
      </c>
      <c r="B495" s="4">
        <v>45316</v>
      </c>
      <c r="C495" s="4">
        <v>1002</v>
      </c>
      <c r="D495" s="4" t="str">
        <v>Customer_127</v>
      </c>
      <c r="E495" s="4" t="str">
        <v>Consumer</v>
      </c>
      <c r="F495" s="4" t="str">
        <v>South</v>
      </c>
      <c r="G495" s="4" t="str">
        <v>Furniture</v>
      </c>
      <c r="H495" s="4" t="str">
        <v>Product_D</v>
      </c>
      <c r="I495" s="4">
        <v>2176</v>
      </c>
      <c r="J495" s="4">
        <v>6</v>
      </c>
      <c r="K495" s="4">
        <v>0.24</v>
      </c>
      <c r="L495" s="4">
        <v>337</v>
      </c>
      <c r="M495" s="4" t="str">
        <v>UPI</v>
      </c>
      <c r="N495" s="4">
        <v>9922.56</v>
      </c>
    </row>
    <row r="496" spans="1:14" x14ac:dyDescent="0.3">
      <c r="A496" s="4">
        <v>26</v>
      </c>
      <c r="B496" s="4">
        <v>45317</v>
      </c>
      <c r="C496" s="4">
        <v>1084</v>
      </c>
      <c r="D496" s="4" t="str">
        <v>Customer_7</v>
      </c>
      <c r="E496" s="4" t="str">
        <v>Corporate</v>
      </c>
      <c r="F496" s="4" t="str">
        <v>North</v>
      </c>
      <c r="G496" s="4" t="str">
        <v>Clothing</v>
      </c>
      <c r="H496" s="4" t="str">
        <v>Product_C</v>
      </c>
      <c r="I496" s="4">
        <v>1857</v>
      </c>
      <c r="J496" s="4">
        <v>6</v>
      </c>
      <c r="K496" s="4">
        <v>0.25</v>
      </c>
      <c r="L496" s="4">
        <v>1296</v>
      </c>
      <c r="M496" s="4" t="str">
        <v>Card</v>
      </c>
      <c r="N496" s="4">
        <v>8356.5</v>
      </c>
    </row>
    <row r="497" spans="1:14" x14ac:dyDescent="0.3">
      <c r="A497" s="4">
        <v>27</v>
      </c>
      <c r="B497" s="4">
        <v>45318</v>
      </c>
      <c r="C497" s="4">
        <v>1039</v>
      </c>
      <c r="D497" s="4" t="str">
        <v>Customer_195</v>
      </c>
      <c r="E497" s="4" t="str">
        <v>Consumer</v>
      </c>
      <c r="F497" s="4" t="str">
        <v>East</v>
      </c>
      <c r="G497" s="4" t="str">
        <v>Furniture</v>
      </c>
      <c r="H497" s="4" t="str">
        <v>Product_D</v>
      </c>
      <c r="I497" s="4">
        <v>4258</v>
      </c>
      <c r="J497" s="4">
        <v>7</v>
      </c>
      <c r="K497" s="4">
        <v>0.16</v>
      </c>
      <c r="L497" s="4">
        <v>1331</v>
      </c>
      <c r="M497" s="4" t="str">
        <v>COD</v>
      </c>
      <c r="N497" s="4">
        <v>25037.040000000001</v>
      </c>
    </row>
    <row r="498" spans="1:14" x14ac:dyDescent="0.3">
      <c r="A498" s="4">
        <v>28</v>
      </c>
      <c r="B498" s="4">
        <v>45319</v>
      </c>
      <c r="C498" s="4">
        <v>1066</v>
      </c>
      <c r="D498" s="4" t="str">
        <v>Customer_56</v>
      </c>
      <c r="E498" s="4" t="str">
        <v>Consumer</v>
      </c>
      <c r="F498" s="4" t="str">
        <v>South</v>
      </c>
      <c r="G498" s="4" t="str">
        <v>Furniture</v>
      </c>
      <c r="H498" s="4" t="str">
        <v>Product_D</v>
      </c>
      <c r="I498" s="4">
        <v>270</v>
      </c>
      <c r="J498" s="4">
        <v>2</v>
      </c>
      <c r="K498" s="4">
        <v>7.0000000000000007E-2</v>
      </c>
      <c r="L498" s="4">
        <v>1695</v>
      </c>
      <c r="M498" s="4" t="str">
        <v>Card</v>
      </c>
      <c r="N498" s="4">
        <v>502.2</v>
      </c>
    </row>
    <row r="499" spans="1:14" x14ac:dyDescent="0.3">
      <c r="A499" s="4">
        <v>29</v>
      </c>
      <c r="B499" s="4">
        <v>45320</v>
      </c>
      <c r="C499" s="4">
        <v>1084</v>
      </c>
      <c r="D499" s="4" t="str">
        <v>Customer_72</v>
      </c>
      <c r="E499" s="4" t="str">
        <v>Corporate</v>
      </c>
      <c r="F499" s="4" t="str">
        <v>North</v>
      </c>
      <c r="G499" s="4" t="str">
        <v>Furniture</v>
      </c>
      <c r="H499" s="4" t="str">
        <v>Product_A</v>
      </c>
      <c r="I499" s="4">
        <v>1757</v>
      </c>
      <c r="J499" s="4">
        <v>7</v>
      </c>
      <c r="K499" s="4">
        <v>0.24</v>
      </c>
      <c r="L499" s="4">
        <v>1198</v>
      </c>
      <c r="M499" s="4" t="str">
        <v>Card</v>
      </c>
      <c r="N499" s="4">
        <v>9347.24</v>
      </c>
    </row>
    <row r="500" spans="1:14" x14ac:dyDescent="0.3">
      <c r="A500" s="4">
        <v>30</v>
      </c>
      <c r="B500" s="4">
        <v>45321</v>
      </c>
      <c r="C500" s="4">
        <v>1047</v>
      </c>
      <c r="D500" s="4" t="str">
        <v>Customer_94</v>
      </c>
      <c r="E500" s="4" t="str">
        <v>Corporate</v>
      </c>
      <c r="F500" s="4" t="str">
        <v>West</v>
      </c>
      <c r="G500" s="4" t="str">
        <v>Electronics</v>
      </c>
      <c r="H500" s="4" t="str">
        <v>Product_A</v>
      </c>
      <c r="I500" s="4">
        <v>2171</v>
      </c>
      <c r="J500" s="4">
        <v>2</v>
      </c>
      <c r="K500" s="4">
        <v>0.11</v>
      </c>
      <c r="L500" s="4">
        <v>1464</v>
      </c>
      <c r="M500" s="4" t="str">
        <v>UPI</v>
      </c>
      <c r="N500" s="4">
        <v>3864.38</v>
      </c>
    </row>
    <row r="501" spans="1:14" x14ac:dyDescent="0.3">
      <c r="A501" s="4">
        <v>31</v>
      </c>
      <c r="B501" s="4">
        <v>45322</v>
      </c>
      <c r="C501" s="4">
        <v>1061</v>
      </c>
      <c r="D501" s="4" t="str">
        <v>Customer_11</v>
      </c>
      <c r="E501" s="4" t="str">
        <v>Consumer</v>
      </c>
      <c r="F501" s="4" t="str">
        <v>North</v>
      </c>
      <c r="G501" s="4" t="str">
        <v>Furniture</v>
      </c>
      <c r="H501" s="4" t="str">
        <v>Product_D</v>
      </c>
      <c r="I501" s="4">
        <v>4589</v>
      </c>
      <c r="J501" s="4">
        <v>2</v>
      </c>
      <c r="K501" s="4">
        <v>0.28000000000000003</v>
      </c>
      <c r="L501" s="4">
        <v>1849</v>
      </c>
      <c r="M501" s="4" t="str">
        <v>COD</v>
      </c>
      <c r="N501" s="4">
        <v>6608.16</v>
      </c>
    </row>
    <row r="502" spans="1:14" x14ac:dyDescent="0.3">
      <c r="A502" s="4">
        <v>33</v>
      </c>
      <c r="B502" s="4">
        <v>45324</v>
      </c>
      <c r="C502" s="4">
        <v>1007</v>
      </c>
      <c r="D502" s="4" t="str">
        <v>Customer_72</v>
      </c>
      <c r="E502" s="4" t="str">
        <v>Corporate</v>
      </c>
      <c r="F502" s="4" t="str">
        <v>North</v>
      </c>
      <c r="G502" s="4" t="str">
        <v>Electronics</v>
      </c>
      <c r="H502" s="4" t="str">
        <v>Product_D</v>
      </c>
      <c r="I502" s="4">
        <v>4961</v>
      </c>
      <c r="J502" s="4">
        <v>9</v>
      </c>
      <c r="K502" s="4">
        <v>0.28000000000000003</v>
      </c>
      <c r="L502" s="4">
        <v>1103</v>
      </c>
      <c r="M502" s="4" t="str">
        <v>Card</v>
      </c>
      <c r="N502" s="4">
        <v>32147.279999999999</v>
      </c>
    </row>
    <row r="503" spans="1:14" x14ac:dyDescent="0.3">
      <c r="A503" s="4">
        <v>34</v>
      </c>
      <c r="B503" s="4">
        <v>45325</v>
      </c>
      <c r="C503" s="4">
        <v>1099</v>
      </c>
      <c r="D503" s="4" t="str">
        <v>Customer_175</v>
      </c>
      <c r="E503" s="4" t="str">
        <v>Consumer</v>
      </c>
      <c r="F503" s="4" t="str">
        <v>West</v>
      </c>
      <c r="G503" s="4" t="str">
        <v>Electronics</v>
      </c>
      <c r="H503" s="4" t="str">
        <v>Product_A</v>
      </c>
      <c r="I503" s="4">
        <v>2141</v>
      </c>
      <c r="J503" s="4">
        <v>9</v>
      </c>
      <c r="K503" s="4">
        <v>0.13</v>
      </c>
      <c r="L503" s="4">
        <v>191</v>
      </c>
      <c r="M503" s="4" t="str">
        <v>COD</v>
      </c>
      <c r="N503" s="4">
        <v>16764.03</v>
      </c>
    </row>
    <row r="504" spans="1:14" x14ac:dyDescent="0.3">
      <c r="A504" s="4">
        <v>35</v>
      </c>
      <c r="B504" s="4">
        <v>45326</v>
      </c>
      <c r="C504" s="4">
        <v>1092</v>
      </c>
      <c r="D504" s="4" t="str">
        <v>Customer_172</v>
      </c>
      <c r="E504" s="4" t="str">
        <v>Consumer</v>
      </c>
      <c r="F504" s="4" t="str">
        <v>West</v>
      </c>
      <c r="G504" s="4" t="str">
        <v>Furniture</v>
      </c>
      <c r="H504" s="4" t="str">
        <v>Product_B</v>
      </c>
      <c r="I504" s="4">
        <v>4536</v>
      </c>
      <c r="J504" s="4">
        <v>5</v>
      </c>
      <c r="K504" s="4">
        <v>0.23</v>
      </c>
      <c r="L504" s="4">
        <v>954</v>
      </c>
      <c r="M504" s="4" t="str">
        <v>UPI</v>
      </c>
      <c r="N504" s="4">
        <v>17463.599999999999</v>
      </c>
    </row>
    <row r="505" spans="1:14" x14ac:dyDescent="0.3">
      <c r="A505" s="4">
        <v>40</v>
      </c>
      <c r="B505" s="4">
        <v>45331</v>
      </c>
      <c r="C505" s="4">
        <v>1027</v>
      </c>
      <c r="D505" s="4" t="str">
        <v>Customer_119</v>
      </c>
      <c r="E505" s="4" t="str">
        <v>Corporate</v>
      </c>
      <c r="F505" s="4" t="str">
        <v>South</v>
      </c>
      <c r="G505" s="4" t="str">
        <v>Electronics</v>
      </c>
      <c r="H505" s="4" t="str">
        <v>Product_A</v>
      </c>
      <c r="I505" s="4">
        <v>1345</v>
      </c>
      <c r="J505" s="4">
        <v>4</v>
      </c>
      <c r="K505" s="4">
        <v>0.22</v>
      </c>
      <c r="L505" s="4">
        <v>1624</v>
      </c>
      <c r="M505" s="4" t="str">
        <v>COD</v>
      </c>
      <c r="N505" s="4">
        <v>4196.3999999999996</v>
      </c>
    </row>
    <row r="506" spans="1:14" x14ac:dyDescent="0.3">
      <c r="A506" s="4">
        <v>41</v>
      </c>
      <c r="B506" s="4">
        <v>45332</v>
      </c>
      <c r="C506" s="4">
        <v>1034</v>
      </c>
      <c r="D506" s="4" t="str">
        <v>Customer_4</v>
      </c>
      <c r="E506" s="4" t="str">
        <v>Corporate</v>
      </c>
      <c r="F506" s="4" t="str">
        <v>West</v>
      </c>
      <c r="G506" s="4" t="str">
        <v>Furniture</v>
      </c>
      <c r="H506" s="4" t="str">
        <v>Product_D</v>
      </c>
      <c r="I506" s="4">
        <v>3274</v>
      </c>
      <c r="J506" s="4">
        <v>8</v>
      </c>
      <c r="K506" s="4">
        <v>0.25</v>
      </c>
      <c r="L506" s="4">
        <v>578</v>
      </c>
      <c r="M506" s="4" t="str">
        <v>Card</v>
      </c>
      <c r="N506" s="4">
        <v>19644</v>
      </c>
    </row>
    <row r="507" spans="1:14" x14ac:dyDescent="0.3">
      <c r="A507" s="4">
        <v>42</v>
      </c>
      <c r="B507" s="4">
        <v>45333</v>
      </c>
      <c r="C507" s="4">
        <v>1097</v>
      </c>
      <c r="D507" s="4" t="str">
        <v>Customer_85</v>
      </c>
      <c r="E507" s="4" t="str">
        <v>Corporate</v>
      </c>
      <c r="F507" s="4" t="str">
        <v>South</v>
      </c>
      <c r="G507" s="4" t="str">
        <v>Furniture</v>
      </c>
      <c r="H507" s="4" t="str">
        <v>Product_C</v>
      </c>
      <c r="I507" s="4">
        <v>2350</v>
      </c>
      <c r="J507" s="4">
        <v>1</v>
      </c>
      <c r="K507" s="4">
        <v>0.22</v>
      </c>
      <c r="L507" s="4">
        <v>1840</v>
      </c>
      <c r="M507" s="4" t="str">
        <v>UPI</v>
      </c>
      <c r="N507" s="4">
        <v>1833</v>
      </c>
    </row>
    <row r="508" spans="1:14" x14ac:dyDescent="0.3">
      <c r="A508" s="4">
        <v>43</v>
      </c>
      <c r="B508" s="4">
        <v>45334</v>
      </c>
      <c r="C508" s="4">
        <v>1076</v>
      </c>
      <c r="D508" s="4" t="str">
        <v>Customer_50</v>
      </c>
      <c r="E508" s="4" t="str">
        <v>Consumer</v>
      </c>
      <c r="F508" s="4" t="str">
        <v>West</v>
      </c>
      <c r="G508" s="4" t="str">
        <v>Electronics</v>
      </c>
      <c r="H508" s="4" t="str">
        <v>Product_D</v>
      </c>
      <c r="I508" s="4">
        <v>1934</v>
      </c>
      <c r="J508" s="4">
        <v>8</v>
      </c>
      <c r="K508" s="4">
        <v>0.24</v>
      </c>
      <c r="L508" s="4">
        <v>1168</v>
      </c>
      <c r="M508" s="4" t="str">
        <v>Card</v>
      </c>
      <c r="N508" s="4">
        <v>11758.72</v>
      </c>
    </row>
    <row r="509" spans="1:14" x14ac:dyDescent="0.3">
      <c r="A509" s="4">
        <v>44</v>
      </c>
      <c r="B509" s="4">
        <v>45335</v>
      </c>
      <c r="C509" s="4">
        <v>1040</v>
      </c>
      <c r="D509" s="4" t="str">
        <v>Customer_34</v>
      </c>
      <c r="E509" s="4" t="str">
        <v>Corporate</v>
      </c>
      <c r="F509" s="4" t="str">
        <v>North</v>
      </c>
      <c r="G509" s="4" t="str">
        <v>Electronics</v>
      </c>
      <c r="H509" s="4" t="str">
        <v>Product_C</v>
      </c>
      <c r="I509" s="4">
        <v>3605</v>
      </c>
      <c r="J509" s="4">
        <v>2</v>
      </c>
      <c r="K509" s="4">
        <v>0.22</v>
      </c>
      <c r="L509" s="4">
        <v>1510</v>
      </c>
      <c r="M509" s="4" t="str">
        <v>Card</v>
      </c>
      <c r="N509" s="4">
        <v>5623.8</v>
      </c>
    </row>
    <row r="510" spans="1:14" x14ac:dyDescent="0.3">
      <c r="A510" s="4">
        <v>45</v>
      </c>
      <c r="B510" s="4">
        <v>45336</v>
      </c>
      <c r="C510" s="4">
        <v>1003</v>
      </c>
      <c r="D510" s="4" t="str">
        <v>Customer_35</v>
      </c>
      <c r="E510" s="4" t="str">
        <v>Corporate</v>
      </c>
      <c r="F510" s="4" t="str">
        <v>East</v>
      </c>
      <c r="G510" s="4" t="str">
        <v>Furniture</v>
      </c>
      <c r="H510" s="4" t="str">
        <v>Product_B</v>
      </c>
      <c r="I510" s="4">
        <v>4693</v>
      </c>
      <c r="J510" s="4">
        <v>8</v>
      </c>
      <c r="K510" s="4">
        <v>0.04</v>
      </c>
      <c r="L510" s="4">
        <v>1809</v>
      </c>
      <c r="M510" s="4" t="str">
        <v>UPI</v>
      </c>
      <c r="N510" s="4">
        <v>36042.239999999998</v>
      </c>
    </row>
    <row r="511" spans="1:14" x14ac:dyDescent="0.3">
      <c r="A511" s="4">
        <v>46</v>
      </c>
      <c r="B511" s="4">
        <v>45337</v>
      </c>
      <c r="C511" s="4">
        <v>1069</v>
      </c>
      <c r="D511" s="4" t="str">
        <v>Customer_64</v>
      </c>
      <c r="E511" s="4" t="str">
        <v>Consumer</v>
      </c>
      <c r="F511" s="4" t="str">
        <v>South</v>
      </c>
      <c r="G511" s="4" t="str">
        <v>Furniture</v>
      </c>
      <c r="H511" s="4" t="str">
        <v>Product_C</v>
      </c>
      <c r="I511" s="4">
        <v>4092</v>
      </c>
      <c r="J511" s="4">
        <v>2</v>
      </c>
      <c r="K511" s="4">
        <v>0.23</v>
      </c>
      <c r="L511" s="4">
        <v>779</v>
      </c>
      <c r="M511" s="4" t="str">
        <v>Card</v>
      </c>
      <c r="N511" s="4">
        <v>6301.68</v>
      </c>
    </row>
    <row r="512" spans="1:14" x14ac:dyDescent="0.3">
      <c r="A512" s="4">
        <v>48</v>
      </c>
      <c r="B512" s="4">
        <v>45339</v>
      </c>
      <c r="C512" s="4">
        <v>1075</v>
      </c>
      <c r="D512" s="4" t="str">
        <v>Customer_107</v>
      </c>
      <c r="E512" s="4" t="str">
        <v>Corporate</v>
      </c>
      <c r="F512" s="4" t="str">
        <v>West</v>
      </c>
      <c r="G512" s="4" t="str">
        <v>Clothing</v>
      </c>
      <c r="H512" s="4" t="str">
        <v>Product_C</v>
      </c>
      <c r="I512" s="4">
        <v>343</v>
      </c>
      <c r="J512" s="4">
        <v>3</v>
      </c>
      <c r="K512" s="4">
        <v>0.03</v>
      </c>
      <c r="L512" s="4">
        <v>1062</v>
      </c>
      <c r="M512" s="4" t="str">
        <v>UPI</v>
      </c>
      <c r="N512" s="4">
        <v>998.13</v>
      </c>
    </row>
    <row r="513" spans="1:14" x14ac:dyDescent="0.3">
      <c r="A513" s="4">
        <v>49</v>
      </c>
      <c r="B513" s="4">
        <v>45340</v>
      </c>
      <c r="C513" s="4">
        <v>1034</v>
      </c>
      <c r="D513" s="4" t="str">
        <v>Customer_27</v>
      </c>
      <c r="E513" s="4" t="str">
        <v>Consumer</v>
      </c>
      <c r="F513" s="4" t="str">
        <v>South</v>
      </c>
      <c r="G513" s="4" t="str">
        <v>Electronics</v>
      </c>
      <c r="H513" s="4" t="str">
        <v>Product_B</v>
      </c>
      <c r="I513" s="4">
        <v>1734</v>
      </c>
      <c r="J513" s="4">
        <v>6</v>
      </c>
      <c r="K513" s="4">
        <v>0.27</v>
      </c>
      <c r="L513" s="4">
        <v>318</v>
      </c>
      <c r="M513" s="4" t="str">
        <v>UPI</v>
      </c>
      <c r="N513" s="4">
        <v>7594.92</v>
      </c>
    </row>
    <row r="514" spans="1:14" x14ac:dyDescent="0.3">
      <c r="A514" s="4">
        <v>52</v>
      </c>
      <c r="B514" s="4">
        <v>45343</v>
      </c>
      <c r="C514" s="4">
        <v>1022</v>
      </c>
      <c r="D514" s="4" t="str">
        <v>Customer_157</v>
      </c>
      <c r="E514" s="4" t="str">
        <v>Corporate</v>
      </c>
      <c r="F514" s="4" t="str">
        <v>West</v>
      </c>
      <c r="G514" s="4" t="str">
        <v>Clothing</v>
      </c>
      <c r="H514" s="4" t="str">
        <v>Product_A</v>
      </c>
      <c r="I514" s="4">
        <v>2319</v>
      </c>
      <c r="J514" s="4">
        <v>5</v>
      </c>
      <c r="K514" s="4">
        <v>0.19</v>
      </c>
      <c r="L514" s="4">
        <v>51</v>
      </c>
      <c r="M514" s="4" t="str">
        <v>COD</v>
      </c>
      <c r="N514" s="4">
        <v>9391.9500000000007</v>
      </c>
    </row>
    <row r="515" spans="1:14" x14ac:dyDescent="0.3">
      <c r="A515" s="4">
        <v>53</v>
      </c>
      <c r="B515" s="4">
        <v>45344</v>
      </c>
      <c r="C515" s="4">
        <v>1077</v>
      </c>
      <c r="D515" s="4" t="str">
        <v>Customer_144</v>
      </c>
      <c r="E515" s="4" t="str">
        <v>Corporate</v>
      </c>
      <c r="F515" s="4" t="str">
        <v>North</v>
      </c>
      <c r="G515" s="4" t="str">
        <v>Electronics</v>
      </c>
      <c r="H515" s="4" t="str">
        <v>Product_B</v>
      </c>
      <c r="I515" s="4">
        <v>3756</v>
      </c>
      <c r="J515" s="4">
        <v>9</v>
      </c>
      <c r="K515" s="4">
        <v>0.1</v>
      </c>
      <c r="L515" s="4">
        <v>1822</v>
      </c>
      <c r="M515" s="4" t="str">
        <v>Card</v>
      </c>
      <c r="N515" s="4">
        <v>30423.599999999999</v>
      </c>
    </row>
    <row r="516" spans="1:14" x14ac:dyDescent="0.3">
      <c r="A516" s="4">
        <v>55</v>
      </c>
      <c r="B516" s="4">
        <v>45346</v>
      </c>
      <c r="C516" s="4">
        <v>1015</v>
      </c>
      <c r="D516" s="4" t="str">
        <v>Customer_46</v>
      </c>
      <c r="E516" s="4" t="str">
        <v>Corporate</v>
      </c>
      <c r="F516" s="4" t="str">
        <v>North</v>
      </c>
      <c r="G516" s="4" t="str">
        <v>Clothing</v>
      </c>
      <c r="H516" s="4" t="str">
        <v>Product_A</v>
      </c>
      <c r="I516" s="4">
        <v>1482</v>
      </c>
      <c r="J516" s="4">
        <v>3</v>
      </c>
      <c r="K516" s="4">
        <v>0.24</v>
      </c>
      <c r="L516" s="4">
        <v>1102</v>
      </c>
      <c r="M516" s="4" t="str">
        <v>COD</v>
      </c>
      <c r="N516" s="4">
        <v>3378.96</v>
      </c>
    </row>
    <row r="517" spans="1:14" x14ac:dyDescent="0.3">
      <c r="A517" s="4">
        <v>56</v>
      </c>
      <c r="B517" s="4">
        <v>45347</v>
      </c>
      <c r="C517" s="4">
        <v>1027</v>
      </c>
      <c r="D517" s="4" t="str">
        <v>Customer_197</v>
      </c>
      <c r="E517" s="4" t="str">
        <v>Corporate</v>
      </c>
      <c r="F517" s="4" t="str">
        <v>North</v>
      </c>
      <c r="G517" s="4" t="str">
        <v>Electronics</v>
      </c>
      <c r="H517" s="4" t="str">
        <v>Product_C</v>
      </c>
      <c r="I517" s="4">
        <v>879</v>
      </c>
      <c r="J517" s="4">
        <v>7</v>
      </c>
      <c r="K517" s="4">
        <v>0.03</v>
      </c>
      <c r="L517" s="4">
        <v>1934</v>
      </c>
      <c r="M517" s="4" t="str">
        <v>Card</v>
      </c>
      <c r="N517" s="4">
        <v>5968.41</v>
      </c>
    </row>
    <row r="518" spans="1:14" x14ac:dyDescent="0.3">
      <c r="A518" s="4">
        <v>57</v>
      </c>
      <c r="B518" s="4">
        <v>45348</v>
      </c>
      <c r="C518" s="4">
        <v>1030</v>
      </c>
      <c r="D518" s="4" t="str">
        <v>Customer_37</v>
      </c>
      <c r="E518" s="4" t="str">
        <v>Corporate</v>
      </c>
      <c r="F518" s="4" t="str">
        <v>East</v>
      </c>
      <c r="G518" s="4" t="str">
        <v>Furniture</v>
      </c>
      <c r="H518" s="4" t="str">
        <v>Product_B</v>
      </c>
      <c r="I518" s="4">
        <v>4731</v>
      </c>
      <c r="J518" s="4">
        <v>2</v>
      </c>
      <c r="K518" s="4">
        <v>0.28999999999999998</v>
      </c>
      <c r="L518" s="4">
        <v>1177</v>
      </c>
      <c r="M518" s="4" t="str">
        <v>COD</v>
      </c>
      <c r="N518" s="4">
        <v>6718.0199999999904</v>
      </c>
    </row>
    <row r="519" spans="1:14" x14ac:dyDescent="0.3">
      <c r="A519" s="4">
        <v>58</v>
      </c>
      <c r="B519" s="4">
        <v>45349</v>
      </c>
      <c r="C519" s="4">
        <v>1052</v>
      </c>
      <c r="D519" s="4" t="str">
        <v>Customer_104</v>
      </c>
      <c r="E519" s="4" t="str">
        <v>Consumer</v>
      </c>
      <c r="F519" s="4" t="str">
        <v>West</v>
      </c>
      <c r="G519" s="4" t="str">
        <v>Furniture</v>
      </c>
      <c r="H519" s="4" t="str">
        <v>Product_B</v>
      </c>
      <c r="I519" s="4">
        <v>766</v>
      </c>
      <c r="J519" s="4">
        <v>1</v>
      </c>
      <c r="K519" s="4">
        <v>0.23</v>
      </c>
      <c r="L519" s="4">
        <v>993</v>
      </c>
      <c r="M519" s="4" t="str">
        <v>COD</v>
      </c>
      <c r="N519" s="4">
        <v>589.82000000000005</v>
      </c>
    </row>
    <row r="520" spans="1:14" x14ac:dyDescent="0.3">
      <c r="A520" s="4">
        <v>60</v>
      </c>
      <c r="B520" s="4">
        <v>45351</v>
      </c>
      <c r="C520" s="4">
        <v>1026</v>
      </c>
      <c r="D520" s="4" t="str">
        <v>Customer_143</v>
      </c>
      <c r="E520" s="4" t="str">
        <v>Consumer</v>
      </c>
      <c r="F520" s="4" t="str">
        <v>North</v>
      </c>
      <c r="G520" s="4" t="str">
        <v>Electronics</v>
      </c>
      <c r="H520" s="4" t="str">
        <v>Product_C</v>
      </c>
      <c r="I520" s="4">
        <v>4776</v>
      </c>
      <c r="J520" s="4">
        <v>3</v>
      </c>
      <c r="K520" s="4">
        <v>7.0000000000000007E-2</v>
      </c>
      <c r="L520" s="4">
        <v>1297</v>
      </c>
      <c r="M520" s="4" t="str">
        <v>UPI</v>
      </c>
      <c r="N520" s="4">
        <v>13325.039999999901</v>
      </c>
    </row>
    <row r="521" spans="1:14" x14ac:dyDescent="0.3">
      <c r="A521" s="4">
        <v>62</v>
      </c>
      <c r="B521" s="4">
        <v>45353</v>
      </c>
      <c r="C521" s="4">
        <v>1006</v>
      </c>
      <c r="D521" s="4" t="str">
        <v>Customer_34</v>
      </c>
      <c r="E521" s="4" t="str">
        <v>Corporate</v>
      </c>
      <c r="F521" s="4" t="str">
        <v>East</v>
      </c>
      <c r="G521" s="4" t="str">
        <v>Clothing</v>
      </c>
      <c r="H521" s="4" t="str">
        <v>Product_C</v>
      </c>
      <c r="I521" s="4">
        <v>4000</v>
      </c>
      <c r="J521" s="4">
        <v>3</v>
      </c>
      <c r="K521" s="4">
        <v>0.01</v>
      </c>
      <c r="L521" s="4">
        <v>1902</v>
      </c>
      <c r="M521" s="4" t="str">
        <v>COD</v>
      </c>
      <c r="N521" s="4">
        <v>11880</v>
      </c>
    </row>
    <row r="522" spans="1:14" x14ac:dyDescent="0.3">
      <c r="A522" s="4">
        <v>63</v>
      </c>
      <c r="B522" s="4">
        <v>45354</v>
      </c>
      <c r="C522" s="4">
        <v>1014</v>
      </c>
      <c r="D522" s="4" t="str">
        <v>Customer_9</v>
      </c>
      <c r="E522" s="4" t="str">
        <v>Consumer</v>
      </c>
      <c r="F522" s="4" t="str">
        <v>South</v>
      </c>
      <c r="G522" s="4" t="str">
        <v>Electronics</v>
      </c>
      <c r="H522" s="4" t="str">
        <v>Product_B</v>
      </c>
      <c r="I522" s="4">
        <v>156</v>
      </c>
      <c r="J522" s="4">
        <v>9</v>
      </c>
      <c r="K522" s="4">
        <v>0.17</v>
      </c>
      <c r="L522" s="4">
        <v>325</v>
      </c>
      <c r="M522" s="4" t="str">
        <v>COD</v>
      </c>
      <c r="N522" s="4">
        <v>1165.32</v>
      </c>
    </row>
    <row r="523" spans="1:14" x14ac:dyDescent="0.3">
      <c r="A523" s="4">
        <v>64</v>
      </c>
      <c r="B523" s="4">
        <v>45355</v>
      </c>
      <c r="C523" s="4">
        <v>1075</v>
      </c>
      <c r="D523" s="4" t="str">
        <v>Customer_154</v>
      </c>
      <c r="E523" s="4" t="str">
        <v>Consumer</v>
      </c>
      <c r="F523" s="4" t="str">
        <v>South</v>
      </c>
      <c r="G523" s="4" t="str">
        <v>Electronics</v>
      </c>
      <c r="H523" s="4" t="str">
        <v>Product_A</v>
      </c>
      <c r="I523" s="4">
        <v>3350</v>
      </c>
      <c r="J523" s="4">
        <v>4</v>
      </c>
      <c r="K523" s="4">
        <v>0.09</v>
      </c>
      <c r="L523" s="4">
        <v>1332</v>
      </c>
      <c r="M523" s="4" t="str">
        <v>COD</v>
      </c>
      <c r="N523" s="4">
        <v>12194</v>
      </c>
    </row>
    <row r="524" spans="1:14" x14ac:dyDescent="0.3">
      <c r="A524" s="4">
        <v>65</v>
      </c>
      <c r="B524" s="4">
        <v>45356</v>
      </c>
      <c r="C524" s="4">
        <v>1054</v>
      </c>
      <c r="D524" s="4" t="str">
        <v>Customer_77</v>
      </c>
      <c r="E524" s="4" t="str">
        <v>Consumer</v>
      </c>
      <c r="F524" s="4" t="str">
        <v>West</v>
      </c>
      <c r="G524" s="4" t="str">
        <v>Electronics</v>
      </c>
      <c r="H524" s="4" t="str">
        <v>Product_B</v>
      </c>
      <c r="I524" s="4">
        <v>642</v>
      </c>
      <c r="J524" s="4">
        <v>4</v>
      </c>
      <c r="K524" s="4">
        <v>0.25</v>
      </c>
      <c r="L524" s="4">
        <v>30</v>
      </c>
      <c r="M524" s="4" t="str">
        <v>UPI</v>
      </c>
      <c r="N524" s="4">
        <v>1926</v>
      </c>
    </row>
    <row r="525" spans="1:14" x14ac:dyDescent="0.3">
      <c r="A525" s="4">
        <v>67</v>
      </c>
      <c r="B525" s="4">
        <v>45358</v>
      </c>
      <c r="C525" s="4">
        <v>1001</v>
      </c>
      <c r="D525" s="4" t="str">
        <v>Customer_1</v>
      </c>
      <c r="E525" s="4" t="str">
        <v>Consumer</v>
      </c>
      <c r="F525" s="4" t="str">
        <v>West</v>
      </c>
      <c r="G525" s="4" t="str">
        <v>Furniture</v>
      </c>
      <c r="H525" s="4" t="str">
        <v>Product_B</v>
      </c>
      <c r="I525" s="4">
        <v>950</v>
      </c>
      <c r="J525" s="4">
        <v>4</v>
      </c>
      <c r="K525" s="4">
        <v>0.15</v>
      </c>
      <c r="L525" s="4">
        <v>1734</v>
      </c>
      <c r="M525" s="4" t="str">
        <v>COD</v>
      </c>
      <c r="N525" s="4">
        <v>3230</v>
      </c>
    </row>
    <row r="526" spans="1:14" x14ac:dyDescent="0.3">
      <c r="A526" s="4">
        <v>68</v>
      </c>
      <c r="B526" s="4">
        <v>45359</v>
      </c>
      <c r="C526" s="4">
        <v>1043</v>
      </c>
      <c r="D526" s="4" t="str">
        <v>Customer_23</v>
      </c>
      <c r="E526" s="4" t="str">
        <v>Corporate</v>
      </c>
      <c r="F526" s="4" t="str">
        <v>North</v>
      </c>
      <c r="G526" s="4" t="str">
        <v>Electronics</v>
      </c>
      <c r="H526" s="4" t="str">
        <v>Product_D</v>
      </c>
      <c r="I526" s="4">
        <v>1275</v>
      </c>
      <c r="J526" s="4">
        <v>9</v>
      </c>
      <c r="K526" s="4">
        <v>0.14000000000000001</v>
      </c>
      <c r="L526" s="4">
        <v>1604</v>
      </c>
      <c r="M526" s="4" t="str">
        <v>Card</v>
      </c>
      <c r="N526" s="4">
        <v>9868.5</v>
      </c>
    </row>
    <row r="527" spans="1:14" x14ac:dyDescent="0.3">
      <c r="A527" s="4">
        <v>69</v>
      </c>
      <c r="B527" s="4">
        <v>45360</v>
      </c>
      <c r="C527" s="4">
        <v>1058</v>
      </c>
      <c r="D527" s="4" t="str">
        <v>Customer_33</v>
      </c>
      <c r="E527" s="4" t="str">
        <v>Consumer</v>
      </c>
      <c r="F527" s="4" t="str">
        <v>North</v>
      </c>
      <c r="G527" s="4" t="str">
        <v>Clothing</v>
      </c>
      <c r="H527" s="4" t="str">
        <v>Product_D</v>
      </c>
      <c r="I527" s="4">
        <v>622</v>
      </c>
      <c r="J527" s="4">
        <v>9</v>
      </c>
      <c r="K527" s="4">
        <v>0.02</v>
      </c>
      <c r="L527" s="4">
        <v>442</v>
      </c>
      <c r="M527" s="4" t="str">
        <v>Card</v>
      </c>
      <c r="N527" s="4">
        <v>5486.04</v>
      </c>
    </row>
    <row r="528" spans="1:14" x14ac:dyDescent="0.3">
      <c r="A528" s="4">
        <v>70</v>
      </c>
      <c r="B528" s="4">
        <v>45361</v>
      </c>
      <c r="C528" s="4">
        <v>1055</v>
      </c>
      <c r="D528" s="4" t="str">
        <v>Customer_175</v>
      </c>
      <c r="E528" s="4" t="str">
        <v>Consumer</v>
      </c>
      <c r="F528" s="4" t="str">
        <v>West</v>
      </c>
      <c r="G528" s="4" t="str">
        <v>Clothing</v>
      </c>
      <c r="H528" s="4" t="str">
        <v>Product_C</v>
      </c>
      <c r="I528" s="4">
        <v>209</v>
      </c>
      <c r="J528" s="4">
        <v>9</v>
      </c>
      <c r="K528" s="4">
        <v>7.0000000000000007E-2</v>
      </c>
      <c r="L528" s="4">
        <v>79</v>
      </c>
      <c r="M528" s="4" t="str">
        <v>Card</v>
      </c>
      <c r="N528" s="4">
        <v>1749.33</v>
      </c>
    </row>
    <row r="529" spans="1:14" x14ac:dyDescent="0.3">
      <c r="A529" s="4">
        <v>71</v>
      </c>
      <c r="B529" s="4">
        <v>45362</v>
      </c>
      <c r="C529" s="4">
        <v>1025</v>
      </c>
      <c r="D529" s="4" t="str">
        <v>Customer_95</v>
      </c>
      <c r="E529" s="4" t="str">
        <v>Consumer</v>
      </c>
      <c r="F529" s="4" t="str">
        <v>South</v>
      </c>
      <c r="G529" s="4" t="str">
        <v>Clothing</v>
      </c>
      <c r="H529" s="4" t="str">
        <v>Product_D</v>
      </c>
      <c r="I529" s="4">
        <v>3545</v>
      </c>
      <c r="J529" s="4">
        <v>6</v>
      </c>
      <c r="K529" s="4">
        <v>0.21</v>
      </c>
      <c r="L529" s="4">
        <v>706</v>
      </c>
      <c r="M529" s="4" t="str">
        <v>Card</v>
      </c>
      <c r="N529" s="4">
        <v>16803.3</v>
      </c>
    </row>
    <row r="530" spans="1:14" x14ac:dyDescent="0.3">
      <c r="A530" s="4">
        <v>72</v>
      </c>
      <c r="B530" s="4">
        <v>45363</v>
      </c>
      <c r="C530" s="4">
        <v>1050</v>
      </c>
      <c r="D530" s="4" t="str">
        <v>Customer_122</v>
      </c>
      <c r="E530" s="4" t="str">
        <v>Corporate</v>
      </c>
      <c r="F530" s="4" t="str">
        <v>East</v>
      </c>
      <c r="G530" s="4" t="str">
        <v>Clothing</v>
      </c>
      <c r="H530" s="4" t="str">
        <v>Product_A</v>
      </c>
      <c r="I530" s="4">
        <v>156</v>
      </c>
      <c r="J530" s="4">
        <v>9</v>
      </c>
      <c r="K530" s="4">
        <v>0.02</v>
      </c>
      <c r="L530" s="4">
        <v>56</v>
      </c>
      <c r="M530" s="4" t="str">
        <v>COD</v>
      </c>
      <c r="N530" s="4">
        <v>1375.92</v>
      </c>
    </row>
    <row r="531" spans="1:14" x14ac:dyDescent="0.3">
      <c r="A531" s="4">
        <v>73</v>
      </c>
      <c r="B531" s="4">
        <v>45364</v>
      </c>
      <c r="C531" s="4">
        <v>1084</v>
      </c>
      <c r="D531" s="4" t="str">
        <v>Customer_21</v>
      </c>
      <c r="E531" s="4" t="str">
        <v>Consumer</v>
      </c>
      <c r="F531" s="4" t="str">
        <v>West</v>
      </c>
      <c r="G531" s="4" t="str">
        <v>Clothing</v>
      </c>
      <c r="H531" s="4" t="str">
        <v>Product_C</v>
      </c>
      <c r="I531" s="4">
        <v>3923</v>
      </c>
      <c r="J531" s="4">
        <v>3</v>
      </c>
      <c r="K531" s="4">
        <v>0.24</v>
      </c>
      <c r="L531" s="4">
        <v>1141</v>
      </c>
      <c r="M531" s="4" t="str">
        <v>UPI</v>
      </c>
      <c r="N531" s="4">
        <v>8944.44</v>
      </c>
    </row>
    <row r="532" spans="1:14" x14ac:dyDescent="0.3">
      <c r="A532" s="4">
        <v>74</v>
      </c>
      <c r="B532" s="4">
        <v>45365</v>
      </c>
      <c r="C532" s="4">
        <v>1056</v>
      </c>
      <c r="D532" s="4" t="str">
        <v>Customer_61</v>
      </c>
      <c r="E532" s="4" t="str">
        <v>Corporate</v>
      </c>
      <c r="F532" s="4" t="str">
        <v>East</v>
      </c>
      <c r="G532" s="4" t="str">
        <v>Electronics</v>
      </c>
      <c r="H532" s="4" t="str">
        <v>Product_D</v>
      </c>
      <c r="I532" s="4">
        <v>1766</v>
      </c>
      <c r="J532" s="4">
        <v>2</v>
      </c>
      <c r="K532" s="4">
        <v>0.28999999999999998</v>
      </c>
      <c r="L532" s="4">
        <v>620</v>
      </c>
      <c r="M532" s="4" t="str">
        <v>Card</v>
      </c>
      <c r="N532" s="4">
        <v>2507.7199999999998</v>
      </c>
    </row>
    <row r="533" spans="1:14" x14ac:dyDescent="0.3">
      <c r="A533" s="4">
        <v>75</v>
      </c>
      <c r="B533" s="4">
        <v>45366</v>
      </c>
      <c r="C533" s="4">
        <v>1049</v>
      </c>
      <c r="D533" s="4" t="str">
        <v>Customer_27</v>
      </c>
      <c r="E533" s="4" t="str">
        <v>Consumer</v>
      </c>
      <c r="F533" s="4" t="str">
        <v>East</v>
      </c>
      <c r="G533" s="4" t="str">
        <v>Furniture</v>
      </c>
      <c r="H533" s="4" t="str">
        <v>Product_B</v>
      </c>
      <c r="I533" s="4">
        <v>4017</v>
      </c>
      <c r="J533" s="4">
        <v>2</v>
      </c>
      <c r="K533" s="4">
        <v>0.02</v>
      </c>
      <c r="L533" s="4">
        <v>755</v>
      </c>
      <c r="M533" s="4" t="str">
        <v>COD</v>
      </c>
      <c r="N533" s="4">
        <v>7873.32</v>
      </c>
    </row>
    <row r="534" spans="1:14" x14ac:dyDescent="0.3">
      <c r="A534" s="4">
        <v>77</v>
      </c>
      <c r="B534" s="4">
        <v>45368</v>
      </c>
      <c r="C534" s="4">
        <v>1018</v>
      </c>
      <c r="D534" s="4" t="str">
        <v>Customer_102</v>
      </c>
      <c r="E534" s="4" t="str">
        <v>Consumer</v>
      </c>
      <c r="F534" s="4" t="str">
        <v>East</v>
      </c>
      <c r="G534" s="4" t="str">
        <v>Furniture</v>
      </c>
      <c r="H534" s="4" t="str">
        <v>Product_C</v>
      </c>
      <c r="I534" s="4">
        <v>604</v>
      </c>
      <c r="J534" s="4">
        <v>5</v>
      </c>
      <c r="K534" s="4">
        <v>0.17</v>
      </c>
      <c r="L534" s="4">
        <v>213</v>
      </c>
      <c r="M534" s="4" t="str">
        <v>COD</v>
      </c>
      <c r="N534" s="4">
        <v>2506.6</v>
      </c>
    </row>
    <row r="535" spans="1:14" x14ac:dyDescent="0.3">
      <c r="A535" s="4">
        <v>78</v>
      </c>
      <c r="B535" s="4">
        <v>45369</v>
      </c>
      <c r="C535" s="4">
        <v>1081</v>
      </c>
      <c r="D535" s="4" t="str">
        <v>Customer_180</v>
      </c>
      <c r="E535" s="4" t="str">
        <v>Consumer</v>
      </c>
      <c r="F535" s="4" t="str">
        <v>North</v>
      </c>
      <c r="G535" s="4" t="str">
        <v>Clothing</v>
      </c>
      <c r="H535" s="4" t="str">
        <v>Product_D</v>
      </c>
      <c r="I535" s="4">
        <v>3795</v>
      </c>
      <c r="J535" s="4">
        <v>4</v>
      </c>
      <c r="K535" s="4">
        <v>0.24</v>
      </c>
      <c r="L535" s="4">
        <v>842</v>
      </c>
      <c r="M535" s="4" t="str">
        <v>UPI</v>
      </c>
      <c r="N535" s="4">
        <v>11536.8</v>
      </c>
    </row>
    <row r="536" spans="1:14" x14ac:dyDescent="0.3">
      <c r="A536" s="4">
        <v>80</v>
      </c>
      <c r="B536" s="4">
        <v>45371</v>
      </c>
      <c r="C536" s="4">
        <v>1051</v>
      </c>
      <c r="D536" s="4" t="str">
        <v>Customer_142</v>
      </c>
      <c r="E536" s="4" t="str">
        <v>Corporate</v>
      </c>
      <c r="F536" s="4" t="str">
        <v>East</v>
      </c>
      <c r="G536" s="4" t="str">
        <v>Clothing</v>
      </c>
      <c r="H536" s="4" t="str">
        <v>Product_A</v>
      </c>
      <c r="I536" s="4">
        <v>1428</v>
      </c>
      <c r="J536" s="4">
        <v>4</v>
      </c>
      <c r="K536" s="4">
        <v>0.11</v>
      </c>
      <c r="L536" s="4">
        <v>361</v>
      </c>
      <c r="M536" s="4" t="str">
        <v>UPI</v>
      </c>
      <c r="N536" s="4">
        <v>5083.68</v>
      </c>
    </row>
    <row r="537" spans="1:14" x14ac:dyDescent="0.3">
      <c r="A537" s="4">
        <v>82</v>
      </c>
      <c r="B537" s="4">
        <v>45373</v>
      </c>
      <c r="C537" s="4">
        <v>1048</v>
      </c>
      <c r="D537" s="4" t="str">
        <v>Customer_175</v>
      </c>
      <c r="E537" s="4" t="str">
        <v>Consumer</v>
      </c>
      <c r="F537" s="4" t="str">
        <v>South</v>
      </c>
      <c r="G537" s="4" t="str">
        <v>Electronics</v>
      </c>
      <c r="H537" s="4" t="str">
        <v>Product_A</v>
      </c>
      <c r="I537" s="4">
        <v>222</v>
      </c>
      <c r="J537" s="4">
        <v>6</v>
      </c>
      <c r="K537" s="4">
        <v>0.16</v>
      </c>
      <c r="L537" s="4">
        <v>9</v>
      </c>
      <c r="M537" s="4" t="str">
        <v>UPI</v>
      </c>
      <c r="N537" s="4">
        <v>1118.8799999999901</v>
      </c>
    </row>
    <row r="538" spans="1:14" x14ac:dyDescent="0.3">
      <c r="A538" s="4">
        <v>83</v>
      </c>
      <c r="B538" s="4">
        <v>45374</v>
      </c>
      <c r="C538" s="4">
        <v>1056</v>
      </c>
      <c r="D538" s="4" t="str">
        <v>Customer_7</v>
      </c>
      <c r="E538" s="4" t="str">
        <v>Corporate</v>
      </c>
      <c r="F538" s="4" t="str">
        <v>West</v>
      </c>
      <c r="G538" s="4" t="str">
        <v>Clothing</v>
      </c>
      <c r="H538" s="4" t="str">
        <v>Product_A</v>
      </c>
      <c r="I538" s="4">
        <v>1447</v>
      </c>
      <c r="J538" s="4">
        <v>8</v>
      </c>
      <c r="K538" s="4">
        <v>0.05</v>
      </c>
      <c r="L538" s="4">
        <v>1686</v>
      </c>
      <c r="M538" s="4" t="str">
        <v>UPI</v>
      </c>
      <c r="N538" s="4">
        <v>10997.199999999901</v>
      </c>
    </row>
    <row r="539" spans="1:14" x14ac:dyDescent="0.3">
      <c r="A539" s="4">
        <v>84</v>
      </c>
      <c r="B539" s="4">
        <v>45375</v>
      </c>
      <c r="C539" s="4">
        <v>1091</v>
      </c>
      <c r="D539" s="4" t="str">
        <v>Customer_76</v>
      </c>
      <c r="E539" s="4" t="str">
        <v>Corporate</v>
      </c>
      <c r="F539" s="4" t="str">
        <v>East</v>
      </c>
      <c r="G539" s="4" t="str">
        <v>Electronics</v>
      </c>
      <c r="H539" s="4" t="str">
        <v>Product_C</v>
      </c>
      <c r="I539" s="4">
        <v>4171</v>
      </c>
      <c r="J539" s="4">
        <v>6</v>
      </c>
      <c r="K539" s="4">
        <v>0.26</v>
      </c>
      <c r="L539" s="4">
        <v>1941</v>
      </c>
      <c r="M539" s="4" t="str">
        <v>UPI</v>
      </c>
      <c r="N539" s="4">
        <v>18519.2399999999</v>
      </c>
    </row>
    <row r="540" spans="1:14" x14ac:dyDescent="0.3">
      <c r="A540" s="4">
        <v>85</v>
      </c>
      <c r="B540" s="4">
        <v>45376</v>
      </c>
      <c r="C540" s="4">
        <v>1049</v>
      </c>
      <c r="D540" s="4" t="str">
        <v>Customer_156</v>
      </c>
      <c r="E540" s="4" t="str">
        <v>Corporate</v>
      </c>
      <c r="F540" s="4" t="str">
        <v>North</v>
      </c>
      <c r="G540" s="4" t="str">
        <v>Clothing</v>
      </c>
      <c r="H540" s="4" t="str">
        <v>Product_D</v>
      </c>
      <c r="I540" s="4">
        <v>2001</v>
      </c>
      <c r="J540" s="4">
        <v>5</v>
      </c>
      <c r="K540" s="4">
        <v>0.28000000000000003</v>
      </c>
      <c r="L540" s="4">
        <v>832</v>
      </c>
      <c r="M540" s="4" t="str">
        <v>UPI</v>
      </c>
      <c r="N540" s="4">
        <v>7203.5999999999904</v>
      </c>
    </row>
    <row r="541" spans="1:14" x14ac:dyDescent="0.3">
      <c r="A541" s="4">
        <v>86</v>
      </c>
      <c r="B541" s="4">
        <v>45377</v>
      </c>
      <c r="C541" s="4">
        <v>1086</v>
      </c>
      <c r="D541" s="4" t="str">
        <v>Customer_131</v>
      </c>
      <c r="E541" s="4" t="str">
        <v>Consumer</v>
      </c>
      <c r="F541" s="4" t="str">
        <v>South</v>
      </c>
      <c r="G541" s="4" t="str">
        <v>Electronics</v>
      </c>
      <c r="H541" s="4" t="str">
        <v>Product_C</v>
      </c>
      <c r="I541" s="4">
        <v>1745</v>
      </c>
      <c r="J541" s="4">
        <v>7</v>
      </c>
      <c r="K541" s="4">
        <v>0.22</v>
      </c>
      <c r="L541" s="4">
        <v>1411</v>
      </c>
      <c r="M541" s="4" t="str">
        <v>UPI</v>
      </c>
      <c r="N541" s="4">
        <v>9527.7000000000007</v>
      </c>
    </row>
    <row r="542" spans="1:14" x14ac:dyDescent="0.3">
      <c r="A542" s="4">
        <v>87</v>
      </c>
      <c r="B542" s="4">
        <v>45378</v>
      </c>
      <c r="C542" s="4">
        <v>1003</v>
      </c>
      <c r="D542" s="4" t="str">
        <v>Customer_150</v>
      </c>
      <c r="E542" s="4" t="str">
        <v>Corporate</v>
      </c>
      <c r="F542" s="4" t="str">
        <v>South</v>
      </c>
      <c r="G542" s="4" t="str">
        <v>Electronics</v>
      </c>
      <c r="H542" s="4" t="str">
        <v>Product_D</v>
      </c>
      <c r="I542" s="4">
        <v>2969</v>
      </c>
      <c r="J542" s="4">
        <v>3</v>
      </c>
      <c r="K542" s="4">
        <v>0.28999999999999998</v>
      </c>
      <c r="L542" s="4">
        <v>735</v>
      </c>
      <c r="M542" s="4" t="str">
        <v>UPI</v>
      </c>
      <c r="N542" s="4">
        <v>6323.9699999999903</v>
      </c>
    </row>
    <row r="543" spans="1:14" x14ac:dyDescent="0.3">
      <c r="A543" s="4">
        <v>89</v>
      </c>
      <c r="B543" s="4">
        <v>45380</v>
      </c>
      <c r="C543" s="4">
        <v>1011</v>
      </c>
      <c r="D543" s="4" t="str">
        <v>Customer_191</v>
      </c>
      <c r="E543" s="4" t="str">
        <v>Corporate</v>
      </c>
      <c r="F543" s="4" t="str">
        <v>South</v>
      </c>
      <c r="G543" s="4" t="str">
        <v>Electronics</v>
      </c>
      <c r="H543" s="4" t="str">
        <v>Product_B</v>
      </c>
      <c r="I543" s="4">
        <v>2972</v>
      </c>
      <c r="J543" s="4">
        <v>6</v>
      </c>
      <c r="K543" s="4">
        <v>0.04</v>
      </c>
      <c r="L543" s="4">
        <v>64</v>
      </c>
      <c r="M543" s="4" t="str">
        <v>UPI</v>
      </c>
      <c r="N543" s="4">
        <v>17118.72</v>
      </c>
    </row>
    <row r="544" spans="1:14" x14ac:dyDescent="0.3">
      <c r="A544" s="4">
        <v>90</v>
      </c>
      <c r="B544" s="4">
        <v>45381</v>
      </c>
      <c r="C544" s="4">
        <v>1021</v>
      </c>
      <c r="D544" s="4" t="str">
        <v>Customer_29</v>
      </c>
      <c r="E544" s="4" t="str">
        <v>Consumer</v>
      </c>
      <c r="F544" s="4" t="str">
        <v>East</v>
      </c>
      <c r="G544" s="4" t="str">
        <v>Furniture</v>
      </c>
      <c r="H544" s="4" t="str">
        <v>Product_B</v>
      </c>
      <c r="I544" s="4">
        <v>1596</v>
      </c>
      <c r="J544" s="4">
        <v>9</v>
      </c>
      <c r="K544" s="4">
        <v>0.12</v>
      </c>
      <c r="L544" s="4">
        <v>1887</v>
      </c>
      <c r="M544" s="4" t="str">
        <v>UPI</v>
      </c>
      <c r="N544" s="4">
        <v>12640.32</v>
      </c>
    </row>
    <row r="545" spans="1:14" x14ac:dyDescent="0.3">
      <c r="A545" s="4">
        <v>91</v>
      </c>
      <c r="B545" s="4">
        <v>45382</v>
      </c>
      <c r="C545" s="4">
        <v>1089</v>
      </c>
      <c r="D545" s="4" t="str">
        <v>Customer_148</v>
      </c>
      <c r="E545" s="4" t="str">
        <v>Corporate</v>
      </c>
      <c r="F545" s="4" t="str">
        <v>North</v>
      </c>
      <c r="G545" s="4" t="str">
        <v>Electronics</v>
      </c>
      <c r="H545" s="4" t="str">
        <v>Product_B</v>
      </c>
      <c r="I545" s="4">
        <v>775</v>
      </c>
      <c r="J545" s="4">
        <v>6</v>
      </c>
      <c r="K545" s="4">
        <v>0.18</v>
      </c>
      <c r="L545" s="4">
        <v>1459</v>
      </c>
      <c r="M545" s="4" t="str">
        <v>UPI</v>
      </c>
      <c r="N545" s="4">
        <v>3813</v>
      </c>
    </row>
    <row r="546" spans="1:14" x14ac:dyDescent="0.3">
      <c r="A546" s="4">
        <v>92</v>
      </c>
      <c r="B546" s="4">
        <v>45383</v>
      </c>
      <c r="C546" s="4">
        <v>1098</v>
      </c>
      <c r="D546" s="4" t="str">
        <v>Customer_67</v>
      </c>
      <c r="E546" s="4" t="str">
        <v>Corporate</v>
      </c>
      <c r="F546" s="4" t="str">
        <v>South</v>
      </c>
      <c r="G546" s="4" t="str">
        <v>Furniture</v>
      </c>
      <c r="H546" s="4" t="str">
        <v>Product_D</v>
      </c>
      <c r="I546" s="4">
        <v>2608</v>
      </c>
      <c r="J546" s="4">
        <v>4</v>
      </c>
      <c r="K546" s="4">
        <v>0.22</v>
      </c>
      <c r="L546" s="4">
        <v>1774</v>
      </c>
      <c r="M546" s="4" t="str">
        <v>UPI</v>
      </c>
      <c r="N546" s="4">
        <v>8136.96</v>
      </c>
    </row>
    <row r="547" spans="1:14" x14ac:dyDescent="0.3">
      <c r="A547" s="4">
        <v>93</v>
      </c>
      <c r="B547" s="4">
        <v>45384</v>
      </c>
      <c r="C547" s="4">
        <v>1003</v>
      </c>
      <c r="D547" s="4" t="str">
        <v>Customer_105</v>
      </c>
      <c r="E547" s="4" t="str">
        <v>Corporate</v>
      </c>
      <c r="F547" s="4" t="str">
        <v>North</v>
      </c>
      <c r="G547" s="4" t="str">
        <v>Electronics</v>
      </c>
      <c r="H547" s="4" t="str">
        <v>Product_D</v>
      </c>
      <c r="I547" s="4">
        <v>2396</v>
      </c>
      <c r="J547" s="4">
        <v>8</v>
      </c>
      <c r="K547" s="4">
        <v>0.16</v>
      </c>
      <c r="L547" s="4">
        <v>943</v>
      </c>
      <c r="M547" s="4" t="str">
        <v>Card</v>
      </c>
      <c r="N547" s="4">
        <v>16101.119999999901</v>
      </c>
    </row>
    <row r="548" spans="1:14" x14ac:dyDescent="0.3">
      <c r="A548" s="4">
        <v>95</v>
      </c>
      <c r="B548" s="4">
        <v>45386</v>
      </c>
      <c r="C548" s="4">
        <v>1003</v>
      </c>
      <c r="D548" s="4" t="str">
        <v>Customer_94</v>
      </c>
      <c r="E548" s="4" t="str">
        <v>Consumer</v>
      </c>
      <c r="F548" s="4" t="str">
        <v>West</v>
      </c>
      <c r="G548" s="4" t="str">
        <v>Clothing</v>
      </c>
      <c r="H548" s="4" t="str">
        <v>Product_C</v>
      </c>
      <c r="I548" s="4">
        <v>4372</v>
      </c>
      <c r="J548" s="4">
        <v>5</v>
      </c>
      <c r="K548" s="4">
        <v>0.04</v>
      </c>
      <c r="L548" s="4">
        <v>1771</v>
      </c>
      <c r="M548" s="4" t="str">
        <v>UPI</v>
      </c>
      <c r="N548" s="4">
        <v>20985.599999999999</v>
      </c>
    </row>
    <row r="549" spans="1:14" x14ac:dyDescent="0.3">
      <c r="A549" s="4">
        <v>96</v>
      </c>
      <c r="B549" s="4">
        <v>45387</v>
      </c>
      <c r="C549" s="4">
        <v>1094</v>
      </c>
      <c r="D549" s="4" t="str">
        <v>Customer_48</v>
      </c>
      <c r="E549" s="4" t="str">
        <v>Consumer</v>
      </c>
      <c r="F549" s="4" t="str">
        <v>North</v>
      </c>
      <c r="G549" s="4" t="str">
        <v>Furniture</v>
      </c>
      <c r="H549" s="4" t="str">
        <v>Product_D</v>
      </c>
      <c r="I549" s="4">
        <v>301</v>
      </c>
      <c r="J549" s="4">
        <v>8</v>
      </c>
      <c r="K549" s="4">
        <v>0.12</v>
      </c>
      <c r="L549" s="4">
        <v>1297</v>
      </c>
      <c r="M549" s="4" t="str">
        <v>UPI</v>
      </c>
      <c r="N549" s="4">
        <v>2119.04</v>
      </c>
    </row>
    <row r="550" spans="1:14" x14ac:dyDescent="0.3">
      <c r="A550" s="4">
        <v>97</v>
      </c>
      <c r="B550" s="4">
        <v>45388</v>
      </c>
      <c r="C550" s="4">
        <v>1006</v>
      </c>
      <c r="D550" s="4" t="str">
        <v>Customer_103</v>
      </c>
      <c r="E550" s="4" t="str">
        <v>Corporate</v>
      </c>
      <c r="F550" s="4" t="str">
        <v>East</v>
      </c>
      <c r="G550" s="4" t="str">
        <v>Furniture</v>
      </c>
      <c r="H550" s="4" t="str">
        <v>Product_A</v>
      </c>
      <c r="I550" s="4">
        <v>4572</v>
      </c>
      <c r="J550" s="4">
        <v>9</v>
      </c>
      <c r="K550" s="4">
        <v>0</v>
      </c>
      <c r="L550" s="4">
        <v>519</v>
      </c>
      <c r="M550" s="4" t="str">
        <v>UPI</v>
      </c>
      <c r="N550" s="4">
        <v>41148</v>
      </c>
    </row>
    <row r="551" spans="1:14" x14ac:dyDescent="0.3">
      <c r="A551" s="4">
        <v>98</v>
      </c>
      <c r="B551" s="4">
        <v>45389</v>
      </c>
      <c r="C551" s="4">
        <v>1009</v>
      </c>
      <c r="D551" s="4" t="str">
        <v>Customer_41</v>
      </c>
      <c r="E551" s="4" t="str">
        <v>Consumer</v>
      </c>
      <c r="F551" s="4" t="str">
        <v>South</v>
      </c>
      <c r="G551" s="4" t="str">
        <v>Electronics</v>
      </c>
      <c r="H551" s="4" t="str">
        <v>Product_A</v>
      </c>
      <c r="I551" s="4">
        <v>3094</v>
      </c>
      <c r="J551" s="4">
        <v>4</v>
      </c>
      <c r="K551" s="4">
        <v>0.2</v>
      </c>
      <c r="L551" s="4">
        <v>236</v>
      </c>
      <c r="M551" s="4" t="str">
        <v>Card</v>
      </c>
      <c r="N551" s="4">
        <v>9900.7999999999993</v>
      </c>
    </row>
    <row r="552" spans="1:14" x14ac:dyDescent="0.3">
      <c r="A552" s="4">
        <v>99</v>
      </c>
      <c r="B552" s="4">
        <v>45390</v>
      </c>
      <c r="C552" s="4">
        <v>1087</v>
      </c>
      <c r="D552" s="4" t="str">
        <v>Customer_123</v>
      </c>
      <c r="E552" s="4" t="str">
        <v>Consumer</v>
      </c>
      <c r="F552" s="4" t="str">
        <v>West</v>
      </c>
      <c r="G552" s="4" t="str">
        <v>Electronics</v>
      </c>
      <c r="H552" s="4" t="str">
        <v>Product_A</v>
      </c>
      <c r="I552" s="4">
        <v>4656</v>
      </c>
      <c r="J552" s="4">
        <v>8</v>
      </c>
      <c r="K552" s="4">
        <v>0.05</v>
      </c>
      <c r="L552" s="4">
        <v>115</v>
      </c>
      <c r="M552" s="4" t="str">
        <v>Card</v>
      </c>
      <c r="N552" s="4">
        <v>35385.599999999999</v>
      </c>
    </row>
    <row r="553" spans="1:14" x14ac:dyDescent="0.3">
      <c r="A553" s="4">
        <v>100</v>
      </c>
      <c r="B553" s="4">
        <v>45391</v>
      </c>
      <c r="C553" s="4">
        <v>1014</v>
      </c>
      <c r="D553" s="4" t="str">
        <v>Customer_137</v>
      </c>
      <c r="E553" s="4" t="str">
        <v>Corporate</v>
      </c>
      <c r="F553" s="4" t="str">
        <v>North</v>
      </c>
      <c r="G553" s="4" t="str">
        <v>Clothing</v>
      </c>
      <c r="H553" s="4" t="str">
        <v>Product_B</v>
      </c>
      <c r="I553" s="4">
        <v>4815</v>
      </c>
      <c r="J553" s="4">
        <v>8</v>
      </c>
      <c r="K553" s="4">
        <v>0.12</v>
      </c>
      <c r="L553" s="4">
        <v>271</v>
      </c>
      <c r="M553" s="4" t="str">
        <v>UPI</v>
      </c>
      <c r="N553" s="4">
        <v>33897.599999999999</v>
      </c>
    </row>
    <row r="554" spans="1:14" x14ac:dyDescent="0.3">
      <c r="A554" s="4">
        <v>101</v>
      </c>
      <c r="B554" s="4">
        <v>45392</v>
      </c>
      <c r="C554" s="4">
        <v>1083</v>
      </c>
      <c r="D554" s="4" t="str">
        <v>Customer_176</v>
      </c>
      <c r="E554" s="4" t="str">
        <v>Consumer</v>
      </c>
      <c r="F554" s="4" t="str">
        <v>South</v>
      </c>
      <c r="G554" s="4" t="str">
        <v>Furniture</v>
      </c>
      <c r="H554" s="4" t="str">
        <v>Product_C</v>
      </c>
      <c r="I554" s="4">
        <v>4598</v>
      </c>
      <c r="J554" s="4">
        <v>3</v>
      </c>
      <c r="K554" s="4">
        <v>0.15</v>
      </c>
      <c r="L554" s="4">
        <v>93</v>
      </c>
      <c r="M554" s="4" t="str">
        <v>Card</v>
      </c>
      <c r="N554" s="4">
        <v>11724.9</v>
      </c>
    </row>
    <row r="555" spans="1:14" x14ac:dyDescent="0.3">
      <c r="A555" s="4">
        <v>103</v>
      </c>
      <c r="B555" s="4">
        <v>45394</v>
      </c>
      <c r="C555" s="4">
        <v>1012</v>
      </c>
      <c r="D555" s="4" t="str">
        <v>Customer_23</v>
      </c>
      <c r="E555" s="4" t="str">
        <v>Consumer</v>
      </c>
      <c r="F555" s="4" t="str">
        <v>East</v>
      </c>
      <c r="G555" s="4" t="str">
        <v>Electronics</v>
      </c>
      <c r="H555" s="4" t="str">
        <v>Product_C</v>
      </c>
      <c r="I555" s="4">
        <v>3765</v>
      </c>
      <c r="J555" s="4">
        <v>2</v>
      </c>
      <c r="K555" s="4">
        <v>0.23</v>
      </c>
      <c r="L555" s="4">
        <v>820</v>
      </c>
      <c r="M555" s="4" t="str">
        <v>COD</v>
      </c>
      <c r="N555" s="4">
        <v>5798.1</v>
      </c>
    </row>
    <row r="556" spans="1:14" x14ac:dyDescent="0.3">
      <c r="A556" s="4">
        <v>105</v>
      </c>
      <c r="B556" s="4">
        <v>45396</v>
      </c>
      <c r="C556" s="4">
        <v>1027</v>
      </c>
      <c r="D556" s="4" t="str">
        <v>Customer_149</v>
      </c>
      <c r="E556" s="4" t="str">
        <v>Corporate</v>
      </c>
      <c r="F556" s="4" t="str">
        <v>South</v>
      </c>
      <c r="G556" s="4" t="str">
        <v>Furniture</v>
      </c>
      <c r="H556" s="4" t="str">
        <v>Product_A</v>
      </c>
      <c r="I556" s="4">
        <v>1628</v>
      </c>
      <c r="J556" s="4">
        <v>6</v>
      </c>
      <c r="K556" s="4">
        <v>0.17</v>
      </c>
      <c r="L556" s="4">
        <v>1224</v>
      </c>
      <c r="M556" s="4" t="str">
        <v>Card</v>
      </c>
      <c r="N556" s="4">
        <v>8107.44</v>
      </c>
    </row>
    <row r="557" spans="1:14" x14ac:dyDescent="0.3">
      <c r="A557" s="4">
        <v>106</v>
      </c>
      <c r="B557" s="4">
        <v>45397</v>
      </c>
      <c r="C557" s="4">
        <v>1038</v>
      </c>
      <c r="D557" s="4" t="str">
        <v>Customer_160</v>
      </c>
      <c r="E557" s="4" t="str">
        <v>Corporate</v>
      </c>
      <c r="F557" s="4" t="str">
        <v>North</v>
      </c>
      <c r="G557" s="4" t="str">
        <v>Clothing</v>
      </c>
      <c r="H557" s="4" t="str">
        <v>Product_A</v>
      </c>
      <c r="I557" s="4">
        <v>759</v>
      </c>
      <c r="J557" s="4">
        <v>6</v>
      </c>
      <c r="K557" s="4">
        <v>0.16</v>
      </c>
      <c r="L557" s="4">
        <v>879</v>
      </c>
      <c r="M557" s="4" t="str">
        <v>UPI</v>
      </c>
      <c r="N557" s="4">
        <v>3825.3599999999901</v>
      </c>
    </row>
    <row r="558" spans="1:14" x14ac:dyDescent="0.3">
      <c r="A558" s="4">
        <v>107</v>
      </c>
      <c r="B558" s="4">
        <v>45398</v>
      </c>
      <c r="C558" s="4">
        <v>1017</v>
      </c>
      <c r="D558" s="4" t="str">
        <v>Customer_109</v>
      </c>
      <c r="E558" s="4" t="str">
        <v>Consumer</v>
      </c>
      <c r="F558" s="4" t="str">
        <v>East</v>
      </c>
      <c r="G558" s="4" t="str">
        <v>Electronics</v>
      </c>
      <c r="H558" s="4" t="str">
        <v>Product_B</v>
      </c>
      <c r="I558" s="4">
        <v>101</v>
      </c>
      <c r="J558" s="4">
        <v>2</v>
      </c>
      <c r="K558" s="4">
        <v>0.26</v>
      </c>
      <c r="L558" s="4">
        <v>1747</v>
      </c>
      <c r="M558" s="4" t="str">
        <v>COD</v>
      </c>
      <c r="N558" s="4">
        <v>149.47999999999999</v>
      </c>
    </row>
    <row r="559" spans="1:14" x14ac:dyDescent="0.3">
      <c r="A559" s="4">
        <v>108</v>
      </c>
      <c r="B559" s="4">
        <v>45399</v>
      </c>
      <c r="C559" s="4">
        <v>1061</v>
      </c>
      <c r="D559" s="4" t="str">
        <v>Customer_154</v>
      </c>
      <c r="E559" s="4" t="str">
        <v>Corporate</v>
      </c>
      <c r="F559" s="4" t="str">
        <v>East</v>
      </c>
      <c r="G559" s="4" t="str">
        <v>Furniture</v>
      </c>
      <c r="H559" s="4" t="str">
        <v>Product_A</v>
      </c>
      <c r="I559" s="4">
        <v>608</v>
      </c>
      <c r="J559" s="4">
        <v>4</v>
      </c>
      <c r="K559" s="4">
        <v>0.26</v>
      </c>
      <c r="L559" s="4">
        <v>1152</v>
      </c>
      <c r="M559" s="4" t="str">
        <v>UPI</v>
      </c>
      <c r="N559" s="4">
        <v>1799.68</v>
      </c>
    </row>
    <row r="560" spans="1:14" x14ac:dyDescent="0.3">
      <c r="A560" s="4">
        <v>109</v>
      </c>
      <c r="B560" s="4">
        <v>45400</v>
      </c>
      <c r="C560" s="4">
        <v>1074</v>
      </c>
      <c r="D560" s="4" t="str">
        <v>Customer_33</v>
      </c>
      <c r="E560" s="4" t="str">
        <v>Consumer</v>
      </c>
      <c r="F560" s="4" t="str">
        <v>West</v>
      </c>
      <c r="G560" s="4" t="str">
        <v>Clothing</v>
      </c>
      <c r="H560" s="4" t="str">
        <v>Product_A</v>
      </c>
      <c r="I560" s="4">
        <v>239</v>
      </c>
      <c r="J560" s="4">
        <v>2</v>
      </c>
      <c r="K560" s="4">
        <v>0.02</v>
      </c>
      <c r="L560" s="4">
        <v>1292</v>
      </c>
      <c r="M560" s="4" t="str">
        <v>COD</v>
      </c>
      <c r="N560" s="4">
        <v>468.44</v>
      </c>
    </row>
    <row r="561" spans="1:14" x14ac:dyDescent="0.3">
      <c r="A561" s="4">
        <v>110</v>
      </c>
      <c r="B561" s="4">
        <v>45401</v>
      </c>
      <c r="C561" s="4">
        <v>1099</v>
      </c>
      <c r="D561" s="4" t="str">
        <v>Customer_188</v>
      </c>
      <c r="E561" s="4" t="str">
        <v>Corporate</v>
      </c>
      <c r="F561" s="4" t="str">
        <v>North</v>
      </c>
      <c r="G561" s="4" t="str">
        <v>Furniture</v>
      </c>
      <c r="H561" s="4" t="str">
        <v>Product_B</v>
      </c>
      <c r="I561" s="4">
        <v>3354</v>
      </c>
      <c r="J561" s="4">
        <v>5</v>
      </c>
      <c r="K561" s="4">
        <v>0.08</v>
      </c>
      <c r="L561" s="4">
        <v>556</v>
      </c>
      <c r="M561" s="4" t="str">
        <v>Card</v>
      </c>
      <c r="N561" s="4">
        <v>15428.4</v>
      </c>
    </row>
    <row r="562" spans="1:14" x14ac:dyDescent="0.3">
      <c r="A562" s="4">
        <v>111</v>
      </c>
      <c r="B562" s="4">
        <v>45402</v>
      </c>
      <c r="C562" s="4">
        <v>1099</v>
      </c>
      <c r="D562" s="4" t="str">
        <v>Customer_137</v>
      </c>
      <c r="E562" s="4" t="str">
        <v>Corporate</v>
      </c>
      <c r="F562" s="4" t="str">
        <v>East</v>
      </c>
      <c r="G562" s="4" t="str">
        <v>Furniture</v>
      </c>
      <c r="H562" s="4" t="str">
        <v>Product_A</v>
      </c>
      <c r="I562" s="4">
        <v>3754</v>
      </c>
      <c r="J562" s="4">
        <v>2</v>
      </c>
      <c r="K562" s="4">
        <v>0.28000000000000003</v>
      </c>
      <c r="L562" s="4">
        <v>853</v>
      </c>
      <c r="M562" s="4" t="str">
        <v>Card</v>
      </c>
      <c r="N562" s="4">
        <v>5405.76</v>
      </c>
    </row>
    <row r="563" spans="1:14" x14ac:dyDescent="0.3">
      <c r="A563" s="4">
        <v>112</v>
      </c>
      <c r="B563" s="4">
        <v>45403</v>
      </c>
      <c r="C563" s="4">
        <v>1065</v>
      </c>
      <c r="D563" s="4" t="str">
        <v>Customer_81</v>
      </c>
      <c r="E563" s="4" t="str">
        <v>Consumer</v>
      </c>
      <c r="F563" s="4" t="str">
        <v>North</v>
      </c>
      <c r="G563" s="4" t="str">
        <v>Clothing</v>
      </c>
      <c r="H563" s="4" t="str">
        <v>Product_A</v>
      </c>
      <c r="I563" s="4">
        <v>1685</v>
      </c>
      <c r="J563" s="4">
        <v>9</v>
      </c>
      <c r="K563" s="4">
        <v>0.18</v>
      </c>
      <c r="L563" s="4">
        <v>1489</v>
      </c>
      <c r="M563" s="4" t="str">
        <v>COD</v>
      </c>
      <c r="N563" s="4">
        <v>12435.3</v>
      </c>
    </row>
    <row r="564" spans="1:14" x14ac:dyDescent="0.3">
      <c r="A564" s="4">
        <v>113</v>
      </c>
      <c r="B564" s="4">
        <v>45404</v>
      </c>
      <c r="C564" s="4">
        <v>1047</v>
      </c>
      <c r="D564" s="4" t="str">
        <v>Customer_70</v>
      </c>
      <c r="E564" s="4" t="str">
        <v>Corporate</v>
      </c>
      <c r="F564" s="4" t="str">
        <v>East</v>
      </c>
      <c r="G564" s="4" t="str">
        <v>Furniture</v>
      </c>
      <c r="H564" s="4" t="str">
        <v>Product_B</v>
      </c>
      <c r="I564" s="4">
        <v>4837</v>
      </c>
      <c r="J564" s="4">
        <v>1</v>
      </c>
      <c r="K564" s="4">
        <v>0.04</v>
      </c>
      <c r="L564" s="4">
        <v>216</v>
      </c>
      <c r="M564" s="4" t="str">
        <v>Card</v>
      </c>
      <c r="N564" s="4">
        <v>4643.5199999999904</v>
      </c>
    </row>
    <row r="565" spans="1:14" x14ac:dyDescent="0.3">
      <c r="A565" s="4">
        <v>115</v>
      </c>
      <c r="B565" s="4">
        <v>45406</v>
      </c>
      <c r="C565" s="4">
        <v>1005</v>
      </c>
      <c r="D565" s="4" t="str">
        <v>Customer_7</v>
      </c>
      <c r="E565" s="4" t="str">
        <v>Corporate</v>
      </c>
      <c r="F565" s="4" t="str">
        <v>East</v>
      </c>
      <c r="G565" s="4" t="str">
        <v>Clothing</v>
      </c>
      <c r="H565" s="4" t="str">
        <v>Product_C</v>
      </c>
      <c r="I565" s="4">
        <v>2697</v>
      </c>
      <c r="J565" s="4">
        <v>9</v>
      </c>
      <c r="K565" s="4">
        <v>0.03</v>
      </c>
      <c r="L565" s="4">
        <v>196</v>
      </c>
      <c r="M565" s="4" t="str">
        <v>Card</v>
      </c>
      <c r="N565" s="4">
        <v>23544.809999999899</v>
      </c>
    </row>
    <row r="566" spans="1:14" x14ac:dyDescent="0.3">
      <c r="A566" s="4">
        <v>116</v>
      </c>
      <c r="B566" s="4">
        <v>45407</v>
      </c>
      <c r="C566" s="4">
        <v>1086</v>
      </c>
      <c r="D566" s="4" t="str">
        <v>Customer_128</v>
      </c>
      <c r="E566" s="4" t="str">
        <v>Consumer</v>
      </c>
      <c r="F566" s="4" t="str">
        <v>West</v>
      </c>
      <c r="G566" s="4" t="str">
        <v>Clothing</v>
      </c>
      <c r="H566" s="4" t="str">
        <v>Product_A</v>
      </c>
      <c r="I566" s="4">
        <v>2905</v>
      </c>
      <c r="J566" s="4">
        <v>3</v>
      </c>
      <c r="K566" s="4">
        <v>0.23</v>
      </c>
      <c r="L566" s="4">
        <v>1412</v>
      </c>
      <c r="M566" s="4" t="str">
        <v>Card</v>
      </c>
      <c r="N566" s="4">
        <v>6710.55</v>
      </c>
    </row>
    <row r="567" spans="1:14" x14ac:dyDescent="0.3">
      <c r="A567" s="4">
        <v>117</v>
      </c>
      <c r="B567" s="4">
        <v>45408</v>
      </c>
      <c r="C567" s="4">
        <v>1046</v>
      </c>
      <c r="D567" s="4" t="str">
        <v>Customer_7</v>
      </c>
      <c r="E567" s="4" t="str">
        <v>Corporate</v>
      </c>
      <c r="F567" s="4" t="str">
        <v>East</v>
      </c>
      <c r="G567" s="4" t="str">
        <v>Furniture</v>
      </c>
      <c r="H567" s="4" t="str">
        <v>Product_A</v>
      </c>
      <c r="I567" s="4">
        <v>4460</v>
      </c>
      <c r="J567" s="4">
        <v>9</v>
      </c>
      <c r="K567" s="4">
        <v>7.0000000000000007E-2</v>
      </c>
      <c r="L567" s="4">
        <v>683</v>
      </c>
      <c r="M567" s="4" t="str">
        <v>UPI</v>
      </c>
      <c r="N567" s="4">
        <v>37330.199999999997</v>
      </c>
    </row>
    <row r="568" spans="1:14" x14ac:dyDescent="0.3">
      <c r="A568" s="4">
        <v>118</v>
      </c>
      <c r="B568" s="4">
        <v>45409</v>
      </c>
      <c r="C568" s="4">
        <v>1015</v>
      </c>
      <c r="D568" s="4" t="str">
        <v>Customer_121</v>
      </c>
      <c r="E568" s="4" t="str">
        <v>Consumer</v>
      </c>
      <c r="F568" s="4" t="str">
        <v>East</v>
      </c>
      <c r="G568" s="4" t="str">
        <v>Clothing</v>
      </c>
      <c r="H568" s="4" t="str">
        <v>Product_B</v>
      </c>
      <c r="I568" s="4">
        <v>3646</v>
      </c>
      <c r="J568" s="4">
        <v>2</v>
      </c>
      <c r="K568" s="4">
        <v>7.0000000000000007E-2</v>
      </c>
      <c r="L568" s="4">
        <v>1559</v>
      </c>
      <c r="M568" s="4" t="str">
        <v>COD</v>
      </c>
      <c r="N568" s="4">
        <v>6781.5599999999904</v>
      </c>
    </row>
    <row r="569" spans="1:14" x14ac:dyDescent="0.3">
      <c r="A569" s="4">
        <v>119</v>
      </c>
      <c r="B569" s="4">
        <v>45410</v>
      </c>
      <c r="C569" s="4">
        <v>1059</v>
      </c>
      <c r="D569" s="4" t="str">
        <v>Customer_197</v>
      </c>
      <c r="E569" s="4" t="str">
        <v>Corporate</v>
      </c>
      <c r="F569" s="4" t="str">
        <v>West</v>
      </c>
      <c r="G569" s="4" t="str">
        <v>Furniture</v>
      </c>
      <c r="H569" s="4" t="str">
        <v>Product_D</v>
      </c>
      <c r="I569" s="4">
        <v>3772</v>
      </c>
      <c r="J569" s="4">
        <v>2</v>
      </c>
      <c r="K569" s="4">
        <v>0.04</v>
      </c>
      <c r="L569" s="4">
        <v>189</v>
      </c>
      <c r="M569" s="4" t="str">
        <v>Card</v>
      </c>
      <c r="N569" s="4">
        <v>7242.24</v>
      </c>
    </row>
    <row r="570" spans="1:14" x14ac:dyDescent="0.3">
      <c r="A570" s="4">
        <v>120</v>
      </c>
      <c r="B570" s="4">
        <v>45411</v>
      </c>
      <c r="C570" s="4">
        <v>1040</v>
      </c>
      <c r="D570" s="4" t="str">
        <v>Customer_161</v>
      </c>
      <c r="E570" s="4" t="str">
        <v>Corporate</v>
      </c>
      <c r="F570" s="4" t="str">
        <v>East</v>
      </c>
      <c r="G570" s="4" t="str">
        <v>Clothing</v>
      </c>
      <c r="H570" s="4" t="str">
        <v>Product_B</v>
      </c>
      <c r="I570" s="4">
        <v>4990</v>
      </c>
      <c r="J570" s="4">
        <v>2</v>
      </c>
      <c r="K570" s="4">
        <v>0.18</v>
      </c>
      <c r="L570" s="4">
        <v>829</v>
      </c>
      <c r="M570" s="4" t="str">
        <v>UPI</v>
      </c>
      <c r="N570" s="4">
        <v>8183.6</v>
      </c>
    </row>
    <row r="571" spans="1:14" x14ac:dyDescent="0.3">
      <c r="A571" s="4">
        <v>121</v>
      </c>
      <c r="B571" s="4">
        <v>45412</v>
      </c>
      <c r="C571" s="4">
        <v>1025</v>
      </c>
      <c r="D571" s="4" t="str">
        <v>Customer_114</v>
      </c>
      <c r="E571" s="4" t="str">
        <v>Corporate</v>
      </c>
      <c r="F571" s="4" t="str">
        <v>South</v>
      </c>
      <c r="G571" s="4" t="str">
        <v>Clothing</v>
      </c>
      <c r="H571" s="4" t="str">
        <v>Product_D</v>
      </c>
      <c r="I571" s="4">
        <v>4660</v>
      </c>
      <c r="J571" s="4">
        <v>3</v>
      </c>
      <c r="K571" s="4">
        <v>0.15</v>
      </c>
      <c r="L571" s="4">
        <v>697</v>
      </c>
      <c r="M571" s="4" t="str">
        <v>UPI</v>
      </c>
      <c r="N571" s="4">
        <v>11883</v>
      </c>
    </row>
    <row r="572" spans="1:14" x14ac:dyDescent="0.3">
      <c r="A572" s="4">
        <v>123</v>
      </c>
      <c r="B572" s="4">
        <v>45414</v>
      </c>
      <c r="C572" s="4">
        <v>1049</v>
      </c>
      <c r="D572" s="4" t="str">
        <v>Customer_104</v>
      </c>
      <c r="E572" s="4" t="str">
        <v>Consumer</v>
      </c>
      <c r="F572" s="4" t="str">
        <v>West</v>
      </c>
      <c r="G572" s="4" t="str">
        <v>Furniture</v>
      </c>
      <c r="H572" s="4" t="str">
        <v>Product_B</v>
      </c>
      <c r="I572" s="4">
        <v>438</v>
      </c>
      <c r="J572" s="4">
        <v>3</v>
      </c>
      <c r="K572" s="4">
        <v>0.2</v>
      </c>
      <c r="L572" s="4">
        <v>1254</v>
      </c>
      <c r="M572" s="4" t="str">
        <v>UPI</v>
      </c>
      <c r="N572" s="4">
        <v>1051.2</v>
      </c>
    </row>
    <row r="573" spans="1:14" x14ac:dyDescent="0.3">
      <c r="A573" s="4">
        <v>125</v>
      </c>
      <c r="B573" s="4">
        <v>45416</v>
      </c>
      <c r="C573" s="4">
        <v>1035</v>
      </c>
      <c r="D573" s="4" t="str">
        <v>Customer_175</v>
      </c>
      <c r="E573" s="4" t="str">
        <v>Corporate</v>
      </c>
      <c r="F573" s="4" t="str">
        <v>West</v>
      </c>
      <c r="G573" s="4" t="str">
        <v>Furniture</v>
      </c>
      <c r="H573" s="4" t="str">
        <v>Product_D</v>
      </c>
      <c r="I573" s="4">
        <v>2666</v>
      </c>
      <c r="J573" s="4">
        <v>6</v>
      </c>
      <c r="K573" s="4">
        <v>0.28999999999999998</v>
      </c>
      <c r="L573" s="4">
        <v>1830</v>
      </c>
      <c r="M573" s="4" t="str">
        <v>Card</v>
      </c>
      <c r="N573" s="4">
        <v>11357.16</v>
      </c>
    </row>
    <row r="574" spans="1:14" x14ac:dyDescent="0.3">
      <c r="A574" s="4">
        <v>126</v>
      </c>
      <c r="B574" s="4">
        <v>45417</v>
      </c>
      <c r="C574" s="4">
        <v>1029</v>
      </c>
      <c r="D574" s="4" t="str">
        <v>Customer_46</v>
      </c>
      <c r="E574" s="4" t="str">
        <v>Consumer</v>
      </c>
      <c r="F574" s="4" t="str">
        <v>North</v>
      </c>
      <c r="G574" s="4" t="str">
        <v>Electronics</v>
      </c>
      <c r="H574" s="4" t="str">
        <v>Product_C</v>
      </c>
      <c r="I574" s="4">
        <v>3817</v>
      </c>
      <c r="J574" s="4">
        <v>5</v>
      </c>
      <c r="K574" s="4">
        <v>0.14000000000000001</v>
      </c>
      <c r="L574" s="4">
        <v>381</v>
      </c>
      <c r="M574" s="4" t="str">
        <v>COD</v>
      </c>
      <c r="N574" s="4">
        <v>16413.099999999999</v>
      </c>
    </row>
    <row r="575" spans="1:14" x14ac:dyDescent="0.3">
      <c r="A575" s="4">
        <v>127</v>
      </c>
      <c r="B575" s="4">
        <v>45418</v>
      </c>
      <c r="C575" s="4">
        <v>1001</v>
      </c>
      <c r="D575" s="4" t="str">
        <v>Customer_22</v>
      </c>
      <c r="E575" s="4" t="str">
        <v>Consumer</v>
      </c>
      <c r="F575" s="4" t="str">
        <v>West</v>
      </c>
      <c r="G575" s="4" t="str">
        <v>Furniture</v>
      </c>
      <c r="H575" s="4" t="str">
        <v>Product_B</v>
      </c>
      <c r="I575" s="4">
        <v>3162</v>
      </c>
      <c r="J575" s="4">
        <v>2</v>
      </c>
      <c r="K575" s="4">
        <v>0.12</v>
      </c>
      <c r="L575" s="4">
        <v>1730</v>
      </c>
      <c r="M575" s="4" t="str">
        <v>UPI</v>
      </c>
      <c r="N575" s="4">
        <v>5565.12</v>
      </c>
    </row>
    <row r="576" spans="1:14" x14ac:dyDescent="0.3">
      <c r="A576" s="4">
        <v>128</v>
      </c>
      <c r="B576" s="4">
        <v>45419</v>
      </c>
      <c r="C576" s="4">
        <v>1083</v>
      </c>
      <c r="D576" s="4" t="str">
        <v>Customer_21</v>
      </c>
      <c r="E576" s="4" t="str">
        <v>Corporate</v>
      </c>
      <c r="F576" s="4" t="str">
        <v>West</v>
      </c>
      <c r="G576" s="4" t="str">
        <v>Furniture</v>
      </c>
      <c r="H576" s="4" t="str">
        <v>Product_A</v>
      </c>
      <c r="I576" s="4">
        <v>1353</v>
      </c>
      <c r="J576" s="4">
        <v>4</v>
      </c>
      <c r="K576" s="4">
        <v>0.09</v>
      </c>
      <c r="L576" s="4">
        <v>558</v>
      </c>
      <c r="M576" s="4" t="str">
        <v>Card</v>
      </c>
      <c r="N576" s="4">
        <v>4924.92</v>
      </c>
    </row>
    <row r="577" spans="1:14" x14ac:dyDescent="0.3">
      <c r="A577" s="4">
        <v>129</v>
      </c>
      <c r="B577" s="4">
        <v>45420</v>
      </c>
      <c r="C577" s="4">
        <v>1068</v>
      </c>
      <c r="D577" s="4" t="str">
        <v>Customer_111</v>
      </c>
      <c r="E577" s="4" t="str">
        <v>Consumer</v>
      </c>
      <c r="F577" s="4" t="str">
        <v>South</v>
      </c>
      <c r="G577" s="4" t="str">
        <v>Electronics</v>
      </c>
      <c r="H577" s="4" t="str">
        <v>Product_A</v>
      </c>
      <c r="I577" s="4">
        <v>3250</v>
      </c>
      <c r="J577" s="4">
        <v>7</v>
      </c>
      <c r="K577" s="4">
        <v>0.24</v>
      </c>
      <c r="L577" s="4">
        <v>170</v>
      </c>
      <c r="M577" s="4" t="str">
        <v>COD</v>
      </c>
      <c r="N577" s="4">
        <v>17290</v>
      </c>
    </row>
    <row r="578" spans="1:14" x14ac:dyDescent="0.3">
      <c r="A578" s="4">
        <v>130</v>
      </c>
      <c r="B578" s="4">
        <v>45421</v>
      </c>
      <c r="C578" s="4">
        <v>1030</v>
      </c>
      <c r="D578" s="4" t="str">
        <v>Customer_184</v>
      </c>
      <c r="E578" s="4" t="str">
        <v>Corporate</v>
      </c>
      <c r="F578" s="4" t="str">
        <v>East</v>
      </c>
      <c r="G578" s="4" t="str">
        <v>Furniture</v>
      </c>
      <c r="H578" s="4" t="str">
        <v>Product_D</v>
      </c>
      <c r="I578" s="4">
        <v>2350</v>
      </c>
      <c r="J578" s="4">
        <v>8</v>
      </c>
      <c r="K578" s="4">
        <v>0.28999999999999998</v>
      </c>
      <c r="L578" s="4">
        <v>188</v>
      </c>
      <c r="M578" s="4" t="str">
        <v>Card</v>
      </c>
      <c r="N578" s="4">
        <v>13348</v>
      </c>
    </row>
    <row r="579" spans="1:14" x14ac:dyDescent="0.3">
      <c r="A579" s="4">
        <v>132</v>
      </c>
      <c r="B579" s="4">
        <v>45423</v>
      </c>
      <c r="C579" s="4">
        <v>1093</v>
      </c>
      <c r="D579" s="4" t="str">
        <v>Customer_160</v>
      </c>
      <c r="E579" s="4" t="str">
        <v>Consumer</v>
      </c>
      <c r="F579" s="4" t="str">
        <v>North</v>
      </c>
      <c r="G579" s="4" t="str">
        <v>Furniture</v>
      </c>
      <c r="H579" s="4" t="str">
        <v>Product_B</v>
      </c>
      <c r="I579" s="4">
        <v>3715</v>
      </c>
      <c r="J579" s="4">
        <v>2</v>
      </c>
      <c r="K579" s="4">
        <v>0.19</v>
      </c>
      <c r="L579" s="4">
        <v>931</v>
      </c>
      <c r="M579" s="4" t="str">
        <v>COD</v>
      </c>
      <c r="N579" s="4">
        <v>6018.3</v>
      </c>
    </row>
    <row r="580" spans="1:14" x14ac:dyDescent="0.3">
      <c r="A580" s="4">
        <v>133</v>
      </c>
      <c r="B580" s="4">
        <v>45424</v>
      </c>
      <c r="C580" s="4">
        <v>1060</v>
      </c>
      <c r="D580" s="4" t="str">
        <v>Customer_115</v>
      </c>
      <c r="E580" s="4" t="str">
        <v>Corporate</v>
      </c>
      <c r="F580" s="4" t="str">
        <v>East</v>
      </c>
      <c r="G580" s="4" t="str">
        <v>Clothing</v>
      </c>
      <c r="H580" s="4" t="str">
        <v>Product_C</v>
      </c>
      <c r="I580" s="4">
        <v>1879</v>
      </c>
      <c r="J580" s="4">
        <v>9</v>
      </c>
      <c r="K580" s="4">
        <v>0.21</v>
      </c>
      <c r="L580" s="4">
        <v>738</v>
      </c>
      <c r="M580" s="4" t="str">
        <v>UPI</v>
      </c>
      <c r="N580" s="4">
        <v>13359.69</v>
      </c>
    </row>
    <row r="581" spans="1:14" x14ac:dyDescent="0.3">
      <c r="A581" s="4">
        <v>134</v>
      </c>
      <c r="B581" s="4">
        <v>45425</v>
      </c>
      <c r="C581" s="4">
        <v>1065</v>
      </c>
      <c r="D581" s="4" t="str">
        <v>Customer_164</v>
      </c>
      <c r="E581" s="4" t="str">
        <v>Consumer</v>
      </c>
      <c r="F581" s="4" t="str">
        <v>South</v>
      </c>
      <c r="G581" s="4" t="str">
        <v>Electronics</v>
      </c>
      <c r="H581" s="4" t="str">
        <v>Product_D</v>
      </c>
      <c r="I581" s="4">
        <v>1391</v>
      </c>
      <c r="J581" s="4">
        <v>7</v>
      </c>
      <c r="K581" s="4">
        <v>0.13</v>
      </c>
      <c r="L581" s="4">
        <v>1496</v>
      </c>
      <c r="M581" s="4" t="str">
        <v>COD</v>
      </c>
      <c r="N581" s="4">
        <v>8471.19</v>
      </c>
    </row>
    <row r="582" spans="1:14" x14ac:dyDescent="0.3">
      <c r="A582" s="4">
        <v>135</v>
      </c>
      <c r="B582" s="4">
        <v>45426</v>
      </c>
      <c r="C582" s="4">
        <v>1076</v>
      </c>
      <c r="D582" s="4" t="str">
        <v>Customer_159</v>
      </c>
      <c r="E582" s="4" t="str">
        <v>Consumer</v>
      </c>
      <c r="F582" s="4" t="str">
        <v>East</v>
      </c>
      <c r="G582" s="4" t="str">
        <v>Furniture</v>
      </c>
      <c r="H582" s="4" t="str">
        <v>Product_D</v>
      </c>
      <c r="I582" s="4">
        <v>778</v>
      </c>
      <c r="J582" s="4">
        <v>7</v>
      </c>
      <c r="K582" s="4">
        <v>7.0000000000000007E-2</v>
      </c>
      <c r="L582" s="4">
        <v>1345</v>
      </c>
      <c r="M582" s="4" t="str">
        <v>UPI</v>
      </c>
      <c r="N582" s="4">
        <v>5064.78</v>
      </c>
    </row>
    <row r="583" spans="1:14" x14ac:dyDescent="0.3">
      <c r="A583" s="4">
        <v>137</v>
      </c>
      <c r="B583" s="4">
        <v>45428</v>
      </c>
      <c r="C583" s="4">
        <v>1044</v>
      </c>
      <c r="D583" s="4" t="str">
        <v>Customer_54</v>
      </c>
      <c r="E583" s="4" t="str">
        <v>Corporate</v>
      </c>
      <c r="F583" s="4" t="str">
        <v>East</v>
      </c>
      <c r="G583" s="4" t="str">
        <v>Clothing</v>
      </c>
      <c r="H583" s="4" t="str">
        <v>Product_C</v>
      </c>
      <c r="I583" s="4">
        <v>3324</v>
      </c>
      <c r="J583" s="4">
        <v>8</v>
      </c>
      <c r="K583" s="4">
        <v>0.19</v>
      </c>
      <c r="L583" s="4">
        <v>1450</v>
      </c>
      <c r="M583" s="4" t="str">
        <v>UPI</v>
      </c>
      <c r="N583" s="4">
        <v>21539.52</v>
      </c>
    </row>
    <row r="584" spans="1:14" x14ac:dyDescent="0.3">
      <c r="A584" s="4">
        <v>138</v>
      </c>
      <c r="B584" s="4">
        <v>45429</v>
      </c>
      <c r="C584" s="4">
        <v>1051</v>
      </c>
      <c r="D584" s="4" t="str">
        <v>Customer_21</v>
      </c>
      <c r="E584" s="4" t="str">
        <v>Corporate</v>
      </c>
      <c r="F584" s="4" t="str">
        <v>South</v>
      </c>
      <c r="G584" s="4" t="str">
        <v>Electronics</v>
      </c>
      <c r="H584" s="4" t="str">
        <v>Product_A</v>
      </c>
      <c r="I584" s="4">
        <v>314</v>
      </c>
      <c r="J584" s="4">
        <v>3</v>
      </c>
      <c r="K584" s="4">
        <v>0.19</v>
      </c>
      <c r="L584" s="4">
        <v>1084</v>
      </c>
      <c r="M584" s="4" t="str">
        <v>COD</v>
      </c>
      <c r="N584" s="4">
        <v>763.02</v>
      </c>
    </row>
    <row r="585" spans="1:14" x14ac:dyDescent="0.3">
      <c r="A585" s="4">
        <v>139</v>
      </c>
      <c r="B585" s="4">
        <v>45430</v>
      </c>
      <c r="C585" s="4">
        <v>1007</v>
      </c>
      <c r="D585" s="4" t="str">
        <v>Customer_35</v>
      </c>
      <c r="E585" s="4" t="str">
        <v>Consumer</v>
      </c>
      <c r="F585" s="4" t="str">
        <v>East</v>
      </c>
      <c r="G585" s="4" t="str">
        <v>Clothing</v>
      </c>
      <c r="H585" s="4" t="str">
        <v>Product_A</v>
      </c>
      <c r="I585" s="4">
        <v>1085</v>
      </c>
      <c r="J585" s="4">
        <v>4</v>
      </c>
      <c r="K585" s="4">
        <v>0.14000000000000001</v>
      </c>
      <c r="L585" s="4">
        <v>1745</v>
      </c>
      <c r="M585" s="4" t="str">
        <v>Card</v>
      </c>
      <c r="N585" s="4">
        <v>3732.4</v>
      </c>
    </row>
    <row r="586" spans="1:14" x14ac:dyDescent="0.3">
      <c r="A586" s="4">
        <v>140</v>
      </c>
      <c r="B586" s="4">
        <v>45431</v>
      </c>
      <c r="C586" s="4">
        <v>1088</v>
      </c>
      <c r="D586" s="4" t="str">
        <v>Customer_23</v>
      </c>
      <c r="E586" s="4" t="str">
        <v>Corporate</v>
      </c>
      <c r="F586" s="4" t="str">
        <v>North</v>
      </c>
      <c r="G586" s="4" t="str">
        <v>Furniture</v>
      </c>
      <c r="H586" s="4" t="str">
        <v>Product_A</v>
      </c>
      <c r="I586" s="4">
        <v>3383</v>
      </c>
      <c r="J586" s="4">
        <v>4</v>
      </c>
      <c r="K586" s="4">
        <v>0.01</v>
      </c>
      <c r="L586" s="4">
        <v>1826</v>
      </c>
      <c r="M586" s="4" t="str">
        <v>COD</v>
      </c>
      <c r="N586" s="4">
        <v>13396.68</v>
      </c>
    </row>
    <row r="587" spans="1:14" x14ac:dyDescent="0.3">
      <c r="A587" s="4">
        <v>141</v>
      </c>
      <c r="B587" s="4">
        <v>45432</v>
      </c>
      <c r="C587" s="4">
        <v>1070</v>
      </c>
      <c r="D587" s="4" t="str">
        <v>Customer_170</v>
      </c>
      <c r="E587" s="4" t="str">
        <v>Consumer</v>
      </c>
      <c r="F587" s="4" t="str">
        <v>South</v>
      </c>
      <c r="G587" s="4" t="str">
        <v>Clothing</v>
      </c>
      <c r="H587" s="4" t="str">
        <v>Product_C</v>
      </c>
      <c r="I587" s="4">
        <v>4806</v>
      </c>
      <c r="J587" s="4">
        <v>2</v>
      </c>
      <c r="K587" s="4">
        <v>0.26</v>
      </c>
      <c r="L587" s="4">
        <v>126</v>
      </c>
      <c r="M587" s="4" t="str">
        <v>UPI</v>
      </c>
      <c r="N587" s="4">
        <v>7112.88</v>
      </c>
    </row>
    <row r="588" spans="1:14" x14ac:dyDescent="0.3">
      <c r="A588" s="4">
        <v>142</v>
      </c>
      <c r="B588" s="4">
        <v>45433</v>
      </c>
      <c r="C588" s="4">
        <v>1013</v>
      </c>
      <c r="D588" s="4" t="str">
        <v>Customer_24</v>
      </c>
      <c r="E588" s="4" t="str">
        <v>Corporate</v>
      </c>
      <c r="F588" s="4" t="str">
        <v>West</v>
      </c>
      <c r="G588" s="4" t="str">
        <v>Electronics</v>
      </c>
      <c r="H588" s="4" t="str">
        <v>Product_B</v>
      </c>
      <c r="I588" s="4">
        <v>2445</v>
      </c>
      <c r="J588" s="4">
        <v>3</v>
      </c>
      <c r="K588" s="4">
        <v>7.0000000000000007E-2</v>
      </c>
      <c r="L588" s="4">
        <v>834</v>
      </c>
      <c r="M588" s="4" t="str">
        <v>COD</v>
      </c>
      <c r="N588" s="4">
        <v>6821.5499999999902</v>
      </c>
    </row>
    <row r="589" spans="1:14" x14ac:dyDescent="0.3">
      <c r="A589" s="4">
        <v>144</v>
      </c>
      <c r="B589" s="4">
        <v>45435</v>
      </c>
      <c r="C589" s="4">
        <v>1063</v>
      </c>
      <c r="D589" s="4" t="str">
        <v>Customer_74</v>
      </c>
      <c r="E589" s="4" t="str">
        <v>Consumer</v>
      </c>
      <c r="F589" s="4" t="str">
        <v>West</v>
      </c>
      <c r="G589" s="4" t="str">
        <v>Furniture</v>
      </c>
      <c r="H589" s="4" t="str">
        <v>Product_A</v>
      </c>
      <c r="I589" s="4">
        <v>3533</v>
      </c>
      <c r="J589" s="4">
        <v>3</v>
      </c>
      <c r="K589" s="4">
        <v>0.22</v>
      </c>
      <c r="L589" s="4">
        <v>1071</v>
      </c>
      <c r="M589" s="4" t="str">
        <v>UPI</v>
      </c>
      <c r="N589" s="4">
        <v>8267.2199999999993</v>
      </c>
    </row>
    <row r="590" spans="1:14" x14ac:dyDescent="0.3">
      <c r="A590" s="4">
        <v>145</v>
      </c>
      <c r="B590" s="4">
        <v>45436</v>
      </c>
      <c r="C590" s="4">
        <v>1084</v>
      </c>
      <c r="D590" s="4" t="str">
        <v>Customer_69</v>
      </c>
      <c r="E590" s="4" t="str">
        <v>Corporate</v>
      </c>
      <c r="F590" s="4" t="str">
        <v>West</v>
      </c>
      <c r="G590" s="4" t="str">
        <v>Furniture</v>
      </c>
      <c r="H590" s="4" t="str">
        <v>Product_D</v>
      </c>
      <c r="I590" s="4">
        <v>3727</v>
      </c>
      <c r="J590" s="4">
        <v>5</v>
      </c>
      <c r="K590" s="4">
        <v>0.06</v>
      </c>
      <c r="L590" s="4">
        <v>1304</v>
      </c>
      <c r="M590" s="4" t="str">
        <v>COD</v>
      </c>
      <c r="N590" s="4">
        <v>17516.8999999999</v>
      </c>
    </row>
    <row r="591" spans="1:14" x14ac:dyDescent="0.3">
      <c r="A591" s="4">
        <v>146</v>
      </c>
      <c r="B591" s="4">
        <v>45437</v>
      </c>
      <c r="C591" s="4">
        <v>1036</v>
      </c>
      <c r="D591" s="4" t="str">
        <v>Customer_127</v>
      </c>
      <c r="E591" s="4" t="str">
        <v>Consumer</v>
      </c>
      <c r="F591" s="4" t="str">
        <v>North</v>
      </c>
      <c r="G591" s="4" t="str">
        <v>Clothing</v>
      </c>
      <c r="H591" s="4" t="str">
        <v>Product_D</v>
      </c>
      <c r="I591" s="4">
        <v>3173</v>
      </c>
      <c r="J591" s="4">
        <v>8</v>
      </c>
      <c r="K591" s="4">
        <v>0.14000000000000001</v>
      </c>
      <c r="L591" s="4">
        <v>1176</v>
      </c>
      <c r="M591" s="4" t="str">
        <v>Card</v>
      </c>
      <c r="N591" s="4">
        <v>21830.2399999999</v>
      </c>
    </row>
    <row r="592" spans="1:14" x14ac:dyDescent="0.3">
      <c r="A592" s="4">
        <v>147</v>
      </c>
      <c r="B592" s="4">
        <v>45438</v>
      </c>
      <c r="C592" s="4">
        <v>1096</v>
      </c>
      <c r="D592" s="4" t="str">
        <v>Customer_125</v>
      </c>
      <c r="E592" s="4" t="str">
        <v>Consumer</v>
      </c>
      <c r="F592" s="4" t="str">
        <v>East</v>
      </c>
      <c r="G592" s="4" t="str">
        <v>Furniture</v>
      </c>
      <c r="H592" s="4" t="str">
        <v>Product_A</v>
      </c>
      <c r="I592" s="4">
        <v>4473</v>
      </c>
      <c r="J592" s="4">
        <v>8</v>
      </c>
      <c r="K592" s="4">
        <v>0</v>
      </c>
      <c r="L592" s="4">
        <v>126</v>
      </c>
      <c r="M592" s="4" t="str">
        <v>Card</v>
      </c>
      <c r="N592" s="4">
        <v>35784</v>
      </c>
    </row>
    <row r="593" spans="1:14" x14ac:dyDescent="0.3">
      <c r="A593" s="4">
        <v>149</v>
      </c>
      <c r="B593" s="4">
        <v>45440</v>
      </c>
      <c r="C593" s="4">
        <v>1088</v>
      </c>
      <c r="D593" s="4" t="str">
        <v>Customer_158</v>
      </c>
      <c r="E593" s="4" t="str">
        <v>Corporate</v>
      </c>
      <c r="F593" s="4" t="str">
        <v>South</v>
      </c>
      <c r="G593" s="4" t="str">
        <v>Clothing</v>
      </c>
      <c r="H593" s="4" t="str">
        <v>Product_D</v>
      </c>
      <c r="I593" s="4">
        <v>1472</v>
      </c>
      <c r="J593" s="4">
        <v>5</v>
      </c>
      <c r="K593" s="4">
        <v>0.08</v>
      </c>
      <c r="L593" s="4">
        <v>788</v>
      </c>
      <c r="M593" s="4" t="str">
        <v>UPI</v>
      </c>
      <c r="N593" s="4">
        <v>6771.2</v>
      </c>
    </row>
    <row r="594" spans="1:14" x14ac:dyDescent="0.3">
      <c r="A594" s="4">
        <v>150</v>
      </c>
      <c r="B594" s="4">
        <v>45441</v>
      </c>
      <c r="C594" s="4">
        <v>1063</v>
      </c>
      <c r="D594" s="4" t="str">
        <v>Customer_199</v>
      </c>
      <c r="E594" s="4" t="str">
        <v>Corporate</v>
      </c>
      <c r="F594" s="4" t="str">
        <v>East</v>
      </c>
      <c r="G594" s="4" t="str">
        <v>Clothing</v>
      </c>
      <c r="H594" s="4" t="str">
        <v>Product_B</v>
      </c>
      <c r="I594" s="4">
        <v>2138</v>
      </c>
      <c r="J594" s="4">
        <v>1</v>
      </c>
      <c r="K594" s="4">
        <v>0.2</v>
      </c>
      <c r="L594" s="4">
        <v>725</v>
      </c>
      <c r="M594" s="4" t="str">
        <v>Card</v>
      </c>
      <c r="N594" s="4">
        <v>1710.4</v>
      </c>
    </row>
    <row r="595" spans="1:14" x14ac:dyDescent="0.3">
      <c r="A595" s="4">
        <v>151</v>
      </c>
      <c r="B595" s="4">
        <v>45442</v>
      </c>
      <c r="C595" s="4">
        <v>1058</v>
      </c>
      <c r="D595" s="4" t="str">
        <v>Customer_134</v>
      </c>
      <c r="E595" s="4" t="str">
        <v>Consumer</v>
      </c>
      <c r="F595" s="4" t="str">
        <v>East</v>
      </c>
      <c r="G595" s="4" t="str">
        <v>Furniture</v>
      </c>
      <c r="H595" s="4" t="str">
        <v>Product_D</v>
      </c>
      <c r="I595" s="4">
        <v>4818</v>
      </c>
      <c r="J595" s="4">
        <v>7</v>
      </c>
      <c r="K595" s="4">
        <v>0.27</v>
      </c>
      <c r="L595" s="4">
        <v>841</v>
      </c>
      <c r="M595" s="4" t="str">
        <v>Card</v>
      </c>
      <c r="N595" s="4">
        <v>24619.98</v>
      </c>
    </row>
    <row r="596" spans="1:14" x14ac:dyDescent="0.3">
      <c r="A596" s="4">
        <v>152</v>
      </c>
      <c r="B596" s="4">
        <v>45443</v>
      </c>
      <c r="C596" s="4">
        <v>1077</v>
      </c>
      <c r="D596" s="4" t="str">
        <v>Customer_52</v>
      </c>
      <c r="E596" s="4" t="str">
        <v>Consumer</v>
      </c>
      <c r="F596" s="4" t="str">
        <v>West</v>
      </c>
      <c r="G596" s="4" t="str">
        <v>Electronics</v>
      </c>
      <c r="H596" s="4" t="str">
        <v>Product_A</v>
      </c>
      <c r="I596" s="4">
        <v>3953</v>
      </c>
      <c r="J596" s="4">
        <v>3</v>
      </c>
      <c r="K596" s="4">
        <v>0.13</v>
      </c>
      <c r="L596" s="4">
        <v>1405</v>
      </c>
      <c r="M596" s="4" t="str">
        <v>COD</v>
      </c>
      <c r="N596" s="4">
        <v>10317.33</v>
      </c>
    </row>
    <row r="597" spans="1:14" x14ac:dyDescent="0.3">
      <c r="A597" s="4">
        <v>153</v>
      </c>
      <c r="B597" s="4">
        <v>45444</v>
      </c>
      <c r="C597" s="4">
        <v>1008</v>
      </c>
      <c r="D597" s="4" t="str">
        <v>Customer_82</v>
      </c>
      <c r="E597" s="4" t="str">
        <v>Corporate</v>
      </c>
      <c r="F597" s="4" t="str">
        <v>North</v>
      </c>
      <c r="G597" s="4" t="str">
        <v>Furniture</v>
      </c>
      <c r="H597" s="4" t="str">
        <v>Product_C</v>
      </c>
      <c r="I597" s="4">
        <v>3443</v>
      </c>
      <c r="J597" s="4">
        <v>7</v>
      </c>
      <c r="K597" s="4">
        <v>0.01</v>
      </c>
      <c r="L597" s="4">
        <v>1505</v>
      </c>
      <c r="M597" s="4" t="str">
        <v>Card</v>
      </c>
      <c r="N597" s="4">
        <v>23859.99</v>
      </c>
    </row>
    <row r="598" spans="1:14" x14ac:dyDescent="0.3">
      <c r="A598" s="4">
        <v>154</v>
      </c>
      <c r="B598" s="4">
        <v>45445</v>
      </c>
      <c r="C598" s="4">
        <v>1078</v>
      </c>
      <c r="D598" s="4" t="str">
        <v>Customer_154</v>
      </c>
      <c r="E598" s="4" t="str">
        <v>Consumer</v>
      </c>
      <c r="F598" s="4" t="str">
        <v>East</v>
      </c>
      <c r="G598" s="4" t="str">
        <v>Furniture</v>
      </c>
      <c r="H598" s="4" t="str">
        <v>Product_C</v>
      </c>
      <c r="I598" s="4">
        <v>4783</v>
      </c>
      <c r="J598" s="4">
        <v>8</v>
      </c>
      <c r="K598" s="4">
        <v>0.09</v>
      </c>
      <c r="L598" s="4">
        <v>605</v>
      </c>
      <c r="M598" s="4" t="str">
        <v>COD</v>
      </c>
      <c r="N598" s="4">
        <v>34820.239999999998</v>
      </c>
    </row>
    <row r="599" spans="1:14" x14ac:dyDescent="0.3">
      <c r="A599" s="4">
        <v>156</v>
      </c>
      <c r="B599" s="4">
        <v>45447</v>
      </c>
      <c r="C599" s="4">
        <v>1065</v>
      </c>
      <c r="D599" s="4" t="str">
        <v>Customer_41</v>
      </c>
      <c r="E599" s="4" t="str">
        <v>Corporate</v>
      </c>
      <c r="F599" s="4" t="str">
        <v>South</v>
      </c>
      <c r="G599" s="4" t="str">
        <v>Furniture</v>
      </c>
      <c r="H599" s="4" t="str">
        <v>Product_A</v>
      </c>
      <c r="I599" s="4">
        <v>1868</v>
      </c>
      <c r="J599" s="4">
        <v>5</v>
      </c>
      <c r="K599" s="4">
        <v>0.03</v>
      </c>
      <c r="L599" s="4">
        <v>200</v>
      </c>
      <c r="M599" s="4" t="str">
        <v>Card</v>
      </c>
      <c r="N599" s="4">
        <v>9059.7999999999993</v>
      </c>
    </row>
    <row r="600" spans="1:14" x14ac:dyDescent="0.3">
      <c r="A600" s="4">
        <v>157</v>
      </c>
      <c r="B600" s="4">
        <v>45448</v>
      </c>
      <c r="C600" s="4">
        <v>1094</v>
      </c>
      <c r="D600" s="4" t="str">
        <v>Customer_196</v>
      </c>
      <c r="E600" s="4" t="str">
        <v>Consumer</v>
      </c>
      <c r="F600" s="4" t="str">
        <v>East</v>
      </c>
      <c r="G600" s="4" t="str">
        <v>Clothing</v>
      </c>
      <c r="H600" s="4" t="str">
        <v>Product_D</v>
      </c>
      <c r="I600" s="4">
        <v>138</v>
      </c>
      <c r="J600" s="4">
        <v>9</v>
      </c>
      <c r="K600" s="4">
        <v>0.23</v>
      </c>
      <c r="L600" s="4">
        <v>486</v>
      </c>
      <c r="M600" s="4" t="str">
        <v>COD</v>
      </c>
      <c r="N600" s="4">
        <v>956.34</v>
      </c>
    </row>
    <row r="601" spans="1:14" x14ac:dyDescent="0.3">
      <c r="A601" s="4">
        <v>159</v>
      </c>
      <c r="B601" s="4">
        <v>45450</v>
      </c>
      <c r="C601" s="4">
        <v>1040</v>
      </c>
      <c r="D601" s="4" t="str">
        <v>Customer_60</v>
      </c>
      <c r="E601" s="4" t="str">
        <v>Corporate</v>
      </c>
      <c r="F601" s="4" t="str">
        <v>North</v>
      </c>
      <c r="G601" s="4" t="str">
        <v>Furniture</v>
      </c>
      <c r="H601" s="4" t="str">
        <v>Product_A</v>
      </c>
      <c r="I601" s="4">
        <v>1929</v>
      </c>
      <c r="J601" s="4">
        <v>6</v>
      </c>
      <c r="K601" s="4">
        <v>0.18</v>
      </c>
      <c r="L601" s="4">
        <v>1743</v>
      </c>
      <c r="M601" s="4" t="str">
        <v>COD</v>
      </c>
      <c r="N601" s="4">
        <v>9490.68</v>
      </c>
    </row>
    <row r="602" spans="1:14" x14ac:dyDescent="0.3">
      <c r="A602" s="4">
        <v>160</v>
      </c>
      <c r="B602" s="4">
        <v>45451</v>
      </c>
      <c r="C602" s="4">
        <v>1074</v>
      </c>
      <c r="D602" s="4" t="str">
        <v>Customer_77</v>
      </c>
      <c r="E602" s="4" t="str">
        <v>Consumer</v>
      </c>
      <c r="F602" s="4" t="str">
        <v>South</v>
      </c>
      <c r="G602" s="4" t="str">
        <v>Furniture</v>
      </c>
      <c r="H602" s="4" t="str">
        <v>Product_C</v>
      </c>
      <c r="I602" s="4">
        <v>2271</v>
      </c>
      <c r="J602" s="4">
        <v>6</v>
      </c>
      <c r="K602" s="4">
        <v>0.28000000000000003</v>
      </c>
      <c r="L602" s="4">
        <v>1840</v>
      </c>
      <c r="M602" s="4" t="str">
        <v>COD</v>
      </c>
      <c r="N602" s="4">
        <v>9810.7199999999993</v>
      </c>
    </row>
    <row r="603" spans="1:14" x14ac:dyDescent="0.3">
      <c r="A603" s="4">
        <v>161</v>
      </c>
      <c r="B603" s="4">
        <v>45452</v>
      </c>
      <c r="C603" s="4">
        <v>1076</v>
      </c>
      <c r="D603" s="4" t="str">
        <v>Customer_183</v>
      </c>
      <c r="E603" s="4" t="str">
        <v>Consumer</v>
      </c>
      <c r="F603" s="4" t="str">
        <v>East</v>
      </c>
      <c r="G603" s="4" t="str">
        <v>Clothing</v>
      </c>
      <c r="H603" s="4" t="str">
        <v>Product_C</v>
      </c>
      <c r="I603" s="4">
        <v>208</v>
      </c>
      <c r="J603" s="4">
        <v>7</v>
      </c>
      <c r="K603" s="4">
        <v>0.19</v>
      </c>
      <c r="L603" s="4">
        <v>1079</v>
      </c>
      <c r="M603" s="4" t="str">
        <v>Card</v>
      </c>
      <c r="N603" s="4">
        <v>1179.3599999999999</v>
      </c>
    </row>
    <row r="604" spans="1:14" x14ac:dyDescent="0.3">
      <c r="A604" s="4">
        <v>163</v>
      </c>
      <c r="B604" s="4">
        <v>45454</v>
      </c>
      <c r="C604" s="4">
        <v>1025</v>
      </c>
      <c r="D604" s="4" t="str">
        <v>Customer_119</v>
      </c>
      <c r="E604" s="4" t="str">
        <v>Consumer</v>
      </c>
      <c r="F604" s="4" t="str">
        <v>West</v>
      </c>
      <c r="G604" s="4" t="str">
        <v>Clothing</v>
      </c>
      <c r="H604" s="4" t="str">
        <v>Product_B</v>
      </c>
      <c r="I604" s="4">
        <v>4228</v>
      </c>
      <c r="J604" s="4">
        <v>2</v>
      </c>
      <c r="K604" s="4">
        <v>0.25</v>
      </c>
      <c r="L604" s="4">
        <v>115</v>
      </c>
      <c r="M604" s="4" t="str">
        <v>Card</v>
      </c>
      <c r="N604" s="4">
        <v>6342</v>
      </c>
    </row>
    <row r="605" spans="1:14" x14ac:dyDescent="0.3">
      <c r="A605" s="4">
        <v>164</v>
      </c>
      <c r="B605" s="4">
        <v>45455</v>
      </c>
      <c r="C605" s="4">
        <v>1007</v>
      </c>
      <c r="D605" s="4" t="str">
        <v>Customer_95</v>
      </c>
      <c r="E605" s="4" t="str">
        <v>Consumer</v>
      </c>
      <c r="F605" s="4" t="str">
        <v>South</v>
      </c>
      <c r="G605" s="4" t="str">
        <v>Electronics</v>
      </c>
      <c r="H605" s="4" t="str">
        <v>Product_C</v>
      </c>
      <c r="I605" s="4">
        <v>4335</v>
      </c>
      <c r="J605" s="4">
        <v>5</v>
      </c>
      <c r="K605" s="4">
        <v>0.24</v>
      </c>
      <c r="L605" s="4">
        <v>1958</v>
      </c>
      <c r="M605" s="4" t="str">
        <v>UPI</v>
      </c>
      <c r="N605" s="4">
        <v>16473</v>
      </c>
    </row>
    <row r="606" spans="1:14" x14ac:dyDescent="0.3">
      <c r="A606" s="4">
        <v>166</v>
      </c>
      <c r="B606" s="4">
        <v>45457</v>
      </c>
      <c r="C606" s="4">
        <v>1044</v>
      </c>
      <c r="D606" s="4" t="str">
        <v>Customer_168</v>
      </c>
      <c r="E606" s="4" t="str">
        <v>Corporate</v>
      </c>
      <c r="F606" s="4" t="str">
        <v>North</v>
      </c>
      <c r="G606" s="4" t="str">
        <v>Electronics</v>
      </c>
      <c r="H606" s="4" t="str">
        <v>Product_D</v>
      </c>
      <c r="I606" s="4">
        <v>3206</v>
      </c>
      <c r="J606" s="4">
        <v>2</v>
      </c>
      <c r="K606" s="4">
        <v>0.19</v>
      </c>
      <c r="L606" s="4">
        <v>1742</v>
      </c>
      <c r="M606" s="4" t="str">
        <v>COD</v>
      </c>
      <c r="N606" s="4">
        <v>5193.72</v>
      </c>
    </row>
    <row r="607" spans="1:14" x14ac:dyDescent="0.3">
      <c r="A607" s="4">
        <v>169</v>
      </c>
      <c r="B607" s="4">
        <v>45460</v>
      </c>
      <c r="C607" s="4">
        <v>1078</v>
      </c>
      <c r="D607" s="4" t="str">
        <v>Customer_39</v>
      </c>
      <c r="E607" s="4" t="str">
        <v>Consumer</v>
      </c>
      <c r="F607" s="4" t="str">
        <v>North</v>
      </c>
      <c r="G607" s="4" t="str">
        <v>Furniture</v>
      </c>
      <c r="H607" s="4" t="str">
        <v>Product_C</v>
      </c>
      <c r="I607" s="4">
        <v>3951</v>
      </c>
      <c r="J607" s="4">
        <v>5</v>
      </c>
      <c r="K607" s="4">
        <v>0.21</v>
      </c>
      <c r="L607" s="4">
        <v>1112</v>
      </c>
      <c r="M607" s="4" t="str">
        <v>COD</v>
      </c>
      <c r="N607" s="4">
        <v>15606.45</v>
      </c>
    </row>
    <row r="608" spans="1:14" x14ac:dyDescent="0.3">
      <c r="A608" s="4">
        <v>170</v>
      </c>
      <c r="B608" s="4">
        <v>45461</v>
      </c>
      <c r="C608" s="4">
        <v>1056</v>
      </c>
      <c r="D608" s="4" t="str">
        <v>Customer_122</v>
      </c>
      <c r="E608" s="4" t="str">
        <v>Corporate</v>
      </c>
      <c r="F608" s="4" t="str">
        <v>West</v>
      </c>
      <c r="G608" s="4" t="str">
        <v>Furniture</v>
      </c>
      <c r="H608" s="4" t="str">
        <v>Product_C</v>
      </c>
      <c r="I608" s="4">
        <v>430</v>
      </c>
      <c r="J608" s="4">
        <v>8</v>
      </c>
      <c r="K608" s="4">
        <v>0.16</v>
      </c>
      <c r="L608" s="4">
        <v>403</v>
      </c>
      <c r="M608" s="4" t="str">
        <v>Card</v>
      </c>
      <c r="N608" s="4">
        <v>2889.6</v>
      </c>
    </row>
    <row r="609" spans="1:14" x14ac:dyDescent="0.3">
      <c r="A609" s="4">
        <v>172</v>
      </c>
      <c r="B609" s="4">
        <v>45463</v>
      </c>
      <c r="C609" s="4">
        <v>1063</v>
      </c>
      <c r="D609" s="4" t="str">
        <v>Customer_123</v>
      </c>
      <c r="E609" s="4" t="str">
        <v>Corporate</v>
      </c>
      <c r="F609" s="4" t="str">
        <v>West</v>
      </c>
      <c r="G609" s="4" t="str">
        <v>Furniture</v>
      </c>
      <c r="H609" s="4" t="str">
        <v>Product_B</v>
      </c>
      <c r="I609" s="4">
        <v>1515</v>
      </c>
      <c r="J609" s="4">
        <v>1</v>
      </c>
      <c r="K609" s="4">
        <v>0.28000000000000003</v>
      </c>
      <c r="L609" s="4">
        <v>1470</v>
      </c>
      <c r="M609" s="4" t="str">
        <v>UPI</v>
      </c>
      <c r="N609" s="4">
        <v>1090.8</v>
      </c>
    </row>
    <row r="610" spans="1:14" x14ac:dyDescent="0.3">
      <c r="A610" s="4">
        <v>173</v>
      </c>
      <c r="B610" s="4">
        <v>45464</v>
      </c>
      <c r="C610" s="4">
        <v>1097</v>
      </c>
      <c r="D610" s="4" t="str">
        <v>Customer_20</v>
      </c>
      <c r="E610" s="4" t="str">
        <v>Consumer</v>
      </c>
      <c r="F610" s="4" t="str">
        <v>South</v>
      </c>
      <c r="G610" s="4" t="str">
        <v>Clothing</v>
      </c>
      <c r="H610" s="4" t="str">
        <v>Product_D</v>
      </c>
      <c r="I610" s="4">
        <v>3396</v>
      </c>
      <c r="J610" s="4">
        <v>7</v>
      </c>
      <c r="K610" s="4">
        <v>0.27</v>
      </c>
      <c r="L610" s="4">
        <v>1252</v>
      </c>
      <c r="M610" s="4" t="str">
        <v>COD</v>
      </c>
      <c r="N610" s="4">
        <v>17353.560000000001</v>
      </c>
    </row>
    <row r="611" spans="1:14" x14ac:dyDescent="0.3">
      <c r="A611" s="4">
        <v>175</v>
      </c>
      <c r="B611" s="4">
        <v>45466</v>
      </c>
      <c r="C611" s="4">
        <v>1017</v>
      </c>
      <c r="D611" s="4" t="str">
        <v>Customer_153</v>
      </c>
      <c r="E611" s="4" t="str">
        <v>Corporate</v>
      </c>
      <c r="F611" s="4" t="str">
        <v>East</v>
      </c>
      <c r="G611" s="4" t="str">
        <v>Clothing</v>
      </c>
      <c r="H611" s="4" t="str">
        <v>Product_D</v>
      </c>
      <c r="I611" s="4">
        <v>3469</v>
      </c>
      <c r="J611" s="4">
        <v>3</v>
      </c>
      <c r="K611" s="4">
        <v>0.28000000000000003</v>
      </c>
      <c r="L611" s="4">
        <v>431</v>
      </c>
      <c r="M611" s="4" t="str">
        <v>UPI</v>
      </c>
      <c r="N611" s="4">
        <v>7493.04</v>
      </c>
    </row>
    <row r="612" spans="1:14" x14ac:dyDescent="0.3">
      <c r="A612" s="4">
        <v>177</v>
      </c>
      <c r="B612" s="4">
        <v>45468</v>
      </c>
      <c r="C612" s="4">
        <v>1087</v>
      </c>
      <c r="D612" s="4" t="str">
        <v>Customer_116</v>
      </c>
      <c r="E612" s="4" t="str">
        <v>Corporate</v>
      </c>
      <c r="F612" s="4" t="str">
        <v>South</v>
      </c>
      <c r="G612" s="4" t="str">
        <v>Clothing</v>
      </c>
      <c r="H612" s="4" t="str">
        <v>Product_A</v>
      </c>
      <c r="I612" s="4">
        <v>940</v>
      </c>
      <c r="J612" s="4">
        <v>2</v>
      </c>
      <c r="K612" s="4">
        <v>0.06</v>
      </c>
      <c r="L612" s="4">
        <v>1960</v>
      </c>
      <c r="M612" s="4" t="str">
        <v>Card</v>
      </c>
      <c r="N612" s="4">
        <v>1767.19999999999</v>
      </c>
    </row>
    <row r="613" spans="1:14" x14ac:dyDescent="0.3">
      <c r="A613" s="4">
        <v>178</v>
      </c>
      <c r="B613" s="4">
        <v>45469</v>
      </c>
      <c r="C613" s="4">
        <v>1069</v>
      </c>
      <c r="D613" s="4" t="str">
        <v>Customer_94</v>
      </c>
      <c r="E613" s="4" t="str">
        <v>Consumer</v>
      </c>
      <c r="F613" s="4" t="str">
        <v>West</v>
      </c>
      <c r="G613" s="4" t="str">
        <v>Furniture</v>
      </c>
      <c r="H613" s="4" t="str">
        <v>Product_C</v>
      </c>
      <c r="I613" s="4">
        <v>3742</v>
      </c>
      <c r="J613" s="4">
        <v>1</v>
      </c>
      <c r="K613" s="4">
        <v>0.19</v>
      </c>
      <c r="L613" s="4">
        <v>1388</v>
      </c>
      <c r="M613" s="4" t="str">
        <v>Card</v>
      </c>
      <c r="N613" s="4">
        <v>3031.02</v>
      </c>
    </row>
    <row r="614" spans="1:14" x14ac:dyDescent="0.3">
      <c r="A614" s="4">
        <v>181</v>
      </c>
      <c r="B614" s="4">
        <v>45472</v>
      </c>
      <c r="C614" s="4">
        <v>1002</v>
      </c>
      <c r="D614" s="4" t="str">
        <v>Customer_3</v>
      </c>
      <c r="E614" s="4" t="str">
        <v>Consumer</v>
      </c>
      <c r="F614" s="4" t="str">
        <v>South</v>
      </c>
      <c r="G614" s="4" t="str">
        <v>Furniture</v>
      </c>
      <c r="H614" s="4" t="str">
        <v>Product_A</v>
      </c>
      <c r="I614" s="4">
        <v>1043</v>
      </c>
      <c r="J614" s="4">
        <v>2</v>
      </c>
      <c r="K614" s="4">
        <v>0.24</v>
      </c>
      <c r="L614" s="4">
        <v>1350</v>
      </c>
      <c r="M614" s="4" t="str">
        <v>Card</v>
      </c>
      <c r="N614" s="4">
        <v>1585.36</v>
      </c>
    </row>
    <row r="615" spans="1:14" x14ac:dyDescent="0.3">
      <c r="A615" s="4">
        <v>182</v>
      </c>
      <c r="B615" s="4">
        <v>45473</v>
      </c>
      <c r="C615" s="4">
        <v>1018</v>
      </c>
      <c r="D615" s="4" t="str">
        <v>Customer_164</v>
      </c>
      <c r="E615" s="4" t="str">
        <v>Consumer</v>
      </c>
      <c r="F615" s="4" t="str">
        <v>South</v>
      </c>
      <c r="G615" s="4" t="str">
        <v>Electronics</v>
      </c>
      <c r="H615" s="4" t="str">
        <v>Product_B</v>
      </c>
      <c r="I615" s="4">
        <v>3546</v>
      </c>
      <c r="J615" s="4">
        <v>6</v>
      </c>
      <c r="K615" s="4">
        <v>0.25</v>
      </c>
      <c r="L615" s="4">
        <v>1825</v>
      </c>
      <c r="M615" s="4" t="str">
        <v>UPI</v>
      </c>
      <c r="N615" s="4">
        <v>15957</v>
      </c>
    </row>
    <row r="616" spans="1:14" x14ac:dyDescent="0.3">
      <c r="A616" s="4">
        <v>183</v>
      </c>
      <c r="B616" s="4">
        <v>45474</v>
      </c>
      <c r="C616" s="4">
        <v>1046</v>
      </c>
      <c r="D616" s="4" t="str">
        <v>Customer_70</v>
      </c>
      <c r="E616" s="4" t="str">
        <v>Corporate</v>
      </c>
      <c r="F616" s="4" t="str">
        <v>South</v>
      </c>
      <c r="G616" s="4" t="str">
        <v>Furniture</v>
      </c>
      <c r="H616" s="4" t="str">
        <v>Product_A</v>
      </c>
      <c r="I616" s="4">
        <v>951</v>
      </c>
      <c r="J616" s="4">
        <v>8</v>
      </c>
      <c r="K616" s="4">
        <v>7.0000000000000007E-2</v>
      </c>
      <c r="L616" s="4">
        <v>1104</v>
      </c>
      <c r="M616" s="4" t="str">
        <v>COD</v>
      </c>
      <c r="N616" s="4">
        <v>7075.44</v>
      </c>
    </row>
    <row r="617" spans="1:14" x14ac:dyDescent="0.3">
      <c r="A617" s="4">
        <v>184</v>
      </c>
      <c r="B617" s="4">
        <v>45475</v>
      </c>
      <c r="C617" s="4">
        <v>1045</v>
      </c>
      <c r="D617" s="4" t="str">
        <v>Customer_166</v>
      </c>
      <c r="E617" s="4" t="str">
        <v>Corporate</v>
      </c>
      <c r="F617" s="4" t="str">
        <v>North</v>
      </c>
      <c r="G617" s="4" t="str">
        <v>Furniture</v>
      </c>
      <c r="H617" s="4" t="str">
        <v>Product_C</v>
      </c>
      <c r="I617" s="4">
        <v>4700</v>
      </c>
      <c r="J617" s="4">
        <v>3</v>
      </c>
      <c r="K617" s="4">
        <v>0.22</v>
      </c>
      <c r="L617" s="4">
        <v>140</v>
      </c>
      <c r="M617" s="4" t="str">
        <v>COD</v>
      </c>
      <c r="N617" s="4">
        <v>10998</v>
      </c>
    </row>
    <row r="618" spans="1:14" x14ac:dyDescent="0.3">
      <c r="A618" s="4">
        <v>185</v>
      </c>
      <c r="B618" s="4">
        <v>45476</v>
      </c>
      <c r="C618" s="4">
        <v>1057</v>
      </c>
      <c r="D618" s="4" t="str">
        <v>Customer_65</v>
      </c>
      <c r="E618" s="4" t="str">
        <v>Consumer</v>
      </c>
      <c r="F618" s="4" t="str">
        <v>East</v>
      </c>
      <c r="G618" s="4" t="str">
        <v>Electronics</v>
      </c>
      <c r="H618" s="4" t="str">
        <v>Product_C</v>
      </c>
      <c r="I618" s="4">
        <v>1851</v>
      </c>
      <c r="J618" s="4">
        <v>3</v>
      </c>
      <c r="K618" s="4">
        <v>0.28999999999999998</v>
      </c>
      <c r="L618" s="4">
        <v>589</v>
      </c>
      <c r="M618" s="4" t="str">
        <v>Card</v>
      </c>
      <c r="N618" s="4">
        <v>3942.6299999999901</v>
      </c>
    </row>
    <row r="619" spans="1:14" x14ac:dyDescent="0.3">
      <c r="A619" s="4">
        <v>186</v>
      </c>
      <c r="B619" s="4">
        <v>45477</v>
      </c>
      <c r="C619" s="4">
        <v>1035</v>
      </c>
      <c r="D619" s="4" t="str">
        <v>Customer_83</v>
      </c>
      <c r="E619" s="4" t="str">
        <v>Corporate</v>
      </c>
      <c r="F619" s="4" t="str">
        <v>East</v>
      </c>
      <c r="G619" s="4" t="str">
        <v>Furniture</v>
      </c>
      <c r="H619" s="4" t="str">
        <v>Product_C</v>
      </c>
      <c r="I619" s="4">
        <v>1945</v>
      </c>
      <c r="J619" s="4">
        <v>1</v>
      </c>
      <c r="K619" s="4">
        <v>0.28999999999999998</v>
      </c>
      <c r="L619" s="4">
        <v>7</v>
      </c>
      <c r="M619" s="4" t="str">
        <v>Card</v>
      </c>
      <c r="N619" s="4">
        <v>1380.94999999999</v>
      </c>
    </row>
    <row r="620" spans="1:14" x14ac:dyDescent="0.3">
      <c r="A620" s="4">
        <v>187</v>
      </c>
      <c r="B620" s="4">
        <v>45478</v>
      </c>
      <c r="C620" s="4">
        <v>1018</v>
      </c>
      <c r="D620" s="4" t="str">
        <v>Customer_38</v>
      </c>
      <c r="E620" s="4" t="str">
        <v>Corporate</v>
      </c>
      <c r="F620" s="4" t="str">
        <v>North</v>
      </c>
      <c r="G620" s="4" t="str">
        <v>Clothing</v>
      </c>
      <c r="H620" s="4" t="str">
        <v>Product_A</v>
      </c>
      <c r="I620" s="4">
        <v>4924</v>
      </c>
      <c r="J620" s="4">
        <v>3</v>
      </c>
      <c r="K620" s="4">
        <v>0.13</v>
      </c>
      <c r="L620" s="4">
        <v>1357</v>
      </c>
      <c r="M620" s="4" t="str">
        <v>UPI</v>
      </c>
      <c r="N620" s="4">
        <v>12851.64</v>
      </c>
    </row>
    <row r="621" spans="1:14" x14ac:dyDescent="0.3">
      <c r="A621" s="4">
        <v>192</v>
      </c>
      <c r="B621" s="4">
        <v>45483</v>
      </c>
      <c r="C621" s="4">
        <v>1081</v>
      </c>
      <c r="D621" s="4" t="str">
        <v>Customer_88</v>
      </c>
      <c r="E621" s="4" t="str">
        <v>Corporate</v>
      </c>
      <c r="F621" s="4" t="str">
        <v>South</v>
      </c>
      <c r="G621" s="4" t="str">
        <v>Clothing</v>
      </c>
      <c r="H621" s="4" t="str">
        <v>Product_A</v>
      </c>
      <c r="I621" s="4">
        <v>3609</v>
      </c>
      <c r="J621" s="4">
        <v>5</v>
      </c>
      <c r="K621" s="4">
        <v>0.12</v>
      </c>
      <c r="L621" s="4">
        <v>514</v>
      </c>
      <c r="M621" s="4" t="str">
        <v>COD</v>
      </c>
      <c r="N621" s="4">
        <v>15879.6</v>
      </c>
    </row>
    <row r="622" spans="1:14" x14ac:dyDescent="0.3">
      <c r="A622" s="4">
        <v>193</v>
      </c>
      <c r="B622" s="4">
        <v>45484</v>
      </c>
      <c r="C622" s="4">
        <v>1062</v>
      </c>
      <c r="D622" s="4" t="str">
        <v>Customer_133</v>
      </c>
      <c r="E622" s="4" t="str">
        <v>Corporate</v>
      </c>
      <c r="F622" s="4" t="str">
        <v>South</v>
      </c>
      <c r="G622" s="4" t="str">
        <v>Electronics</v>
      </c>
      <c r="H622" s="4" t="str">
        <v>Product_D</v>
      </c>
      <c r="I622" s="4">
        <v>1568</v>
      </c>
      <c r="J622" s="4">
        <v>1</v>
      </c>
      <c r="K622" s="4">
        <v>0.06</v>
      </c>
      <c r="L622" s="4">
        <v>1807</v>
      </c>
      <c r="M622" s="4" t="str">
        <v>UPI</v>
      </c>
      <c r="N622" s="4">
        <v>1473.9199999999901</v>
      </c>
    </row>
    <row r="623" spans="1:14" x14ac:dyDescent="0.3">
      <c r="A623" s="4">
        <v>194</v>
      </c>
      <c r="B623" s="4">
        <v>45485</v>
      </c>
      <c r="C623" s="4">
        <v>1067</v>
      </c>
      <c r="D623" s="4" t="str">
        <v>Customer_141</v>
      </c>
      <c r="E623" s="4" t="str">
        <v>Consumer</v>
      </c>
      <c r="F623" s="4" t="str">
        <v>West</v>
      </c>
      <c r="G623" s="4" t="str">
        <v>Furniture</v>
      </c>
      <c r="H623" s="4" t="str">
        <v>Product_C</v>
      </c>
      <c r="I623" s="4">
        <v>584</v>
      </c>
      <c r="J623" s="4">
        <v>1</v>
      </c>
      <c r="K623" s="4">
        <v>0.22</v>
      </c>
      <c r="L623" s="4">
        <v>858</v>
      </c>
      <c r="M623" s="4" t="str">
        <v>Card</v>
      </c>
      <c r="N623" s="4">
        <v>455.52</v>
      </c>
    </row>
    <row r="624" spans="1:14" x14ac:dyDescent="0.3">
      <c r="A624" s="4">
        <v>195</v>
      </c>
      <c r="B624" s="4">
        <v>45486</v>
      </c>
      <c r="C624" s="4">
        <v>1011</v>
      </c>
      <c r="D624" s="4" t="str">
        <v>Customer_86</v>
      </c>
      <c r="E624" s="4" t="str">
        <v>Corporate</v>
      </c>
      <c r="F624" s="4" t="str">
        <v>South</v>
      </c>
      <c r="G624" s="4" t="str">
        <v>Furniture</v>
      </c>
      <c r="H624" s="4" t="str">
        <v>Product_C</v>
      </c>
      <c r="I624" s="4">
        <v>851</v>
      </c>
      <c r="J624" s="4">
        <v>9</v>
      </c>
      <c r="K624" s="4">
        <v>0.19</v>
      </c>
      <c r="L624" s="4">
        <v>1126</v>
      </c>
      <c r="M624" s="4" t="str">
        <v>Card</v>
      </c>
      <c r="N624" s="4">
        <v>6203.79</v>
      </c>
    </row>
    <row r="625" spans="1:14" x14ac:dyDescent="0.3">
      <c r="A625" s="4">
        <v>197</v>
      </c>
      <c r="B625" s="4">
        <v>45488</v>
      </c>
      <c r="C625" s="4">
        <v>1092</v>
      </c>
      <c r="D625" s="4" t="str">
        <v>Customer_153</v>
      </c>
      <c r="E625" s="4" t="str">
        <v>Corporate</v>
      </c>
      <c r="F625" s="4" t="str">
        <v>South</v>
      </c>
      <c r="G625" s="4" t="str">
        <v>Electronics</v>
      </c>
      <c r="H625" s="4" t="str">
        <v>Product_D</v>
      </c>
      <c r="I625" s="4">
        <v>2452</v>
      </c>
      <c r="J625" s="4">
        <v>4</v>
      </c>
      <c r="K625" s="4">
        <v>0.19</v>
      </c>
      <c r="L625" s="4">
        <v>1641</v>
      </c>
      <c r="M625" s="4" t="str">
        <v>Card</v>
      </c>
      <c r="N625" s="4">
        <v>7944.48</v>
      </c>
    </row>
    <row r="626" spans="1:14" x14ac:dyDescent="0.3">
      <c r="A626" s="4">
        <v>200</v>
      </c>
      <c r="B626" s="4">
        <v>45491</v>
      </c>
      <c r="C626" s="4">
        <v>1003</v>
      </c>
      <c r="D626" s="4" t="str">
        <v>Customer_85</v>
      </c>
      <c r="E626" s="4" t="str">
        <v>Corporate</v>
      </c>
      <c r="F626" s="4" t="str">
        <v>South</v>
      </c>
      <c r="G626" s="4" t="str">
        <v>Clothing</v>
      </c>
      <c r="H626" s="4" t="str">
        <v>Product_C</v>
      </c>
      <c r="I626" s="4">
        <v>1158</v>
      </c>
      <c r="J626" s="4">
        <v>5</v>
      </c>
      <c r="K626" s="4">
        <v>0.2</v>
      </c>
      <c r="L626" s="4">
        <v>1597</v>
      </c>
      <c r="M626" s="4" t="str">
        <v>COD</v>
      </c>
      <c r="N626" s="4">
        <v>4632</v>
      </c>
    </row>
    <row r="627" spans="1:14" x14ac:dyDescent="0.3">
      <c r="A627" s="4">
        <v>201</v>
      </c>
      <c r="B627" s="4">
        <v>45492</v>
      </c>
      <c r="C627" s="4">
        <v>1045</v>
      </c>
      <c r="D627" s="4" t="str">
        <v>Customer_3</v>
      </c>
      <c r="E627" s="4" t="str">
        <v>Corporate</v>
      </c>
      <c r="F627" s="4" t="str">
        <v>West</v>
      </c>
      <c r="G627" s="4" t="str">
        <v>Furniture</v>
      </c>
      <c r="H627" s="4" t="str">
        <v>Product_A</v>
      </c>
      <c r="I627" s="4">
        <v>300</v>
      </c>
      <c r="J627" s="4">
        <v>8</v>
      </c>
      <c r="K627" s="4">
        <v>0.14000000000000001</v>
      </c>
      <c r="L627" s="4">
        <v>1580</v>
      </c>
      <c r="M627" s="4" t="str">
        <v>UPI</v>
      </c>
      <c r="N627" s="4">
        <v>2064</v>
      </c>
    </row>
    <row r="628" spans="1:14" x14ac:dyDescent="0.3">
      <c r="A628" s="4">
        <v>202</v>
      </c>
      <c r="B628" s="4">
        <v>45493</v>
      </c>
      <c r="C628" s="4">
        <v>1058</v>
      </c>
      <c r="D628" s="4" t="str">
        <v>Customer_8</v>
      </c>
      <c r="E628" s="4" t="str">
        <v>Consumer</v>
      </c>
      <c r="F628" s="4" t="str">
        <v>West</v>
      </c>
      <c r="G628" s="4" t="str">
        <v>Clothing</v>
      </c>
      <c r="H628" s="4" t="str">
        <v>Product_A</v>
      </c>
      <c r="I628" s="4">
        <v>4590</v>
      </c>
      <c r="J628" s="4">
        <v>3</v>
      </c>
      <c r="K628" s="4">
        <v>0.23</v>
      </c>
      <c r="L628" s="4">
        <v>458</v>
      </c>
      <c r="M628" s="4" t="str">
        <v>Card</v>
      </c>
      <c r="N628" s="4">
        <v>10602.9</v>
      </c>
    </row>
    <row r="629" spans="1:14" x14ac:dyDescent="0.3">
      <c r="A629" s="4">
        <v>203</v>
      </c>
      <c r="B629" s="4">
        <v>45494</v>
      </c>
      <c r="C629" s="4">
        <v>1059</v>
      </c>
      <c r="D629" s="4" t="str">
        <v>Customer_174</v>
      </c>
      <c r="E629" s="4" t="str">
        <v>Consumer</v>
      </c>
      <c r="F629" s="4" t="str">
        <v>West</v>
      </c>
      <c r="G629" s="4" t="str">
        <v>Electronics</v>
      </c>
      <c r="H629" s="4" t="str">
        <v>Product_B</v>
      </c>
      <c r="I629" s="4">
        <v>3815</v>
      </c>
      <c r="J629" s="4">
        <v>6</v>
      </c>
      <c r="K629" s="4">
        <v>0.08</v>
      </c>
      <c r="L629" s="4">
        <v>971</v>
      </c>
      <c r="M629" s="4" t="str">
        <v>Card</v>
      </c>
      <c r="N629" s="4">
        <v>21058.799999999999</v>
      </c>
    </row>
    <row r="630" spans="1:14" x14ac:dyDescent="0.3">
      <c r="A630" s="4">
        <v>205</v>
      </c>
      <c r="B630" s="4">
        <v>45496</v>
      </c>
      <c r="C630" s="4">
        <v>1025</v>
      </c>
      <c r="D630" s="4" t="str">
        <v>Customer_167</v>
      </c>
      <c r="E630" s="4" t="str">
        <v>Consumer</v>
      </c>
      <c r="F630" s="4" t="str">
        <v>East</v>
      </c>
      <c r="G630" s="4" t="str">
        <v>Furniture</v>
      </c>
      <c r="H630" s="4" t="str">
        <v>Product_C</v>
      </c>
      <c r="I630" s="4">
        <v>831</v>
      </c>
      <c r="J630" s="4">
        <v>3</v>
      </c>
      <c r="K630" s="4">
        <v>0.1</v>
      </c>
      <c r="L630" s="4">
        <v>1324</v>
      </c>
      <c r="M630" s="4" t="str">
        <v>UPI</v>
      </c>
      <c r="N630" s="4">
        <v>2243.6999999999998</v>
      </c>
    </row>
    <row r="631" spans="1:14" x14ac:dyDescent="0.3">
      <c r="A631" s="4">
        <v>207</v>
      </c>
      <c r="B631" s="4">
        <v>45498</v>
      </c>
      <c r="C631" s="4">
        <v>1057</v>
      </c>
      <c r="D631" s="4" t="str">
        <v>Customer_22</v>
      </c>
      <c r="E631" s="4" t="str">
        <v>Consumer</v>
      </c>
      <c r="F631" s="4" t="str">
        <v>South</v>
      </c>
      <c r="G631" s="4" t="str">
        <v>Furniture</v>
      </c>
      <c r="H631" s="4" t="str">
        <v>Product_C</v>
      </c>
      <c r="I631" s="4">
        <v>3249</v>
      </c>
      <c r="J631" s="4">
        <v>8</v>
      </c>
      <c r="K631" s="4">
        <v>0.23</v>
      </c>
      <c r="L631" s="4">
        <v>1197</v>
      </c>
      <c r="M631" s="4" t="str">
        <v>UPI</v>
      </c>
      <c r="N631" s="4">
        <v>20013.84</v>
      </c>
    </row>
    <row r="632" spans="1:14" x14ac:dyDescent="0.3">
      <c r="A632" s="4">
        <v>208</v>
      </c>
      <c r="B632" s="4">
        <v>45499</v>
      </c>
      <c r="C632" s="4">
        <v>1003</v>
      </c>
      <c r="D632" s="4" t="str">
        <v>Customer_45</v>
      </c>
      <c r="E632" s="4" t="str">
        <v>Corporate</v>
      </c>
      <c r="F632" s="4" t="str">
        <v>South</v>
      </c>
      <c r="G632" s="4" t="str">
        <v>Electronics</v>
      </c>
      <c r="H632" s="4" t="str">
        <v>Product_D</v>
      </c>
      <c r="I632" s="4">
        <v>3344</v>
      </c>
      <c r="J632" s="4">
        <v>7</v>
      </c>
      <c r="K632" s="4">
        <v>0.06</v>
      </c>
      <c r="L632" s="4">
        <v>581</v>
      </c>
      <c r="M632" s="4" t="str">
        <v>COD</v>
      </c>
      <c r="N632" s="4">
        <v>22003.52</v>
      </c>
    </row>
    <row r="633" spans="1:14" x14ac:dyDescent="0.3">
      <c r="A633" s="4">
        <v>209</v>
      </c>
      <c r="B633" s="4">
        <v>45500</v>
      </c>
      <c r="C633" s="4">
        <v>1099</v>
      </c>
      <c r="D633" s="4" t="str">
        <v>Customer_151</v>
      </c>
      <c r="E633" s="4" t="str">
        <v>Corporate</v>
      </c>
      <c r="F633" s="4" t="str">
        <v>West</v>
      </c>
      <c r="G633" s="4" t="str">
        <v>Electronics</v>
      </c>
      <c r="H633" s="4" t="str">
        <v>Product_A</v>
      </c>
      <c r="I633" s="4">
        <v>4041</v>
      </c>
      <c r="J633" s="4">
        <v>7</v>
      </c>
      <c r="K633" s="4">
        <v>0.19</v>
      </c>
      <c r="L633" s="4">
        <v>1642</v>
      </c>
      <c r="M633" s="4" t="str">
        <v>UPI</v>
      </c>
      <c r="N633" s="4">
        <v>22912.47</v>
      </c>
    </row>
    <row r="634" spans="1:14" x14ac:dyDescent="0.3">
      <c r="A634" s="4">
        <v>211</v>
      </c>
      <c r="B634" s="4">
        <v>45502</v>
      </c>
      <c r="C634" s="4">
        <v>1085</v>
      </c>
      <c r="D634" s="4" t="str">
        <v>Customer_80</v>
      </c>
      <c r="E634" s="4" t="str">
        <v>Consumer</v>
      </c>
      <c r="F634" s="4" t="str">
        <v>South</v>
      </c>
      <c r="G634" s="4" t="str">
        <v>Furniture</v>
      </c>
      <c r="H634" s="4" t="str">
        <v>Product_A</v>
      </c>
      <c r="I634" s="4">
        <v>745</v>
      </c>
      <c r="J634" s="4">
        <v>9</v>
      </c>
      <c r="K634" s="4">
        <v>0.21</v>
      </c>
      <c r="L634" s="4">
        <v>515</v>
      </c>
      <c r="M634" s="4" t="str">
        <v>Card</v>
      </c>
      <c r="N634" s="4">
        <v>5296.95</v>
      </c>
    </row>
    <row r="635" spans="1:14" x14ac:dyDescent="0.3">
      <c r="A635" s="4">
        <v>212</v>
      </c>
      <c r="B635" s="4">
        <v>45503</v>
      </c>
      <c r="C635" s="4">
        <v>1059</v>
      </c>
      <c r="D635" s="4" t="str">
        <v>Customer_124</v>
      </c>
      <c r="E635" s="4" t="str">
        <v>Consumer</v>
      </c>
      <c r="F635" s="4" t="str">
        <v>North</v>
      </c>
      <c r="G635" s="4" t="str">
        <v>Furniture</v>
      </c>
      <c r="H635" s="4" t="str">
        <v>Product_D</v>
      </c>
      <c r="I635" s="4">
        <v>3695</v>
      </c>
      <c r="J635" s="4">
        <v>3</v>
      </c>
      <c r="K635" s="4">
        <v>0.04</v>
      </c>
      <c r="L635" s="4">
        <v>333</v>
      </c>
      <c r="M635" s="4" t="str">
        <v>Card</v>
      </c>
      <c r="N635" s="4">
        <v>10641.6</v>
      </c>
    </row>
    <row r="636" spans="1:14" x14ac:dyDescent="0.3">
      <c r="A636" s="4">
        <v>213</v>
      </c>
      <c r="B636" s="4">
        <v>45504</v>
      </c>
      <c r="C636" s="4">
        <v>1048</v>
      </c>
      <c r="D636" s="4" t="str">
        <v>Customer_179</v>
      </c>
      <c r="E636" s="4" t="str">
        <v>Corporate</v>
      </c>
      <c r="F636" s="4" t="str">
        <v>West</v>
      </c>
      <c r="G636" s="4" t="str">
        <v>Clothing</v>
      </c>
      <c r="H636" s="4" t="str">
        <v>Product_D</v>
      </c>
      <c r="I636" s="4">
        <v>4178</v>
      </c>
      <c r="J636" s="4">
        <v>2</v>
      </c>
      <c r="K636" s="4">
        <v>0.19</v>
      </c>
      <c r="L636" s="4">
        <v>1860</v>
      </c>
      <c r="M636" s="4" t="str">
        <v>Card</v>
      </c>
      <c r="N636" s="4">
        <v>6768.36</v>
      </c>
    </row>
    <row r="637" spans="1:14" x14ac:dyDescent="0.3">
      <c r="A637" s="4">
        <v>214</v>
      </c>
      <c r="B637" s="4">
        <v>45505</v>
      </c>
      <c r="C637" s="4">
        <v>1056</v>
      </c>
      <c r="D637" s="4" t="str">
        <v>Customer_28</v>
      </c>
      <c r="E637" s="4" t="str">
        <v>Consumer</v>
      </c>
      <c r="F637" s="4" t="str">
        <v>West</v>
      </c>
      <c r="G637" s="4" t="str">
        <v>Clothing</v>
      </c>
      <c r="H637" s="4" t="str">
        <v>Product_B</v>
      </c>
      <c r="I637" s="4">
        <v>2035</v>
      </c>
      <c r="J637" s="4">
        <v>4</v>
      </c>
      <c r="K637" s="4">
        <v>0.06</v>
      </c>
      <c r="L637" s="4">
        <v>1215</v>
      </c>
      <c r="M637" s="4" t="str">
        <v>UPI</v>
      </c>
      <c r="N637" s="4">
        <v>7651.5999999999904</v>
      </c>
    </row>
    <row r="638" spans="1:14" x14ac:dyDescent="0.3">
      <c r="A638" s="4">
        <v>217</v>
      </c>
      <c r="B638" s="4">
        <v>45508</v>
      </c>
      <c r="C638" s="4">
        <v>1004</v>
      </c>
      <c r="D638" s="4" t="str">
        <v>Customer_29</v>
      </c>
      <c r="E638" s="4" t="str">
        <v>Consumer</v>
      </c>
      <c r="F638" s="4" t="str">
        <v>West</v>
      </c>
      <c r="G638" s="4" t="str">
        <v>Furniture</v>
      </c>
      <c r="H638" s="4" t="str">
        <v>Product_A</v>
      </c>
      <c r="I638" s="4">
        <v>2152</v>
      </c>
      <c r="J638" s="4">
        <v>8</v>
      </c>
      <c r="K638" s="4">
        <v>0.14000000000000001</v>
      </c>
      <c r="L638" s="4">
        <v>925</v>
      </c>
      <c r="M638" s="4" t="str">
        <v>COD</v>
      </c>
      <c r="N638" s="4">
        <v>14805.76</v>
      </c>
    </row>
    <row r="639" spans="1:14" x14ac:dyDescent="0.3">
      <c r="A639" s="4">
        <v>219</v>
      </c>
      <c r="B639" s="4">
        <v>45510</v>
      </c>
      <c r="C639" s="4">
        <v>1056</v>
      </c>
      <c r="D639" s="4" t="str">
        <v>Customer_102</v>
      </c>
      <c r="E639" s="4" t="str">
        <v>Consumer</v>
      </c>
      <c r="F639" s="4" t="str">
        <v>East</v>
      </c>
      <c r="G639" s="4" t="str">
        <v>Clothing</v>
      </c>
      <c r="H639" s="4" t="str">
        <v>Product_A</v>
      </c>
      <c r="I639" s="4">
        <v>802</v>
      </c>
      <c r="J639" s="4">
        <v>5</v>
      </c>
      <c r="K639" s="4">
        <v>0.04</v>
      </c>
      <c r="L639" s="4">
        <v>1193</v>
      </c>
      <c r="M639" s="4" t="str">
        <v>COD</v>
      </c>
      <c r="N639" s="4">
        <v>3849.6</v>
      </c>
    </row>
    <row r="640" spans="1:14" x14ac:dyDescent="0.3">
      <c r="A640" s="4">
        <v>220</v>
      </c>
      <c r="B640" s="4">
        <v>45511</v>
      </c>
      <c r="C640" s="4">
        <v>1060</v>
      </c>
      <c r="D640" s="4" t="str">
        <v>Customer_198</v>
      </c>
      <c r="E640" s="4" t="str">
        <v>Corporate</v>
      </c>
      <c r="F640" s="4" t="str">
        <v>South</v>
      </c>
      <c r="G640" s="4" t="str">
        <v>Clothing</v>
      </c>
      <c r="H640" s="4" t="str">
        <v>Product_B</v>
      </c>
      <c r="I640" s="4">
        <v>2899</v>
      </c>
      <c r="J640" s="4">
        <v>1</v>
      </c>
      <c r="K640" s="4">
        <v>0.2</v>
      </c>
      <c r="L640" s="4">
        <v>569</v>
      </c>
      <c r="M640" s="4" t="str">
        <v>COD</v>
      </c>
      <c r="N640" s="4">
        <v>2319.1999999999998</v>
      </c>
    </row>
    <row r="641" spans="1:14" x14ac:dyDescent="0.3">
      <c r="A641" s="4">
        <v>221</v>
      </c>
      <c r="B641" s="4">
        <v>45512</v>
      </c>
      <c r="C641" s="4">
        <v>1009</v>
      </c>
      <c r="D641" s="4" t="str">
        <v>Customer_78</v>
      </c>
      <c r="E641" s="4" t="str">
        <v>Corporate</v>
      </c>
      <c r="F641" s="4" t="str">
        <v>West</v>
      </c>
      <c r="G641" s="4" t="str">
        <v>Electronics</v>
      </c>
      <c r="H641" s="4" t="str">
        <v>Product_A</v>
      </c>
      <c r="I641" s="4">
        <v>607</v>
      </c>
      <c r="J641" s="4">
        <v>6</v>
      </c>
      <c r="K641" s="4">
        <v>0.05</v>
      </c>
      <c r="L641" s="4">
        <v>1509</v>
      </c>
      <c r="M641" s="4" t="str">
        <v>Card</v>
      </c>
      <c r="N641" s="4">
        <v>3459.8999999999901</v>
      </c>
    </row>
    <row r="642" spans="1:14" x14ac:dyDescent="0.3">
      <c r="A642" s="4">
        <v>222</v>
      </c>
      <c r="B642" s="4">
        <v>45513</v>
      </c>
      <c r="C642" s="4">
        <v>1066</v>
      </c>
      <c r="D642" s="4" t="str">
        <v>Customer_156</v>
      </c>
      <c r="E642" s="4" t="str">
        <v>Corporate</v>
      </c>
      <c r="F642" s="4" t="str">
        <v>East</v>
      </c>
      <c r="G642" s="4" t="str">
        <v>Clothing</v>
      </c>
      <c r="H642" s="4" t="str">
        <v>Product_A</v>
      </c>
      <c r="I642" s="4">
        <v>1523</v>
      </c>
      <c r="J642" s="4">
        <v>1</v>
      </c>
      <c r="K642" s="4">
        <v>0.23</v>
      </c>
      <c r="L642" s="4">
        <v>1244</v>
      </c>
      <c r="M642" s="4" t="str">
        <v>COD</v>
      </c>
      <c r="N642" s="4">
        <v>1172.71</v>
      </c>
    </row>
    <row r="643" spans="1:14" x14ac:dyDescent="0.3">
      <c r="A643" s="4">
        <v>223</v>
      </c>
      <c r="B643" s="4">
        <v>45514</v>
      </c>
      <c r="C643" s="4">
        <v>1033</v>
      </c>
      <c r="D643" s="4" t="str">
        <v>Customer_110</v>
      </c>
      <c r="E643" s="4" t="str">
        <v>Corporate</v>
      </c>
      <c r="F643" s="4" t="str">
        <v>South</v>
      </c>
      <c r="G643" s="4" t="str">
        <v>Furniture</v>
      </c>
      <c r="H643" s="4" t="str">
        <v>Product_D</v>
      </c>
      <c r="I643" s="4">
        <v>2167</v>
      </c>
      <c r="J643" s="4">
        <v>2</v>
      </c>
      <c r="K643" s="4">
        <v>0.21</v>
      </c>
      <c r="L643" s="4">
        <v>1682</v>
      </c>
      <c r="M643" s="4" t="str">
        <v>Card</v>
      </c>
      <c r="N643" s="4">
        <v>3423.86</v>
      </c>
    </row>
    <row r="644" spans="1:14" x14ac:dyDescent="0.3">
      <c r="A644" s="4">
        <v>224</v>
      </c>
      <c r="B644" s="4">
        <v>45515</v>
      </c>
      <c r="C644" s="4">
        <v>1069</v>
      </c>
      <c r="D644" s="4" t="str">
        <v>Customer_175</v>
      </c>
      <c r="E644" s="4" t="str">
        <v>Corporate</v>
      </c>
      <c r="F644" s="4" t="str">
        <v>North</v>
      </c>
      <c r="G644" s="4" t="str">
        <v>Furniture</v>
      </c>
      <c r="H644" s="4" t="str">
        <v>Product_C</v>
      </c>
      <c r="I644" s="4">
        <v>4265</v>
      </c>
      <c r="J644" s="4">
        <v>6</v>
      </c>
      <c r="K644" s="4">
        <v>0.12</v>
      </c>
      <c r="L644" s="4">
        <v>490</v>
      </c>
      <c r="M644" s="4" t="str">
        <v>COD</v>
      </c>
      <c r="N644" s="4">
        <v>22519.200000000001</v>
      </c>
    </row>
    <row r="645" spans="1:14" x14ac:dyDescent="0.3">
      <c r="A645" s="4">
        <v>225</v>
      </c>
      <c r="B645" s="4">
        <v>45516</v>
      </c>
      <c r="C645" s="4">
        <v>1009</v>
      </c>
      <c r="D645" s="4" t="str">
        <v>Customer_4</v>
      </c>
      <c r="E645" s="4" t="str">
        <v>Consumer</v>
      </c>
      <c r="F645" s="4" t="str">
        <v>West</v>
      </c>
      <c r="G645" s="4" t="str">
        <v>Clothing</v>
      </c>
      <c r="H645" s="4" t="str">
        <v>Product_C</v>
      </c>
      <c r="I645" s="4">
        <v>851</v>
      </c>
      <c r="J645" s="4">
        <v>1</v>
      </c>
      <c r="K645" s="4">
        <v>0.14000000000000001</v>
      </c>
      <c r="L645" s="4">
        <v>1419</v>
      </c>
      <c r="M645" s="4" t="str">
        <v>UPI</v>
      </c>
      <c r="N645" s="4">
        <v>731.86</v>
      </c>
    </row>
    <row r="646" spans="1:14" x14ac:dyDescent="0.3">
      <c r="A646" s="4">
        <v>226</v>
      </c>
      <c r="B646" s="4">
        <v>45517</v>
      </c>
      <c r="C646" s="4">
        <v>1079</v>
      </c>
      <c r="D646" s="4" t="str">
        <v>Customer_130</v>
      </c>
      <c r="E646" s="4" t="str">
        <v>Corporate</v>
      </c>
      <c r="F646" s="4" t="str">
        <v>South</v>
      </c>
      <c r="G646" s="4" t="str">
        <v>Furniture</v>
      </c>
      <c r="H646" s="4" t="str">
        <v>Product_B</v>
      </c>
      <c r="I646" s="4">
        <v>2116</v>
      </c>
      <c r="J646" s="4">
        <v>6</v>
      </c>
      <c r="K646" s="4">
        <v>0.05</v>
      </c>
      <c r="L646" s="4">
        <v>1516</v>
      </c>
      <c r="M646" s="4" t="str">
        <v>UPI</v>
      </c>
      <c r="N646" s="4">
        <v>12061.199999999901</v>
      </c>
    </row>
    <row r="647" spans="1:14" x14ac:dyDescent="0.3">
      <c r="A647" s="4">
        <v>227</v>
      </c>
      <c r="B647" s="4">
        <v>45518</v>
      </c>
      <c r="C647" s="4">
        <v>1028</v>
      </c>
      <c r="D647" s="4" t="str">
        <v>Customer_110</v>
      </c>
      <c r="E647" s="4" t="str">
        <v>Consumer</v>
      </c>
      <c r="F647" s="4" t="str">
        <v>West</v>
      </c>
      <c r="G647" s="4" t="str">
        <v>Furniture</v>
      </c>
      <c r="H647" s="4" t="str">
        <v>Product_B</v>
      </c>
      <c r="I647" s="4">
        <v>648</v>
      </c>
      <c r="J647" s="4">
        <v>9</v>
      </c>
      <c r="K647" s="4">
        <v>0.19</v>
      </c>
      <c r="L647" s="4">
        <v>730</v>
      </c>
      <c r="M647" s="4" t="str">
        <v>Card</v>
      </c>
      <c r="N647" s="4">
        <v>4723.92</v>
      </c>
    </row>
    <row r="648" spans="1:14" x14ac:dyDescent="0.3">
      <c r="A648" s="4">
        <v>228</v>
      </c>
      <c r="B648" s="4">
        <v>45519</v>
      </c>
      <c r="C648" s="4">
        <v>1066</v>
      </c>
      <c r="D648" s="4" t="str">
        <v>Customer_64</v>
      </c>
      <c r="E648" s="4" t="str">
        <v>Consumer</v>
      </c>
      <c r="F648" s="4" t="str">
        <v>West</v>
      </c>
      <c r="G648" s="4" t="str">
        <v>Furniture</v>
      </c>
      <c r="H648" s="4" t="str">
        <v>Product_A</v>
      </c>
      <c r="I648" s="4">
        <v>2655</v>
      </c>
      <c r="J648" s="4">
        <v>6</v>
      </c>
      <c r="K648" s="4">
        <v>0.27</v>
      </c>
      <c r="L648" s="4">
        <v>1403</v>
      </c>
      <c r="M648" s="4" t="str">
        <v>COD</v>
      </c>
      <c r="N648" s="4">
        <v>11628.9</v>
      </c>
    </row>
    <row r="649" spans="1:14" x14ac:dyDescent="0.3">
      <c r="A649" s="4">
        <v>229</v>
      </c>
      <c r="B649" s="4">
        <v>45520</v>
      </c>
      <c r="C649" s="4">
        <v>1010</v>
      </c>
      <c r="D649" s="4" t="str">
        <v>Customer_29</v>
      </c>
      <c r="E649" s="4" t="str">
        <v>Consumer</v>
      </c>
      <c r="F649" s="4" t="str">
        <v>North</v>
      </c>
      <c r="G649" s="4" t="str">
        <v>Clothing</v>
      </c>
      <c r="H649" s="4" t="str">
        <v>Product_C</v>
      </c>
      <c r="I649" s="4">
        <v>738</v>
      </c>
      <c r="J649" s="4">
        <v>1</v>
      </c>
      <c r="K649" s="4">
        <v>0.17</v>
      </c>
      <c r="L649" s="4">
        <v>1581</v>
      </c>
      <c r="M649" s="4" t="str">
        <v>UPI</v>
      </c>
      <c r="N649" s="4">
        <v>612.54</v>
      </c>
    </row>
    <row r="650" spans="1:14" x14ac:dyDescent="0.3">
      <c r="A650" s="4">
        <v>230</v>
      </c>
      <c r="B650" s="4">
        <v>45521</v>
      </c>
      <c r="C650" s="4">
        <v>1003</v>
      </c>
      <c r="D650" s="4" t="str">
        <v>Customer_89</v>
      </c>
      <c r="E650" s="4" t="str">
        <v>Consumer</v>
      </c>
      <c r="F650" s="4" t="str">
        <v>East</v>
      </c>
      <c r="G650" s="4" t="str">
        <v>Furniture</v>
      </c>
      <c r="H650" s="4" t="str">
        <v>Product_B</v>
      </c>
      <c r="I650" s="4">
        <v>1820</v>
      </c>
      <c r="J650" s="4">
        <v>9</v>
      </c>
      <c r="K650" s="4">
        <v>0.09</v>
      </c>
      <c r="L650" s="4">
        <v>631</v>
      </c>
      <c r="M650" s="4" t="str">
        <v>UPI</v>
      </c>
      <c r="N650" s="4">
        <v>14905.8</v>
      </c>
    </row>
    <row r="651" spans="1:14" x14ac:dyDescent="0.3">
      <c r="A651" s="4">
        <v>231</v>
      </c>
      <c r="B651" s="4">
        <v>45522</v>
      </c>
      <c r="C651" s="4">
        <v>1048</v>
      </c>
      <c r="D651" s="4" t="str">
        <v>Customer_95</v>
      </c>
      <c r="E651" s="4" t="str">
        <v>Consumer</v>
      </c>
      <c r="F651" s="4" t="str">
        <v>North</v>
      </c>
      <c r="G651" s="4" t="str">
        <v>Electronics</v>
      </c>
      <c r="H651" s="4" t="str">
        <v>Product_C</v>
      </c>
      <c r="I651" s="4">
        <v>3916</v>
      </c>
      <c r="J651" s="4">
        <v>7</v>
      </c>
      <c r="K651" s="4">
        <v>0.12</v>
      </c>
      <c r="L651" s="4">
        <v>1533</v>
      </c>
      <c r="M651" s="4" t="str">
        <v>UPI</v>
      </c>
      <c r="N651" s="4">
        <v>24122.560000000001</v>
      </c>
    </row>
    <row r="652" spans="1:14" x14ac:dyDescent="0.3">
      <c r="A652" s="4">
        <v>232</v>
      </c>
      <c r="B652" s="4">
        <v>45523</v>
      </c>
      <c r="C652" s="4">
        <v>1003</v>
      </c>
      <c r="D652" s="4" t="str">
        <v>Customer_175</v>
      </c>
      <c r="E652" s="4" t="str">
        <v>Consumer</v>
      </c>
      <c r="F652" s="4" t="str">
        <v>West</v>
      </c>
      <c r="G652" s="4" t="str">
        <v>Clothing</v>
      </c>
      <c r="H652" s="4" t="str">
        <v>Product_D</v>
      </c>
      <c r="I652" s="4">
        <v>3888</v>
      </c>
      <c r="J652" s="4">
        <v>5</v>
      </c>
      <c r="K652" s="4">
        <v>7.0000000000000007E-2</v>
      </c>
      <c r="L652" s="4">
        <v>1032</v>
      </c>
      <c r="M652" s="4" t="str">
        <v>Card</v>
      </c>
      <c r="N652" s="4">
        <v>18079.199999999899</v>
      </c>
    </row>
    <row r="653" spans="1:14" x14ac:dyDescent="0.3">
      <c r="A653" s="4">
        <v>233</v>
      </c>
      <c r="B653" s="4">
        <v>45524</v>
      </c>
      <c r="C653" s="4">
        <v>1023</v>
      </c>
      <c r="D653" s="4" t="str">
        <v>Customer_15</v>
      </c>
      <c r="E653" s="4" t="str">
        <v>Consumer</v>
      </c>
      <c r="F653" s="4" t="str">
        <v>North</v>
      </c>
      <c r="G653" s="4" t="str">
        <v>Clothing</v>
      </c>
      <c r="H653" s="4" t="str">
        <v>Product_B</v>
      </c>
      <c r="I653" s="4">
        <v>1813</v>
      </c>
      <c r="J653" s="4">
        <v>7</v>
      </c>
      <c r="K653" s="4">
        <v>0.13</v>
      </c>
      <c r="L653" s="4">
        <v>937</v>
      </c>
      <c r="M653" s="4" t="str">
        <v>COD</v>
      </c>
      <c r="N653" s="4">
        <v>11041.17</v>
      </c>
    </row>
    <row r="654" spans="1:14" x14ac:dyDescent="0.3">
      <c r="A654" s="4">
        <v>234</v>
      </c>
      <c r="B654" s="4">
        <v>45525</v>
      </c>
      <c r="C654" s="4">
        <v>1091</v>
      </c>
      <c r="D654" s="4" t="str">
        <v>Customer_166</v>
      </c>
      <c r="E654" s="4" t="str">
        <v>Corporate</v>
      </c>
      <c r="F654" s="4" t="str">
        <v>West</v>
      </c>
      <c r="G654" s="4" t="str">
        <v>Furniture</v>
      </c>
      <c r="H654" s="4" t="str">
        <v>Product_C</v>
      </c>
      <c r="I654" s="4">
        <v>4283</v>
      </c>
      <c r="J654" s="4">
        <v>6</v>
      </c>
      <c r="K654" s="4">
        <v>0.15</v>
      </c>
      <c r="L654" s="4">
        <v>436</v>
      </c>
      <c r="M654" s="4" t="str">
        <v>COD</v>
      </c>
      <c r="N654" s="4">
        <v>21843.3</v>
      </c>
    </row>
    <row r="655" spans="1:14" x14ac:dyDescent="0.3">
      <c r="A655" s="4">
        <v>235</v>
      </c>
      <c r="B655" s="4">
        <v>45526</v>
      </c>
      <c r="C655" s="4">
        <v>1055</v>
      </c>
      <c r="D655" s="4" t="str">
        <v>Customer_97</v>
      </c>
      <c r="E655" s="4" t="str">
        <v>Corporate</v>
      </c>
      <c r="F655" s="4" t="str">
        <v>North</v>
      </c>
      <c r="G655" s="4" t="str">
        <v>Clothing</v>
      </c>
      <c r="H655" s="4" t="str">
        <v>Product_C</v>
      </c>
      <c r="I655" s="4">
        <v>4730</v>
      </c>
      <c r="J655" s="4">
        <v>8</v>
      </c>
      <c r="K655" s="4">
        <v>0.28000000000000003</v>
      </c>
      <c r="L655" s="4">
        <v>1356</v>
      </c>
      <c r="M655" s="4" t="str">
        <v>Card</v>
      </c>
      <c r="N655" s="4">
        <v>27244.799999999999</v>
      </c>
    </row>
    <row r="656" spans="1:14" x14ac:dyDescent="0.3">
      <c r="A656" s="4">
        <v>237</v>
      </c>
      <c r="B656" s="4">
        <v>45528</v>
      </c>
      <c r="C656" s="4">
        <v>1037</v>
      </c>
      <c r="D656" s="4" t="str">
        <v>Customer_40</v>
      </c>
      <c r="E656" s="4" t="str">
        <v>Corporate</v>
      </c>
      <c r="F656" s="4" t="str">
        <v>North</v>
      </c>
      <c r="G656" s="4" t="str">
        <v>Electronics</v>
      </c>
      <c r="H656" s="4" t="str">
        <v>Product_D</v>
      </c>
      <c r="I656" s="4">
        <v>1901</v>
      </c>
      <c r="J656" s="4">
        <v>8</v>
      </c>
      <c r="K656" s="4">
        <v>0.26</v>
      </c>
      <c r="L656" s="4">
        <v>1933</v>
      </c>
      <c r="M656" s="4" t="str">
        <v>UPI</v>
      </c>
      <c r="N656" s="4">
        <v>11253.92</v>
      </c>
    </row>
    <row r="657" spans="1:14" x14ac:dyDescent="0.3">
      <c r="A657" s="4">
        <v>238</v>
      </c>
      <c r="B657" s="4">
        <v>45529</v>
      </c>
      <c r="C657" s="4">
        <v>1049</v>
      </c>
      <c r="D657" s="4" t="str">
        <v>Customer_144</v>
      </c>
      <c r="E657" s="4" t="str">
        <v>Consumer</v>
      </c>
      <c r="F657" s="4" t="str">
        <v>South</v>
      </c>
      <c r="G657" s="4" t="str">
        <v>Electronics</v>
      </c>
      <c r="H657" s="4" t="str">
        <v>Product_A</v>
      </c>
      <c r="I657" s="4">
        <v>4270</v>
      </c>
      <c r="J657" s="4">
        <v>6</v>
      </c>
      <c r="K657" s="4">
        <v>0.05</v>
      </c>
      <c r="L657" s="4">
        <v>1845</v>
      </c>
      <c r="M657" s="4" t="str">
        <v>Card</v>
      </c>
      <c r="N657" s="4">
        <v>24339</v>
      </c>
    </row>
    <row r="658" spans="1:14" x14ac:dyDescent="0.3">
      <c r="A658" s="4">
        <v>239</v>
      </c>
      <c r="B658" s="4">
        <v>45530</v>
      </c>
      <c r="C658" s="4">
        <v>1087</v>
      </c>
      <c r="D658" s="4" t="str">
        <v>Customer_102</v>
      </c>
      <c r="E658" s="4" t="str">
        <v>Corporate</v>
      </c>
      <c r="F658" s="4" t="str">
        <v>North</v>
      </c>
      <c r="G658" s="4" t="str">
        <v>Furniture</v>
      </c>
      <c r="H658" s="4" t="str">
        <v>Product_B</v>
      </c>
      <c r="I658" s="4">
        <v>3460</v>
      </c>
      <c r="J658" s="4">
        <v>2</v>
      </c>
      <c r="K658" s="4">
        <v>0.16</v>
      </c>
      <c r="L658" s="4">
        <v>898</v>
      </c>
      <c r="M658" s="4" t="str">
        <v>UPI</v>
      </c>
      <c r="N658" s="4">
        <v>5812.8</v>
      </c>
    </row>
    <row r="659" spans="1:14" x14ac:dyDescent="0.3">
      <c r="A659" s="4">
        <v>240</v>
      </c>
      <c r="B659" s="4">
        <v>45531</v>
      </c>
      <c r="C659" s="4">
        <v>1085</v>
      </c>
      <c r="D659" s="4" t="str">
        <v>Customer_108</v>
      </c>
      <c r="E659" s="4" t="str">
        <v>Consumer</v>
      </c>
      <c r="F659" s="4" t="str">
        <v>East</v>
      </c>
      <c r="G659" s="4" t="str">
        <v>Furniture</v>
      </c>
      <c r="H659" s="4" t="str">
        <v>Product_C</v>
      </c>
      <c r="I659" s="4">
        <v>4062</v>
      </c>
      <c r="J659" s="4">
        <v>1</v>
      </c>
      <c r="K659" s="4">
        <v>0.18</v>
      </c>
      <c r="L659" s="4">
        <v>630</v>
      </c>
      <c r="M659" s="4" t="str">
        <v>Card</v>
      </c>
      <c r="N659" s="4">
        <v>3330.84</v>
      </c>
    </row>
    <row r="660" spans="1:14" x14ac:dyDescent="0.3">
      <c r="A660" s="4">
        <v>241</v>
      </c>
      <c r="B660" s="4">
        <v>45532</v>
      </c>
      <c r="C660" s="4">
        <v>1025</v>
      </c>
      <c r="D660" s="4" t="str">
        <v>Customer_34</v>
      </c>
      <c r="E660" s="4" t="str">
        <v>Corporate</v>
      </c>
      <c r="F660" s="4" t="str">
        <v>South</v>
      </c>
      <c r="G660" s="4" t="str">
        <v>Furniture</v>
      </c>
      <c r="H660" s="4" t="str">
        <v>Product_C</v>
      </c>
      <c r="I660" s="4">
        <v>3312</v>
      </c>
      <c r="J660" s="4">
        <v>6</v>
      </c>
      <c r="K660" s="4">
        <v>0.18</v>
      </c>
      <c r="L660" s="4">
        <v>1603</v>
      </c>
      <c r="M660" s="4" t="str">
        <v>UPI</v>
      </c>
      <c r="N660" s="4">
        <v>16295.04</v>
      </c>
    </row>
    <row r="661" spans="1:14" x14ac:dyDescent="0.3">
      <c r="A661" s="4">
        <v>242</v>
      </c>
      <c r="B661" s="4">
        <v>45533</v>
      </c>
      <c r="C661" s="4">
        <v>1017</v>
      </c>
      <c r="D661" s="4" t="str">
        <v>Customer_127</v>
      </c>
      <c r="E661" s="4" t="str">
        <v>Corporate</v>
      </c>
      <c r="F661" s="4" t="str">
        <v>South</v>
      </c>
      <c r="G661" s="4" t="str">
        <v>Electronics</v>
      </c>
      <c r="H661" s="4" t="str">
        <v>Product_B</v>
      </c>
      <c r="I661" s="4">
        <v>2687</v>
      </c>
      <c r="J661" s="4">
        <v>2</v>
      </c>
      <c r="K661" s="4">
        <v>0.15</v>
      </c>
      <c r="L661" s="4">
        <v>564</v>
      </c>
      <c r="M661" s="4" t="str">
        <v>UPI</v>
      </c>
      <c r="N661" s="4">
        <v>4567.8999999999996</v>
      </c>
    </row>
    <row r="662" spans="1:14" x14ac:dyDescent="0.3">
      <c r="A662" s="4">
        <v>243</v>
      </c>
      <c r="B662" s="4">
        <v>45534</v>
      </c>
      <c r="C662" s="4">
        <v>1058</v>
      </c>
      <c r="D662" s="4" t="str">
        <v>Customer_134</v>
      </c>
      <c r="E662" s="4" t="str">
        <v>Corporate</v>
      </c>
      <c r="F662" s="4" t="str">
        <v>North</v>
      </c>
      <c r="G662" s="4" t="str">
        <v>Furniture</v>
      </c>
      <c r="H662" s="4" t="str">
        <v>Product_B</v>
      </c>
      <c r="I662" s="4">
        <v>4904</v>
      </c>
      <c r="J662" s="4">
        <v>7</v>
      </c>
      <c r="K662" s="4">
        <v>0.23</v>
      </c>
      <c r="L662" s="4">
        <v>984</v>
      </c>
      <c r="M662" s="4" t="str">
        <v>Card</v>
      </c>
      <c r="N662" s="4">
        <v>26432.560000000001</v>
      </c>
    </row>
    <row r="663" spans="1:14" x14ac:dyDescent="0.3">
      <c r="A663" s="4">
        <v>244</v>
      </c>
      <c r="B663" s="4">
        <v>45535</v>
      </c>
      <c r="C663" s="4">
        <v>1066</v>
      </c>
      <c r="D663" s="4" t="str">
        <v>Customer_103</v>
      </c>
      <c r="E663" s="4" t="str">
        <v>Consumer</v>
      </c>
      <c r="F663" s="4" t="str">
        <v>North</v>
      </c>
      <c r="G663" s="4" t="str">
        <v>Electronics</v>
      </c>
      <c r="H663" s="4" t="str">
        <v>Product_D</v>
      </c>
      <c r="I663" s="4">
        <v>1799</v>
      </c>
      <c r="J663" s="4">
        <v>2</v>
      </c>
      <c r="K663" s="4">
        <v>0.05</v>
      </c>
      <c r="L663" s="4">
        <v>241</v>
      </c>
      <c r="M663" s="4" t="str">
        <v>Card</v>
      </c>
      <c r="N663" s="4">
        <v>3418.1</v>
      </c>
    </row>
    <row r="664" spans="1:14" x14ac:dyDescent="0.3">
      <c r="A664" s="4">
        <v>245</v>
      </c>
      <c r="B664" s="4">
        <v>45536</v>
      </c>
      <c r="C664" s="4">
        <v>1045</v>
      </c>
      <c r="D664" s="4" t="str">
        <v>Customer_87</v>
      </c>
      <c r="E664" s="4" t="str">
        <v>Consumer</v>
      </c>
      <c r="F664" s="4" t="str">
        <v>West</v>
      </c>
      <c r="G664" s="4" t="str">
        <v>Clothing</v>
      </c>
      <c r="H664" s="4" t="str">
        <v>Product_A</v>
      </c>
      <c r="I664" s="4">
        <v>247</v>
      </c>
      <c r="J664" s="4">
        <v>7</v>
      </c>
      <c r="K664" s="4">
        <v>0.02</v>
      </c>
      <c r="L664" s="4">
        <v>452</v>
      </c>
      <c r="M664" s="4" t="str">
        <v>UPI</v>
      </c>
      <c r="N664" s="4">
        <v>1694.42</v>
      </c>
    </row>
    <row r="665" spans="1:14" x14ac:dyDescent="0.3">
      <c r="A665" s="4">
        <v>246</v>
      </c>
      <c r="B665" s="4">
        <v>45537</v>
      </c>
      <c r="C665" s="4">
        <v>1010</v>
      </c>
      <c r="D665" s="4" t="str">
        <v>Customer_181</v>
      </c>
      <c r="E665" s="4" t="str">
        <v>Corporate</v>
      </c>
      <c r="F665" s="4" t="str">
        <v>East</v>
      </c>
      <c r="G665" s="4" t="str">
        <v>Furniture</v>
      </c>
      <c r="H665" s="4" t="str">
        <v>Product_C</v>
      </c>
      <c r="I665" s="4">
        <v>3111</v>
      </c>
      <c r="J665" s="4">
        <v>1</v>
      </c>
      <c r="K665" s="4">
        <v>0.04</v>
      </c>
      <c r="L665" s="4">
        <v>120</v>
      </c>
      <c r="M665" s="4" t="str">
        <v>Card</v>
      </c>
      <c r="N665" s="4">
        <v>2986.56</v>
      </c>
    </row>
    <row r="666" spans="1:14" x14ac:dyDescent="0.3">
      <c r="A666" s="4">
        <v>247</v>
      </c>
      <c r="B666" s="4">
        <v>45538</v>
      </c>
      <c r="C666" s="4">
        <v>1008</v>
      </c>
      <c r="D666" s="4" t="str">
        <v>Customer_114</v>
      </c>
      <c r="E666" s="4" t="str">
        <v>Corporate</v>
      </c>
      <c r="F666" s="4" t="str">
        <v>North</v>
      </c>
      <c r="G666" s="4" t="str">
        <v>Electronics</v>
      </c>
      <c r="H666" s="4" t="str">
        <v>Product_B</v>
      </c>
      <c r="I666" s="4">
        <v>1629</v>
      </c>
      <c r="J666" s="4">
        <v>6</v>
      </c>
      <c r="K666" s="4">
        <v>0.17</v>
      </c>
      <c r="L666" s="4">
        <v>1561</v>
      </c>
      <c r="M666" s="4" t="str">
        <v>UPI</v>
      </c>
      <c r="N666" s="4">
        <v>8112.4199999999901</v>
      </c>
    </row>
    <row r="667" spans="1:14" x14ac:dyDescent="0.3">
      <c r="A667" s="4">
        <v>248</v>
      </c>
      <c r="B667" s="4">
        <v>45539</v>
      </c>
      <c r="C667" s="4">
        <v>1096</v>
      </c>
      <c r="D667" s="4" t="str">
        <v>Customer_149</v>
      </c>
      <c r="E667" s="4" t="str">
        <v>Corporate</v>
      </c>
      <c r="F667" s="4" t="str">
        <v>East</v>
      </c>
      <c r="G667" s="4" t="str">
        <v>Electronics</v>
      </c>
      <c r="H667" s="4" t="str">
        <v>Product_A</v>
      </c>
      <c r="I667" s="4">
        <v>4607</v>
      </c>
      <c r="J667" s="4">
        <v>8</v>
      </c>
      <c r="K667" s="4">
        <v>7.0000000000000007E-2</v>
      </c>
      <c r="L667" s="4">
        <v>746</v>
      </c>
      <c r="M667" s="4" t="str">
        <v>UPI</v>
      </c>
      <c r="N667" s="4">
        <v>34276.0799999999</v>
      </c>
    </row>
    <row r="668" spans="1:14" x14ac:dyDescent="0.3">
      <c r="A668" s="4">
        <v>250</v>
      </c>
      <c r="B668" s="4">
        <v>45541</v>
      </c>
      <c r="C668" s="4">
        <v>1099</v>
      </c>
      <c r="D668" s="4" t="str">
        <v>Customer_157</v>
      </c>
      <c r="E668" s="4" t="str">
        <v>Corporate</v>
      </c>
      <c r="F668" s="4" t="str">
        <v>East</v>
      </c>
      <c r="G668" s="4" t="str">
        <v>Electronics</v>
      </c>
      <c r="H668" s="4" t="str">
        <v>Product_A</v>
      </c>
      <c r="I668" s="4">
        <v>4979</v>
      </c>
      <c r="J668" s="4">
        <v>2</v>
      </c>
      <c r="K668" s="4">
        <v>0.02</v>
      </c>
      <c r="L668" s="4">
        <v>1538</v>
      </c>
      <c r="M668" s="4" t="str">
        <v>COD</v>
      </c>
      <c r="N668" s="4">
        <v>9758.84</v>
      </c>
    </row>
    <row r="669" spans="1:14" x14ac:dyDescent="0.3">
      <c r="A669" s="4">
        <v>251</v>
      </c>
      <c r="B669" s="4">
        <v>45542</v>
      </c>
      <c r="C669" s="4">
        <v>1067</v>
      </c>
      <c r="D669" s="4" t="str">
        <v>Customer_2</v>
      </c>
      <c r="E669" s="4" t="str">
        <v>Consumer</v>
      </c>
      <c r="F669" s="4" t="str">
        <v>South</v>
      </c>
      <c r="G669" s="4" t="str">
        <v>Furniture</v>
      </c>
      <c r="H669" s="4" t="str">
        <v>Product_A</v>
      </c>
      <c r="I669" s="4">
        <v>586</v>
      </c>
      <c r="J669" s="4">
        <v>9</v>
      </c>
      <c r="K669" s="4">
        <v>0.27</v>
      </c>
      <c r="L669" s="4">
        <v>781</v>
      </c>
      <c r="M669" s="4" t="str">
        <v>COD</v>
      </c>
      <c r="N669" s="4">
        <v>3850.02</v>
      </c>
    </row>
    <row r="670" spans="1:14" x14ac:dyDescent="0.3">
      <c r="A670" s="4">
        <v>252</v>
      </c>
      <c r="B670" s="4">
        <v>45543</v>
      </c>
      <c r="C670" s="4">
        <v>1065</v>
      </c>
      <c r="D670" s="4" t="str">
        <v>Customer_97</v>
      </c>
      <c r="E670" s="4" t="str">
        <v>Consumer</v>
      </c>
      <c r="F670" s="4" t="str">
        <v>West</v>
      </c>
      <c r="G670" s="4" t="str">
        <v>Furniture</v>
      </c>
      <c r="H670" s="4" t="str">
        <v>Product_C</v>
      </c>
      <c r="I670" s="4">
        <v>1335</v>
      </c>
      <c r="J670" s="4">
        <v>6</v>
      </c>
      <c r="K670" s="4">
        <v>0.28999999999999998</v>
      </c>
      <c r="L670" s="4">
        <v>598</v>
      </c>
      <c r="M670" s="4" t="str">
        <v>Card</v>
      </c>
      <c r="N670" s="4">
        <v>5687.0999999999904</v>
      </c>
    </row>
    <row r="671" spans="1:14" x14ac:dyDescent="0.3">
      <c r="A671" s="4">
        <v>253</v>
      </c>
      <c r="B671" s="4">
        <v>45544</v>
      </c>
      <c r="C671" s="4">
        <v>1007</v>
      </c>
      <c r="D671" s="4" t="str">
        <v>Customer_26</v>
      </c>
      <c r="E671" s="4" t="str">
        <v>Consumer</v>
      </c>
      <c r="F671" s="4" t="str">
        <v>South</v>
      </c>
      <c r="G671" s="4" t="str">
        <v>Electronics</v>
      </c>
      <c r="H671" s="4" t="str">
        <v>Product_A</v>
      </c>
      <c r="I671" s="4">
        <v>2947</v>
      </c>
      <c r="J671" s="4">
        <v>2</v>
      </c>
      <c r="K671" s="4">
        <v>0.24</v>
      </c>
      <c r="L671" s="4">
        <v>48</v>
      </c>
      <c r="M671" s="4" t="str">
        <v>COD</v>
      </c>
      <c r="N671" s="4">
        <v>4479.4399999999996</v>
      </c>
    </row>
    <row r="672" spans="1:14" x14ac:dyDescent="0.3">
      <c r="A672" s="4">
        <v>254</v>
      </c>
      <c r="B672" s="4">
        <v>45545</v>
      </c>
      <c r="C672" s="4">
        <v>1070</v>
      </c>
      <c r="D672" s="4" t="str">
        <v>Customer_44</v>
      </c>
      <c r="E672" s="4" t="str">
        <v>Corporate</v>
      </c>
      <c r="F672" s="4" t="str">
        <v>East</v>
      </c>
      <c r="G672" s="4" t="str">
        <v>Electronics</v>
      </c>
      <c r="H672" s="4" t="str">
        <v>Product_C</v>
      </c>
      <c r="I672" s="4">
        <v>1121</v>
      </c>
      <c r="J672" s="4">
        <v>5</v>
      </c>
      <c r="K672" s="4">
        <v>0.26</v>
      </c>
      <c r="L672" s="4">
        <v>1771</v>
      </c>
      <c r="M672" s="4" t="str">
        <v>COD</v>
      </c>
      <c r="N672" s="4">
        <v>4147.7</v>
      </c>
    </row>
    <row r="673" spans="1:14" x14ac:dyDescent="0.3">
      <c r="A673" s="4">
        <v>256</v>
      </c>
      <c r="B673" s="4">
        <v>45547</v>
      </c>
      <c r="C673" s="4">
        <v>1097</v>
      </c>
      <c r="D673" s="4" t="str">
        <v>Customer_98</v>
      </c>
      <c r="E673" s="4" t="str">
        <v>Corporate</v>
      </c>
      <c r="F673" s="4" t="str">
        <v>South</v>
      </c>
      <c r="G673" s="4" t="str">
        <v>Clothing</v>
      </c>
      <c r="H673" s="4" t="str">
        <v>Product_C</v>
      </c>
      <c r="I673" s="4">
        <v>3265</v>
      </c>
      <c r="J673" s="4">
        <v>3</v>
      </c>
      <c r="K673" s="4">
        <v>0.05</v>
      </c>
      <c r="L673" s="4">
        <v>1937</v>
      </c>
      <c r="M673" s="4" t="str">
        <v>Card</v>
      </c>
      <c r="N673" s="4">
        <v>9305.25</v>
      </c>
    </row>
    <row r="674" spans="1:14" x14ac:dyDescent="0.3">
      <c r="A674" s="4">
        <v>257</v>
      </c>
      <c r="B674" s="4">
        <v>45548</v>
      </c>
      <c r="C674" s="4">
        <v>1039</v>
      </c>
      <c r="D674" s="4" t="str">
        <v>Customer_30</v>
      </c>
      <c r="E674" s="4" t="str">
        <v>Corporate</v>
      </c>
      <c r="F674" s="4" t="str">
        <v>West</v>
      </c>
      <c r="G674" s="4" t="str">
        <v>Furniture</v>
      </c>
      <c r="H674" s="4" t="str">
        <v>Product_A</v>
      </c>
      <c r="I674" s="4">
        <v>3199</v>
      </c>
      <c r="J674" s="4">
        <v>1</v>
      </c>
      <c r="K674" s="4">
        <v>0.06</v>
      </c>
      <c r="L674" s="4">
        <v>1657</v>
      </c>
      <c r="M674" s="4" t="str">
        <v>Card</v>
      </c>
      <c r="N674" s="4">
        <v>3007.06</v>
      </c>
    </row>
    <row r="675" spans="1:14" x14ac:dyDescent="0.3">
      <c r="A675" s="4">
        <v>258</v>
      </c>
      <c r="B675" s="4">
        <v>45549</v>
      </c>
      <c r="C675" s="4">
        <v>1082</v>
      </c>
      <c r="D675" s="4" t="str">
        <v>Customer_108</v>
      </c>
      <c r="E675" s="4" t="str">
        <v>Corporate</v>
      </c>
      <c r="F675" s="4" t="str">
        <v>South</v>
      </c>
      <c r="G675" s="4" t="str">
        <v>Electronics</v>
      </c>
      <c r="H675" s="4" t="str">
        <v>Product_B</v>
      </c>
      <c r="I675" s="4">
        <v>316</v>
      </c>
      <c r="J675" s="4">
        <v>5</v>
      </c>
      <c r="K675" s="4">
        <v>0.15</v>
      </c>
      <c r="L675" s="4">
        <v>897</v>
      </c>
      <c r="M675" s="4" t="str">
        <v>UPI</v>
      </c>
      <c r="N675" s="4">
        <v>1343</v>
      </c>
    </row>
    <row r="676" spans="1:14" x14ac:dyDescent="0.3">
      <c r="A676" s="4">
        <v>260</v>
      </c>
      <c r="B676" s="4">
        <v>45551</v>
      </c>
      <c r="C676" s="4">
        <v>1038</v>
      </c>
      <c r="D676" s="4" t="str">
        <v>Customer_48</v>
      </c>
      <c r="E676" s="4" t="str">
        <v>Corporate</v>
      </c>
      <c r="F676" s="4" t="str">
        <v>West</v>
      </c>
      <c r="G676" s="4" t="str">
        <v>Clothing</v>
      </c>
      <c r="H676" s="4" t="str">
        <v>Product_C</v>
      </c>
      <c r="I676" s="4">
        <v>2805</v>
      </c>
      <c r="J676" s="4">
        <v>7</v>
      </c>
      <c r="K676" s="4">
        <v>0.17</v>
      </c>
      <c r="L676" s="4">
        <v>1777</v>
      </c>
      <c r="M676" s="4" t="str">
        <v>Card</v>
      </c>
      <c r="N676" s="4">
        <v>16297.05</v>
      </c>
    </row>
    <row r="677" spans="1:14" x14ac:dyDescent="0.3">
      <c r="A677" s="4">
        <v>261</v>
      </c>
      <c r="B677" s="4">
        <v>45552</v>
      </c>
      <c r="C677" s="4">
        <v>1005</v>
      </c>
      <c r="D677" s="4" t="str">
        <v>Customer_183</v>
      </c>
      <c r="E677" s="4" t="str">
        <v>Corporate</v>
      </c>
      <c r="F677" s="4" t="str">
        <v>South</v>
      </c>
      <c r="G677" s="4" t="str">
        <v>Clothing</v>
      </c>
      <c r="H677" s="4" t="str">
        <v>Product_B</v>
      </c>
      <c r="I677" s="4">
        <v>1983</v>
      </c>
      <c r="J677" s="4">
        <v>6</v>
      </c>
      <c r="K677" s="4">
        <v>0.03</v>
      </c>
      <c r="L677" s="4">
        <v>722</v>
      </c>
      <c r="M677" s="4" t="str">
        <v>UPI</v>
      </c>
      <c r="N677" s="4">
        <v>11541.06</v>
      </c>
    </row>
    <row r="678" spans="1:14" x14ac:dyDescent="0.3">
      <c r="A678" s="4">
        <v>262</v>
      </c>
      <c r="B678" s="4">
        <v>45553</v>
      </c>
      <c r="C678" s="4">
        <v>1009</v>
      </c>
      <c r="D678" s="4" t="str">
        <v>Customer_127</v>
      </c>
      <c r="E678" s="4" t="str">
        <v>Corporate</v>
      </c>
      <c r="F678" s="4" t="str">
        <v>East</v>
      </c>
      <c r="G678" s="4" t="str">
        <v>Furniture</v>
      </c>
      <c r="H678" s="4" t="str">
        <v>Product_C</v>
      </c>
      <c r="I678" s="4">
        <v>1606</v>
      </c>
      <c r="J678" s="4">
        <v>1</v>
      </c>
      <c r="K678" s="4">
        <v>0.22</v>
      </c>
      <c r="L678" s="4">
        <v>1195</v>
      </c>
      <c r="M678" s="4" t="str">
        <v>COD</v>
      </c>
      <c r="N678" s="4">
        <v>1252.68</v>
      </c>
    </row>
    <row r="679" spans="1:14" x14ac:dyDescent="0.3">
      <c r="A679" s="4">
        <v>265</v>
      </c>
      <c r="B679" s="4">
        <v>45556</v>
      </c>
      <c r="C679" s="4">
        <v>1087</v>
      </c>
      <c r="D679" s="4" t="str">
        <v>Customer_64</v>
      </c>
      <c r="E679" s="4" t="str">
        <v>Corporate</v>
      </c>
      <c r="F679" s="4" t="str">
        <v>West</v>
      </c>
      <c r="G679" s="4" t="str">
        <v>Furniture</v>
      </c>
      <c r="H679" s="4" t="str">
        <v>Product_B</v>
      </c>
      <c r="I679" s="4">
        <v>1811</v>
      </c>
      <c r="J679" s="4">
        <v>2</v>
      </c>
      <c r="K679" s="4">
        <v>0.14000000000000001</v>
      </c>
      <c r="L679" s="4">
        <v>1730</v>
      </c>
      <c r="M679" s="4" t="str">
        <v>UPI</v>
      </c>
      <c r="N679" s="4">
        <v>3114.92</v>
      </c>
    </row>
    <row r="680" spans="1:14" x14ac:dyDescent="0.3">
      <c r="A680" s="4">
        <v>266</v>
      </c>
      <c r="B680" s="4">
        <v>45557</v>
      </c>
      <c r="C680" s="4">
        <v>1021</v>
      </c>
      <c r="D680" s="4" t="str">
        <v>Customer_72</v>
      </c>
      <c r="E680" s="4" t="str">
        <v>Corporate</v>
      </c>
      <c r="F680" s="4" t="str">
        <v>West</v>
      </c>
      <c r="G680" s="4" t="str">
        <v>Electronics</v>
      </c>
      <c r="H680" s="4" t="str">
        <v>Product_A</v>
      </c>
      <c r="I680" s="4">
        <v>1107</v>
      </c>
      <c r="J680" s="4">
        <v>9</v>
      </c>
      <c r="K680" s="4">
        <v>0.13</v>
      </c>
      <c r="L680" s="4">
        <v>655</v>
      </c>
      <c r="M680" s="4" t="str">
        <v>Card</v>
      </c>
      <c r="N680" s="4">
        <v>8667.81</v>
      </c>
    </row>
    <row r="681" spans="1:14" x14ac:dyDescent="0.3">
      <c r="A681" s="4">
        <v>267</v>
      </c>
      <c r="B681" s="4">
        <v>45558</v>
      </c>
      <c r="C681" s="4">
        <v>1089</v>
      </c>
      <c r="D681" s="4" t="str">
        <v>Customer_142</v>
      </c>
      <c r="E681" s="4" t="str">
        <v>Consumer</v>
      </c>
      <c r="F681" s="4" t="str">
        <v>South</v>
      </c>
      <c r="G681" s="4" t="str">
        <v>Electronics</v>
      </c>
      <c r="H681" s="4" t="str">
        <v>Product_D</v>
      </c>
      <c r="I681" s="4">
        <v>2696</v>
      </c>
      <c r="J681" s="4">
        <v>9</v>
      </c>
      <c r="K681" s="4">
        <v>0.02</v>
      </c>
      <c r="L681" s="4">
        <v>445</v>
      </c>
      <c r="M681" s="4" t="str">
        <v>Card</v>
      </c>
      <c r="N681" s="4">
        <v>23778.720000000001</v>
      </c>
    </row>
    <row r="682" spans="1:14" x14ac:dyDescent="0.3">
      <c r="A682" s="4">
        <v>268</v>
      </c>
      <c r="B682" s="4">
        <v>45559</v>
      </c>
      <c r="C682" s="4">
        <v>1050</v>
      </c>
      <c r="D682" s="4" t="str">
        <v>Customer_124</v>
      </c>
      <c r="E682" s="4" t="str">
        <v>Corporate</v>
      </c>
      <c r="F682" s="4" t="str">
        <v>West</v>
      </c>
      <c r="G682" s="4" t="str">
        <v>Furniture</v>
      </c>
      <c r="H682" s="4" t="str">
        <v>Product_B</v>
      </c>
      <c r="I682" s="4">
        <v>3486</v>
      </c>
      <c r="J682" s="4">
        <v>4</v>
      </c>
      <c r="K682" s="4">
        <v>0.05</v>
      </c>
      <c r="L682" s="4">
        <v>1943</v>
      </c>
      <c r="M682" s="4" t="str">
        <v>COD</v>
      </c>
      <c r="N682" s="4">
        <v>13246.8</v>
      </c>
    </row>
    <row r="683" spans="1:14" x14ac:dyDescent="0.3">
      <c r="A683" s="4">
        <v>269</v>
      </c>
      <c r="B683" s="4">
        <v>45560</v>
      </c>
      <c r="C683" s="4">
        <v>1036</v>
      </c>
      <c r="D683" s="4" t="str">
        <v>Customer_110</v>
      </c>
      <c r="E683" s="4" t="str">
        <v>Corporate</v>
      </c>
      <c r="F683" s="4" t="str">
        <v>West</v>
      </c>
      <c r="G683" s="4" t="str">
        <v>Electronics</v>
      </c>
      <c r="H683" s="4" t="str">
        <v>Product_A</v>
      </c>
      <c r="I683" s="4">
        <v>1882</v>
      </c>
      <c r="J683" s="4">
        <v>3</v>
      </c>
      <c r="K683" s="4">
        <v>0.24</v>
      </c>
      <c r="L683" s="4">
        <v>1096</v>
      </c>
      <c r="M683" s="4" t="str">
        <v>COD</v>
      </c>
      <c r="N683" s="4">
        <v>4290.96</v>
      </c>
    </row>
    <row r="684" spans="1:14" x14ac:dyDescent="0.3">
      <c r="A684" s="4">
        <v>270</v>
      </c>
      <c r="B684" s="4">
        <v>45561</v>
      </c>
      <c r="C684" s="4">
        <v>1044</v>
      </c>
      <c r="D684" s="4" t="str">
        <v>Customer_78</v>
      </c>
      <c r="E684" s="4" t="str">
        <v>Corporate</v>
      </c>
      <c r="F684" s="4" t="str">
        <v>North</v>
      </c>
      <c r="G684" s="4" t="str">
        <v>Furniture</v>
      </c>
      <c r="H684" s="4" t="str">
        <v>Product_C</v>
      </c>
      <c r="I684" s="4">
        <v>4244</v>
      </c>
      <c r="J684" s="4">
        <v>8</v>
      </c>
      <c r="K684" s="4">
        <v>0.18</v>
      </c>
      <c r="L684" s="4">
        <v>1997</v>
      </c>
      <c r="M684" s="4" t="str">
        <v>UPI</v>
      </c>
      <c r="N684" s="4">
        <v>27840.639999999999</v>
      </c>
    </row>
    <row r="685" spans="1:14" x14ac:dyDescent="0.3">
      <c r="A685" s="4">
        <v>271</v>
      </c>
      <c r="B685" s="4">
        <v>45562</v>
      </c>
      <c r="C685" s="4">
        <v>1092</v>
      </c>
      <c r="D685" s="4" t="str">
        <v>Customer_2</v>
      </c>
      <c r="E685" s="4" t="str">
        <v>Consumer</v>
      </c>
      <c r="F685" s="4" t="str">
        <v>East</v>
      </c>
      <c r="G685" s="4" t="str">
        <v>Clothing</v>
      </c>
      <c r="H685" s="4" t="str">
        <v>Product_D</v>
      </c>
      <c r="I685" s="4">
        <v>2461</v>
      </c>
      <c r="J685" s="4">
        <v>4</v>
      </c>
      <c r="K685" s="4">
        <v>7.0000000000000007E-2</v>
      </c>
      <c r="L685" s="4">
        <v>1327</v>
      </c>
      <c r="M685" s="4" t="str">
        <v>Card</v>
      </c>
      <c r="N685" s="4">
        <v>9154.92</v>
      </c>
    </row>
    <row r="686" spans="1:14" x14ac:dyDescent="0.3">
      <c r="A686" s="4">
        <v>272</v>
      </c>
      <c r="B686" s="4">
        <v>45563</v>
      </c>
      <c r="C686" s="4">
        <v>1099</v>
      </c>
      <c r="D686" s="4" t="str">
        <v>Customer_122</v>
      </c>
      <c r="E686" s="4" t="str">
        <v>Corporate</v>
      </c>
      <c r="F686" s="4" t="str">
        <v>South</v>
      </c>
      <c r="G686" s="4" t="str">
        <v>Electronics</v>
      </c>
      <c r="H686" s="4" t="str">
        <v>Product_B</v>
      </c>
      <c r="I686" s="4">
        <v>4549</v>
      </c>
      <c r="J686" s="4">
        <v>3</v>
      </c>
      <c r="K686" s="4">
        <v>0.14000000000000001</v>
      </c>
      <c r="L686" s="4">
        <v>1353</v>
      </c>
      <c r="M686" s="4" t="str">
        <v>COD</v>
      </c>
      <c r="N686" s="4">
        <v>11736.42</v>
      </c>
    </row>
    <row r="687" spans="1:14" x14ac:dyDescent="0.3">
      <c r="A687" s="4">
        <v>273</v>
      </c>
      <c r="B687" s="4">
        <v>45564</v>
      </c>
      <c r="C687" s="4">
        <v>1083</v>
      </c>
      <c r="D687" s="4" t="str">
        <v>Customer_4</v>
      </c>
      <c r="E687" s="4" t="str">
        <v>Corporate</v>
      </c>
      <c r="F687" s="4" t="str">
        <v>South</v>
      </c>
      <c r="G687" s="4" t="str">
        <v>Furniture</v>
      </c>
      <c r="H687" s="4" t="str">
        <v>Product_D</v>
      </c>
      <c r="I687" s="4">
        <v>1134</v>
      </c>
      <c r="J687" s="4">
        <v>3</v>
      </c>
      <c r="K687" s="4">
        <v>0.26</v>
      </c>
      <c r="L687" s="4">
        <v>1911</v>
      </c>
      <c r="M687" s="4" t="str">
        <v>UPI</v>
      </c>
      <c r="N687" s="4">
        <v>2517.48</v>
      </c>
    </row>
    <row r="688" spans="1:14" x14ac:dyDescent="0.3">
      <c r="A688" s="4">
        <v>275</v>
      </c>
      <c r="B688" s="4">
        <v>45566</v>
      </c>
      <c r="C688" s="4">
        <v>1061</v>
      </c>
      <c r="D688" s="4" t="str">
        <v>Customer_9</v>
      </c>
      <c r="E688" s="4" t="str">
        <v>Consumer</v>
      </c>
      <c r="F688" s="4" t="str">
        <v>North</v>
      </c>
      <c r="G688" s="4" t="str">
        <v>Electronics</v>
      </c>
      <c r="H688" s="4" t="str">
        <v>Product_C</v>
      </c>
      <c r="I688" s="4">
        <v>3876</v>
      </c>
      <c r="J688" s="4">
        <v>1</v>
      </c>
      <c r="K688" s="4">
        <v>0.28999999999999998</v>
      </c>
      <c r="L688" s="4">
        <v>71</v>
      </c>
      <c r="M688" s="4" t="str">
        <v>UPI</v>
      </c>
      <c r="N688" s="4">
        <v>2751.96</v>
      </c>
    </row>
    <row r="689" spans="1:14" x14ac:dyDescent="0.3">
      <c r="A689" s="4">
        <v>276</v>
      </c>
      <c r="B689" s="4">
        <v>45567</v>
      </c>
      <c r="C689" s="4">
        <v>1014</v>
      </c>
      <c r="D689" s="4" t="str">
        <v>Customer_16</v>
      </c>
      <c r="E689" s="4" t="str">
        <v>Corporate</v>
      </c>
      <c r="F689" s="4" t="str">
        <v>West</v>
      </c>
      <c r="G689" s="4" t="str">
        <v>Furniture</v>
      </c>
      <c r="H689" s="4" t="str">
        <v>Product_B</v>
      </c>
      <c r="I689" s="4">
        <v>4808</v>
      </c>
      <c r="J689" s="4">
        <v>5</v>
      </c>
      <c r="K689" s="4">
        <v>0.04</v>
      </c>
      <c r="L689" s="4">
        <v>860</v>
      </c>
      <c r="M689" s="4" t="str">
        <v>COD</v>
      </c>
      <c r="N689" s="4">
        <v>23078.3999999999</v>
      </c>
    </row>
    <row r="690" spans="1:14" x14ac:dyDescent="0.3">
      <c r="A690" s="4">
        <v>277</v>
      </c>
      <c r="B690" s="4">
        <v>45568</v>
      </c>
      <c r="C690" s="4">
        <v>1078</v>
      </c>
      <c r="D690" s="4" t="str">
        <v>Customer_96</v>
      </c>
      <c r="E690" s="4" t="str">
        <v>Consumer</v>
      </c>
      <c r="F690" s="4" t="str">
        <v>South</v>
      </c>
      <c r="G690" s="4" t="str">
        <v>Furniture</v>
      </c>
      <c r="H690" s="4" t="str">
        <v>Product_B</v>
      </c>
      <c r="I690" s="4">
        <v>1839</v>
      </c>
      <c r="J690" s="4">
        <v>2</v>
      </c>
      <c r="K690" s="4">
        <v>0.09</v>
      </c>
      <c r="L690" s="4">
        <v>1136</v>
      </c>
      <c r="M690" s="4" t="str">
        <v>COD</v>
      </c>
      <c r="N690" s="4">
        <v>3346.98</v>
      </c>
    </row>
    <row r="691" spans="1:14" x14ac:dyDescent="0.3">
      <c r="A691" s="4">
        <v>279</v>
      </c>
      <c r="B691" s="4">
        <v>45570</v>
      </c>
      <c r="C691" s="4">
        <v>1062</v>
      </c>
      <c r="D691" s="4" t="str">
        <v>Customer_27</v>
      </c>
      <c r="E691" s="4" t="str">
        <v>Corporate</v>
      </c>
      <c r="F691" s="4" t="str">
        <v>North</v>
      </c>
      <c r="G691" s="4" t="str">
        <v>Electronics</v>
      </c>
      <c r="H691" s="4" t="str">
        <v>Product_B</v>
      </c>
      <c r="I691" s="4">
        <v>592</v>
      </c>
      <c r="J691" s="4">
        <v>4</v>
      </c>
      <c r="K691" s="4">
        <v>0.14000000000000001</v>
      </c>
      <c r="L691" s="4">
        <v>549</v>
      </c>
      <c r="M691" s="4" t="str">
        <v>COD</v>
      </c>
      <c r="N691" s="4">
        <v>2036.48</v>
      </c>
    </row>
    <row r="692" spans="1:14" x14ac:dyDescent="0.3">
      <c r="A692" s="4">
        <v>281</v>
      </c>
      <c r="B692" s="4">
        <v>45572</v>
      </c>
      <c r="C692" s="4">
        <v>1080</v>
      </c>
      <c r="D692" s="4" t="str">
        <v>Customer_68</v>
      </c>
      <c r="E692" s="4" t="str">
        <v>Consumer</v>
      </c>
      <c r="F692" s="4" t="str">
        <v>North</v>
      </c>
      <c r="G692" s="4" t="str">
        <v>Furniture</v>
      </c>
      <c r="H692" s="4" t="str">
        <v>Product_D</v>
      </c>
      <c r="I692" s="4">
        <v>2216</v>
      </c>
      <c r="J692" s="4">
        <v>8</v>
      </c>
      <c r="K692" s="4">
        <v>0.3</v>
      </c>
      <c r="L692" s="4">
        <v>618</v>
      </c>
      <c r="M692" s="4" t="str">
        <v>COD</v>
      </c>
      <c r="N692" s="4">
        <v>12409.5999999999</v>
      </c>
    </row>
    <row r="693" spans="1:14" x14ac:dyDescent="0.3">
      <c r="A693" s="4">
        <v>282</v>
      </c>
      <c r="B693" s="4">
        <v>45573</v>
      </c>
      <c r="C693" s="4">
        <v>1024</v>
      </c>
      <c r="D693" s="4" t="str">
        <v>Customer_25</v>
      </c>
      <c r="E693" s="4" t="str">
        <v>Consumer</v>
      </c>
      <c r="F693" s="4" t="str">
        <v>North</v>
      </c>
      <c r="G693" s="4" t="str">
        <v>Furniture</v>
      </c>
      <c r="H693" s="4" t="str">
        <v>Product_A</v>
      </c>
      <c r="I693" s="4">
        <v>2168</v>
      </c>
      <c r="J693" s="4">
        <v>8</v>
      </c>
      <c r="K693" s="4">
        <v>0</v>
      </c>
      <c r="L693" s="4">
        <v>853</v>
      </c>
      <c r="M693" s="4" t="str">
        <v>Card</v>
      </c>
      <c r="N693" s="4">
        <v>17344</v>
      </c>
    </row>
    <row r="694" spans="1:14" x14ac:dyDescent="0.3">
      <c r="A694" s="4">
        <v>283</v>
      </c>
      <c r="B694" s="4">
        <v>45574</v>
      </c>
      <c r="C694" s="4">
        <v>1015</v>
      </c>
      <c r="D694" s="4" t="str">
        <v>Customer_15</v>
      </c>
      <c r="E694" s="4" t="str">
        <v>Consumer</v>
      </c>
      <c r="F694" s="4" t="str">
        <v>West</v>
      </c>
      <c r="G694" s="4" t="str">
        <v>Clothing</v>
      </c>
      <c r="H694" s="4" t="str">
        <v>Product_D</v>
      </c>
      <c r="I694" s="4">
        <v>1828</v>
      </c>
      <c r="J694" s="4">
        <v>1</v>
      </c>
      <c r="K694" s="4">
        <v>0.1</v>
      </c>
      <c r="L694" s="4">
        <v>892</v>
      </c>
      <c r="M694" s="4" t="str">
        <v>COD</v>
      </c>
      <c r="N694" s="4">
        <v>1645.2</v>
      </c>
    </row>
    <row r="695" spans="1:14" x14ac:dyDescent="0.3">
      <c r="A695" s="4">
        <v>286</v>
      </c>
      <c r="B695" s="4">
        <v>45577</v>
      </c>
      <c r="C695" s="4">
        <v>1084</v>
      </c>
      <c r="D695" s="4" t="str">
        <v>Customer_152</v>
      </c>
      <c r="E695" s="4" t="str">
        <v>Corporate</v>
      </c>
      <c r="F695" s="4" t="str">
        <v>South</v>
      </c>
      <c r="G695" s="4" t="str">
        <v>Electronics</v>
      </c>
      <c r="H695" s="4" t="str">
        <v>Product_C</v>
      </c>
      <c r="I695" s="4">
        <v>3612</v>
      </c>
      <c r="J695" s="4">
        <v>9</v>
      </c>
      <c r="K695" s="4">
        <v>0.14000000000000001</v>
      </c>
      <c r="L695" s="4">
        <v>74</v>
      </c>
      <c r="M695" s="4" t="str">
        <v>COD</v>
      </c>
      <c r="N695" s="4">
        <v>27956.880000000001</v>
      </c>
    </row>
    <row r="696" spans="1:14" x14ac:dyDescent="0.3">
      <c r="A696" s="4">
        <v>288</v>
      </c>
      <c r="B696" s="4">
        <v>45579</v>
      </c>
      <c r="C696" s="4">
        <v>1004</v>
      </c>
      <c r="D696" s="4" t="str">
        <v>Customer_112</v>
      </c>
      <c r="E696" s="4" t="str">
        <v>Corporate</v>
      </c>
      <c r="F696" s="4" t="str">
        <v>South</v>
      </c>
      <c r="G696" s="4" t="str">
        <v>Electronics</v>
      </c>
      <c r="H696" s="4" t="str">
        <v>Product_A</v>
      </c>
      <c r="I696" s="4">
        <v>2607</v>
      </c>
      <c r="J696" s="4">
        <v>7</v>
      </c>
      <c r="K696" s="4">
        <v>0.03</v>
      </c>
      <c r="L696" s="4">
        <v>431</v>
      </c>
      <c r="M696" s="4" t="str">
        <v>UPI</v>
      </c>
      <c r="N696" s="4">
        <v>17701.53</v>
      </c>
    </row>
    <row r="697" spans="1:14" x14ac:dyDescent="0.3">
      <c r="A697" s="4">
        <v>289</v>
      </c>
      <c r="B697" s="4">
        <v>45580</v>
      </c>
      <c r="C697" s="4">
        <v>1021</v>
      </c>
      <c r="D697" s="4" t="str">
        <v>Customer_169</v>
      </c>
      <c r="E697" s="4" t="str">
        <v>Consumer</v>
      </c>
      <c r="F697" s="4" t="str">
        <v>South</v>
      </c>
      <c r="G697" s="4" t="str">
        <v>Furniture</v>
      </c>
      <c r="H697" s="4" t="str">
        <v>Product_C</v>
      </c>
      <c r="I697" s="4">
        <v>3261</v>
      </c>
      <c r="J697" s="4">
        <v>2</v>
      </c>
      <c r="K697" s="4">
        <v>0.19</v>
      </c>
      <c r="L697" s="4">
        <v>1891</v>
      </c>
      <c r="M697" s="4" t="str">
        <v>COD</v>
      </c>
      <c r="N697" s="4">
        <v>5282.82</v>
      </c>
    </row>
    <row r="698" spans="1:14" x14ac:dyDescent="0.3">
      <c r="A698" s="4">
        <v>290</v>
      </c>
      <c r="B698" s="4">
        <v>45581</v>
      </c>
      <c r="C698" s="4">
        <v>1032</v>
      </c>
      <c r="D698" s="4" t="str">
        <v>Customer_60</v>
      </c>
      <c r="E698" s="4" t="str">
        <v>Corporate</v>
      </c>
      <c r="F698" s="4" t="str">
        <v>West</v>
      </c>
      <c r="G698" s="4" t="str">
        <v>Furniture</v>
      </c>
      <c r="H698" s="4" t="str">
        <v>Product_D</v>
      </c>
      <c r="I698" s="4">
        <v>3495</v>
      </c>
      <c r="J698" s="4">
        <v>2</v>
      </c>
      <c r="K698" s="4">
        <v>0.25</v>
      </c>
      <c r="L698" s="4">
        <v>1055</v>
      </c>
      <c r="M698" s="4" t="str">
        <v>UPI</v>
      </c>
      <c r="N698" s="4">
        <v>5242.5</v>
      </c>
    </row>
    <row r="699" spans="1:14" x14ac:dyDescent="0.3">
      <c r="A699" s="4">
        <v>291</v>
      </c>
      <c r="B699" s="4">
        <v>45582</v>
      </c>
      <c r="C699" s="4">
        <v>1039</v>
      </c>
      <c r="D699" s="4" t="str">
        <v>Customer_31</v>
      </c>
      <c r="E699" s="4" t="str">
        <v>Consumer</v>
      </c>
      <c r="F699" s="4" t="str">
        <v>West</v>
      </c>
      <c r="G699" s="4" t="str">
        <v>Furniture</v>
      </c>
      <c r="H699" s="4" t="str">
        <v>Product_D</v>
      </c>
      <c r="I699" s="4">
        <v>3159</v>
      </c>
      <c r="J699" s="4">
        <v>1</v>
      </c>
      <c r="K699" s="4">
        <v>0.16</v>
      </c>
      <c r="L699" s="4">
        <v>528</v>
      </c>
      <c r="M699" s="4" t="str">
        <v>COD</v>
      </c>
      <c r="N699" s="4">
        <v>2653.56</v>
      </c>
    </row>
    <row r="700" spans="1:14" x14ac:dyDescent="0.3">
      <c r="A700" s="4">
        <v>292</v>
      </c>
      <c r="B700" s="4">
        <v>45583</v>
      </c>
      <c r="C700" s="4">
        <v>1001</v>
      </c>
      <c r="D700" s="4" t="str">
        <v>Customer_149</v>
      </c>
      <c r="E700" s="4" t="str">
        <v>Corporate</v>
      </c>
      <c r="F700" s="4" t="str">
        <v>South</v>
      </c>
      <c r="G700" s="4" t="str">
        <v>Furniture</v>
      </c>
      <c r="H700" s="4" t="str">
        <v>Product_C</v>
      </c>
      <c r="I700" s="4">
        <v>2792</v>
      </c>
      <c r="J700" s="4">
        <v>1</v>
      </c>
      <c r="K700" s="4">
        <v>0.04</v>
      </c>
      <c r="L700" s="4">
        <v>1424</v>
      </c>
      <c r="M700" s="4" t="str">
        <v>Card</v>
      </c>
      <c r="N700" s="4">
        <v>2680.3199999999902</v>
      </c>
    </row>
    <row r="701" spans="1:14" x14ac:dyDescent="0.3">
      <c r="A701" s="4">
        <v>293</v>
      </c>
      <c r="B701" s="4">
        <v>45584</v>
      </c>
      <c r="C701" s="4">
        <v>1098</v>
      </c>
      <c r="D701" s="4" t="str">
        <v>Customer_60</v>
      </c>
      <c r="E701" s="4" t="str">
        <v>Corporate</v>
      </c>
      <c r="F701" s="4" t="str">
        <v>West</v>
      </c>
      <c r="G701" s="4" t="str">
        <v>Furniture</v>
      </c>
      <c r="H701" s="4" t="str">
        <v>Product_C</v>
      </c>
      <c r="I701" s="4">
        <v>462</v>
      </c>
      <c r="J701" s="4">
        <v>9</v>
      </c>
      <c r="K701" s="4">
        <v>0.14000000000000001</v>
      </c>
      <c r="L701" s="4">
        <v>448</v>
      </c>
      <c r="M701" s="4" t="str">
        <v>UPI</v>
      </c>
      <c r="N701" s="4">
        <v>3575.88</v>
      </c>
    </row>
    <row r="702" spans="1:14" x14ac:dyDescent="0.3">
      <c r="A702" s="4">
        <v>294</v>
      </c>
      <c r="B702" s="4">
        <v>45585</v>
      </c>
      <c r="C702" s="4">
        <v>1082</v>
      </c>
      <c r="D702" s="4" t="str">
        <v>Customer_75</v>
      </c>
      <c r="E702" s="4" t="str">
        <v>Corporate</v>
      </c>
      <c r="F702" s="4" t="str">
        <v>North</v>
      </c>
      <c r="G702" s="4" t="str">
        <v>Electronics</v>
      </c>
      <c r="H702" s="4" t="str">
        <v>Product_A</v>
      </c>
      <c r="I702" s="4">
        <v>373</v>
      </c>
      <c r="J702" s="4">
        <v>2</v>
      </c>
      <c r="K702" s="4">
        <v>0</v>
      </c>
      <c r="L702" s="4">
        <v>509</v>
      </c>
      <c r="M702" s="4" t="str">
        <v>COD</v>
      </c>
      <c r="N702" s="4">
        <v>746</v>
      </c>
    </row>
    <row r="703" spans="1:14" x14ac:dyDescent="0.3">
      <c r="A703" s="4">
        <v>295</v>
      </c>
      <c r="B703" s="4">
        <v>45586</v>
      </c>
      <c r="C703" s="4">
        <v>1090</v>
      </c>
      <c r="D703" s="4" t="str">
        <v>Customer_14</v>
      </c>
      <c r="E703" s="4" t="str">
        <v>Corporate</v>
      </c>
      <c r="F703" s="4" t="str">
        <v>South</v>
      </c>
      <c r="G703" s="4" t="str">
        <v>Clothing</v>
      </c>
      <c r="H703" s="4" t="str">
        <v>Product_B</v>
      </c>
      <c r="I703" s="4">
        <v>4106</v>
      </c>
      <c r="J703" s="4">
        <v>3</v>
      </c>
      <c r="K703" s="4">
        <v>0.27</v>
      </c>
      <c r="L703" s="4">
        <v>1883</v>
      </c>
      <c r="M703" s="4" t="str">
        <v>UPI</v>
      </c>
      <c r="N703" s="4">
        <v>8992.14</v>
      </c>
    </row>
    <row r="704" spans="1:14" x14ac:dyDescent="0.3">
      <c r="A704" s="4">
        <v>296</v>
      </c>
      <c r="B704" s="4">
        <v>45587</v>
      </c>
      <c r="C704" s="4">
        <v>1035</v>
      </c>
      <c r="D704" s="4" t="str">
        <v>Customer_102</v>
      </c>
      <c r="E704" s="4" t="str">
        <v>Corporate</v>
      </c>
      <c r="F704" s="4" t="str">
        <v>East</v>
      </c>
      <c r="G704" s="4" t="str">
        <v>Clothing</v>
      </c>
      <c r="H704" s="4" t="str">
        <v>Product_A</v>
      </c>
      <c r="I704" s="4">
        <v>3188</v>
      </c>
      <c r="J704" s="4">
        <v>9</v>
      </c>
      <c r="K704" s="4">
        <v>7.0000000000000007E-2</v>
      </c>
      <c r="L704" s="4">
        <v>956</v>
      </c>
      <c r="M704" s="4" t="str">
        <v>COD</v>
      </c>
      <c r="N704" s="4">
        <v>26683.559999999899</v>
      </c>
    </row>
    <row r="705" spans="1:14" x14ac:dyDescent="0.3">
      <c r="A705" s="4">
        <v>297</v>
      </c>
      <c r="B705" s="4">
        <v>45588</v>
      </c>
      <c r="C705" s="4">
        <v>1058</v>
      </c>
      <c r="D705" s="4" t="str">
        <v>Customer_82</v>
      </c>
      <c r="E705" s="4" t="str">
        <v>Consumer</v>
      </c>
      <c r="F705" s="4" t="str">
        <v>South</v>
      </c>
      <c r="G705" s="4" t="str">
        <v>Clothing</v>
      </c>
      <c r="H705" s="4" t="str">
        <v>Product_D</v>
      </c>
      <c r="I705" s="4">
        <v>3427</v>
      </c>
      <c r="J705" s="4">
        <v>6</v>
      </c>
      <c r="K705" s="4">
        <v>0.27</v>
      </c>
      <c r="L705" s="4">
        <v>803</v>
      </c>
      <c r="M705" s="4" t="str">
        <v>Card</v>
      </c>
      <c r="N705" s="4">
        <v>15010.26</v>
      </c>
    </row>
    <row r="706" spans="1:14" x14ac:dyDescent="0.3">
      <c r="A706" s="4">
        <v>298</v>
      </c>
      <c r="B706" s="4">
        <v>45589</v>
      </c>
      <c r="C706" s="4">
        <v>1038</v>
      </c>
      <c r="D706" s="4" t="str">
        <v>Customer_14</v>
      </c>
      <c r="E706" s="4" t="str">
        <v>Consumer</v>
      </c>
      <c r="F706" s="4" t="str">
        <v>North</v>
      </c>
      <c r="G706" s="4" t="str">
        <v>Clothing</v>
      </c>
      <c r="H706" s="4" t="str">
        <v>Product_D</v>
      </c>
      <c r="I706" s="4">
        <v>227</v>
      </c>
      <c r="J706" s="4">
        <v>6</v>
      </c>
      <c r="K706" s="4">
        <v>0.18</v>
      </c>
      <c r="L706" s="4">
        <v>1807</v>
      </c>
      <c r="M706" s="4" t="str">
        <v>COD</v>
      </c>
      <c r="N706" s="4">
        <v>1116.8399999999999</v>
      </c>
    </row>
    <row r="707" spans="1:14" x14ac:dyDescent="0.3">
      <c r="A707" s="4">
        <v>299</v>
      </c>
      <c r="B707" s="4">
        <v>45590</v>
      </c>
      <c r="C707" s="4">
        <v>1001</v>
      </c>
      <c r="D707" s="4" t="str">
        <v>Customer_152</v>
      </c>
      <c r="E707" s="4" t="str">
        <v>Corporate</v>
      </c>
      <c r="F707" s="4" t="str">
        <v>North</v>
      </c>
      <c r="G707" s="4" t="str">
        <v>Furniture</v>
      </c>
      <c r="H707" s="4" t="str">
        <v>Product_B</v>
      </c>
      <c r="I707" s="4">
        <v>3346</v>
      </c>
      <c r="J707" s="4">
        <v>9</v>
      </c>
      <c r="K707" s="4">
        <v>0.28999999999999998</v>
      </c>
      <c r="L707" s="4">
        <v>784</v>
      </c>
      <c r="M707" s="4" t="str">
        <v>UPI</v>
      </c>
      <c r="N707" s="4">
        <v>21380.94</v>
      </c>
    </row>
    <row r="708" spans="1:14" x14ac:dyDescent="0.3">
      <c r="A708" s="4">
        <v>301</v>
      </c>
      <c r="B708" s="4">
        <v>45592</v>
      </c>
      <c r="C708" s="4">
        <v>1017</v>
      </c>
      <c r="D708" s="4" t="str">
        <v>Customer_109</v>
      </c>
      <c r="E708" s="4" t="str">
        <v>Corporate</v>
      </c>
      <c r="F708" s="4" t="str">
        <v>North</v>
      </c>
      <c r="G708" s="4" t="str">
        <v>Clothing</v>
      </c>
      <c r="H708" s="4" t="str">
        <v>Product_A</v>
      </c>
      <c r="I708" s="4">
        <v>3165</v>
      </c>
      <c r="J708" s="4">
        <v>3</v>
      </c>
      <c r="K708" s="4">
        <v>0</v>
      </c>
      <c r="L708" s="4">
        <v>286</v>
      </c>
      <c r="M708" s="4" t="str">
        <v>Card</v>
      </c>
      <c r="N708" s="4">
        <v>9495</v>
      </c>
    </row>
    <row r="709" spans="1:14" x14ac:dyDescent="0.3">
      <c r="A709" s="4">
        <v>302</v>
      </c>
      <c r="B709" s="4">
        <v>45593</v>
      </c>
      <c r="C709" s="4">
        <v>1045</v>
      </c>
      <c r="D709" s="4" t="str">
        <v>Customer_108</v>
      </c>
      <c r="E709" s="4" t="str">
        <v>Corporate</v>
      </c>
      <c r="F709" s="4" t="str">
        <v>South</v>
      </c>
      <c r="G709" s="4" t="str">
        <v>Clothing</v>
      </c>
      <c r="H709" s="4" t="str">
        <v>Product_A</v>
      </c>
      <c r="I709" s="4">
        <v>4359</v>
      </c>
      <c r="J709" s="4">
        <v>9</v>
      </c>
      <c r="K709" s="4">
        <v>0</v>
      </c>
      <c r="L709" s="4">
        <v>198</v>
      </c>
      <c r="M709" s="4" t="str">
        <v>Card</v>
      </c>
      <c r="N709" s="4">
        <v>39231</v>
      </c>
    </row>
    <row r="710" spans="1:14" x14ac:dyDescent="0.3">
      <c r="A710" s="4">
        <v>303</v>
      </c>
      <c r="B710" s="4">
        <v>45594</v>
      </c>
      <c r="C710" s="4">
        <v>1022</v>
      </c>
      <c r="D710" s="4" t="str">
        <v>Customer_156</v>
      </c>
      <c r="E710" s="4" t="str">
        <v>Consumer</v>
      </c>
      <c r="F710" s="4" t="str">
        <v>West</v>
      </c>
      <c r="G710" s="4" t="str">
        <v>Electronics</v>
      </c>
      <c r="H710" s="4" t="str">
        <v>Product_C</v>
      </c>
      <c r="I710" s="4">
        <v>4615</v>
      </c>
      <c r="J710" s="4">
        <v>4</v>
      </c>
      <c r="K710" s="4">
        <v>0.22</v>
      </c>
      <c r="L710" s="4">
        <v>247</v>
      </c>
      <c r="M710" s="4" t="str">
        <v>COD</v>
      </c>
      <c r="N710" s="4">
        <v>14398.8</v>
      </c>
    </row>
    <row r="711" spans="1:14" x14ac:dyDescent="0.3">
      <c r="A711" s="4">
        <v>304</v>
      </c>
      <c r="B711" s="4">
        <v>45595</v>
      </c>
      <c r="C711" s="4">
        <v>1053</v>
      </c>
      <c r="D711" s="4" t="str">
        <v>Customer_88</v>
      </c>
      <c r="E711" s="4" t="str">
        <v>Consumer</v>
      </c>
      <c r="F711" s="4" t="str">
        <v>North</v>
      </c>
      <c r="G711" s="4" t="str">
        <v>Clothing</v>
      </c>
      <c r="H711" s="4" t="str">
        <v>Product_D</v>
      </c>
      <c r="I711" s="4">
        <v>3662</v>
      </c>
      <c r="J711" s="4">
        <v>3</v>
      </c>
      <c r="K711" s="4">
        <v>0.16</v>
      </c>
      <c r="L711" s="4">
        <v>1555</v>
      </c>
      <c r="M711" s="4" t="str">
        <v>COD</v>
      </c>
      <c r="N711" s="4">
        <v>9228.24</v>
      </c>
    </row>
    <row r="712" spans="1:14" x14ac:dyDescent="0.3">
      <c r="A712" s="4">
        <v>305</v>
      </c>
      <c r="B712" s="4">
        <v>45596</v>
      </c>
      <c r="C712" s="4">
        <v>1089</v>
      </c>
      <c r="D712" s="4" t="str">
        <v>Customer_18</v>
      </c>
      <c r="E712" s="4" t="str">
        <v>Corporate</v>
      </c>
      <c r="F712" s="4" t="str">
        <v>South</v>
      </c>
      <c r="G712" s="4" t="str">
        <v>Electronics</v>
      </c>
      <c r="H712" s="4" t="str">
        <v>Product_A</v>
      </c>
      <c r="I712" s="4">
        <v>170</v>
      </c>
      <c r="J712" s="4">
        <v>9</v>
      </c>
      <c r="K712" s="4">
        <v>0.23</v>
      </c>
      <c r="L712" s="4">
        <v>291</v>
      </c>
      <c r="M712" s="4" t="str">
        <v>COD</v>
      </c>
      <c r="N712" s="4">
        <v>1178.0999999999999</v>
      </c>
    </row>
    <row r="713" spans="1:14" x14ac:dyDescent="0.3">
      <c r="A713" s="4">
        <v>306</v>
      </c>
      <c r="B713" s="4">
        <v>45597</v>
      </c>
      <c r="C713" s="4">
        <v>1074</v>
      </c>
      <c r="D713" s="4" t="str">
        <v>Customer_57</v>
      </c>
      <c r="E713" s="4" t="str">
        <v>Corporate</v>
      </c>
      <c r="F713" s="4" t="str">
        <v>South</v>
      </c>
      <c r="G713" s="4" t="str">
        <v>Electronics</v>
      </c>
      <c r="H713" s="4" t="str">
        <v>Product_C</v>
      </c>
      <c r="I713" s="4">
        <v>4005</v>
      </c>
      <c r="J713" s="4">
        <v>3</v>
      </c>
      <c r="K713" s="4">
        <v>0.18</v>
      </c>
      <c r="L713" s="4">
        <v>940</v>
      </c>
      <c r="M713" s="4" t="str">
        <v>COD</v>
      </c>
      <c r="N713" s="4">
        <v>9852.2999999999993</v>
      </c>
    </row>
    <row r="714" spans="1:14" x14ac:dyDescent="0.3">
      <c r="A714" s="4">
        <v>307</v>
      </c>
      <c r="B714" s="4">
        <v>45598</v>
      </c>
      <c r="C714" s="4">
        <v>1000</v>
      </c>
      <c r="D714" s="4" t="str">
        <v>Customer_98</v>
      </c>
      <c r="E714" s="4" t="str">
        <v>Consumer</v>
      </c>
      <c r="F714" s="4" t="str">
        <v>South</v>
      </c>
      <c r="G714" s="4" t="str">
        <v>Electronics</v>
      </c>
      <c r="H714" s="4" t="str">
        <v>Product_C</v>
      </c>
      <c r="I714" s="4">
        <v>568</v>
      </c>
      <c r="J714" s="4">
        <v>1</v>
      </c>
      <c r="K714" s="4">
        <v>7.0000000000000007E-2</v>
      </c>
      <c r="L714" s="4">
        <v>1894</v>
      </c>
      <c r="M714" s="4" t="str">
        <v>UPI</v>
      </c>
      <c r="N714" s="4">
        <v>528.24</v>
      </c>
    </row>
    <row r="715" spans="1:14" x14ac:dyDescent="0.3">
      <c r="A715" s="4">
        <v>308</v>
      </c>
      <c r="B715" s="4">
        <v>45599</v>
      </c>
      <c r="C715" s="4">
        <v>1035</v>
      </c>
      <c r="D715" s="4" t="str">
        <v>Customer_170</v>
      </c>
      <c r="E715" s="4" t="str">
        <v>Consumer</v>
      </c>
      <c r="F715" s="4" t="str">
        <v>North</v>
      </c>
      <c r="G715" s="4" t="str">
        <v>Clothing</v>
      </c>
      <c r="H715" s="4" t="str">
        <v>Product_A</v>
      </c>
      <c r="I715" s="4">
        <v>3660</v>
      </c>
      <c r="J715" s="4">
        <v>3</v>
      </c>
      <c r="K715" s="4">
        <v>0.24</v>
      </c>
      <c r="L715" s="4">
        <v>1824</v>
      </c>
      <c r="M715" s="4" t="str">
        <v>COD</v>
      </c>
      <c r="N715" s="4">
        <v>8344.7999999999993</v>
      </c>
    </row>
    <row r="716" spans="1:14" x14ac:dyDescent="0.3">
      <c r="A716" s="4">
        <v>309</v>
      </c>
      <c r="B716" s="4">
        <v>45600</v>
      </c>
      <c r="C716" s="4">
        <v>1083</v>
      </c>
      <c r="D716" s="4" t="str">
        <v>Customer_67</v>
      </c>
      <c r="E716" s="4" t="str">
        <v>Corporate</v>
      </c>
      <c r="F716" s="4" t="str">
        <v>East</v>
      </c>
      <c r="G716" s="4" t="str">
        <v>Furniture</v>
      </c>
      <c r="H716" s="4" t="str">
        <v>Product_D</v>
      </c>
      <c r="I716" s="4">
        <v>2023</v>
      </c>
      <c r="J716" s="4">
        <v>3</v>
      </c>
      <c r="K716" s="4">
        <v>0.01</v>
      </c>
      <c r="L716" s="4">
        <v>356</v>
      </c>
      <c r="M716" s="4" t="str">
        <v>Card</v>
      </c>
      <c r="N716" s="4">
        <v>6008.31</v>
      </c>
    </row>
    <row r="717" spans="1:14" x14ac:dyDescent="0.3">
      <c r="A717" s="4">
        <v>310</v>
      </c>
      <c r="B717" s="4">
        <v>45601</v>
      </c>
      <c r="C717" s="4">
        <v>1094</v>
      </c>
      <c r="D717" s="4" t="str">
        <v>Customer_140</v>
      </c>
      <c r="E717" s="4" t="str">
        <v>Consumer</v>
      </c>
      <c r="F717" s="4" t="str">
        <v>North</v>
      </c>
      <c r="G717" s="4" t="str">
        <v>Clothing</v>
      </c>
      <c r="H717" s="4" t="str">
        <v>Product_B</v>
      </c>
      <c r="I717" s="4">
        <v>3079</v>
      </c>
      <c r="J717" s="4">
        <v>5</v>
      </c>
      <c r="K717" s="4">
        <v>0.24</v>
      </c>
      <c r="L717" s="4">
        <v>1522</v>
      </c>
      <c r="M717" s="4" t="str">
        <v>UPI</v>
      </c>
      <c r="N717" s="4">
        <v>11700.2</v>
      </c>
    </row>
    <row r="718" spans="1:14" x14ac:dyDescent="0.3">
      <c r="A718" s="4">
        <v>312</v>
      </c>
      <c r="B718" s="4">
        <v>45603</v>
      </c>
      <c r="C718" s="4">
        <v>1039</v>
      </c>
      <c r="D718" s="4" t="str">
        <v>Customer_69</v>
      </c>
      <c r="E718" s="4" t="str">
        <v>Corporate</v>
      </c>
      <c r="F718" s="4" t="str">
        <v>North</v>
      </c>
      <c r="G718" s="4" t="str">
        <v>Clothing</v>
      </c>
      <c r="H718" s="4" t="str">
        <v>Product_A</v>
      </c>
      <c r="I718" s="4">
        <v>4319</v>
      </c>
      <c r="J718" s="4">
        <v>7</v>
      </c>
      <c r="K718" s="4">
        <v>0.2</v>
      </c>
      <c r="L718" s="4">
        <v>1668</v>
      </c>
      <c r="M718" s="4" t="str">
        <v>UPI</v>
      </c>
      <c r="N718" s="4">
        <v>24186.400000000001</v>
      </c>
    </row>
    <row r="719" spans="1:14" x14ac:dyDescent="0.3">
      <c r="A719" s="4">
        <v>313</v>
      </c>
      <c r="B719" s="4">
        <v>45604</v>
      </c>
      <c r="C719" s="4">
        <v>1087</v>
      </c>
      <c r="D719" s="4" t="str">
        <v>Customer_83</v>
      </c>
      <c r="E719" s="4" t="str">
        <v>Consumer</v>
      </c>
      <c r="F719" s="4" t="str">
        <v>West</v>
      </c>
      <c r="G719" s="4" t="str">
        <v>Clothing</v>
      </c>
      <c r="H719" s="4" t="str">
        <v>Product_D</v>
      </c>
      <c r="I719" s="4">
        <v>4618</v>
      </c>
      <c r="J719" s="4">
        <v>3</v>
      </c>
      <c r="K719" s="4">
        <v>0.01</v>
      </c>
      <c r="L719" s="4">
        <v>1802</v>
      </c>
      <c r="M719" s="4" t="str">
        <v>COD</v>
      </c>
      <c r="N719" s="4">
        <v>13715.46</v>
      </c>
    </row>
    <row r="720" spans="1:14" x14ac:dyDescent="0.3">
      <c r="A720" s="4">
        <v>315</v>
      </c>
      <c r="B720" s="4">
        <v>45606</v>
      </c>
      <c r="C720" s="4">
        <v>1078</v>
      </c>
      <c r="D720" s="4" t="str">
        <v>Customer_91</v>
      </c>
      <c r="E720" s="4" t="str">
        <v>Corporate</v>
      </c>
      <c r="F720" s="4" t="str">
        <v>East</v>
      </c>
      <c r="G720" s="4" t="str">
        <v>Electronics</v>
      </c>
      <c r="H720" s="4" t="str">
        <v>Product_D</v>
      </c>
      <c r="I720" s="4">
        <v>3227</v>
      </c>
      <c r="J720" s="4">
        <v>4</v>
      </c>
      <c r="K720" s="4">
        <v>0.15</v>
      </c>
      <c r="L720" s="4">
        <v>200</v>
      </c>
      <c r="M720" s="4" t="str">
        <v>COD</v>
      </c>
      <c r="N720" s="4">
        <v>10971.8</v>
      </c>
    </row>
    <row r="721" spans="1:14" x14ac:dyDescent="0.3">
      <c r="A721" s="4">
        <v>316</v>
      </c>
      <c r="B721" s="4">
        <v>45607</v>
      </c>
      <c r="C721" s="4">
        <v>1029</v>
      </c>
      <c r="D721" s="4" t="str">
        <v>Customer_17</v>
      </c>
      <c r="E721" s="4" t="str">
        <v>Corporate</v>
      </c>
      <c r="F721" s="4" t="str">
        <v>North</v>
      </c>
      <c r="G721" s="4" t="str">
        <v>Electronics</v>
      </c>
      <c r="H721" s="4" t="str">
        <v>Product_B</v>
      </c>
      <c r="I721" s="4">
        <v>4116</v>
      </c>
      <c r="J721" s="4">
        <v>7</v>
      </c>
      <c r="K721" s="4">
        <v>0.13</v>
      </c>
      <c r="L721" s="4">
        <v>1791</v>
      </c>
      <c r="M721" s="4" t="str">
        <v>UPI</v>
      </c>
      <c r="N721" s="4">
        <v>25066.44</v>
      </c>
    </row>
    <row r="722" spans="1:14" x14ac:dyDescent="0.3">
      <c r="A722" s="4">
        <v>317</v>
      </c>
      <c r="B722" s="4">
        <v>45608</v>
      </c>
      <c r="C722" s="4">
        <v>1019</v>
      </c>
      <c r="D722" s="4" t="str">
        <v>Customer_171</v>
      </c>
      <c r="E722" s="4" t="str">
        <v>Corporate</v>
      </c>
      <c r="F722" s="4" t="str">
        <v>East</v>
      </c>
      <c r="G722" s="4" t="str">
        <v>Electronics</v>
      </c>
      <c r="H722" s="4" t="str">
        <v>Product_C</v>
      </c>
      <c r="I722" s="4">
        <v>1265</v>
      </c>
      <c r="J722" s="4">
        <v>4</v>
      </c>
      <c r="K722" s="4">
        <v>0.01</v>
      </c>
      <c r="L722" s="4">
        <v>458</v>
      </c>
      <c r="M722" s="4" t="str">
        <v>Card</v>
      </c>
      <c r="N722" s="4">
        <v>5009.3999999999996</v>
      </c>
    </row>
    <row r="723" spans="1:14" x14ac:dyDescent="0.3">
      <c r="A723" s="4">
        <v>319</v>
      </c>
      <c r="B723" s="4">
        <v>45610</v>
      </c>
      <c r="C723" s="4">
        <v>1001</v>
      </c>
      <c r="D723" s="4" t="str">
        <v>Customer_40</v>
      </c>
      <c r="E723" s="4" t="str">
        <v>Corporate</v>
      </c>
      <c r="F723" s="4" t="str">
        <v>South</v>
      </c>
      <c r="G723" s="4" t="str">
        <v>Clothing</v>
      </c>
      <c r="H723" s="4" t="str">
        <v>Product_B</v>
      </c>
      <c r="I723" s="4">
        <v>1915</v>
      </c>
      <c r="J723" s="4">
        <v>3</v>
      </c>
      <c r="K723" s="4">
        <v>0.28999999999999998</v>
      </c>
      <c r="L723" s="4">
        <v>1599</v>
      </c>
      <c r="M723" s="4" t="str">
        <v>Card</v>
      </c>
      <c r="N723" s="4">
        <v>4078.95</v>
      </c>
    </row>
    <row r="724" spans="1:14" x14ac:dyDescent="0.3">
      <c r="A724" s="4">
        <v>320</v>
      </c>
      <c r="B724" s="4">
        <v>45611</v>
      </c>
      <c r="C724" s="4">
        <v>1005</v>
      </c>
      <c r="D724" s="4" t="str">
        <v>Customer_22</v>
      </c>
      <c r="E724" s="4" t="str">
        <v>Corporate</v>
      </c>
      <c r="F724" s="4" t="str">
        <v>South</v>
      </c>
      <c r="G724" s="4" t="str">
        <v>Clothing</v>
      </c>
      <c r="H724" s="4" t="str">
        <v>Product_A</v>
      </c>
      <c r="I724" s="4">
        <v>4067</v>
      </c>
      <c r="J724" s="4">
        <v>7</v>
      </c>
      <c r="K724" s="4">
        <v>0.09</v>
      </c>
      <c r="L724" s="4">
        <v>1720</v>
      </c>
      <c r="M724" s="4" t="str">
        <v>UPI</v>
      </c>
      <c r="N724" s="4">
        <v>25906.79</v>
      </c>
    </row>
    <row r="725" spans="1:14" x14ac:dyDescent="0.3">
      <c r="A725" s="4">
        <v>321</v>
      </c>
      <c r="B725" s="4">
        <v>45612</v>
      </c>
      <c r="C725" s="4">
        <v>1081</v>
      </c>
      <c r="D725" s="4" t="str">
        <v>Customer_192</v>
      </c>
      <c r="E725" s="4" t="str">
        <v>Corporate</v>
      </c>
      <c r="F725" s="4" t="str">
        <v>East</v>
      </c>
      <c r="G725" s="4" t="str">
        <v>Furniture</v>
      </c>
      <c r="H725" s="4" t="str">
        <v>Product_D</v>
      </c>
      <c r="I725" s="4">
        <v>240</v>
      </c>
      <c r="J725" s="4">
        <v>9</v>
      </c>
      <c r="K725" s="4">
        <v>0.19</v>
      </c>
      <c r="L725" s="4">
        <v>271</v>
      </c>
      <c r="M725" s="4" t="str">
        <v>Card</v>
      </c>
      <c r="N725" s="4">
        <v>1749.6</v>
      </c>
    </row>
    <row r="726" spans="1:14" x14ac:dyDescent="0.3">
      <c r="A726" s="4">
        <v>322</v>
      </c>
      <c r="B726" s="4">
        <v>45613</v>
      </c>
      <c r="C726" s="4">
        <v>1035</v>
      </c>
      <c r="D726" s="4" t="str">
        <v>Customer_138</v>
      </c>
      <c r="E726" s="4" t="str">
        <v>Consumer</v>
      </c>
      <c r="F726" s="4" t="str">
        <v>North</v>
      </c>
      <c r="G726" s="4" t="str">
        <v>Electronics</v>
      </c>
      <c r="H726" s="4" t="str">
        <v>Product_D</v>
      </c>
      <c r="I726" s="4">
        <v>3410</v>
      </c>
      <c r="J726" s="4">
        <v>5</v>
      </c>
      <c r="K726" s="4">
        <v>0.2</v>
      </c>
      <c r="L726" s="4">
        <v>1549</v>
      </c>
      <c r="M726" s="4" t="str">
        <v>Card</v>
      </c>
      <c r="N726" s="4">
        <v>13640</v>
      </c>
    </row>
    <row r="727" spans="1:14" x14ac:dyDescent="0.3">
      <c r="A727" s="4">
        <v>324</v>
      </c>
      <c r="B727" s="4">
        <v>45615</v>
      </c>
      <c r="C727" s="4">
        <v>1025</v>
      </c>
      <c r="D727" s="4" t="str">
        <v>Customer_134</v>
      </c>
      <c r="E727" s="4" t="str">
        <v>Corporate</v>
      </c>
      <c r="F727" s="4" t="str">
        <v>South</v>
      </c>
      <c r="G727" s="4" t="str">
        <v>Furniture</v>
      </c>
      <c r="H727" s="4" t="str">
        <v>Product_B</v>
      </c>
      <c r="I727" s="4">
        <v>1554</v>
      </c>
      <c r="J727" s="4">
        <v>2</v>
      </c>
      <c r="K727" s="4">
        <v>0.09</v>
      </c>
      <c r="L727" s="4">
        <v>1816</v>
      </c>
      <c r="M727" s="4" t="str">
        <v>COD</v>
      </c>
      <c r="N727" s="4">
        <v>2828.28</v>
      </c>
    </row>
    <row r="728" spans="1:14" x14ac:dyDescent="0.3">
      <c r="A728" s="4">
        <v>325</v>
      </c>
      <c r="B728" s="4">
        <v>45616</v>
      </c>
      <c r="C728" s="4">
        <v>1097</v>
      </c>
      <c r="D728" s="4" t="str">
        <v>Customer_17</v>
      </c>
      <c r="E728" s="4" t="str">
        <v>Consumer</v>
      </c>
      <c r="F728" s="4" t="str">
        <v>South</v>
      </c>
      <c r="G728" s="4" t="str">
        <v>Furniture</v>
      </c>
      <c r="H728" s="4" t="str">
        <v>Product_C</v>
      </c>
      <c r="I728" s="4">
        <v>4379</v>
      </c>
      <c r="J728" s="4">
        <v>5</v>
      </c>
      <c r="K728" s="4">
        <v>0.17</v>
      </c>
      <c r="L728" s="4">
        <v>884</v>
      </c>
      <c r="M728" s="4" t="str">
        <v>UPI</v>
      </c>
      <c r="N728" s="4">
        <v>18172.849999999999</v>
      </c>
    </row>
    <row r="729" spans="1:14" x14ac:dyDescent="0.3">
      <c r="A729" s="4">
        <v>326</v>
      </c>
      <c r="B729" s="4">
        <v>45617</v>
      </c>
      <c r="C729" s="4">
        <v>1093</v>
      </c>
      <c r="D729" s="4" t="str">
        <v>Customer_76</v>
      </c>
      <c r="E729" s="4" t="str">
        <v>Corporate</v>
      </c>
      <c r="F729" s="4" t="str">
        <v>East</v>
      </c>
      <c r="G729" s="4" t="str">
        <v>Clothing</v>
      </c>
      <c r="H729" s="4" t="str">
        <v>Product_C</v>
      </c>
      <c r="I729" s="4">
        <v>635</v>
      </c>
      <c r="J729" s="4">
        <v>3</v>
      </c>
      <c r="K729" s="4">
        <v>0.21</v>
      </c>
      <c r="L729" s="4">
        <v>895</v>
      </c>
      <c r="M729" s="4" t="str">
        <v>Card</v>
      </c>
      <c r="N729" s="4">
        <v>1504.95</v>
      </c>
    </row>
    <row r="730" spans="1:14" x14ac:dyDescent="0.3">
      <c r="A730" s="4">
        <v>327</v>
      </c>
      <c r="B730" s="4">
        <v>45618</v>
      </c>
      <c r="C730" s="4">
        <v>1070</v>
      </c>
      <c r="D730" s="4" t="str">
        <v>Customer_191</v>
      </c>
      <c r="E730" s="4" t="str">
        <v>Consumer</v>
      </c>
      <c r="F730" s="4" t="str">
        <v>East</v>
      </c>
      <c r="G730" s="4" t="str">
        <v>Furniture</v>
      </c>
      <c r="H730" s="4" t="str">
        <v>Product_B</v>
      </c>
      <c r="I730" s="4">
        <v>2260</v>
      </c>
      <c r="J730" s="4">
        <v>3</v>
      </c>
      <c r="K730" s="4">
        <v>0.11</v>
      </c>
      <c r="L730" s="4">
        <v>1691</v>
      </c>
      <c r="M730" s="4" t="str">
        <v>UPI</v>
      </c>
      <c r="N730" s="4">
        <v>6034.2</v>
      </c>
    </row>
    <row r="731" spans="1:14" x14ac:dyDescent="0.3">
      <c r="A731" s="4">
        <v>329</v>
      </c>
      <c r="B731" s="4">
        <v>45620</v>
      </c>
      <c r="C731" s="4">
        <v>1029</v>
      </c>
      <c r="D731" s="4" t="str">
        <v>Customer_178</v>
      </c>
      <c r="E731" s="4" t="str">
        <v>Consumer</v>
      </c>
      <c r="F731" s="4" t="str">
        <v>West</v>
      </c>
      <c r="G731" s="4" t="str">
        <v>Electronics</v>
      </c>
      <c r="H731" s="4" t="str">
        <v>Product_C</v>
      </c>
      <c r="I731" s="4">
        <v>2929</v>
      </c>
      <c r="J731" s="4">
        <v>6</v>
      </c>
      <c r="K731" s="4">
        <v>0.08</v>
      </c>
      <c r="L731" s="4">
        <v>122</v>
      </c>
      <c r="M731" s="4" t="str">
        <v>COD</v>
      </c>
      <c r="N731" s="4">
        <v>16168.08</v>
      </c>
    </row>
    <row r="732" spans="1:14" x14ac:dyDescent="0.3">
      <c r="A732" s="4">
        <v>330</v>
      </c>
      <c r="B732" s="4">
        <v>45621</v>
      </c>
      <c r="C732" s="4">
        <v>1081</v>
      </c>
      <c r="D732" s="4" t="str">
        <v>Customer_80</v>
      </c>
      <c r="E732" s="4" t="str">
        <v>Corporate</v>
      </c>
      <c r="F732" s="4" t="str">
        <v>North</v>
      </c>
      <c r="G732" s="4" t="str">
        <v>Furniture</v>
      </c>
      <c r="H732" s="4" t="str">
        <v>Product_A</v>
      </c>
      <c r="I732" s="4">
        <v>4483</v>
      </c>
      <c r="J732" s="4">
        <v>3</v>
      </c>
      <c r="K732" s="4">
        <v>0.28000000000000003</v>
      </c>
      <c r="L732" s="4">
        <v>1527</v>
      </c>
      <c r="M732" s="4" t="str">
        <v>Card</v>
      </c>
      <c r="N732" s="4">
        <v>9683.2799999999897</v>
      </c>
    </row>
    <row r="733" spans="1:14" x14ac:dyDescent="0.3">
      <c r="A733" s="4">
        <v>331</v>
      </c>
      <c r="B733" s="4">
        <v>45622</v>
      </c>
      <c r="C733" s="4">
        <v>1021</v>
      </c>
      <c r="D733" s="4" t="str">
        <v>Customer_196</v>
      </c>
      <c r="E733" s="4" t="str">
        <v>Corporate</v>
      </c>
      <c r="F733" s="4" t="str">
        <v>South</v>
      </c>
      <c r="G733" s="4" t="str">
        <v>Electronics</v>
      </c>
      <c r="H733" s="4" t="str">
        <v>Product_C</v>
      </c>
      <c r="I733" s="4">
        <v>1725</v>
      </c>
      <c r="J733" s="4">
        <v>9</v>
      </c>
      <c r="K733" s="4">
        <v>0.19</v>
      </c>
      <c r="L733" s="4">
        <v>508</v>
      </c>
      <c r="M733" s="4" t="str">
        <v>COD</v>
      </c>
      <c r="N733" s="4">
        <v>12575.25</v>
      </c>
    </row>
    <row r="734" spans="1:14" x14ac:dyDescent="0.3">
      <c r="A734" s="4">
        <v>332</v>
      </c>
      <c r="B734" s="4">
        <v>45623</v>
      </c>
      <c r="C734" s="4">
        <v>1016</v>
      </c>
      <c r="D734" s="4" t="str">
        <v>Customer_153</v>
      </c>
      <c r="E734" s="4" t="str">
        <v>Consumer</v>
      </c>
      <c r="F734" s="4" t="str">
        <v>South</v>
      </c>
      <c r="G734" s="4" t="str">
        <v>Furniture</v>
      </c>
      <c r="H734" s="4" t="str">
        <v>Product_B</v>
      </c>
      <c r="I734" s="4">
        <v>4547</v>
      </c>
      <c r="J734" s="4">
        <v>7</v>
      </c>
      <c r="K734" s="4">
        <v>0.23</v>
      </c>
      <c r="L734" s="4">
        <v>695</v>
      </c>
      <c r="M734" s="4" t="str">
        <v>UPI</v>
      </c>
      <c r="N734" s="4">
        <v>24508.33</v>
      </c>
    </row>
    <row r="735" spans="1:14" x14ac:dyDescent="0.3">
      <c r="A735" s="4">
        <v>333</v>
      </c>
      <c r="B735" s="4">
        <v>45624</v>
      </c>
      <c r="C735" s="4">
        <v>1030</v>
      </c>
      <c r="D735" s="4" t="str">
        <v>Customer_33</v>
      </c>
      <c r="E735" s="4" t="str">
        <v>Consumer</v>
      </c>
      <c r="F735" s="4" t="str">
        <v>South</v>
      </c>
      <c r="G735" s="4" t="str">
        <v>Electronics</v>
      </c>
      <c r="H735" s="4" t="str">
        <v>Product_B</v>
      </c>
      <c r="I735" s="4">
        <v>2252</v>
      </c>
      <c r="J735" s="4">
        <v>8</v>
      </c>
      <c r="K735" s="4">
        <v>0.17</v>
      </c>
      <c r="L735" s="4">
        <v>1739</v>
      </c>
      <c r="M735" s="4" t="str">
        <v>Card</v>
      </c>
      <c r="N735" s="4">
        <v>14953.279999999901</v>
      </c>
    </row>
    <row r="736" spans="1:14" x14ac:dyDescent="0.3">
      <c r="A736" s="4">
        <v>334</v>
      </c>
      <c r="B736" s="4">
        <v>45625</v>
      </c>
      <c r="C736" s="4">
        <v>1055</v>
      </c>
      <c r="D736" s="4" t="str">
        <v>Customer_1</v>
      </c>
      <c r="E736" s="4" t="str">
        <v>Corporate</v>
      </c>
      <c r="F736" s="4" t="str">
        <v>West</v>
      </c>
      <c r="G736" s="4" t="str">
        <v>Clothing</v>
      </c>
      <c r="H736" s="4" t="str">
        <v>Product_B</v>
      </c>
      <c r="I736" s="4">
        <v>3427</v>
      </c>
      <c r="J736" s="4">
        <v>4</v>
      </c>
      <c r="K736" s="4">
        <v>0.19</v>
      </c>
      <c r="L736" s="4">
        <v>922</v>
      </c>
      <c r="M736" s="4" t="str">
        <v>Card</v>
      </c>
      <c r="N736" s="4">
        <v>11103.48</v>
      </c>
    </row>
    <row r="737" spans="1:14" x14ac:dyDescent="0.3">
      <c r="A737" s="4">
        <v>335</v>
      </c>
      <c r="B737" s="4">
        <v>45626</v>
      </c>
      <c r="C737" s="4">
        <v>1080</v>
      </c>
      <c r="D737" s="4" t="str">
        <v>Customer_79</v>
      </c>
      <c r="E737" s="4" t="str">
        <v>Consumer</v>
      </c>
      <c r="F737" s="4" t="str">
        <v>North</v>
      </c>
      <c r="G737" s="4" t="str">
        <v>Clothing</v>
      </c>
      <c r="H737" s="4" t="str">
        <v>Product_A</v>
      </c>
      <c r="I737" s="4">
        <v>370</v>
      </c>
      <c r="J737" s="4">
        <v>7</v>
      </c>
      <c r="K737" s="4">
        <v>0.08</v>
      </c>
      <c r="L737" s="4">
        <v>1381</v>
      </c>
      <c r="M737" s="4" t="str">
        <v>Card</v>
      </c>
      <c r="N737" s="4">
        <v>2382.8000000000002</v>
      </c>
    </row>
    <row r="738" spans="1:14" x14ac:dyDescent="0.3">
      <c r="A738" s="4">
        <v>339</v>
      </c>
      <c r="B738" s="4">
        <v>45630</v>
      </c>
      <c r="C738" s="4">
        <v>1083</v>
      </c>
      <c r="D738" s="4" t="str">
        <v>Customer_186</v>
      </c>
      <c r="E738" s="4" t="str">
        <v>Corporate</v>
      </c>
      <c r="F738" s="4" t="str">
        <v>East</v>
      </c>
      <c r="G738" s="4" t="str">
        <v>Electronics</v>
      </c>
      <c r="H738" s="4" t="str">
        <v>Product_A</v>
      </c>
      <c r="I738" s="4">
        <v>4189</v>
      </c>
      <c r="J738" s="4">
        <v>5</v>
      </c>
      <c r="K738" s="4">
        <v>0.16</v>
      </c>
      <c r="L738" s="4">
        <v>798</v>
      </c>
      <c r="M738" s="4" t="str">
        <v>Card</v>
      </c>
      <c r="N738" s="4">
        <v>17593.8</v>
      </c>
    </row>
    <row r="739" spans="1:14" x14ac:dyDescent="0.3">
      <c r="A739" s="4">
        <v>340</v>
      </c>
      <c r="B739" s="4">
        <v>45631</v>
      </c>
      <c r="C739" s="4">
        <v>1016</v>
      </c>
      <c r="D739" s="4" t="str">
        <v>Customer_147</v>
      </c>
      <c r="E739" s="4" t="str">
        <v>Consumer</v>
      </c>
      <c r="F739" s="4" t="str">
        <v>East</v>
      </c>
      <c r="G739" s="4" t="str">
        <v>Electronics</v>
      </c>
      <c r="H739" s="4" t="str">
        <v>Product_C</v>
      </c>
      <c r="I739" s="4">
        <v>190</v>
      </c>
      <c r="J739" s="4">
        <v>8</v>
      </c>
      <c r="K739" s="4">
        <v>0.03</v>
      </c>
      <c r="L739" s="4">
        <v>728</v>
      </c>
      <c r="M739" s="4" t="str">
        <v>Card</v>
      </c>
      <c r="N739" s="4">
        <v>1474.3999999999901</v>
      </c>
    </row>
    <row r="740" spans="1:14" x14ac:dyDescent="0.3">
      <c r="A740" s="4">
        <v>341</v>
      </c>
      <c r="B740" s="4">
        <v>45632</v>
      </c>
      <c r="C740" s="4">
        <v>1092</v>
      </c>
      <c r="D740" s="4" t="str">
        <v>Customer_54</v>
      </c>
      <c r="E740" s="4" t="str">
        <v>Corporate</v>
      </c>
      <c r="F740" s="4" t="str">
        <v>East</v>
      </c>
      <c r="G740" s="4" t="str">
        <v>Clothing</v>
      </c>
      <c r="H740" s="4" t="str">
        <v>Product_D</v>
      </c>
      <c r="I740" s="4">
        <v>2277</v>
      </c>
      <c r="J740" s="4">
        <v>8</v>
      </c>
      <c r="K740" s="4">
        <v>0.03</v>
      </c>
      <c r="L740" s="4">
        <v>297</v>
      </c>
      <c r="M740" s="4" t="str">
        <v>UPI</v>
      </c>
      <c r="N740" s="4">
        <v>17669.52</v>
      </c>
    </row>
    <row r="741" spans="1:14" x14ac:dyDescent="0.3">
      <c r="A741" s="4">
        <v>342</v>
      </c>
      <c r="B741" s="4">
        <v>45633</v>
      </c>
      <c r="C741" s="4">
        <v>1038</v>
      </c>
      <c r="D741" s="4" t="str">
        <v>Customer_114</v>
      </c>
      <c r="E741" s="4" t="str">
        <v>Corporate</v>
      </c>
      <c r="F741" s="4" t="str">
        <v>West</v>
      </c>
      <c r="G741" s="4" t="str">
        <v>Electronics</v>
      </c>
      <c r="H741" s="4" t="str">
        <v>Product_A</v>
      </c>
      <c r="I741" s="4">
        <v>1830</v>
      </c>
      <c r="J741" s="4">
        <v>4</v>
      </c>
      <c r="K741" s="4">
        <v>0.14000000000000001</v>
      </c>
      <c r="L741" s="4">
        <v>898</v>
      </c>
      <c r="M741" s="4" t="str">
        <v>COD</v>
      </c>
      <c r="N741" s="4">
        <v>6295.2</v>
      </c>
    </row>
    <row r="742" spans="1:14" x14ac:dyDescent="0.3">
      <c r="A742" s="4">
        <v>345</v>
      </c>
      <c r="B742" s="4">
        <v>45636</v>
      </c>
      <c r="C742" s="4">
        <v>1037</v>
      </c>
      <c r="D742" s="4" t="str">
        <v>Customer_1</v>
      </c>
      <c r="E742" s="4" t="str">
        <v>Consumer</v>
      </c>
      <c r="F742" s="4" t="str">
        <v>North</v>
      </c>
      <c r="G742" s="4" t="str">
        <v>Clothing</v>
      </c>
      <c r="H742" s="4" t="str">
        <v>Product_D</v>
      </c>
      <c r="I742" s="4">
        <v>448</v>
      </c>
      <c r="J742" s="4">
        <v>9</v>
      </c>
      <c r="K742" s="4">
        <v>0.04</v>
      </c>
      <c r="L742" s="4">
        <v>1096</v>
      </c>
      <c r="M742" s="4" t="str">
        <v>COD</v>
      </c>
      <c r="N742" s="4">
        <v>3870.72</v>
      </c>
    </row>
    <row r="743" spans="1:14" x14ac:dyDescent="0.3">
      <c r="A743" s="4">
        <v>346</v>
      </c>
      <c r="B743" s="4">
        <v>45637</v>
      </c>
      <c r="C743" s="4">
        <v>1014</v>
      </c>
      <c r="D743" s="4" t="str">
        <v>Customer_144</v>
      </c>
      <c r="E743" s="4" t="str">
        <v>Consumer</v>
      </c>
      <c r="F743" s="4" t="str">
        <v>East</v>
      </c>
      <c r="G743" s="4" t="str">
        <v>Clothing</v>
      </c>
      <c r="H743" s="4" t="str">
        <v>Product_C</v>
      </c>
      <c r="I743" s="4">
        <v>4977</v>
      </c>
      <c r="J743" s="4">
        <v>1</v>
      </c>
      <c r="K743" s="4">
        <v>0.21</v>
      </c>
      <c r="L743" s="4">
        <v>294</v>
      </c>
      <c r="M743" s="4" t="str">
        <v>Card</v>
      </c>
      <c r="N743" s="4">
        <v>3931.83</v>
      </c>
    </row>
    <row r="744" spans="1:14" x14ac:dyDescent="0.3">
      <c r="A744" s="4">
        <v>347</v>
      </c>
      <c r="B744" s="4">
        <v>45638</v>
      </c>
      <c r="C744" s="4">
        <v>1000</v>
      </c>
      <c r="D744" s="4" t="str">
        <v>Customer_152</v>
      </c>
      <c r="E744" s="4" t="str">
        <v>Consumer</v>
      </c>
      <c r="F744" s="4" t="str">
        <v>East</v>
      </c>
      <c r="G744" s="4" t="str">
        <v>Furniture</v>
      </c>
      <c r="H744" s="4" t="str">
        <v>Product_A</v>
      </c>
      <c r="I744" s="4">
        <v>4432</v>
      </c>
      <c r="J744" s="4">
        <v>5</v>
      </c>
      <c r="K744" s="4">
        <v>0.28000000000000003</v>
      </c>
      <c r="L744" s="4">
        <v>1809</v>
      </c>
      <c r="M744" s="4" t="str">
        <v>UPI</v>
      </c>
      <c r="N744" s="4">
        <v>15955.199999999901</v>
      </c>
    </row>
    <row r="745" spans="1:14" x14ac:dyDescent="0.3">
      <c r="A745" s="4">
        <v>348</v>
      </c>
      <c r="B745" s="4">
        <v>45639</v>
      </c>
      <c r="C745" s="4">
        <v>1096</v>
      </c>
      <c r="D745" s="4" t="str">
        <v>Customer_192</v>
      </c>
      <c r="E745" s="4" t="str">
        <v>Corporate</v>
      </c>
      <c r="F745" s="4" t="str">
        <v>West</v>
      </c>
      <c r="G745" s="4" t="str">
        <v>Furniture</v>
      </c>
      <c r="H745" s="4" t="str">
        <v>Product_A</v>
      </c>
      <c r="I745" s="4">
        <v>1393</v>
      </c>
      <c r="J745" s="4">
        <v>6</v>
      </c>
      <c r="K745" s="4">
        <v>0.12</v>
      </c>
      <c r="L745" s="4">
        <v>1693</v>
      </c>
      <c r="M745" s="4" t="str">
        <v>Card</v>
      </c>
      <c r="N745" s="4">
        <v>7355.04</v>
      </c>
    </row>
    <row r="746" spans="1:14" x14ac:dyDescent="0.3">
      <c r="A746" s="4">
        <v>349</v>
      </c>
      <c r="B746" s="4">
        <v>45640</v>
      </c>
      <c r="C746" s="4">
        <v>1002</v>
      </c>
      <c r="D746" s="4" t="str">
        <v>Customer_186</v>
      </c>
      <c r="E746" s="4" t="str">
        <v>Consumer</v>
      </c>
      <c r="F746" s="4" t="str">
        <v>West</v>
      </c>
      <c r="G746" s="4" t="str">
        <v>Electronics</v>
      </c>
      <c r="H746" s="4" t="str">
        <v>Product_C</v>
      </c>
      <c r="I746" s="4">
        <v>4564</v>
      </c>
      <c r="J746" s="4">
        <v>5</v>
      </c>
      <c r="K746" s="4">
        <v>0.27</v>
      </c>
      <c r="L746" s="4">
        <v>710</v>
      </c>
      <c r="M746" s="4" t="str">
        <v>UPI</v>
      </c>
      <c r="N746" s="4">
        <v>16658.599999999999</v>
      </c>
    </row>
    <row r="747" spans="1:14" x14ac:dyDescent="0.3">
      <c r="A747" s="4">
        <v>351</v>
      </c>
      <c r="B747" s="4">
        <v>45642</v>
      </c>
      <c r="C747" s="4">
        <v>1047</v>
      </c>
      <c r="D747" s="4" t="str">
        <v>Customer_186</v>
      </c>
      <c r="E747" s="4" t="str">
        <v>Consumer</v>
      </c>
      <c r="F747" s="4" t="str">
        <v>East</v>
      </c>
      <c r="G747" s="4" t="str">
        <v>Furniture</v>
      </c>
      <c r="H747" s="4" t="str">
        <v>Product_C</v>
      </c>
      <c r="I747" s="4">
        <v>3091</v>
      </c>
      <c r="J747" s="4">
        <v>5</v>
      </c>
      <c r="K747" s="4">
        <v>0.03</v>
      </c>
      <c r="L747" s="4">
        <v>644</v>
      </c>
      <c r="M747" s="4" t="str">
        <v>UPI</v>
      </c>
      <c r="N747" s="4">
        <v>14991.35</v>
      </c>
    </row>
    <row r="748" spans="1:14" x14ac:dyDescent="0.3">
      <c r="A748" s="4">
        <v>352</v>
      </c>
      <c r="B748" s="4">
        <v>45643</v>
      </c>
      <c r="C748" s="4">
        <v>1062</v>
      </c>
      <c r="D748" s="4" t="str">
        <v>Customer_101</v>
      </c>
      <c r="E748" s="4" t="str">
        <v>Consumer</v>
      </c>
      <c r="F748" s="4" t="str">
        <v>North</v>
      </c>
      <c r="G748" s="4" t="str">
        <v>Electronics</v>
      </c>
      <c r="H748" s="4" t="str">
        <v>Product_C</v>
      </c>
      <c r="I748" s="4">
        <v>2900</v>
      </c>
      <c r="J748" s="4">
        <v>7</v>
      </c>
      <c r="K748" s="4">
        <v>7.0000000000000007E-2</v>
      </c>
      <c r="L748" s="4">
        <v>1932</v>
      </c>
      <c r="M748" s="4" t="str">
        <v>UPI</v>
      </c>
      <c r="N748" s="4">
        <v>18879</v>
      </c>
    </row>
    <row r="749" spans="1:14" x14ac:dyDescent="0.3">
      <c r="A749" s="4">
        <v>353</v>
      </c>
      <c r="B749" s="4">
        <v>45644</v>
      </c>
      <c r="C749" s="4">
        <v>1061</v>
      </c>
      <c r="D749" s="4" t="str">
        <v>Customer_192</v>
      </c>
      <c r="E749" s="4" t="str">
        <v>Consumer</v>
      </c>
      <c r="F749" s="4" t="str">
        <v>South</v>
      </c>
      <c r="G749" s="4" t="str">
        <v>Clothing</v>
      </c>
      <c r="H749" s="4" t="str">
        <v>Product_C</v>
      </c>
      <c r="I749" s="4">
        <v>4356</v>
      </c>
      <c r="J749" s="4">
        <v>2</v>
      </c>
      <c r="K749" s="4">
        <v>0.16</v>
      </c>
      <c r="L749" s="4">
        <v>332</v>
      </c>
      <c r="M749" s="4" t="str">
        <v>COD</v>
      </c>
      <c r="N749" s="4">
        <v>7318.08</v>
      </c>
    </row>
    <row r="750" spans="1:14" x14ac:dyDescent="0.3">
      <c r="A750" s="4">
        <v>354</v>
      </c>
      <c r="B750" s="4">
        <v>45645</v>
      </c>
      <c r="C750" s="4">
        <v>1014</v>
      </c>
      <c r="D750" s="4" t="str">
        <v>Customer_169</v>
      </c>
      <c r="E750" s="4" t="str">
        <v>Corporate</v>
      </c>
      <c r="F750" s="4" t="str">
        <v>West</v>
      </c>
      <c r="G750" s="4" t="str">
        <v>Furniture</v>
      </c>
      <c r="H750" s="4" t="str">
        <v>Product_B</v>
      </c>
      <c r="I750" s="4">
        <v>1224</v>
      </c>
      <c r="J750" s="4">
        <v>7</v>
      </c>
      <c r="K750" s="4">
        <v>0.19</v>
      </c>
      <c r="L750" s="4">
        <v>210</v>
      </c>
      <c r="M750" s="4" t="str">
        <v>COD</v>
      </c>
      <c r="N750" s="4">
        <v>6940.08</v>
      </c>
    </row>
    <row r="751" spans="1:14" x14ac:dyDescent="0.3">
      <c r="A751" s="4">
        <v>355</v>
      </c>
      <c r="B751" s="4">
        <v>45646</v>
      </c>
      <c r="C751" s="4">
        <v>1061</v>
      </c>
      <c r="D751" s="4" t="str">
        <v>Customer_161</v>
      </c>
      <c r="E751" s="4" t="str">
        <v>Consumer</v>
      </c>
      <c r="F751" s="4" t="str">
        <v>North</v>
      </c>
      <c r="G751" s="4" t="str">
        <v>Clothing</v>
      </c>
      <c r="H751" s="4" t="str">
        <v>Product_B</v>
      </c>
      <c r="I751" s="4">
        <v>673</v>
      </c>
      <c r="J751" s="4">
        <v>9</v>
      </c>
      <c r="K751" s="4">
        <v>0.23</v>
      </c>
      <c r="L751" s="4">
        <v>944</v>
      </c>
      <c r="M751" s="4" t="str">
        <v>UPI</v>
      </c>
      <c r="N751" s="4">
        <v>4663.8900000000003</v>
      </c>
    </row>
    <row r="752" spans="1:14" x14ac:dyDescent="0.3">
      <c r="A752" s="4">
        <v>357</v>
      </c>
      <c r="B752" s="4">
        <v>45648</v>
      </c>
      <c r="C752" s="4">
        <v>1037</v>
      </c>
      <c r="D752" s="4" t="str">
        <v>Customer_125</v>
      </c>
      <c r="E752" s="4" t="str">
        <v>Consumer</v>
      </c>
      <c r="F752" s="4" t="str">
        <v>West</v>
      </c>
      <c r="G752" s="4" t="str">
        <v>Clothing</v>
      </c>
      <c r="H752" s="4" t="str">
        <v>Product_C</v>
      </c>
      <c r="I752" s="4">
        <v>928</v>
      </c>
      <c r="J752" s="4">
        <v>4</v>
      </c>
      <c r="K752" s="4">
        <v>0.03</v>
      </c>
      <c r="L752" s="4">
        <v>182</v>
      </c>
      <c r="M752" s="4" t="str">
        <v>Card</v>
      </c>
      <c r="N752" s="4">
        <v>3600.64</v>
      </c>
    </row>
    <row r="753" spans="1:14" x14ac:dyDescent="0.3">
      <c r="A753" s="4">
        <v>358</v>
      </c>
      <c r="B753" s="4">
        <v>45649</v>
      </c>
      <c r="C753" s="4">
        <v>1094</v>
      </c>
      <c r="D753" s="4" t="str">
        <v>Customer_184</v>
      </c>
      <c r="E753" s="4" t="str">
        <v>Consumer</v>
      </c>
      <c r="F753" s="4" t="str">
        <v>North</v>
      </c>
      <c r="G753" s="4" t="str">
        <v>Electronics</v>
      </c>
      <c r="H753" s="4" t="str">
        <v>Product_C</v>
      </c>
      <c r="I753" s="4">
        <v>570</v>
      </c>
      <c r="J753" s="4">
        <v>8</v>
      </c>
      <c r="K753" s="4">
        <v>0.26</v>
      </c>
      <c r="L753" s="4">
        <v>1134</v>
      </c>
      <c r="M753" s="4" t="str">
        <v>UPI</v>
      </c>
      <c r="N753" s="4">
        <v>3374.4</v>
      </c>
    </row>
    <row r="754" spans="1:14" x14ac:dyDescent="0.3">
      <c r="A754" s="4">
        <v>359</v>
      </c>
      <c r="B754" s="4">
        <v>45650</v>
      </c>
      <c r="C754" s="4">
        <v>1019</v>
      </c>
      <c r="D754" s="4" t="str">
        <v>Customer_95</v>
      </c>
      <c r="E754" s="4" t="str">
        <v>Corporate</v>
      </c>
      <c r="F754" s="4" t="str">
        <v>South</v>
      </c>
      <c r="G754" s="4" t="str">
        <v>Furniture</v>
      </c>
      <c r="H754" s="4" t="str">
        <v>Product_B</v>
      </c>
      <c r="I754" s="4">
        <v>4250</v>
      </c>
      <c r="J754" s="4">
        <v>8</v>
      </c>
      <c r="K754" s="4">
        <v>0.03</v>
      </c>
      <c r="L754" s="4">
        <v>335</v>
      </c>
      <c r="M754" s="4" t="str">
        <v>Card</v>
      </c>
      <c r="N754" s="4">
        <v>32980</v>
      </c>
    </row>
    <row r="755" spans="1:14" x14ac:dyDescent="0.3">
      <c r="A755" s="4">
        <v>360</v>
      </c>
      <c r="B755" s="4">
        <v>45651</v>
      </c>
      <c r="C755" s="4">
        <v>1058</v>
      </c>
      <c r="D755" s="4" t="str">
        <v>Customer_15</v>
      </c>
      <c r="E755" s="4" t="str">
        <v>Corporate</v>
      </c>
      <c r="F755" s="4" t="str">
        <v>North</v>
      </c>
      <c r="G755" s="4" t="str">
        <v>Clothing</v>
      </c>
      <c r="H755" s="4" t="str">
        <v>Product_B</v>
      </c>
      <c r="I755" s="4">
        <v>2351</v>
      </c>
      <c r="J755" s="4">
        <v>9</v>
      </c>
      <c r="K755" s="4">
        <v>0.27</v>
      </c>
      <c r="L755" s="4">
        <v>28</v>
      </c>
      <c r="M755" s="4" t="str">
        <v>COD</v>
      </c>
      <c r="N755" s="4">
        <v>15446.07</v>
      </c>
    </row>
    <row r="756" spans="1:14" x14ac:dyDescent="0.3">
      <c r="A756" s="4">
        <v>361</v>
      </c>
      <c r="B756" s="4">
        <v>45652</v>
      </c>
      <c r="C756" s="4">
        <v>1006</v>
      </c>
      <c r="D756" s="4" t="str">
        <v>Customer_65</v>
      </c>
      <c r="E756" s="4" t="str">
        <v>Corporate</v>
      </c>
      <c r="F756" s="4" t="str">
        <v>East</v>
      </c>
      <c r="G756" s="4" t="str">
        <v>Furniture</v>
      </c>
      <c r="H756" s="4" t="str">
        <v>Product_C</v>
      </c>
      <c r="I756" s="4">
        <v>4067</v>
      </c>
      <c r="J756" s="4">
        <v>6</v>
      </c>
      <c r="K756" s="4">
        <v>0.28999999999999998</v>
      </c>
      <c r="L756" s="4">
        <v>1213</v>
      </c>
      <c r="M756" s="4" t="str">
        <v>UPI</v>
      </c>
      <c r="N756" s="4">
        <v>17325.419999999998</v>
      </c>
    </row>
    <row r="757" spans="1:14" x14ac:dyDescent="0.3">
      <c r="A757" s="4">
        <v>362</v>
      </c>
      <c r="B757" s="4">
        <v>45653</v>
      </c>
      <c r="C757" s="4">
        <v>1090</v>
      </c>
      <c r="D757" s="4" t="str">
        <v>Customer_113</v>
      </c>
      <c r="E757" s="4" t="str">
        <v>Corporate</v>
      </c>
      <c r="F757" s="4" t="str">
        <v>West</v>
      </c>
      <c r="G757" s="4" t="str">
        <v>Furniture</v>
      </c>
      <c r="H757" s="4" t="str">
        <v>Product_D</v>
      </c>
      <c r="I757" s="4">
        <v>2732</v>
      </c>
      <c r="J757" s="4">
        <v>1</v>
      </c>
      <c r="K757" s="4">
        <v>0.18</v>
      </c>
      <c r="L757" s="4">
        <v>547</v>
      </c>
      <c r="M757" s="4" t="str">
        <v>COD</v>
      </c>
      <c r="N757" s="4">
        <v>2240.2399999999998</v>
      </c>
    </row>
    <row r="758" spans="1:14" x14ac:dyDescent="0.3">
      <c r="A758" s="4">
        <v>363</v>
      </c>
      <c r="B758" s="4">
        <v>45654</v>
      </c>
      <c r="C758" s="4">
        <v>1071</v>
      </c>
      <c r="D758" s="4" t="str">
        <v>Customer_140</v>
      </c>
      <c r="E758" s="4" t="str">
        <v>Consumer</v>
      </c>
      <c r="F758" s="4" t="str">
        <v>North</v>
      </c>
      <c r="G758" s="4" t="str">
        <v>Clothing</v>
      </c>
      <c r="H758" s="4" t="str">
        <v>Product_B</v>
      </c>
      <c r="I758" s="4">
        <v>4332</v>
      </c>
      <c r="J758" s="4">
        <v>9</v>
      </c>
      <c r="K758" s="4">
        <v>0.21</v>
      </c>
      <c r="L758" s="4">
        <v>1493</v>
      </c>
      <c r="M758" s="4" t="str">
        <v>COD</v>
      </c>
      <c r="N758" s="4">
        <v>30800.52</v>
      </c>
    </row>
    <row r="759" spans="1:14" x14ac:dyDescent="0.3">
      <c r="A759" s="4">
        <v>365</v>
      </c>
      <c r="B759" s="4">
        <v>45656</v>
      </c>
      <c r="C759" s="4">
        <v>1078</v>
      </c>
      <c r="D759" s="4" t="str">
        <v>Customer_37</v>
      </c>
      <c r="E759" s="4" t="str">
        <v>Consumer</v>
      </c>
      <c r="F759" s="4" t="str">
        <v>North</v>
      </c>
      <c r="G759" s="4" t="str">
        <v>Furniture</v>
      </c>
      <c r="H759" s="4" t="str">
        <v>Product_C</v>
      </c>
      <c r="I759" s="4">
        <v>3189</v>
      </c>
      <c r="J759" s="4">
        <v>1</v>
      </c>
      <c r="K759" s="4">
        <v>0.17</v>
      </c>
      <c r="L759" s="4">
        <v>159</v>
      </c>
      <c r="M759" s="4" t="str">
        <v>UPI</v>
      </c>
      <c r="N759" s="4">
        <v>2646.87</v>
      </c>
    </row>
    <row r="760" spans="1:14" x14ac:dyDescent="0.3">
      <c r="A760" s="4">
        <v>366</v>
      </c>
      <c r="B760" s="4">
        <v>45657</v>
      </c>
      <c r="C760" s="4">
        <v>1070</v>
      </c>
      <c r="D760" s="4" t="str">
        <v>Customer_30</v>
      </c>
      <c r="E760" s="4" t="str">
        <v>Corporate</v>
      </c>
      <c r="F760" s="4" t="str">
        <v>West</v>
      </c>
      <c r="G760" s="4" t="str">
        <v>Clothing</v>
      </c>
      <c r="H760" s="4" t="str">
        <v>Product_C</v>
      </c>
      <c r="I760" s="4">
        <v>531</v>
      </c>
      <c r="J760" s="4">
        <v>9</v>
      </c>
      <c r="K760" s="4">
        <v>0.25</v>
      </c>
      <c r="L760" s="4">
        <v>1369</v>
      </c>
      <c r="M760" s="4" t="str">
        <v>COD</v>
      </c>
      <c r="N760" s="4">
        <v>3584.25</v>
      </c>
    </row>
    <row r="761" spans="1:14" x14ac:dyDescent="0.3">
      <c r="A761" s="4">
        <v>369</v>
      </c>
      <c r="B761" s="4">
        <v>45660</v>
      </c>
      <c r="C761" s="4">
        <v>1097</v>
      </c>
      <c r="D761" s="4" t="str">
        <v>Customer_32</v>
      </c>
      <c r="E761" s="4" t="str">
        <v>Corporate</v>
      </c>
      <c r="F761" s="4" t="str">
        <v>East</v>
      </c>
      <c r="G761" s="4" t="str">
        <v>Clothing</v>
      </c>
      <c r="H761" s="4" t="str">
        <v>Product_C</v>
      </c>
      <c r="I761" s="4">
        <v>4451</v>
      </c>
      <c r="J761" s="4">
        <v>6</v>
      </c>
      <c r="K761" s="4">
        <v>0.12</v>
      </c>
      <c r="L761" s="4">
        <v>978</v>
      </c>
      <c r="M761" s="4" t="str">
        <v>UPI</v>
      </c>
      <c r="N761" s="4">
        <v>23501.279999999999</v>
      </c>
    </row>
    <row r="762" spans="1:14" x14ac:dyDescent="0.3">
      <c r="A762" s="4">
        <v>370</v>
      </c>
      <c r="B762" s="4">
        <v>45661</v>
      </c>
      <c r="C762" s="4">
        <v>1003</v>
      </c>
      <c r="D762" s="4" t="str">
        <v>Customer_2</v>
      </c>
      <c r="E762" s="4" t="str">
        <v>Consumer</v>
      </c>
      <c r="F762" s="4" t="str">
        <v>South</v>
      </c>
      <c r="G762" s="4" t="str">
        <v>Furniture</v>
      </c>
      <c r="H762" s="4" t="str">
        <v>Product_D</v>
      </c>
      <c r="I762" s="4">
        <v>1480</v>
      </c>
      <c r="J762" s="4">
        <v>7</v>
      </c>
      <c r="K762" s="4">
        <v>0.26</v>
      </c>
      <c r="L762" s="4">
        <v>1989</v>
      </c>
      <c r="M762" s="4" t="str">
        <v>UPI</v>
      </c>
      <c r="N762" s="4">
        <v>7666.4</v>
      </c>
    </row>
    <row r="763" spans="1:14" x14ac:dyDescent="0.3">
      <c r="A763" s="4">
        <v>371</v>
      </c>
      <c r="B763" s="4">
        <v>45662</v>
      </c>
      <c r="C763" s="4">
        <v>1000</v>
      </c>
      <c r="D763" s="4" t="str">
        <v>Customer_138</v>
      </c>
      <c r="E763" s="4" t="str">
        <v>Corporate</v>
      </c>
      <c r="F763" s="4" t="str">
        <v>South</v>
      </c>
      <c r="G763" s="4" t="str">
        <v>Clothing</v>
      </c>
      <c r="H763" s="4" t="str">
        <v>Product_C</v>
      </c>
      <c r="I763" s="4">
        <v>241</v>
      </c>
      <c r="J763" s="4">
        <v>7</v>
      </c>
      <c r="K763" s="4">
        <v>0.04</v>
      </c>
      <c r="L763" s="4">
        <v>967</v>
      </c>
      <c r="M763" s="4" t="str">
        <v>COD</v>
      </c>
      <c r="N763" s="4">
        <v>1619.52</v>
      </c>
    </row>
    <row r="764" spans="1:14" x14ac:dyDescent="0.3">
      <c r="A764" s="4">
        <v>373</v>
      </c>
      <c r="B764" s="4">
        <v>45664</v>
      </c>
      <c r="C764" s="4">
        <v>1094</v>
      </c>
      <c r="D764" s="4" t="str">
        <v>Customer_174</v>
      </c>
      <c r="E764" s="4" t="str">
        <v>Consumer</v>
      </c>
      <c r="F764" s="4" t="str">
        <v>West</v>
      </c>
      <c r="G764" s="4" t="str">
        <v>Electronics</v>
      </c>
      <c r="H764" s="4" t="str">
        <v>Product_C</v>
      </c>
      <c r="I764" s="4">
        <v>3947</v>
      </c>
      <c r="J764" s="4">
        <v>8</v>
      </c>
      <c r="K764" s="4">
        <v>0.08</v>
      </c>
      <c r="L764" s="4">
        <v>655</v>
      </c>
      <c r="M764" s="4" t="str">
        <v>COD</v>
      </c>
      <c r="N764" s="4">
        <v>29049.919999999998</v>
      </c>
    </row>
    <row r="765" spans="1:14" x14ac:dyDescent="0.3">
      <c r="A765" s="4">
        <v>374</v>
      </c>
      <c r="B765" s="4">
        <v>45665</v>
      </c>
      <c r="C765" s="4">
        <v>1037</v>
      </c>
      <c r="D765" s="4" t="str">
        <v>Customer_22</v>
      </c>
      <c r="E765" s="4" t="str">
        <v>Consumer</v>
      </c>
      <c r="F765" s="4" t="str">
        <v>East</v>
      </c>
      <c r="G765" s="4" t="str">
        <v>Furniture</v>
      </c>
      <c r="H765" s="4" t="str">
        <v>Product_B</v>
      </c>
      <c r="I765" s="4">
        <v>4287</v>
      </c>
      <c r="J765" s="4">
        <v>8</v>
      </c>
      <c r="K765" s="4">
        <v>0.18</v>
      </c>
      <c r="L765" s="4">
        <v>312</v>
      </c>
      <c r="M765" s="4" t="str">
        <v>UPI</v>
      </c>
      <c r="N765" s="4">
        <v>28122.720000000001</v>
      </c>
    </row>
    <row r="766" spans="1:14" x14ac:dyDescent="0.3">
      <c r="A766" s="4">
        <v>375</v>
      </c>
      <c r="B766" s="4">
        <v>45666</v>
      </c>
      <c r="C766" s="4">
        <v>1052</v>
      </c>
      <c r="D766" s="4" t="str">
        <v>Customer_73</v>
      </c>
      <c r="E766" s="4" t="str">
        <v>Corporate</v>
      </c>
      <c r="F766" s="4" t="str">
        <v>East</v>
      </c>
      <c r="G766" s="4" t="str">
        <v>Clothing</v>
      </c>
      <c r="H766" s="4" t="str">
        <v>Product_C</v>
      </c>
      <c r="I766" s="4">
        <v>1876</v>
      </c>
      <c r="J766" s="4">
        <v>1</v>
      </c>
      <c r="K766" s="4">
        <v>0.11</v>
      </c>
      <c r="L766" s="4">
        <v>486</v>
      </c>
      <c r="M766" s="4" t="str">
        <v>Card</v>
      </c>
      <c r="N766" s="4">
        <v>1669.64</v>
      </c>
    </row>
    <row r="767" spans="1:14" x14ac:dyDescent="0.3">
      <c r="A767" s="4">
        <v>376</v>
      </c>
      <c r="B767" s="4">
        <v>45667</v>
      </c>
      <c r="C767" s="4">
        <v>1083</v>
      </c>
      <c r="D767" s="4" t="str">
        <v>Customer_118</v>
      </c>
      <c r="E767" s="4" t="str">
        <v>Corporate</v>
      </c>
      <c r="F767" s="4" t="str">
        <v>South</v>
      </c>
      <c r="G767" s="4" t="str">
        <v>Furniture</v>
      </c>
      <c r="H767" s="4" t="str">
        <v>Product_C</v>
      </c>
      <c r="I767" s="4">
        <v>3751</v>
      </c>
      <c r="J767" s="4">
        <v>9</v>
      </c>
      <c r="K767" s="4">
        <v>0.28000000000000003</v>
      </c>
      <c r="L767" s="4">
        <v>339</v>
      </c>
      <c r="M767" s="4" t="str">
        <v>COD</v>
      </c>
      <c r="N767" s="4">
        <v>24306.48</v>
      </c>
    </row>
    <row r="768" spans="1:14" x14ac:dyDescent="0.3">
      <c r="A768" s="4">
        <v>378</v>
      </c>
      <c r="B768" s="4">
        <v>45669</v>
      </c>
      <c r="C768" s="4">
        <v>1098</v>
      </c>
      <c r="D768" s="4" t="str">
        <v>Customer_187</v>
      </c>
      <c r="E768" s="4" t="str">
        <v>Corporate</v>
      </c>
      <c r="F768" s="4" t="str">
        <v>North</v>
      </c>
      <c r="G768" s="4" t="str">
        <v>Electronics</v>
      </c>
      <c r="H768" s="4" t="str">
        <v>Product_C</v>
      </c>
      <c r="I768" s="4">
        <v>817</v>
      </c>
      <c r="J768" s="4">
        <v>4</v>
      </c>
      <c r="K768" s="4">
        <v>0.15</v>
      </c>
      <c r="L768" s="4">
        <v>514</v>
      </c>
      <c r="M768" s="4" t="str">
        <v>UPI</v>
      </c>
      <c r="N768" s="4">
        <v>2777.7999999999902</v>
      </c>
    </row>
    <row r="769" spans="1:14" x14ac:dyDescent="0.3">
      <c r="A769" s="4">
        <v>381</v>
      </c>
      <c r="B769" s="4">
        <v>45672</v>
      </c>
      <c r="C769" s="4">
        <v>1002</v>
      </c>
      <c r="D769" s="4" t="str">
        <v>Customer_89</v>
      </c>
      <c r="E769" s="4" t="str">
        <v>Consumer</v>
      </c>
      <c r="F769" s="4" t="str">
        <v>South</v>
      </c>
      <c r="G769" s="4" t="str">
        <v>Clothing</v>
      </c>
      <c r="H769" s="4" t="str">
        <v>Product_D</v>
      </c>
      <c r="I769" s="4">
        <v>1036</v>
      </c>
      <c r="J769" s="4">
        <v>6</v>
      </c>
      <c r="K769" s="4">
        <v>0.08</v>
      </c>
      <c r="L769" s="4">
        <v>162</v>
      </c>
      <c r="M769" s="4" t="str">
        <v>COD</v>
      </c>
      <c r="N769" s="4">
        <v>5718.72</v>
      </c>
    </row>
    <row r="770" spans="1:14" x14ac:dyDescent="0.3">
      <c r="A770" s="4">
        <v>382</v>
      </c>
      <c r="B770" s="4">
        <v>45673</v>
      </c>
      <c r="C770" s="4">
        <v>1091</v>
      </c>
      <c r="D770" s="4" t="str">
        <v>Customer_21</v>
      </c>
      <c r="E770" s="4" t="str">
        <v>Consumer</v>
      </c>
      <c r="F770" s="4" t="str">
        <v>East</v>
      </c>
      <c r="G770" s="4" t="str">
        <v>Furniture</v>
      </c>
      <c r="H770" s="4" t="str">
        <v>Product_C</v>
      </c>
      <c r="I770" s="4">
        <v>396</v>
      </c>
      <c r="J770" s="4">
        <v>2</v>
      </c>
      <c r="K770" s="4">
        <v>0.28999999999999998</v>
      </c>
      <c r="L770" s="4">
        <v>1960</v>
      </c>
      <c r="M770" s="4" t="str">
        <v>Card</v>
      </c>
      <c r="N770" s="4">
        <v>562.31999999999903</v>
      </c>
    </row>
    <row r="771" spans="1:14" x14ac:dyDescent="0.3">
      <c r="A771" s="4">
        <v>383</v>
      </c>
      <c r="B771" s="4">
        <v>45674</v>
      </c>
      <c r="C771" s="4">
        <v>1090</v>
      </c>
      <c r="D771" s="4" t="str">
        <v>Customer_82</v>
      </c>
      <c r="E771" s="4" t="str">
        <v>Consumer</v>
      </c>
      <c r="F771" s="4" t="str">
        <v>West</v>
      </c>
      <c r="G771" s="4" t="str">
        <v>Furniture</v>
      </c>
      <c r="H771" s="4" t="str">
        <v>Product_B</v>
      </c>
      <c r="I771" s="4">
        <v>4994</v>
      </c>
      <c r="J771" s="4">
        <v>9</v>
      </c>
      <c r="K771" s="4">
        <v>0.28000000000000003</v>
      </c>
      <c r="L771" s="4">
        <v>992</v>
      </c>
      <c r="M771" s="4" t="str">
        <v>COD</v>
      </c>
      <c r="N771" s="4">
        <v>32361.119999999999</v>
      </c>
    </row>
    <row r="772" spans="1:14" x14ac:dyDescent="0.3">
      <c r="A772" s="4">
        <v>384</v>
      </c>
      <c r="B772" s="4">
        <v>45675</v>
      </c>
      <c r="C772" s="4">
        <v>1032</v>
      </c>
      <c r="D772" s="4" t="str">
        <v>Customer_20</v>
      </c>
      <c r="E772" s="4" t="str">
        <v>Corporate</v>
      </c>
      <c r="F772" s="4" t="str">
        <v>North</v>
      </c>
      <c r="G772" s="4" t="str">
        <v>Electronics</v>
      </c>
      <c r="H772" s="4" t="str">
        <v>Product_A</v>
      </c>
      <c r="I772" s="4">
        <v>1860</v>
      </c>
      <c r="J772" s="4">
        <v>3</v>
      </c>
      <c r="K772" s="4">
        <v>0.14000000000000001</v>
      </c>
      <c r="L772" s="4">
        <v>1994</v>
      </c>
      <c r="M772" s="4" t="str">
        <v>Card</v>
      </c>
      <c r="N772" s="4">
        <v>4798.8</v>
      </c>
    </row>
    <row r="773" spans="1:14" x14ac:dyDescent="0.3">
      <c r="A773" s="4">
        <v>385</v>
      </c>
      <c r="B773" s="4">
        <v>45676</v>
      </c>
      <c r="C773" s="4">
        <v>1082</v>
      </c>
      <c r="D773" s="4" t="str">
        <v>Customer_113</v>
      </c>
      <c r="E773" s="4" t="str">
        <v>Corporate</v>
      </c>
      <c r="F773" s="4" t="str">
        <v>West</v>
      </c>
      <c r="G773" s="4" t="str">
        <v>Clothing</v>
      </c>
      <c r="H773" s="4" t="str">
        <v>Product_C</v>
      </c>
      <c r="I773" s="4">
        <v>1299</v>
      </c>
      <c r="J773" s="4">
        <v>6</v>
      </c>
      <c r="K773" s="4">
        <v>0</v>
      </c>
      <c r="L773" s="4">
        <v>92</v>
      </c>
      <c r="M773" s="4" t="str">
        <v>UPI</v>
      </c>
      <c r="N773" s="4">
        <v>7794</v>
      </c>
    </row>
    <row r="774" spans="1:14" x14ac:dyDescent="0.3">
      <c r="A774" s="4">
        <v>386</v>
      </c>
      <c r="B774" s="4">
        <v>45677</v>
      </c>
      <c r="C774" s="4">
        <v>1055</v>
      </c>
      <c r="D774" s="4" t="str">
        <v>Customer_167</v>
      </c>
      <c r="E774" s="4" t="str">
        <v>Consumer</v>
      </c>
      <c r="F774" s="4" t="str">
        <v>North</v>
      </c>
      <c r="G774" s="4" t="str">
        <v>Furniture</v>
      </c>
      <c r="H774" s="4" t="str">
        <v>Product_C</v>
      </c>
      <c r="I774" s="4">
        <v>4386</v>
      </c>
      <c r="J774" s="4">
        <v>3</v>
      </c>
      <c r="K774" s="4">
        <v>0.28999999999999998</v>
      </c>
      <c r="L774" s="4">
        <v>838</v>
      </c>
      <c r="M774" s="4" t="str">
        <v>COD</v>
      </c>
      <c r="N774" s="4">
        <v>9342.18</v>
      </c>
    </row>
    <row r="775" spans="1:14" x14ac:dyDescent="0.3">
      <c r="A775" s="4">
        <v>387</v>
      </c>
      <c r="B775" s="4">
        <v>45678</v>
      </c>
      <c r="C775" s="4">
        <v>1032</v>
      </c>
      <c r="D775" s="4" t="str">
        <v>Customer_35</v>
      </c>
      <c r="E775" s="4" t="str">
        <v>Consumer</v>
      </c>
      <c r="F775" s="4" t="str">
        <v>North</v>
      </c>
      <c r="G775" s="4" t="str">
        <v>Electronics</v>
      </c>
      <c r="H775" s="4" t="str">
        <v>Product_A</v>
      </c>
      <c r="I775" s="4">
        <v>3993</v>
      </c>
      <c r="J775" s="4">
        <v>5</v>
      </c>
      <c r="K775" s="4">
        <v>0.21</v>
      </c>
      <c r="L775" s="4">
        <v>1730</v>
      </c>
      <c r="M775" s="4" t="str">
        <v>COD</v>
      </c>
      <c r="N775" s="4">
        <v>15772.35</v>
      </c>
    </row>
    <row r="776" spans="1:14" x14ac:dyDescent="0.3">
      <c r="A776" s="4">
        <v>388</v>
      </c>
      <c r="B776" s="4">
        <v>45679</v>
      </c>
      <c r="C776" s="4">
        <v>1030</v>
      </c>
      <c r="D776" s="4" t="str">
        <v>Customer_29</v>
      </c>
      <c r="E776" s="4" t="str">
        <v>Consumer</v>
      </c>
      <c r="F776" s="4" t="str">
        <v>East</v>
      </c>
      <c r="G776" s="4" t="str">
        <v>Electronics</v>
      </c>
      <c r="H776" s="4" t="str">
        <v>Product_B</v>
      </c>
      <c r="I776" s="4">
        <v>1045</v>
      </c>
      <c r="J776" s="4">
        <v>3</v>
      </c>
      <c r="K776" s="4">
        <v>0.15</v>
      </c>
      <c r="L776" s="4">
        <v>1869</v>
      </c>
      <c r="M776" s="4" t="str">
        <v>Card</v>
      </c>
      <c r="N776" s="4">
        <v>2664.75</v>
      </c>
    </row>
    <row r="777" spans="1:14" x14ac:dyDescent="0.3">
      <c r="A777" s="4">
        <v>389</v>
      </c>
      <c r="B777" s="4">
        <v>45680</v>
      </c>
      <c r="C777" s="4">
        <v>1003</v>
      </c>
      <c r="D777" s="4" t="str">
        <v>Customer_110</v>
      </c>
      <c r="E777" s="4" t="str">
        <v>Corporate</v>
      </c>
      <c r="F777" s="4" t="str">
        <v>West</v>
      </c>
      <c r="G777" s="4" t="str">
        <v>Furniture</v>
      </c>
      <c r="H777" s="4" t="str">
        <v>Product_C</v>
      </c>
      <c r="I777" s="4">
        <v>1736</v>
      </c>
      <c r="J777" s="4">
        <v>8</v>
      </c>
      <c r="K777" s="4">
        <v>0.18</v>
      </c>
      <c r="L777" s="4">
        <v>492</v>
      </c>
      <c r="M777" s="4" t="str">
        <v>COD</v>
      </c>
      <c r="N777" s="4">
        <v>11388.16</v>
      </c>
    </row>
    <row r="778" spans="1:14" x14ac:dyDescent="0.3">
      <c r="A778" s="4">
        <v>390</v>
      </c>
      <c r="B778" s="4">
        <v>45681</v>
      </c>
      <c r="C778" s="4">
        <v>1095</v>
      </c>
      <c r="D778" s="4" t="str">
        <v>Customer_56</v>
      </c>
      <c r="E778" s="4" t="str">
        <v>Consumer</v>
      </c>
      <c r="F778" s="4" t="str">
        <v>North</v>
      </c>
      <c r="G778" s="4" t="str">
        <v>Clothing</v>
      </c>
      <c r="H778" s="4" t="str">
        <v>Product_A</v>
      </c>
      <c r="I778" s="4">
        <v>2341</v>
      </c>
      <c r="J778" s="4">
        <v>4</v>
      </c>
      <c r="K778" s="4">
        <v>0.03</v>
      </c>
      <c r="L778" s="4">
        <v>1730</v>
      </c>
      <c r="M778" s="4" t="str">
        <v>Card</v>
      </c>
      <c r="N778" s="4">
        <v>9083.08</v>
      </c>
    </row>
    <row r="779" spans="1:14" x14ac:dyDescent="0.3">
      <c r="A779" s="4">
        <v>391</v>
      </c>
      <c r="B779" s="4">
        <v>45682</v>
      </c>
      <c r="C779" s="4">
        <v>1091</v>
      </c>
      <c r="D779" s="4" t="str">
        <v>Customer_116</v>
      </c>
      <c r="E779" s="4" t="str">
        <v>Consumer</v>
      </c>
      <c r="F779" s="4" t="str">
        <v>West</v>
      </c>
      <c r="G779" s="4" t="str">
        <v>Clothing</v>
      </c>
      <c r="H779" s="4" t="str">
        <v>Product_C</v>
      </c>
      <c r="I779" s="4">
        <v>3013</v>
      </c>
      <c r="J779" s="4">
        <v>3</v>
      </c>
      <c r="K779" s="4">
        <v>0.05</v>
      </c>
      <c r="L779" s="4">
        <v>1502</v>
      </c>
      <c r="M779" s="4" t="str">
        <v>COD</v>
      </c>
      <c r="N779" s="4">
        <v>8587.0499999999993</v>
      </c>
    </row>
    <row r="780" spans="1:14" x14ac:dyDescent="0.3">
      <c r="A780" s="4">
        <v>392</v>
      </c>
      <c r="B780" s="4">
        <v>45683</v>
      </c>
      <c r="C780" s="4">
        <v>1079</v>
      </c>
      <c r="D780" s="4" t="str">
        <v>Customer_183</v>
      </c>
      <c r="E780" s="4" t="str">
        <v>Corporate</v>
      </c>
      <c r="F780" s="4" t="str">
        <v>North</v>
      </c>
      <c r="G780" s="4" t="str">
        <v>Clothing</v>
      </c>
      <c r="H780" s="4" t="str">
        <v>Product_D</v>
      </c>
      <c r="I780" s="4">
        <v>3266</v>
      </c>
      <c r="J780" s="4">
        <v>8</v>
      </c>
      <c r="K780" s="4">
        <v>0.19</v>
      </c>
      <c r="L780" s="4">
        <v>658</v>
      </c>
      <c r="M780" s="4" t="str">
        <v>UPI</v>
      </c>
      <c r="N780" s="4">
        <v>21163.68</v>
      </c>
    </row>
    <row r="781" spans="1:14" x14ac:dyDescent="0.3">
      <c r="A781" s="4">
        <v>393</v>
      </c>
      <c r="B781" s="4">
        <v>45684</v>
      </c>
      <c r="C781" s="4">
        <v>1091</v>
      </c>
      <c r="D781" s="4" t="str">
        <v>Customer_181</v>
      </c>
      <c r="E781" s="4" t="str">
        <v>Consumer</v>
      </c>
      <c r="F781" s="4" t="str">
        <v>South</v>
      </c>
      <c r="G781" s="4" t="str">
        <v>Clothing</v>
      </c>
      <c r="H781" s="4" t="str">
        <v>Product_C</v>
      </c>
      <c r="I781" s="4">
        <v>4888</v>
      </c>
      <c r="J781" s="4">
        <v>7</v>
      </c>
      <c r="K781" s="4">
        <v>0.01</v>
      </c>
      <c r="L781" s="4">
        <v>249</v>
      </c>
      <c r="M781" s="4" t="str">
        <v>COD</v>
      </c>
      <c r="N781" s="4">
        <v>33873.839999999997</v>
      </c>
    </row>
    <row r="782" spans="1:14" x14ac:dyDescent="0.3">
      <c r="A782" s="4">
        <v>394</v>
      </c>
      <c r="B782" s="4">
        <v>45685</v>
      </c>
      <c r="C782" s="4">
        <v>1078</v>
      </c>
      <c r="D782" s="4" t="str">
        <v>Customer_176</v>
      </c>
      <c r="E782" s="4" t="str">
        <v>Corporate</v>
      </c>
      <c r="F782" s="4" t="str">
        <v>South</v>
      </c>
      <c r="G782" s="4" t="str">
        <v>Electronics</v>
      </c>
      <c r="H782" s="4" t="str">
        <v>Product_B</v>
      </c>
      <c r="I782" s="4">
        <v>4543</v>
      </c>
      <c r="J782" s="4">
        <v>1</v>
      </c>
      <c r="K782" s="4">
        <v>0.21</v>
      </c>
      <c r="L782" s="4">
        <v>62</v>
      </c>
      <c r="M782" s="4" t="str">
        <v>UPI</v>
      </c>
      <c r="N782" s="4">
        <v>3588.97</v>
      </c>
    </row>
    <row r="783" spans="1:14" x14ac:dyDescent="0.3">
      <c r="A783" s="4">
        <v>395</v>
      </c>
      <c r="B783" s="4">
        <v>45686</v>
      </c>
      <c r="C783" s="4">
        <v>1021</v>
      </c>
      <c r="D783" s="4" t="str">
        <v>Customer_67</v>
      </c>
      <c r="E783" s="4" t="str">
        <v>Corporate</v>
      </c>
      <c r="F783" s="4" t="str">
        <v>West</v>
      </c>
      <c r="G783" s="4" t="str">
        <v>Clothing</v>
      </c>
      <c r="H783" s="4" t="str">
        <v>Product_B</v>
      </c>
      <c r="I783" s="4">
        <v>2496</v>
      </c>
      <c r="J783" s="4">
        <v>3</v>
      </c>
      <c r="K783" s="4">
        <v>0.28000000000000003</v>
      </c>
      <c r="L783" s="4">
        <v>455</v>
      </c>
      <c r="M783" s="4" t="str">
        <v>Card</v>
      </c>
      <c r="N783" s="4">
        <v>5391.36</v>
      </c>
    </row>
    <row r="784" spans="1:14" x14ac:dyDescent="0.3">
      <c r="A784" s="4">
        <v>397</v>
      </c>
      <c r="B784" s="4">
        <v>45688</v>
      </c>
      <c r="C784" s="4">
        <v>1059</v>
      </c>
      <c r="D784" s="4" t="str">
        <v>Customer_32</v>
      </c>
      <c r="E784" s="4" t="str">
        <v>Corporate</v>
      </c>
      <c r="F784" s="4" t="str">
        <v>North</v>
      </c>
      <c r="G784" s="4" t="str">
        <v>Furniture</v>
      </c>
      <c r="H784" s="4" t="str">
        <v>Product_A</v>
      </c>
      <c r="I784" s="4">
        <v>593</v>
      </c>
      <c r="J784" s="4">
        <v>4</v>
      </c>
      <c r="K784" s="4">
        <v>0.17</v>
      </c>
      <c r="L784" s="4">
        <v>1059</v>
      </c>
      <c r="M784" s="4" t="str">
        <v>Card</v>
      </c>
      <c r="N784" s="4">
        <v>1968.76</v>
      </c>
    </row>
    <row r="785" spans="1:14" x14ac:dyDescent="0.3">
      <c r="A785" s="4">
        <v>398</v>
      </c>
      <c r="B785" s="4">
        <v>45689</v>
      </c>
      <c r="C785" s="4">
        <v>1084</v>
      </c>
      <c r="D785" s="4" t="str">
        <v>Customer_58</v>
      </c>
      <c r="E785" s="4" t="str">
        <v>Corporate</v>
      </c>
      <c r="F785" s="4" t="str">
        <v>North</v>
      </c>
      <c r="G785" s="4" t="str">
        <v>Furniture</v>
      </c>
      <c r="H785" s="4" t="str">
        <v>Product_A</v>
      </c>
      <c r="I785" s="4">
        <v>2132</v>
      </c>
      <c r="J785" s="4">
        <v>1</v>
      </c>
      <c r="K785" s="4">
        <v>0.24</v>
      </c>
      <c r="L785" s="4">
        <v>1264</v>
      </c>
      <c r="M785" s="4" t="str">
        <v>COD</v>
      </c>
      <c r="N785" s="4">
        <v>1620.32</v>
      </c>
    </row>
    <row r="786" spans="1:14" x14ac:dyDescent="0.3">
      <c r="A786" s="4">
        <v>399</v>
      </c>
      <c r="B786" s="4">
        <v>45690</v>
      </c>
      <c r="C786" s="4">
        <v>1031</v>
      </c>
      <c r="D786" s="4" t="str">
        <v>Customer_78</v>
      </c>
      <c r="E786" s="4" t="str">
        <v>Consumer</v>
      </c>
      <c r="F786" s="4" t="str">
        <v>North</v>
      </c>
      <c r="G786" s="4" t="str">
        <v>Furniture</v>
      </c>
      <c r="H786" s="4" t="str">
        <v>Product_A</v>
      </c>
      <c r="I786" s="4">
        <v>160</v>
      </c>
      <c r="J786" s="4">
        <v>9</v>
      </c>
      <c r="K786" s="4">
        <v>0.22</v>
      </c>
      <c r="L786" s="4">
        <v>121</v>
      </c>
      <c r="M786" s="4" t="str">
        <v>UPI</v>
      </c>
      <c r="N786" s="4">
        <v>1123.2</v>
      </c>
    </row>
    <row r="787" spans="1:14" x14ac:dyDescent="0.3">
      <c r="A787" s="4">
        <v>401</v>
      </c>
      <c r="B787" s="4">
        <v>45692</v>
      </c>
      <c r="C787" s="4">
        <v>1096</v>
      </c>
      <c r="D787" s="4" t="str">
        <v>Customer_28</v>
      </c>
      <c r="E787" s="4" t="str">
        <v>Consumer</v>
      </c>
      <c r="F787" s="4" t="str">
        <v>East</v>
      </c>
      <c r="G787" s="4" t="str">
        <v>Electronics</v>
      </c>
      <c r="H787" s="4" t="str">
        <v>Product_C</v>
      </c>
      <c r="I787" s="4">
        <v>3601</v>
      </c>
      <c r="J787" s="4">
        <v>7</v>
      </c>
      <c r="K787" s="4">
        <v>0.06</v>
      </c>
      <c r="L787" s="4">
        <v>774</v>
      </c>
      <c r="M787" s="4" t="str">
        <v>Card</v>
      </c>
      <c r="N787" s="4">
        <v>23694.5799999999</v>
      </c>
    </row>
    <row r="788" spans="1:14" x14ac:dyDescent="0.3">
      <c r="A788" s="4">
        <v>402</v>
      </c>
      <c r="B788" s="4">
        <v>45693</v>
      </c>
      <c r="C788" s="4">
        <v>1007</v>
      </c>
      <c r="D788" s="4" t="str">
        <v>Customer_72</v>
      </c>
      <c r="E788" s="4" t="str">
        <v>Consumer</v>
      </c>
      <c r="F788" s="4" t="str">
        <v>West</v>
      </c>
      <c r="G788" s="4" t="str">
        <v>Clothing</v>
      </c>
      <c r="H788" s="4" t="str">
        <v>Product_D</v>
      </c>
      <c r="I788" s="4">
        <v>1056</v>
      </c>
      <c r="J788" s="4">
        <v>2</v>
      </c>
      <c r="K788" s="4">
        <v>0</v>
      </c>
      <c r="L788" s="4">
        <v>1283</v>
      </c>
      <c r="M788" s="4" t="str">
        <v>UPI</v>
      </c>
      <c r="N788" s="4">
        <v>2112</v>
      </c>
    </row>
    <row r="789" spans="1:14" x14ac:dyDescent="0.3">
      <c r="A789" s="4">
        <v>403</v>
      </c>
      <c r="B789" s="4">
        <v>45694</v>
      </c>
      <c r="C789" s="4">
        <v>1077</v>
      </c>
      <c r="D789" s="4" t="str">
        <v>Customer_109</v>
      </c>
      <c r="E789" s="4" t="str">
        <v>Consumer</v>
      </c>
      <c r="F789" s="4" t="str">
        <v>West</v>
      </c>
      <c r="G789" s="4" t="str">
        <v>Clothing</v>
      </c>
      <c r="H789" s="4" t="str">
        <v>Product_D</v>
      </c>
      <c r="I789" s="4">
        <v>4889</v>
      </c>
      <c r="J789" s="4">
        <v>8</v>
      </c>
      <c r="K789" s="4">
        <v>0.14000000000000001</v>
      </c>
      <c r="L789" s="4">
        <v>517</v>
      </c>
      <c r="M789" s="4" t="str">
        <v>UPI</v>
      </c>
      <c r="N789" s="4">
        <v>33636.32</v>
      </c>
    </row>
    <row r="790" spans="1:14" x14ac:dyDescent="0.3">
      <c r="A790" s="4">
        <v>406</v>
      </c>
      <c r="B790" s="4">
        <v>45697</v>
      </c>
      <c r="C790" s="4">
        <v>1095</v>
      </c>
      <c r="D790" s="4" t="str">
        <v>Customer_18</v>
      </c>
      <c r="E790" s="4" t="str">
        <v>Corporate</v>
      </c>
      <c r="F790" s="4" t="str">
        <v>West</v>
      </c>
      <c r="G790" s="4" t="str">
        <v>Electronics</v>
      </c>
      <c r="H790" s="4" t="str">
        <v>Product_D</v>
      </c>
      <c r="I790" s="4">
        <v>3263</v>
      </c>
      <c r="J790" s="4">
        <v>8</v>
      </c>
      <c r="K790" s="4">
        <v>0.15</v>
      </c>
      <c r="L790" s="4">
        <v>562</v>
      </c>
      <c r="M790" s="4" t="str">
        <v>COD</v>
      </c>
      <c r="N790" s="4">
        <v>22188.3999999999</v>
      </c>
    </row>
    <row r="791" spans="1:14" x14ac:dyDescent="0.3">
      <c r="A791" s="4">
        <v>407</v>
      </c>
      <c r="B791" s="4">
        <v>45698</v>
      </c>
      <c r="C791" s="4">
        <v>1027</v>
      </c>
      <c r="D791" s="4" t="str">
        <v>Customer_179</v>
      </c>
      <c r="E791" s="4" t="str">
        <v>Corporate</v>
      </c>
      <c r="F791" s="4" t="str">
        <v>North</v>
      </c>
      <c r="G791" s="4" t="str">
        <v>Electronics</v>
      </c>
      <c r="H791" s="4" t="str">
        <v>Product_D</v>
      </c>
      <c r="I791" s="4">
        <v>1024</v>
      </c>
      <c r="J791" s="4">
        <v>5</v>
      </c>
      <c r="K791" s="4">
        <v>0.11</v>
      </c>
      <c r="L791" s="4">
        <v>538</v>
      </c>
      <c r="M791" s="4" t="str">
        <v>COD</v>
      </c>
      <c r="N791" s="4">
        <v>4556.8</v>
      </c>
    </row>
    <row r="792" spans="1:14" x14ac:dyDescent="0.3">
      <c r="A792" s="4">
        <v>408</v>
      </c>
      <c r="B792" s="4">
        <v>45699</v>
      </c>
      <c r="C792" s="4">
        <v>1065</v>
      </c>
      <c r="D792" s="4" t="str">
        <v>Customer_50</v>
      </c>
      <c r="E792" s="4" t="str">
        <v>Consumer</v>
      </c>
      <c r="F792" s="4" t="str">
        <v>East</v>
      </c>
      <c r="G792" s="4" t="str">
        <v>Clothing</v>
      </c>
      <c r="H792" s="4" t="str">
        <v>Product_A</v>
      </c>
      <c r="I792" s="4">
        <v>2288</v>
      </c>
      <c r="J792" s="4">
        <v>7</v>
      </c>
      <c r="K792" s="4">
        <v>0.15</v>
      </c>
      <c r="L792" s="4">
        <v>634</v>
      </c>
      <c r="M792" s="4" t="str">
        <v>Card</v>
      </c>
      <c r="N792" s="4">
        <v>13613.6</v>
      </c>
    </row>
    <row r="793" spans="1:14" x14ac:dyDescent="0.3">
      <c r="A793" s="4">
        <v>409</v>
      </c>
      <c r="B793" s="4">
        <v>45700</v>
      </c>
      <c r="C793" s="4">
        <v>1016</v>
      </c>
      <c r="D793" s="4" t="str">
        <v>Customer_43</v>
      </c>
      <c r="E793" s="4" t="str">
        <v>Consumer</v>
      </c>
      <c r="F793" s="4" t="str">
        <v>West</v>
      </c>
      <c r="G793" s="4" t="str">
        <v>Electronics</v>
      </c>
      <c r="H793" s="4" t="str">
        <v>Product_A</v>
      </c>
      <c r="I793" s="4">
        <v>4617</v>
      </c>
      <c r="J793" s="4">
        <v>9</v>
      </c>
      <c r="K793" s="4">
        <v>0.08</v>
      </c>
      <c r="L793" s="4">
        <v>1491</v>
      </c>
      <c r="M793" s="4" t="str">
        <v>Card</v>
      </c>
      <c r="N793" s="4">
        <v>38228.76</v>
      </c>
    </row>
    <row r="794" spans="1:14" x14ac:dyDescent="0.3">
      <c r="A794" s="4">
        <v>410</v>
      </c>
      <c r="B794" s="4">
        <v>45701</v>
      </c>
      <c r="C794" s="4">
        <v>1090</v>
      </c>
      <c r="D794" s="4" t="str">
        <v>Customer_85</v>
      </c>
      <c r="E794" s="4" t="str">
        <v>Consumer</v>
      </c>
      <c r="F794" s="4" t="str">
        <v>West</v>
      </c>
      <c r="G794" s="4" t="str">
        <v>Clothing</v>
      </c>
      <c r="H794" s="4" t="str">
        <v>Product_D</v>
      </c>
      <c r="I794" s="4">
        <v>1303</v>
      </c>
      <c r="J794" s="4">
        <v>5</v>
      </c>
      <c r="K794" s="4">
        <v>0.18</v>
      </c>
      <c r="L794" s="4">
        <v>826</v>
      </c>
      <c r="M794" s="4" t="str">
        <v>Card</v>
      </c>
      <c r="N794" s="4">
        <v>5342.3</v>
      </c>
    </row>
    <row r="795" spans="1:14" x14ac:dyDescent="0.3">
      <c r="A795" s="4">
        <v>411</v>
      </c>
      <c r="B795" s="4">
        <v>45702</v>
      </c>
      <c r="C795" s="4">
        <v>1001</v>
      </c>
      <c r="D795" s="4" t="str">
        <v>Customer_46</v>
      </c>
      <c r="E795" s="4" t="str">
        <v>Consumer</v>
      </c>
      <c r="F795" s="4" t="str">
        <v>South</v>
      </c>
      <c r="G795" s="4" t="str">
        <v>Furniture</v>
      </c>
      <c r="H795" s="4" t="str">
        <v>Product_A</v>
      </c>
      <c r="I795" s="4">
        <v>2942</v>
      </c>
      <c r="J795" s="4">
        <v>7</v>
      </c>
      <c r="K795" s="4">
        <v>0.19</v>
      </c>
      <c r="L795" s="4">
        <v>90</v>
      </c>
      <c r="M795" s="4" t="str">
        <v>UPI</v>
      </c>
      <c r="N795" s="4">
        <v>16681.14</v>
      </c>
    </row>
    <row r="796" spans="1:14" x14ac:dyDescent="0.3">
      <c r="A796" s="4">
        <v>412</v>
      </c>
      <c r="B796" s="4">
        <v>45703</v>
      </c>
      <c r="C796" s="4">
        <v>1007</v>
      </c>
      <c r="D796" s="4" t="str">
        <v>Customer_24</v>
      </c>
      <c r="E796" s="4" t="str">
        <v>Consumer</v>
      </c>
      <c r="F796" s="4" t="str">
        <v>West</v>
      </c>
      <c r="G796" s="4" t="str">
        <v>Furniture</v>
      </c>
      <c r="H796" s="4" t="str">
        <v>Product_C</v>
      </c>
      <c r="I796" s="4">
        <v>3138</v>
      </c>
      <c r="J796" s="4">
        <v>8</v>
      </c>
      <c r="K796" s="4">
        <v>0.06</v>
      </c>
      <c r="L796" s="4">
        <v>281</v>
      </c>
      <c r="M796" s="4" t="str">
        <v>COD</v>
      </c>
      <c r="N796" s="4">
        <v>23597.759999999998</v>
      </c>
    </row>
    <row r="797" spans="1:14" x14ac:dyDescent="0.3">
      <c r="A797" s="4">
        <v>413</v>
      </c>
      <c r="B797" s="4">
        <v>45704</v>
      </c>
      <c r="C797" s="4">
        <v>1037</v>
      </c>
      <c r="D797" s="4" t="str">
        <v>Customer_5</v>
      </c>
      <c r="E797" s="4" t="str">
        <v>Corporate</v>
      </c>
      <c r="F797" s="4" t="str">
        <v>South</v>
      </c>
      <c r="G797" s="4" t="str">
        <v>Electronics</v>
      </c>
      <c r="H797" s="4" t="str">
        <v>Product_C</v>
      </c>
      <c r="I797" s="4">
        <v>2851</v>
      </c>
      <c r="J797" s="4">
        <v>4</v>
      </c>
      <c r="K797" s="4">
        <v>0.17</v>
      </c>
      <c r="L797" s="4">
        <v>385</v>
      </c>
      <c r="M797" s="4" t="str">
        <v>Card</v>
      </c>
      <c r="N797" s="4">
        <v>9465.32</v>
      </c>
    </row>
    <row r="798" spans="1:14" x14ac:dyDescent="0.3">
      <c r="A798" s="4">
        <v>415</v>
      </c>
      <c r="B798" s="4">
        <v>45706</v>
      </c>
      <c r="C798" s="4">
        <v>1063</v>
      </c>
      <c r="D798" s="4" t="str">
        <v>Customer_43</v>
      </c>
      <c r="E798" s="4" t="str">
        <v>Corporate</v>
      </c>
      <c r="F798" s="4" t="str">
        <v>West</v>
      </c>
      <c r="G798" s="4" t="str">
        <v>Furniture</v>
      </c>
      <c r="H798" s="4" t="str">
        <v>Product_A</v>
      </c>
      <c r="I798" s="4">
        <v>4382</v>
      </c>
      <c r="J798" s="4">
        <v>8</v>
      </c>
      <c r="K798" s="4">
        <v>0.28999999999999998</v>
      </c>
      <c r="L798" s="4">
        <v>420</v>
      </c>
      <c r="M798" s="4" t="str">
        <v>UPI</v>
      </c>
      <c r="N798" s="4">
        <v>24889.759999999998</v>
      </c>
    </row>
    <row r="799" spans="1:14" x14ac:dyDescent="0.3">
      <c r="A799" s="4">
        <v>416</v>
      </c>
      <c r="B799" s="4">
        <v>45707</v>
      </c>
      <c r="C799" s="4">
        <v>1020</v>
      </c>
      <c r="D799" s="4" t="str">
        <v>Customer_53</v>
      </c>
      <c r="E799" s="4" t="str">
        <v>Consumer</v>
      </c>
      <c r="F799" s="4" t="str">
        <v>East</v>
      </c>
      <c r="G799" s="4" t="str">
        <v>Furniture</v>
      </c>
      <c r="H799" s="4" t="str">
        <v>Product_C</v>
      </c>
      <c r="I799" s="4">
        <v>346</v>
      </c>
      <c r="J799" s="4">
        <v>1</v>
      </c>
      <c r="K799" s="4">
        <v>0.22</v>
      </c>
      <c r="L799" s="4">
        <v>1283</v>
      </c>
      <c r="M799" s="4" t="str">
        <v>COD</v>
      </c>
      <c r="N799" s="4">
        <v>269.88</v>
      </c>
    </row>
    <row r="800" spans="1:14" x14ac:dyDescent="0.3">
      <c r="A800" s="4">
        <v>417</v>
      </c>
      <c r="B800" s="4">
        <v>45708</v>
      </c>
      <c r="C800" s="4">
        <v>1089</v>
      </c>
      <c r="D800" s="4" t="str">
        <v>Customer_152</v>
      </c>
      <c r="E800" s="4" t="str">
        <v>Consumer</v>
      </c>
      <c r="F800" s="4" t="str">
        <v>South</v>
      </c>
      <c r="G800" s="4" t="str">
        <v>Electronics</v>
      </c>
      <c r="H800" s="4" t="str">
        <v>Product_B</v>
      </c>
      <c r="I800" s="4">
        <v>895</v>
      </c>
      <c r="J800" s="4">
        <v>7</v>
      </c>
      <c r="K800" s="4">
        <v>0.05</v>
      </c>
      <c r="L800" s="4">
        <v>305</v>
      </c>
      <c r="M800" s="4" t="str">
        <v>Card</v>
      </c>
      <c r="N800" s="4">
        <v>5951.75</v>
      </c>
    </row>
    <row r="801" spans="1:14" x14ac:dyDescent="0.3">
      <c r="A801" s="4">
        <v>418</v>
      </c>
      <c r="B801" s="4">
        <v>45709</v>
      </c>
      <c r="C801" s="4">
        <v>1030</v>
      </c>
      <c r="D801" s="4" t="str">
        <v>Customer_103</v>
      </c>
      <c r="E801" s="4" t="str">
        <v>Consumer</v>
      </c>
      <c r="F801" s="4" t="str">
        <v>North</v>
      </c>
      <c r="G801" s="4" t="str">
        <v>Clothing</v>
      </c>
      <c r="H801" s="4" t="str">
        <v>Product_D</v>
      </c>
      <c r="I801" s="4">
        <v>3786</v>
      </c>
      <c r="J801" s="4">
        <v>6</v>
      </c>
      <c r="K801" s="4">
        <v>0.26</v>
      </c>
      <c r="L801" s="4">
        <v>1046</v>
      </c>
      <c r="M801" s="4" t="str">
        <v>UPI</v>
      </c>
      <c r="N801" s="4">
        <v>16809.84</v>
      </c>
    </row>
    <row r="802" spans="1:14" x14ac:dyDescent="0.3">
      <c r="A802" s="4">
        <v>419</v>
      </c>
      <c r="B802" s="4">
        <v>45710</v>
      </c>
      <c r="C802" s="4">
        <v>1083</v>
      </c>
      <c r="D802" s="4" t="str">
        <v>Customer_142</v>
      </c>
      <c r="E802" s="4" t="str">
        <v>Corporate</v>
      </c>
      <c r="F802" s="4" t="str">
        <v>North</v>
      </c>
      <c r="G802" s="4" t="str">
        <v>Electronics</v>
      </c>
      <c r="H802" s="4" t="str">
        <v>Product_A</v>
      </c>
      <c r="I802" s="4">
        <v>1037</v>
      </c>
      <c r="J802" s="4">
        <v>9</v>
      </c>
      <c r="K802" s="4">
        <v>0.14000000000000001</v>
      </c>
      <c r="L802" s="4">
        <v>1107</v>
      </c>
      <c r="M802" s="4" t="str">
        <v>Card</v>
      </c>
      <c r="N802" s="4">
        <v>8026.38</v>
      </c>
    </row>
    <row r="803" spans="1:14" x14ac:dyDescent="0.3">
      <c r="A803" s="4">
        <v>420</v>
      </c>
      <c r="B803" s="4">
        <v>45711</v>
      </c>
      <c r="C803" s="4">
        <v>1069</v>
      </c>
      <c r="D803" s="4" t="str">
        <v>Customer_164</v>
      </c>
      <c r="E803" s="4" t="str">
        <v>Corporate</v>
      </c>
      <c r="F803" s="4" t="str">
        <v>East</v>
      </c>
      <c r="G803" s="4" t="str">
        <v>Clothing</v>
      </c>
      <c r="H803" s="4" t="str">
        <v>Product_B</v>
      </c>
      <c r="I803" s="4">
        <v>2011</v>
      </c>
      <c r="J803" s="4">
        <v>8</v>
      </c>
      <c r="K803" s="4">
        <v>0.25</v>
      </c>
      <c r="L803" s="4">
        <v>1506</v>
      </c>
      <c r="M803" s="4" t="str">
        <v>Card</v>
      </c>
      <c r="N803" s="4">
        <v>12066</v>
      </c>
    </row>
    <row r="804" spans="1:14" x14ac:dyDescent="0.3">
      <c r="A804" s="4">
        <v>422</v>
      </c>
      <c r="B804" s="4">
        <v>45713</v>
      </c>
      <c r="C804" s="4">
        <v>1056</v>
      </c>
      <c r="D804" s="4" t="str">
        <v>Customer_13</v>
      </c>
      <c r="E804" s="4" t="str">
        <v>Corporate</v>
      </c>
      <c r="F804" s="4" t="str">
        <v>East</v>
      </c>
      <c r="G804" s="4" t="str">
        <v>Clothing</v>
      </c>
      <c r="H804" s="4" t="str">
        <v>Product_A</v>
      </c>
      <c r="I804" s="4">
        <v>837</v>
      </c>
      <c r="J804" s="4">
        <v>2</v>
      </c>
      <c r="K804" s="4">
        <v>0.01</v>
      </c>
      <c r="L804" s="4">
        <v>1937</v>
      </c>
      <c r="M804" s="4" t="str">
        <v>COD</v>
      </c>
      <c r="N804" s="4">
        <v>1657.26</v>
      </c>
    </row>
    <row r="805" spans="1:14" x14ac:dyDescent="0.3">
      <c r="A805" s="4">
        <v>423</v>
      </c>
      <c r="B805" s="4">
        <v>45714</v>
      </c>
      <c r="C805" s="4">
        <v>1000</v>
      </c>
      <c r="D805" s="4" t="str">
        <v>Customer_21</v>
      </c>
      <c r="E805" s="4" t="str">
        <v>Consumer</v>
      </c>
      <c r="F805" s="4" t="str">
        <v>North</v>
      </c>
      <c r="G805" s="4" t="str">
        <v>Clothing</v>
      </c>
      <c r="H805" s="4" t="str">
        <v>Product_A</v>
      </c>
      <c r="I805" s="4">
        <v>734</v>
      </c>
      <c r="J805" s="4">
        <v>3</v>
      </c>
      <c r="K805" s="4">
        <v>7.0000000000000007E-2</v>
      </c>
      <c r="L805" s="4">
        <v>1682</v>
      </c>
      <c r="M805" s="4" t="str">
        <v>UPI</v>
      </c>
      <c r="N805" s="4">
        <v>2047.86</v>
      </c>
    </row>
    <row r="806" spans="1:14" x14ac:dyDescent="0.3">
      <c r="A806" s="4">
        <v>424</v>
      </c>
      <c r="B806" s="4">
        <v>45715</v>
      </c>
      <c r="C806" s="4">
        <v>1089</v>
      </c>
      <c r="D806" s="4" t="str">
        <v>Customer_90</v>
      </c>
      <c r="E806" s="4" t="str">
        <v>Corporate</v>
      </c>
      <c r="F806" s="4" t="str">
        <v>West</v>
      </c>
      <c r="G806" s="4" t="str">
        <v>Electronics</v>
      </c>
      <c r="H806" s="4" t="str">
        <v>Product_B</v>
      </c>
      <c r="I806" s="4">
        <v>316</v>
      </c>
      <c r="J806" s="4">
        <v>7</v>
      </c>
      <c r="K806" s="4">
        <v>0.27</v>
      </c>
      <c r="L806" s="4">
        <v>1139</v>
      </c>
      <c r="M806" s="4" t="str">
        <v>Card</v>
      </c>
      <c r="N806" s="4">
        <v>1614.76</v>
      </c>
    </row>
    <row r="807" spans="1:14" x14ac:dyDescent="0.3">
      <c r="A807" s="4">
        <v>425</v>
      </c>
      <c r="B807" s="4">
        <v>45716</v>
      </c>
      <c r="C807" s="4">
        <v>1028</v>
      </c>
      <c r="D807" s="4" t="str">
        <v>Customer_98</v>
      </c>
      <c r="E807" s="4" t="str">
        <v>Consumer</v>
      </c>
      <c r="F807" s="4" t="str">
        <v>South</v>
      </c>
      <c r="G807" s="4" t="str">
        <v>Furniture</v>
      </c>
      <c r="H807" s="4" t="str">
        <v>Product_D</v>
      </c>
      <c r="I807" s="4">
        <v>519</v>
      </c>
      <c r="J807" s="4">
        <v>9</v>
      </c>
      <c r="K807" s="4">
        <v>0.23</v>
      </c>
      <c r="L807" s="4">
        <v>411</v>
      </c>
      <c r="M807" s="4" t="str">
        <v>Card</v>
      </c>
      <c r="N807" s="4">
        <v>3596.67</v>
      </c>
    </row>
    <row r="808" spans="1:14" x14ac:dyDescent="0.3">
      <c r="A808" s="4">
        <v>426</v>
      </c>
      <c r="B808" s="4">
        <v>45717</v>
      </c>
      <c r="C808" s="4">
        <v>1065</v>
      </c>
      <c r="D808" s="4" t="str">
        <v>Customer_40</v>
      </c>
      <c r="E808" s="4" t="str">
        <v>Consumer</v>
      </c>
      <c r="F808" s="4" t="str">
        <v>North</v>
      </c>
      <c r="G808" s="4" t="str">
        <v>Clothing</v>
      </c>
      <c r="H808" s="4" t="str">
        <v>Product_A</v>
      </c>
      <c r="I808" s="4">
        <v>2662</v>
      </c>
      <c r="J808" s="4">
        <v>3</v>
      </c>
      <c r="K808" s="4">
        <v>0.04</v>
      </c>
      <c r="L808" s="4">
        <v>1264</v>
      </c>
      <c r="M808" s="4" t="str">
        <v>UPI</v>
      </c>
      <c r="N808" s="4">
        <v>7666.5599999999904</v>
      </c>
    </row>
    <row r="809" spans="1:14" x14ac:dyDescent="0.3">
      <c r="A809" s="4">
        <v>427</v>
      </c>
      <c r="B809" s="4">
        <v>45718</v>
      </c>
      <c r="C809" s="4">
        <v>1021</v>
      </c>
      <c r="D809" s="4" t="str">
        <v>Customer_43</v>
      </c>
      <c r="E809" s="4" t="str">
        <v>Consumer</v>
      </c>
      <c r="F809" s="4" t="str">
        <v>East</v>
      </c>
      <c r="G809" s="4" t="str">
        <v>Clothing</v>
      </c>
      <c r="H809" s="4" t="str">
        <v>Product_D</v>
      </c>
      <c r="I809" s="4">
        <v>408</v>
      </c>
      <c r="J809" s="4">
        <v>7</v>
      </c>
      <c r="K809" s="4">
        <v>0.06</v>
      </c>
      <c r="L809" s="4">
        <v>1876</v>
      </c>
      <c r="M809" s="4" t="str">
        <v>Card</v>
      </c>
      <c r="N809" s="4">
        <v>2684.64</v>
      </c>
    </row>
    <row r="810" spans="1:14" x14ac:dyDescent="0.3">
      <c r="A810" s="4">
        <v>428</v>
      </c>
      <c r="B810" s="4">
        <v>45719</v>
      </c>
      <c r="C810" s="4">
        <v>1060</v>
      </c>
      <c r="D810" s="4" t="str">
        <v>Customer_59</v>
      </c>
      <c r="E810" s="4" t="str">
        <v>Consumer</v>
      </c>
      <c r="F810" s="4" t="str">
        <v>South</v>
      </c>
      <c r="G810" s="4" t="str">
        <v>Clothing</v>
      </c>
      <c r="H810" s="4" t="str">
        <v>Product_D</v>
      </c>
      <c r="I810" s="4">
        <v>4903</v>
      </c>
      <c r="J810" s="4">
        <v>1</v>
      </c>
      <c r="K810" s="4">
        <v>0.19</v>
      </c>
      <c r="L810" s="4">
        <v>1541</v>
      </c>
      <c r="M810" s="4" t="str">
        <v>UPI</v>
      </c>
      <c r="N810" s="4">
        <v>3971.43</v>
      </c>
    </row>
    <row r="811" spans="1:14" x14ac:dyDescent="0.3">
      <c r="A811" s="4">
        <v>429</v>
      </c>
      <c r="B811" s="4">
        <v>45720</v>
      </c>
      <c r="C811" s="4">
        <v>1028</v>
      </c>
      <c r="D811" s="4" t="str">
        <v>Customer_49</v>
      </c>
      <c r="E811" s="4" t="str">
        <v>Corporate</v>
      </c>
      <c r="F811" s="4" t="str">
        <v>West</v>
      </c>
      <c r="G811" s="4" t="str">
        <v>Electronics</v>
      </c>
      <c r="H811" s="4" t="str">
        <v>Product_D</v>
      </c>
      <c r="I811" s="4">
        <v>1966</v>
      </c>
      <c r="J811" s="4">
        <v>3</v>
      </c>
      <c r="K811" s="4">
        <v>0.08</v>
      </c>
      <c r="L811" s="4">
        <v>919</v>
      </c>
      <c r="M811" s="4" t="str">
        <v>Card</v>
      </c>
      <c r="N811" s="4">
        <v>5426.16</v>
      </c>
    </row>
    <row r="812" spans="1:14" x14ac:dyDescent="0.3">
      <c r="A812" s="4">
        <v>430</v>
      </c>
      <c r="B812" s="4">
        <v>45721</v>
      </c>
      <c r="C812" s="4">
        <v>1008</v>
      </c>
      <c r="D812" s="4" t="str">
        <v>Customer_175</v>
      </c>
      <c r="E812" s="4" t="str">
        <v>Corporate</v>
      </c>
      <c r="F812" s="4" t="str">
        <v>West</v>
      </c>
      <c r="G812" s="4" t="str">
        <v>Clothing</v>
      </c>
      <c r="H812" s="4" t="str">
        <v>Product_B</v>
      </c>
      <c r="I812" s="4">
        <v>1083</v>
      </c>
      <c r="J812" s="4">
        <v>2</v>
      </c>
      <c r="K812" s="4">
        <v>0.06</v>
      </c>
      <c r="L812" s="4">
        <v>25</v>
      </c>
      <c r="M812" s="4" t="str">
        <v>Card</v>
      </c>
      <c r="N812" s="4">
        <v>2036.04</v>
      </c>
    </row>
    <row r="813" spans="1:14" x14ac:dyDescent="0.3">
      <c r="A813" s="4">
        <v>431</v>
      </c>
      <c r="B813" s="4">
        <v>45722</v>
      </c>
      <c r="C813" s="4">
        <v>1040</v>
      </c>
      <c r="D813" s="4" t="str">
        <v>Customer_147</v>
      </c>
      <c r="E813" s="4" t="str">
        <v>Corporate</v>
      </c>
      <c r="F813" s="4" t="str">
        <v>East</v>
      </c>
      <c r="G813" s="4" t="str">
        <v>Furniture</v>
      </c>
      <c r="H813" s="4" t="str">
        <v>Product_D</v>
      </c>
      <c r="I813" s="4">
        <v>3878</v>
      </c>
      <c r="J813" s="4">
        <v>6</v>
      </c>
      <c r="K813" s="4">
        <v>0.3</v>
      </c>
      <c r="L813" s="4">
        <v>227</v>
      </c>
      <c r="M813" s="4" t="str">
        <v>Card</v>
      </c>
      <c r="N813" s="4">
        <v>16287.5999999999</v>
      </c>
    </row>
    <row r="814" spans="1:14" x14ac:dyDescent="0.3">
      <c r="A814" s="4">
        <v>433</v>
      </c>
      <c r="B814" s="4">
        <v>45724</v>
      </c>
      <c r="C814" s="4">
        <v>1054</v>
      </c>
      <c r="D814" s="4" t="str">
        <v>Customer_36</v>
      </c>
      <c r="E814" s="4" t="str">
        <v>Consumer</v>
      </c>
      <c r="F814" s="4" t="str">
        <v>North</v>
      </c>
      <c r="G814" s="4" t="str">
        <v>Furniture</v>
      </c>
      <c r="H814" s="4" t="str">
        <v>Product_A</v>
      </c>
      <c r="I814" s="4">
        <v>3414</v>
      </c>
      <c r="J814" s="4">
        <v>3</v>
      </c>
      <c r="K814" s="4">
        <v>0.16</v>
      </c>
      <c r="L814" s="4">
        <v>1361</v>
      </c>
      <c r="M814" s="4" t="str">
        <v>UPI</v>
      </c>
      <c r="N814" s="4">
        <v>8603.2799999999897</v>
      </c>
    </row>
    <row r="815" spans="1:14" x14ac:dyDescent="0.3">
      <c r="A815" s="4">
        <v>434</v>
      </c>
      <c r="B815" s="4">
        <v>45725</v>
      </c>
      <c r="C815" s="4">
        <v>1095</v>
      </c>
      <c r="D815" s="4" t="str">
        <v>Customer_122</v>
      </c>
      <c r="E815" s="4" t="str">
        <v>Consumer</v>
      </c>
      <c r="F815" s="4" t="str">
        <v>South</v>
      </c>
      <c r="G815" s="4" t="str">
        <v>Furniture</v>
      </c>
      <c r="H815" s="4" t="str">
        <v>Product_D</v>
      </c>
      <c r="I815" s="4">
        <v>661</v>
      </c>
      <c r="J815" s="4">
        <v>8</v>
      </c>
      <c r="K815" s="4">
        <v>0.2</v>
      </c>
      <c r="L815" s="4">
        <v>31</v>
      </c>
      <c r="M815" s="4" t="str">
        <v>COD</v>
      </c>
      <c r="N815" s="4">
        <v>4230.3999999999996</v>
      </c>
    </row>
    <row r="816" spans="1:14" x14ac:dyDescent="0.3">
      <c r="A816" s="4">
        <v>435</v>
      </c>
      <c r="B816" s="4">
        <v>45726</v>
      </c>
      <c r="C816" s="4">
        <v>1095</v>
      </c>
      <c r="D816" s="4" t="str">
        <v>Customer_94</v>
      </c>
      <c r="E816" s="4" t="str">
        <v>Consumer</v>
      </c>
      <c r="F816" s="4" t="str">
        <v>East</v>
      </c>
      <c r="G816" s="4" t="str">
        <v>Electronics</v>
      </c>
      <c r="H816" s="4" t="str">
        <v>Product_A</v>
      </c>
      <c r="I816" s="4">
        <v>3695</v>
      </c>
      <c r="J816" s="4">
        <v>9</v>
      </c>
      <c r="K816" s="4">
        <v>0.02</v>
      </c>
      <c r="L816" s="4">
        <v>1064</v>
      </c>
      <c r="M816" s="4" t="str">
        <v>COD</v>
      </c>
      <c r="N816" s="4">
        <v>32589.8999999999</v>
      </c>
    </row>
    <row r="817" spans="1:14" x14ac:dyDescent="0.3">
      <c r="A817" s="4">
        <v>436</v>
      </c>
      <c r="B817" s="4">
        <v>45727</v>
      </c>
      <c r="C817" s="4">
        <v>1039</v>
      </c>
      <c r="D817" s="4" t="str">
        <v>Customer_108</v>
      </c>
      <c r="E817" s="4" t="str">
        <v>Corporate</v>
      </c>
      <c r="F817" s="4" t="str">
        <v>East</v>
      </c>
      <c r="G817" s="4" t="str">
        <v>Furniture</v>
      </c>
      <c r="H817" s="4" t="str">
        <v>Product_C</v>
      </c>
      <c r="I817" s="4">
        <v>4987</v>
      </c>
      <c r="J817" s="4">
        <v>8</v>
      </c>
      <c r="K817" s="4">
        <v>0.12</v>
      </c>
      <c r="L817" s="4">
        <v>1901</v>
      </c>
      <c r="M817" s="4" t="str">
        <v>UPI</v>
      </c>
      <c r="N817" s="4">
        <v>35108.480000000003</v>
      </c>
    </row>
    <row r="818" spans="1:14" x14ac:dyDescent="0.3">
      <c r="A818" s="4">
        <v>437</v>
      </c>
      <c r="B818" s="4">
        <v>45728</v>
      </c>
      <c r="C818" s="4">
        <v>1025</v>
      </c>
      <c r="D818" s="4" t="str">
        <v>Customer_33</v>
      </c>
      <c r="E818" s="4" t="str">
        <v>Corporate</v>
      </c>
      <c r="F818" s="4" t="str">
        <v>South</v>
      </c>
      <c r="G818" s="4" t="str">
        <v>Clothing</v>
      </c>
      <c r="H818" s="4" t="str">
        <v>Product_C</v>
      </c>
      <c r="I818" s="4">
        <v>1502</v>
      </c>
      <c r="J818" s="4">
        <v>9</v>
      </c>
      <c r="K818" s="4">
        <v>0.27</v>
      </c>
      <c r="L818" s="4">
        <v>407</v>
      </c>
      <c r="M818" s="4" t="str">
        <v>UPI</v>
      </c>
      <c r="N818" s="4">
        <v>9868.14</v>
      </c>
    </row>
    <row r="819" spans="1:14" x14ac:dyDescent="0.3">
      <c r="A819" s="4">
        <v>439</v>
      </c>
      <c r="B819" s="4">
        <v>45730</v>
      </c>
      <c r="C819" s="4">
        <v>1076</v>
      </c>
      <c r="D819" s="4" t="str">
        <v>Customer_127</v>
      </c>
      <c r="E819" s="4" t="str">
        <v>Corporate</v>
      </c>
      <c r="F819" s="4" t="str">
        <v>North</v>
      </c>
      <c r="G819" s="4" t="str">
        <v>Clothing</v>
      </c>
      <c r="H819" s="4" t="str">
        <v>Product_C</v>
      </c>
      <c r="I819" s="4">
        <v>3044</v>
      </c>
      <c r="J819" s="4">
        <v>3</v>
      </c>
      <c r="K819" s="4">
        <v>0.15</v>
      </c>
      <c r="L819" s="4">
        <v>151</v>
      </c>
      <c r="M819" s="4" t="str">
        <v>UPI</v>
      </c>
      <c r="N819" s="4">
        <v>7762.2</v>
      </c>
    </row>
    <row r="820" spans="1:14" x14ac:dyDescent="0.3">
      <c r="A820" s="4">
        <v>441</v>
      </c>
      <c r="B820" s="4">
        <v>45732</v>
      </c>
      <c r="C820" s="4">
        <v>1095</v>
      </c>
      <c r="D820" s="4" t="str">
        <v>Customer_62</v>
      </c>
      <c r="E820" s="4" t="str">
        <v>Consumer</v>
      </c>
      <c r="F820" s="4" t="str">
        <v>East</v>
      </c>
      <c r="G820" s="4" t="str">
        <v>Clothing</v>
      </c>
      <c r="H820" s="4" t="str">
        <v>Product_D</v>
      </c>
      <c r="I820" s="4">
        <v>2551</v>
      </c>
      <c r="J820" s="4">
        <v>1</v>
      </c>
      <c r="K820" s="4">
        <v>0.15</v>
      </c>
      <c r="L820" s="4">
        <v>453</v>
      </c>
      <c r="M820" s="4" t="str">
        <v>COD</v>
      </c>
      <c r="N820" s="4">
        <v>2168.35</v>
      </c>
    </row>
    <row r="821" spans="1:14" x14ac:dyDescent="0.3">
      <c r="A821" s="4">
        <v>442</v>
      </c>
      <c r="B821" s="4">
        <v>45733</v>
      </c>
      <c r="C821" s="4">
        <v>1032</v>
      </c>
      <c r="D821" s="4" t="str">
        <v>Customer_169</v>
      </c>
      <c r="E821" s="4" t="str">
        <v>Corporate</v>
      </c>
      <c r="F821" s="4" t="str">
        <v>West</v>
      </c>
      <c r="G821" s="4" t="str">
        <v>Electronics</v>
      </c>
      <c r="H821" s="4" t="str">
        <v>Product_B</v>
      </c>
      <c r="I821" s="4">
        <v>1755</v>
      </c>
      <c r="J821" s="4">
        <v>4</v>
      </c>
      <c r="K821" s="4">
        <v>0.3</v>
      </c>
      <c r="L821" s="4">
        <v>678</v>
      </c>
      <c r="M821" s="4" t="str">
        <v>COD</v>
      </c>
      <c r="N821" s="4">
        <v>4914</v>
      </c>
    </row>
    <row r="822" spans="1:14" x14ac:dyDescent="0.3">
      <c r="A822" s="4">
        <v>444</v>
      </c>
      <c r="B822" s="4">
        <v>45735</v>
      </c>
      <c r="C822" s="4">
        <v>1041</v>
      </c>
      <c r="D822" s="4" t="str">
        <v>Customer_101</v>
      </c>
      <c r="E822" s="4" t="str">
        <v>Consumer</v>
      </c>
      <c r="F822" s="4" t="str">
        <v>West</v>
      </c>
      <c r="G822" s="4" t="str">
        <v>Electronics</v>
      </c>
      <c r="H822" s="4" t="str">
        <v>Product_D</v>
      </c>
      <c r="I822" s="4">
        <v>4983</v>
      </c>
      <c r="J822" s="4">
        <v>2</v>
      </c>
      <c r="K822" s="4">
        <v>0.25</v>
      </c>
      <c r="L822" s="4">
        <v>159</v>
      </c>
      <c r="M822" s="4" t="str">
        <v>COD</v>
      </c>
      <c r="N822" s="4">
        <v>7474.5</v>
      </c>
    </row>
    <row r="823" spans="1:14" x14ac:dyDescent="0.3">
      <c r="A823" s="4">
        <v>445</v>
      </c>
      <c r="B823" s="4">
        <v>45736</v>
      </c>
      <c r="C823" s="4">
        <v>1076</v>
      </c>
      <c r="D823" s="4" t="str">
        <v>Customer_31</v>
      </c>
      <c r="E823" s="4" t="str">
        <v>Consumer</v>
      </c>
      <c r="F823" s="4" t="str">
        <v>West</v>
      </c>
      <c r="G823" s="4" t="str">
        <v>Clothing</v>
      </c>
      <c r="H823" s="4" t="str">
        <v>Product_A</v>
      </c>
      <c r="I823" s="4">
        <v>2328</v>
      </c>
      <c r="J823" s="4">
        <v>4</v>
      </c>
      <c r="K823" s="4">
        <v>0.06</v>
      </c>
      <c r="L823" s="4">
        <v>878</v>
      </c>
      <c r="M823" s="4" t="str">
        <v>COD</v>
      </c>
      <c r="N823" s="4">
        <v>8753.2799999999897</v>
      </c>
    </row>
    <row r="824" spans="1:14" x14ac:dyDescent="0.3">
      <c r="A824" s="4">
        <v>447</v>
      </c>
      <c r="B824" s="4">
        <v>45738</v>
      </c>
      <c r="C824" s="4">
        <v>1069</v>
      </c>
      <c r="D824" s="4" t="str">
        <v>Customer_170</v>
      </c>
      <c r="E824" s="4" t="str">
        <v>Consumer</v>
      </c>
      <c r="F824" s="4" t="str">
        <v>West</v>
      </c>
      <c r="G824" s="4" t="str">
        <v>Clothing</v>
      </c>
      <c r="H824" s="4" t="str">
        <v>Product_C</v>
      </c>
      <c r="I824" s="4">
        <v>2947</v>
      </c>
      <c r="J824" s="4">
        <v>6</v>
      </c>
      <c r="K824" s="4">
        <v>0.15</v>
      </c>
      <c r="L824" s="4">
        <v>963</v>
      </c>
      <c r="M824" s="4" t="str">
        <v>Card</v>
      </c>
      <c r="N824" s="4">
        <v>15029.699999999901</v>
      </c>
    </row>
    <row r="825" spans="1:14" x14ac:dyDescent="0.3">
      <c r="A825" s="4">
        <v>448</v>
      </c>
      <c r="B825" s="4">
        <v>45739</v>
      </c>
      <c r="C825" s="4">
        <v>1003</v>
      </c>
      <c r="D825" s="4" t="str">
        <v>Customer_103</v>
      </c>
      <c r="E825" s="4" t="str">
        <v>Corporate</v>
      </c>
      <c r="F825" s="4" t="str">
        <v>East</v>
      </c>
      <c r="G825" s="4" t="str">
        <v>Furniture</v>
      </c>
      <c r="H825" s="4" t="str">
        <v>Product_A</v>
      </c>
      <c r="I825" s="4">
        <v>3985</v>
      </c>
      <c r="J825" s="4">
        <v>4</v>
      </c>
      <c r="K825" s="4">
        <v>0.28999999999999998</v>
      </c>
      <c r="L825" s="4">
        <v>735</v>
      </c>
      <c r="M825" s="4" t="str">
        <v>Card</v>
      </c>
      <c r="N825" s="4">
        <v>11317.4</v>
      </c>
    </row>
    <row r="826" spans="1:14" x14ac:dyDescent="0.3">
      <c r="A826" s="4">
        <v>449</v>
      </c>
      <c r="B826" s="4">
        <v>45740</v>
      </c>
      <c r="C826" s="4">
        <v>1063</v>
      </c>
      <c r="D826" s="4" t="str">
        <v>Customer_17</v>
      </c>
      <c r="E826" s="4" t="str">
        <v>Consumer</v>
      </c>
      <c r="F826" s="4" t="str">
        <v>North</v>
      </c>
      <c r="G826" s="4" t="str">
        <v>Clothing</v>
      </c>
      <c r="H826" s="4" t="str">
        <v>Product_B</v>
      </c>
      <c r="I826" s="4">
        <v>444</v>
      </c>
      <c r="J826" s="4">
        <v>4</v>
      </c>
      <c r="K826" s="4">
        <v>0.28999999999999998</v>
      </c>
      <c r="L826" s="4">
        <v>1226</v>
      </c>
      <c r="M826" s="4" t="str">
        <v>Card</v>
      </c>
      <c r="N826" s="4">
        <v>1260.96</v>
      </c>
    </row>
    <row r="827" spans="1:14" x14ac:dyDescent="0.3">
      <c r="A827" s="4">
        <v>451</v>
      </c>
      <c r="B827" s="4">
        <v>45742</v>
      </c>
      <c r="C827" s="4">
        <v>1050</v>
      </c>
      <c r="D827" s="4" t="str">
        <v>Customer_6</v>
      </c>
      <c r="E827" s="4" t="str">
        <v>Consumer</v>
      </c>
      <c r="F827" s="4" t="str">
        <v>East</v>
      </c>
      <c r="G827" s="4" t="str">
        <v>Clothing</v>
      </c>
      <c r="H827" s="4" t="str">
        <v>Product_A</v>
      </c>
      <c r="I827" s="4">
        <v>3777</v>
      </c>
      <c r="J827" s="4">
        <v>1</v>
      </c>
      <c r="K827" s="4">
        <v>0.06</v>
      </c>
      <c r="L827" s="4">
        <v>658</v>
      </c>
      <c r="M827" s="4" t="str">
        <v>UPI</v>
      </c>
      <c r="N827" s="4">
        <v>3550.3799999999901</v>
      </c>
    </row>
    <row r="828" spans="1:14" x14ac:dyDescent="0.3">
      <c r="A828" s="4">
        <v>452</v>
      </c>
      <c r="B828" s="4">
        <v>45743</v>
      </c>
      <c r="C828" s="4">
        <v>1066</v>
      </c>
      <c r="D828" s="4" t="str">
        <v>Customer_60</v>
      </c>
      <c r="E828" s="4" t="str">
        <v>Corporate</v>
      </c>
      <c r="F828" s="4" t="str">
        <v>North</v>
      </c>
      <c r="G828" s="4" t="str">
        <v>Electronics</v>
      </c>
      <c r="H828" s="4" t="str">
        <v>Product_B</v>
      </c>
      <c r="I828" s="4">
        <v>4411</v>
      </c>
      <c r="J828" s="4">
        <v>5</v>
      </c>
      <c r="K828" s="4">
        <v>0</v>
      </c>
      <c r="L828" s="4">
        <v>1052</v>
      </c>
      <c r="M828" s="4" t="str">
        <v>COD</v>
      </c>
      <c r="N828" s="4">
        <v>22055</v>
      </c>
    </row>
    <row r="829" spans="1:14" x14ac:dyDescent="0.3">
      <c r="A829" s="4">
        <v>453</v>
      </c>
      <c r="B829" s="4">
        <v>45744</v>
      </c>
      <c r="C829" s="4">
        <v>1090</v>
      </c>
      <c r="D829" s="4" t="str">
        <v>Customer_19</v>
      </c>
      <c r="E829" s="4" t="str">
        <v>Corporate</v>
      </c>
      <c r="F829" s="4" t="str">
        <v>North</v>
      </c>
      <c r="G829" s="4" t="str">
        <v>Furniture</v>
      </c>
      <c r="H829" s="4" t="str">
        <v>Product_A</v>
      </c>
      <c r="I829" s="4">
        <v>2976</v>
      </c>
      <c r="J829" s="4">
        <v>4</v>
      </c>
      <c r="K829" s="4">
        <v>0.15</v>
      </c>
      <c r="L829" s="4">
        <v>1151</v>
      </c>
      <c r="M829" s="4" t="str">
        <v>Card</v>
      </c>
      <c r="N829" s="4">
        <v>10118.4</v>
      </c>
    </row>
    <row r="830" spans="1:14" x14ac:dyDescent="0.3">
      <c r="A830" s="4">
        <v>454</v>
      </c>
      <c r="B830" s="4">
        <v>45745</v>
      </c>
      <c r="C830" s="4">
        <v>1083</v>
      </c>
      <c r="D830" s="4" t="str">
        <v>Customer_186</v>
      </c>
      <c r="E830" s="4" t="str">
        <v>Corporate</v>
      </c>
      <c r="F830" s="4" t="str">
        <v>North</v>
      </c>
      <c r="G830" s="4" t="str">
        <v>Electronics</v>
      </c>
      <c r="H830" s="4" t="str">
        <v>Product_C</v>
      </c>
      <c r="I830" s="4">
        <v>504</v>
      </c>
      <c r="J830" s="4">
        <v>8</v>
      </c>
      <c r="K830" s="4">
        <v>0.09</v>
      </c>
      <c r="L830" s="4">
        <v>1073</v>
      </c>
      <c r="M830" s="4" t="str">
        <v>UPI</v>
      </c>
      <c r="N830" s="4">
        <v>3669.12</v>
      </c>
    </row>
    <row r="831" spans="1:14" x14ac:dyDescent="0.3">
      <c r="A831" s="4">
        <v>456</v>
      </c>
      <c r="B831" s="4">
        <v>45747</v>
      </c>
      <c r="C831" s="4">
        <v>1019</v>
      </c>
      <c r="D831" s="4" t="str">
        <v>Customer_124</v>
      </c>
      <c r="E831" s="4" t="str">
        <v>Consumer</v>
      </c>
      <c r="F831" s="4" t="str">
        <v>South</v>
      </c>
      <c r="G831" s="4" t="str">
        <v>Electronics</v>
      </c>
      <c r="H831" s="4" t="str">
        <v>Product_A</v>
      </c>
      <c r="I831" s="4">
        <v>272</v>
      </c>
      <c r="J831" s="4">
        <v>2</v>
      </c>
      <c r="K831" s="4">
        <v>0.25</v>
      </c>
      <c r="L831" s="4">
        <v>237</v>
      </c>
      <c r="M831" s="4" t="str">
        <v>COD</v>
      </c>
      <c r="N831" s="4">
        <v>408</v>
      </c>
    </row>
    <row r="832" spans="1:14" x14ac:dyDescent="0.3">
      <c r="A832" s="4">
        <v>457</v>
      </c>
      <c r="B832" s="4">
        <v>45748</v>
      </c>
      <c r="C832" s="4">
        <v>1029</v>
      </c>
      <c r="D832" s="4" t="str">
        <v>Customer_45</v>
      </c>
      <c r="E832" s="4" t="str">
        <v>Consumer</v>
      </c>
      <c r="F832" s="4" t="str">
        <v>East</v>
      </c>
      <c r="G832" s="4" t="str">
        <v>Electronics</v>
      </c>
      <c r="H832" s="4" t="str">
        <v>Product_B</v>
      </c>
      <c r="I832" s="4">
        <v>1217</v>
      </c>
      <c r="J832" s="4">
        <v>2</v>
      </c>
      <c r="K832" s="4">
        <v>0.03</v>
      </c>
      <c r="L832" s="4">
        <v>1969</v>
      </c>
      <c r="M832" s="4" t="str">
        <v>COD</v>
      </c>
      <c r="N832" s="4">
        <v>2360.98</v>
      </c>
    </row>
    <row r="833" spans="1:14" x14ac:dyDescent="0.3">
      <c r="A833" s="4">
        <v>458</v>
      </c>
      <c r="B833" s="4">
        <v>45749</v>
      </c>
      <c r="C833" s="4">
        <v>1073</v>
      </c>
      <c r="D833" s="4" t="str">
        <v>Customer_42</v>
      </c>
      <c r="E833" s="4" t="str">
        <v>Corporate</v>
      </c>
      <c r="F833" s="4" t="str">
        <v>West</v>
      </c>
      <c r="G833" s="4" t="str">
        <v>Clothing</v>
      </c>
      <c r="H833" s="4" t="str">
        <v>Product_D</v>
      </c>
      <c r="I833" s="4">
        <v>1801</v>
      </c>
      <c r="J833" s="4">
        <v>8</v>
      </c>
      <c r="K833" s="4">
        <v>0.03</v>
      </c>
      <c r="L833" s="4">
        <v>1897</v>
      </c>
      <c r="M833" s="4" t="str">
        <v>Card</v>
      </c>
      <c r="N833" s="4">
        <v>13975.76</v>
      </c>
    </row>
    <row r="834" spans="1:14" x14ac:dyDescent="0.3">
      <c r="A834" s="4">
        <v>460</v>
      </c>
      <c r="B834" s="4">
        <v>45751</v>
      </c>
      <c r="C834" s="4">
        <v>1022</v>
      </c>
      <c r="D834" s="4" t="str">
        <v>Customer_152</v>
      </c>
      <c r="E834" s="4" t="str">
        <v>Corporate</v>
      </c>
      <c r="F834" s="4" t="str">
        <v>East</v>
      </c>
      <c r="G834" s="4" t="str">
        <v>Electronics</v>
      </c>
      <c r="H834" s="4" t="str">
        <v>Product_D</v>
      </c>
      <c r="I834" s="4">
        <v>1017</v>
      </c>
      <c r="J834" s="4">
        <v>8</v>
      </c>
      <c r="K834" s="4">
        <v>0.12</v>
      </c>
      <c r="L834" s="4">
        <v>622</v>
      </c>
      <c r="M834" s="4" t="str">
        <v>COD</v>
      </c>
      <c r="N834" s="4">
        <v>7159.68</v>
      </c>
    </row>
    <row r="835" spans="1:14" x14ac:dyDescent="0.3">
      <c r="A835" s="4">
        <v>461</v>
      </c>
      <c r="B835" s="4">
        <v>45752</v>
      </c>
      <c r="C835" s="4">
        <v>1046</v>
      </c>
      <c r="D835" s="4" t="str">
        <v>Customer_150</v>
      </c>
      <c r="E835" s="4" t="str">
        <v>Consumer</v>
      </c>
      <c r="F835" s="4" t="str">
        <v>South</v>
      </c>
      <c r="G835" s="4" t="str">
        <v>Electronics</v>
      </c>
      <c r="H835" s="4" t="str">
        <v>Product_C</v>
      </c>
      <c r="I835" s="4">
        <v>3058</v>
      </c>
      <c r="J835" s="4">
        <v>1</v>
      </c>
      <c r="K835" s="4">
        <v>0.02</v>
      </c>
      <c r="L835" s="4">
        <v>1633</v>
      </c>
      <c r="M835" s="4" t="str">
        <v>Card</v>
      </c>
      <c r="N835" s="4">
        <v>2996.84</v>
      </c>
    </row>
    <row r="836" spans="1:14" x14ac:dyDescent="0.3">
      <c r="A836" s="4">
        <v>463</v>
      </c>
      <c r="B836" s="4">
        <v>45754</v>
      </c>
      <c r="C836" s="4">
        <v>1049</v>
      </c>
      <c r="D836" s="4" t="str">
        <v>Customer_78</v>
      </c>
      <c r="E836" s="4" t="str">
        <v>Consumer</v>
      </c>
      <c r="F836" s="4" t="str">
        <v>South</v>
      </c>
      <c r="G836" s="4" t="str">
        <v>Furniture</v>
      </c>
      <c r="H836" s="4" t="str">
        <v>Product_C</v>
      </c>
      <c r="I836" s="4">
        <v>1965</v>
      </c>
      <c r="J836" s="4">
        <v>7</v>
      </c>
      <c r="K836" s="4">
        <v>0.13</v>
      </c>
      <c r="L836" s="4">
        <v>510</v>
      </c>
      <c r="M836" s="4" t="str">
        <v>COD</v>
      </c>
      <c r="N836" s="4">
        <v>11966.85</v>
      </c>
    </row>
    <row r="837" spans="1:14" x14ac:dyDescent="0.3">
      <c r="A837" s="4">
        <v>464</v>
      </c>
      <c r="B837" s="4">
        <v>45755</v>
      </c>
      <c r="C837" s="4">
        <v>1008</v>
      </c>
      <c r="D837" s="4" t="str">
        <v>Customer_152</v>
      </c>
      <c r="E837" s="4" t="str">
        <v>Consumer</v>
      </c>
      <c r="F837" s="4" t="str">
        <v>North</v>
      </c>
      <c r="G837" s="4" t="str">
        <v>Furniture</v>
      </c>
      <c r="H837" s="4" t="str">
        <v>Product_A</v>
      </c>
      <c r="I837" s="4">
        <v>406</v>
      </c>
      <c r="J837" s="4">
        <v>7</v>
      </c>
      <c r="K837" s="4">
        <v>0.3</v>
      </c>
      <c r="L837" s="4">
        <v>648</v>
      </c>
      <c r="M837" s="4" t="str">
        <v>COD</v>
      </c>
      <c r="N837" s="4">
        <v>1989.3999999999901</v>
      </c>
    </row>
    <row r="838" spans="1:14" x14ac:dyDescent="0.3">
      <c r="A838" s="4">
        <v>465</v>
      </c>
      <c r="B838" s="4">
        <v>45756</v>
      </c>
      <c r="C838" s="4">
        <v>1018</v>
      </c>
      <c r="D838" s="4" t="str">
        <v>Customer_153</v>
      </c>
      <c r="E838" s="4" t="str">
        <v>Consumer</v>
      </c>
      <c r="F838" s="4" t="str">
        <v>West</v>
      </c>
      <c r="G838" s="4" t="str">
        <v>Clothing</v>
      </c>
      <c r="H838" s="4" t="str">
        <v>Product_C</v>
      </c>
      <c r="I838" s="4">
        <v>1951</v>
      </c>
      <c r="J838" s="4">
        <v>5</v>
      </c>
      <c r="K838" s="4">
        <v>0.02</v>
      </c>
      <c r="L838" s="4">
        <v>575</v>
      </c>
      <c r="M838" s="4" t="str">
        <v>Card</v>
      </c>
      <c r="N838" s="4">
        <v>9559.9</v>
      </c>
    </row>
    <row r="839" spans="1:14" x14ac:dyDescent="0.3">
      <c r="A839" s="4">
        <v>467</v>
      </c>
      <c r="B839" s="4">
        <v>45758</v>
      </c>
      <c r="C839" s="4">
        <v>1039</v>
      </c>
      <c r="D839" s="4" t="str">
        <v>Customer_123</v>
      </c>
      <c r="E839" s="4" t="str">
        <v>Consumer</v>
      </c>
      <c r="F839" s="4" t="str">
        <v>South</v>
      </c>
      <c r="G839" s="4" t="str">
        <v>Electronics</v>
      </c>
      <c r="H839" s="4" t="str">
        <v>Product_A</v>
      </c>
      <c r="I839" s="4">
        <v>524</v>
      </c>
      <c r="J839" s="4">
        <v>2</v>
      </c>
      <c r="K839" s="4">
        <v>0.05</v>
      </c>
      <c r="L839" s="4">
        <v>563</v>
      </c>
      <c r="M839" s="4" t="str">
        <v>Card</v>
      </c>
      <c r="N839" s="4">
        <v>995.599999999999</v>
      </c>
    </row>
    <row r="840" spans="1:14" x14ac:dyDescent="0.3">
      <c r="A840" s="4">
        <v>468</v>
      </c>
      <c r="B840" s="4">
        <v>45759</v>
      </c>
      <c r="C840" s="4">
        <v>1026</v>
      </c>
      <c r="D840" s="4" t="str">
        <v>Customer_115</v>
      </c>
      <c r="E840" s="4" t="str">
        <v>Corporate</v>
      </c>
      <c r="F840" s="4" t="str">
        <v>North</v>
      </c>
      <c r="G840" s="4" t="str">
        <v>Furniture</v>
      </c>
      <c r="H840" s="4" t="str">
        <v>Product_B</v>
      </c>
      <c r="I840" s="4">
        <v>3851</v>
      </c>
      <c r="J840" s="4">
        <v>1</v>
      </c>
      <c r="K840" s="4">
        <v>0.1</v>
      </c>
      <c r="L840" s="4">
        <v>1436</v>
      </c>
      <c r="M840" s="4" t="str">
        <v>UPI</v>
      </c>
      <c r="N840" s="4">
        <v>3465.9</v>
      </c>
    </row>
    <row r="841" spans="1:14" x14ac:dyDescent="0.3">
      <c r="A841" s="4">
        <v>469</v>
      </c>
      <c r="B841" s="4">
        <v>45760</v>
      </c>
      <c r="C841" s="4">
        <v>1091</v>
      </c>
      <c r="D841" s="4" t="str">
        <v>Customer_110</v>
      </c>
      <c r="E841" s="4" t="str">
        <v>Corporate</v>
      </c>
      <c r="F841" s="4" t="str">
        <v>East</v>
      </c>
      <c r="G841" s="4" t="str">
        <v>Electronics</v>
      </c>
      <c r="H841" s="4" t="str">
        <v>Product_A</v>
      </c>
      <c r="I841" s="4">
        <v>4972</v>
      </c>
      <c r="J841" s="4">
        <v>3</v>
      </c>
      <c r="K841" s="4">
        <v>0.2</v>
      </c>
      <c r="L841" s="4">
        <v>1594</v>
      </c>
      <c r="M841" s="4" t="str">
        <v>COD</v>
      </c>
      <c r="N841" s="4">
        <v>11932.8</v>
      </c>
    </row>
    <row r="842" spans="1:14" x14ac:dyDescent="0.3">
      <c r="A842" s="4">
        <v>471</v>
      </c>
      <c r="B842" s="4">
        <v>45762</v>
      </c>
      <c r="C842" s="4">
        <v>1071</v>
      </c>
      <c r="D842" s="4" t="str">
        <v>Customer_56</v>
      </c>
      <c r="E842" s="4" t="str">
        <v>Corporate</v>
      </c>
      <c r="F842" s="4" t="str">
        <v>North</v>
      </c>
      <c r="G842" s="4" t="str">
        <v>Furniture</v>
      </c>
      <c r="H842" s="4" t="str">
        <v>Product_B</v>
      </c>
      <c r="I842" s="4">
        <v>4820</v>
      </c>
      <c r="J842" s="4">
        <v>8</v>
      </c>
      <c r="K842" s="4">
        <v>0.27</v>
      </c>
      <c r="L842" s="4">
        <v>148</v>
      </c>
      <c r="M842" s="4" t="str">
        <v>COD</v>
      </c>
      <c r="N842" s="4">
        <v>28148.799999999999</v>
      </c>
    </row>
    <row r="843" spans="1:14" x14ac:dyDescent="0.3">
      <c r="A843" s="4">
        <v>472</v>
      </c>
      <c r="B843" s="4">
        <v>45763</v>
      </c>
      <c r="C843" s="4">
        <v>1081</v>
      </c>
      <c r="D843" s="4" t="str">
        <v>Customer_28</v>
      </c>
      <c r="E843" s="4" t="str">
        <v>Corporate</v>
      </c>
      <c r="F843" s="4" t="str">
        <v>North</v>
      </c>
      <c r="G843" s="4" t="str">
        <v>Furniture</v>
      </c>
      <c r="H843" s="4" t="str">
        <v>Product_C</v>
      </c>
      <c r="I843" s="4">
        <v>2519</v>
      </c>
      <c r="J843" s="4">
        <v>8</v>
      </c>
      <c r="K843" s="4">
        <v>0.13</v>
      </c>
      <c r="L843" s="4">
        <v>1049</v>
      </c>
      <c r="M843" s="4" t="str">
        <v>COD</v>
      </c>
      <c r="N843" s="4">
        <v>17532.240000000002</v>
      </c>
    </row>
    <row r="844" spans="1:14" x14ac:dyDescent="0.3">
      <c r="A844" s="4">
        <v>473</v>
      </c>
      <c r="B844" s="4">
        <v>45764</v>
      </c>
      <c r="C844" s="4">
        <v>1020</v>
      </c>
      <c r="D844" s="4" t="str">
        <v>Customer_194</v>
      </c>
      <c r="E844" s="4" t="str">
        <v>Corporate</v>
      </c>
      <c r="F844" s="4" t="str">
        <v>North</v>
      </c>
      <c r="G844" s="4" t="str">
        <v>Clothing</v>
      </c>
      <c r="H844" s="4" t="str">
        <v>Product_B</v>
      </c>
      <c r="I844" s="4">
        <v>191</v>
      </c>
      <c r="J844" s="4">
        <v>2</v>
      </c>
      <c r="K844" s="4">
        <v>0.02</v>
      </c>
      <c r="L844" s="4">
        <v>453</v>
      </c>
      <c r="M844" s="4" t="str">
        <v>Card</v>
      </c>
      <c r="N844" s="4">
        <v>374.36</v>
      </c>
    </row>
    <row r="845" spans="1:14" x14ac:dyDescent="0.3">
      <c r="A845" s="4">
        <v>474</v>
      </c>
      <c r="B845" s="4">
        <v>45765</v>
      </c>
      <c r="C845" s="4">
        <v>1012</v>
      </c>
      <c r="D845" s="4" t="str">
        <v>Customer_34</v>
      </c>
      <c r="E845" s="4" t="str">
        <v>Corporate</v>
      </c>
      <c r="F845" s="4" t="str">
        <v>North</v>
      </c>
      <c r="G845" s="4" t="str">
        <v>Furniture</v>
      </c>
      <c r="H845" s="4" t="str">
        <v>Product_A</v>
      </c>
      <c r="I845" s="4">
        <v>958</v>
      </c>
      <c r="J845" s="4">
        <v>6</v>
      </c>
      <c r="K845" s="4">
        <v>0.19</v>
      </c>
      <c r="L845" s="4">
        <v>1374</v>
      </c>
      <c r="M845" s="4" t="str">
        <v>Card</v>
      </c>
      <c r="N845" s="4">
        <v>4655.88</v>
      </c>
    </row>
    <row r="846" spans="1:14" x14ac:dyDescent="0.3">
      <c r="A846" s="4">
        <v>475</v>
      </c>
      <c r="B846" s="4">
        <v>45766</v>
      </c>
      <c r="C846" s="4">
        <v>1026</v>
      </c>
      <c r="D846" s="4" t="str">
        <v>Customer_65</v>
      </c>
      <c r="E846" s="4" t="str">
        <v>Corporate</v>
      </c>
      <c r="F846" s="4" t="str">
        <v>West</v>
      </c>
      <c r="G846" s="4" t="str">
        <v>Clothing</v>
      </c>
      <c r="H846" s="4" t="str">
        <v>Product_D</v>
      </c>
      <c r="I846" s="4">
        <v>4109</v>
      </c>
      <c r="J846" s="4">
        <v>5</v>
      </c>
      <c r="K846" s="4">
        <v>0.13</v>
      </c>
      <c r="L846" s="4">
        <v>630</v>
      </c>
      <c r="M846" s="4" t="str">
        <v>UPI</v>
      </c>
      <c r="N846" s="4">
        <v>17874.150000000001</v>
      </c>
    </row>
    <row r="847" spans="1:14" x14ac:dyDescent="0.3">
      <c r="A847" s="4">
        <v>476</v>
      </c>
      <c r="B847" s="4">
        <v>45767</v>
      </c>
      <c r="C847" s="4">
        <v>1061</v>
      </c>
      <c r="D847" s="4" t="str">
        <v>Customer_111</v>
      </c>
      <c r="E847" s="4" t="str">
        <v>Corporate</v>
      </c>
      <c r="F847" s="4" t="str">
        <v>North</v>
      </c>
      <c r="G847" s="4" t="str">
        <v>Clothing</v>
      </c>
      <c r="H847" s="4" t="str">
        <v>Product_A</v>
      </c>
      <c r="I847" s="4">
        <v>911</v>
      </c>
      <c r="J847" s="4">
        <v>2</v>
      </c>
      <c r="K847" s="4">
        <v>0.01</v>
      </c>
      <c r="L847" s="4">
        <v>61</v>
      </c>
      <c r="M847" s="4" t="str">
        <v>UPI</v>
      </c>
      <c r="N847" s="4">
        <v>1803.78</v>
      </c>
    </row>
    <row r="848" spans="1:14" x14ac:dyDescent="0.3">
      <c r="A848" s="4">
        <v>477</v>
      </c>
      <c r="B848" s="4">
        <v>45768</v>
      </c>
      <c r="C848" s="4">
        <v>1039</v>
      </c>
      <c r="D848" s="4" t="str">
        <v>Customer_128</v>
      </c>
      <c r="E848" s="4" t="str">
        <v>Consumer</v>
      </c>
      <c r="F848" s="4" t="str">
        <v>North</v>
      </c>
      <c r="G848" s="4" t="str">
        <v>Furniture</v>
      </c>
      <c r="H848" s="4" t="str">
        <v>Product_D</v>
      </c>
      <c r="I848" s="4">
        <v>1853</v>
      </c>
      <c r="J848" s="4">
        <v>1</v>
      </c>
      <c r="K848" s="4">
        <v>0.25</v>
      </c>
      <c r="L848" s="4">
        <v>1755</v>
      </c>
      <c r="M848" s="4" t="str">
        <v>COD</v>
      </c>
      <c r="N848" s="4">
        <v>1389.75</v>
      </c>
    </row>
    <row r="849" spans="1:14" x14ac:dyDescent="0.3">
      <c r="A849" s="4">
        <v>478</v>
      </c>
      <c r="B849" s="4">
        <v>45769</v>
      </c>
      <c r="C849" s="4">
        <v>1052</v>
      </c>
      <c r="D849" s="4" t="str">
        <v>Customer_131</v>
      </c>
      <c r="E849" s="4" t="str">
        <v>Corporate</v>
      </c>
      <c r="F849" s="4" t="str">
        <v>West</v>
      </c>
      <c r="G849" s="4" t="str">
        <v>Electronics</v>
      </c>
      <c r="H849" s="4" t="str">
        <v>Product_C</v>
      </c>
      <c r="I849" s="4">
        <v>3861</v>
      </c>
      <c r="J849" s="4">
        <v>4</v>
      </c>
      <c r="K849" s="4">
        <v>0.16</v>
      </c>
      <c r="L849" s="4">
        <v>1739</v>
      </c>
      <c r="M849" s="4" t="str">
        <v>Card</v>
      </c>
      <c r="N849" s="4">
        <v>12972.96</v>
      </c>
    </row>
    <row r="850" spans="1:14" x14ac:dyDescent="0.3">
      <c r="A850" s="4">
        <v>479</v>
      </c>
      <c r="B850" s="4">
        <v>45770</v>
      </c>
      <c r="C850" s="4">
        <v>1079</v>
      </c>
      <c r="D850" s="4" t="str">
        <v>Customer_187</v>
      </c>
      <c r="E850" s="4" t="str">
        <v>Corporate</v>
      </c>
      <c r="F850" s="4" t="str">
        <v>North</v>
      </c>
      <c r="G850" s="4" t="str">
        <v>Electronics</v>
      </c>
      <c r="H850" s="4" t="str">
        <v>Product_C</v>
      </c>
      <c r="I850" s="4">
        <v>3679</v>
      </c>
      <c r="J850" s="4">
        <v>6</v>
      </c>
      <c r="K850" s="4">
        <v>0.13</v>
      </c>
      <c r="L850" s="4">
        <v>1506</v>
      </c>
      <c r="M850" s="4" t="str">
        <v>COD</v>
      </c>
      <c r="N850" s="4">
        <v>19204.38</v>
      </c>
    </row>
    <row r="851" spans="1:14" x14ac:dyDescent="0.3">
      <c r="A851" s="4">
        <v>480</v>
      </c>
      <c r="B851" s="4">
        <v>45771</v>
      </c>
      <c r="C851" s="4">
        <v>1039</v>
      </c>
      <c r="D851" s="4" t="str">
        <v>Customer_56</v>
      </c>
      <c r="E851" s="4" t="str">
        <v>Consumer</v>
      </c>
      <c r="F851" s="4" t="str">
        <v>North</v>
      </c>
      <c r="G851" s="4" t="str">
        <v>Electronics</v>
      </c>
      <c r="H851" s="4" t="str">
        <v>Product_A</v>
      </c>
      <c r="I851" s="4">
        <v>1431</v>
      </c>
      <c r="J851" s="4">
        <v>9</v>
      </c>
      <c r="K851" s="4">
        <v>0.22</v>
      </c>
      <c r="L851" s="4">
        <v>822</v>
      </c>
      <c r="M851" s="4" t="str">
        <v>UPI</v>
      </c>
      <c r="N851" s="4">
        <v>10045.620000000001</v>
      </c>
    </row>
    <row r="852" spans="1:14" x14ac:dyDescent="0.3">
      <c r="A852" s="4">
        <v>481</v>
      </c>
      <c r="B852" s="4">
        <v>45772</v>
      </c>
      <c r="C852" s="4">
        <v>1008</v>
      </c>
      <c r="D852" s="4" t="str">
        <v>Customer_22</v>
      </c>
      <c r="E852" s="4" t="str">
        <v>Consumer</v>
      </c>
      <c r="F852" s="4" t="str">
        <v>North</v>
      </c>
      <c r="G852" s="4" t="str">
        <v>Furniture</v>
      </c>
      <c r="H852" s="4" t="str">
        <v>Product_C</v>
      </c>
      <c r="I852" s="4">
        <v>2112</v>
      </c>
      <c r="J852" s="4">
        <v>9</v>
      </c>
      <c r="K852" s="4">
        <v>0.26</v>
      </c>
      <c r="L852" s="4">
        <v>645</v>
      </c>
      <c r="M852" s="4" t="str">
        <v>UPI</v>
      </c>
      <c r="N852" s="4">
        <v>14065.92</v>
      </c>
    </row>
    <row r="853" spans="1:14" x14ac:dyDescent="0.3">
      <c r="A853" s="4">
        <v>482</v>
      </c>
      <c r="B853" s="4">
        <v>45773</v>
      </c>
      <c r="C853" s="4">
        <v>1026</v>
      </c>
      <c r="D853" s="4" t="str">
        <v>Customer_170</v>
      </c>
      <c r="E853" s="4" t="str">
        <v>Consumer</v>
      </c>
      <c r="F853" s="4" t="str">
        <v>West</v>
      </c>
      <c r="G853" s="4" t="str">
        <v>Clothing</v>
      </c>
      <c r="H853" s="4" t="str">
        <v>Product_D</v>
      </c>
      <c r="I853" s="4">
        <v>3792</v>
      </c>
      <c r="J853" s="4">
        <v>3</v>
      </c>
      <c r="K853" s="4">
        <v>0.28000000000000003</v>
      </c>
      <c r="L853" s="4">
        <v>1742</v>
      </c>
      <c r="M853" s="4" t="str">
        <v>Card</v>
      </c>
      <c r="N853" s="4">
        <v>8190.7199999999903</v>
      </c>
    </row>
    <row r="854" spans="1:14" x14ac:dyDescent="0.3">
      <c r="A854" s="4">
        <v>485</v>
      </c>
      <c r="B854" s="4">
        <v>45776</v>
      </c>
      <c r="C854" s="4">
        <v>1055</v>
      </c>
      <c r="D854" s="4" t="str">
        <v>Customer_118</v>
      </c>
      <c r="E854" s="4" t="str">
        <v>Consumer</v>
      </c>
      <c r="F854" s="4" t="str">
        <v>West</v>
      </c>
      <c r="G854" s="4" t="str">
        <v>Electronics</v>
      </c>
      <c r="H854" s="4" t="str">
        <v>Product_B</v>
      </c>
      <c r="I854" s="4">
        <v>3682</v>
      </c>
      <c r="J854" s="4">
        <v>8</v>
      </c>
      <c r="K854" s="4">
        <v>0.1</v>
      </c>
      <c r="L854" s="4">
        <v>1715</v>
      </c>
      <c r="M854" s="4" t="str">
        <v>Card</v>
      </c>
      <c r="N854" s="4">
        <v>26510.400000000001</v>
      </c>
    </row>
    <row r="855" spans="1:14" x14ac:dyDescent="0.3">
      <c r="A855" s="4">
        <v>486</v>
      </c>
      <c r="B855" s="4">
        <v>45777</v>
      </c>
      <c r="C855" s="4">
        <v>1052</v>
      </c>
      <c r="D855" s="4" t="str">
        <v>Customer_12</v>
      </c>
      <c r="E855" s="4" t="str">
        <v>Consumer</v>
      </c>
      <c r="F855" s="4" t="str">
        <v>East</v>
      </c>
      <c r="G855" s="4" t="str">
        <v>Furniture</v>
      </c>
      <c r="H855" s="4" t="str">
        <v>Product_C</v>
      </c>
      <c r="I855" s="4">
        <v>4317</v>
      </c>
      <c r="J855" s="4">
        <v>8</v>
      </c>
      <c r="K855" s="4">
        <v>0.28999999999999998</v>
      </c>
      <c r="L855" s="4">
        <v>227</v>
      </c>
      <c r="M855" s="4" t="str">
        <v>UPI</v>
      </c>
      <c r="N855" s="4">
        <v>24520.559999999899</v>
      </c>
    </row>
    <row r="856" spans="1:14" x14ac:dyDescent="0.3">
      <c r="A856" s="4">
        <v>487</v>
      </c>
      <c r="B856" s="4">
        <v>45778</v>
      </c>
      <c r="C856" s="4">
        <v>1003</v>
      </c>
      <c r="D856" s="4" t="str">
        <v>Customer_37</v>
      </c>
      <c r="E856" s="4" t="str">
        <v>Corporate</v>
      </c>
      <c r="F856" s="4" t="str">
        <v>East</v>
      </c>
      <c r="G856" s="4" t="str">
        <v>Electronics</v>
      </c>
      <c r="H856" s="4" t="str">
        <v>Product_D</v>
      </c>
      <c r="I856" s="4">
        <v>1839</v>
      </c>
      <c r="J856" s="4">
        <v>3</v>
      </c>
      <c r="K856" s="4">
        <v>0.03</v>
      </c>
      <c r="L856" s="4">
        <v>1247</v>
      </c>
      <c r="M856" s="4" t="str">
        <v>UPI</v>
      </c>
      <c r="N856" s="4">
        <v>5351.49</v>
      </c>
    </row>
    <row r="857" spans="1:14" x14ac:dyDescent="0.3">
      <c r="A857" s="4">
        <v>488</v>
      </c>
      <c r="B857" s="4">
        <v>45779</v>
      </c>
      <c r="C857" s="4">
        <v>1039</v>
      </c>
      <c r="D857" s="4" t="str">
        <v>Customer_41</v>
      </c>
      <c r="E857" s="4" t="str">
        <v>Consumer</v>
      </c>
      <c r="F857" s="4" t="str">
        <v>West</v>
      </c>
      <c r="G857" s="4" t="str">
        <v>Furniture</v>
      </c>
      <c r="H857" s="4" t="str">
        <v>Product_A</v>
      </c>
      <c r="I857" s="4">
        <v>3996</v>
      </c>
      <c r="J857" s="4">
        <v>3</v>
      </c>
      <c r="K857" s="4">
        <v>0.28999999999999998</v>
      </c>
      <c r="L857" s="4">
        <v>56</v>
      </c>
      <c r="M857" s="4" t="str">
        <v>Card</v>
      </c>
      <c r="N857" s="4">
        <v>8511.48</v>
      </c>
    </row>
    <row r="858" spans="1:14" x14ac:dyDescent="0.3">
      <c r="A858" s="4">
        <v>489</v>
      </c>
      <c r="B858" s="4">
        <v>45780</v>
      </c>
      <c r="C858" s="4">
        <v>1051</v>
      </c>
      <c r="D858" s="4" t="str">
        <v>Customer_58</v>
      </c>
      <c r="E858" s="4" t="str">
        <v>Corporate</v>
      </c>
      <c r="F858" s="4" t="str">
        <v>South</v>
      </c>
      <c r="G858" s="4" t="str">
        <v>Electronics</v>
      </c>
      <c r="H858" s="4" t="str">
        <v>Product_C</v>
      </c>
      <c r="I858" s="4">
        <v>3116</v>
      </c>
      <c r="J858" s="4">
        <v>9</v>
      </c>
      <c r="K858" s="4">
        <v>0.19</v>
      </c>
      <c r="L858" s="4">
        <v>942</v>
      </c>
      <c r="M858" s="4" t="str">
        <v>COD</v>
      </c>
      <c r="N858" s="4">
        <v>22715.64</v>
      </c>
    </row>
    <row r="859" spans="1:14" x14ac:dyDescent="0.3">
      <c r="A859" s="4">
        <v>490</v>
      </c>
      <c r="B859" s="4">
        <v>45781</v>
      </c>
      <c r="C859" s="4">
        <v>1055</v>
      </c>
      <c r="D859" s="4" t="str">
        <v>Customer_63</v>
      </c>
      <c r="E859" s="4" t="str">
        <v>Consumer</v>
      </c>
      <c r="F859" s="4" t="str">
        <v>West</v>
      </c>
      <c r="G859" s="4" t="str">
        <v>Furniture</v>
      </c>
      <c r="H859" s="4" t="str">
        <v>Product_D</v>
      </c>
      <c r="I859" s="4">
        <v>2104</v>
      </c>
      <c r="J859" s="4">
        <v>3</v>
      </c>
      <c r="K859" s="4">
        <v>0</v>
      </c>
      <c r="L859" s="4">
        <v>1145</v>
      </c>
      <c r="M859" s="4" t="str">
        <v>UPI</v>
      </c>
      <c r="N859" s="4">
        <v>6312</v>
      </c>
    </row>
    <row r="860" spans="1:14" x14ac:dyDescent="0.3">
      <c r="A860" s="4">
        <v>492</v>
      </c>
      <c r="B860" s="4">
        <v>45783</v>
      </c>
      <c r="C860" s="4">
        <v>1077</v>
      </c>
      <c r="D860" s="4" t="str">
        <v>Customer_133</v>
      </c>
      <c r="E860" s="4" t="str">
        <v>Consumer</v>
      </c>
      <c r="F860" s="4" t="str">
        <v>East</v>
      </c>
      <c r="G860" s="4" t="str">
        <v>Clothing</v>
      </c>
      <c r="H860" s="4" t="str">
        <v>Product_B</v>
      </c>
      <c r="I860" s="4">
        <v>2103</v>
      </c>
      <c r="J860" s="4">
        <v>7</v>
      </c>
      <c r="K860" s="4">
        <v>0.2</v>
      </c>
      <c r="L860" s="4">
        <v>439</v>
      </c>
      <c r="M860" s="4" t="str">
        <v>COD</v>
      </c>
      <c r="N860" s="4">
        <v>11776.8</v>
      </c>
    </row>
    <row r="861" spans="1:14" x14ac:dyDescent="0.3">
      <c r="A861" s="4">
        <v>493</v>
      </c>
      <c r="B861" s="4">
        <v>45784</v>
      </c>
      <c r="C861" s="4">
        <v>1071</v>
      </c>
      <c r="D861" s="4" t="str">
        <v>Customer_91</v>
      </c>
      <c r="E861" s="4" t="str">
        <v>Corporate</v>
      </c>
      <c r="F861" s="4" t="str">
        <v>North</v>
      </c>
      <c r="G861" s="4" t="str">
        <v>Electronics</v>
      </c>
      <c r="H861" s="4" t="str">
        <v>Product_C</v>
      </c>
      <c r="I861" s="4">
        <v>3019</v>
      </c>
      <c r="J861" s="4">
        <v>9</v>
      </c>
      <c r="K861" s="4">
        <v>0.04</v>
      </c>
      <c r="L861" s="4">
        <v>660</v>
      </c>
      <c r="M861" s="4" t="str">
        <v>COD</v>
      </c>
      <c r="N861" s="4">
        <v>26084.16</v>
      </c>
    </row>
    <row r="862" spans="1:14" x14ac:dyDescent="0.3">
      <c r="A862" s="4">
        <v>494</v>
      </c>
      <c r="B862" s="4">
        <v>45785</v>
      </c>
      <c r="C862" s="4">
        <v>1070</v>
      </c>
      <c r="D862" s="4" t="str">
        <v>Customer_89</v>
      </c>
      <c r="E862" s="4" t="str">
        <v>Consumer</v>
      </c>
      <c r="F862" s="4" t="str">
        <v>South</v>
      </c>
      <c r="G862" s="4" t="str">
        <v>Clothing</v>
      </c>
      <c r="H862" s="4" t="str">
        <v>Product_D</v>
      </c>
      <c r="I862" s="4">
        <v>208</v>
      </c>
      <c r="J862" s="4">
        <v>3</v>
      </c>
      <c r="K862" s="4">
        <v>0.1</v>
      </c>
      <c r="L862" s="4">
        <v>1549</v>
      </c>
      <c r="M862" s="4" t="str">
        <v>Card</v>
      </c>
      <c r="N862" s="4">
        <v>561.6</v>
      </c>
    </row>
    <row r="863" spans="1:14" x14ac:dyDescent="0.3">
      <c r="A863" s="4">
        <v>495</v>
      </c>
      <c r="B863" s="4">
        <v>45786</v>
      </c>
      <c r="C863" s="4">
        <v>1029</v>
      </c>
      <c r="D863" s="4" t="str">
        <v>Customer_17</v>
      </c>
      <c r="E863" s="4" t="str">
        <v>Corporate</v>
      </c>
      <c r="F863" s="4" t="str">
        <v>East</v>
      </c>
      <c r="G863" s="4" t="str">
        <v>Furniture</v>
      </c>
      <c r="H863" s="4" t="str">
        <v>Product_B</v>
      </c>
      <c r="I863" s="4">
        <v>3081</v>
      </c>
      <c r="J863" s="4">
        <v>1</v>
      </c>
      <c r="K863" s="4">
        <v>0.26</v>
      </c>
      <c r="L863" s="4">
        <v>606</v>
      </c>
      <c r="M863" s="4" t="str">
        <v>Card</v>
      </c>
      <c r="N863" s="4">
        <v>2279.94</v>
      </c>
    </row>
    <row r="864" spans="1:14" x14ac:dyDescent="0.3">
      <c r="A864" s="4">
        <v>496</v>
      </c>
      <c r="B864" s="4">
        <v>45787</v>
      </c>
      <c r="C864" s="4">
        <v>1024</v>
      </c>
      <c r="D864" s="4" t="str">
        <v>Customer_156</v>
      </c>
      <c r="E864" s="4" t="str">
        <v>Consumer</v>
      </c>
      <c r="F864" s="4" t="str">
        <v>North</v>
      </c>
      <c r="G864" s="4" t="str">
        <v>Clothing</v>
      </c>
      <c r="H864" s="4" t="str">
        <v>Product_A</v>
      </c>
      <c r="I864" s="4">
        <v>2595</v>
      </c>
      <c r="J864" s="4">
        <v>2</v>
      </c>
      <c r="K864" s="4">
        <v>0.22</v>
      </c>
      <c r="L864" s="4">
        <v>1965</v>
      </c>
      <c r="M864" s="4" t="str">
        <v>Card</v>
      </c>
      <c r="N864" s="4">
        <v>4048.2</v>
      </c>
    </row>
    <row r="865" spans="1:14" x14ac:dyDescent="0.3">
      <c r="A865" s="4">
        <v>498</v>
      </c>
      <c r="B865" s="4">
        <v>45789</v>
      </c>
      <c r="C865" s="4">
        <v>1079</v>
      </c>
      <c r="D865" s="4" t="str">
        <v>Customer_155</v>
      </c>
      <c r="E865" s="4" t="str">
        <v>Consumer</v>
      </c>
      <c r="F865" s="4" t="str">
        <v>East</v>
      </c>
      <c r="G865" s="4" t="str">
        <v>Electronics</v>
      </c>
      <c r="H865" s="4" t="str">
        <v>Product_D</v>
      </c>
      <c r="I865" s="4">
        <v>4085</v>
      </c>
      <c r="J865" s="4">
        <v>7</v>
      </c>
      <c r="K865" s="4">
        <v>0.24</v>
      </c>
      <c r="L865" s="4">
        <v>1108</v>
      </c>
      <c r="M865" s="4" t="str">
        <v>UPI</v>
      </c>
      <c r="N865" s="4">
        <v>21732.2</v>
      </c>
    </row>
    <row r="866" spans="1:14" x14ac:dyDescent="0.3">
      <c r="A866" s="4">
        <v>499</v>
      </c>
      <c r="B866" s="4">
        <v>45790</v>
      </c>
      <c r="C866" s="4">
        <v>1074</v>
      </c>
      <c r="D866" s="4" t="str">
        <v>Customer_181</v>
      </c>
      <c r="E866" s="4" t="str">
        <v>Corporate</v>
      </c>
      <c r="F866" s="4" t="str">
        <v>South</v>
      </c>
      <c r="G866" s="4" t="str">
        <v>Electronics</v>
      </c>
      <c r="H866" s="4" t="str">
        <v>Product_A</v>
      </c>
      <c r="I866" s="4">
        <v>4431</v>
      </c>
      <c r="J866" s="4">
        <v>1</v>
      </c>
      <c r="K866" s="4">
        <v>0.08</v>
      </c>
      <c r="L866" s="4">
        <v>394</v>
      </c>
      <c r="M866" s="4" t="str">
        <v>Card</v>
      </c>
      <c r="N866" s="4">
        <v>4076.52</v>
      </c>
    </row>
    <row r="867" spans="1:14" x14ac:dyDescent="0.3">
      <c r="A867" s="4">
        <v>500</v>
      </c>
      <c r="B867" s="4">
        <v>45791</v>
      </c>
      <c r="C867" s="4">
        <v>1024</v>
      </c>
      <c r="D867" s="4" t="str">
        <v>Customer_26</v>
      </c>
      <c r="E867" s="4" t="str">
        <v>Consumer</v>
      </c>
      <c r="F867" s="4" t="str">
        <v>North</v>
      </c>
      <c r="G867" s="4" t="str">
        <v>Furniture</v>
      </c>
      <c r="H867" s="4" t="str">
        <v>Product_B</v>
      </c>
      <c r="I867" s="4">
        <v>1822</v>
      </c>
      <c r="J867" s="4">
        <v>4</v>
      </c>
      <c r="K867" s="4">
        <v>0.16</v>
      </c>
      <c r="L867" s="4">
        <v>1668</v>
      </c>
      <c r="M867" s="4" t="str">
        <v>Card</v>
      </c>
      <c r="N867" s="4">
        <v>6121.92</v>
      </c>
    </row>
    <row r="869" spans="1:14" x14ac:dyDescent="0.3">
      <c r="A869" s="17"/>
      <c r="B869" s="17"/>
      <c r="C869" s="17"/>
      <c r="D869" s="17"/>
      <c r="E869" s="17"/>
      <c r="F869" s="17"/>
      <c r="G869" s="17"/>
      <c r="H869" s="17"/>
      <c r="I869" s="17"/>
      <c r="J869" s="17"/>
      <c r="K869" s="17"/>
      <c r="L869" s="17"/>
      <c r="M869" s="17"/>
      <c r="N869" s="17"/>
    </row>
    <row r="870" spans="1:14" x14ac:dyDescent="0.3">
      <c r="A870" s="17"/>
      <c r="B870" s="17"/>
      <c r="C870" s="17"/>
      <c r="D870" s="17"/>
      <c r="E870" s="17"/>
      <c r="F870" s="17"/>
      <c r="G870" s="17"/>
      <c r="H870" s="17"/>
      <c r="I870" s="17"/>
      <c r="J870" s="17"/>
      <c r="K870" s="17"/>
      <c r="L870" s="17"/>
      <c r="M870" s="17"/>
      <c r="N870" s="17"/>
    </row>
    <row r="871" spans="1:14" x14ac:dyDescent="0.3">
      <c r="A871" s="17"/>
      <c r="B871" s="17"/>
      <c r="C871" s="17"/>
      <c r="D871" s="17"/>
      <c r="E871" s="17"/>
      <c r="F871" s="17"/>
      <c r="G871" s="17"/>
      <c r="H871" s="17"/>
      <c r="I871" s="17"/>
      <c r="J871" s="17"/>
      <c r="K871" s="17"/>
      <c r="L871" s="17"/>
      <c r="M871" s="17"/>
      <c r="N871" s="17"/>
    </row>
    <row r="872" spans="1:14" x14ac:dyDescent="0.3">
      <c r="H872" s="16"/>
    </row>
  </sheetData>
  <mergeCells count="3">
    <mergeCell ref="A1:N1"/>
    <mergeCell ref="A153:N153"/>
    <mergeCell ref="A479:N4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E-CommerceBusinessIntelligence</vt:lpstr>
      <vt:lpstr>Pivot Sheet Dashboard</vt:lpstr>
      <vt:lpstr>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Sayar Paul</dc:creator>
  <cp:lastModifiedBy>Sayar Paul</cp:lastModifiedBy>
  <dcterms:created xsi:type="dcterms:W3CDTF">2026-03-17T03:24:22Z</dcterms:created>
  <dcterms:modified xsi:type="dcterms:W3CDTF">2026-03-23T04:51:09Z</dcterms:modified>
</cp:coreProperties>
</file>