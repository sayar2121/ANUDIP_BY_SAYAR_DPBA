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_BY_SAYAR_DPBA\EXCEL\Project\"/>
    </mc:Choice>
  </mc:AlternateContent>
  <xr:revisionPtr revIDLastSave="0" documentId="8_{715970B9-0CCD-4516-9245-C51706CB924F}" xr6:coauthVersionLast="47" xr6:coauthVersionMax="47" xr10:uidLastSave="{00000000-0000-0000-0000-000000000000}"/>
  <bookViews>
    <workbookView xWindow="696" yWindow="696" windowWidth="17280" windowHeight="8880" firstSheet="2" activeTab="2" xr2:uid="{7E8BA1AA-08D4-4FBB-81CA-962D3D290C37}"/>
  </bookViews>
  <sheets>
    <sheet name="Sheet10" sheetId="10" r:id="rId1"/>
    <sheet name="E-CommerceBusinessIntelligence" sheetId="1" r:id="rId2"/>
    <sheet name="Pivot Sheet Dashboard" sheetId="2" r:id="rId3"/>
  </sheets>
  <calcPr calcId="191029"/>
  <pivotCaches>
    <pivotCache cacheId="10" r:id="rId4"/>
    <pivotCache cacheId="26" r:id="rId5"/>
    <pivotCache cacheId="33" r:id="rId6"/>
    <pivotCache cacheId="39" r:id="rId7"/>
    <pivotCache cacheId="45" r:id="rId8"/>
    <pivotCache cacheId="63" r:id="rId9"/>
    <pivotCache cacheId="7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" i="1" l="1"/>
  <c r="X2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</calcChain>
</file>

<file path=xl/sharedStrings.xml><?xml version="1.0" encoding="utf-8"?>
<sst xmlns="http://schemas.openxmlformats.org/spreadsheetml/2006/main" count="3157" uniqueCount="269">
  <si>
    <t>Order_ID</t>
  </si>
  <si>
    <t>Order_Date</t>
  </si>
  <si>
    <t>Customer_ID</t>
  </si>
  <si>
    <t>Customer_Name</t>
  </si>
  <si>
    <t>Segment</t>
  </si>
  <si>
    <t>Region</t>
  </si>
  <si>
    <t>Category</t>
  </si>
  <si>
    <t>Product_Name</t>
  </si>
  <si>
    <t>Price</t>
  </si>
  <si>
    <t>Quantity</t>
  </si>
  <si>
    <t>Discount</t>
  </si>
  <si>
    <t>Profit</t>
  </si>
  <si>
    <t>Payment_Mode</t>
  </si>
  <si>
    <t>Sales</t>
  </si>
  <si>
    <t>Customer_33</t>
  </si>
  <si>
    <t>Consumer</t>
  </si>
  <si>
    <t>South</t>
  </si>
  <si>
    <t>Electronics</t>
  </si>
  <si>
    <t>Product_A</t>
  </si>
  <si>
    <t>UPI</t>
  </si>
  <si>
    <t>Customer_191</t>
  </si>
  <si>
    <t>East</t>
  </si>
  <si>
    <t>Clothing</t>
  </si>
  <si>
    <t>Customer_54</t>
  </si>
  <si>
    <t>Corporate</t>
  </si>
  <si>
    <t>Product_D</t>
  </si>
  <si>
    <t>Card</t>
  </si>
  <si>
    <t>Customer_116</t>
  </si>
  <si>
    <t>West</t>
  </si>
  <si>
    <t>Product_B</t>
  </si>
  <si>
    <t>Customer_179</t>
  </si>
  <si>
    <t>COD</t>
  </si>
  <si>
    <t>Customer_112</t>
  </si>
  <si>
    <t>North</t>
  </si>
  <si>
    <t>Furniture</t>
  </si>
  <si>
    <t>Customer_180</t>
  </si>
  <si>
    <t>Customer_184</t>
  </si>
  <si>
    <t>Product_C</t>
  </si>
  <si>
    <t>Customer_114</t>
  </si>
  <si>
    <t>Customer_73</t>
  </si>
  <si>
    <t>Customer_1</t>
  </si>
  <si>
    <t>Customer_31</t>
  </si>
  <si>
    <t>Customer_21</t>
  </si>
  <si>
    <t>Customer_24</t>
  </si>
  <si>
    <t>Customer_19</t>
  </si>
  <si>
    <t>Customer_61</t>
  </si>
  <si>
    <t>Customer_188</t>
  </si>
  <si>
    <t>Customer_124</t>
  </si>
  <si>
    <t>Customer_153</t>
  </si>
  <si>
    <t>Customer_20</t>
  </si>
  <si>
    <t>Customer_117</t>
  </si>
  <si>
    <t>Customer_154</t>
  </si>
  <si>
    <t>Customer_127</t>
  </si>
  <si>
    <t>Customer_7</t>
  </si>
  <si>
    <t>Customer_195</t>
  </si>
  <si>
    <t>Customer_56</t>
  </si>
  <si>
    <t>Customer_72</t>
  </si>
  <si>
    <t>Customer_94</t>
  </si>
  <si>
    <t>Customer_11</t>
  </si>
  <si>
    <t>Customer_145</t>
  </si>
  <si>
    <t>Customer_175</t>
  </si>
  <si>
    <t>Customer_172</t>
  </si>
  <si>
    <t>Customer_192</t>
  </si>
  <si>
    <t>Customer_158</t>
  </si>
  <si>
    <t>Customer_43</t>
  </si>
  <si>
    <t>Customer_16</t>
  </si>
  <si>
    <t>Customer_119</t>
  </si>
  <si>
    <t>Customer_4</t>
  </si>
  <si>
    <t>Customer_85</t>
  </si>
  <si>
    <t>Customer_50</t>
  </si>
  <si>
    <t>Customer_34</t>
  </si>
  <si>
    <t>Customer_35</t>
  </si>
  <si>
    <t>Customer_64</t>
  </si>
  <si>
    <t>Customer_13</t>
  </si>
  <si>
    <t>Customer_107</t>
  </si>
  <si>
    <t>Customer_27</t>
  </si>
  <si>
    <t>Customer_169</t>
  </si>
  <si>
    <t>Customer_42</t>
  </si>
  <si>
    <t>Customer_157</t>
  </si>
  <si>
    <t>Customer_144</t>
  </si>
  <si>
    <t>Customer_181</t>
  </si>
  <si>
    <t>Customer_46</t>
  </si>
  <si>
    <t>Customer_197</t>
  </si>
  <si>
    <t>Customer_37</t>
  </si>
  <si>
    <t>Customer_104</t>
  </si>
  <si>
    <t>Customer_143</t>
  </si>
  <si>
    <t>Customer_149</t>
  </si>
  <si>
    <t>Customer_9</t>
  </si>
  <si>
    <t>Customer_77</t>
  </si>
  <si>
    <t>Customer_146</t>
  </si>
  <si>
    <t>Customer_23</t>
  </si>
  <si>
    <t>Customer_95</t>
  </si>
  <si>
    <t>Customer_122</t>
  </si>
  <si>
    <t>Customer_102</t>
  </si>
  <si>
    <t>Customer_142</t>
  </si>
  <si>
    <t>Customer_101</t>
  </si>
  <si>
    <t>Customer_76</t>
  </si>
  <si>
    <t>Customer_156</t>
  </si>
  <si>
    <t>Customer_131</t>
  </si>
  <si>
    <t>Customer_150</t>
  </si>
  <si>
    <t>Customer_29</t>
  </si>
  <si>
    <t>Customer_148</t>
  </si>
  <si>
    <t>Customer_67</t>
  </si>
  <si>
    <t>Customer_105</t>
  </si>
  <si>
    <t>Customer_161</t>
  </si>
  <si>
    <t>Customer_48</t>
  </si>
  <si>
    <t>Customer_103</t>
  </si>
  <si>
    <t>Customer_41</t>
  </si>
  <si>
    <t>Customer_123</t>
  </si>
  <si>
    <t>Customer_137</t>
  </si>
  <si>
    <t>Customer_176</t>
  </si>
  <si>
    <t>Customer_182</t>
  </si>
  <si>
    <t>Customer_193</t>
  </si>
  <si>
    <t>Customer_160</t>
  </si>
  <si>
    <t>Customer_109</t>
  </si>
  <si>
    <t>Customer_81</t>
  </si>
  <si>
    <t>Customer_70</t>
  </si>
  <si>
    <t>Customer_174</t>
  </si>
  <si>
    <t>Customer_128</t>
  </si>
  <si>
    <t>Customer_121</t>
  </si>
  <si>
    <t>Customer_138</t>
  </si>
  <si>
    <t>Customer_28</t>
  </si>
  <si>
    <t>Customer_22</t>
  </si>
  <si>
    <t>Customer_111</t>
  </si>
  <si>
    <t>Customer_32</t>
  </si>
  <si>
    <t>Customer_115</t>
  </si>
  <si>
    <t>Customer_164</t>
  </si>
  <si>
    <t>Customer_159</t>
  </si>
  <si>
    <t>Customer_170</t>
  </si>
  <si>
    <t>Customer_74</t>
  </si>
  <si>
    <t>Customer_69</t>
  </si>
  <si>
    <t>Customer_125</t>
  </si>
  <si>
    <t>Customer_199</t>
  </si>
  <si>
    <t>Customer_134</t>
  </si>
  <si>
    <t>Customer_52</t>
  </si>
  <si>
    <t>Customer_82</t>
  </si>
  <si>
    <t>Customer_100</t>
  </si>
  <si>
    <t>Customer_196</t>
  </si>
  <si>
    <t>Customer_60</t>
  </si>
  <si>
    <t>Customer_183</t>
  </si>
  <si>
    <t>Customer_152</t>
  </si>
  <si>
    <t>Customer_168</t>
  </si>
  <si>
    <t>Customer_162</t>
  </si>
  <si>
    <t>Customer_39</t>
  </si>
  <si>
    <t>Customer_120</t>
  </si>
  <si>
    <t>Customer_113</t>
  </si>
  <si>
    <t>Customer_3</t>
  </si>
  <si>
    <t>Customer_166</t>
  </si>
  <si>
    <t>Customer_65</t>
  </si>
  <si>
    <t>Customer_83</t>
  </si>
  <si>
    <t>Customer_38</t>
  </si>
  <si>
    <t>Customer_47</t>
  </si>
  <si>
    <t>Customer_10</t>
  </si>
  <si>
    <t>Customer_88</t>
  </si>
  <si>
    <t>Customer_133</t>
  </si>
  <si>
    <t>Customer_141</t>
  </si>
  <si>
    <t>Customer_86</t>
  </si>
  <si>
    <t>Customer_151</t>
  </si>
  <si>
    <t>Customer_8</t>
  </si>
  <si>
    <t>Customer_190</t>
  </si>
  <si>
    <t>Customer_167</t>
  </si>
  <si>
    <t>Customer_51</t>
  </si>
  <si>
    <t>Customer_45</t>
  </si>
  <si>
    <t>Customer_177</t>
  </si>
  <si>
    <t>Customer_80</t>
  </si>
  <si>
    <t>Customer_99</t>
  </si>
  <si>
    <t>Customer_106</t>
  </si>
  <si>
    <t>Customer_187</t>
  </si>
  <si>
    <t>Customer_198</t>
  </si>
  <si>
    <t>Customer_78</t>
  </si>
  <si>
    <t>Customer_110</t>
  </si>
  <si>
    <t>Customer_130</t>
  </si>
  <si>
    <t>Customer_89</t>
  </si>
  <si>
    <t>Customer_15</t>
  </si>
  <si>
    <t>Customer_97</t>
  </si>
  <si>
    <t>Customer_40</t>
  </si>
  <si>
    <t>Customer_108</t>
  </si>
  <si>
    <t>Customer_87</t>
  </si>
  <si>
    <t>Customer_2</t>
  </si>
  <si>
    <t>Customer_26</t>
  </si>
  <si>
    <t>Customer_44</t>
  </si>
  <si>
    <t>Customer_18</t>
  </si>
  <si>
    <t>Customer_98</t>
  </si>
  <si>
    <t>Customer_30</t>
  </si>
  <si>
    <t>Customer_96</t>
  </si>
  <si>
    <t>Customer_68</t>
  </si>
  <si>
    <t>Customer_25</t>
  </si>
  <si>
    <t>Customer_12</t>
  </si>
  <si>
    <t>Customer_71</t>
  </si>
  <si>
    <t>Customer_75</t>
  </si>
  <si>
    <t>Customer_14</t>
  </si>
  <si>
    <t>Customer_57</t>
  </si>
  <si>
    <t>Customer_140</t>
  </si>
  <si>
    <t>Customer_91</t>
  </si>
  <si>
    <t>Customer_17</t>
  </si>
  <si>
    <t>Customer_171</t>
  </si>
  <si>
    <t>Customer_92</t>
  </si>
  <si>
    <t>Customer_178</t>
  </si>
  <si>
    <t>Customer_79</t>
  </si>
  <si>
    <t>Customer_186</t>
  </si>
  <si>
    <t>Customer_147</t>
  </si>
  <si>
    <t>Customer_84</t>
  </si>
  <si>
    <t>Customer_163</t>
  </si>
  <si>
    <t>Customer_118</t>
  </si>
  <si>
    <t>Customer_55</t>
  </si>
  <si>
    <t>Customer_58</t>
  </si>
  <si>
    <t>Customer_5</t>
  </si>
  <si>
    <t>Customer_53</t>
  </si>
  <si>
    <t>Customer_90</t>
  </si>
  <si>
    <t>Customer_59</t>
  </si>
  <si>
    <t>Customer_49</t>
  </si>
  <si>
    <t>Customer_36</t>
  </si>
  <si>
    <t>Customer_62</t>
  </si>
  <si>
    <t>Customer_6</t>
  </si>
  <si>
    <t>Customer_194</t>
  </si>
  <si>
    <t>Customer_132</t>
  </si>
  <si>
    <t>Customer_63</t>
  </si>
  <si>
    <t>Customer_155</t>
  </si>
  <si>
    <t>Months</t>
  </si>
  <si>
    <t>Year</t>
  </si>
  <si>
    <t>Quarter</t>
  </si>
  <si>
    <t>Profit Margin</t>
  </si>
  <si>
    <t>Discount Amount</t>
  </si>
  <si>
    <t>Order Category</t>
  </si>
  <si>
    <t>Customer Type</t>
  </si>
  <si>
    <t>Sales Performance</t>
  </si>
  <si>
    <t>Profit Status</t>
  </si>
  <si>
    <t>Rank Sales</t>
  </si>
  <si>
    <t>Row Labels</t>
  </si>
  <si>
    <t>Grand Total</t>
  </si>
  <si>
    <t>Sum of Sales</t>
  </si>
  <si>
    <t>Sales by Region</t>
  </si>
  <si>
    <t>Sales by Category</t>
  </si>
  <si>
    <t>Monthly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</si>
  <si>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</si>
  <si>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</si>
  <si>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</si>
  <si>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</si>
  <si>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</si>
  <si>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</si>
  <si>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</si>
  <si>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</si>
  <si>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</si>
  <si>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</si>
  <si>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</si>
  <si>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</si>
  <si>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2 Products</t>
  </si>
  <si>
    <t>Payment Mode</t>
  </si>
  <si>
    <t>Count of Order_ID</t>
  </si>
  <si>
    <t>Segment Sales</t>
  </si>
  <si>
    <t>Sum of Profit</t>
  </si>
  <si>
    <t>Sum of Discount</t>
  </si>
  <si>
    <t>Sum of Profit Margin</t>
  </si>
  <si>
    <t>Sum of Discount Amount</t>
  </si>
  <si>
    <t>Q1</t>
  </si>
  <si>
    <t>Q2</t>
  </si>
  <si>
    <t>Q3</t>
  </si>
  <si>
    <t>Q4</t>
  </si>
  <si>
    <t>High</t>
  </si>
  <si>
    <t>Low</t>
  </si>
  <si>
    <t>Medium</t>
  </si>
  <si>
    <t>Region Based Profit</t>
  </si>
  <si>
    <t>Region Based Discount</t>
  </si>
  <si>
    <t>Sum Of Sales,Profit Margin,Discount Ammount On Basis of Product</t>
  </si>
  <si>
    <t>Sum of Profit Margin, Discount Ammount, Profit on Basis of Payment Method</t>
  </si>
  <si>
    <t>Sum Of Discount Ammount, Profit, Discount On Basis of Quarter</t>
  </si>
  <si>
    <t>Sum of Discount on Basis of Order Category</t>
  </si>
  <si>
    <t>New</t>
  </si>
  <si>
    <t>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</si>
</sst>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pivotButton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17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2"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7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8.403061805555" createdVersion="7" refreshedVersion="7" minRefreshableVersion="3" recordCount="500" xr:uid="{1B5C618D-6A8B-416F-817F-833BF4431873}">
  <cacheSource type="worksheet">
    <worksheetSource name="SalesData"/>
  </cacheSource>
  <cacheFields count="24">
    <cacheField name="Order_ID" numFmtId="0">
      <sharedItems containsSemiMixedTypes="0" containsString="0" containsNumber="1" containsInteger="1" minValue="1" maxValue="500"/>
    </cacheField>
    <cacheField name="Order_Date" numFmtId="14">
      <sharedItems containsSemiMixedTypes="0" containsNonDate="0" containsDate="1" containsString="0" minDate="2024-01-01T00:00:00" maxDate="2025-05-15T00:00:00"/>
    </cacheField>
    <cacheField name="Customer_ID" numFmtId="0">
      <sharedItems containsSemiMixedTypes="0" containsString="0" containsNumber="1" containsInteger="1" minValue="1000" maxValue="1099"/>
    </cacheField>
    <cacheField name="Customer_Name" numFmtId="0">
      <sharedItems/>
    </cacheField>
    <cacheField name="Segment" numFmtId="0">
      <sharedItems/>
    </cacheField>
    <cacheField name="Region" numFmtId="0">
      <sharedItems count="4">
        <s v="South"/>
        <s v="East"/>
        <s v="West"/>
        <s v="North"/>
      </sharedItems>
    </cacheField>
    <cacheField name="Category" numFmtId="0">
      <sharedItems count="3">
        <s v="Electronics"/>
        <s v="Clothing"/>
        <s v="Furniture"/>
      </sharedItems>
    </cacheField>
    <cacheField name="Product_Name" numFmtId="0">
      <sharedItems count="4">
        <s v="Product_A"/>
        <s v="Product_D"/>
        <s v="Product_B"/>
        <s v="Product_C"/>
      </sharedItems>
    </cacheField>
    <cacheField name="Price" numFmtId="0">
      <sharedItems containsSemiMixedTypes="0" containsString="0" containsNumber="1" containsInteger="1" minValue="100" maxValue="4994"/>
    </cacheField>
    <cacheField name="Quantity" numFmtId="0">
      <sharedItems containsSemiMixedTypes="0" containsString="0" containsNumber="1" containsInteger="1" minValue="1" maxValue="9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containsInteger="1" minValue="-499" maxValue="1997"/>
    </cacheField>
    <cacheField name="Payment_Mode" numFmtId="0">
      <sharedItems count="3">
        <s v="UPI"/>
        <s v="Card"/>
        <s v="COD"/>
      </sharedItems>
    </cacheField>
    <cacheField name="Sales" numFmtId="0">
      <sharedItems containsSemiMixedTypes="0" containsString="0" containsNumber="1" minValue="149.47999999999999" maxValue="41148"/>
    </cacheField>
    <cacheField name="Months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4" maxValue="2025"/>
    </cacheField>
    <cacheField name="Quarter" numFmtId="0">
      <sharedItems/>
    </cacheField>
    <cacheField name="Profit Margin" numFmtId="0">
      <sharedItems containsSemiMixedTypes="0" containsString="0" containsNumber="1" minValue="-2.3898061381327782" maxValue="11.687182231736688"/>
    </cacheField>
    <cacheField name="Discount Amount" numFmtId="0">
      <sharedItems containsSemiMixedTypes="0" containsString="0" containsNumber="1" minValue="0" maxValue="12584.880000000001"/>
    </cacheField>
    <cacheField name="Order Category" numFmtId="0">
      <sharedItems/>
    </cacheField>
    <cacheField name="Customer Type" numFmtId="0">
      <sharedItems/>
    </cacheField>
    <cacheField name="Sales Performance" numFmtId="0">
      <sharedItems/>
    </cacheField>
    <cacheField name="Profit Status" numFmtId="0">
      <sharedItems/>
    </cacheField>
    <cacheField name="Rank Sales" numFmtId="0">
      <sharedItems containsSemiMixedTypes="0" containsString="0" containsNumber="1" containsInteger="1" minValue="1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8.42664351852" createdVersion="7" refreshedVersion="7" minRefreshableVersion="3" recordCount="500" xr:uid="{A67CC1B8-84F6-4BB0-B2AB-74E9846F78B4}">
  <cacheSource type="worksheet">
    <worksheetSource name="SalesData"/>
  </cacheSource>
  <cacheFields count="24">
    <cacheField name="Order_ID" numFmtId="0">
      <sharedItems containsSemiMixedTypes="0" containsString="0" containsNumber="1" containsInteger="1" minValue="1" maxValue="500"/>
    </cacheField>
    <cacheField name="Order_Date" numFmtId="14">
      <sharedItems containsSemiMixedTypes="0" containsNonDate="0" containsDate="1" containsString="0" minDate="2024-01-01T00:00:00" maxDate="2025-05-15T00:00:00"/>
    </cacheField>
    <cacheField name="Customer_ID" numFmtId="0">
      <sharedItems containsSemiMixedTypes="0" containsString="0" containsNumber="1" containsInteger="1" minValue="1000" maxValue="1099"/>
    </cacheField>
    <cacheField name="Customer_Name" numFmtId="0">
      <sharedItems/>
    </cacheField>
    <cacheField name="Segment" numFmtId="0">
      <sharedItems/>
    </cacheField>
    <cacheField name="Region" numFmtId="0">
      <sharedItems count="4">
        <s v="South"/>
        <s v="East"/>
        <s v="West"/>
        <s v="North"/>
      </sharedItems>
    </cacheField>
    <cacheField name="Category" numFmtId="0">
      <sharedItems/>
    </cacheField>
    <cacheField name="Product_Name" numFmtId="0">
      <sharedItems/>
    </cacheField>
    <cacheField name="Price" numFmtId="0">
      <sharedItems containsSemiMixedTypes="0" containsString="0" containsNumber="1" containsInteger="1" minValue="100" maxValue="4994"/>
    </cacheField>
    <cacheField name="Quantity" numFmtId="0">
      <sharedItems containsSemiMixedTypes="0" containsString="0" containsNumber="1" containsInteger="1" minValue="1" maxValue="9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containsInteger="1" minValue="-499" maxValue="1997"/>
    </cacheField>
    <cacheField name="Payment_Mode" numFmtId="0">
      <sharedItems/>
    </cacheField>
    <cacheField name="Sales" numFmtId="0">
      <sharedItems containsSemiMixedTypes="0" containsString="0" containsNumber="1" minValue="149.47999999999999" maxValue="41148"/>
    </cacheField>
    <cacheField name="Months" numFmtId="0">
      <sharedItems/>
    </cacheField>
    <cacheField name="Year" numFmtId="0">
      <sharedItems containsSemiMixedTypes="0" containsString="0" containsNumber="1" containsInteger="1" minValue="2024" maxValue="2025"/>
    </cacheField>
    <cacheField name="Quarter" numFmtId="0">
      <sharedItems/>
    </cacheField>
    <cacheField name="Profit Margin" numFmtId="0">
      <sharedItems containsSemiMixedTypes="0" containsString="0" containsNumber="1" minValue="-2.3898061381327782" maxValue="11.687182231736688"/>
    </cacheField>
    <cacheField name="Discount Amount" numFmtId="0">
      <sharedItems containsSemiMixedTypes="0" containsString="0" containsNumber="1" minValue="0" maxValue="12584.880000000001"/>
    </cacheField>
    <cacheField name="Order Category" numFmtId="0">
      <sharedItems/>
    </cacheField>
    <cacheField name="Customer Type" numFmtId="0">
      <sharedItems/>
    </cacheField>
    <cacheField name="Sales Performance" numFmtId="0">
      <sharedItems/>
    </cacheField>
    <cacheField name="Profit Status" numFmtId="0">
      <sharedItems/>
    </cacheField>
    <cacheField name="Rank Sales" numFmtId="0">
      <sharedItems containsSemiMixedTypes="0" containsString="0" containsNumber="1" containsInteger="1" minValue="1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8.427679166663" createdVersion="7" refreshedVersion="7" minRefreshableVersion="3" recordCount="500" xr:uid="{D3E2C771-860C-4457-B841-47A7F2387036}">
  <cacheSource type="worksheet">
    <worksheetSource name="SalesData"/>
  </cacheSource>
  <cacheFields count="24">
    <cacheField name="Order_ID" numFmtId="0">
      <sharedItems containsSemiMixedTypes="0" containsString="0" containsNumber="1" containsInteger="1" minValue="1" maxValue="500"/>
    </cacheField>
    <cacheField name="Order_Date" numFmtId="14">
      <sharedItems containsSemiMixedTypes="0" containsNonDate="0" containsDate="1" containsString="0" minDate="2024-01-01T00:00:00" maxDate="2025-05-15T00:00:00"/>
    </cacheField>
    <cacheField name="Customer_ID" numFmtId="0">
      <sharedItems containsSemiMixedTypes="0" containsString="0" containsNumber="1" containsInteger="1" minValue="1000" maxValue="1099"/>
    </cacheField>
    <cacheField name="Customer_Name" numFmtId="0">
      <sharedItems/>
    </cacheField>
    <cacheField name="Segment" numFmtId="0">
      <sharedItems count="2">
        <s v="Consumer"/>
        <s v="Corporate"/>
      </sharedItems>
    </cacheField>
    <cacheField name="Region" numFmtId="0">
      <sharedItems count="4">
        <s v="South"/>
        <s v="East"/>
        <s v="West"/>
        <s v="North"/>
      </sharedItems>
    </cacheField>
    <cacheField name="Category" numFmtId="0">
      <sharedItems/>
    </cacheField>
    <cacheField name="Product_Name" numFmtId="0">
      <sharedItems/>
    </cacheField>
    <cacheField name="Price" numFmtId="0">
      <sharedItems containsSemiMixedTypes="0" containsString="0" containsNumber="1" containsInteger="1" minValue="100" maxValue="4994"/>
    </cacheField>
    <cacheField name="Quantity" numFmtId="0">
      <sharedItems containsSemiMixedTypes="0" containsString="0" containsNumber="1" containsInteger="1" minValue="1" maxValue="9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containsInteger="1" minValue="-499" maxValue="1997"/>
    </cacheField>
    <cacheField name="Payment_Mode" numFmtId="0">
      <sharedItems/>
    </cacheField>
    <cacheField name="Sales" numFmtId="0">
      <sharedItems containsSemiMixedTypes="0" containsString="0" containsNumber="1" minValue="149.47999999999999" maxValue="41148"/>
    </cacheField>
    <cacheField name="Months" numFmtId="0">
      <sharedItems/>
    </cacheField>
    <cacheField name="Year" numFmtId="0">
      <sharedItems containsSemiMixedTypes="0" containsString="0" containsNumber="1" containsInteger="1" minValue="2024" maxValue="2025"/>
    </cacheField>
    <cacheField name="Quarter" numFmtId="0">
      <sharedItems/>
    </cacheField>
    <cacheField name="Profit Margin" numFmtId="0">
      <sharedItems containsSemiMixedTypes="0" containsString="0" containsNumber="1" minValue="-2.3898061381327782" maxValue="11.687182231736688"/>
    </cacheField>
    <cacheField name="Discount Amount" numFmtId="0">
      <sharedItems containsSemiMixedTypes="0" containsString="0" containsNumber="1" minValue="0" maxValue="12584.880000000001"/>
    </cacheField>
    <cacheField name="Order Category" numFmtId="0">
      <sharedItems/>
    </cacheField>
    <cacheField name="Customer Type" numFmtId="0">
      <sharedItems/>
    </cacheField>
    <cacheField name="Sales Performance" numFmtId="0">
      <sharedItems/>
    </cacheField>
    <cacheField name="Profit Status" numFmtId="0">
      <sharedItems/>
    </cacheField>
    <cacheField name="Rank Sales" numFmtId="0">
      <sharedItems containsSemiMixedTypes="0" containsString="0" containsNumber="1" containsInteger="1" minValue="1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8.430802893519" createdVersion="7" refreshedVersion="7" minRefreshableVersion="3" recordCount="500" xr:uid="{0C85E137-9DB9-45E8-B7A6-9757A12429CF}">
  <cacheSource type="worksheet">
    <worksheetSource name="SalesData"/>
  </cacheSource>
  <cacheFields count="24">
    <cacheField name="Order_ID" numFmtId="0">
      <sharedItems containsSemiMixedTypes="0" containsString="0" containsNumber="1" containsInteger="1" minValue="1" maxValue="500"/>
    </cacheField>
    <cacheField name="Order_Date" numFmtId="14">
      <sharedItems containsSemiMixedTypes="0" containsNonDate="0" containsDate="1" containsString="0" minDate="2024-01-01T00:00:00" maxDate="2025-05-15T00:00:00" count="5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</sharedItems>
    </cacheField>
    <cacheField name="Customer_ID" numFmtId="0">
      <sharedItems containsSemiMixedTypes="0" containsString="0" containsNumber="1" containsInteger="1" minValue="1000" maxValue="1099"/>
    </cacheField>
    <cacheField name="Customer_Name" numFmtId="0">
      <sharedItems/>
    </cacheField>
    <cacheField name="Segment" numFmtId="0">
      <sharedItems/>
    </cacheField>
    <cacheField name="Region" numFmtId="0">
      <sharedItems/>
    </cacheField>
    <cacheField name="Category" numFmtId="0">
      <sharedItems/>
    </cacheField>
    <cacheField name="Product_Name" numFmtId="0">
      <sharedItems count="4">
        <s v="Product_A"/>
        <s v="Product_D"/>
        <s v="Product_B"/>
        <s v="Product_C"/>
      </sharedItems>
    </cacheField>
    <cacheField name="Price" numFmtId="0">
      <sharedItems containsSemiMixedTypes="0" containsString="0" containsNumber="1" containsInteger="1" minValue="100" maxValue="4994"/>
    </cacheField>
    <cacheField name="Quantity" numFmtId="0">
      <sharedItems containsSemiMixedTypes="0" containsString="0" containsNumber="1" containsInteger="1" minValue="1" maxValue="9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containsInteger="1" minValue="-499" maxValue="1997"/>
    </cacheField>
    <cacheField name="Payment_Mode" numFmtId="0">
      <sharedItems/>
    </cacheField>
    <cacheField name="Sales" numFmtId="0">
      <sharedItems containsSemiMixedTypes="0" containsString="0" containsNumber="1" minValue="149.47999999999999" maxValue="41148"/>
    </cacheField>
    <cacheField name="Months" numFmtId="0">
      <sharedItems/>
    </cacheField>
    <cacheField name="Year" numFmtId="0">
      <sharedItems containsSemiMixedTypes="0" containsString="0" containsNumber="1" containsInteger="1" minValue="2024" maxValue="2025"/>
    </cacheField>
    <cacheField name="Quarter" numFmtId="0">
      <sharedItems/>
    </cacheField>
    <cacheField name="Profit Margin" numFmtId="0">
      <sharedItems containsSemiMixedTypes="0" containsString="0" containsNumber="1" minValue="-2.3898061381327782" maxValue="11.687182231736688"/>
    </cacheField>
    <cacheField name="Discount Amount" numFmtId="0">
      <sharedItems containsSemiMixedTypes="0" containsString="0" containsNumber="1" minValue="0" maxValue="12584.880000000001"/>
    </cacheField>
    <cacheField name="Order Category" numFmtId="0">
      <sharedItems/>
    </cacheField>
    <cacheField name="Customer Type" numFmtId="0">
      <sharedItems/>
    </cacheField>
    <cacheField name="Sales Performance" numFmtId="0">
      <sharedItems/>
    </cacheField>
    <cacheField name="Profit Status" numFmtId="0">
      <sharedItems/>
    </cacheField>
    <cacheField name="Rank Sales" numFmtId="0">
      <sharedItems containsSemiMixedTypes="0" containsString="0" containsNumber="1" containsInteger="1" minValue="1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8.431696527776" createdVersion="7" refreshedVersion="7" minRefreshableVersion="3" recordCount="500" xr:uid="{14E39117-E6C8-40FA-A0E8-3D308D4A89F0}">
  <cacheSource type="worksheet">
    <worksheetSource name="SalesData"/>
  </cacheSource>
  <cacheFields count="24">
    <cacheField name="Order_ID" numFmtId="0">
      <sharedItems containsSemiMixedTypes="0" containsString="0" containsNumber="1" containsInteger="1" minValue="1" maxValue="500"/>
    </cacheField>
    <cacheField name="Order_Date" numFmtId="14">
      <sharedItems containsSemiMixedTypes="0" containsNonDate="0" containsDate="1" containsString="0" minDate="2024-01-01T00:00:00" maxDate="2025-05-15T00:00:00" count="5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</sharedItems>
    </cacheField>
    <cacheField name="Customer_ID" numFmtId="0">
      <sharedItems containsSemiMixedTypes="0" containsString="0" containsNumber="1" containsInteger="1" minValue="1000" maxValue="1099"/>
    </cacheField>
    <cacheField name="Customer_Name" numFmtId="0">
      <sharedItems/>
    </cacheField>
    <cacheField name="Segment" numFmtId="0">
      <sharedItems/>
    </cacheField>
    <cacheField name="Region" numFmtId="0">
      <sharedItems/>
    </cacheField>
    <cacheField name="Category" numFmtId="0">
      <sharedItems/>
    </cacheField>
    <cacheField name="Product_Name" numFmtId="0">
      <sharedItems/>
    </cacheField>
    <cacheField name="Price" numFmtId="0">
      <sharedItems containsSemiMixedTypes="0" containsString="0" containsNumber="1" containsInteger="1" minValue="100" maxValue="4994"/>
    </cacheField>
    <cacheField name="Quantity" numFmtId="0">
      <sharedItems containsSemiMixedTypes="0" containsString="0" containsNumber="1" containsInteger="1" minValue="1" maxValue="9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containsInteger="1" minValue="-499" maxValue="1997"/>
    </cacheField>
    <cacheField name="Payment_Mode" numFmtId="0">
      <sharedItems count="3">
        <s v="UPI"/>
        <s v="Card"/>
        <s v="COD"/>
      </sharedItems>
    </cacheField>
    <cacheField name="Sales" numFmtId="0">
      <sharedItems containsSemiMixedTypes="0" containsString="0" containsNumber="1" minValue="149.47999999999999" maxValue="41148"/>
    </cacheField>
    <cacheField name="Months" numFmtId="0">
      <sharedItems/>
    </cacheField>
    <cacheField name="Year" numFmtId="0">
      <sharedItems containsSemiMixedTypes="0" containsString="0" containsNumber="1" containsInteger="1" minValue="2024" maxValue="2025"/>
    </cacheField>
    <cacheField name="Quarter" numFmtId="0">
      <sharedItems/>
    </cacheField>
    <cacheField name="Profit Margin" numFmtId="0">
      <sharedItems containsSemiMixedTypes="0" containsString="0" containsNumber="1" minValue="-2.3898061381327782" maxValue="11.687182231736688"/>
    </cacheField>
    <cacheField name="Discount Amount" numFmtId="0">
      <sharedItems containsSemiMixedTypes="0" containsString="0" containsNumber="1" minValue="0" maxValue="12584.880000000001"/>
    </cacheField>
    <cacheField name="Order Category" numFmtId="0">
      <sharedItems/>
    </cacheField>
    <cacheField name="Customer Type" numFmtId="0">
      <sharedItems/>
    </cacheField>
    <cacheField name="Sales Performance" numFmtId="0">
      <sharedItems/>
    </cacheField>
    <cacheField name="Profit Status" numFmtId="0">
      <sharedItems/>
    </cacheField>
    <cacheField name="Rank Sales" numFmtId="0">
      <sharedItems containsSemiMixedTypes="0" containsString="0" containsNumber="1" containsInteger="1" minValue="1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8.446963425929" createdVersion="7" refreshedVersion="7" minRefreshableVersion="3" recordCount="500" xr:uid="{C9E4F055-67D0-4F3F-8E13-561B881C507B}">
  <cacheSource type="worksheet">
    <worksheetSource name="SalesData"/>
  </cacheSource>
  <cacheFields count="24">
    <cacheField name="Order_ID" numFmtId="0">
      <sharedItems containsSemiMixedTypes="0" containsString="0" containsNumber="1" containsInteger="1" minValue="1" maxValue="500"/>
    </cacheField>
    <cacheField name="Order_Date" numFmtId="14">
      <sharedItems containsSemiMixedTypes="0" containsNonDate="0" containsDate="1" containsString="0" minDate="2024-01-01T00:00:00" maxDate="2025-05-15T00:00:00" count="5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</sharedItems>
    </cacheField>
    <cacheField name="Customer_ID" numFmtId="0">
      <sharedItems containsSemiMixedTypes="0" containsString="0" containsNumber="1" containsInteger="1" minValue="1000" maxValue="1099"/>
    </cacheField>
    <cacheField name="Customer_Name" numFmtId="0">
      <sharedItems/>
    </cacheField>
    <cacheField name="Segment" numFmtId="0">
      <sharedItems/>
    </cacheField>
    <cacheField name="Region" numFmtId="0">
      <sharedItems/>
    </cacheField>
    <cacheField name="Category" numFmtId="0">
      <sharedItems/>
    </cacheField>
    <cacheField name="Product_Name" numFmtId="0">
      <sharedItems/>
    </cacheField>
    <cacheField name="Price" numFmtId="0">
      <sharedItems containsSemiMixedTypes="0" containsString="0" containsNumber="1" containsInteger="1" minValue="100" maxValue="4994"/>
    </cacheField>
    <cacheField name="Quantity" numFmtId="0">
      <sharedItems containsSemiMixedTypes="0" containsString="0" containsNumber="1" containsInteger="1" minValue="1" maxValue="9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containsInteger="1" minValue="-499" maxValue="1997"/>
    </cacheField>
    <cacheField name="Payment_Mode" numFmtId="0">
      <sharedItems/>
    </cacheField>
    <cacheField name="Sales" numFmtId="0">
      <sharedItems containsSemiMixedTypes="0" containsString="0" containsNumber="1" minValue="149.47999999999999" maxValue="41148"/>
    </cacheField>
    <cacheField name="Months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4" maxValue="2025"/>
    </cacheField>
    <cacheField name="Quarter" numFmtId="0">
      <sharedItems count="4">
        <s v="Q1"/>
        <s v="Q2"/>
        <s v="Q3"/>
        <s v="Q4"/>
      </sharedItems>
    </cacheField>
    <cacheField name="Profit Margin" numFmtId="0">
      <sharedItems containsSemiMixedTypes="0" containsString="0" containsNumber="1" minValue="-2.3898061381327782" maxValue="11.687182231736688"/>
    </cacheField>
    <cacheField name="Discount Amount" numFmtId="0">
      <sharedItems containsSemiMixedTypes="0" containsString="0" containsNumber="1" minValue="0" maxValue="12584.880000000001"/>
    </cacheField>
    <cacheField name="Order Category" numFmtId="0">
      <sharedItems/>
    </cacheField>
    <cacheField name="Customer Type" numFmtId="0">
      <sharedItems/>
    </cacheField>
    <cacheField name="Sales Performance" numFmtId="0">
      <sharedItems/>
    </cacheField>
    <cacheField name="Profit Status" numFmtId="0">
      <sharedItems/>
    </cacheField>
    <cacheField name="Rank Sales" numFmtId="0">
      <sharedItems containsSemiMixedTypes="0" containsString="0" containsNumber="1" containsInteger="1" minValue="1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8.449353124997" createdVersion="7" refreshedVersion="7" minRefreshableVersion="3" recordCount="500" xr:uid="{26F018AB-BA14-4BFF-9B1D-A073FF636DAC}">
  <cacheSource type="worksheet">
    <worksheetSource name="SalesData"/>
  </cacheSource>
  <cacheFields count="24">
    <cacheField name="Order_ID" numFmtId="0">
      <sharedItems containsSemiMixedTypes="0" containsString="0" containsNumber="1" containsInteger="1" minValue="1" maxValue="500"/>
    </cacheField>
    <cacheField name="Order_Date" numFmtId="14">
      <sharedItems containsSemiMixedTypes="0" containsNonDate="0" containsDate="1" containsString="0" minDate="2024-01-01T00:00:00" maxDate="2025-05-15T00:00:00" count="5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</sharedItems>
    </cacheField>
    <cacheField name="Customer_ID" numFmtId="0">
      <sharedItems containsSemiMixedTypes="0" containsString="0" containsNumber="1" containsInteger="1" minValue="1000" maxValue="1099"/>
    </cacheField>
    <cacheField name="Customer_Name" numFmtId="0">
      <sharedItems/>
    </cacheField>
    <cacheField name="Segment" numFmtId="0">
      <sharedItems/>
    </cacheField>
    <cacheField name="Region" numFmtId="0">
      <sharedItems/>
    </cacheField>
    <cacheField name="Category" numFmtId="0">
      <sharedItems/>
    </cacheField>
    <cacheField name="Product_Name" numFmtId="0">
      <sharedItems/>
    </cacheField>
    <cacheField name="Price" numFmtId="0">
      <sharedItems containsSemiMixedTypes="0" containsString="0" containsNumber="1" containsInteger="1" minValue="100" maxValue="4994"/>
    </cacheField>
    <cacheField name="Quantity" numFmtId="0">
      <sharedItems containsSemiMixedTypes="0" containsString="0" containsNumber="1" containsInteger="1" minValue="1" maxValue="9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containsInteger="1" minValue="-499" maxValue="1997"/>
    </cacheField>
    <cacheField name="Payment_Mode" numFmtId="0">
      <sharedItems/>
    </cacheField>
    <cacheField name="Sales" numFmtId="0">
      <sharedItems containsSemiMixedTypes="0" containsString="0" containsNumber="1" minValue="149.47999999999999" maxValue="41148"/>
    </cacheField>
    <cacheField name="Months" numFmtId="0">
      <sharedItems/>
    </cacheField>
    <cacheField name="Year" numFmtId="0">
      <sharedItems containsSemiMixedTypes="0" containsString="0" containsNumber="1" containsInteger="1" minValue="2024" maxValue="2025"/>
    </cacheField>
    <cacheField name="Quarter" numFmtId="0">
      <sharedItems/>
    </cacheField>
    <cacheField name="Profit Margin" numFmtId="0">
      <sharedItems containsSemiMixedTypes="0" containsString="0" containsNumber="1" minValue="-2.3898061381327782" maxValue="11.687182231736688"/>
    </cacheField>
    <cacheField name="Discount Amount" numFmtId="0">
      <sharedItems containsSemiMixedTypes="0" containsString="0" containsNumber="1" minValue="0" maxValue="12584.880000000001"/>
    </cacheField>
    <cacheField name="Order Category" numFmtId="0">
      <sharedItems count="3">
        <s v="High"/>
        <s v="Medium"/>
        <s v="Low"/>
      </sharedItems>
    </cacheField>
    <cacheField name="Customer Type" numFmtId="0">
      <sharedItems count="2">
        <s v="Repeat"/>
        <s v="New"/>
      </sharedItems>
    </cacheField>
    <cacheField name="Sales Performance" numFmtId="0">
      <sharedItems/>
    </cacheField>
    <cacheField name="Profit Status" numFmtId="0">
      <sharedItems/>
    </cacheField>
    <cacheField name="Rank Sales" numFmtId="0">
      <sharedItems containsSemiMixedTypes="0" containsString="0" containsNumber="1" containsInteger="1" minValue="1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d v="2024-01-01T00:00:00"/>
    <n v="1066"/>
    <s v="Customer_33"/>
    <s v="Consumer"/>
    <x v="0"/>
    <x v="0"/>
    <x v="0"/>
    <n v="2755"/>
    <n v="3"/>
    <n v="0.25"/>
    <n v="559"/>
    <x v="0"/>
    <n v="6198.75"/>
    <x v="0"/>
    <n v="2024"/>
    <s v="Q1"/>
    <n v="9.017947166767494E-2"/>
    <n v="2066.25"/>
    <s v="High"/>
    <s v="Repeat"/>
    <s v="Below Avg"/>
    <s v="Profit"/>
    <n v="293"/>
  </r>
  <r>
    <n v="2"/>
    <d v="2024-01-02T00:00:00"/>
    <n v="1092"/>
    <s v="Customer_191"/>
    <s v="Consumer"/>
    <x v="1"/>
    <x v="1"/>
    <x v="0"/>
    <n v="1709"/>
    <n v="3"/>
    <n v="0.04"/>
    <n v="1735"/>
    <x v="0"/>
    <n v="4921.92"/>
    <x v="0"/>
    <n v="2024"/>
    <s v="Q1"/>
    <n v="0.35250471360769781"/>
    <n v="205.08"/>
    <s v="Medium"/>
    <s v="Repeat"/>
    <s v="Below Avg"/>
    <s v="Profit"/>
    <n v="326"/>
  </r>
  <r>
    <n v="3"/>
    <d v="2024-01-03T00:00:00"/>
    <n v="1098"/>
    <s v="Customer_54"/>
    <s v="Corporate"/>
    <x v="1"/>
    <x v="1"/>
    <x v="1"/>
    <n v="3914"/>
    <n v="7"/>
    <n v="0.16"/>
    <n v="-225"/>
    <x v="1"/>
    <n v="23014.32"/>
    <x v="0"/>
    <n v="2024"/>
    <s v="Q1"/>
    <n v="-9.7765217481985134E-3"/>
    <n v="4383.68"/>
    <s v="High"/>
    <s v="Repeat"/>
    <s v="Above Avg"/>
    <s v="Loss"/>
    <n v="59"/>
  </r>
  <r>
    <n v="4"/>
    <d v="2024-01-04T00:00:00"/>
    <n v="1017"/>
    <s v="Customer_116"/>
    <s v="Consumer"/>
    <x v="2"/>
    <x v="0"/>
    <x v="2"/>
    <n v="759"/>
    <n v="5"/>
    <n v="0.01"/>
    <n v="-75"/>
    <x v="0"/>
    <n v="3757.05"/>
    <x v="0"/>
    <n v="2024"/>
    <s v="Q1"/>
    <n v="-1.9962470555355931E-2"/>
    <n v="37.950000000000003"/>
    <s v="Medium"/>
    <s v="Repeat"/>
    <s v="Below Avg"/>
    <s v="Loss"/>
    <n v="365"/>
  </r>
  <r>
    <n v="5"/>
    <d v="2024-01-05T00:00:00"/>
    <n v="1083"/>
    <s v="Customer_179"/>
    <s v="Consumer"/>
    <x v="2"/>
    <x v="0"/>
    <x v="2"/>
    <n v="243"/>
    <n v="1"/>
    <n v="0.17"/>
    <n v="-482"/>
    <x v="2"/>
    <n v="201.69"/>
    <x v="0"/>
    <n v="2024"/>
    <s v="Q1"/>
    <n v="-2.3898061381327782"/>
    <n v="41.31"/>
    <s v="Low"/>
    <s v="Repeat"/>
    <s v="Below Avg"/>
    <s v="Loss"/>
    <n v="499"/>
  </r>
  <r>
    <n v="6"/>
    <d v="2024-01-06T00:00:00"/>
    <n v="1057"/>
    <s v="Customer_112"/>
    <s v="Consumer"/>
    <x v="3"/>
    <x v="2"/>
    <x v="1"/>
    <n v="2090"/>
    <n v="8"/>
    <n v="0.04"/>
    <n v="1271"/>
    <x v="0"/>
    <n v="16051.199999999901"/>
    <x v="0"/>
    <n v="2024"/>
    <s v="Q1"/>
    <n v="7.9184110845295544E-2"/>
    <n v="668.80000000000007"/>
    <s v="High"/>
    <s v="Repeat"/>
    <s v="Above Avg"/>
    <s v="Profit"/>
    <n v="127"/>
  </r>
  <r>
    <n v="7"/>
    <d v="2024-01-07T00:00:00"/>
    <n v="1086"/>
    <s v="Customer_180"/>
    <s v="Corporate"/>
    <x v="3"/>
    <x v="2"/>
    <x v="1"/>
    <n v="550"/>
    <n v="5"/>
    <n v="0.24"/>
    <n v="1300"/>
    <x v="2"/>
    <n v="2090"/>
    <x v="0"/>
    <n v="2024"/>
    <s v="Q1"/>
    <n v="0.62200956937799046"/>
    <n v="660"/>
    <s v="Medium"/>
    <s v="Repeat"/>
    <s v="Below Avg"/>
    <s v="Profit"/>
    <n v="423"/>
  </r>
  <r>
    <n v="8"/>
    <d v="2024-01-08T00:00:00"/>
    <n v="1097"/>
    <s v="Customer_180"/>
    <s v="Corporate"/>
    <x v="0"/>
    <x v="2"/>
    <x v="0"/>
    <n v="1291"/>
    <n v="4"/>
    <n v="7.0000000000000007E-2"/>
    <n v="829"/>
    <x v="2"/>
    <n v="4802.5199999999904"/>
    <x v="0"/>
    <n v="2024"/>
    <s v="Q1"/>
    <n v="0.17261770903608972"/>
    <n v="361.48"/>
    <s v="Medium"/>
    <s v="Repeat"/>
    <s v="Below Avg"/>
    <s v="Profit"/>
    <n v="329"/>
  </r>
  <r>
    <n v="9"/>
    <d v="2024-01-09T00:00:00"/>
    <n v="1096"/>
    <s v="Customer_184"/>
    <s v="Consumer"/>
    <x v="2"/>
    <x v="0"/>
    <x v="3"/>
    <n v="4121"/>
    <n v="4"/>
    <n v="0.03"/>
    <n v="-169"/>
    <x v="1"/>
    <n v="15989.48"/>
    <x v="0"/>
    <n v="2024"/>
    <s v="Q1"/>
    <n v="-1.056944941298904E-2"/>
    <n v="494.52"/>
    <s v="High"/>
    <s v="Repeat"/>
    <s v="Above Avg"/>
    <s v="Loss"/>
    <n v="128"/>
  </r>
  <r>
    <n v="10"/>
    <d v="2024-01-10T00:00:00"/>
    <n v="1047"/>
    <s v="Customer_114"/>
    <s v="Corporate"/>
    <x v="2"/>
    <x v="0"/>
    <x v="2"/>
    <n v="735"/>
    <n v="2"/>
    <n v="0.01"/>
    <n v="-250"/>
    <x v="2"/>
    <n v="1455.3"/>
    <x v="0"/>
    <n v="2024"/>
    <s v="Q1"/>
    <n v="-0.17178588607160036"/>
    <n v="14.700000000000001"/>
    <s v="Low"/>
    <s v="Repeat"/>
    <s v="Below Avg"/>
    <s v="Loss"/>
    <n v="460"/>
  </r>
  <r>
    <n v="11"/>
    <d v="2024-01-11T00:00:00"/>
    <n v="1073"/>
    <s v="Customer_73"/>
    <s v="Consumer"/>
    <x v="2"/>
    <x v="1"/>
    <x v="0"/>
    <n v="2257"/>
    <n v="1"/>
    <n v="0.17"/>
    <n v="960"/>
    <x v="1"/>
    <n v="1873.31"/>
    <x v="0"/>
    <n v="2024"/>
    <s v="Q1"/>
    <n v="0.51246189899162442"/>
    <n v="383.69000000000005"/>
    <s v="Low"/>
    <s v="Repeat"/>
    <s v="Below Avg"/>
    <s v="Profit"/>
    <n v="438"/>
  </r>
  <r>
    <n v="12"/>
    <d v="2024-01-12T00:00:00"/>
    <n v="1032"/>
    <s v="Customer_1"/>
    <s v="Consumer"/>
    <x v="2"/>
    <x v="0"/>
    <x v="3"/>
    <n v="3851"/>
    <n v="6"/>
    <n v="0.2"/>
    <n v="-7"/>
    <x v="0"/>
    <n v="18484.8"/>
    <x v="0"/>
    <n v="2024"/>
    <s v="Q1"/>
    <n v="-3.7868951787414524E-4"/>
    <n v="4621.2"/>
    <s v="High"/>
    <s v="Repeat"/>
    <s v="Above Avg"/>
    <s v="Loss"/>
    <n v="87"/>
  </r>
  <r>
    <n v="13"/>
    <d v="2024-01-13T00:00:00"/>
    <n v="1046"/>
    <s v="Customer_31"/>
    <s v="Corporate"/>
    <x v="1"/>
    <x v="1"/>
    <x v="2"/>
    <n v="999"/>
    <n v="3"/>
    <n v="0.27"/>
    <n v="-134"/>
    <x v="1"/>
    <n v="2187.81"/>
    <x v="0"/>
    <n v="2024"/>
    <s v="Q1"/>
    <n v="-6.1248463074947093E-2"/>
    <n v="809.19"/>
    <s v="Medium"/>
    <s v="Repeat"/>
    <s v="Below Avg"/>
    <s v="Loss"/>
    <n v="419"/>
  </r>
  <r>
    <n v="14"/>
    <d v="2024-01-14T00:00:00"/>
    <n v="1096"/>
    <s v="Customer_21"/>
    <s v="Consumer"/>
    <x v="3"/>
    <x v="1"/>
    <x v="0"/>
    <n v="4554"/>
    <n v="9"/>
    <n v="0.02"/>
    <n v="1529"/>
    <x v="1"/>
    <n v="40166.28"/>
    <x v="0"/>
    <n v="2024"/>
    <s v="Q1"/>
    <n v="3.8066756493257532E-2"/>
    <n v="819.72"/>
    <s v="High"/>
    <s v="Repeat"/>
    <s v="Above Avg"/>
    <s v="Profit"/>
    <n v="2"/>
  </r>
  <r>
    <n v="15"/>
    <d v="2024-01-15T00:00:00"/>
    <n v="1025"/>
    <s v="Customer_24"/>
    <s v="Corporate"/>
    <x v="0"/>
    <x v="1"/>
    <x v="0"/>
    <n v="2930"/>
    <n v="4"/>
    <n v="0.12"/>
    <n v="1243"/>
    <x v="1"/>
    <n v="10313.6"/>
    <x v="0"/>
    <n v="2024"/>
    <s v="Q1"/>
    <n v="0.12052047781569965"/>
    <n v="1406.3999999999999"/>
    <s v="High"/>
    <s v="Repeat"/>
    <s v="Below Avg"/>
    <s v="Profit"/>
    <n v="198"/>
  </r>
  <r>
    <n v="16"/>
    <d v="2024-01-16T00:00:00"/>
    <n v="1083"/>
    <s v="Customer_19"/>
    <s v="Consumer"/>
    <x v="3"/>
    <x v="2"/>
    <x v="1"/>
    <n v="2870"/>
    <n v="2"/>
    <n v="0.05"/>
    <n v="1714"/>
    <x v="1"/>
    <n v="5453"/>
    <x v="0"/>
    <n v="2024"/>
    <s v="Q1"/>
    <n v="0.31432239134421419"/>
    <n v="287"/>
    <s v="High"/>
    <s v="Repeat"/>
    <s v="Below Avg"/>
    <s v="Profit"/>
    <n v="310"/>
  </r>
  <r>
    <n v="17"/>
    <d v="2024-01-17T00:00:00"/>
    <n v="1078"/>
    <s v="Customer_61"/>
    <s v="Corporate"/>
    <x v="3"/>
    <x v="1"/>
    <x v="3"/>
    <n v="1320"/>
    <n v="4"/>
    <n v="0.15"/>
    <n v="644"/>
    <x v="0"/>
    <n v="4488"/>
    <x v="0"/>
    <n v="2024"/>
    <s v="Q1"/>
    <n v="0.14349376114081996"/>
    <n v="792"/>
    <s v="Medium"/>
    <s v="Repeat"/>
    <s v="Below Avg"/>
    <s v="Profit"/>
    <n v="338"/>
  </r>
  <r>
    <n v="18"/>
    <d v="2024-01-18T00:00:00"/>
    <n v="1036"/>
    <s v="Customer_112"/>
    <s v="Consumer"/>
    <x v="3"/>
    <x v="2"/>
    <x v="0"/>
    <n v="4545"/>
    <n v="4"/>
    <n v="7.0000000000000007E-2"/>
    <n v="1171"/>
    <x v="0"/>
    <n v="16907.3999999999"/>
    <x v="0"/>
    <n v="2024"/>
    <s v="Q1"/>
    <n v="6.9259614133456771E-2"/>
    <n v="1272.6000000000001"/>
    <s v="High"/>
    <s v="Repeat"/>
    <s v="Above Avg"/>
    <s v="Profit"/>
    <n v="105"/>
  </r>
  <r>
    <n v="19"/>
    <d v="2024-01-19T00:00:00"/>
    <n v="1096"/>
    <s v="Customer_188"/>
    <s v="Consumer"/>
    <x v="3"/>
    <x v="0"/>
    <x v="0"/>
    <n v="4690"/>
    <n v="1"/>
    <n v="0.12"/>
    <n v="-18"/>
    <x v="2"/>
    <n v="4127.2"/>
    <x v="0"/>
    <n v="2024"/>
    <s v="Q1"/>
    <n v="-4.3613103314595857E-3"/>
    <n v="562.79999999999995"/>
    <s v="Medium"/>
    <s v="Repeat"/>
    <s v="Below Avg"/>
    <s v="Loss"/>
    <n v="348"/>
  </r>
  <r>
    <n v="20"/>
    <d v="2024-01-20T00:00:00"/>
    <n v="1080"/>
    <s v="Customer_124"/>
    <s v="Corporate"/>
    <x v="1"/>
    <x v="2"/>
    <x v="0"/>
    <n v="1487"/>
    <n v="8"/>
    <n v="0.11"/>
    <n v="992"/>
    <x v="1"/>
    <n v="10587.44"/>
    <x v="0"/>
    <n v="2024"/>
    <s v="Q1"/>
    <n v="9.3695926494034437E-2"/>
    <n v="1308.56"/>
    <s v="High"/>
    <s v="Repeat"/>
    <s v="Below Avg"/>
    <s v="Profit"/>
    <n v="196"/>
  </r>
  <r>
    <n v="21"/>
    <d v="2024-01-21T00:00:00"/>
    <n v="1068"/>
    <s v="Customer_153"/>
    <s v="Consumer"/>
    <x v="0"/>
    <x v="1"/>
    <x v="2"/>
    <n v="2066"/>
    <n v="4"/>
    <n v="0.21"/>
    <n v="-488"/>
    <x v="0"/>
    <n v="6528.56"/>
    <x v="0"/>
    <n v="2024"/>
    <s v="Q1"/>
    <n v="-7.4748489712892274E-2"/>
    <n v="1735.4399999999998"/>
    <s v="High"/>
    <s v="Repeat"/>
    <s v="Below Avg"/>
    <s v="Loss"/>
    <n v="285"/>
  </r>
  <r>
    <n v="22"/>
    <d v="2024-01-22T00:00:00"/>
    <n v="1049"/>
    <s v="Customer_20"/>
    <s v="Corporate"/>
    <x v="1"/>
    <x v="1"/>
    <x v="1"/>
    <n v="4415"/>
    <n v="4"/>
    <n v="0.22"/>
    <n v="316"/>
    <x v="2"/>
    <n v="13774.8"/>
    <x v="0"/>
    <n v="2024"/>
    <s v="Q1"/>
    <n v="2.2940441966489533E-2"/>
    <n v="3885.2"/>
    <s v="High"/>
    <s v="Repeat"/>
    <s v="Above Avg"/>
    <s v="Profit"/>
    <n v="149"/>
  </r>
  <r>
    <n v="23"/>
    <d v="2024-01-23T00:00:00"/>
    <n v="1055"/>
    <s v="Customer_117"/>
    <s v="Consumer"/>
    <x v="2"/>
    <x v="2"/>
    <x v="0"/>
    <n v="790"/>
    <n v="7"/>
    <n v="0.13"/>
    <n v="1889"/>
    <x v="2"/>
    <n v="4811.1000000000004"/>
    <x v="0"/>
    <n v="2024"/>
    <s v="Q1"/>
    <n v="0.3926337012325663"/>
    <n v="718.9"/>
    <s v="Medium"/>
    <s v="Repeat"/>
    <s v="Below Avg"/>
    <s v="Profit"/>
    <n v="328"/>
  </r>
  <r>
    <n v="24"/>
    <d v="2024-01-24T00:00:00"/>
    <n v="1067"/>
    <s v="Customer_154"/>
    <s v="Corporate"/>
    <x v="3"/>
    <x v="1"/>
    <x v="0"/>
    <n v="4346"/>
    <n v="2"/>
    <n v="7.0000000000000007E-2"/>
    <n v="-8"/>
    <x v="1"/>
    <n v="8083.5599999999904"/>
    <x v="0"/>
    <n v="2024"/>
    <s v="Q1"/>
    <n v="-9.8966297027547378E-4"/>
    <n v="608.44000000000005"/>
    <s v="High"/>
    <s v="Repeat"/>
    <s v="Below Avg"/>
    <s v="Loss"/>
    <n v="250"/>
  </r>
  <r>
    <n v="25"/>
    <d v="2024-01-25T00:00:00"/>
    <n v="1002"/>
    <s v="Customer_127"/>
    <s v="Consumer"/>
    <x v="0"/>
    <x v="2"/>
    <x v="1"/>
    <n v="2176"/>
    <n v="6"/>
    <n v="0.24"/>
    <n v="337"/>
    <x v="0"/>
    <n v="9922.56"/>
    <x v="0"/>
    <n v="2024"/>
    <s v="Q1"/>
    <n v="3.3963009545923635E-2"/>
    <n v="3133.44"/>
    <s v="High"/>
    <s v="Repeat"/>
    <s v="Below Avg"/>
    <s v="Profit"/>
    <n v="201"/>
  </r>
  <r>
    <n v="26"/>
    <d v="2024-01-26T00:00:00"/>
    <n v="1084"/>
    <s v="Customer_7"/>
    <s v="Corporate"/>
    <x v="3"/>
    <x v="1"/>
    <x v="3"/>
    <n v="1857"/>
    <n v="6"/>
    <n v="0.25"/>
    <n v="1296"/>
    <x v="1"/>
    <n v="8356.5"/>
    <x v="0"/>
    <n v="2024"/>
    <s v="Q1"/>
    <n v="0.15508885298869143"/>
    <n v="2785.5"/>
    <s v="High"/>
    <s v="Repeat"/>
    <s v="Below Avg"/>
    <s v="Profit"/>
    <n v="240"/>
  </r>
  <r>
    <n v="27"/>
    <d v="2024-01-27T00:00:00"/>
    <n v="1039"/>
    <s v="Customer_195"/>
    <s v="Consumer"/>
    <x v="1"/>
    <x v="2"/>
    <x v="1"/>
    <n v="4258"/>
    <n v="7"/>
    <n v="0.16"/>
    <n v="1331"/>
    <x v="2"/>
    <n v="25037.040000000001"/>
    <x v="0"/>
    <n v="2024"/>
    <s v="Q1"/>
    <n v="5.3161236312279724E-2"/>
    <n v="4768.96"/>
    <s v="High"/>
    <s v="Repeat"/>
    <s v="Above Avg"/>
    <s v="Profit"/>
    <n v="42"/>
  </r>
  <r>
    <n v="28"/>
    <d v="2024-01-28T00:00:00"/>
    <n v="1066"/>
    <s v="Customer_56"/>
    <s v="Consumer"/>
    <x v="0"/>
    <x v="2"/>
    <x v="1"/>
    <n v="270"/>
    <n v="2"/>
    <n v="7.0000000000000007E-2"/>
    <n v="1695"/>
    <x v="1"/>
    <n v="502.2"/>
    <x v="0"/>
    <n v="2024"/>
    <s v="Q1"/>
    <n v="3.3751493428912784"/>
    <n v="37.800000000000004"/>
    <s v="Low"/>
    <s v="Repeat"/>
    <s v="Below Avg"/>
    <s v="Profit"/>
    <n v="491"/>
  </r>
  <r>
    <n v="29"/>
    <d v="2024-01-29T00:00:00"/>
    <n v="1084"/>
    <s v="Customer_72"/>
    <s v="Corporate"/>
    <x v="3"/>
    <x v="2"/>
    <x v="0"/>
    <n v="1757"/>
    <n v="7"/>
    <n v="0.24"/>
    <n v="1198"/>
    <x v="1"/>
    <n v="9347.24"/>
    <x v="0"/>
    <n v="2024"/>
    <s v="Q1"/>
    <n v="0.1281661752560114"/>
    <n v="2951.7599999999998"/>
    <s v="High"/>
    <s v="Repeat"/>
    <s v="Below Avg"/>
    <s v="Profit"/>
    <n v="223"/>
  </r>
  <r>
    <n v="30"/>
    <d v="2024-01-30T00:00:00"/>
    <n v="1047"/>
    <s v="Customer_94"/>
    <s v="Corporate"/>
    <x v="2"/>
    <x v="0"/>
    <x v="0"/>
    <n v="2171"/>
    <n v="2"/>
    <n v="0.11"/>
    <n v="1464"/>
    <x v="0"/>
    <n v="3864.38"/>
    <x v="0"/>
    <n v="2024"/>
    <s v="Q1"/>
    <n v="0.37884473059067691"/>
    <n v="477.62"/>
    <s v="Medium"/>
    <s v="Repeat"/>
    <s v="Below Avg"/>
    <s v="Profit"/>
    <n v="359"/>
  </r>
  <r>
    <n v="31"/>
    <d v="2024-01-31T00:00:00"/>
    <n v="1061"/>
    <s v="Customer_11"/>
    <s v="Consumer"/>
    <x v="3"/>
    <x v="2"/>
    <x v="1"/>
    <n v="4589"/>
    <n v="2"/>
    <n v="0.28000000000000003"/>
    <n v="1849"/>
    <x v="2"/>
    <n v="6608.16"/>
    <x v="0"/>
    <n v="2024"/>
    <s v="Q1"/>
    <n v="0.27980557371492215"/>
    <n v="2569.84"/>
    <s v="High"/>
    <s v="Repeat"/>
    <s v="Below Avg"/>
    <s v="Profit"/>
    <n v="284"/>
  </r>
  <r>
    <n v="32"/>
    <d v="2024-02-01T00:00:00"/>
    <n v="1048"/>
    <s v="Customer_145"/>
    <s v="Consumer"/>
    <x v="3"/>
    <x v="2"/>
    <x v="0"/>
    <n v="1491"/>
    <n v="1"/>
    <n v="0.08"/>
    <n v="-440"/>
    <x v="0"/>
    <n v="1371.72"/>
    <x v="1"/>
    <n v="2024"/>
    <s v="Q1"/>
    <n v="-0.32076517073455224"/>
    <n v="119.28"/>
    <s v="Low"/>
    <s v="Repeat"/>
    <s v="Below Avg"/>
    <s v="Loss"/>
    <n v="464"/>
  </r>
  <r>
    <n v="33"/>
    <d v="2024-02-02T00:00:00"/>
    <n v="1007"/>
    <s v="Customer_72"/>
    <s v="Corporate"/>
    <x v="3"/>
    <x v="0"/>
    <x v="1"/>
    <n v="4961"/>
    <n v="9"/>
    <n v="0.28000000000000003"/>
    <n v="1103"/>
    <x v="1"/>
    <n v="32147.279999999999"/>
    <x v="1"/>
    <n v="2024"/>
    <s v="Q1"/>
    <n v="3.4310834384744214E-2"/>
    <n v="12501.720000000001"/>
    <s v="High"/>
    <s v="Repeat"/>
    <s v="Above Avg"/>
    <s v="Profit"/>
    <n v="21"/>
  </r>
  <r>
    <n v="34"/>
    <d v="2024-02-03T00:00:00"/>
    <n v="1099"/>
    <s v="Customer_175"/>
    <s v="Consumer"/>
    <x v="2"/>
    <x v="0"/>
    <x v="0"/>
    <n v="2141"/>
    <n v="9"/>
    <n v="0.13"/>
    <n v="191"/>
    <x v="2"/>
    <n v="16764.03"/>
    <x v="1"/>
    <n v="2024"/>
    <s v="Q1"/>
    <n v="1.1393441791741009E-2"/>
    <n v="2504.9700000000003"/>
    <s v="High"/>
    <s v="Repeat"/>
    <s v="Above Avg"/>
    <s v="Profit"/>
    <n v="108"/>
  </r>
  <r>
    <n v="35"/>
    <d v="2024-02-04T00:00:00"/>
    <n v="1092"/>
    <s v="Customer_172"/>
    <s v="Consumer"/>
    <x v="2"/>
    <x v="2"/>
    <x v="2"/>
    <n v="4536"/>
    <n v="5"/>
    <n v="0.23"/>
    <n v="954"/>
    <x v="0"/>
    <n v="17463.599999999999"/>
    <x v="1"/>
    <n v="2024"/>
    <s v="Q1"/>
    <n v="5.4627911770768915E-2"/>
    <n v="5216.4000000000005"/>
    <s v="High"/>
    <s v="Repeat"/>
    <s v="Above Avg"/>
    <s v="Profit"/>
    <n v="98"/>
  </r>
  <r>
    <n v="36"/>
    <d v="2024-02-05T00:00:00"/>
    <n v="1052"/>
    <s v="Customer_192"/>
    <s v="Corporate"/>
    <x v="0"/>
    <x v="0"/>
    <x v="0"/>
    <n v="2529"/>
    <n v="7"/>
    <n v="0.06"/>
    <n v="-454"/>
    <x v="1"/>
    <n v="16640.82"/>
    <x v="1"/>
    <n v="2024"/>
    <s v="Q1"/>
    <n v="-2.7282309405425934E-2"/>
    <n v="1062.18"/>
    <s v="High"/>
    <s v="Repeat"/>
    <s v="Above Avg"/>
    <s v="Loss"/>
    <n v="112"/>
  </r>
  <r>
    <n v="37"/>
    <d v="2024-02-06T00:00:00"/>
    <n v="1097"/>
    <s v="Customer_158"/>
    <s v="Consumer"/>
    <x v="1"/>
    <x v="1"/>
    <x v="3"/>
    <n v="3484"/>
    <n v="7"/>
    <n v="0.19"/>
    <n v="-398"/>
    <x v="0"/>
    <n v="19754.28"/>
    <x v="1"/>
    <n v="2024"/>
    <s v="Q1"/>
    <n v="-2.0147532585343533E-2"/>
    <n v="4633.72"/>
    <s v="High"/>
    <s v="Repeat"/>
    <s v="Above Avg"/>
    <s v="Loss"/>
    <n v="81"/>
  </r>
  <r>
    <n v="38"/>
    <d v="2024-02-07T00:00:00"/>
    <n v="1085"/>
    <s v="Customer_43"/>
    <s v="Consumer"/>
    <x v="3"/>
    <x v="2"/>
    <x v="2"/>
    <n v="100"/>
    <n v="3"/>
    <n v="0.17"/>
    <n v="-325"/>
    <x v="2"/>
    <n v="249"/>
    <x v="1"/>
    <n v="2024"/>
    <s v="Q1"/>
    <n v="-1.3052208835341366"/>
    <n v="51.000000000000007"/>
    <s v="Low"/>
    <s v="Repeat"/>
    <s v="Below Avg"/>
    <s v="Loss"/>
    <n v="498"/>
  </r>
  <r>
    <n v="39"/>
    <d v="2024-02-08T00:00:00"/>
    <n v="1094"/>
    <s v="Customer_16"/>
    <s v="Consumer"/>
    <x v="1"/>
    <x v="0"/>
    <x v="1"/>
    <n v="1152"/>
    <n v="2"/>
    <n v="0.13"/>
    <n v="-297"/>
    <x v="0"/>
    <n v="2004.48"/>
    <x v="1"/>
    <n v="2024"/>
    <s v="Q1"/>
    <n v="-0.14816810344827586"/>
    <n v="299.52"/>
    <s v="Medium"/>
    <s v="Repeat"/>
    <s v="Below Avg"/>
    <s v="Loss"/>
    <n v="430"/>
  </r>
  <r>
    <n v="40"/>
    <d v="2024-02-09T00:00:00"/>
    <n v="1027"/>
    <s v="Customer_119"/>
    <s v="Corporate"/>
    <x v="0"/>
    <x v="0"/>
    <x v="0"/>
    <n v="1345"/>
    <n v="4"/>
    <n v="0.22"/>
    <n v="1624"/>
    <x v="2"/>
    <n v="4196.3999999999996"/>
    <x v="1"/>
    <n v="2024"/>
    <s v="Q1"/>
    <n v="0.38699837956343536"/>
    <n v="1183.5999999999999"/>
    <s v="Medium"/>
    <s v="Repeat"/>
    <s v="Below Avg"/>
    <s v="Profit"/>
    <n v="346"/>
  </r>
  <r>
    <n v="41"/>
    <d v="2024-02-10T00:00:00"/>
    <n v="1034"/>
    <s v="Customer_4"/>
    <s v="Corporate"/>
    <x v="2"/>
    <x v="2"/>
    <x v="1"/>
    <n v="3274"/>
    <n v="8"/>
    <n v="0.25"/>
    <n v="578"/>
    <x v="1"/>
    <n v="19644"/>
    <x v="1"/>
    <n v="2024"/>
    <s v="Q1"/>
    <n v="2.942374261861128E-2"/>
    <n v="6548"/>
    <s v="High"/>
    <s v="Repeat"/>
    <s v="Above Avg"/>
    <s v="Profit"/>
    <n v="82"/>
  </r>
  <r>
    <n v="42"/>
    <d v="2024-02-11T00:00:00"/>
    <n v="1097"/>
    <s v="Customer_85"/>
    <s v="Corporate"/>
    <x v="0"/>
    <x v="2"/>
    <x v="3"/>
    <n v="2350"/>
    <n v="1"/>
    <n v="0.22"/>
    <n v="1840"/>
    <x v="0"/>
    <n v="1833"/>
    <x v="1"/>
    <n v="2024"/>
    <s v="Q1"/>
    <n v="1.0038188761593017"/>
    <n v="517"/>
    <s v="Low"/>
    <s v="Repeat"/>
    <s v="Below Avg"/>
    <s v="Profit"/>
    <n v="439"/>
  </r>
  <r>
    <n v="43"/>
    <d v="2024-02-12T00:00:00"/>
    <n v="1076"/>
    <s v="Customer_50"/>
    <s v="Consumer"/>
    <x v="2"/>
    <x v="0"/>
    <x v="1"/>
    <n v="1934"/>
    <n v="8"/>
    <n v="0.24"/>
    <n v="1168"/>
    <x v="1"/>
    <n v="11758.72"/>
    <x v="1"/>
    <n v="2024"/>
    <s v="Q1"/>
    <n v="9.933053937843575E-2"/>
    <n v="3713.2799999999997"/>
    <s v="High"/>
    <s v="Repeat"/>
    <s v="Above Avg"/>
    <s v="Profit"/>
    <n v="175"/>
  </r>
  <r>
    <n v="44"/>
    <d v="2024-02-13T00:00:00"/>
    <n v="1040"/>
    <s v="Customer_34"/>
    <s v="Corporate"/>
    <x v="3"/>
    <x v="0"/>
    <x v="3"/>
    <n v="3605"/>
    <n v="2"/>
    <n v="0.22"/>
    <n v="1510"/>
    <x v="1"/>
    <n v="5623.8"/>
    <x v="1"/>
    <n v="2024"/>
    <s v="Q1"/>
    <n v="0.26850172481240442"/>
    <n v="1586.2"/>
    <s v="High"/>
    <s v="Repeat"/>
    <s v="Below Avg"/>
    <s v="Profit"/>
    <n v="305"/>
  </r>
  <r>
    <n v="45"/>
    <d v="2024-02-14T00:00:00"/>
    <n v="1003"/>
    <s v="Customer_35"/>
    <s v="Corporate"/>
    <x v="1"/>
    <x v="2"/>
    <x v="2"/>
    <n v="4693"/>
    <n v="8"/>
    <n v="0.04"/>
    <n v="1809"/>
    <x v="0"/>
    <n v="36042.239999999998"/>
    <x v="1"/>
    <n v="2024"/>
    <s v="Q1"/>
    <n v="5.019110909865758E-2"/>
    <n v="1501.76"/>
    <s v="High"/>
    <s v="Repeat"/>
    <s v="Above Avg"/>
    <s v="Profit"/>
    <n v="7"/>
  </r>
  <r>
    <n v="46"/>
    <d v="2024-02-15T00:00:00"/>
    <n v="1069"/>
    <s v="Customer_64"/>
    <s v="Consumer"/>
    <x v="0"/>
    <x v="2"/>
    <x v="3"/>
    <n v="4092"/>
    <n v="2"/>
    <n v="0.23"/>
    <n v="779"/>
    <x v="1"/>
    <n v="6301.68"/>
    <x v="1"/>
    <n v="2024"/>
    <s v="Q1"/>
    <n v="0.12361782889642127"/>
    <n v="1882.3200000000002"/>
    <s v="High"/>
    <s v="Repeat"/>
    <s v="Below Avg"/>
    <s v="Profit"/>
    <n v="290"/>
  </r>
  <r>
    <n v="47"/>
    <d v="2024-02-16T00:00:00"/>
    <n v="1064"/>
    <s v="Customer_13"/>
    <s v="Corporate"/>
    <x v="2"/>
    <x v="0"/>
    <x v="2"/>
    <n v="1788"/>
    <n v="7"/>
    <n v="0.06"/>
    <n v="-196"/>
    <x v="1"/>
    <n v="11765.039999999901"/>
    <x v="1"/>
    <n v="2024"/>
    <s v="Q1"/>
    <n v="-1.6659526869437048E-2"/>
    <n v="750.95999999999992"/>
    <s v="High"/>
    <s v="Repeat"/>
    <s v="Above Avg"/>
    <s v="Loss"/>
    <n v="174"/>
  </r>
  <r>
    <n v="48"/>
    <d v="2024-02-17T00:00:00"/>
    <n v="1075"/>
    <s v="Customer_107"/>
    <s v="Corporate"/>
    <x v="2"/>
    <x v="1"/>
    <x v="3"/>
    <n v="343"/>
    <n v="3"/>
    <n v="0.03"/>
    <n v="1062"/>
    <x v="0"/>
    <n v="998.13"/>
    <x v="1"/>
    <n v="2024"/>
    <s v="Q1"/>
    <n v="1.0639896606654444"/>
    <n v="30.869999999999997"/>
    <s v="Low"/>
    <s v="Repeat"/>
    <s v="Below Avg"/>
    <s v="Profit"/>
    <n v="479"/>
  </r>
  <r>
    <n v="49"/>
    <d v="2024-02-18T00:00:00"/>
    <n v="1034"/>
    <s v="Customer_27"/>
    <s v="Consumer"/>
    <x v="0"/>
    <x v="0"/>
    <x v="2"/>
    <n v="1734"/>
    <n v="6"/>
    <n v="0.27"/>
    <n v="318"/>
    <x v="0"/>
    <n v="7594.92"/>
    <x v="1"/>
    <n v="2024"/>
    <s v="Q1"/>
    <n v="4.1870092114202652E-2"/>
    <n v="2809.0800000000004"/>
    <s v="High"/>
    <s v="Repeat"/>
    <s v="Below Avg"/>
    <s v="Profit"/>
    <n v="263"/>
  </r>
  <r>
    <n v="50"/>
    <d v="2024-02-19T00:00:00"/>
    <n v="1058"/>
    <s v="Customer_169"/>
    <s v="Consumer"/>
    <x v="1"/>
    <x v="2"/>
    <x v="3"/>
    <n v="2310"/>
    <n v="7"/>
    <n v="0.18"/>
    <n v="-22"/>
    <x v="2"/>
    <n v="13259.4"/>
    <x v="1"/>
    <n v="2024"/>
    <s v="Q1"/>
    <n v="-1.6592002654720426E-3"/>
    <n v="2910.6"/>
    <s v="High"/>
    <s v="Repeat"/>
    <s v="Above Avg"/>
    <s v="Loss"/>
    <n v="157"/>
  </r>
  <r>
    <n v="51"/>
    <d v="2024-02-20T00:00:00"/>
    <n v="1010"/>
    <s v="Customer_42"/>
    <s v="Consumer"/>
    <x v="1"/>
    <x v="1"/>
    <x v="2"/>
    <n v="274"/>
    <n v="6"/>
    <n v="0.05"/>
    <n v="-327"/>
    <x v="2"/>
    <n v="1561.8"/>
    <x v="1"/>
    <n v="2024"/>
    <s v="Q1"/>
    <n v="-0.20937379946215906"/>
    <n v="82.2"/>
    <s v="Low"/>
    <s v="Repeat"/>
    <s v="Below Avg"/>
    <s v="Loss"/>
    <n v="455"/>
  </r>
  <r>
    <n v="52"/>
    <d v="2024-02-21T00:00:00"/>
    <n v="1022"/>
    <s v="Customer_157"/>
    <s v="Corporate"/>
    <x v="2"/>
    <x v="1"/>
    <x v="0"/>
    <n v="2319"/>
    <n v="5"/>
    <n v="0.19"/>
    <n v="51"/>
    <x v="2"/>
    <n v="9391.9500000000007"/>
    <x v="1"/>
    <n v="2024"/>
    <s v="Q1"/>
    <n v="5.4301822305272062E-3"/>
    <n v="2203.0500000000002"/>
    <s v="High"/>
    <s v="Repeat"/>
    <s v="Below Avg"/>
    <s v="Profit"/>
    <n v="222"/>
  </r>
  <r>
    <n v="53"/>
    <d v="2024-02-22T00:00:00"/>
    <n v="1077"/>
    <s v="Customer_144"/>
    <s v="Corporate"/>
    <x v="3"/>
    <x v="0"/>
    <x v="2"/>
    <n v="3756"/>
    <n v="9"/>
    <n v="0.1"/>
    <n v="1822"/>
    <x v="1"/>
    <n v="30423.599999999999"/>
    <x v="1"/>
    <n v="2024"/>
    <s v="Q1"/>
    <n v="5.9887718744658758E-2"/>
    <n v="3380.4"/>
    <s v="High"/>
    <s v="Repeat"/>
    <s v="Above Avg"/>
    <s v="Profit"/>
    <n v="23"/>
  </r>
  <r>
    <n v="54"/>
    <d v="2024-02-23T00:00:00"/>
    <n v="1018"/>
    <s v="Customer_181"/>
    <s v="Corporate"/>
    <x v="3"/>
    <x v="2"/>
    <x v="1"/>
    <n v="366"/>
    <n v="9"/>
    <n v="0.04"/>
    <n v="-461"/>
    <x v="0"/>
    <n v="3162.24"/>
    <x v="1"/>
    <n v="2024"/>
    <s v="Q1"/>
    <n v="-0.14578273628820079"/>
    <n v="131.76"/>
    <s v="Medium"/>
    <s v="Repeat"/>
    <s v="Below Avg"/>
    <s v="Loss"/>
    <n v="388"/>
  </r>
  <r>
    <n v="55"/>
    <d v="2024-02-24T00:00:00"/>
    <n v="1015"/>
    <s v="Customer_46"/>
    <s v="Corporate"/>
    <x v="3"/>
    <x v="1"/>
    <x v="0"/>
    <n v="1482"/>
    <n v="3"/>
    <n v="0.24"/>
    <n v="1102"/>
    <x v="2"/>
    <n v="3378.96"/>
    <x v="1"/>
    <n v="2024"/>
    <s v="Q1"/>
    <n v="0.32613585245164189"/>
    <n v="1067.04"/>
    <s v="Medium"/>
    <s v="Repeat"/>
    <s v="Below Avg"/>
    <s v="Profit"/>
    <n v="381"/>
  </r>
  <r>
    <n v="56"/>
    <d v="2024-02-25T00:00:00"/>
    <n v="1027"/>
    <s v="Customer_197"/>
    <s v="Corporate"/>
    <x v="3"/>
    <x v="0"/>
    <x v="3"/>
    <n v="879"/>
    <n v="7"/>
    <n v="0.03"/>
    <n v="1934"/>
    <x v="1"/>
    <n v="5968.41"/>
    <x v="1"/>
    <n v="2024"/>
    <s v="Q1"/>
    <n v="0.3240394007784318"/>
    <n v="184.59"/>
    <s v="High"/>
    <s v="Repeat"/>
    <s v="Below Avg"/>
    <s v="Profit"/>
    <n v="298"/>
  </r>
  <r>
    <n v="57"/>
    <d v="2024-02-26T00:00:00"/>
    <n v="1030"/>
    <s v="Customer_37"/>
    <s v="Corporate"/>
    <x v="1"/>
    <x v="2"/>
    <x v="2"/>
    <n v="4731"/>
    <n v="2"/>
    <n v="0.28999999999999998"/>
    <n v="1177"/>
    <x v="2"/>
    <n v="6718.0199999999904"/>
    <x v="1"/>
    <n v="2024"/>
    <s v="Q1"/>
    <n v="0.17520043107939567"/>
    <n v="2743.98"/>
    <s v="High"/>
    <s v="Repeat"/>
    <s v="Below Avg"/>
    <s v="Profit"/>
    <n v="282"/>
  </r>
  <r>
    <n v="58"/>
    <d v="2024-02-27T00:00:00"/>
    <n v="1052"/>
    <s v="Customer_104"/>
    <s v="Consumer"/>
    <x v="2"/>
    <x v="2"/>
    <x v="2"/>
    <n v="766"/>
    <n v="1"/>
    <n v="0.23"/>
    <n v="993"/>
    <x v="2"/>
    <n v="589.82000000000005"/>
    <x v="1"/>
    <n v="2024"/>
    <s v="Q1"/>
    <n v="1.6835644772981586"/>
    <n v="176.18"/>
    <s v="Low"/>
    <s v="Repeat"/>
    <s v="Below Avg"/>
    <s v="Profit"/>
    <n v="487"/>
  </r>
  <r>
    <n v="59"/>
    <d v="2024-02-28T00:00:00"/>
    <n v="1070"/>
    <s v="Customer_188"/>
    <s v="Consumer"/>
    <x v="2"/>
    <x v="2"/>
    <x v="2"/>
    <n v="1257"/>
    <n v="4"/>
    <n v="0.21"/>
    <n v="-182"/>
    <x v="0"/>
    <n v="3972.12"/>
    <x v="1"/>
    <n v="2024"/>
    <s v="Q1"/>
    <n v="-4.581936094579217E-2"/>
    <n v="1055.8799999999999"/>
    <s v="Medium"/>
    <s v="Repeat"/>
    <s v="Below Avg"/>
    <s v="Loss"/>
    <n v="354"/>
  </r>
  <r>
    <n v="60"/>
    <d v="2024-02-29T00:00:00"/>
    <n v="1026"/>
    <s v="Customer_143"/>
    <s v="Consumer"/>
    <x v="3"/>
    <x v="0"/>
    <x v="3"/>
    <n v="4776"/>
    <n v="3"/>
    <n v="7.0000000000000007E-2"/>
    <n v="1297"/>
    <x v="0"/>
    <n v="13325.039999999901"/>
    <x v="1"/>
    <n v="2024"/>
    <s v="Q1"/>
    <n v="9.7335542707564823E-2"/>
    <n v="1002.9600000000002"/>
    <s v="High"/>
    <s v="Repeat"/>
    <s v="Above Avg"/>
    <s v="Profit"/>
    <n v="156"/>
  </r>
  <r>
    <n v="61"/>
    <d v="2024-03-01T00:00:00"/>
    <n v="1080"/>
    <s v="Customer_149"/>
    <s v="Consumer"/>
    <x v="2"/>
    <x v="2"/>
    <x v="1"/>
    <n v="963"/>
    <n v="4"/>
    <n v="0.23"/>
    <n v="-271"/>
    <x v="1"/>
    <n v="2966.04"/>
    <x v="2"/>
    <n v="2024"/>
    <s v="Q1"/>
    <n v="-9.1367614732100713E-2"/>
    <n v="885.96"/>
    <s v="Medium"/>
    <s v="Repeat"/>
    <s v="Below Avg"/>
    <s v="Loss"/>
    <n v="395"/>
  </r>
  <r>
    <n v="62"/>
    <d v="2024-03-02T00:00:00"/>
    <n v="1006"/>
    <s v="Customer_34"/>
    <s v="Corporate"/>
    <x v="1"/>
    <x v="1"/>
    <x v="3"/>
    <n v="4000"/>
    <n v="3"/>
    <n v="0.01"/>
    <n v="1902"/>
    <x v="2"/>
    <n v="11880"/>
    <x v="2"/>
    <n v="2024"/>
    <s v="Q1"/>
    <n v="0.1601010101010101"/>
    <n v="120"/>
    <s v="High"/>
    <s v="Repeat"/>
    <s v="Above Avg"/>
    <s v="Profit"/>
    <n v="171"/>
  </r>
  <r>
    <n v="63"/>
    <d v="2024-03-03T00:00:00"/>
    <n v="1014"/>
    <s v="Customer_9"/>
    <s v="Consumer"/>
    <x v="0"/>
    <x v="0"/>
    <x v="2"/>
    <n v="156"/>
    <n v="9"/>
    <n v="0.17"/>
    <n v="325"/>
    <x v="2"/>
    <n v="1165.32"/>
    <x v="2"/>
    <n v="2024"/>
    <s v="Q1"/>
    <n v="0.2788933511825078"/>
    <n v="238.68"/>
    <s v="Low"/>
    <s v="Repeat"/>
    <s v="Below Avg"/>
    <s v="Profit"/>
    <n v="472"/>
  </r>
  <r>
    <n v="64"/>
    <d v="2024-03-04T00:00:00"/>
    <n v="1075"/>
    <s v="Customer_154"/>
    <s v="Consumer"/>
    <x v="0"/>
    <x v="0"/>
    <x v="0"/>
    <n v="3350"/>
    <n v="4"/>
    <n v="0.09"/>
    <n v="1332"/>
    <x v="2"/>
    <n v="12194"/>
    <x v="2"/>
    <n v="2024"/>
    <s v="Q1"/>
    <n v="0.109234049532557"/>
    <n v="1206"/>
    <s v="High"/>
    <s v="Repeat"/>
    <s v="Above Avg"/>
    <s v="Profit"/>
    <n v="165"/>
  </r>
  <r>
    <n v="65"/>
    <d v="2024-03-05T00:00:00"/>
    <n v="1054"/>
    <s v="Customer_77"/>
    <s v="Consumer"/>
    <x v="2"/>
    <x v="0"/>
    <x v="2"/>
    <n v="642"/>
    <n v="4"/>
    <n v="0.25"/>
    <n v="30"/>
    <x v="0"/>
    <n v="1926"/>
    <x v="2"/>
    <n v="2024"/>
    <s v="Q1"/>
    <n v="1.5576323987538941E-2"/>
    <n v="642"/>
    <s v="Low"/>
    <s v="Repeat"/>
    <s v="Below Avg"/>
    <s v="Profit"/>
    <n v="434"/>
  </r>
  <r>
    <n v="66"/>
    <d v="2024-03-06T00:00:00"/>
    <n v="1071"/>
    <s v="Customer_146"/>
    <s v="Corporate"/>
    <x v="2"/>
    <x v="0"/>
    <x v="0"/>
    <n v="1032"/>
    <n v="7"/>
    <n v="0.23"/>
    <n v="-33"/>
    <x v="0"/>
    <n v="5562.48"/>
    <x v="2"/>
    <n v="2024"/>
    <s v="Q1"/>
    <n v="-5.9326056003796875E-3"/>
    <n v="1661.52"/>
    <s v="High"/>
    <s v="Repeat"/>
    <s v="Below Avg"/>
    <s v="Loss"/>
    <n v="307"/>
  </r>
  <r>
    <n v="67"/>
    <d v="2024-03-07T00:00:00"/>
    <n v="1001"/>
    <s v="Customer_1"/>
    <s v="Consumer"/>
    <x v="2"/>
    <x v="2"/>
    <x v="2"/>
    <n v="950"/>
    <n v="4"/>
    <n v="0.15"/>
    <n v="1734"/>
    <x v="2"/>
    <n v="3230"/>
    <x v="2"/>
    <n v="2024"/>
    <s v="Q1"/>
    <n v="0.5368421052631579"/>
    <n v="570"/>
    <s v="Medium"/>
    <s v="Repeat"/>
    <s v="Below Avg"/>
    <s v="Profit"/>
    <n v="387"/>
  </r>
  <r>
    <n v="68"/>
    <d v="2024-03-08T00:00:00"/>
    <n v="1043"/>
    <s v="Customer_23"/>
    <s v="Corporate"/>
    <x v="3"/>
    <x v="0"/>
    <x v="1"/>
    <n v="1275"/>
    <n v="9"/>
    <n v="0.14000000000000001"/>
    <n v="1604"/>
    <x v="1"/>
    <n v="9868.5"/>
    <x v="2"/>
    <n v="2024"/>
    <s v="Q1"/>
    <n v="0.16253736636773572"/>
    <n v="1606.5000000000002"/>
    <s v="High"/>
    <s v="New"/>
    <s v="Below Avg"/>
    <s v="Profit"/>
    <n v="204"/>
  </r>
  <r>
    <n v="69"/>
    <d v="2024-03-09T00:00:00"/>
    <n v="1058"/>
    <s v="Customer_33"/>
    <s v="Consumer"/>
    <x v="3"/>
    <x v="1"/>
    <x v="1"/>
    <n v="622"/>
    <n v="9"/>
    <n v="0.02"/>
    <n v="442"/>
    <x v="1"/>
    <n v="5486.04"/>
    <x v="2"/>
    <n v="2024"/>
    <s v="Q1"/>
    <n v="8.0568132933773726E-2"/>
    <n v="111.96000000000001"/>
    <s v="High"/>
    <s v="Repeat"/>
    <s v="Below Avg"/>
    <s v="Profit"/>
    <n v="309"/>
  </r>
  <r>
    <n v="70"/>
    <d v="2024-03-10T00:00:00"/>
    <n v="1055"/>
    <s v="Customer_175"/>
    <s v="Consumer"/>
    <x v="2"/>
    <x v="1"/>
    <x v="3"/>
    <n v="209"/>
    <n v="9"/>
    <n v="7.0000000000000007E-2"/>
    <n v="79"/>
    <x v="1"/>
    <n v="1749.33"/>
    <x v="2"/>
    <n v="2024"/>
    <s v="Q1"/>
    <n v="4.5160147027719186E-2"/>
    <n v="131.67000000000002"/>
    <s v="Low"/>
    <s v="Repeat"/>
    <s v="Below Avg"/>
    <s v="Profit"/>
    <n v="444"/>
  </r>
  <r>
    <n v="71"/>
    <d v="2024-03-11T00:00:00"/>
    <n v="1025"/>
    <s v="Customer_95"/>
    <s v="Consumer"/>
    <x v="0"/>
    <x v="1"/>
    <x v="1"/>
    <n v="3545"/>
    <n v="6"/>
    <n v="0.21"/>
    <n v="706"/>
    <x v="1"/>
    <n v="16803.3"/>
    <x v="2"/>
    <n v="2024"/>
    <s v="Q1"/>
    <n v="4.2015556468074727E-2"/>
    <n v="4466.7"/>
    <s v="High"/>
    <s v="Repeat"/>
    <s v="Above Avg"/>
    <s v="Profit"/>
    <n v="107"/>
  </r>
  <r>
    <n v="72"/>
    <d v="2024-03-12T00:00:00"/>
    <n v="1050"/>
    <s v="Customer_122"/>
    <s v="Corporate"/>
    <x v="1"/>
    <x v="1"/>
    <x v="0"/>
    <n v="156"/>
    <n v="9"/>
    <n v="0.02"/>
    <n v="56"/>
    <x v="2"/>
    <n v="1375.92"/>
    <x v="2"/>
    <n v="2024"/>
    <s v="Q1"/>
    <n v="4.0700040700040699E-2"/>
    <n v="28.080000000000002"/>
    <s v="Low"/>
    <s v="Repeat"/>
    <s v="Below Avg"/>
    <s v="Profit"/>
    <n v="463"/>
  </r>
  <r>
    <n v="73"/>
    <d v="2024-03-13T00:00:00"/>
    <n v="1084"/>
    <s v="Customer_21"/>
    <s v="Consumer"/>
    <x v="2"/>
    <x v="1"/>
    <x v="3"/>
    <n v="3923"/>
    <n v="3"/>
    <n v="0.24"/>
    <n v="1141"/>
    <x v="0"/>
    <n v="8944.44"/>
    <x v="2"/>
    <n v="2024"/>
    <s v="Q1"/>
    <n v="0.12756528077777926"/>
    <n v="2824.56"/>
    <s v="High"/>
    <s v="Repeat"/>
    <s v="Below Avg"/>
    <s v="Profit"/>
    <n v="232"/>
  </r>
  <r>
    <n v="74"/>
    <d v="2024-03-14T00:00:00"/>
    <n v="1056"/>
    <s v="Customer_61"/>
    <s v="Corporate"/>
    <x v="1"/>
    <x v="0"/>
    <x v="1"/>
    <n v="1766"/>
    <n v="2"/>
    <n v="0.28999999999999998"/>
    <n v="620"/>
    <x v="1"/>
    <n v="2507.7199999999998"/>
    <x v="2"/>
    <n v="2024"/>
    <s v="Q1"/>
    <n v="0.24723653358429173"/>
    <n v="1024.28"/>
    <s v="Medium"/>
    <s v="Repeat"/>
    <s v="Below Avg"/>
    <s v="Profit"/>
    <n v="410"/>
  </r>
  <r>
    <n v="75"/>
    <d v="2024-03-15T00:00:00"/>
    <n v="1049"/>
    <s v="Customer_27"/>
    <s v="Consumer"/>
    <x v="1"/>
    <x v="2"/>
    <x v="2"/>
    <n v="4017"/>
    <n v="2"/>
    <n v="0.02"/>
    <n v="755"/>
    <x v="2"/>
    <n v="7873.32"/>
    <x v="2"/>
    <n v="2024"/>
    <s v="Q1"/>
    <n v="9.58934731472873E-2"/>
    <n v="160.68"/>
    <s v="High"/>
    <s v="Repeat"/>
    <s v="Below Avg"/>
    <s v="Profit"/>
    <n v="255"/>
  </r>
  <r>
    <n v="76"/>
    <d v="2024-03-16T00:00:00"/>
    <n v="1012"/>
    <s v="Customer_191"/>
    <s v="Consumer"/>
    <x v="1"/>
    <x v="1"/>
    <x v="1"/>
    <n v="1527"/>
    <n v="7"/>
    <n v="0.14000000000000001"/>
    <n v="-113"/>
    <x v="2"/>
    <n v="9192.53999999999"/>
    <x v="2"/>
    <n v="2024"/>
    <s v="Q1"/>
    <n v="-1.2292576371710117E-2"/>
    <n v="1496.46"/>
    <s v="High"/>
    <s v="Repeat"/>
    <s v="Below Avg"/>
    <s v="Loss"/>
    <n v="227"/>
  </r>
  <r>
    <n v="77"/>
    <d v="2024-03-17T00:00:00"/>
    <n v="1018"/>
    <s v="Customer_102"/>
    <s v="Consumer"/>
    <x v="1"/>
    <x v="2"/>
    <x v="3"/>
    <n v="604"/>
    <n v="5"/>
    <n v="0.17"/>
    <n v="213"/>
    <x v="2"/>
    <n v="2506.6"/>
    <x v="2"/>
    <n v="2024"/>
    <s v="Q1"/>
    <n v="8.497566424638954E-2"/>
    <n v="513.40000000000009"/>
    <s v="Medium"/>
    <s v="Repeat"/>
    <s v="Below Avg"/>
    <s v="Profit"/>
    <n v="411"/>
  </r>
  <r>
    <n v="78"/>
    <d v="2024-03-18T00:00:00"/>
    <n v="1081"/>
    <s v="Customer_180"/>
    <s v="Consumer"/>
    <x v="3"/>
    <x v="1"/>
    <x v="1"/>
    <n v="3795"/>
    <n v="4"/>
    <n v="0.24"/>
    <n v="842"/>
    <x v="0"/>
    <n v="11536.8"/>
    <x v="2"/>
    <n v="2024"/>
    <s v="Q1"/>
    <n v="7.2983843006726307E-2"/>
    <n v="3643.2"/>
    <s v="High"/>
    <s v="Repeat"/>
    <s v="Above Avg"/>
    <s v="Profit"/>
    <n v="181"/>
  </r>
  <r>
    <n v="79"/>
    <d v="2024-03-19T00:00:00"/>
    <n v="1001"/>
    <s v="Customer_192"/>
    <s v="Consumer"/>
    <x v="2"/>
    <x v="1"/>
    <x v="0"/>
    <n v="4704"/>
    <n v="2"/>
    <n v="0.05"/>
    <n v="-31"/>
    <x v="1"/>
    <n v="8937.6"/>
    <x v="2"/>
    <n v="2024"/>
    <s v="Q1"/>
    <n v="-3.4684926602219835E-3"/>
    <n v="470.40000000000003"/>
    <s v="High"/>
    <s v="Repeat"/>
    <s v="Below Avg"/>
    <s v="Loss"/>
    <n v="233"/>
  </r>
  <r>
    <n v="80"/>
    <d v="2024-03-20T00:00:00"/>
    <n v="1051"/>
    <s v="Customer_142"/>
    <s v="Corporate"/>
    <x v="1"/>
    <x v="1"/>
    <x v="0"/>
    <n v="1428"/>
    <n v="4"/>
    <n v="0.11"/>
    <n v="361"/>
    <x v="0"/>
    <n v="5083.68"/>
    <x v="2"/>
    <n v="2024"/>
    <s v="Q1"/>
    <n v="7.10115506876908E-2"/>
    <n v="628.32000000000005"/>
    <s v="High"/>
    <s v="Repeat"/>
    <s v="Below Avg"/>
    <s v="Profit"/>
    <n v="320"/>
  </r>
  <r>
    <n v="81"/>
    <d v="2024-03-21T00:00:00"/>
    <n v="1044"/>
    <s v="Customer_101"/>
    <s v="Corporate"/>
    <x v="1"/>
    <x v="2"/>
    <x v="0"/>
    <n v="783"/>
    <n v="6"/>
    <n v="0.25"/>
    <n v="-54"/>
    <x v="2"/>
    <n v="3523.5"/>
    <x v="2"/>
    <n v="2024"/>
    <s v="Q1"/>
    <n v="-1.532567049808429E-2"/>
    <n v="1174.5"/>
    <s v="Medium"/>
    <s v="Repeat"/>
    <s v="Below Avg"/>
    <s v="Loss"/>
    <n v="376"/>
  </r>
  <r>
    <n v="82"/>
    <d v="2024-03-22T00:00:00"/>
    <n v="1048"/>
    <s v="Customer_175"/>
    <s v="Consumer"/>
    <x v="0"/>
    <x v="0"/>
    <x v="0"/>
    <n v="222"/>
    <n v="6"/>
    <n v="0.16"/>
    <n v="9"/>
    <x v="0"/>
    <n v="1118.8799999999901"/>
    <x v="2"/>
    <n v="2024"/>
    <s v="Q1"/>
    <n v="8.043758043758115E-3"/>
    <n v="213.12"/>
    <s v="Low"/>
    <s v="Repeat"/>
    <s v="Below Avg"/>
    <s v="Profit"/>
    <n v="474"/>
  </r>
  <r>
    <n v="83"/>
    <d v="2024-03-23T00:00:00"/>
    <n v="1056"/>
    <s v="Customer_7"/>
    <s v="Corporate"/>
    <x v="2"/>
    <x v="1"/>
    <x v="0"/>
    <n v="1447"/>
    <n v="8"/>
    <n v="0.05"/>
    <n v="1686"/>
    <x v="0"/>
    <n v="10997.199999999901"/>
    <x v="2"/>
    <n v="2024"/>
    <s v="Q1"/>
    <n v="0.15331175208234962"/>
    <n v="578.80000000000007"/>
    <s v="High"/>
    <s v="Repeat"/>
    <s v="Above Avg"/>
    <s v="Profit"/>
    <n v="191"/>
  </r>
  <r>
    <n v="84"/>
    <d v="2024-03-24T00:00:00"/>
    <n v="1091"/>
    <s v="Customer_76"/>
    <s v="Corporate"/>
    <x v="1"/>
    <x v="0"/>
    <x v="3"/>
    <n v="4171"/>
    <n v="6"/>
    <n v="0.26"/>
    <n v="1941"/>
    <x v="0"/>
    <n v="18519.2399999999"/>
    <x v="2"/>
    <n v="2024"/>
    <s v="Q1"/>
    <n v="0.10480991660564962"/>
    <n v="6506.76"/>
    <s v="High"/>
    <s v="Repeat"/>
    <s v="Above Avg"/>
    <s v="Profit"/>
    <n v="86"/>
  </r>
  <r>
    <n v="85"/>
    <d v="2024-03-25T00:00:00"/>
    <n v="1049"/>
    <s v="Customer_156"/>
    <s v="Corporate"/>
    <x v="3"/>
    <x v="1"/>
    <x v="1"/>
    <n v="2001"/>
    <n v="5"/>
    <n v="0.28000000000000003"/>
    <n v="832"/>
    <x v="0"/>
    <n v="7203.5999999999904"/>
    <x v="2"/>
    <n v="2024"/>
    <s v="Q1"/>
    <n v="0.1154978066522296"/>
    <n v="2801.4"/>
    <s v="High"/>
    <s v="Repeat"/>
    <s v="Below Avg"/>
    <s v="Profit"/>
    <n v="271"/>
  </r>
  <r>
    <n v="86"/>
    <d v="2024-03-26T00:00:00"/>
    <n v="1086"/>
    <s v="Customer_131"/>
    <s v="Consumer"/>
    <x v="0"/>
    <x v="0"/>
    <x v="3"/>
    <n v="1745"/>
    <n v="7"/>
    <n v="0.22"/>
    <n v="1411"/>
    <x v="0"/>
    <n v="9527.7000000000007"/>
    <x v="2"/>
    <n v="2024"/>
    <s v="Q1"/>
    <n v="0.14809450339536298"/>
    <n v="2687.3"/>
    <s v="High"/>
    <s v="Repeat"/>
    <s v="Below Avg"/>
    <s v="Profit"/>
    <n v="215"/>
  </r>
  <r>
    <n v="87"/>
    <d v="2024-03-27T00:00:00"/>
    <n v="1003"/>
    <s v="Customer_150"/>
    <s v="Corporate"/>
    <x v="0"/>
    <x v="0"/>
    <x v="1"/>
    <n v="2969"/>
    <n v="3"/>
    <n v="0.28999999999999998"/>
    <n v="735"/>
    <x v="0"/>
    <n v="6323.9699999999903"/>
    <x v="2"/>
    <n v="2024"/>
    <s v="Q1"/>
    <n v="0.11622446026783827"/>
    <n v="2583.0299999999997"/>
    <s v="High"/>
    <s v="Repeat"/>
    <s v="Below Avg"/>
    <s v="Profit"/>
    <n v="288"/>
  </r>
  <r>
    <n v="88"/>
    <d v="2024-03-28T00:00:00"/>
    <n v="1067"/>
    <s v="Customer_85"/>
    <s v="Corporate"/>
    <x v="0"/>
    <x v="1"/>
    <x v="0"/>
    <n v="1478"/>
    <n v="4"/>
    <n v="0.28000000000000003"/>
    <n v="-370"/>
    <x v="2"/>
    <n v="4256.6399999999903"/>
    <x v="2"/>
    <n v="2024"/>
    <s v="Q1"/>
    <n v="-8.6923019094873155E-2"/>
    <n v="1655.3600000000001"/>
    <s v="Medium"/>
    <s v="Repeat"/>
    <s v="Below Avg"/>
    <s v="Loss"/>
    <n v="343"/>
  </r>
  <r>
    <n v="89"/>
    <d v="2024-03-29T00:00:00"/>
    <n v="1011"/>
    <s v="Customer_191"/>
    <s v="Corporate"/>
    <x v="0"/>
    <x v="0"/>
    <x v="2"/>
    <n v="2972"/>
    <n v="6"/>
    <n v="0.04"/>
    <n v="64"/>
    <x v="0"/>
    <n v="17118.72"/>
    <x v="2"/>
    <n v="2024"/>
    <s v="Q1"/>
    <n v="3.7385972783011813E-3"/>
    <n v="713.28"/>
    <s v="High"/>
    <s v="Repeat"/>
    <s v="Above Avg"/>
    <s v="Profit"/>
    <n v="104"/>
  </r>
  <r>
    <n v="90"/>
    <d v="2024-03-30T00:00:00"/>
    <n v="1021"/>
    <s v="Customer_29"/>
    <s v="Consumer"/>
    <x v="1"/>
    <x v="2"/>
    <x v="2"/>
    <n v="1596"/>
    <n v="9"/>
    <n v="0.12"/>
    <n v="1887"/>
    <x v="0"/>
    <n v="12640.32"/>
    <x v="2"/>
    <n v="2024"/>
    <s v="Q1"/>
    <n v="0.14928419533682691"/>
    <n v="1723.6799999999998"/>
    <s v="High"/>
    <s v="Repeat"/>
    <s v="Above Avg"/>
    <s v="Profit"/>
    <n v="161"/>
  </r>
  <r>
    <n v="91"/>
    <d v="2024-03-31T00:00:00"/>
    <n v="1089"/>
    <s v="Customer_148"/>
    <s v="Corporate"/>
    <x v="3"/>
    <x v="0"/>
    <x v="2"/>
    <n v="775"/>
    <n v="6"/>
    <n v="0.18"/>
    <n v="1459"/>
    <x v="0"/>
    <n v="3813"/>
    <x v="2"/>
    <n v="2024"/>
    <s v="Q1"/>
    <n v="0.38263834251245737"/>
    <n v="837"/>
    <s v="Medium"/>
    <s v="Repeat"/>
    <s v="Below Avg"/>
    <s v="Profit"/>
    <n v="364"/>
  </r>
  <r>
    <n v="92"/>
    <d v="2024-04-01T00:00:00"/>
    <n v="1098"/>
    <s v="Customer_67"/>
    <s v="Corporate"/>
    <x v="0"/>
    <x v="2"/>
    <x v="1"/>
    <n v="2608"/>
    <n v="4"/>
    <n v="0.22"/>
    <n v="1774"/>
    <x v="0"/>
    <n v="8136.96"/>
    <x v="3"/>
    <n v="2024"/>
    <s v="Q2"/>
    <n v="0.21801753971999371"/>
    <n v="2295.04"/>
    <s v="High"/>
    <s v="Repeat"/>
    <s v="Below Avg"/>
    <s v="Profit"/>
    <n v="246"/>
  </r>
  <r>
    <n v="93"/>
    <d v="2024-04-02T00:00:00"/>
    <n v="1003"/>
    <s v="Customer_105"/>
    <s v="Corporate"/>
    <x v="3"/>
    <x v="0"/>
    <x v="1"/>
    <n v="2396"/>
    <n v="8"/>
    <n v="0.16"/>
    <n v="943"/>
    <x v="1"/>
    <n v="16101.119999999901"/>
    <x v="3"/>
    <n v="2024"/>
    <s v="Q2"/>
    <n v="5.8567354320693578E-2"/>
    <n v="3066.88"/>
    <s v="High"/>
    <s v="Repeat"/>
    <s v="Above Avg"/>
    <s v="Profit"/>
    <n v="126"/>
  </r>
  <r>
    <n v="94"/>
    <d v="2024-04-03T00:00:00"/>
    <n v="1011"/>
    <s v="Customer_161"/>
    <s v="Consumer"/>
    <x v="1"/>
    <x v="2"/>
    <x v="3"/>
    <n v="662"/>
    <n v="5"/>
    <n v="0.19"/>
    <n v="-45"/>
    <x v="2"/>
    <n v="2681.1"/>
    <x v="3"/>
    <n v="2024"/>
    <s v="Q2"/>
    <n v="-1.6784155756965426E-2"/>
    <n v="628.9"/>
    <s v="Medium"/>
    <s v="Repeat"/>
    <s v="Below Avg"/>
    <s v="Loss"/>
    <n v="403"/>
  </r>
  <r>
    <n v="95"/>
    <d v="2024-04-04T00:00:00"/>
    <n v="1003"/>
    <s v="Customer_94"/>
    <s v="Consumer"/>
    <x v="2"/>
    <x v="1"/>
    <x v="3"/>
    <n v="4372"/>
    <n v="5"/>
    <n v="0.04"/>
    <n v="1771"/>
    <x v="0"/>
    <n v="20985.599999999999"/>
    <x v="3"/>
    <n v="2024"/>
    <s v="Q2"/>
    <n v="8.4391201585849354E-2"/>
    <n v="874.4"/>
    <s v="High"/>
    <s v="Repeat"/>
    <s v="Above Avg"/>
    <s v="Profit"/>
    <n v="77"/>
  </r>
  <r>
    <n v="96"/>
    <d v="2024-04-05T00:00:00"/>
    <n v="1094"/>
    <s v="Customer_48"/>
    <s v="Consumer"/>
    <x v="3"/>
    <x v="2"/>
    <x v="1"/>
    <n v="301"/>
    <n v="8"/>
    <n v="0.12"/>
    <n v="1297"/>
    <x v="0"/>
    <n v="2119.04"/>
    <x v="3"/>
    <n v="2024"/>
    <s v="Q2"/>
    <n v="0.61206961643008151"/>
    <n v="288.95999999999998"/>
    <s v="Medium"/>
    <s v="Repeat"/>
    <s v="Below Avg"/>
    <s v="Profit"/>
    <n v="421"/>
  </r>
  <r>
    <n v="97"/>
    <d v="2024-04-06T00:00:00"/>
    <n v="1006"/>
    <s v="Customer_103"/>
    <s v="Corporate"/>
    <x v="1"/>
    <x v="2"/>
    <x v="0"/>
    <n v="4572"/>
    <n v="9"/>
    <n v="0"/>
    <n v="519"/>
    <x v="0"/>
    <n v="41148"/>
    <x v="3"/>
    <n v="2024"/>
    <s v="Q2"/>
    <n v="1.2613006707494897E-2"/>
    <n v="0"/>
    <s v="High"/>
    <s v="Repeat"/>
    <s v="Above Avg"/>
    <s v="Profit"/>
    <n v="1"/>
  </r>
  <r>
    <n v="98"/>
    <d v="2024-04-07T00:00:00"/>
    <n v="1009"/>
    <s v="Customer_41"/>
    <s v="Consumer"/>
    <x v="0"/>
    <x v="0"/>
    <x v="0"/>
    <n v="3094"/>
    <n v="4"/>
    <n v="0.2"/>
    <n v="236"/>
    <x v="1"/>
    <n v="9900.7999999999993"/>
    <x v="3"/>
    <n v="2024"/>
    <s v="Q2"/>
    <n v="2.3836457659987074E-2"/>
    <n v="2475.2000000000003"/>
    <s v="High"/>
    <s v="Repeat"/>
    <s v="Below Avg"/>
    <s v="Profit"/>
    <n v="203"/>
  </r>
  <r>
    <n v="99"/>
    <d v="2024-04-08T00:00:00"/>
    <n v="1087"/>
    <s v="Customer_123"/>
    <s v="Consumer"/>
    <x v="2"/>
    <x v="0"/>
    <x v="0"/>
    <n v="4656"/>
    <n v="8"/>
    <n v="0.05"/>
    <n v="115"/>
    <x v="1"/>
    <n v="35385.599999999999"/>
    <x v="3"/>
    <n v="2024"/>
    <s v="Q2"/>
    <n v="3.2499095677337676E-3"/>
    <n v="1862.4"/>
    <s v="High"/>
    <s v="Repeat"/>
    <s v="Above Avg"/>
    <s v="Profit"/>
    <n v="9"/>
  </r>
  <r>
    <n v="100"/>
    <d v="2024-04-09T00:00:00"/>
    <n v="1014"/>
    <s v="Customer_137"/>
    <s v="Corporate"/>
    <x v="3"/>
    <x v="1"/>
    <x v="2"/>
    <n v="4815"/>
    <n v="8"/>
    <n v="0.12"/>
    <n v="271"/>
    <x v="0"/>
    <n v="33897.599999999999"/>
    <x v="3"/>
    <n v="2024"/>
    <s v="Q2"/>
    <n v="7.9946662890588126E-3"/>
    <n v="4622.3999999999996"/>
    <s v="High"/>
    <s v="Repeat"/>
    <s v="Above Avg"/>
    <s v="Profit"/>
    <n v="14"/>
  </r>
  <r>
    <n v="101"/>
    <d v="2024-04-10T00:00:00"/>
    <n v="1083"/>
    <s v="Customer_176"/>
    <s v="Consumer"/>
    <x v="0"/>
    <x v="2"/>
    <x v="3"/>
    <n v="4598"/>
    <n v="3"/>
    <n v="0.15"/>
    <n v="93"/>
    <x v="1"/>
    <n v="11724.9"/>
    <x v="3"/>
    <n v="2024"/>
    <s v="Q2"/>
    <n v="7.9318373717473072E-3"/>
    <n v="2069.1"/>
    <s v="High"/>
    <s v="Repeat"/>
    <s v="Above Avg"/>
    <s v="Profit"/>
    <n v="177"/>
  </r>
  <r>
    <n v="102"/>
    <d v="2024-04-11T00:00:00"/>
    <n v="1070"/>
    <s v="Customer_182"/>
    <s v="Consumer"/>
    <x v="1"/>
    <x v="0"/>
    <x v="2"/>
    <n v="4505"/>
    <n v="4"/>
    <n v="0.2"/>
    <n v="-150"/>
    <x v="0"/>
    <n v="14416"/>
    <x v="3"/>
    <n v="2024"/>
    <s v="Q2"/>
    <n v="-1.0405105438401776E-2"/>
    <n v="3604"/>
    <s v="High"/>
    <s v="Repeat"/>
    <s v="Above Avg"/>
    <s v="Loss"/>
    <n v="144"/>
  </r>
  <r>
    <n v="103"/>
    <d v="2024-04-12T00:00:00"/>
    <n v="1012"/>
    <s v="Customer_23"/>
    <s v="Consumer"/>
    <x v="1"/>
    <x v="0"/>
    <x v="3"/>
    <n v="3765"/>
    <n v="2"/>
    <n v="0.23"/>
    <n v="820"/>
    <x v="2"/>
    <n v="5798.1"/>
    <x v="3"/>
    <n v="2024"/>
    <s v="Q2"/>
    <n v="0.14142563943360756"/>
    <n v="1731.9"/>
    <s v="High"/>
    <s v="Repeat"/>
    <s v="Below Avg"/>
    <s v="Profit"/>
    <n v="301"/>
  </r>
  <r>
    <n v="104"/>
    <d v="2024-04-13T00:00:00"/>
    <n v="1054"/>
    <s v="Customer_193"/>
    <s v="Corporate"/>
    <x v="1"/>
    <x v="2"/>
    <x v="0"/>
    <n v="4195"/>
    <n v="5"/>
    <n v="0.21"/>
    <n v="-479"/>
    <x v="1"/>
    <n v="16570.25"/>
    <x v="3"/>
    <n v="2024"/>
    <s v="Q2"/>
    <n v="-2.8907228315806943E-2"/>
    <n v="4404.75"/>
    <s v="High"/>
    <s v="Repeat"/>
    <s v="Above Avg"/>
    <s v="Loss"/>
    <n v="114"/>
  </r>
  <r>
    <n v="105"/>
    <d v="2024-04-14T00:00:00"/>
    <n v="1027"/>
    <s v="Customer_149"/>
    <s v="Corporate"/>
    <x v="0"/>
    <x v="2"/>
    <x v="0"/>
    <n v="1628"/>
    <n v="6"/>
    <n v="0.17"/>
    <n v="1224"/>
    <x v="1"/>
    <n v="8107.44"/>
    <x v="3"/>
    <n v="2024"/>
    <s v="Q2"/>
    <n v="0.15097244012906663"/>
    <n v="1660.5600000000002"/>
    <s v="High"/>
    <s v="Repeat"/>
    <s v="Below Avg"/>
    <s v="Profit"/>
    <n v="248"/>
  </r>
  <r>
    <n v="106"/>
    <d v="2024-04-15T00:00:00"/>
    <n v="1038"/>
    <s v="Customer_160"/>
    <s v="Corporate"/>
    <x v="3"/>
    <x v="1"/>
    <x v="0"/>
    <n v="759"/>
    <n v="6"/>
    <n v="0.16"/>
    <n v="879"/>
    <x v="0"/>
    <n v="3825.3599999999901"/>
    <x v="3"/>
    <n v="2024"/>
    <s v="Q2"/>
    <n v="0.22978229499968689"/>
    <n v="728.64"/>
    <s v="Medium"/>
    <s v="Repeat"/>
    <s v="Below Avg"/>
    <s v="Profit"/>
    <n v="363"/>
  </r>
  <r>
    <n v="107"/>
    <d v="2024-04-16T00:00:00"/>
    <n v="1017"/>
    <s v="Customer_109"/>
    <s v="Consumer"/>
    <x v="1"/>
    <x v="0"/>
    <x v="2"/>
    <n v="101"/>
    <n v="2"/>
    <n v="0.26"/>
    <n v="1747"/>
    <x v="2"/>
    <n v="149.47999999999999"/>
    <x v="3"/>
    <n v="2024"/>
    <s v="Q2"/>
    <n v="11.687182231736688"/>
    <n v="52.52"/>
    <s v="Low"/>
    <s v="Repeat"/>
    <s v="Below Avg"/>
    <s v="Profit"/>
    <n v="500"/>
  </r>
  <r>
    <n v="108"/>
    <d v="2024-04-17T00:00:00"/>
    <n v="1061"/>
    <s v="Customer_154"/>
    <s v="Corporate"/>
    <x v="1"/>
    <x v="2"/>
    <x v="0"/>
    <n v="608"/>
    <n v="4"/>
    <n v="0.26"/>
    <n v="1152"/>
    <x v="0"/>
    <n v="1799.68"/>
    <x v="3"/>
    <n v="2024"/>
    <s v="Q2"/>
    <n v="0.64011379800853485"/>
    <n v="632.32000000000005"/>
    <s v="Low"/>
    <s v="Repeat"/>
    <s v="Below Avg"/>
    <s v="Profit"/>
    <n v="441"/>
  </r>
  <r>
    <n v="109"/>
    <d v="2024-04-18T00:00:00"/>
    <n v="1074"/>
    <s v="Customer_33"/>
    <s v="Consumer"/>
    <x v="2"/>
    <x v="1"/>
    <x v="0"/>
    <n v="239"/>
    <n v="2"/>
    <n v="0.02"/>
    <n v="1292"/>
    <x v="2"/>
    <n v="468.44"/>
    <x v="3"/>
    <n v="2024"/>
    <s v="Q2"/>
    <n v="2.7580906839723336"/>
    <n v="9.56"/>
    <s v="Low"/>
    <s v="Repeat"/>
    <s v="Below Avg"/>
    <s v="Profit"/>
    <n v="492"/>
  </r>
  <r>
    <n v="110"/>
    <d v="2024-04-19T00:00:00"/>
    <n v="1099"/>
    <s v="Customer_188"/>
    <s v="Corporate"/>
    <x v="3"/>
    <x v="2"/>
    <x v="2"/>
    <n v="3354"/>
    <n v="5"/>
    <n v="0.08"/>
    <n v="556"/>
    <x v="1"/>
    <n v="15428.4"/>
    <x v="3"/>
    <n v="2024"/>
    <s v="Q2"/>
    <n v="3.603743745300874E-2"/>
    <n v="1341.6000000000001"/>
    <s v="High"/>
    <s v="Repeat"/>
    <s v="Above Avg"/>
    <s v="Profit"/>
    <n v="136"/>
  </r>
  <r>
    <n v="111"/>
    <d v="2024-04-20T00:00:00"/>
    <n v="1099"/>
    <s v="Customer_137"/>
    <s v="Corporate"/>
    <x v="1"/>
    <x v="2"/>
    <x v="0"/>
    <n v="3754"/>
    <n v="2"/>
    <n v="0.28000000000000003"/>
    <n v="853"/>
    <x v="1"/>
    <n v="5405.76"/>
    <x v="3"/>
    <n v="2024"/>
    <s v="Q2"/>
    <n v="0.15779464867104717"/>
    <n v="2102.2400000000002"/>
    <s v="High"/>
    <s v="Repeat"/>
    <s v="Below Avg"/>
    <s v="Profit"/>
    <n v="312"/>
  </r>
  <r>
    <n v="112"/>
    <d v="2024-04-21T00:00:00"/>
    <n v="1065"/>
    <s v="Customer_81"/>
    <s v="Consumer"/>
    <x v="3"/>
    <x v="1"/>
    <x v="0"/>
    <n v="1685"/>
    <n v="9"/>
    <n v="0.18"/>
    <n v="1489"/>
    <x v="2"/>
    <n v="12435.3"/>
    <x v="3"/>
    <n v="2024"/>
    <s v="Q2"/>
    <n v="0.11973977306538645"/>
    <n v="2729.7"/>
    <s v="High"/>
    <s v="Repeat"/>
    <s v="Above Avg"/>
    <s v="Profit"/>
    <n v="163"/>
  </r>
  <r>
    <n v="113"/>
    <d v="2024-04-22T00:00:00"/>
    <n v="1047"/>
    <s v="Customer_70"/>
    <s v="Corporate"/>
    <x v="1"/>
    <x v="2"/>
    <x v="2"/>
    <n v="4837"/>
    <n v="1"/>
    <n v="0.04"/>
    <n v="216"/>
    <x v="1"/>
    <n v="4643.5199999999904"/>
    <x v="3"/>
    <n v="2024"/>
    <s v="Q2"/>
    <n v="4.6516435807318679E-2"/>
    <n v="193.48000000000002"/>
    <s v="Medium"/>
    <s v="Repeat"/>
    <s v="Below Avg"/>
    <s v="Profit"/>
    <n v="334"/>
  </r>
  <r>
    <n v="114"/>
    <d v="2024-04-23T00:00:00"/>
    <n v="1016"/>
    <s v="Customer_174"/>
    <s v="Corporate"/>
    <x v="0"/>
    <x v="0"/>
    <x v="1"/>
    <n v="327"/>
    <n v="6"/>
    <n v="0.02"/>
    <n v="-476"/>
    <x v="0"/>
    <n v="1922.76"/>
    <x v="3"/>
    <n v="2024"/>
    <s v="Q2"/>
    <n v="-0.24756079801951361"/>
    <n v="39.24"/>
    <s v="Low"/>
    <s v="Repeat"/>
    <s v="Below Avg"/>
    <s v="Loss"/>
    <n v="435"/>
  </r>
  <r>
    <n v="115"/>
    <d v="2024-04-24T00:00:00"/>
    <n v="1005"/>
    <s v="Customer_7"/>
    <s v="Corporate"/>
    <x v="1"/>
    <x v="1"/>
    <x v="3"/>
    <n v="2697"/>
    <n v="9"/>
    <n v="0.03"/>
    <n v="196"/>
    <x v="1"/>
    <n v="23544.809999999899"/>
    <x v="3"/>
    <n v="2024"/>
    <s v="Q2"/>
    <n v="8.324552204923329E-3"/>
    <n v="728.18999999999994"/>
    <s v="High"/>
    <s v="Repeat"/>
    <s v="Above Avg"/>
    <s v="Profit"/>
    <n v="56"/>
  </r>
  <r>
    <n v="116"/>
    <d v="2024-04-25T00:00:00"/>
    <n v="1086"/>
    <s v="Customer_128"/>
    <s v="Consumer"/>
    <x v="2"/>
    <x v="1"/>
    <x v="0"/>
    <n v="2905"/>
    <n v="3"/>
    <n v="0.23"/>
    <n v="1412"/>
    <x v="1"/>
    <n v="6710.55"/>
    <x v="3"/>
    <n v="2024"/>
    <s v="Q2"/>
    <n v="0.21041494363353228"/>
    <n v="2004.45"/>
    <s v="High"/>
    <s v="Repeat"/>
    <s v="Below Avg"/>
    <s v="Profit"/>
    <n v="283"/>
  </r>
  <r>
    <n v="117"/>
    <d v="2024-04-26T00:00:00"/>
    <n v="1046"/>
    <s v="Customer_7"/>
    <s v="Corporate"/>
    <x v="1"/>
    <x v="2"/>
    <x v="0"/>
    <n v="4460"/>
    <n v="9"/>
    <n v="7.0000000000000007E-2"/>
    <n v="683"/>
    <x v="0"/>
    <n v="37330.199999999997"/>
    <x v="3"/>
    <n v="2024"/>
    <s v="Q2"/>
    <n v="1.8296178429261029E-2"/>
    <n v="2809.8"/>
    <s v="High"/>
    <s v="Repeat"/>
    <s v="Above Avg"/>
    <s v="Profit"/>
    <n v="6"/>
  </r>
  <r>
    <n v="118"/>
    <d v="2024-04-27T00:00:00"/>
    <n v="1015"/>
    <s v="Customer_121"/>
    <s v="Consumer"/>
    <x v="1"/>
    <x v="1"/>
    <x v="2"/>
    <n v="3646"/>
    <n v="2"/>
    <n v="7.0000000000000007E-2"/>
    <n v="1559"/>
    <x v="2"/>
    <n v="6781.5599999999904"/>
    <x v="3"/>
    <n v="2024"/>
    <s v="Q2"/>
    <n v="0.22988810834085405"/>
    <n v="510.44000000000005"/>
    <s v="High"/>
    <s v="Repeat"/>
    <s v="Below Avg"/>
    <s v="Profit"/>
    <n v="278"/>
  </r>
  <r>
    <n v="119"/>
    <d v="2024-04-28T00:00:00"/>
    <n v="1059"/>
    <s v="Customer_197"/>
    <s v="Corporate"/>
    <x v="2"/>
    <x v="2"/>
    <x v="1"/>
    <n v="3772"/>
    <n v="2"/>
    <n v="0.04"/>
    <n v="189"/>
    <x v="1"/>
    <n v="7242.24"/>
    <x v="3"/>
    <n v="2024"/>
    <s v="Q2"/>
    <n v="2.6096898197242844E-2"/>
    <n v="301.76"/>
    <s v="High"/>
    <s v="Repeat"/>
    <s v="Below Avg"/>
    <s v="Profit"/>
    <n v="270"/>
  </r>
  <r>
    <n v="120"/>
    <d v="2024-04-29T00:00:00"/>
    <n v="1040"/>
    <s v="Customer_161"/>
    <s v="Corporate"/>
    <x v="1"/>
    <x v="1"/>
    <x v="2"/>
    <n v="4990"/>
    <n v="2"/>
    <n v="0.18"/>
    <n v="829"/>
    <x v="0"/>
    <n v="8183.6"/>
    <x v="3"/>
    <n v="2024"/>
    <s v="Q2"/>
    <n v="0.10130016129820617"/>
    <n v="1796.3999999999999"/>
    <s v="High"/>
    <s v="Repeat"/>
    <s v="Below Avg"/>
    <s v="Profit"/>
    <n v="245"/>
  </r>
  <r>
    <n v="121"/>
    <d v="2024-04-30T00:00:00"/>
    <n v="1025"/>
    <s v="Customer_114"/>
    <s v="Corporate"/>
    <x v="0"/>
    <x v="1"/>
    <x v="1"/>
    <n v="4660"/>
    <n v="3"/>
    <n v="0.15"/>
    <n v="697"/>
    <x v="0"/>
    <n v="11883"/>
    <x v="3"/>
    <n v="2024"/>
    <s v="Q2"/>
    <n v="5.8655221745350504E-2"/>
    <n v="2097"/>
    <s v="High"/>
    <s v="Repeat"/>
    <s v="Above Avg"/>
    <s v="Profit"/>
    <n v="170"/>
  </r>
  <r>
    <n v="122"/>
    <d v="2024-05-01T00:00:00"/>
    <n v="1045"/>
    <s v="Customer_138"/>
    <s v="Corporate"/>
    <x v="1"/>
    <x v="2"/>
    <x v="2"/>
    <n v="2622"/>
    <n v="4"/>
    <n v="0.08"/>
    <n v="-69"/>
    <x v="2"/>
    <n v="9648.9599999999991"/>
    <x v="4"/>
    <n v="2024"/>
    <s v="Q2"/>
    <n v="-7.1510297482837533E-3"/>
    <n v="839.04"/>
    <s v="High"/>
    <s v="Repeat"/>
    <s v="Below Avg"/>
    <s v="Loss"/>
    <n v="210"/>
  </r>
  <r>
    <n v="123"/>
    <d v="2024-05-02T00:00:00"/>
    <n v="1049"/>
    <s v="Customer_104"/>
    <s v="Consumer"/>
    <x v="2"/>
    <x v="2"/>
    <x v="2"/>
    <n v="438"/>
    <n v="3"/>
    <n v="0.2"/>
    <n v="1254"/>
    <x v="0"/>
    <n v="1051.2"/>
    <x v="4"/>
    <n v="2024"/>
    <s v="Q2"/>
    <n v="1.1929223744292237"/>
    <n v="262.8"/>
    <s v="Low"/>
    <s v="Repeat"/>
    <s v="Below Avg"/>
    <s v="Profit"/>
    <n v="478"/>
  </r>
  <r>
    <n v="124"/>
    <d v="2024-05-03T00:00:00"/>
    <n v="1000"/>
    <s v="Customer_28"/>
    <s v="Consumer"/>
    <x v="1"/>
    <x v="1"/>
    <x v="1"/>
    <n v="918"/>
    <n v="6"/>
    <n v="0.23"/>
    <n v="-299"/>
    <x v="0"/>
    <n v="4241.16"/>
    <x v="4"/>
    <n v="2024"/>
    <s v="Q2"/>
    <n v="-7.0499580303501869E-2"/>
    <n v="1266.8400000000001"/>
    <s v="Medium"/>
    <s v="Repeat"/>
    <s v="Below Avg"/>
    <s v="Loss"/>
    <n v="344"/>
  </r>
  <r>
    <n v="125"/>
    <d v="2024-05-04T00:00:00"/>
    <n v="1035"/>
    <s v="Customer_175"/>
    <s v="Corporate"/>
    <x v="2"/>
    <x v="2"/>
    <x v="1"/>
    <n v="2666"/>
    <n v="6"/>
    <n v="0.28999999999999998"/>
    <n v="1830"/>
    <x v="1"/>
    <n v="11357.16"/>
    <x v="4"/>
    <n v="2024"/>
    <s v="Q2"/>
    <n v="0.16113183225383812"/>
    <n v="4638.8399999999992"/>
    <s v="High"/>
    <s v="Repeat"/>
    <s v="Above Avg"/>
    <s v="Profit"/>
    <n v="184"/>
  </r>
  <r>
    <n v="126"/>
    <d v="2024-05-05T00:00:00"/>
    <n v="1029"/>
    <s v="Customer_46"/>
    <s v="Consumer"/>
    <x v="3"/>
    <x v="0"/>
    <x v="3"/>
    <n v="3817"/>
    <n v="5"/>
    <n v="0.14000000000000001"/>
    <n v="381"/>
    <x v="2"/>
    <n v="16413.099999999999"/>
    <x v="4"/>
    <n v="2024"/>
    <s v="Q2"/>
    <n v="2.3213165093736103E-2"/>
    <n v="2671.9"/>
    <s v="High"/>
    <s v="Repeat"/>
    <s v="Above Avg"/>
    <s v="Profit"/>
    <n v="117"/>
  </r>
  <r>
    <n v="127"/>
    <d v="2024-05-06T00:00:00"/>
    <n v="1001"/>
    <s v="Customer_22"/>
    <s v="Consumer"/>
    <x v="2"/>
    <x v="2"/>
    <x v="2"/>
    <n v="3162"/>
    <n v="2"/>
    <n v="0.12"/>
    <n v="1730"/>
    <x v="0"/>
    <n v="5565.12"/>
    <x v="4"/>
    <n v="2024"/>
    <s v="Q2"/>
    <n v="0.31086481513426484"/>
    <n v="758.88"/>
    <s v="High"/>
    <s v="Repeat"/>
    <s v="Below Avg"/>
    <s v="Profit"/>
    <n v="306"/>
  </r>
  <r>
    <n v="128"/>
    <d v="2024-05-07T00:00:00"/>
    <n v="1083"/>
    <s v="Customer_21"/>
    <s v="Corporate"/>
    <x v="2"/>
    <x v="2"/>
    <x v="0"/>
    <n v="1353"/>
    <n v="4"/>
    <n v="0.09"/>
    <n v="558"/>
    <x v="1"/>
    <n v="4924.92"/>
    <x v="4"/>
    <n v="2024"/>
    <s v="Q2"/>
    <n v="0.11330133281352793"/>
    <n v="487.08"/>
    <s v="Medium"/>
    <s v="Repeat"/>
    <s v="Below Avg"/>
    <s v="Profit"/>
    <n v="325"/>
  </r>
  <r>
    <n v="129"/>
    <d v="2024-05-08T00:00:00"/>
    <n v="1068"/>
    <s v="Customer_111"/>
    <s v="Consumer"/>
    <x v="0"/>
    <x v="0"/>
    <x v="0"/>
    <n v="3250"/>
    <n v="7"/>
    <n v="0.24"/>
    <n v="170"/>
    <x v="2"/>
    <n v="17290"/>
    <x v="4"/>
    <n v="2024"/>
    <s v="Q2"/>
    <n v="9.8322729901677269E-3"/>
    <n v="5460"/>
    <s v="High"/>
    <s v="Repeat"/>
    <s v="Above Avg"/>
    <s v="Profit"/>
    <n v="103"/>
  </r>
  <r>
    <n v="130"/>
    <d v="2024-05-09T00:00:00"/>
    <n v="1030"/>
    <s v="Customer_184"/>
    <s v="Corporate"/>
    <x v="1"/>
    <x v="2"/>
    <x v="1"/>
    <n v="2350"/>
    <n v="8"/>
    <n v="0.28999999999999998"/>
    <n v="188"/>
    <x v="1"/>
    <n v="13348"/>
    <x v="4"/>
    <n v="2024"/>
    <s v="Q2"/>
    <n v="1.4084507042253521E-2"/>
    <n v="5452"/>
    <s v="High"/>
    <s v="Repeat"/>
    <s v="Above Avg"/>
    <s v="Profit"/>
    <n v="155"/>
  </r>
  <r>
    <n v="131"/>
    <d v="2024-05-10T00:00:00"/>
    <n v="1007"/>
    <s v="Customer_32"/>
    <s v="Consumer"/>
    <x v="0"/>
    <x v="0"/>
    <x v="3"/>
    <n v="4420"/>
    <n v="9"/>
    <n v="0.18"/>
    <n v="-333"/>
    <x v="0"/>
    <n v="32619.599999999999"/>
    <x v="4"/>
    <n v="2024"/>
    <s v="Q2"/>
    <n v="-1.0208586248758415E-2"/>
    <n v="7160.4"/>
    <s v="High"/>
    <s v="Repeat"/>
    <s v="Above Avg"/>
    <s v="Loss"/>
    <n v="18"/>
  </r>
  <r>
    <n v="132"/>
    <d v="2024-05-11T00:00:00"/>
    <n v="1093"/>
    <s v="Customer_160"/>
    <s v="Consumer"/>
    <x v="3"/>
    <x v="2"/>
    <x v="2"/>
    <n v="3715"/>
    <n v="2"/>
    <n v="0.19"/>
    <n v="931"/>
    <x v="2"/>
    <n v="6018.3"/>
    <x v="4"/>
    <n v="2024"/>
    <s v="Q2"/>
    <n v="0.15469484738215111"/>
    <n v="1411.7"/>
    <s v="High"/>
    <s v="Repeat"/>
    <s v="Below Avg"/>
    <s v="Profit"/>
    <n v="296"/>
  </r>
  <r>
    <n v="133"/>
    <d v="2024-05-12T00:00:00"/>
    <n v="1060"/>
    <s v="Customer_115"/>
    <s v="Corporate"/>
    <x v="1"/>
    <x v="1"/>
    <x v="3"/>
    <n v="1879"/>
    <n v="9"/>
    <n v="0.21"/>
    <n v="738"/>
    <x v="0"/>
    <n v="13359.69"/>
    <x v="4"/>
    <n v="2024"/>
    <s v="Q2"/>
    <n v="5.5240802743177421E-2"/>
    <n v="3551.31"/>
    <s v="High"/>
    <s v="Repeat"/>
    <s v="Above Avg"/>
    <s v="Profit"/>
    <n v="154"/>
  </r>
  <r>
    <n v="134"/>
    <d v="2024-05-13T00:00:00"/>
    <n v="1065"/>
    <s v="Customer_164"/>
    <s v="Consumer"/>
    <x v="0"/>
    <x v="0"/>
    <x v="1"/>
    <n v="1391"/>
    <n v="7"/>
    <n v="0.13"/>
    <n v="1496"/>
    <x v="2"/>
    <n v="8471.19"/>
    <x v="4"/>
    <n v="2024"/>
    <s v="Q2"/>
    <n v="0.17659856525470446"/>
    <n v="1265.81"/>
    <s v="High"/>
    <s v="Repeat"/>
    <s v="Below Avg"/>
    <s v="Profit"/>
    <n v="239"/>
  </r>
  <r>
    <n v="135"/>
    <d v="2024-05-14T00:00:00"/>
    <n v="1076"/>
    <s v="Customer_159"/>
    <s v="Consumer"/>
    <x v="1"/>
    <x v="2"/>
    <x v="1"/>
    <n v="778"/>
    <n v="7"/>
    <n v="7.0000000000000007E-2"/>
    <n v="1345"/>
    <x v="0"/>
    <n v="5064.78"/>
    <x v="4"/>
    <n v="2024"/>
    <s v="Q2"/>
    <n v="0.26555941225482649"/>
    <n v="381.22"/>
    <s v="High"/>
    <s v="Repeat"/>
    <s v="Below Avg"/>
    <s v="Profit"/>
    <n v="321"/>
  </r>
  <r>
    <n v="136"/>
    <d v="2024-05-15T00:00:00"/>
    <n v="1067"/>
    <s v="Customer_70"/>
    <s v="Consumer"/>
    <x v="1"/>
    <x v="0"/>
    <x v="1"/>
    <n v="2652"/>
    <n v="1"/>
    <n v="0.08"/>
    <n v="-241"/>
    <x v="1"/>
    <n v="2439.84"/>
    <x v="4"/>
    <n v="2024"/>
    <s v="Q2"/>
    <n v="-9.8776968981572552E-2"/>
    <n v="212.16"/>
    <s v="Medium"/>
    <s v="Repeat"/>
    <s v="Below Avg"/>
    <s v="Loss"/>
    <n v="412"/>
  </r>
  <r>
    <n v="137"/>
    <d v="2024-05-16T00:00:00"/>
    <n v="1044"/>
    <s v="Customer_54"/>
    <s v="Corporate"/>
    <x v="1"/>
    <x v="1"/>
    <x v="3"/>
    <n v="3324"/>
    <n v="8"/>
    <n v="0.19"/>
    <n v="1450"/>
    <x v="0"/>
    <n v="21539.52"/>
    <x v="4"/>
    <n v="2024"/>
    <s v="Q2"/>
    <n v="6.731812036665627E-2"/>
    <n v="5052.4800000000005"/>
    <s v="High"/>
    <s v="Repeat"/>
    <s v="Above Avg"/>
    <s v="Profit"/>
    <n v="71"/>
  </r>
  <r>
    <n v="138"/>
    <d v="2024-05-17T00:00:00"/>
    <n v="1051"/>
    <s v="Customer_21"/>
    <s v="Corporate"/>
    <x v="0"/>
    <x v="0"/>
    <x v="0"/>
    <n v="314"/>
    <n v="3"/>
    <n v="0.19"/>
    <n v="1084"/>
    <x v="2"/>
    <n v="763.02"/>
    <x v="4"/>
    <n v="2024"/>
    <s v="Q2"/>
    <n v="1.4206704935650443"/>
    <n v="178.98"/>
    <s v="Low"/>
    <s v="Repeat"/>
    <s v="Below Avg"/>
    <s v="Profit"/>
    <n v="482"/>
  </r>
  <r>
    <n v="139"/>
    <d v="2024-05-18T00:00:00"/>
    <n v="1007"/>
    <s v="Customer_35"/>
    <s v="Consumer"/>
    <x v="1"/>
    <x v="1"/>
    <x v="0"/>
    <n v="1085"/>
    <n v="4"/>
    <n v="0.14000000000000001"/>
    <n v="1745"/>
    <x v="1"/>
    <n v="3732.4"/>
    <x v="4"/>
    <n v="2024"/>
    <s v="Q2"/>
    <n v="0.46752759618476047"/>
    <n v="607.6"/>
    <s v="Medium"/>
    <s v="Repeat"/>
    <s v="Below Avg"/>
    <s v="Profit"/>
    <n v="366"/>
  </r>
  <r>
    <n v="140"/>
    <d v="2024-05-19T00:00:00"/>
    <n v="1088"/>
    <s v="Customer_23"/>
    <s v="Corporate"/>
    <x v="3"/>
    <x v="2"/>
    <x v="0"/>
    <n v="3383"/>
    <n v="4"/>
    <n v="0.01"/>
    <n v="1826"/>
    <x v="2"/>
    <n v="13396.68"/>
    <x v="4"/>
    <n v="2024"/>
    <s v="Q2"/>
    <n v="0.13630242716852234"/>
    <n v="135.32"/>
    <s v="High"/>
    <s v="Repeat"/>
    <s v="Above Avg"/>
    <s v="Profit"/>
    <n v="153"/>
  </r>
  <r>
    <n v="141"/>
    <d v="2024-05-20T00:00:00"/>
    <n v="1070"/>
    <s v="Customer_170"/>
    <s v="Consumer"/>
    <x v="0"/>
    <x v="1"/>
    <x v="3"/>
    <n v="4806"/>
    <n v="2"/>
    <n v="0.26"/>
    <n v="126"/>
    <x v="0"/>
    <n v="7112.88"/>
    <x v="4"/>
    <n v="2024"/>
    <s v="Q2"/>
    <n v="1.7714343557040185E-2"/>
    <n v="2499.12"/>
    <s v="High"/>
    <s v="Repeat"/>
    <s v="Below Avg"/>
    <s v="Profit"/>
    <n v="273"/>
  </r>
  <r>
    <n v="142"/>
    <d v="2024-05-21T00:00:00"/>
    <n v="1013"/>
    <s v="Customer_24"/>
    <s v="Corporate"/>
    <x v="2"/>
    <x v="0"/>
    <x v="2"/>
    <n v="2445"/>
    <n v="3"/>
    <n v="7.0000000000000007E-2"/>
    <n v="834"/>
    <x v="2"/>
    <n v="6821.5499999999902"/>
    <x v="4"/>
    <n v="2024"/>
    <s v="Q2"/>
    <n v="0.12225960375574484"/>
    <n v="513.45000000000005"/>
    <s v="High"/>
    <s v="Repeat"/>
    <s v="Below Avg"/>
    <s v="Profit"/>
    <n v="277"/>
  </r>
  <r>
    <n v="143"/>
    <d v="2024-05-22T00:00:00"/>
    <n v="1028"/>
    <s v="Customer_94"/>
    <s v="Consumer"/>
    <x v="3"/>
    <x v="2"/>
    <x v="3"/>
    <n v="4838"/>
    <n v="5"/>
    <n v="0.17"/>
    <n v="-431"/>
    <x v="0"/>
    <n v="20077.7"/>
    <x v="4"/>
    <n v="2024"/>
    <s v="Q2"/>
    <n v="-2.1466602250257746E-2"/>
    <n v="4112.3"/>
    <s v="High"/>
    <s v="Repeat"/>
    <s v="Above Avg"/>
    <s v="Loss"/>
    <n v="79"/>
  </r>
  <r>
    <n v="144"/>
    <d v="2024-05-23T00:00:00"/>
    <n v="1063"/>
    <s v="Customer_74"/>
    <s v="Consumer"/>
    <x v="2"/>
    <x v="2"/>
    <x v="0"/>
    <n v="3533"/>
    <n v="3"/>
    <n v="0.22"/>
    <n v="1071"/>
    <x v="0"/>
    <n v="8267.2199999999993"/>
    <x v="4"/>
    <n v="2024"/>
    <s v="Q2"/>
    <n v="0.1295477802695465"/>
    <n v="2331.7800000000002"/>
    <s v="High"/>
    <s v="Repeat"/>
    <s v="Below Avg"/>
    <s v="Profit"/>
    <n v="242"/>
  </r>
  <r>
    <n v="145"/>
    <d v="2024-05-24T00:00:00"/>
    <n v="1084"/>
    <s v="Customer_69"/>
    <s v="Corporate"/>
    <x v="2"/>
    <x v="2"/>
    <x v="1"/>
    <n v="3727"/>
    <n v="5"/>
    <n v="0.06"/>
    <n v="1304"/>
    <x v="2"/>
    <n v="17516.8999999999"/>
    <x v="4"/>
    <n v="2024"/>
    <s v="Q2"/>
    <n v="7.4442395629364069E-2"/>
    <n v="1118.0999999999999"/>
    <s v="High"/>
    <s v="Repeat"/>
    <s v="Above Avg"/>
    <s v="Profit"/>
    <n v="97"/>
  </r>
  <r>
    <n v="146"/>
    <d v="2024-05-25T00:00:00"/>
    <n v="1036"/>
    <s v="Customer_127"/>
    <s v="Consumer"/>
    <x v="3"/>
    <x v="1"/>
    <x v="1"/>
    <n v="3173"/>
    <n v="8"/>
    <n v="0.14000000000000001"/>
    <n v="1176"/>
    <x v="1"/>
    <n v="21830.2399999999"/>
    <x v="4"/>
    <n v="2024"/>
    <s v="Q2"/>
    <n v="5.3870227720813214E-2"/>
    <n v="3553.76"/>
    <s v="High"/>
    <s v="Repeat"/>
    <s v="Above Avg"/>
    <s v="Profit"/>
    <n v="69"/>
  </r>
  <r>
    <n v="147"/>
    <d v="2024-05-26T00:00:00"/>
    <n v="1096"/>
    <s v="Customer_125"/>
    <s v="Consumer"/>
    <x v="1"/>
    <x v="2"/>
    <x v="0"/>
    <n v="4473"/>
    <n v="8"/>
    <n v="0"/>
    <n v="126"/>
    <x v="1"/>
    <n v="35784"/>
    <x v="4"/>
    <n v="2024"/>
    <s v="Q2"/>
    <n v="3.5211267605633804E-3"/>
    <n v="0"/>
    <s v="High"/>
    <s v="Repeat"/>
    <s v="Above Avg"/>
    <s v="Profit"/>
    <n v="8"/>
  </r>
  <r>
    <n v="148"/>
    <d v="2024-05-27T00:00:00"/>
    <n v="1040"/>
    <s v="Customer_170"/>
    <s v="Consumer"/>
    <x v="3"/>
    <x v="1"/>
    <x v="2"/>
    <n v="3339"/>
    <n v="3"/>
    <n v="0.01"/>
    <n v="-386"/>
    <x v="1"/>
    <n v="9916.83"/>
    <x v="4"/>
    <n v="2024"/>
    <s v="Q2"/>
    <n v="-3.8923728651191966E-2"/>
    <n v="100.17"/>
    <s v="High"/>
    <s v="Repeat"/>
    <s v="Below Avg"/>
    <s v="Loss"/>
    <n v="202"/>
  </r>
  <r>
    <n v="149"/>
    <d v="2024-05-28T00:00:00"/>
    <n v="1088"/>
    <s v="Customer_158"/>
    <s v="Corporate"/>
    <x v="0"/>
    <x v="1"/>
    <x v="1"/>
    <n v="1472"/>
    <n v="5"/>
    <n v="0.08"/>
    <n v="788"/>
    <x v="0"/>
    <n v="6771.2"/>
    <x v="4"/>
    <n v="2024"/>
    <s v="Q2"/>
    <n v="0.11637523629489603"/>
    <n v="588.80000000000007"/>
    <s v="High"/>
    <s v="Repeat"/>
    <s v="Below Avg"/>
    <s v="Profit"/>
    <n v="279"/>
  </r>
  <r>
    <n v="150"/>
    <d v="2024-05-29T00:00:00"/>
    <n v="1063"/>
    <s v="Customer_199"/>
    <s v="Corporate"/>
    <x v="1"/>
    <x v="1"/>
    <x v="2"/>
    <n v="2138"/>
    <n v="1"/>
    <n v="0.2"/>
    <n v="725"/>
    <x v="1"/>
    <n v="1710.4"/>
    <x v="4"/>
    <n v="2024"/>
    <s v="Q2"/>
    <n v="0.42387745556594947"/>
    <n v="427.6"/>
    <s v="Low"/>
    <s v="Repeat"/>
    <s v="Below Avg"/>
    <s v="Profit"/>
    <n v="446"/>
  </r>
  <r>
    <n v="151"/>
    <d v="2024-05-30T00:00:00"/>
    <n v="1058"/>
    <s v="Customer_134"/>
    <s v="Consumer"/>
    <x v="1"/>
    <x v="2"/>
    <x v="1"/>
    <n v="4818"/>
    <n v="7"/>
    <n v="0.27"/>
    <n v="841"/>
    <x v="1"/>
    <n v="24619.98"/>
    <x v="4"/>
    <n v="2024"/>
    <s v="Q2"/>
    <n v="3.4159247895408529E-2"/>
    <n v="9106.02"/>
    <s v="High"/>
    <s v="Repeat"/>
    <s v="Above Avg"/>
    <s v="Profit"/>
    <n v="44"/>
  </r>
  <r>
    <n v="152"/>
    <d v="2024-05-31T00:00:00"/>
    <n v="1077"/>
    <s v="Customer_52"/>
    <s v="Consumer"/>
    <x v="2"/>
    <x v="0"/>
    <x v="0"/>
    <n v="3953"/>
    <n v="3"/>
    <n v="0.13"/>
    <n v="1405"/>
    <x v="2"/>
    <n v="10317.33"/>
    <x v="4"/>
    <n v="2024"/>
    <s v="Q2"/>
    <n v="0.13617864311793845"/>
    <n v="1541.67"/>
    <s v="High"/>
    <s v="Repeat"/>
    <s v="Below Avg"/>
    <s v="Profit"/>
    <n v="197"/>
  </r>
  <r>
    <n v="153"/>
    <d v="2024-06-01T00:00:00"/>
    <n v="1008"/>
    <s v="Customer_82"/>
    <s v="Corporate"/>
    <x v="3"/>
    <x v="2"/>
    <x v="3"/>
    <n v="3443"/>
    <n v="7"/>
    <n v="0.01"/>
    <n v="1505"/>
    <x v="1"/>
    <n v="23859.99"/>
    <x v="5"/>
    <n v="2024"/>
    <s v="Q2"/>
    <n v="6.3076304726028806E-2"/>
    <n v="241.01"/>
    <s v="High"/>
    <s v="Repeat"/>
    <s v="Above Avg"/>
    <s v="Profit"/>
    <n v="52"/>
  </r>
  <r>
    <n v="154"/>
    <d v="2024-06-02T00:00:00"/>
    <n v="1078"/>
    <s v="Customer_154"/>
    <s v="Consumer"/>
    <x v="1"/>
    <x v="2"/>
    <x v="3"/>
    <n v="4783"/>
    <n v="8"/>
    <n v="0.09"/>
    <n v="605"/>
    <x v="2"/>
    <n v="34820.239999999998"/>
    <x v="5"/>
    <n v="2024"/>
    <s v="Q2"/>
    <n v="1.7374952039388585E-2"/>
    <n v="3443.7599999999998"/>
    <s v="High"/>
    <s v="Repeat"/>
    <s v="Above Avg"/>
    <s v="Profit"/>
    <n v="12"/>
  </r>
  <r>
    <n v="155"/>
    <d v="2024-06-03T00:00:00"/>
    <n v="1006"/>
    <s v="Customer_100"/>
    <s v="Consumer"/>
    <x v="0"/>
    <x v="2"/>
    <x v="2"/>
    <n v="4252"/>
    <n v="7"/>
    <n v="0.28999999999999998"/>
    <n v="-483"/>
    <x v="1"/>
    <n v="21132.44"/>
    <x v="5"/>
    <n v="2024"/>
    <s v="Q2"/>
    <n v="-2.2855855736488549E-2"/>
    <n v="8631.56"/>
    <s v="High"/>
    <s v="Repeat"/>
    <s v="Above Avg"/>
    <s v="Loss"/>
    <n v="74"/>
  </r>
  <r>
    <n v="156"/>
    <d v="2024-06-04T00:00:00"/>
    <n v="1065"/>
    <s v="Customer_41"/>
    <s v="Corporate"/>
    <x v="0"/>
    <x v="2"/>
    <x v="0"/>
    <n v="1868"/>
    <n v="5"/>
    <n v="0.03"/>
    <n v="200"/>
    <x v="1"/>
    <n v="9059.7999999999993"/>
    <x v="5"/>
    <n v="2024"/>
    <s v="Q2"/>
    <n v="2.2075542506457099E-2"/>
    <n v="280.2"/>
    <s v="High"/>
    <s v="Repeat"/>
    <s v="Below Avg"/>
    <s v="Profit"/>
    <n v="230"/>
  </r>
  <r>
    <n v="157"/>
    <d v="2024-06-05T00:00:00"/>
    <n v="1094"/>
    <s v="Customer_196"/>
    <s v="Consumer"/>
    <x v="1"/>
    <x v="1"/>
    <x v="1"/>
    <n v="138"/>
    <n v="9"/>
    <n v="0.23"/>
    <n v="486"/>
    <x v="2"/>
    <n v="956.34"/>
    <x v="5"/>
    <n v="2024"/>
    <s v="Q2"/>
    <n v="0.50818746470920384"/>
    <n v="285.66000000000003"/>
    <s v="Low"/>
    <s v="Repeat"/>
    <s v="Below Avg"/>
    <s v="Profit"/>
    <n v="481"/>
  </r>
  <r>
    <n v="158"/>
    <d v="2024-06-06T00:00:00"/>
    <n v="1070"/>
    <s v="Customer_182"/>
    <s v="Consumer"/>
    <x v="0"/>
    <x v="0"/>
    <x v="2"/>
    <n v="3662"/>
    <n v="1"/>
    <n v="0.22"/>
    <n v="-184"/>
    <x v="1"/>
    <n v="2856.36"/>
    <x v="5"/>
    <n v="2024"/>
    <s v="Q2"/>
    <n v="-6.4417650436219526E-2"/>
    <n v="805.64"/>
    <s v="Medium"/>
    <s v="Repeat"/>
    <s v="Below Avg"/>
    <s v="Loss"/>
    <n v="397"/>
  </r>
  <r>
    <n v="159"/>
    <d v="2024-06-07T00:00:00"/>
    <n v="1040"/>
    <s v="Customer_60"/>
    <s v="Corporate"/>
    <x v="3"/>
    <x v="2"/>
    <x v="0"/>
    <n v="1929"/>
    <n v="6"/>
    <n v="0.18"/>
    <n v="1743"/>
    <x v="2"/>
    <n v="9490.68"/>
    <x v="5"/>
    <n v="2024"/>
    <s v="Q2"/>
    <n v="0.18365385831152245"/>
    <n v="2083.3199999999997"/>
    <s v="High"/>
    <s v="Repeat"/>
    <s v="Below Avg"/>
    <s v="Profit"/>
    <n v="217"/>
  </r>
  <r>
    <n v="160"/>
    <d v="2024-06-08T00:00:00"/>
    <n v="1074"/>
    <s v="Customer_77"/>
    <s v="Consumer"/>
    <x v="0"/>
    <x v="2"/>
    <x v="3"/>
    <n v="2271"/>
    <n v="6"/>
    <n v="0.28000000000000003"/>
    <n v="1840"/>
    <x v="2"/>
    <n v="9810.7199999999993"/>
    <x v="5"/>
    <n v="2024"/>
    <s v="Q2"/>
    <n v="0.18754994536588548"/>
    <n v="3815.28"/>
    <s v="High"/>
    <s v="Repeat"/>
    <s v="Below Avg"/>
    <s v="Profit"/>
    <n v="207"/>
  </r>
  <r>
    <n v="161"/>
    <d v="2024-06-09T00:00:00"/>
    <n v="1076"/>
    <s v="Customer_183"/>
    <s v="Consumer"/>
    <x v="1"/>
    <x v="1"/>
    <x v="3"/>
    <n v="208"/>
    <n v="7"/>
    <n v="0.19"/>
    <n v="1079"/>
    <x v="1"/>
    <n v="1179.3599999999999"/>
    <x v="5"/>
    <n v="2024"/>
    <s v="Q2"/>
    <n v="0.9149029982363317"/>
    <n v="276.64"/>
    <s v="Low"/>
    <s v="Repeat"/>
    <s v="Below Avg"/>
    <s v="Profit"/>
    <n v="469"/>
  </r>
  <r>
    <n v="162"/>
    <d v="2024-06-10T00:00:00"/>
    <n v="1076"/>
    <s v="Customer_152"/>
    <s v="Consumer"/>
    <x v="0"/>
    <x v="1"/>
    <x v="3"/>
    <n v="4940"/>
    <n v="7"/>
    <n v="0.28999999999999998"/>
    <n v="-154"/>
    <x v="1"/>
    <n v="24551.8"/>
    <x v="5"/>
    <n v="2024"/>
    <s v="Q2"/>
    <n v="-6.272452528938815E-3"/>
    <n v="10028.199999999999"/>
    <s v="High"/>
    <s v="Repeat"/>
    <s v="Above Avg"/>
    <s v="Loss"/>
    <n v="45"/>
  </r>
  <r>
    <n v="163"/>
    <d v="2024-06-11T00:00:00"/>
    <n v="1025"/>
    <s v="Customer_119"/>
    <s v="Consumer"/>
    <x v="2"/>
    <x v="1"/>
    <x v="2"/>
    <n v="4228"/>
    <n v="2"/>
    <n v="0.25"/>
    <n v="115"/>
    <x v="1"/>
    <n v="6342"/>
    <x v="5"/>
    <n v="2024"/>
    <s v="Q2"/>
    <n v="1.8133081046988332E-2"/>
    <n v="2114"/>
    <s v="High"/>
    <s v="Repeat"/>
    <s v="Below Avg"/>
    <s v="Profit"/>
    <n v="287"/>
  </r>
  <r>
    <n v="164"/>
    <d v="2024-06-12T00:00:00"/>
    <n v="1007"/>
    <s v="Customer_95"/>
    <s v="Consumer"/>
    <x v="0"/>
    <x v="0"/>
    <x v="3"/>
    <n v="4335"/>
    <n v="5"/>
    <n v="0.24"/>
    <n v="1958"/>
    <x v="0"/>
    <n v="16473"/>
    <x v="5"/>
    <n v="2024"/>
    <s v="Q2"/>
    <n v="0.11886116675772476"/>
    <n v="5202"/>
    <s v="High"/>
    <s v="Repeat"/>
    <s v="Above Avg"/>
    <s v="Profit"/>
    <n v="116"/>
  </r>
  <r>
    <n v="165"/>
    <d v="2024-06-13T00:00:00"/>
    <n v="1013"/>
    <s v="Customer_127"/>
    <s v="Consumer"/>
    <x v="2"/>
    <x v="1"/>
    <x v="2"/>
    <n v="4277"/>
    <n v="6"/>
    <n v="0.28999999999999998"/>
    <n v="-94"/>
    <x v="2"/>
    <n v="18220.02"/>
    <x v="5"/>
    <n v="2024"/>
    <s v="Q2"/>
    <n v="-5.1591600887375532E-3"/>
    <n v="7441.98"/>
    <s v="High"/>
    <s v="Repeat"/>
    <s v="Above Avg"/>
    <s v="Loss"/>
    <n v="89"/>
  </r>
  <r>
    <n v="166"/>
    <d v="2024-06-14T00:00:00"/>
    <n v="1044"/>
    <s v="Customer_168"/>
    <s v="Corporate"/>
    <x v="3"/>
    <x v="0"/>
    <x v="1"/>
    <n v="3206"/>
    <n v="2"/>
    <n v="0.19"/>
    <n v="1742"/>
    <x v="2"/>
    <n v="5193.72"/>
    <x v="5"/>
    <n v="2024"/>
    <s v="Q2"/>
    <n v="0.33540506611831211"/>
    <n v="1218.28"/>
    <s v="High"/>
    <s v="Repeat"/>
    <s v="Below Avg"/>
    <s v="Profit"/>
    <n v="319"/>
  </r>
  <r>
    <n v="167"/>
    <d v="2024-06-15T00:00:00"/>
    <n v="1001"/>
    <s v="Customer_192"/>
    <s v="Consumer"/>
    <x v="3"/>
    <x v="2"/>
    <x v="3"/>
    <n v="236"/>
    <n v="9"/>
    <n v="0.1"/>
    <n v="-188"/>
    <x v="2"/>
    <n v="1911.6"/>
    <x v="5"/>
    <n v="2024"/>
    <s v="Q2"/>
    <n v="-9.8346934505126604E-2"/>
    <n v="212.4"/>
    <s v="Low"/>
    <s v="Repeat"/>
    <s v="Below Avg"/>
    <s v="Loss"/>
    <n v="436"/>
  </r>
  <r>
    <n v="168"/>
    <d v="2024-06-16T00:00:00"/>
    <n v="1041"/>
    <s v="Customer_162"/>
    <s v="Corporate"/>
    <x v="3"/>
    <x v="1"/>
    <x v="3"/>
    <n v="3837"/>
    <n v="6"/>
    <n v="0.03"/>
    <n v="-151"/>
    <x v="2"/>
    <n v="22331.34"/>
    <x v="5"/>
    <n v="2024"/>
    <s v="Q2"/>
    <n v="-6.7617975455122707E-3"/>
    <n v="690.66"/>
    <s v="High"/>
    <s v="Repeat"/>
    <s v="Above Avg"/>
    <s v="Loss"/>
    <n v="64"/>
  </r>
  <r>
    <n v="169"/>
    <d v="2024-06-17T00:00:00"/>
    <n v="1078"/>
    <s v="Customer_39"/>
    <s v="Consumer"/>
    <x v="3"/>
    <x v="2"/>
    <x v="3"/>
    <n v="3951"/>
    <n v="5"/>
    <n v="0.21"/>
    <n v="1112"/>
    <x v="2"/>
    <n v="15606.45"/>
    <x v="5"/>
    <n v="2024"/>
    <s v="Q2"/>
    <n v="7.1252591076125568E-2"/>
    <n v="4148.55"/>
    <s v="High"/>
    <s v="Repeat"/>
    <s v="Above Avg"/>
    <s v="Profit"/>
    <n v="134"/>
  </r>
  <r>
    <n v="170"/>
    <d v="2024-06-18T00:00:00"/>
    <n v="1056"/>
    <s v="Customer_122"/>
    <s v="Corporate"/>
    <x v="2"/>
    <x v="2"/>
    <x v="3"/>
    <n v="430"/>
    <n v="8"/>
    <n v="0.16"/>
    <n v="403"/>
    <x v="1"/>
    <n v="2889.6"/>
    <x v="5"/>
    <n v="2024"/>
    <s v="Q2"/>
    <n v="0.13946566998892582"/>
    <n v="550.4"/>
    <s v="Medium"/>
    <s v="Repeat"/>
    <s v="Below Avg"/>
    <s v="Profit"/>
    <n v="396"/>
  </r>
  <r>
    <n v="171"/>
    <d v="2024-06-19T00:00:00"/>
    <n v="1087"/>
    <s v="Customer_1"/>
    <s v="Consumer"/>
    <x v="2"/>
    <x v="2"/>
    <x v="1"/>
    <n v="296"/>
    <n v="8"/>
    <n v="0.12"/>
    <n v="-8"/>
    <x v="1"/>
    <n v="2083.84"/>
    <x v="5"/>
    <n v="2024"/>
    <s v="Q2"/>
    <n v="-3.8390663390663387E-3"/>
    <n v="284.15999999999997"/>
    <s v="Medium"/>
    <s v="Repeat"/>
    <s v="Below Avg"/>
    <s v="Loss"/>
    <n v="424"/>
  </r>
  <r>
    <n v="172"/>
    <d v="2024-06-20T00:00:00"/>
    <n v="1063"/>
    <s v="Customer_123"/>
    <s v="Corporate"/>
    <x v="2"/>
    <x v="2"/>
    <x v="2"/>
    <n v="1515"/>
    <n v="1"/>
    <n v="0.28000000000000003"/>
    <n v="1470"/>
    <x v="0"/>
    <n v="1090.8"/>
    <x v="5"/>
    <n v="2024"/>
    <s v="Q2"/>
    <n v="1.3476347634763477"/>
    <n v="424.20000000000005"/>
    <s v="Low"/>
    <s v="Repeat"/>
    <s v="Below Avg"/>
    <s v="Profit"/>
    <n v="477"/>
  </r>
  <r>
    <n v="173"/>
    <d v="2024-06-21T00:00:00"/>
    <n v="1097"/>
    <s v="Customer_20"/>
    <s v="Consumer"/>
    <x v="0"/>
    <x v="1"/>
    <x v="1"/>
    <n v="3396"/>
    <n v="7"/>
    <n v="0.27"/>
    <n v="1252"/>
    <x v="2"/>
    <n v="17353.560000000001"/>
    <x v="5"/>
    <n v="2024"/>
    <s v="Q2"/>
    <n v="7.2146579721970583E-2"/>
    <n v="6418.4400000000005"/>
    <s v="High"/>
    <s v="Repeat"/>
    <s v="Above Avg"/>
    <s v="Profit"/>
    <n v="99"/>
  </r>
  <r>
    <n v="174"/>
    <d v="2024-06-22T00:00:00"/>
    <n v="1003"/>
    <s v="Customer_111"/>
    <s v="Consumer"/>
    <x v="1"/>
    <x v="0"/>
    <x v="0"/>
    <n v="3120"/>
    <n v="6"/>
    <n v="0.11"/>
    <n v="-429"/>
    <x v="0"/>
    <n v="16660.8"/>
    <x v="5"/>
    <n v="2024"/>
    <s v="Q2"/>
    <n v="-2.5749063670411985E-2"/>
    <n v="2059.1999999999998"/>
    <s v="High"/>
    <s v="Repeat"/>
    <s v="Above Avg"/>
    <s v="Loss"/>
    <n v="110"/>
  </r>
  <r>
    <n v="175"/>
    <d v="2024-06-23T00:00:00"/>
    <n v="1017"/>
    <s v="Customer_153"/>
    <s v="Corporate"/>
    <x v="1"/>
    <x v="1"/>
    <x v="1"/>
    <n v="3469"/>
    <n v="3"/>
    <n v="0.28000000000000003"/>
    <n v="431"/>
    <x v="0"/>
    <n v="7493.04"/>
    <x v="5"/>
    <n v="2024"/>
    <s v="Q2"/>
    <n v="5.7520045268675997E-2"/>
    <n v="2913.9600000000005"/>
    <s v="High"/>
    <s v="Repeat"/>
    <s v="Below Avg"/>
    <s v="Profit"/>
    <n v="264"/>
  </r>
  <r>
    <n v="176"/>
    <d v="2024-06-24T00:00:00"/>
    <n v="1088"/>
    <s v="Customer_134"/>
    <s v="Corporate"/>
    <x v="1"/>
    <x v="1"/>
    <x v="2"/>
    <n v="4955"/>
    <n v="1"/>
    <n v="0.13"/>
    <n v="-182"/>
    <x v="1"/>
    <n v="4310.8500000000004"/>
    <x v="5"/>
    <n v="2024"/>
    <s v="Q2"/>
    <n v="-4.2219051927114136E-2"/>
    <n v="644.15"/>
    <s v="Medium"/>
    <s v="Repeat"/>
    <s v="Below Avg"/>
    <s v="Loss"/>
    <n v="341"/>
  </r>
  <r>
    <n v="177"/>
    <d v="2024-06-25T00:00:00"/>
    <n v="1087"/>
    <s v="Customer_116"/>
    <s v="Corporate"/>
    <x v="0"/>
    <x v="1"/>
    <x v="0"/>
    <n v="940"/>
    <n v="2"/>
    <n v="0.06"/>
    <n v="1960"/>
    <x v="1"/>
    <n v="1767.19999999999"/>
    <x v="5"/>
    <n v="2024"/>
    <s v="Q2"/>
    <n v="1.109099139882306"/>
    <n v="112.8"/>
    <s v="Low"/>
    <s v="Repeat"/>
    <s v="Below Avg"/>
    <s v="Profit"/>
    <n v="442"/>
  </r>
  <r>
    <n v="178"/>
    <d v="2024-06-26T00:00:00"/>
    <n v="1069"/>
    <s v="Customer_94"/>
    <s v="Consumer"/>
    <x v="2"/>
    <x v="2"/>
    <x v="3"/>
    <n v="3742"/>
    <n v="1"/>
    <n v="0.19"/>
    <n v="1388"/>
    <x v="1"/>
    <n v="3031.02"/>
    <x v="5"/>
    <n v="2024"/>
    <s v="Q2"/>
    <n v="0.45793165337081249"/>
    <n v="710.98"/>
    <s v="Medium"/>
    <s v="Repeat"/>
    <s v="Below Avg"/>
    <s v="Profit"/>
    <n v="390"/>
  </r>
  <r>
    <n v="179"/>
    <d v="2024-06-27T00:00:00"/>
    <n v="1097"/>
    <s v="Customer_120"/>
    <s v="Corporate"/>
    <x v="0"/>
    <x v="1"/>
    <x v="3"/>
    <n v="2769"/>
    <n v="3"/>
    <n v="0.03"/>
    <n v="-283"/>
    <x v="1"/>
    <n v="8057.79"/>
    <x v="5"/>
    <n v="2024"/>
    <s v="Q2"/>
    <n v="-3.512129256284912E-2"/>
    <n v="249.20999999999998"/>
    <s v="High"/>
    <s v="Repeat"/>
    <s v="Below Avg"/>
    <s v="Loss"/>
    <n v="251"/>
  </r>
  <r>
    <n v="180"/>
    <d v="2024-06-28T00:00:00"/>
    <n v="1050"/>
    <s v="Customer_113"/>
    <s v="Consumer"/>
    <x v="3"/>
    <x v="2"/>
    <x v="3"/>
    <n v="1277"/>
    <n v="6"/>
    <n v="0.05"/>
    <n v="-393"/>
    <x v="1"/>
    <n v="7278.9"/>
    <x v="5"/>
    <n v="2024"/>
    <s v="Q2"/>
    <n v="-5.3991674566211928E-2"/>
    <n v="383.1"/>
    <s v="High"/>
    <s v="Repeat"/>
    <s v="Below Avg"/>
    <s v="Loss"/>
    <n v="269"/>
  </r>
  <r>
    <n v="181"/>
    <d v="2024-06-29T00:00:00"/>
    <n v="1002"/>
    <s v="Customer_3"/>
    <s v="Consumer"/>
    <x v="0"/>
    <x v="2"/>
    <x v="0"/>
    <n v="1043"/>
    <n v="2"/>
    <n v="0.24"/>
    <n v="1350"/>
    <x v="1"/>
    <n v="1585.36"/>
    <x v="5"/>
    <n v="2024"/>
    <s v="Q2"/>
    <n v="0.85154160569208259"/>
    <n v="500.64"/>
    <s v="Low"/>
    <s v="Repeat"/>
    <s v="Below Avg"/>
    <s v="Profit"/>
    <n v="454"/>
  </r>
  <r>
    <n v="182"/>
    <d v="2024-06-30T00:00:00"/>
    <n v="1018"/>
    <s v="Customer_164"/>
    <s v="Consumer"/>
    <x v="0"/>
    <x v="0"/>
    <x v="2"/>
    <n v="3546"/>
    <n v="6"/>
    <n v="0.25"/>
    <n v="1825"/>
    <x v="0"/>
    <n v="15957"/>
    <x v="5"/>
    <n v="2024"/>
    <s v="Q2"/>
    <n v="0.11436986902299931"/>
    <n v="5319"/>
    <s v="High"/>
    <s v="Repeat"/>
    <s v="Above Avg"/>
    <s v="Profit"/>
    <n v="129"/>
  </r>
  <r>
    <n v="183"/>
    <d v="2024-07-01T00:00:00"/>
    <n v="1046"/>
    <s v="Customer_70"/>
    <s v="Corporate"/>
    <x v="0"/>
    <x v="2"/>
    <x v="0"/>
    <n v="951"/>
    <n v="8"/>
    <n v="7.0000000000000007E-2"/>
    <n v="1104"/>
    <x v="2"/>
    <n v="7075.44"/>
    <x v="6"/>
    <n v="2024"/>
    <s v="Q3"/>
    <n v="0.15603269902649164"/>
    <n v="532.56000000000006"/>
    <s v="High"/>
    <s v="Repeat"/>
    <s v="Below Avg"/>
    <s v="Profit"/>
    <n v="274"/>
  </r>
  <r>
    <n v="184"/>
    <d v="2024-07-02T00:00:00"/>
    <n v="1045"/>
    <s v="Customer_166"/>
    <s v="Corporate"/>
    <x v="3"/>
    <x v="2"/>
    <x v="3"/>
    <n v="4700"/>
    <n v="3"/>
    <n v="0.22"/>
    <n v="140"/>
    <x v="2"/>
    <n v="10998"/>
    <x v="6"/>
    <n v="2024"/>
    <s v="Q3"/>
    <n v="1.2729587197672304E-2"/>
    <n v="3102"/>
    <s v="High"/>
    <s v="Repeat"/>
    <s v="Above Avg"/>
    <s v="Profit"/>
    <n v="190"/>
  </r>
  <r>
    <n v="185"/>
    <d v="2024-07-03T00:00:00"/>
    <n v="1057"/>
    <s v="Customer_65"/>
    <s v="Consumer"/>
    <x v="1"/>
    <x v="0"/>
    <x v="3"/>
    <n v="1851"/>
    <n v="3"/>
    <n v="0.28999999999999998"/>
    <n v="589"/>
    <x v="1"/>
    <n v="3942.6299999999901"/>
    <x v="6"/>
    <n v="2024"/>
    <s v="Q3"/>
    <n v="0.14939266428754447"/>
    <n v="1610.37"/>
    <s v="Medium"/>
    <s v="Repeat"/>
    <s v="Below Avg"/>
    <s v="Profit"/>
    <n v="356"/>
  </r>
  <r>
    <n v="186"/>
    <d v="2024-07-04T00:00:00"/>
    <n v="1035"/>
    <s v="Customer_83"/>
    <s v="Corporate"/>
    <x v="1"/>
    <x v="2"/>
    <x v="3"/>
    <n v="1945"/>
    <n v="1"/>
    <n v="0.28999999999999998"/>
    <n v="7"/>
    <x v="1"/>
    <n v="1380.94999999999"/>
    <x v="6"/>
    <n v="2024"/>
    <s v="Q3"/>
    <n v="5.068974256852204E-3"/>
    <n v="564.04999999999995"/>
    <s v="Low"/>
    <s v="Repeat"/>
    <s v="Below Avg"/>
    <s v="Profit"/>
    <n v="462"/>
  </r>
  <r>
    <n v="187"/>
    <d v="2024-07-05T00:00:00"/>
    <n v="1018"/>
    <s v="Customer_38"/>
    <s v="Corporate"/>
    <x v="3"/>
    <x v="1"/>
    <x v="0"/>
    <n v="4924"/>
    <n v="3"/>
    <n v="0.13"/>
    <n v="1357"/>
    <x v="0"/>
    <n v="12851.64"/>
    <x v="6"/>
    <n v="2024"/>
    <s v="Q3"/>
    <n v="0.1055896368089987"/>
    <n v="1920.3600000000001"/>
    <s v="High"/>
    <s v="Repeat"/>
    <s v="Above Avg"/>
    <s v="Profit"/>
    <n v="160"/>
  </r>
  <r>
    <n v="188"/>
    <d v="2024-07-06T00:00:00"/>
    <n v="1091"/>
    <s v="Customer_28"/>
    <s v="Corporate"/>
    <x v="1"/>
    <x v="2"/>
    <x v="0"/>
    <n v="1821"/>
    <n v="7"/>
    <n v="0.26"/>
    <n v="-309"/>
    <x v="1"/>
    <n v="9432.7800000000007"/>
    <x v="6"/>
    <n v="2024"/>
    <s v="Q3"/>
    <n v="-3.2758105245749396E-2"/>
    <n v="3314.2200000000003"/>
    <s v="High"/>
    <s v="Repeat"/>
    <s v="Below Avg"/>
    <s v="Loss"/>
    <n v="220"/>
  </r>
  <r>
    <n v="189"/>
    <d v="2024-07-07T00:00:00"/>
    <n v="1046"/>
    <s v="Customer_175"/>
    <s v="Corporate"/>
    <x v="1"/>
    <x v="1"/>
    <x v="2"/>
    <n v="1873"/>
    <n v="9"/>
    <n v="0.17"/>
    <n v="-234"/>
    <x v="0"/>
    <n v="13991.31"/>
    <x v="6"/>
    <n v="2024"/>
    <s v="Q3"/>
    <n v="-1.672466695398787E-2"/>
    <n v="2865.69"/>
    <s v="High"/>
    <s v="Repeat"/>
    <s v="Above Avg"/>
    <s v="Loss"/>
    <n v="147"/>
  </r>
  <r>
    <n v="190"/>
    <d v="2024-07-08T00:00:00"/>
    <n v="1054"/>
    <s v="Customer_47"/>
    <s v="Consumer"/>
    <x v="2"/>
    <x v="2"/>
    <x v="3"/>
    <n v="750"/>
    <n v="8"/>
    <n v="0.17"/>
    <n v="-108"/>
    <x v="1"/>
    <n v="4980"/>
    <x v="6"/>
    <n v="2024"/>
    <s v="Q3"/>
    <n v="-2.1686746987951807E-2"/>
    <n v="1020.0000000000001"/>
    <s v="Medium"/>
    <s v="Repeat"/>
    <s v="Below Avg"/>
    <s v="Loss"/>
    <n v="324"/>
  </r>
  <r>
    <n v="191"/>
    <d v="2024-07-09T00:00:00"/>
    <n v="1073"/>
    <s v="Customer_10"/>
    <s v="Consumer"/>
    <x v="1"/>
    <x v="2"/>
    <x v="0"/>
    <n v="1461"/>
    <n v="3"/>
    <n v="7.0000000000000007E-2"/>
    <n v="-371"/>
    <x v="2"/>
    <n v="4076.1899999999901"/>
    <x v="6"/>
    <n v="2024"/>
    <s v="Q3"/>
    <n v="-9.1016365772940144E-2"/>
    <n v="306.81"/>
    <s v="Medium"/>
    <s v="Repeat"/>
    <s v="Below Avg"/>
    <s v="Loss"/>
    <n v="351"/>
  </r>
  <r>
    <n v="192"/>
    <d v="2024-07-10T00:00:00"/>
    <n v="1081"/>
    <s v="Customer_88"/>
    <s v="Corporate"/>
    <x v="0"/>
    <x v="1"/>
    <x v="0"/>
    <n v="3609"/>
    <n v="5"/>
    <n v="0.12"/>
    <n v="514"/>
    <x v="2"/>
    <n v="15879.6"/>
    <x v="6"/>
    <n v="2024"/>
    <s v="Q3"/>
    <n v="3.2368573515705684E-2"/>
    <n v="2165.4"/>
    <s v="High"/>
    <s v="Repeat"/>
    <s v="Above Avg"/>
    <s v="Profit"/>
    <n v="131"/>
  </r>
  <r>
    <n v="193"/>
    <d v="2024-07-11T00:00:00"/>
    <n v="1062"/>
    <s v="Customer_133"/>
    <s v="Corporate"/>
    <x v="0"/>
    <x v="0"/>
    <x v="1"/>
    <n v="1568"/>
    <n v="1"/>
    <n v="0.06"/>
    <n v="1807"/>
    <x v="0"/>
    <n v="1473.9199999999901"/>
    <x v="6"/>
    <n v="2024"/>
    <s v="Q3"/>
    <n v="1.225982414242301"/>
    <n v="94.08"/>
    <s v="Low"/>
    <s v="Repeat"/>
    <s v="Below Avg"/>
    <s v="Profit"/>
    <n v="459"/>
  </r>
  <r>
    <n v="194"/>
    <d v="2024-07-12T00:00:00"/>
    <n v="1067"/>
    <s v="Customer_141"/>
    <s v="Consumer"/>
    <x v="2"/>
    <x v="2"/>
    <x v="3"/>
    <n v="584"/>
    <n v="1"/>
    <n v="0.22"/>
    <n v="858"/>
    <x v="1"/>
    <n v="455.52"/>
    <x v="6"/>
    <n v="2024"/>
    <s v="Q3"/>
    <n v="1.8835616438356164"/>
    <n v="128.47999999999999"/>
    <s v="Low"/>
    <s v="Repeat"/>
    <s v="Below Avg"/>
    <s v="Profit"/>
    <n v="494"/>
  </r>
  <r>
    <n v="195"/>
    <d v="2024-07-13T00:00:00"/>
    <n v="1011"/>
    <s v="Customer_86"/>
    <s v="Corporate"/>
    <x v="0"/>
    <x v="2"/>
    <x v="3"/>
    <n v="851"/>
    <n v="9"/>
    <n v="0.19"/>
    <n v="1126"/>
    <x v="1"/>
    <n v="6203.79"/>
    <x v="6"/>
    <n v="2024"/>
    <s v="Q3"/>
    <n v="0.18150195283850679"/>
    <n v="1455.21"/>
    <s v="High"/>
    <s v="Repeat"/>
    <s v="Below Avg"/>
    <s v="Profit"/>
    <n v="292"/>
  </r>
  <r>
    <n v="196"/>
    <d v="2024-07-14T00:00:00"/>
    <n v="1026"/>
    <s v="Customer_34"/>
    <s v="Corporate"/>
    <x v="2"/>
    <x v="0"/>
    <x v="0"/>
    <n v="209"/>
    <n v="7"/>
    <n v="0.24"/>
    <n v="-125"/>
    <x v="0"/>
    <n v="1111.8800000000001"/>
    <x v="6"/>
    <n v="2024"/>
    <s v="Q3"/>
    <n v="-0.11242220383494621"/>
    <n v="351.12"/>
    <s v="Low"/>
    <s v="Repeat"/>
    <s v="Below Avg"/>
    <s v="Loss"/>
    <n v="476"/>
  </r>
  <r>
    <n v="197"/>
    <d v="2024-07-15T00:00:00"/>
    <n v="1092"/>
    <s v="Customer_153"/>
    <s v="Corporate"/>
    <x v="0"/>
    <x v="0"/>
    <x v="1"/>
    <n v="2452"/>
    <n v="4"/>
    <n v="0.19"/>
    <n v="1641"/>
    <x v="1"/>
    <n v="7944.48"/>
    <x v="6"/>
    <n v="2024"/>
    <s v="Q3"/>
    <n v="0.20655851610174614"/>
    <n v="1863.52"/>
    <s v="High"/>
    <s v="Repeat"/>
    <s v="Below Avg"/>
    <s v="Profit"/>
    <n v="254"/>
  </r>
  <r>
    <n v="198"/>
    <d v="2024-07-16T00:00:00"/>
    <n v="1075"/>
    <s v="Customer_151"/>
    <s v="Consumer"/>
    <x v="1"/>
    <x v="0"/>
    <x v="3"/>
    <n v="4378"/>
    <n v="4"/>
    <n v="0.08"/>
    <n v="-266"/>
    <x v="2"/>
    <n v="16111.04"/>
    <x v="6"/>
    <n v="2024"/>
    <s v="Q3"/>
    <n v="-1.6510417701153992E-2"/>
    <n v="1400.96"/>
    <s v="High"/>
    <s v="Repeat"/>
    <s v="Above Avg"/>
    <s v="Loss"/>
    <n v="125"/>
  </r>
  <r>
    <n v="199"/>
    <d v="2024-07-17T00:00:00"/>
    <n v="1010"/>
    <s v="Customer_112"/>
    <s v="Corporate"/>
    <x v="0"/>
    <x v="2"/>
    <x v="3"/>
    <n v="3624"/>
    <n v="3"/>
    <n v="0.28999999999999998"/>
    <n v="-429"/>
    <x v="2"/>
    <n v="7719.12"/>
    <x v="6"/>
    <n v="2024"/>
    <s v="Q3"/>
    <n v="-5.557628330690545E-2"/>
    <n v="3152.8799999999997"/>
    <s v="High"/>
    <s v="Repeat"/>
    <s v="Below Avg"/>
    <s v="Loss"/>
    <n v="259"/>
  </r>
  <r>
    <n v="200"/>
    <d v="2024-07-18T00:00:00"/>
    <n v="1003"/>
    <s v="Customer_85"/>
    <s v="Corporate"/>
    <x v="0"/>
    <x v="1"/>
    <x v="3"/>
    <n v="1158"/>
    <n v="5"/>
    <n v="0.2"/>
    <n v="1597"/>
    <x v="2"/>
    <n v="4632"/>
    <x v="6"/>
    <n v="2024"/>
    <s v="Q3"/>
    <n v="0.34477547495682209"/>
    <n v="1158"/>
    <s v="Medium"/>
    <s v="Repeat"/>
    <s v="Below Avg"/>
    <s v="Profit"/>
    <n v="335"/>
  </r>
  <r>
    <n v="201"/>
    <d v="2024-07-19T00:00:00"/>
    <n v="1045"/>
    <s v="Customer_3"/>
    <s v="Corporate"/>
    <x v="2"/>
    <x v="2"/>
    <x v="0"/>
    <n v="300"/>
    <n v="8"/>
    <n v="0.14000000000000001"/>
    <n v="1580"/>
    <x v="0"/>
    <n v="2064"/>
    <x v="6"/>
    <n v="2024"/>
    <s v="Q3"/>
    <n v="0.76550387596899228"/>
    <n v="336.00000000000006"/>
    <s v="Medium"/>
    <s v="Repeat"/>
    <s v="Below Avg"/>
    <s v="Profit"/>
    <n v="425"/>
  </r>
  <r>
    <n v="202"/>
    <d v="2024-07-20T00:00:00"/>
    <n v="1058"/>
    <s v="Customer_8"/>
    <s v="Consumer"/>
    <x v="2"/>
    <x v="1"/>
    <x v="0"/>
    <n v="4590"/>
    <n v="3"/>
    <n v="0.23"/>
    <n v="458"/>
    <x v="1"/>
    <n v="10602.9"/>
    <x v="6"/>
    <n v="2024"/>
    <s v="Q3"/>
    <n v="4.3195729470239273E-2"/>
    <n v="3167.1000000000004"/>
    <s v="High"/>
    <s v="Repeat"/>
    <s v="Below Avg"/>
    <s v="Profit"/>
    <n v="195"/>
  </r>
  <r>
    <n v="203"/>
    <d v="2024-07-21T00:00:00"/>
    <n v="1059"/>
    <s v="Customer_174"/>
    <s v="Consumer"/>
    <x v="2"/>
    <x v="0"/>
    <x v="2"/>
    <n v="3815"/>
    <n v="6"/>
    <n v="0.08"/>
    <n v="971"/>
    <x v="1"/>
    <n v="21058.799999999999"/>
    <x v="6"/>
    <n v="2024"/>
    <s v="Q3"/>
    <n v="4.6108990065910689E-2"/>
    <n v="1831.2"/>
    <s v="High"/>
    <s v="Repeat"/>
    <s v="Above Avg"/>
    <s v="Profit"/>
    <n v="76"/>
  </r>
  <r>
    <n v="204"/>
    <d v="2024-07-22T00:00:00"/>
    <n v="1023"/>
    <s v="Customer_190"/>
    <s v="Consumer"/>
    <x v="3"/>
    <x v="2"/>
    <x v="2"/>
    <n v="1315"/>
    <n v="4"/>
    <n v="0.24"/>
    <n v="-35"/>
    <x v="2"/>
    <n v="3997.6"/>
    <x v="6"/>
    <n v="2024"/>
    <s v="Q3"/>
    <n v="-8.7552531518911344E-3"/>
    <n v="1262.3999999999999"/>
    <s v="Medium"/>
    <s v="Repeat"/>
    <s v="Below Avg"/>
    <s v="Loss"/>
    <n v="353"/>
  </r>
  <r>
    <n v="205"/>
    <d v="2024-07-23T00:00:00"/>
    <n v="1025"/>
    <s v="Customer_167"/>
    <s v="Consumer"/>
    <x v="1"/>
    <x v="2"/>
    <x v="3"/>
    <n v="831"/>
    <n v="3"/>
    <n v="0.1"/>
    <n v="1324"/>
    <x v="0"/>
    <n v="2243.6999999999998"/>
    <x v="6"/>
    <n v="2024"/>
    <s v="Q3"/>
    <n v="0.59009671524713647"/>
    <n v="249.3"/>
    <s v="Medium"/>
    <s v="Repeat"/>
    <s v="Below Avg"/>
    <s v="Profit"/>
    <n v="417"/>
  </r>
  <r>
    <n v="206"/>
    <d v="2024-07-24T00:00:00"/>
    <n v="1027"/>
    <s v="Customer_51"/>
    <s v="Consumer"/>
    <x v="3"/>
    <x v="2"/>
    <x v="1"/>
    <n v="473"/>
    <n v="1"/>
    <n v="0.02"/>
    <n v="-233"/>
    <x v="0"/>
    <n v="463.539999999999"/>
    <x v="6"/>
    <n v="2024"/>
    <s v="Q3"/>
    <n v="-0.50265349268671633"/>
    <n v="9.4600000000000009"/>
    <s v="Low"/>
    <s v="Repeat"/>
    <s v="Below Avg"/>
    <s v="Loss"/>
    <n v="493"/>
  </r>
  <r>
    <n v="207"/>
    <d v="2024-07-25T00:00:00"/>
    <n v="1057"/>
    <s v="Customer_22"/>
    <s v="Consumer"/>
    <x v="0"/>
    <x v="2"/>
    <x v="3"/>
    <n v="3249"/>
    <n v="8"/>
    <n v="0.23"/>
    <n v="1197"/>
    <x v="0"/>
    <n v="20013.84"/>
    <x v="6"/>
    <n v="2024"/>
    <s v="Q3"/>
    <n v="5.9808612440191387E-2"/>
    <n v="5978.16"/>
    <s v="High"/>
    <s v="Repeat"/>
    <s v="Above Avg"/>
    <s v="Profit"/>
    <n v="80"/>
  </r>
  <r>
    <n v="208"/>
    <d v="2024-07-26T00:00:00"/>
    <n v="1003"/>
    <s v="Customer_45"/>
    <s v="Corporate"/>
    <x v="0"/>
    <x v="0"/>
    <x v="1"/>
    <n v="3344"/>
    <n v="7"/>
    <n v="0.06"/>
    <n v="581"/>
    <x v="2"/>
    <n v="22003.52"/>
    <x v="6"/>
    <n v="2024"/>
    <s v="Q3"/>
    <n v="2.6404866130510025E-2"/>
    <n v="1404.48"/>
    <s v="High"/>
    <s v="Repeat"/>
    <s v="Above Avg"/>
    <s v="Profit"/>
    <n v="67"/>
  </r>
  <r>
    <n v="209"/>
    <d v="2024-07-27T00:00:00"/>
    <n v="1099"/>
    <s v="Customer_151"/>
    <s v="Corporate"/>
    <x v="2"/>
    <x v="0"/>
    <x v="0"/>
    <n v="4041"/>
    <n v="7"/>
    <n v="0.19"/>
    <n v="1642"/>
    <x v="0"/>
    <n v="22912.47"/>
    <x v="6"/>
    <n v="2024"/>
    <s v="Q3"/>
    <n v="7.1664032729775534E-2"/>
    <n v="5374.53"/>
    <s v="High"/>
    <s v="Repeat"/>
    <s v="Above Avg"/>
    <s v="Profit"/>
    <n v="60"/>
  </r>
  <r>
    <n v="210"/>
    <d v="2024-07-28T00:00:00"/>
    <n v="1078"/>
    <s v="Customer_177"/>
    <s v="Consumer"/>
    <x v="2"/>
    <x v="0"/>
    <x v="2"/>
    <n v="4048"/>
    <n v="8"/>
    <n v="0.08"/>
    <n v="-375"/>
    <x v="2"/>
    <n v="29793.279999999999"/>
    <x v="6"/>
    <n v="2024"/>
    <s v="Q3"/>
    <n v="-1.2586730967520193E-2"/>
    <n v="2590.7200000000003"/>
    <s v="High"/>
    <s v="Repeat"/>
    <s v="Above Avg"/>
    <s v="Loss"/>
    <n v="24"/>
  </r>
  <r>
    <n v="211"/>
    <d v="2024-07-29T00:00:00"/>
    <n v="1085"/>
    <s v="Customer_80"/>
    <s v="Consumer"/>
    <x v="0"/>
    <x v="2"/>
    <x v="0"/>
    <n v="745"/>
    <n v="9"/>
    <n v="0.21"/>
    <n v="515"/>
    <x v="1"/>
    <n v="5296.95"/>
    <x v="6"/>
    <n v="2024"/>
    <s v="Q3"/>
    <n v="9.7225761995110391E-2"/>
    <n v="1408.05"/>
    <s v="High"/>
    <s v="Repeat"/>
    <s v="Below Avg"/>
    <s v="Profit"/>
    <n v="316"/>
  </r>
  <r>
    <n v="212"/>
    <d v="2024-07-30T00:00:00"/>
    <n v="1059"/>
    <s v="Customer_124"/>
    <s v="Consumer"/>
    <x v="3"/>
    <x v="2"/>
    <x v="1"/>
    <n v="3695"/>
    <n v="3"/>
    <n v="0.04"/>
    <n v="333"/>
    <x v="1"/>
    <n v="10641.6"/>
    <x v="6"/>
    <n v="2024"/>
    <s v="Q3"/>
    <n v="3.1292286874154258E-2"/>
    <n v="443.40000000000003"/>
    <s v="High"/>
    <s v="Repeat"/>
    <s v="Above Avg"/>
    <s v="Profit"/>
    <n v="194"/>
  </r>
  <r>
    <n v="213"/>
    <d v="2024-07-31T00:00:00"/>
    <n v="1048"/>
    <s v="Customer_179"/>
    <s v="Corporate"/>
    <x v="2"/>
    <x v="1"/>
    <x v="1"/>
    <n v="4178"/>
    <n v="2"/>
    <n v="0.19"/>
    <n v="1860"/>
    <x v="1"/>
    <n v="6768.36"/>
    <x v="6"/>
    <n v="2024"/>
    <s v="Q3"/>
    <n v="0.27480807758452563"/>
    <n v="1587.64"/>
    <s v="High"/>
    <s v="Repeat"/>
    <s v="Below Avg"/>
    <s v="Profit"/>
    <n v="280"/>
  </r>
  <r>
    <n v="214"/>
    <d v="2024-08-01T00:00:00"/>
    <n v="1056"/>
    <s v="Customer_28"/>
    <s v="Consumer"/>
    <x v="2"/>
    <x v="1"/>
    <x v="2"/>
    <n v="2035"/>
    <n v="4"/>
    <n v="0.06"/>
    <n v="1215"/>
    <x v="0"/>
    <n v="7651.5999999999904"/>
    <x v="7"/>
    <n v="2024"/>
    <s v="Q3"/>
    <n v="0.15879031836478666"/>
    <n v="488.4"/>
    <s v="High"/>
    <s v="Repeat"/>
    <s v="Below Avg"/>
    <s v="Profit"/>
    <n v="262"/>
  </r>
  <r>
    <n v="215"/>
    <d v="2024-08-02T00:00:00"/>
    <n v="1087"/>
    <s v="Customer_99"/>
    <s v="Consumer"/>
    <x v="0"/>
    <x v="1"/>
    <x v="0"/>
    <n v="2833"/>
    <n v="4"/>
    <n v="0.15"/>
    <n v="-499"/>
    <x v="2"/>
    <n v="9632.1999999999898"/>
    <x v="7"/>
    <n v="2024"/>
    <s v="Q3"/>
    <n v="-5.1805402711737766E-2"/>
    <n v="1699.8"/>
    <s v="High"/>
    <s v="Repeat"/>
    <s v="Below Avg"/>
    <s v="Loss"/>
    <n v="211"/>
  </r>
  <r>
    <n v="216"/>
    <d v="2024-08-03T00:00:00"/>
    <n v="1087"/>
    <s v="Customer_106"/>
    <s v="Consumer"/>
    <x v="1"/>
    <x v="2"/>
    <x v="3"/>
    <n v="2661"/>
    <n v="8"/>
    <n v="0.26"/>
    <n v="-152"/>
    <x v="2"/>
    <n v="15753.119999999901"/>
    <x v="7"/>
    <n v="2024"/>
    <s v="Q3"/>
    <n v="-9.6488822531664176E-3"/>
    <n v="5534.88"/>
    <s v="High"/>
    <s v="Repeat"/>
    <s v="Above Avg"/>
    <s v="Loss"/>
    <n v="133"/>
  </r>
  <r>
    <n v="217"/>
    <d v="2024-08-04T00:00:00"/>
    <n v="1004"/>
    <s v="Customer_29"/>
    <s v="Consumer"/>
    <x v="2"/>
    <x v="2"/>
    <x v="0"/>
    <n v="2152"/>
    <n v="8"/>
    <n v="0.14000000000000001"/>
    <n v="925"/>
    <x v="2"/>
    <n v="14805.76"/>
    <x v="7"/>
    <n v="2024"/>
    <s v="Q3"/>
    <n v="6.2475685138756808E-2"/>
    <n v="2410.2400000000002"/>
    <s v="High"/>
    <s v="Repeat"/>
    <s v="Above Avg"/>
    <s v="Profit"/>
    <n v="142"/>
  </r>
  <r>
    <n v="218"/>
    <d v="2024-08-05T00:00:00"/>
    <n v="1069"/>
    <s v="Customer_187"/>
    <s v="Consumer"/>
    <x v="3"/>
    <x v="1"/>
    <x v="1"/>
    <n v="2039"/>
    <n v="7"/>
    <n v="0.23"/>
    <n v="-462"/>
    <x v="0"/>
    <n v="10990.21"/>
    <x v="7"/>
    <n v="2024"/>
    <s v="Q3"/>
    <n v="-4.2037413297835079E-2"/>
    <n v="3282.79"/>
    <s v="High"/>
    <s v="Repeat"/>
    <s v="Above Avg"/>
    <s v="Loss"/>
    <n v="192"/>
  </r>
  <r>
    <n v="219"/>
    <d v="2024-08-06T00:00:00"/>
    <n v="1056"/>
    <s v="Customer_102"/>
    <s v="Consumer"/>
    <x v="1"/>
    <x v="1"/>
    <x v="0"/>
    <n v="802"/>
    <n v="5"/>
    <n v="0.04"/>
    <n v="1193"/>
    <x v="2"/>
    <n v="3849.6"/>
    <x v="7"/>
    <n v="2024"/>
    <s v="Q3"/>
    <n v="0.30990232751454699"/>
    <n v="160.4"/>
    <s v="Medium"/>
    <s v="Repeat"/>
    <s v="Below Avg"/>
    <s v="Profit"/>
    <n v="361"/>
  </r>
  <r>
    <n v="220"/>
    <d v="2024-08-07T00:00:00"/>
    <n v="1060"/>
    <s v="Customer_198"/>
    <s v="Corporate"/>
    <x v="0"/>
    <x v="1"/>
    <x v="2"/>
    <n v="2899"/>
    <n v="1"/>
    <n v="0.2"/>
    <n v="569"/>
    <x v="2"/>
    <n v="2319.1999999999998"/>
    <x v="7"/>
    <n v="2024"/>
    <s v="Q3"/>
    <n v="0.24534322180062093"/>
    <n v="579.80000000000007"/>
    <s v="Medium"/>
    <s v="Repeat"/>
    <s v="Below Avg"/>
    <s v="Profit"/>
    <n v="415"/>
  </r>
  <r>
    <n v="221"/>
    <d v="2024-08-08T00:00:00"/>
    <n v="1009"/>
    <s v="Customer_78"/>
    <s v="Corporate"/>
    <x v="2"/>
    <x v="0"/>
    <x v="0"/>
    <n v="607"/>
    <n v="6"/>
    <n v="0.05"/>
    <n v="1509"/>
    <x v="1"/>
    <n v="3459.8999999999901"/>
    <x v="7"/>
    <n v="2024"/>
    <s v="Q3"/>
    <n v="0.43613977282580546"/>
    <n v="182.10000000000002"/>
    <s v="Medium"/>
    <s v="Repeat"/>
    <s v="Below Avg"/>
    <s v="Profit"/>
    <n v="378"/>
  </r>
  <r>
    <n v="222"/>
    <d v="2024-08-09T00:00:00"/>
    <n v="1066"/>
    <s v="Customer_156"/>
    <s v="Corporate"/>
    <x v="1"/>
    <x v="1"/>
    <x v="0"/>
    <n v="1523"/>
    <n v="1"/>
    <n v="0.23"/>
    <n v="1244"/>
    <x v="2"/>
    <n v="1172.71"/>
    <x v="7"/>
    <n v="2024"/>
    <s v="Q3"/>
    <n v="1.0607908178492551"/>
    <n v="350.29"/>
    <s v="Low"/>
    <s v="Repeat"/>
    <s v="Below Avg"/>
    <s v="Profit"/>
    <n v="471"/>
  </r>
  <r>
    <n v="223"/>
    <d v="2024-08-10T00:00:00"/>
    <n v="1033"/>
    <s v="Customer_110"/>
    <s v="Corporate"/>
    <x v="0"/>
    <x v="2"/>
    <x v="1"/>
    <n v="2167"/>
    <n v="2"/>
    <n v="0.21"/>
    <n v="1682"/>
    <x v="1"/>
    <n v="3423.86"/>
    <x v="7"/>
    <n v="2024"/>
    <s v="Q3"/>
    <n v="0.49125840425718337"/>
    <n v="910.14"/>
    <s v="Medium"/>
    <s v="New"/>
    <s v="Below Avg"/>
    <s v="Profit"/>
    <n v="379"/>
  </r>
  <r>
    <n v="224"/>
    <d v="2024-08-11T00:00:00"/>
    <n v="1069"/>
    <s v="Customer_175"/>
    <s v="Corporate"/>
    <x v="3"/>
    <x v="2"/>
    <x v="3"/>
    <n v="4265"/>
    <n v="6"/>
    <n v="0.12"/>
    <n v="490"/>
    <x v="2"/>
    <n v="22519.200000000001"/>
    <x v="7"/>
    <n v="2024"/>
    <s v="Q3"/>
    <n v="2.1759209918647198E-2"/>
    <n v="3070.7999999999997"/>
    <s v="High"/>
    <s v="Repeat"/>
    <s v="Above Avg"/>
    <s v="Profit"/>
    <n v="63"/>
  </r>
  <r>
    <n v="225"/>
    <d v="2024-08-12T00:00:00"/>
    <n v="1009"/>
    <s v="Customer_4"/>
    <s v="Consumer"/>
    <x v="2"/>
    <x v="1"/>
    <x v="3"/>
    <n v="851"/>
    <n v="1"/>
    <n v="0.14000000000000001"/>
    <n v="1419"/>
    <x v="0"/>
    <n v="731.86"/>
    <x v="7"/>
    <n v="2024"/>
    <s v="Q3"/>
    <n v="1.9388954171562867"/>
    <n v="119.14000000000001"/>
    <s v="Low"/>
    <s v="Repeat"/>
    <s v="Below Avg"/>
    <s v="Profit"/>
    <n v="484"/>
  </r>
  <r>
    <n v="226"/>
    <d v="2024-08-13T00:00:00"/>
    <n v="1079"/>
    <s v="Customer_130"/>
    <s v="Corporate"/>
    <x v="0"/>
    <x v="2"/>
    <x v="2"/>
    <n v="2116"/>
    <n v="6"/>
    <n v="0.05"/>
    <n v="1516"/>
    <x v="0"/>
    <n v="12061.199999999901"/>
    <x v="7"/>
    <n v="2024"/>
    <s v="Q3"/>
    <n v="0.12569230259012473"/>
    <n v="634.80000000000007"/>
    <s v="High"/>
    <s v="Repeat"/>
    <s v="Above Avg"/>
    <s v="Profit"/>
    <n v="167"/>
  </r>
  <r>
    <n v="227"/>
    <d v="2024-08-14T00:00:00"/>
    <n v="1028"/>
    <s v="Customer_110"/>
    <s v="Consumer"/>
    <x v="2"/>
    <x v="2"/>
    <x v="2"/>
    <n v="648"/>
    <n v="9"/>
    <n v="0.19"/>
    <n v="730"/>
    <x v="1"/>
    <n v="4723.92"/>
    <x v="7"/>
    <n v="2024"/>
    <s v="Q3"/>
    <n v="0.15453267625192638"/>
    <n v="1108.08"/>
    <s v="Medium"/>
    <s v="Repeat"/>
    <s v="Below Avg"/>
    <s v="Profit"/>
    <n v="331"/>
  </r>
  <r>
    <n v="228"/>
    <d v="2024-08-15T00:00:00"/>
    <n v="1066"/>
    <s v="Customer_64"/>
    <s v="Consumer"/>
    <x v="2"/>
    <x v="2"/>
    <x v="0"/>
    <n v="2655"/>
    <n v="6"/>
    <n v="0.27"/>
    <n v="1403"/>
    <x v="2"/>
    <n v="11628.9"/>
    <x v="7"/>
    <n v="2024"/>
    <s v="Q3"/>
    <n v="0.12064769668670296"/>
    <n v="4301.1000000000004"/>
    <s v="High"/>
    <s v="Repeat"/>
    <s v="Above Avg"/>
    <s v="Profit"/>
    <n v="179"/>
  </r>
  <r>
    <n v="229"/>
    <d v="2024-08-16T00:00:00"/>
    <n v="1010"/>
    <s v="Customer_29"/>
    <s v="Consumer"/>
    <x v="3"/>
    <x v="1"/>
    <x v="3"/>
    <n v="738"/>
    <n v="1"/>
    <n v="0.17"/>
    <n v="1581"/>
    <x v="0"/>
    <n v="612.54"/>
    <x v="7"/>
    <n v="2024"/>
    <s v="Q3"/>
    <n v="2.5810559310412384"/>
    <n v="125.46000000000001"/>
    <s v="Low"/>
    <s v="Repeat"/>
    <s v="Below Avg"/>
    <s v="Profit"/>
    <n v="486"/>
  </r>
  <r>
    <n v="230"/>
    <d v="2024-08-17T00:00:00"/>
    <n v="1003"/>
    <s v="Customer_89"/>
    <s v="Consumer"/>
    <x v="1"/>
    <x v="2"/>
    <x v="2"/>
    <n v="1820"/>
    <n v="9"/>
    <n v="0.09"/>
    <n v="631"/>
    <x v="0"/>
    <n v="14905.8"/>
    <x v="7"/>
    <n v="2024"/>
    <s v="Q3"/>
    <n v="4.2332514859987389E-2"/>
    <n v="1474.2"/>
    <s v="High"/>
    <s v="Repeat"/>
    <s v="Above Avg"/>
    <s v="Profit"/>
    <n v="141"/>
  </r>
  <r>
    <n v="231"/>
    <d v="2024-08-18T00:00:00"/>
    <n v="1048"/>
    <s v="Customer_95"/>
    <s v="Consumer"/>
    <x v="3"/>
    <x v="0"/>
    <x v="3"/>
    <n v="3916"/>
    <n v="7"/>
    <n v="0.12"/>
    <n v="1533"/>
    <x v="0"/>
    <n v="24122.560000000001"/>
    <x v="7"/>
    <n v="2024"/>
    <s v="Q3"/>
    <n v="6.3550468938620111E-2"/>
    <n v="3289.44"/>
    <s v="High"/>
    <s v="Repeat"/>
    <s v="Above Avg"/>
    <s v="Profit"/>
    <n v="51"/>
  </r>
  <r>
    <n v="232"/>
    <d v="2024-08-19T00:00:00"/>
    <n v="1003"/>
    <s v="Customer_175"/>
    <s v="Consumer"/>
    <x v="2"/>
    <x v="1"/>
    <x v="1"/>
    <n v="3888"/>
    <n v="5"/>
    <n v="7.0000000000000007E-2"/>
    <n v="1032"/>
    <x v="1"/>
    <n v="18079.199999999899"/>
    <x v="7"/>
    <n v="2024"/>
    <s v="Q3"/>
    <n v="5.7082171777512597E-2"/>
    <n v="1360.8000000000002"/>
    <s v="High"/>
    <s v="Repeat"/>
    <s v="Above Avg"/>
    <s v="Profit"/>
    <n v="91"/>
  </r>
  <r>
    <n v="233"/>
    <d v="2024-08-20T00:00:00"/>
    <n v="1023"/>
    <s v="Customer_15"/>
    <s v="Consumer"/>
    <x v="3"/>
    <x v="1"/>
    <x v="2"/>
    <n v="1813"/>
    <n v="7"/>
    <n v="0.13"/>
    <n v="937"/>
    <x v="2"/>
    <n v="11041.17"/>
    <x v="7"/>
    <n v="2024"/>
    <s v="Q3"/>
    <n v="8.4864194646038421E-2"/>
    <n v="1649.8300000000002"/>
    <s v="High"/>
    <s v="Repeat"/>
    <s v="Above Avg"/>
    <s v="Profit"/>
    <n v="189"/>
  </r>
  <r>
    <n v="234"/>
    <d v="2024-08-21T00:00:00"/>
    <n v="1091"/>
    <s v="Customer_166"/>
    <s v="Corporate"/>
    <x v="2"/>
    <x v="2"/>
    <x v="3"/>
    <n v="4283"/>
    <n v="6"/>
    <n v="0.15"/>
    <n v="436"/>
    <x v="2"/>
    <n v="21843.3"/>
    <x v="7"/>
    <n v="2024"/>
    <s v="Q3"/>
    <n v="1.9960353975818673E-2"/>
    <n v="3854.7"/>
    <s v="High"/>
    <s v="Repeat"/>
    <s v="Above Avg"/>
    <s v="Profit"/>
    <n v="68"/>
  </r>
  <r>
    <n v="235"/>
    <d v="2024-08-22T00:00:00"/>
    <n v="1055"/>
    <s v="Customer_97"/>
    <s v="Corporate"/>
    <x v="3"/>
    <x v="1"/>
    <x v="3"/>
    <n v="4730"/>
    <n v="8"/>
    <n v="0.28000000000000003"/>
    <n v="1356"/>
    <x v="1"/>
    <n v="27244.799999999999"/>
    <x v="7"/>
    <n v="2024"/>
    <s v="Q3"/>
    <n v="4.9770965468639891E-2"/>
    <n v="10595.2"/>
    <s v="High"/>
    <s v="Repeat"/>
    <s v="Above Avg"/>
    <s v="Profit"/>
    <n v="34"/>
  </r>
  <r>
    <n v="236"/>
    <d v="2024-08-23T00:00:00"/>
    <n v="1034"/>
    <s v="Customer_177"/>
    <s v="Consumer"/>
    <x v="2"/>
    <x v="2"/>
    <x v="3"/>
    <n v="4044"/>
    <n v="8"/>
    <n v="0.13"/>
    <n v="-288"/>
    <x v="0"/>
    <n v="28146.240000000002"/>
    <x v="7"/>
    <n v="2024"/>
    <s v="Q3"/>
    <n v="-1.0232272587741736E-2"/>
    <n v="4205.76"/>
    <s v="High"/>
    <s v="Repeat"/>
    <s v="Above Avg"/>
    <s v="Loss"/>
    <n v="29"/>
  </r>
  <r>
    <n v="237"/>
    <d v="2024-08-24T00:00:00"/>
    <n v="1037"/>
    <s v="Customer_40"/>
    <s v="Corporate"/>
    <x v="3"/>
    <x v="0"/>
    <x v="1"/>
    <n v="1901"/>
    <n v="8"/>
    <n v="0.26"/>
    <n v="1933"/>
    <x v="0"/>
    <n v="11253.92"/>
    <x v="7"/>
    <n v="2024"/>
    <s v="Q3"/>
    <n v="0.17176237257773291"/>
    <n v="3954.08"/>
    <s v="High"/>
    <s v="Repeat"/>
    <s v="Above Avg"/>
    <s v="Profit"/>
    <n v="186"/>
  </r>
  <r>
    <n v="238"/>
    <d v="2024-08-25T00:00:00"/>
    <n v="1049"/>
    <s v="Customer_144"/>
    <s v="Consumer"/>
    <x v="0"/>
    <x v="0"/>
    <x v="0"/>
    <n v="4270"/>
    <n v="6"/>
    <n v="0.05"/>
    <n v="1845"/>
    <x v="1"/>
    <n v="24339"/>
    <x v="7"/>
    <n v="2024"/>
    <s v="Q3"/>
    <n v="7.5804264760261308E-2"/>
    <n v="1281"/>
    <s v="High"/>
    <s v="Repeat"/>
    <s v="Above Avg"/>
    <s v="Profit"/>
    <n v="48"/>
  </r>
  <r>
    <n v="239"/>
    <d v="2024-08-26T00:00:00"/>
    <n v="1087"/>
    <s v="Customer_102"/>
    <s v="Corporate"/>
    <x v="3"/>
    <x v="2"/>
    <x v="2"/>
    <n v="3460"/>
    <n v="2"/>
    <n v="0.16"/>
    <n v="898"/>
    <x v="0"/>
    <n v="5812.8"/>
    <x v="7"/>
    <n v="2024"/>
    <s v="Q3"/>
    <n v="0.15448665015139004"/>
    <n v="1107.2"/>
    <s v="High"/>
    <s v="Repeat"/>
    <s v="Below Avg"/>
    <s v="Profit"/>
    <n v="300"/>
  </r>
  <r>
    <n v="240"/>
    <d v="2024-08-27T00:00:00"/>
    <n v="1085"/>
    <s v="Customer_108"/>
    <s v="Consumer"/>
    <x v="1"/>
    <x v="2"/>
    <x v="3"/>
    <n v="4062"/>
    <n v="1"/>
    <n v="0.18"/>
    <n v="630"/>
    <x v="1"/>
    <n v="3330.84"/>
    <x v="7"/>
    <n v="2024"/>
    <s v="Q3"/>
    <n v="0.18914147782541341"/>
    <n v="731.16"/>
    <s v="Medium"/>
    <s v="Repeat"/>
    <s v="Below Avg"/>
    <s v="Profit"/>
    <n v="385"/>
  </r>
  <r>
    <n v="241"/>
    <d v="2024-08-28T00:00:00"/>
    <n v="1025"/>
    <s v="Customer_34"/>
    <s v="Corporate"/>
    <x v="0"/>
    <x v="2"/>
    <x v="3"/>
    <n v="3312"/>
    <n v="6"/>
    <n v="0.18"/>
    <n v="1603"/>
    <x v="0"/>
    <n v="16295.04"/>
    <x v="7"/>
    <n v="2024"/>
    <s v="Q3"/>
    <n v="9.8373492792898934E-2"/>
    <n v="3576.96"/>
    <s v="High"/>
    <s v="Repeat"/>
    <s v="Above Avg"/>
    <s v="Profit"/>
    <n v="119"/>
  </r>
  <r>
    <n v="242"/>
    <d v="2024-08-29T00:00:00"/>
    <n v="1017"/>
    <s v="Customer_127"/>
    <s v="Corporate"/>
    <x v="0"/>
    <x v="0"/>
    <x v="2"/>
    <n v="2687"/>
    <n v="2"/>
    <n v="0.15"/>
    <n v="564"/>
    <x v="0"/>
    <n v="4567.8999999999996"/>
    <x v="7"/>
    <n v="2024"/>
    <s v="Q3"/>
    <n v="0.12347030364062261"/>
    <n v="806.1"/>
    <s v="Medium"/>
    <s v="Repeat"/>
    <s v="Below Avg"/>
    <s v="Profit"/>
    <n v="336"/>
  </r>
  <r>
    <n v="243"/>
    <d v="2024-08-30T00:00:00"/>
    <n v="1058"/>
    <s v="Customer_134"/>
    <s v="Corporate"/>
    <x v="3"/>
    <x v="2"/>
    <x v="2"/>
    <n v="4904"/>
    <n v="7"/>
    <n v="0.23"/>
    <n v="984"/>
    <x v="1"/>
    <n v="26432.560000000001"/>
    <x v="7"/>
    <n v="2024"/>
    <s v="Q3"/>
    <n v="3.7226814201878289E-2"/>
    <n v="7895.4400000000005"/>
    <s v="High"/>
    <s v="Repeat"/>
    <s v="Above Avg"/>
    <s v="Profit"/>
    <n v="38"/>
  </r>
  <r>
    <n v="244"/>
    <d v="2024-08-31T00:00:00"/>
    <n v="1066"/>
    <s v="Customer_103"/>
    <s v="Consumer"/>
    <x v="3"/>
    <x v="0"/>
    <x v="1"/>
    <n v="1799"/>
    <n v="2"/>
    <n v="0.05"/>
    <n v="241"/>
    <x v="1"/>
    <n v="3418.1"/>
    <x v="7"/>
    <n v="2024"/>
    <s v="Q3"/>
    <n v="7.0507006816652534E-2"/>
    <n v="179.9"/>
    <s v="Medium"/>
    <s v="Repeat"/>
    <s v="Below Avg"/>
    <s v="Profit"/>
    <n v="380"/>
  </r>
  <r>
    <n v="245"/>
    <d v="2024-09-01T00:00:00"/>
    <n v="1045"/>
    <s v="Customer_87"/>
    <s v="Consumer"/>
    <x v="2"/>
    <x v="1"/>
    <x v="0"/>
    <n v="247"/>
    <n v="7"/>
    <n v="0.02"/>
    <n v="452"/>
    <x v="0"/>
    <n v="1694.42"/>
    <x v="8"/>
    <n v="2024"/>
    <s v="Q3"/>
    <n v="0.26675794667201758"/>
    <n v="34.58"/>
    <s v="Low"/>
    <s v="Repeat"/>
    <s v="Below Avg"/>
    <s v="Profit"/>
    <n v="447"/>
  </r>
  <r>
    <n v="246"/>
    <d v="2024-09-02T00:00:00"/>
    <n v="1010"/>
    <s v="Customer_181"/>
    <s v="Corporate"/>
    <x v="1"/>
    <x v="2"/>
    <x v="3"/>
    <n v="3111"/>
    <n v="1"/>
    <n v="0.04"/>
    <n v="120"/>
    <x v="1"/>
    <n v="2986.56"/>
    <x v="8"/>
    <n v="2024"/>
    <s v="Q3"/>
    <n v="4.0180006428801027E-2"/>
    <n v="124.44"/>
    <s v="Medium"/>
    <s v="Repeat"/>
    <s v="Below Avg"/>
    <s v="Profit"/>
    <n v="394"/>
  </r>
  <r>
    <n v="247"/>
    <d v="2024-09-03T00:00:00"/>
    <n v="1008"/>
    <s v="Customer_114"/>
    <s v="Corporate"/>
    <x v="3"/>
    <x v="0"/>
    <x v="2"/>
    <n v="1629"/>
    <n v="6"/>
    <n v="0.17"/>
    <n v="1561"/>
    <x v="0"/>
    <n v="8112.4199999999901"/>
    <x v="8"/>
    <n v="2024"/>
    <s v="Q3"/>
    <n v="0.19242100384348959"/>
    <n v="1661.5800000000002"/>
    <s v="High"/>
    <s v="Repeat"/>
    <s v="Below Avg"/>
    <s v="Profit"/>
    <n v="247"/>
  </r>
  <r>
    <n v="248"/>
    <d v="2024-09-04T00:00:00"/>
    <n v="1096"/>
    <s v="Customer_149"/>
    <s v="Corporate"/>
    <x v="1"/>
    <x v="0"/>
    <x v="0"/>
    <n v="4607"/>
    <n v="8"/>
    <n v="7.0000000000000007E-2"/>
    <n v="746"/>
    <x v="0"/>
    <n v="34276.0799999999"/>
    <x v="8"/>
    <n v="2024"/>
    <s v="Q3"/>
    <n v="2.1764449143542731E-2"/>
    <n v="2579.92"/>
    <s v="High"/>
    <s v="Repeat"/>
    <s v="Above Avg"/>
    <s v="Profit"/>
    <n v="13"/>
  </r>
  <r>
    <n v="249"/>
    <d v="2024-09-05T00:00:00"/>
    <n v="1025"/>
    <s v="Customer_99"/>
    <s v="Corporate"/>
    <x v="2"/>
    <x v="1"/>
    <x v="0"/>
    <n v="217"/>
    <n v="4"/>
    <n v="0.22"/>
    <n v="-1"/>
    <x v="2"/>
    <n v="677.04"/>
    <x v="8"/>
    <n v="2024"/>
    <s v="Q3"/>
    <n v="-1.4770176060498641E-3"/>
    <n v="190.96"/>
    <s v="Low"/>
    <s v="Repeat"/>
    <s v="Below Avg"/>
    <s v="Loss"/>
    <n v="485"/>
  </r>
  <r>
    <n v="250"/>
    <d v="2024-09-06T00:00:00"/>
    <n v="1099"/>
    <s v="Customer_157"/>
    <s v="Corporate"/>
    <x v="1"/>
    <x v="0"/>
    <x v="0"/>
    <n v="4979"/>
    <n v="2"/>
    <n v="0.02"/>
    <n v="1538"/>
    <x v="2"/>
    <n v="9758.84"/>
    <x v="8"/>
    <n v="2024"/>
    <s v="Q3"/>
    <n v="0.15760069844366748"/>
    <n v="199.16"/>
    <s v="High"/>
    <s v="Repeat"/>
    <s v="Below Avg"/>
    <s v="Profit"/>
    <n v="208"/>
  </r>
  <r>
    <n v="251"/>
    <d v="2024-09-07T00:00:00"/>
    <n v="1067"/>
    <s v="Customer_2"/>
    <s v="Consumer"/>
    <x v="0"/>
    <x v="2"/>
    <x v="0"/>
    <n v="586"/>
    <n v="9"/>
    <n v="0.27"/>
    <n v="781"/>
    <x v="2"/>
    <n v="3850.02"/>
    <x v="8"/>
    <n v="2024"/>
    <s v="Q3"/>
    <n v="0.20285608905927763"/>
    <n v="1423.98"/>
    <s v="Medium"/>
    <s v="Repeat"/>
    <s v="Below Avg"/>
    <s v="Profit"/>
    <n v="360"/>
  </r>
  <r>
    <n v="252"/>
    <d v="2024-09-08T00:00:00"/>
    <n v="1065"/>
    <s v="Customer_97"/>
    <s v="Consumer"/>
    <x v="2"/>
    <x v="2"/>
    <x v="3"/>
    <n v="1335"/>
    <n v="6"/>
    <n v="0.28999999999999998"/>
    <n v="598"/>
    <x v="1"/>
    <n v="5687.0999999999904"/>
    <x v="8"/>
    <n v="2024"/>
    <s v="Q3"/>
    <n v="0.10515025232543845"/>
    <n v="2322.8999999999996"/>
    <s v="High"/>
    <s v="Repeat"/>
    <s v="Below Avg"/>
    <s v="Profit"/>
    <n v="304"/>
  </r>
  <r>
    <n v="253"/>
    <d v="2024-09-09T00:00:00"/>
    <n v="1007"/>
    <s v="Customer_26"/>
    <s v="Consumer"/>
    <x v="0"/>
    <x v="0"/>
    <x v="0"/>
    <n v="2947"/>
    <n v="2"/>
    <n v="0.24"/>
    <n v="48"/>
    <x v="2"/>
    <n v="4479.4399999999996"/>
    <x v="8"/>
    <n v="2024"/>
    <s v="Q3"/>
    <n v="1.0715625167431644E-2"/>
    <n v="1414.56"/>
    <s v="Medium"/>
    <s v="Repeat"/>
    <s v="Below Avg"/>
    <s v="Profit"/>
    <n v="339"/>
  </r>
  <r>
    <n v="254"/>
    <d v="2024-09-10T00:00:00"/>
    <n v="1070"/>
    <s v="Customer_44"/>
    <s v="Corporate"/>
    <x v="1"/>
    <x v="0"/>
    <x v="3"/>
    <n v="1121"/>
    <n v="5"/>
    <n v="0.26"/>
    <n v="1771"/>
    <x v="2"/>
    <n v="4147.7"/>
    <x v="8"/>
    <n v="2024"/>
    <s v="Q3"/>
    <n v="0.42698362948139934"/>
    <n v="1457.3"/>
    <s v="Medium"/>
    <s v="Repeat"/>
    <s v="Below Avg"/>
    <s v="Profit"/>
    <n v="347"/>
  </r>
  <r>
    <n v="255"/>
    <d v="2024-09-11T00:00:00"/>
    <n v="1099"/>
    <s v="Customer_18"/>
    <s v="Consumer"/>
    <x v="0"/>
    <x v="0"/>
    <x v="2"/>
    <n v="2319"/>
    <n v="7"/>
    <n v="0.11"/>
    <n v="-105"/>
    <x v="0"/>
    <n v="14447.37"/>
    <x v="8"/>
    <n v="2024"/>
    <s v="Q3"/>
    <n v="-7.2677587685509538E-3"/>
    <n v="1785.63"/>
    <s v="High"/>
    <s v="Repeat"/>
    <s v="Above Avg"/>
    <s v="Loss"/>
    <n v="143"/>
  </r>
  <r>
    <n v="256"/>
    <d v="2024-09-12T00:00:00"/>
    <n v="1097"/>
    <s v="Customer_98"/>
    <s v="Corporate"/>
    <x v="0"/>
    <x v="1"/>
    <x v="3"/>
    <n v="3265"/>
    <n v="3"/>
    <n v="0.05"/>
    <n v="1937"/>
    <x v="1"/>
    <n v="9305.25"/>
    <x v="8"/>
    <n v="2024"/>
    <s v="Q3"/>
    <n v="0.20816205905268531"/>
    <n v="489.75"/>
    <s v="High"/>
    <s v="Repeat"/>
    <s v="Below Avg"/>
    <s v="Profit"/>
    <n v="225"/>
  </r>
  <r>
    <n v="257"/>
    <d v="2024-09-13T00:00:00"/>
    <n v="1039"/>
    <s v="Customer_30"/>
    <s v="Corporate"/>
    <x v="2"/>
    <x v="2"/>
    <x v="0"/>
    <n v="3199"/>
    <n v="1"/>
    <n v="0.06"/>
    <n v="1657"/>
    <x v="1"/>
    <n v="3007.06"/>
    <x v="8"/>
    <n v="2024"/>
    <s v="Q3"/>
    <n v="0.55103656062732376"/>
    <n v="191.94"/>
    <s v="Medium"/>
    <s v="Repeat"/>
    <s v="Below Avg"/>
    <s v="Profit"/>
    <n v="392"/>
  </r>
  <r>
    <n v="258"/>
    <d v="2024-09-14T00:00:00"/>
    <n v="1082"/>
    <s v="Customer_108"/>
    <s v="Corporate"/>
    <x v="0"/>
    <x v="0"/>
    <x v="2"/>
    <n v="316"/>
    <n v="5"/>
    <n v="0.15"/>
    <n v="897"/>
    <x v="0"/>
    <n v="1343"/>
    <x v="8"/>
    <n v="2024"/>
    <s v="Q3"/>
    <n v="0.66790766939687263"/>
    <n v="237"/>
    <s v="Low"/>
    <s v="Repeat"/>
    <s v="Below Avg"/>
    <s v="Profit"/>
    <n v="465"/>
  </r>
  <r>
    <n v="259"/>
    <d v="2024-09-15T00:00:00"/>
    <n v="1092"/>
    <s v="Customer_23"/>
    <s v="Consumer"/>
    <x v="0"/>
    <x v="2"/>
    <x v="3"/>
    <n v="4046"/>
    <n v="5"/>
    <n v="0.2"/>
    <n v="-246"/>
    <x v="2"/>
    <n v="16184"/>
    <x v="8"/>
    <n v="2024"/>
    <s v="Q3"/>
    <n v="-1.5200197726149283E-2"/>
    <n v="4046"/>
    <s v="High"/>
    <s v="Repeat"/>
    <s v="Above Avg"/>
    <s v="Loss"/>
    <n v="122"/>
  </r>
  <r>
    <n v="260"/>
    <d v="2024-09-16T00:00:00"/>
    <n v="1038"/>
    <s v="Customer_48"/>
    <s v="Corporate"/>
    <x v="2"/>
    <x v="1"/>
    <x v="3"/>
    <n v="2805"/>
    <n v="7"/>
    <n v="0.17"/>
    <n v="1777"/>
    <x v="1"/>
    <n v="16297.05"/>
    <x v="8"/>
    <n v="2024"/>
    <s v="Q3"/>
    <n v="0.10903813880426212"/>
    <n v="3337.9500000000003"/>
    <s v="High"/>
    <s v="Repeat"/>
    <s v="Above Avg"/>
    <s v="Profit"/>
    <n v="118"/>
  </r>
  <r>
    <n v="261"/>
    <d v="2024-09-17T00:00:00"/>
    <n v="1005"/>
    <s v="Customer_183"/>
    <s v="Corporate"/>
    <x v="0"/>
    <x v="1"/>
    <x v="2"/>
    <n v="1983"/>
    <n v="6"/>
    <n v="0.03"/>
    <n v="722"/>
    <x v="0"/>
    <n v="11541.06"/>
    <x v="8"/>
    <n v="2024"/>
    <s v="Q3"/>
    <n v="6.2559244991361285E-2"/>
    <n v="356.94"/>
    <s v="High"/>
    <s v="Repeat"/>
    <s v="Above Avg"/>
    <s v="Profit"/>
    <n v="180"/>
  </r>
  <r>
    <n v="262"/>
    <d v="2024-09-18T00:00:00"/>
    <n v="1009"/>
    <s v="Customer_127"/>
    <s v="Corporate"/>
    <x v="1"/>
    <x v="2"/>
    <x v="3"/>
    <n v="1606"/>
    <n v="1"/>
    <n v="0.22"/>
    <n v="1195"/>
    <x v="2"/>
    <n v="1252.68"/>
    <x v="8"/>
    <n v="2024"/>
    <s v="Q3"/>
    <n v="0.95395472107800872"/>
    <n v="353.32"/>
    <s v="Low"/>
    <s v="Repeat"/>
    <s v="Below Avg"/>
    <s v="Profit"/>
    <n v="468"/>
  </r>
  <r>
    <n v="263"/>
    <d v="2024-09-19T00:00:00"/>
    <n v="1040"/>
    <s v="Customer_23"/>
    <s v="Corporate"/>
    <x v="0"/>
    <x v="1"/>
    <x v="1"/>
    <n v="4264"/>
    <n v="1"/>
    <n v="0.24"/>
    <n v="-20"/>
    <x v="0"/>
    <n v="3240.64"/>
    <x v="8"/>
    <n v="2024"/>
    <s v="Q3"/>
    <n v="-6.1716204206576485E-3"/>
    <n v="1023.36"/>
    <s v="Medium"/>
    <s v="Repeat"/>
    <s v="Below Avg"/>
    <s v="Loss"/>
    <n v="386"/>
  </r>
  <r>
    <n v="264"/>
    <d v="2024-09-20T00:00:00"/>
    <n v="1068"/>
    <s v="Customer_40"/>
    <s v="Corporate"/>
    <x v="1"/>
    <x v="2"/>
    <x v="0"/>
    <n v="2397"/>
    <n v="7"/>
    <n v="0.01"/>
    <n v="-217"/>
    <x v="2"/>
    <n v="16611.21"/>
    <x v="8"/>
    <n v="2024"/>
    <s v="Q3"/>
    <n v="-1.3063467381364754E-2"/>
    <n v="167.79"/>
    <s v="High"/>
    <s v="Repeat"/>
    <s v="Above Avg"/>
    <s v="Loss"/>
    <n v="113"/>
  </r>
  <r>
    <n v="265"/>
    <d v="2024-09-21T00:00:00"/>
    <n v="1087"/>
    <s v="Customer_64"/>
    <s v="Corporate"/>
    <x v="2"/>
    <x v="2"/>
    <x v="2"/>
    <n v="1811"/>
    <n v="2"/>
    <n v="0.14000000000000001"/>
    <n v="1730"/>
    <x v="0"/>
    <n v="3114.92"/>
    <x v="8"/>
    <n v="2024"/>
    <s v="Q3"/>
    <n v="0.55539147072798012"/>
    <n v="507.08000000000004"/>
    <s v="Medium"/>
    <s v="Repeat"/>
    <s v="Below Avg"/>
    <s v="Profit"/>
    <n v="389"/>
  </r>
  <r>
    <n v="266"/>
    <d v="2024-09-22T00:00:00"/>
    <n v="1021"/>
    <s v="Customer_72"/>
    <s v="Corporate"/>
    <x v="2"/>
    <x v="0"/>
    <x v="0"/>
    <n v="1107"/>
    <n v="9"/>
    <n v="0.13"/>
    <n v="655"/>
    <x v="1"/>
    <n v="8667.81"/>
    <x v="8"/>
    <n v="2024"/>
    <s v="Q3"/>
    <n v="7.5566954051830865E-2"/>
    <n v="1295.19"/>
    <s v="High"/>
    <s v="Repeat"/>
    <s v="Below Avg"/>
    <s v="Profit"/>
    <n v="235"/>
  </r>
  <r>
    <n v="267"/>
    <d v="2024-09-23T00:00:00"/>
    <n v="1089"/>
    <s v="Customer_142"/>
    <s v="Consumer"/>
    <x v="0"/>
    <x v="0"/>
    <x v="1"/>
    <n v="2696"/>
    <n v="9"/>
    <n v="0.02"/>
    <n v="445"/>
    <x v="1"/>
    <n v="23778.720000000001"/>
    <x v="8"/>
    <n v="2024"/>
    <s v="Q3"/>
    <n v="1.8714211698527085E-2"/>
    <n v="485.28000000000003"/>
    <s v="High"/>
    <s v="Repeat"/>
    <s v="Above Avg"/>
    <s v="Profit"/>
    <n v="53"/>
  </r>
  <r>
    <n v="268"/>
    <d v="2024-09-24T00:00:00"/>
    <n v="1050"/>
    <s v="Customer_124"/>
    <s v="Corporate"/>
    <x v="2"/>
    <x v="2"/>
    <x v="2"/>
    <n v="3486"/>
    <n v="4"/>
    <n v="0.05"/>
    <n v="1943"/>
    <x v="2"/>
    <n v="13246.8"/>
    <x v="8"/>
    <n v="2024"/>
    <s v="Q3"/>
    <n v="0.14667693329709819"/>
    <n v="697.2"/>
    <s v="High"/>
    <s v="Repeat"/>
    <s v="Above Avg"/>
    <s v="Profit"/>
    <n v="158"/>
  </r>
  <r>
    <n v="269"/>
    <d v="2024-09-25T00:00:00"/>
    <n v="1036"/>
    <s v="Customer_110"/>
    <s v="Corporate"/>
    <x v="2"/>
    <x v="0"/>
    <x v="0"/>
    <n v="1882"/>
    <n v="3"/>
    <n v="0.24"/>
    <n v="1096"/>
    <x v="2"/>
    <n v="4290.96"/>
    <x v="8"/>
    <n v="2024"/>
    <s v="Q3"/>
    <n v="0.25542069839849357"/>
    <n v="1355.04"/>
    <s v="Medium"/>
    <s v="Repeat"/>
    <s v="Below Avg"/>
    <s v="Profit"/>
    <n v="342"/>
  </r>
  <r>
    <n v="270"/>
    <d v="2024-09-26T00:00:00"/>
    <n v="1044"/>
    <s v="Customer_78"/>
    <s v="Corporate"/>
    <x v="3"/>
    <x v="2"/>
    <x v="3"/>
    <n v="4244"/>
    <n v="8"/>
    <n v="0.18"/>
    <n v="1997"/>
    <x v="0"/>
    <n v="27840.639999999999"/>
    <x v="8"/>
    <n v="2024"/>
    <s v="Q3"/>
    <n v="7.1729672881083201E-2"/>
    <n v="6111.36"/>
    <s v="High"/>
    <s v="Repeat"/>
    <s v="Above Avg"/>
    <s v="Profit"/>
    <n v="33"/>
  </r>
  <r>
    <n v="271"/>
    <d v="2024-09-27T00:00:00"/>
    <n v="1092"/>
    <s v="Customer_2"/>
    <s v="Consumer"/>
    <x v="1"/>
    <x v="1"/>
    <x v="1"/>
    <n v="2461"/>
    <n v="4"/>
    <n v="7.0000000000000007E-2"/>
    <n v="1327"/>
    <x v="1"/>
    <n v="9154.92"/>
    <x v="8"/>
    <n v="2024"/>
    <s v="Q3"/>
    <n v="0.14494938240858468"/>
    <n v="689.08"/>
    <s v="High"/>
    <s v="Repeat"/>
    <s v="Below Avg"/>
    <s v="Profit"/>
    <n v="228"/>
  </r>
  <r>
    <n v="272"/>
    <d v="2024-09-28T00:00:00"/>
    <n v="1099"/>
    <s v="Customer_122"/>
    <s v="Corporate"/>
    <x v="0"/>
    <x v="0"/>
    <x v="2"/>
    <n v="4549"/>
    <n v="3"/>
    <n v="0.14000000000000001"/>
    <n v="1353"/>
    <x v="2"/>
    <n v="11736.42"/>
    <x v="8"/>
    <n v="2024"/>
    <s v="Q3"/>
    <n v="0.11528217292837169"/>
    <n v="1910.5800000000002"/>
    <s v="High"/>
    <s v="Repeat"/>
    <s v="Above Avg"/>
    <s v="Profit"/>
    <n v="176"/>
  </r>
  <r>
    <n v="273"/>
    <d v="2024-09-29T00:00:00"/>
    <n v="1083"/>
    <s v="Customer_4"/>
    <s v="Corporate"/>
    <x v="0"/>
    <x v="2"/>
    <x v="1"/>
    <n v="1134"/>
    <n v="3"/>
    <n v="0.26"/>
    <n v="1911"/>
    <x v="0"/>
    <n v="2517.48"/>
    <x v="8"/>
    <n v="2024"/>
    <s v="Q3"/>
    <n v="0.75909242575909242"/>
    <n v="884.52"/>
    <s v="Medium"/>
    <s v="Repeat"/>
    <s v="Below Avg"/>
    <s v="Profit"/>
    <n v="409"/>
  </r>
  <r>
    <n v="274"/>
    <d v="2024-09-30T00:00:00"/>
    <n v="1081"/>
    <s v="Customer_100"/>
    <s v="Consumer"/>
    <x v="2"/>
    <x v="0"/>
    <x v="3"/>
    <n v="3921"/>
    <n v="3"/>
    <n v="0.03"/>
    <n v="-471"/>
    <x v="2"/>
    <n v="11410.11"/>
    <x v="8"/>
    <n v="2024"/>
    <s v="Q3"/>
    <n v="-4.1279181357585508E-2"/>
    <n v="352.89"/>
    <s v="High"/>
    <s v="Repeat"/>
    <s v="Above Avg"/>
    <s v="Loss"/>
    <n v="182"/>
  </r>
  <r>
    <n v="275"/>
    <d v="2024-10-01T00:00:00"/>
    <n v="1061"/>
    <s v="Customer_9"/>
    <s v="Consumer"/>
    <x v="3"/>
    <x v="0"/>
    <x v="3"/>
    <n v="3876"/>
    <n v="1"/>
    <n v="0.28999999999999998"/>
    <n v="71"/>
    <x v="0"/>
    <n v="2751.96"/>
    <x v="9"/>
    <n v="2024"/>
    <s v="Q4"/>
    <n v="2.5799793601651185E-2"/>
    <n v="1124.04"/>
    <s v="Medium"/>
    <s v="Repeat"/>
    <s v="Below Avg"/>
    <s v="Profit"/>
    <n v="401"/>
  </r>
  <r>
    <n v="276"/>
    <d v="2024-10-02T00:00:00"/>
    <n v="1014"/>
    <s v="Customer_16"/>
    <s v="Corporate"/>
    <x v="2"/>
    <x v="2"/>
    <x v="2"/>
    <n v="4808"/>
    <n v="5"/>
    <n v="0.04"/>
    <n v="860"/>
    <x v="2"/>
    <n v="23078.3999999999"/>
    <x v="9"/>
    <n v="2024"/>
    <s v="Q4"/>
    <n v="3.7264281752634659E-2"/>
    <n v="961.6"/>
    <s v="High"/>
    <s v="Repeat"/>
    <s v="Above Avg"/>
    <s v="Profit"/>
    <n v="58"/>
  </r>
  <r>
    <n v="277"/>
    <d v="2024-10-03T00:00:00"/>
    <n v="1078"/>
    <s v="Customer_96"/>
    <s v="Consumer"/>
    <x v="0"/>
    <x v="2"/>
    <x v="2"/>
    <n v="1839"/>
    <n v="2"/>
    <n v="0.09"/>
    <n v="1136"/>
    <x v="2"/>
    <n v="3346.98"/>
    <x v="9"/>
    <n v="2024"/>
    <s v="Q4"/>
    <n v="0.33941045360294952"/>
    <n v="331.02"/>
    <s v="Medium"/>
    <s v="Repeat"/>
    <s v="Below Avg"/>
    <s v="Profit"/>
    <n v="384"/>
  </r>
  <r>
    <n v="278"/>
    <d v="2024-10-04T00:00:00"/>
    <n v="1023"/>
    <s v="Customer_160"/>
    <s v="Consumer"/>
    <x v="2"/>
    <x v="2"/>
    <x v="1"/>
    <n v="535"/>
    <n v="7"/>
    <n v="0.05"/>
    <n v="-213"/>
    <x v="2"/>
    <n v="3557.75"/>
    <x v="9"/>
    <n v="2024"/>
    <s v="Q4"/>
    <n v="-5.9869299416766213E-2"/>
    <n v="187.25"/>
    <s v="Medium"/>
    <s v="Repeat"/>
    <s v="Below Avg"/>
    <s v="Loss"/>
    <n v="374"/>
  </r>
  <r>
    <n v="279"/>
    <d v="2024-10-05T00:00:00"/>
    <n v="1062"/>
    <s v="Customer_27"/>
    <s v="Corporate"/>
    <x v="3"/>
    <x v="0"/>
    <x v="2"/>
    <n v="592"/>
    <n v="4"/>
    <n v="0.14000000000000001"/>
    <n v="549"/>
    <x v="2"/>
    <n v="2036.48"/>
    <x v="9"/>
    <n v="2024"/>
    <s v="Q4"/>
    <n v="0.26958280955373981"/>
    <n v="331.52000000000004"/>
    <s v="Medium"/>
    <s v="Repeat"/>
    <s v="Below Avg"/>
    <s v="Profit"/>
    <n v="428"/>
  </r>
  <r>
    <n v="280"/>
    <d v="2024-10-06T00:00:00"/>
    <n v="1028"/>
    <s v="Customer_15"/>
    <s v="Consumer"/>
    <x v="2"/>
    <x v="0"/>
    <x v="0"/>
    <n v="4041"/>
    <n v="2"/>
    <n v="0.09"/>
    <n v="-358"/>
    <x v="0"/>
    <n v="7354.62"/>
    <x v="9"/>
    <n v="2024"/>
    <s v="Q4"/>
    <n v="-4.8676886093367164E-2"/>
    <n v="727.38"/>
    <s v="High"/>
    <s v="Repeat"/>
    <s v="Below Avg"/>
    <s v="Loss"/>
    <n v="267"/>
  </r>
  <r>
    <n v="281"/>
    <d v="2024-10-07T00:00:00"/>
    <n v="1080"/>
    <s v="Customer_68"/>
    <s v="Consumer"/>
    <x v="3"/>
    <x v="2"/>
    <x v="1"/>
    <n v="2216"/>
    <n v="8"/>
    <n v="0.3"/>
    <n v="618"/>
    <x v="2"/>
    <n v="12409.5999999999"/>
    <x v="9"/>
    <n v="2024"/>
    <s v="Q4"/>
    <n v="4.9800154718927681E-2"/>
    <n v="5318.4"/>
    <s v="High"/>
    <s v="Repeat"/>
    <s v="Above Avg"/>
    <s v="Profit"/>
    <n v="164"/>
  </r>
  <r>
    <n v="282"/>
    <d v="2024-10-08T00:00:00"/>
    <n v="1024"/>
    <s v="Customer_25"/>
    <s v="Consumer"/>
    <x v="3"/>
    <x v="2"/>
    <x v="0"/>
    <n v="2168"/>
    <n v="8"/>
    <n v="0"/>
    <n v="853"/>
    <x v="1"/>
    <n v="17344"/>
    <x v="9"/>
    <n v="2024"/>
    <s v="Q4"/>
    <n v="4.9181273062730631E-2"/>
    <n v="0"/>
    <s v="High"/>
    <s v="Repeat"/>
    <s v="Above Avg"/>
    <s v="Profit"/>
    <n v="101"/>
  </r>
  <r>
    <n v="283"/>
    <d v="2024-10-09T00:00:00"/>
    <n v="1015"/>
    <s v="Customer_15"/>
    <s v="Consumer"/>
    <x v="2"/>
    <x v="1"/>
    <x v="1"/>
    <n v="1828"/>
    <n v="1"/>
    <n v="0.1"/>
    <n v="892"/>
    <x v="2"/>
    <n v="1645.2"/>
    <x v="9"/>
    <n v="2024"/>
    <s v="Q4"/>
    <n v="0.54218332117675661"/>
    <n v="182.8"/>
    <s v="Low"/>
    <s v="Repeat"/>
    <s v="Below Avg"/>
    <s v="Profit"/>
    <n v="450"/>
  </r>
  <r>
    <n v="284"/>
    <d v="2024-10-10T00:00:00"/>
    <n v="1049"/>
    <s v="Customer_12"/>
    <s v="Corporate"/>
    <x v="0"/>
    <x v="0"/>
    <x v="2"/>
    <n v="2743"/>
    <n v="5"/>
    <n v="0.18"/>
    <n v="-288"/>
    <x v="2"/>
    <n v="11246.3"/>
    <x v="9"/>
    <n v="2024"/>
    <s v="Q4"/>
    <n v="-2.5608422325564855E-2"/>
    <n v="2468.6999999999998"/>
    <s v="High"/>
    <s v="Repeat"/>
    <s v="Above Avg"/>
    <s v="Loss"/>
    <n v="187"/>
  </r>
  <r>
    <n v="285"/>
    <d v="2024-10-11T00:00:00"/>
    <n v="1080"/>
    <s v="Customer_71"/>
    <s v="Corporate"/>
    <x v="3"/>
    <x v="1"/>
    <x v="3"/>
    <n v="3747"/>
    <n v="2"/>
    <n v="0.1"/>
    <n v="-334"/>
    <x v="1"/>
    <n v="6744.6"/>
    <x v="9"/>
    <n v="2024"/>
    <s v="Q4"/>
    <n v="-4.9521098360169616E-2"/>
    <n v="749.40000000000009"/>
    <s v="High"/>
    <s v="Repeat"/>
    <s v="Below Avg"/>
    <s v="Loss"/>
    <n v="281"/>
  </r>
  <r>
    <n v="286"/>
    <d v="2024-10-12T00:00:00"/>
    <n v="1084"/>
    <s v="Customer_152"/>
    <s v="Corporate"/>
    <x v="0"/>
    <x v="0"/>
    <x v="3"/>
    <n v="3612"/>
    <n v="9"/>
    <n v="0.14000000000000001"/>
    <n v="74"/>
    <x v="2"/>
    <n v="27956.880000000001"/>
    <x v="9"/>
    <n v="2024"/>
    <s v="Q4"/>
    <n v="2.6469334203244425E-3"/>
    <n v="4551.1200000000008"/>
    <s v="High"/>
    <s v="Repeat"/>
    <s v="Above Avg"/>
    <s v="Profit"/>
    <n v="31"/>
  </r>
  <r>
    <n v="287"/>
    <d v="2024-10-13T00:00:00"/>
    <n v="1090"/>
    <s v="Customer_70"/>
    <s v="Corporate"/>
    <x v="3"/>
    <x v="0"/>
    <x v="1"/>
    <n v="1459"/>
    <n v="2"/>
    <n v="0.13"/>
    <n v="-190"/>
    <x v="0"/>
    <n v="2538.66"/>
    <x v="9"/>
    <n v="2024"/>
    <s v="Q4"/>
    <n v="-7.4842633515319112E-2"/>
    <n v="379.34000000000003"/>
    <s v="Medium"/>
    <s v="Repeat"/>
    <s v="Below Avg"/>
    <s v="Loss"/>
    <n v="408"/>
  </r>
  <r>
    <n v="288"/>
    <d v="2024-10-14T00:00:00"/>
    <n v="1004"/>
    <s v="Customer_112"/>
    <s v="Corporate"/>
    <x v="0"/>
    <x v="0"/>
    <x v="0"/>
    <n v="2607"/>
    <n v="7"/>
    <n v="0.03"/>
    <n v="431"/>
    <x v="0"/>
    <n v="17701.53"/>
    <x v="9"/>
    <n v="2024"/>
    <s v="Q4"/>
    <n v="2.4348177812878322E-2"/>
    <n v="547.47"/>
    <s v="High"/>
    <s v="Repeat"/>
    <s v="Above Avg"/>
    <s v="Profit"/>
    <n v="93"/>
  </r>
  <r>
    <n v="289"/>
    <d v="2024-10-15T00:00:00"/>
    <n v="1021"/>
    <s v="Customer_169"/>
    <s v="Consumer"/>
    <x v="0"/>
    <x v="2"/>
    <x v="3"/>
    <n v="3261"/>
    <n v="2"/>
    <n v="0.19"/>
    <n v="1891"/>
    <x v="2"/>
    <n v="5282.82"/>
    <x v="9"/>
    <n v="2024"/>
    <s v="Q4"/>
    <n v="0.35795276007889726"/>
    <n v="1239.18"/>
    <s v="High"/>
    <s v="Repeat"/>
    <s v="Below Avg"/>
    <s v="Profit"/>
    <n v="317"/>
  </r>
  <r>
    <n v="290"/>
    <d v="2024-10-16T00:00:00"/>
    <n v="1032"/>
    <s v="Customer_60"/>
    <s v="Corporate"/>
    <x v="2"/>
    <x v="2"/>
    <x v="1"/>
    <n v="3495"/>
    <n v="2"/>
    <n v="0.25"/>
    <n v="1055"/>
    <x v="0"/>
    <n v="5242.5"/>
    <x v="9"/>
    <n v="2024"/>
    <s v="Q4"/>
    <n v="0.20123986647591799"/>
    <n v="1747.5"/>
    <s v="High"/>
    <s v="Repeat"/>
    <s v="Below Avg"/>
    <s v="Profit"/>
    <n v="318"/>
  </r>
  <r>
    <n v="291"/>
    <d v="2024-10-17T00:00:00"/>
    <n v="1039"/>
    <s v="Customer_31"/>
    <s v="Consumer"/>
    <x v="2"/>
    <x v="2"/>
    <x v="1"/>
    <n v="3159"/>
    <n v="1"/>
    <n v="0.16"/>
    <n v="528"/>
    <x v="2"/>
    <n v="2653.56"/>
    <x v="9"/>
    <n v="2024"/>
    <s v="Q4"/>
    <n v="0.19897797675575454"/>
    <n v="505.44"/>
    <s v="Medium"/>
    <s v="Repeat"/>
    <s v="Below Avg"/>
    <s v="Profit"/>
    <n v="406"/>
  </r>
  <r>
    <n v="292"/>
    <d v="2024-10-18T00:00:00"/>
    <n v="1001"/>
    <s v="Customer_149"/>
    <s v="Corporate"/>
    <x v="0"/>
    <x v="2"/>
    <x v="3"/>
    <n v="2792"/>
    <n v="1"/>
    <n v="0.04"/>
    <n v="1424"/>
    <x v="1"/>
    <n v="2680.3199999999902"/>
    <x v="9"/>
    <n v="2024"/>
    <s v="Q4"/>
    <n v="0.53127984718242793"/>
    <n v="111.68"/>
    <s v="Medium"/>
    <s v="Repeat"/>
    <s v="Below Avg"/>
    <s v="Profit"/>
    <n v="404"/>
  </r>
  <r>
    <n v="293"/>
    <d v="2024-10-19T00:00:00"/>
    <n v="1098"/>
    <s v="Customer_60"/>
    <s v="Corporate"/>
    <x v="2"/>
    <x v="2"/>
    <x v="3"/>
    <n v="462"/>
    <n v="9"/>
    <n v="0.14000000000000001"/>
    <n v="448"/>
    <x v="0"/>
    <n v="3575.88"/>
    <x v="9"/>
    <n v="2024"/>
    <s v="Q4"/>
    <n v="0.12528384621407876"/>
    <n v="582.12"/>
    <s v="Medium"/>
    <s v="Repeat"/>
    <s v="Below Avg"/>
    <s v="Profit"/>
    <n v="372"/>
  </r>
  <r>
    <n v="294"/>
    <d v="2024-10-20T00:00:00"/>
    <n v="1082"/>
    <s v="Customer_75"/>
    <s v="Corporate"/>
    <x v="3"/>
    <x v="0"/>
    <x v="0"/>
    <n v="373"/>
    <n v="2"/>
    <n v="0"/>
    <n v="509"/>
    <x v="2"/>
    <n v="746"/>
    <x v="9"/>
    <n v="2024"/>
    <s v="Q4"/>
    <n v="0.68230563002680966"/>
    <n v="0"/>
    <s v="Low"/>
    <s v="Repeat"/>
    <s v="Below Avg"/>
    <s v="Profit"/>
    <n v="483"/>
  </r>
  <r>
    <n v="295"/>
    <d v="2024-10-21T00:00:00"/>
    <n v="1090"/>
    <s v="Customer_14"/>
    <s v="Corporate"/>
    <x v="0"/>
    <x v="1"/>
    <x v="2"/>
    <n v="4106"/>
    <n v="3"/>
    <n v="0.27"/>
    <n v="1883"/>
    <x v="0"/>
    <n v="8992.14"/>
    <x v="9"/>
    <n v="2024"/>
    <s v="Q4"/>
    <n v="0.20940510267856152"/>
    <n v="3325.86"/>
    <s v="High"/>
    <s v="Repeat"/>
    <s v="Below Avg"/>
    <s v="Profit"/>
    <n v="231"/>
  </r>
  <r>
    <n v="296"/>
    <d v="2024-10-22T00:00:00"/>
    <n v="1035"/>
    <s v="Customer_102"/>
    <s v="Corporate"/>
    <x v="1"/>
    <x v="1"/>
    <x v="0"/>
    <n v="3188"/>
    <n v="9"/>
    <n v="7.0000000000000007E-2"/>
    <n v="956"/>
    <x v="2"/>
    <n v="26683.559999999899"/>
    <x v="9"/>
    <n v="2024"/>
    <s v="Q4"/>
    <n v="3.5827303403294146E-2"/>
    <n v="2008.4400000000003"/>
    <s v="High"/>
    <s v="Repeat"/>
    <s v="Above Avg"/>
    <s v="Profit"/>
    <n v="35"/>
  </r>
  <r>
    <n v="297"/>
    <d v="2024-10-23T00:00:00"/>
    <n v="1058"/>
    <s v="Customer_82"/>
    <s v="Consumer"/>
    <x v="0"/>
    <x v="1"/>
    <x v="1"/>
    <n v="3427"/>
    <n v="6"/>
    <n v="0.27"/>
    <n v="803"/>
    <x v="1"/>
    <n v="15010.26"/>
    <x v="9"/>
    <n v="2024"/>
    <s v="Q4"/>
    <n v="5.3496741562104856E-2"/>
    <n v="5551.7400000000007"/>
    <s v="High"/>
    <s v="Repeat"/>
    <s v="Above Avg"/>
    <s v="Profit"/>
    <n v="138"/>
  </r>
  <r>
    <n v="298"/>
    <d v="2024-10-24T00:00:00"/>
    <n v="1038"/>
    <s v="Customer_14"/>
    <s v="Consumer"/>
    <x v="3"/>
    <x v="1"/>
    <x v="1"/>
    <n v="227"/>
    <n v="6"/>
    <n v="0.18"/>
    <n v="1807"/>
    <x v="2"/>
    <n v="1116.8399999999999"/>
    <x v="9"/>
    <n v="2024"/>
    <s v="Q4"/>
    <n v="1.6179578095340426"/>
    <n v="245.16"/>
    <s v="Low"/>
    <s v="Repeat"/>
    <s v="Below Avg"/>
    <s v="Profit"/>
    <n v="475"/>
  </r>
  <r>
    <n v="299"/>
    <d v="2024-10-25T00:00:00"/>
    <n v="1001"/>
    <s v="Customer_152"/>
    <s v="Corporate"/>
    <x v="3"/>
    <x v="2"/>
    <x v="2"/>
    <n v="3346"/>
    <n v="9"/>
    <n v="0.28999999999999998"/>
    <n v="784"/>
    <x v="0"/>
    <n v="21380.94"/>
    <x v="9"/>
    <n v="2024"/>
    <s v="Q4"/>
    <n v="3.6668172680901778E-2"/>
    <n v="8733.06"/>
    <s v="High"/>
    <s v="Repeat"/>
    <s v="Above Avg"/>
    <s v="Profit"/>
    <n v="72"/>
  </r>
  <r>
    <n v="300"/>
    <d v="2024-10-26T00:00:00"/>
    <n v="1052"/>
    <s v="Customer_25"/>
    <s v="Corporate"/>
    <x v="3"/>
    <x v="1"/>
    <x v="0"/>
    <n v="1300"/>
    <n v="7"/>
    <n v="0.25"/>
    <n v="-190"/>
    <x v="0"/>
    <n v="6825"/>
    <x v="9"/>
    <n v="2024"/>
    <s v="Q4"/>
    <n v="-2.7838827838827841E-2"/>
    <n v="2275"/>
    <s v="High"/>
    <s v="Repeat"/>
    <s v="Below Avg"/>
    <s v="Loss"/>
    <n v="276"/>
  </r>
  <r>
    <n v="301"/>
    <d v="2024-10-27T00:00:00"/>
    <n v="1017"/>
    <s v="Customer_109"/>
    <s v="Corporate"/>
    <x v="3"/>
    <x v="1"/>
    <x v="0"/>
    <n v="3165"/>
    <n v="3"/>
    <n v="0"/>
    <n v="286"/>
    <x v="1"/>
    <n v="9495"/>
    <x v="9"/>
    <n v="2024"/>
    <s v="Q4"/>
    <n v="3.0121116377040548E-2"/>
    <n v="0"/>
    <s v="High"/>
    <s v="Repeat"/>
    <s v="Below Avg"/>
    <s v="Profit"/>
    <n v="216"/>
  </r>
  <r>
    <n v="302"/>
    <d v="2024-10-28T00:00:00"/>
    <n v="1045"/>
    <s v="Customer_108"/>
    <s v="Corporate"/>
    <x v="0"/>
    <x v="1"/>
    <x v="0"/>
    <n v="4359"/>
    <n v="9"/>
    <n v="0"/>
    <n v="198"/>
    <x v="1"/>
    <n v="39231"/>
    <x v="9"/>
    <n v="2024"/>
    <s v="Q4"/>
    <n v="5.0470291351227348E-3"/>
    <n v="0"/>
    <s v="High"/>
    <s v="Repeat"/>
    <s v="Above Avg"/>
    <s v="Profit"/>
    <n v="3"/>
  </r>
  <r>
    <n v="303"/>
    <d v="2024-10-29T00:00:00"/>
    <n v="1022"/>
    <s v="Customer_156"/>
    <s v="Consumer"/>
    <x v="2"/>
    <x v="0"/>
    <x v="3"/>
    <n v="4615"/>
    <n v="4"/>
    <n v="0.22"/>
    <n v="247"/>
    <x v="2"/>
    <n v="14398.8"/>
    <x v="9"/>
    <n v="2024"/>
    <s v="Q4"/>
    <n v="1.7154207295052366E-2"/>
    <n v="4061.2"/>
    <s v="High"/>
    <s v="Repeat"/>
    <s v="Above Avg"/>
    <s v="Profit"/>
    <n v="145"/>
  </r>
  <r>
    <n v="304"/>
    <d v="2024-10-30T00:00:00"/>
    <n v="1053"/>
    <s v="Customer_88"/>
    <s v="Consumer"/>
    <x v="3"/>
    <x v="1"/>
    <x v="1"/>
    <n v="3662"/>
    <n v="3"/>
    <n v="0.16"/>
    <n v="1555"/>
    <x v="2"/>
    <n v="9228.24"/>
    <x v="9"/>
    <n v="2024"/>
    <s v="Q4"/>
    <n v="0.16850450356731078"/>
    <n v="1757.76"/>
    <s v="High"/>
    <s v="New"/>
    <s v="Below Avg"/>
    <s v="Profit"/>
    <n v="226"/>
  </r>
  <r>
    <n v="305"/>
    <d v="2024-10-31T00:00:00"/>
    <n v="1089"/>
    <s v="Customer_18"/>
    <s v="Corporate"/>
    <x v="0"/>
    <x v="0"/>
    <x v="0"/>
    <n v="170"/>
    <n v="9"/>
    <n v="0.23"/>
    <n v="291"/>
    <x v="2"/>
    <n v="1178.0999999999999"/>
    <x v="9"/>
    <n v="2024"/>
    <s v="Q4"/>
    <n v="0.24700789406671761"/>
    <n v="351.90000000000003"/>
    <s v="Low"/>
    <s v="Repeat"/>
    <s v="Below Avg"/>
    <s v="Profit"/>
    <n v="470"/>
  </r>
  <r>
    <n v="306"/>
    <d v="2024-11-01T00:00:00"/>
    <n v="1074"/>
    <s v="Customer_57"/>
    <s v="Corporate"/>
    <x v="0"/>
    <x v="0"/>
    <x v="3"/>
    <n v="4005"/>
    <n v="3"/>
    <n v="0.18"/>
    <n v="940"/>
    <x v="2"/>
    <n v="9852.2999999999993"/>
    <x v="10"/>
    <n v="2024"/>
    <s v="Q4"/>
    <n v="9.5409193792312469E-2"/>
    <n v="2162.6999999999998"/>
    <s v="High"/>
    <s v="Repeat"/>
    <s v="Below Avg"/>
    <s v="Profit"/>
    <n v="206"/>
  </r>
  <r>
    <n v="307"/>
    <d v="2024-11-02T00:00:00"/>
    <n v="1000"/>
    <s v="Customer_98"/>
    <s v="Consumer"/>
    <x v="0"/>
    <x v="0"/>
    <x v="3"/>
    <n v="568"/>
    <n v="1"/>
    <n v="7.0000000000000007E-2"/>
    <n v="1894"/>
    <x v="0"/>
    <n v="528.24"/>
    <x v="10"/>
    <n v="2024"/>
    <s v="Q4"/>
    <n v="3.585491443283356"/>
    <n v="39.760000000000005"/>
    <s v="Low"/>
    <s v="Repeat"/>
    <s v="Below Avg"/>
    <s v="Profit"/>
    <n v="490"/>
  </r>
  <r>
    <n v="308"/>
    <d v="2024-11-03T00:00:00"/>
    <n v="1035"/>
    <s v="Customer_170"/>
    <s v="Consumer"/>
    <x v="3"/>
    <x v="1"/>
    <x v="0"/>
    <n v="3660"/>
    <n v="3"/>
    <n v="0.24"/>
    <n v="1824"/>
    <x v="2"/>
    <n v="8344.7999999999993"/>
    <x v="10"/>
    <n v="2024"/>
    <s v="Q4"/>
    <n v="0.21857923497267762"/>
    <n v="2635.2"/>
    <s v="High"/>
    <s v="Repeat"/>
    <s v="Below Avg"/>
    <s v="Profit"/>
    <n v="241"/>
  </r>
  <r>
    <n v="309"/>
    <d v="2024-11-04T00:00:00"/>
    <n v="1083"/>
    <s v="Customer_67"/>
    <s v="Corporate"/>
    <x v="1"/>
    <x v="2"/>
    <x v="1"/>
    <n v="2023"/>
    <n v="3"/>
    <n v="0.01"/>
    <n v="356"/>
    <x v="1"/>
    <n v="6008.31"/>
    <x v="10"/>
    <n v="2024"/>
    <s v="Q4"/>
    <n v="5.9251270323934679E-2"/>
    <n v="60.69"/>
    <s v="High"/>
    <s v="Repeat"/>
    <s v="Below Avg"/>
    <s v="Profit"/>
    <n v="297"/>
  </r>
  <r>
    <n v="310"/>
    <d v="2024-11-05T00:00:00"/>
    <n v="1094"/>
    <s v="Customer_140"/>
    <s v="Consumer"/>
    <x v="3"/>
    <x v="1"/>
    <x v="2"/>
    <n v="3079"/>
    <n v="5"/>
    <n v="0.24"/>
    <n v="1522"/>
    <x v="0"/>
    <n v="11700.2"/>
    <x v="10"/>
    <n v="2024"/>
    <s v="Q4"/>
    <n v="0.13008324644023178"/>
    <n v="3694.7999999999997"/>
    <s v="High"/>
    <s v="Repeat"/>
    <s v="Above Avg"/>
    <s v="Profit"/>
    <n v="178"/>
  </r>
  <r>
    <n v="311"/>
    <d v="2024-11-06T00:00:00"/>
    <n v="1071"/>
    <s v="Customer_164"/>
    <s v="Corporate"/>
    <x v="0"/>
    <x v="2"/>
    <x v="2"/>
    <n v="4122"/>
    <n v="9"/>
    <n v="0.2"/>
    <n v="-297"/>
    <x v="1"/>
    <n v="29678.400000000001"/>
    <x v="10"/>
    <n v="2024"/>
    <s v="Q4"/>
    <n v="-1.0007278020378457E-2"/>
    <n v="7419.6"/>
    <s v="High"/>
    <s v="Repeat"/>
    <s v="Above Avg"/>
    <s v="Loss"/>
    <n v="25"/>
  </r>
  <r>
    <n v="312"/>
    <d v="2024-11-07T00:00:00"/>
    <n v="1039"/>
    <s v="Customer_69"/>
    <s v="Corporate"/>
    <x v="3"/>
    <x v="1"/>
    <x v="0"/>
    <n v="4319"/>
    <n v="7"/>
    <n v="0.2"/>
    <n v="1668"/>
    <x v="0"/>
    <n v="24186.400000000001"/>
    <x v="10"/>
    <n v="2024"/>
    <s v="Q4"/>
    <n v="6.896437667449476E-2"/>
    <n v="6046.6"/>
    <s v="High"/>
    <s v="Repeat"/>
    <s v="Above Avg"/>
    <s v="Profit"/>
    <n v="50"/>
  </r>
  <r>
    <n v="313"/>
    <d v="2024-11-08T00:00:00"/>
    <n v="1087"/>
    <s v="Customer_83"/>
    <s v="Consumer"/>
    <x v="2"/>
    <x v="1"/>
    <x v="1"/>
    <n v="4618"/>
    <n v="3"/>
    <n v="0.01"/>
    <n v="1802"/>
    <x v="2"/>
    <n v="13715.46"/>
    <x v="10"/>
    <n v="2024"/>
    <s v="Q4"/>
    <n v="0.13138458352836874"/>
    <n v="138.54"/>
    <s v="High"/>
    <s v="Repeat"/>
    <s v="Above Avg"/>
    <s v="Profit"/>
    <n v="150"/>
  </r>
  <r>
    <n v="314"/>
    <d v="2024-11-09T00:00:00"/>
    <n v="1083"/>
    <s v="Customer_76"/>
    <s v="Corporate"/>
    <x v="1"/>
    <x v="2"/>
    <x v="2"/>
    <n v="666"/>
    <n v="3"/>
    <n v="0.06"/>
    <n v="-107"/>
    <x v="0"/>
    <n v="1878.12"/>
    <x v="10"/>
    <n v="2024"/>
    <s v="Q4"/>
    <n v="-5.6971865482503783E-2"/>
    <n v="119.88"/>
    <s v="Low"/>
    <s v="Repeat"/>
    <s v="Below Avg"/>
    <s v="Loss"/>
    <n v="437"/>
  </r>
  <r>
    <n v="315"/>
    <d v="2024-11-10T00:00:00"/>
    <n v="1078"/>
    <s v="Customer_91"/>
    <s v="Corporate"/>
    <x v="1"/>
    <x v="0"/>
    <x v="1"/>
    <n v="3227"/>
    <n v="4"/>
    <n v="0.15"/>
    <n v="200"/>
    <x v="2"/>
    <n v="10971.8"/>
    <x v="10"/>
    <n v="2024"/>
    <s v="Q4"/>
    <n v="1.8228549554311965E-2"/>
    <n v="1936.1999999999998"/>
    <s v="High"/>
    <s v="Repeat"/>
    <s v="Above Avg"/>
    <s v="Profit"/>
    <n v="193"/>
  </r>
  <r>
    <n v="316"/>
    <d v="2024-11-11T00:00:00"/>
    <n v="1029"/>
    <s v="Customer_17"/>
    <s v="Corporate"/>
    <x v="3"/>
    <x v="0"/>
    <x v="2"/>
    <n v="4116"/>
    <n v="7"/>
    <n v="0.13"/>
    <n v="1791"/>
    <x v="0"/>
    <n v="25066.44"/>
    <x v="10"/>
    <n v="2024"/>
    <s v="Q4"/>
    <n v="7.1450114176564369E-2"/>
    <n v="3745.56"/>
    <s v="High"/>
    <s v="Repeat"/>
    <s v="Above Avg"/>
    <s v="Profit"/>
    <n v="41"/>
  </r>
  <r>
    <n v="317"/>
    <d v="2024-11-12T00:00:00"/>
    <n v="1019"/>
    <s v="Customer_171"/>
    <s v="Corporate"/>
    <x v="1"/>
    <x v="0"/>
    <x v="3"/>
    <n v="1265"/>
    <n v="4"/>
    <n v="0.01"/>
    <n v="458"/>
    <x v="1"/>
    <n v="5009.3999999999996"/>
    <x v="10"/>
    <n v="2024"/>
    <s v="Q4"/>
    <n v="9.1428115143530164E-2"/>
    <n v="50.6"/>
    <s v="High"/>
    <s v="Repeat"/>
    <s v="Below Avg"/>
    <s v="Profit"/>
    <n v="322"/>
  </r>
  <r>
    <n v="318"/>
    <d v="2024-11-13T00:00:00"/>
    <n v="1037"/>
    <s v="Customer_92"/>
    <s v="Corporate"/>
    <x v="1"/>
    <x v="2"/>
    <x v="1"/>
    <n v="4336"/>
    <n v="9"/>
    <n v="0.1"/>
    <n v="-99"/>
    <x v="2"/>
    <n v="35121.599999999999"/>
    <x v="10"/>
    <n v="2024"/>
    <s v="Q4"/>
    <n v="-2.8187781877818778E-3"/>
    <n v="3902.4"/>
    <s v="High"/>
    <s v="Repeat"/>
    <s v="Above Avg"/>
    <s v="Loss"/>
    <n v="10"/>
  </r>
  <r>
    <n v="319"/>
    <d v="2024-11-14T00:00:00"/>
    <n v="1001"/>
    <s v="Customer_40"/>
    <s v="Corporate"/>
    <x v="0"/>
    <x v="1"/>
    <x v="2"/>
    <n v="1915"/>
    <n v="3"/>
    <n v="0.28999999999999998"/>
    <n v="1599"/>
    <x v="1"/>
    <n v="4078.95"/>
    <x v="10"/>
    <n v="2024"/>
    <s v="Q4"/>
    <n v="0.39201265031441918"/>
    <n v="1666.05"/>
    <s v="Medium"/>
    <s v="Repeat"/>
    <s v="Below Avg"/>
    <s v="Profit"/>
    <n v="349"/>
  </r>
  <r>
    <n v="320"/>
    <d v="2024-11-15T00:00:00"/>
    <n v="1005"/>
    <s v="Customer_22"/>
    <s v="Corporate"/>
    <x v="0"/>
    <x v="1"/>
    <x v="0"/>
    <n v="4067"/>
    <n v="7"/>
    <n v="0.09"/>
    <n v="1720"/>
    <x v="0"/>
    <n v="25906.79"/>
    <x v="10"/>
    <n v="2024"/>
    <s v="Q4"/>
    <n v="6.6391860975443112E-2"/>
    <n v="2562.21"/>
    <s v="High"/>
    <s v="Repeat"/>
    <s v="Above Avg"/>
    <s v="Profit"/>
    <n v="40"/>
  </r>
  <r>
    <n v="321"/>
    <d v="2024-11-16T00:00:00"/>
    <n v="1081"/>
    <s v="Customer_192"/>
    <s v="Corporate"/>
    <x v="1"/>
    <x v="2"/>
    <x v="1"/>
    <n v="240"/>
    <n v="9"/>
    <n v="0.19"/>
    <n v="271"/>
    <x v="1"/>
    <n v="1749.6"/>
    <x v="10"/>
    <n v="2024"/>
    <s v="Q4"/>
    <n v="0.15489254686785553"/>
    <n v="410.4"/>
    <s v="Low"/>
    <s v="Repeat"/>
    <s v="Below Avg"/>
    <s v="Profit"/>
    <n v="443"/>
  </r>
  <r>
    <n v="322"/>
    <d v="2024-11-17T00:00:00"/>
    <n v="1035"/>
    <s v="Customer_138"/>
    <s v="Consumer"/>
    <x v="3"/>
    <x v="0"/>
    <x v="1"/>
    <n v="3410"/>
    <n v="5"/>
    <n v="0.2"/>
    <n v="1549"/>
    <x v="1"/>
    <n v="13640"/>
    <x v="10"/>
    <n v="2024"/>
    <s v="Q4"/>
    <n v="0.11356304985337243"/>
    <n v="3410"/>
    <s v="High"/>
    <s v="Repeat"/>
    <s v="Above Avg"/>
    <s v="Profit"/>
    <n v="151"/>
  </r>
  <r>
    <n v="323"/>
    <d v="2024-11-18T00:00:00"/>
    <n v="1077"/>
    <s v="Customer_105"/>
    <s v="Consumer"/>
    <x v="1"/>
    <x v="1"/>
    <x v="1"/>
    <n v="601"/>
    <n v="4"/>
    <n v="0.19"/>
    <n v="-310"/>
    <x v="2"/>
    <n v="1947.24"/>
    <x v="10"/>
    <n v="2024"/>
    <s v="Q4"/>
    <n v="-0.15919968776319304"/>
    <n v="456.76"/>
    <s v="Low"/>
    <s v="Repeat"/>
    <s v="Below Avg"/>
    <s v="Loss"/>
    <n v="433"/>
  </r>
  <r>
    <n v="324"/>
    <d v="2024-11-19T00:00:00"/>
    <n v="1025"/>
    <s v="Customer_134"/>
    <s v="Corporate"/>
    <x v="0"/>
    <x v="2"/>
    <x v="2"/>
    <n v="1554"/>
    <n v="2"/>
    <n v="0.09"/>
    <n v="1816"/>
    <x v="2"/>
    <n v="2828.28"/>
    <x v="10"/>
    <n v="2024"/>
    <s v="Q4"/>
    <n v="0.64208635637207057"/>
    <n v="279.71999999999997"/>
    <s v="Medium"/>
    <s v="Repeat"/>
    <s v="Below Avg"/>
    <s v="Profit"/>
    <n v="398"/>
  </r>
  <r>
    <n v="325"/>
    <d v="2024-11-20T00:00:00"/>
    <n v="1097"/>
    <s v="Customer_17"/>
    <s v="Consumer"/>
    <x v="0"/>
    <x v="2"/>
    <x v="3"/>
    <n v="4379"/>
    <n v="5"/>
    <n v="0.17"/>
    <n v="884"/>
    <x v="0"/>
    <n v="18172.849999999999"/>
    <x v="10"/>
    <n v="2024"/>
    <s v="Q4"/>
    <n v="4.8643993649867802E-2"/>
    <n v="3722.15"/>
    <s v="High"/>
    <s v="Repeat"/>
    <s v="Above Avg"/>
    <s v="Profit"/>
    <n v="90"/>
  </r>
  <r>
    <n v="326"/>
    <d v="2024-11-21T00:00:00"/>
    <n v="1093"/>
    <s v="Customer_76"/>
    <s v="Corporate"/>
    <x v="1"/>
    <x v="1"/>
    <x v="3"/>
    <n v="635"/>
    <n v="3"/>
    <n v="0.21"/>
    <n v="895"/>
    <x v="1"/>
    <n v="1504.95"/>
    <x v="10"/>
    <n v="2024"/>
    <s v="Q4"/>
    <n v="0.59470414299478391"/>
    <n v="400.05"/>
    <s v="Low"/>
    <s v="Repeat"/>
    <s v="Below Avg"/>
    <s v="Profit"/>
    <n v="457"/>
  </r>
  <r>
    <n v="327"/>
    <d v="2024-11-22T00:00:00"/>
    <n v="1070"/>
    <s v="Customer_191"/>
    <s v="Consumer"/>
    <x v="1"/>
    <x v="2"/>
    <x v="2"/>
    <n v="2260"/>
    <n v="3"/>
    <n v="0.11"/>
    <n v="1691"/>
    <x v="0"/>
    <n v="6034.2"/>
    <x v="10"/>
    <n v="2024"/>
    <s v="Q4"/>
    <n v="0.28023598820058998"/>
    <n v="745.8"/>
    <s v="High"/>
    <s v="Repeat"/>
    <s v="Below Avg"/>
    <s v="Profit"/>
    <n v="295"/>
  </r>
  <r>
    <n v="328"/>
    <d v="2024-11-23T00:00:00"/>
    <n v="1058"/>
    <s v="Customer_198"/>
    <s v="Consumer"/>
    <x v="2"/>
    <x v="2"/>
    <x v="3"/>
    <n v="4341"/>
    <n v="7"/>
    <n v="0.08"/>
    <n v="-164"/>
    <x v="2"/>
    <n v="27956.04"/>
    <x v="10"/>
    <n v="2024"/>
    <s v="Q4"/>
    <n v="-5.8663530314021581E-3"/>
    <n v="2430.96"/>
    <s v="High"/>
    <s v="Repeat"/>
    <s v="Above Avg"/>
    <s v="Loss"/>
    <n v="32"/>
  </r>
  <r>
    <n v="329"/>
    <d v="2024-11-24T00:00:00"/>
    <n v="1029"/>
    <s v="Customer_178"/>
    <s v="Consumer"/>
    <x v="2"/>
    <x v="0"/>
    <x v="3"/>
    <n v="2929"/>
    <n v="6"/>
    <n v="0.08"/>
    <n v="122"/>
    <x v="2"/>
    <n v="16168.08"/>
    <x v="10"/>
    <n v="2024"/>
    <s v="Q4"/>
    <n v="7.5457320844528235E-3"/>
    <n v="1405.92"/>
    <s v="High"/>
    <s v="Repeat"/>
    <s v="Above Avg"/>
    <s v="Profit"/>
    <n v="123"/>
  </r>
  <r>
    <n v="330"/>
    <d v="2024-11-25T00:00:00"/>
    <n v="1081"/>
    <s v="Customer_80"/>
    <s v="Corporate"/>
    <x v="3"/>
    <x v="2"/>
    <x v="0"/>
    <n v="4483"/>
    <n v="3"/>
    <n v="0.28000000000000003"/>
    <n v="1527"/>
    <x v="1"/>
    <n v="9683.2799999999897"/>
    <x v="10"/>
    <n v="2024"/>
    <s v="Q4"/>
    <n v="0.15769450021067258"/>
    <n v="3765.7200000000003"/>
    <s v="High"/>
    <s v="Repeat"/>
    <s v="Below Avg"/>
    <s v="Profit"/>
    <n v="209"/>
  </r>
  <r>
    <n v="331"/>
    <d v="2024-11-26T00:00:00"/>
    <n v="1021"/>
    <s v="Customer_196"/>
    <s v="Corporate"/>
    <x v="0"/>
    <x v="0"/>
    <x v="3"/>
    <n v="1725"/>
    <n v="9"/>
    <n v="0.19"/>
    <n v="508"/>
    <x v="2"/>
    <n v="12575.25"/>
    <x v="10"/>
    <n v="2024"/>
    <s v="Q4"/>
    <n v="4.0396811196596487E-2"/>
    <n v="2949.75"/>
    <s v="High"/>
    <s v="Repeat"/>
    <s v="Above Avg"/>
    <s v="Profit"/>
    <n v="162"/>
  </r>
  <r>
    <n v="332"/>
    <d v="2024-11-27T00:00:00"/>
    <n v="1016"/>
    <s v="Customer_153"/>
    <s v="Consumer"/>
    <x v="0"/>
    <x v="2"/>
    <x v="2"/>
    <n v="4547"/>
    <n v="7"/>
    <n v="0.23"/>
    <n v="695"/>
    <x v="0"/>
    <n v="24508.33"/>
    <x v="10"/>
    <n v="2024"/>
    <s v="Q4"/>
    <n v="2.8357705318967058E-2"/>
    <n v="7320.67"/>
    <s v="High"/>
    <s v="Repeat"/>
    <s v="Above Avg"/>
    <s v="Profit"/>
    <n v="47"/>
  </r>
  <r>
    <n v="333"/>
    <d v="2024-11-28T00:00:00"/>
    <n v="1030"/>
    <s v="Customer_33"/>
    <s v="Consumer"/>
    <x v="0"/>
    <x v="0"/>
    <x v="2"/>
    <n v="2252"/>
    <n v="8"/>
    <n v="0.17"/>
    <n v="1739"/>
    <x v="1"/>
    <n v="14953.279999999901"/>
    <x v="10"/>
    <n v="2024"/>
    <s v="Q4"/>
    <n v="0.11629555522266764"/>
    <n v="3062.7200000000003"/>
    <s v="High"/>
    <s v="Repeat"/>
    <s v="Above Avg"/>
    <s v="Profit"/>
    <n v="140"/>
  </r>
  <r>
    <n v="334"/>
    <d v="2024-11-29T00:00:00"/>
    <n v="1055"/>
    <s v="Customer_1"/>
    <s v="Corporate"/>
    <x v="2"/>
    <x v="1"/>
    <x v="2"/>
    <n v="3427"/>
    <n v="4"/>
    <n v="0.19"/>
    <n v="922"/>
    <x v="1"/>
    <n v="11103.48"/>
    <x v="10"/>
    <n v="2024"/>
    <s v="Q4"/>
    <n v="8.3037029832088688E-2"/>
    <n v="2604.52"/>
    <s v="High"/>
    <s v="Repeat"/>
    <s v="Above Avg"/>
    <s v="Profit"/>
    <n v="188"/>
  </r>
  <r>
    <n v="335"/>
    <d v="2024-11-30T00:00:00"/>
    <n v="1080"/>
    <s v="Customer_79"/>
    <s v="Consumer"/>
    <x v="3"/>
    <x v="1"/>
    <x v="0"/>
    <n v="370"/>
    <n v="7"/>
    <n v="0.08"/>
    <n v="1381"/>
    <x v="1"/>
    <n v="2382.8000000000002"/>
    <x v="10"/>
    <n v="2024"/>
    <s v="Q4"/>
    <n v="0.57957025348329694"/>
    <n v="207.20000000000002"/>
    <s v="Medium"/>
    <s v="Repeat"/>
    <s v="Below Avg"/>
    <s v="Profit"/>
    <n v="413"/>
  </r>
  <r>
    <n v="336"/>
    <d v="2024-12-01T00:00:00"/>
    <n v="1030"/>
    <s v="Customer_128"/>
    <s v="Consumer"/>
    <x v="0"/>
    <x v="0"/>
    <x v="1"/>
    <n v="4426"/>
    <n v="9"/>
    <n v="0.27"/>
    <n v="-447"/>
    <x v="1"/>
    <n v="29078.82"/>
    <x v="11"/>
    <n v="2024"/>
    <s v="Q4"/>
    <n v="-1.537201303216568E-2"/>
    <n v="10755.18"/>
    <s v="High"/>
    <s v="Repeat"/>
    <s v="Above Avg"/>
    <s v="Loss"/>
    <n v="26"/>
  </r>
  <r>
    <n v="337"/>
    <d v="2024-12-02T00:00:00"/>
    <n v="1012"/>
    <s v="Customer_145"/>
    <s v="Corporate"/>
    <x v="2"/>
    <x v="1"/>
    <x v="3"/>
    <n v="3915"/>
    <n v="8"/>
    <n v="0.15"/>
    <n v="-47"/>
    <x v="1"/>
    <n v="26622"/>
    <x v="11"/>
    <n v="2024"/>
    <s v="Q4"/>
    <n v="-1.7654571407106905E-3"/>
    <n v="4698"/>
    <s v="High"/>
    <s v="Repeat"/>
    <s v="Above Avg"/>
    <s v="Loss"/>
    <n v="36"/>
  </r>
  <r>
    <n v="338"/>
    <d v="2024-12-03T00:00:00"/>
    <n v="1090"/>
    <s v="Customer_171"/>
    <s v="Consumer"/>
    <x v="3"/>
    <x v="2"/>
    <x v="2"/>
    <n v="1456"/>
    <n v="7"/>
    <n v="0.24"/>
    <n v="-31"/>
    <x v="1"/>
    <n v="7745.92"/>
    <x v="11"/>
    <n v="2024"/>
    <s v="Q4"/>
    <n v="-4.0021069156407499E-3"/>
    <n v="2446.08"/>
    <s v="High"/>
    <s v="Repeat"/>
    <s v="Below Avg"/>
    <s v="Loss"/>
    <n v="258"/>
  </r>
  <r>
    <n v="339"/>
    <d v="2024-12-04T00:00:00"/>
    <n v="1083"/>
    <s v="Customer_186"/>
    <s v="Corporate"/>
    <x v="1"/>
    <x v="0"/>
    <x v="0"/>
    <n v="4189"/>
    <n v="5"/>
    <n v="0.16"/>
    <n v="798"/>
    <x v="1"/>
    <n v="17593.8"/>
    <x v="11"/>
    <n v="2024"/>
    <s v="Q4"/>
    <n v="4.5356887085223209E-2"/>
    <n v="3351.2000000000003"/>
    <s v="High"/>
    <s v="Repeat"/>
    <s v="Above Avg"/>
    <s v="Profit"/>
    <n v="95"/>
  </r>
  <r>
    <n v="340"/>
    <d v="2024-12-05T00:00:00"/>
    <n v="1016"/>
    <s v="Customer_147"/>
    <s v="Consumer"/>
    <x v="1"/>
    <x v="0"/>
    <x v="3"/>
    <n v="190"/>
    <n v="8"/>
    <n v="0.03"/>
    <n v="728"/>
    <x v="1"/>
    <n v="1474.3999999999901"/>
    <x v="11"/>
    <n v="2024"/>
    <s v="Q4"/>
    <n v="0.4937601736299545"/>
    <n v="45.6"/>
    <s v="Low"/>
    <s v="Repeat"/>
    <s v="Below Avg"/>
    <s v="Profit"/>
    <n v="458"/>
  </r>
  <r>
    <n v="341"/>
    <d v="2024-12-06T00:00:00"/>
    <n v="1092"/>
    <s v="Customer_54"/>
    <s v="Corporate"/>
    <x v="1"/>
    <x v="1"/>
    <x v="1"/>
    <n v="2277"/>
    <n v="8"/>
    <n v="0.03"/>
    <n v="297"/>
    <x v="0"/>
    <n v="17669.52"/>
    <x v="11"/>
    <n v="2024"/>
    <s v="Q4"/>
    <n v="1.6808606006275213E-2"/>
    <n v="546.48"/>
    <s v="High"/>
    <s v="Repeat"/>
    <s v="Above Avg"/>
    <s v="Profit"/>
    <n v="94"/>
  </r>
  <r>
    <n v="342"/>
    <d v="2024-12-07T00:00:00"/>
    <n v="1038"/>
    <s v="Customer_114"/>
    <s v="Corporate"/>
    <x v="2"/>
    <x v="0"/>
    <x v="0"/>
    <n v="1830"/>
    <n v="4"/>
    <n v="0.14000000000000001"/>
    <n v="898"/>
    <x v="2"/>
    <n v="6295.2"/>
    <x v="11"/>
    <n v="2024"/>
    <s v="Q4"/>
    <n v="0.14264836700978523"/>
    <n v="1024.8000000000002"/>
    <s v="High"/>
    <s v="Repeat"/>
    <s v="Below Avg"/>
    <s v="Profit"/>
    <n v="291"/>
  </r>
  <r>
    <n v="343"/>
    <d v="2024-12-08T00:00:00"/>
    <n v="1098"/>
    <s v="Customer_83"/>
    <s v="Corporate"/>
    <x v="1"/>
    <x v="1"/>
    <x v="2"/>
    <n v="2458"/>
    <n v="9"/>
    <n v="0.13"/>
    <n v="-443"/>
    <x v="2"/>
    <n v="19246.14"/>
    <x v="11"/>
    <n v="2024"/>
    <s v="Q4"/>
    <n v="-2.3017602490681251E-2"/>
    <n v="2875.86"/>
    <s v="High"/>
    <s v="Repeat"/>
    <s v="Above Avg"/>
    <s v="Loss"/>
    <n v="83"/>
  </r>
  <r>
    <n v="344"/>
    <d v="2024-12-09T00:00:00"/>
    <n v="1007"/>
    <s v="Customer_84"/>
    <s v="Consumer"/>
    <x v="1"/>
    <x v="0"/>
    <x v="2"/>
    <n v="2809"/>
    <n v="1"/>
    <n v="0.27"/>
    <n v="-352"/>
    <x v="2"/>
    <n v="2050.5700000000002"/>
    <x v="11"/>
    <n v="2024"/>
    <s v="Q4"/>
    <n v="-0.17165958733425338"/>
    <n v="758.43000000000006"/>
    <s v="Medium"/>
    <s v="Repeat"/>
    <s v="Below Avg"/>
    <s v="Loss"/>
    <n v="426"/>
  </r>
  <r>
    <n v="345"/>
    <d v="2024-12-10T00:00:00"/>
    <n v="1037"/>
    <s v="Customer_1"/>
    <s v="Consumer"/>
    <x v="3"/>
    <x v="1"/>
    <x v="1"/>
    <n v="448"/>
    <n v="9"/>
    <n v="0.04"/>
    <n v="1096"/>
    <x v="2"/>
    <n v="3870.72"/>
    <x v="11"/>
    <n v="2024"/>
    <s v="Q4"/>
    <n v="0.28315145502645506"/>
    <n v="161.28"/>
    <s v="Medium"/>
    <s v="Repeat"/>
    <s v="Below Avg"/>
    <s v="Profit"/>
    <n v="358"/>
  </r>
  <r>
    <n v="346"/>
    <d v="2024-12-11T00:00:00"/>
    <n v="1014"/>
    <s v="Customer_144"/>
    <s v="Consumer"/>
    <x v="1"/>
    <x v="1"/>
    <x v="3"/>
    <n v="4977"/>
    <n v="1"/>
    <n v="0.21"/>
    <n v="294"/>
    <x v="1"/>
    <n v="3931.83"/>
    <x v="11"/>
    <n v="2024"/>
    <s v="Q4"/>
    <n v="7.4774341718741658E-2"/>
    <n v="1045.17"/>
    <s v="Medium"/>
    <s v="Repeat"/>
    <s v="Below Avg"/>
    <s v="Profit"/>
    <n v="357"/>
  </r>
  <r>
    <n v="347"/>
    <d v="2024-12-12T00:00:00"/>
    <n v="1000"/>
    <s v="Customer_152"/>
    <s v="Consumer"/>
    <x v="1"/>
    <x v="2"/>
    <x v="0"/>
    <n v="4432"/>
    <n v="5"/>
    <n v="0.28000000000000003"/>
    <n v="1809"/>
    <x v="0"/>
    <n v="15955.199999999901"/>
    <x v="11"/>
    <n v="2024"/>
    <s v="Q4"/>
    <n v="0.11337996389891768"/>
    <n v="6204.8"/>
    <s v="High"/>
    <s v="Repeat"/>
    <s v="Above Avg"/>
    <s v="Profit"/>
    <n v="130"/>
  </r>
  <r>
    <n v="348"/>
    <d v="2024-12-13T00:00:00"/>
    <n v="1096"/>
    <s v="Customer_192"/>
    <s v="Corporate"/>
    <x v="2"/>
    <x v="2"/>
    <x v="0"/>
    <n v="1393"/>
    <n v="6"/>
    <n v="0.12"/>
    <n v="1693"/>
    <x v="1"/>
    <n v="7355.04"/>
    <x v="11"/>
    <n v="2024"/>
    <s v="Q4"/>
    <n v="0.23018229676521135"/>
    <n v="1002.9599999999999"/>
    <s v="High"/>
    <s v="Repeat"/>
    <s v="Below Avg"/>
    <s v="Profit"/>
    <n v="266"/>
  </r>
  <r>
    <n v="349"/>
    <d v="2024-12-14T00:00:00"/>
    <n v="1002"/>
    <s v="Customer_186"/>
    <s v="Consumer"/>
    <x v="2"/>
    <x v="0"/>
    <x v="3"/>
    <n v="4564"/>
    <n v="5"/>
    <n v="0.27"/>
    <n v="710"/>
    <x v="0"/>
    <n v="16658.599999999999"/>
    <x v="11"/>
    <n v="2024"/>
    <s v="Q4"/>
    <n v="4.2620628384137924E-2"/>
    <n v="6161.4000000000005"/>
    <s v="High"/>
    <s v="Repeat"/>
    <s v="Above Avg"/>
    <s v="Profit"/>
    <n v="111"/>
  </r>
  <r>
    <n v="350"/>
    <d v="2024-12-15T00:00:00"/>
    <n v="1037"/>
    <s v="Customer_152"/>
    <s v="Consumer"/>
    <x v="2"/>
    <x v="1"/>
    <x v="2"/>
    <n v="2447"/>
    <n v="4"/>
    <n v="0.04"/>
    <n v="-339"/>
    <x v="0"/>
    <n v="9396.48"/>
    <x v="11"/>
    <n v="2024"/>
    <s v="Q4"/>
    <n v="-3.6077339599509609E-2"/>
    <n v="391.52"/>
    <s v="High"/>
    <s v="Repeat"/>
    <s v="Below Avg"/>
    <s v="Loss"/>
    <n v="221"/>
  </r>
  <r>
    <n v="351"/>
    <d v="2024-12-16T00:00:00"/>
    <n v="1047"/>
    <s v="Customer_186"/>
    <s v="Consumer"/>
    <x v="1"/>
    <x v="2"/>
    <x v="3"/>
    <n v="3091"/>
    <n v="5"/>
    <n v="0.03"/>
    <n v="644"/>
    <x v="0"/>
    <n v="14991.35"/>
    <x v="11"/>
    <n v="2024"/>
    <s v="Q4"/>
    <n v="4.2958105841034995E-2"/>
    <n v="463.65"/>
    <s v="High"/>
    <s v="Repeat"/>
    <s v="Above Avg"/>
    <s v="Profit"/>
    <n v="139"/>
  </r>
  <r>
    <n v="352"/>
    <d v="2024-12-17T00:00:00"/>
    <n v="1062"/>
    <s v="Customer_101"/>
    <s v="Consumer"/>
    <x v="3"/>
    <x v="0"/>
    <x v="3"/>
    <n v="2900"/>
    <n v="7"/>
    <n v="7.0000000000000007E-2"/>
    <n v="1932"/>
    <x v="0"/>
    <n v="18879"/>
    <x v="11"/>
    <n v="2024"/>
    <s v="Q4"/>
    <n v="0.10233592880978866"/>
    <n v="1421.0000000000002"/>
    <s v="High"/>
    <s v="Repeat"/>
    <s v="Above Avg"/>
    <s v="Profit"/>
    <n v="85"/>
  </r>
  <r>
    <n v="353"/>
    <d v="2024-12-18T00:00:00"/>
    <n v="1061"/>
    <s v="Customer_192"/>
    <s v="Consumer"/>
    <x v="0"/>
    <x v="1"/>
    <x v="3"/>
    <n v="4356"/>
    <n v="2"/>
    <n v="0.16"/>
    <n v="332"/>
    <x v="2"/>
    <n v="7318.08"/>
    <x v="11"/>
    <n v="2024"/>
    <s v="Q4"/>
    <n v="4.5367090821636279E-2"/>
    <n v="1393.92"/>
    <s v="High"/>
    <s v="Repeat"/>
    <s v="Below Avg"/>
    <s v="Profit"/>
    <n v="268"/>
  </r>
  <r>
    <n v="354"/>
    <d v="2024-12-19T00:00:00"/>
    <n v="1014"/>
    <s v="Customer_169"/>
    <s v="Corporate"/>
    <x v="2"/>
    <x v="2"/>
    <x v="2"/>
    <n v="1224"/>
    <n v="7"/>
    <n v="0.19"/>
    <n v="210"/>
    <x v="2"/>
    <n v="6940.08"/>
    <x v="11"/>
    <n v="2024"/>
    <s v="Q4"/>
    <n v="3.0259017187121762E-2"/>
    <n v="1627.92"/>
    <s v="High"/>
    <s v="Repeat"/>
    <s v="Below Avg"/>
    <s v="Profit"/>
    <n v="275"/>
  </r>
  <r>
    <n v="355"/>
    <d v="2024-12-20T00:00:00"/>
    <n v="1061"/>
    <s v="Customer_161"/>
    <s v="Consumer"/>
    <x v="3"/>
    <x v="1"/>
    <x v="2"/>
    <n v="673"/>
    <n v="9"/>
    <n v="0.23"/>
    <n v="944"/>
    <x v="0"/>
    <n v="4663.8900000000003"/>
    <x v="11"/>
    <n v="2024"/>
    <s v="Q4"/>
    <n v="0.20240614594255008"/>
    <n v="1393.1100000000001"/>
    <s v="Medium"/>
    <s v="Repeat"/>
    <s v="Below Avg"/>
    <s v="Profit"/>
    <n v="332"/>
  </r>
  <r>
    <n v="356"/>
    <d v="2024-12-21T00:00:00"/>
    <n v="1081"/>
    <s v="Customer_186"/>
    <s v="Corporate"/>
    <x v="1"/>
    <x v="2"/>
    <x v="0"/>
    <n v="4179"/>
    <n v="7"/>
    <n v="0.23"/>
    <n v="-144"/>
    <x v="0"/>
    <n v="22524.81"/>
    <x v="11"/>
    <n v="2024"/>
    <s v="Q4"/>
    <n v="-6.3929507063544598E-3"/>
    <n v="6728.1900000000005"/>
    <s v="High"/>
    <s v="Repeat"/>
    <s v="Above Avg"/>
    <s v="Loss"/>
    <n v="62"/>
  </r>
  <r>
    <n v="357"/>
    <d v="2024-12-22T00:00:00"/>
    <n v="1037"/>
    <s v="Customer_125"/>
    <s v="Consumer"/>
    <x v="2"/>
    <x v="1"/>
    <x v="3"/>
    <n v="928"/>
    <n v="4"/>
    <n v="0.03"/>
    <n v="182"/>
    <x v="1"/>
    <n v="3600.64"/>
    <x v="11"/>
    <n v="2024"/>
    <s v="Q4"/>
    <n v="5.0546569498755779E-2"/>
    <n v="111.36"/>
    <s v="Medium"/>
    <s v="Repeat"/>
    <s v="Below Avg"/>
    <s v="Profit"/>
    <n v="368"/>
  </r>
  <r>
    <n v="358"/>
    <d v="2024-12-23T00:00:00"/>
    <n v="1094"/>
    <s v="Customer_184"/>
    <s v="Consumer"/>
    <x v="3"/>
    <x v="0"/>
    <x v="3"/>
    <n v="570"/>
    <n v="8"/>
    <n v="0.26"/>
    <n v="1134"/>
    <x v="0"/>
    <n v="3374.4"/>
    <x v="11"/>
    <n v="2024"/>
    <s v="Q4"/>
    <n v="0.33605974395448079"/>
    <n v="1185.6000000000001"/>
    <s v="Medium"/>
    <s v="Repeat"/>
    <s v="Below Avg"/>
    <s v="Profit"/>
    <n v="382"/>
  </r>
  <r>
    <n v="359"/>
    <d v="2024-12-24T00:00:00"/>
    <n v="1019"/>
    <s v="Customer_95"/>
    <s v="Corporate"/>
    <x v="0"/>
    <x v="2"/>
    <x v="2"/>
    <n v="4250"/>
    <n v="8"/>
    <n v="0.03"/>
    <n v="335"/>
    <x v="1"/>
    <n v="32980"/>
    <x v="11"/>
    <n v="2024"/>
    <s v="Q4"/>
    <n v="1.015767131594906E-2"/>
    <n v="1020"/>
    <s v="High"/>
    <s v="Repeat"/>
    <s v="Above Avg"/>
    <s v="Profit"/>
    <n v="17"/>
  </r>
  <r>
    <n v="360"/>
    <d v="2024-12-25T00:00:00"/>
    <n v="1058"/>
    <s v="Customer_15"/>
    <s v="Corporate"/>
    <x v="3"/>
    <x v="1"/>
    <x v="2"/>
    <n v="2351"/>
    <n v="9"/>
    <n v="0.27"/>
    <n v="28"/>
    <x v="2"/>
    <n v="15446.07"/>
    <x v="11"/>
    <n v="2024"/>
    <s v="Q4"/>
    <n v="1.8127588441590645E-3"/>
    <n v="5712.93"/>
    <s v="High"/>
    <s v="Repeat"/>
    <s v="Above Avg"/>
    <s v="Profit"/>
    <n v="135"/>
  </r>
  <r>
    <n v="361"/>
    <d v="2024-12-26T00:00:00"/>
    <n v="1006"/>
    <s v="Customer_65"/>
    <s v="Corporate"/>
    <x v="1"/>
    <x v="2"/>
    <x v="3"/>
    <n v="4067"/>
    <n v="6"/>
    <n v="0.28999999999999998"/>
    <n v="1213"/>
    <x v="0"/>
    <n v="17325.419999999998"/>
    <x v="11"/>
    <n v="2024"/>
    <s v="Q4"/>
    <n v="7.0012732736060665E-2"/>
    <n v="7076.58"/>
    <s v="High"/>
    <s v="Repeat"/>
    <s v="Above Avg"/>
    <s v="Profit"/>
    <n v="102"/>
  </r>
  <r>
    <n v="362"/>
    <d v="2024-12-27T00:00:00"/>
    <n v="1090"/>
    <s v="Customer_113"/>
    <s v="Corporate"/>
    <x v="2"/>
    <x v="2"/>
    <x v="1"/>
    <n v="2732"/>
    <n v="1"/>
    <n v="0.18"/>
    <n v="547"/>
    <x v="2"/>
    <n v="2240.2399999999998"/>
    <x v="11"/>
    <n v="2024"/>
    <s v="Q4"/>
    <n v="0.24417026747134238"/>
    <n v="491.76"/>
    <s v="Medium"/>
    <s v="Repeat"/>
    <s v="Below Avg"/>
    <s v="Profit"/>
    <n v="418"/>
  </r>
  <r>
    <n v="363"/>
    <d v="2024-12-28T00:00:00"/>
    <n v="1071"/>
    <s v="Customer_140"/>
    <s v="Consumer"/>
    <x v="3"/>
    <x v="1"/>
    <x v="2"/>
    <n v="4332"/>
    <n v="9"/>
    <n v="0.21"/>
    <n v="1493"/>
    <x v="2"/>
    <n v="30800.52"/>
    <x v="11"/>
    <n v="2024"/>
    <s v="Q4"/>
    <n v="4.8473207595196445E-2"/>
    <n v="8187.48"/>
    <s v="High"/>
    <s v="Repeat"/>
    <s v="Above Avg"/>
    <s v="Profit"/>
    <n v="22"/>
  </r>
  <r>
    <n v="364"/>
    <d v="2024-12-29T00:00:00"/>
    <n v="1077"/>
    <s v="Customer_163"/>
    <s v="Consumer"/>
    <x v="3"/>
    <x v="0"/>
    <x v="1"/>
    <n v="1198"/>
    <n v="9"/>
    <n v="0.11"/>
    <n v="-189"/>
    <x v="0"/>
    <n v="9595.98"/>
    <x v="11"/>
    <n v="2024"/>
    <s v="Q4"/>
    <n v="-1.9695747594305115E-2"/>
    <n v="1186.02"/>
    <s v="High"/>
    <s v="Repeat"/>
    <s v="Below Avg"/>
    <s v="Loss"/>
    <n v="212"/>
  </r>
  <r>
    <n v="365"/>
    <d v="2024-12-30T00:00:00"/>
    <n v="1078"/>
    <s v="Customer_37"/>
    <s v="Consumer"/>
    <x v="3"/>
    <x v="2"/>
    <x v="3"/>
    <n v="3189"/>
    <n v="1"/>
    <n v="0.17"/>
    <n v="159"/>
    <x v="0"/>
    <n v="2646.87"/>
    <x v="11"/>
    <n v="2024"/>
    <s v="Q4"/>
    <n v="6.0070951727889926E-2"/>
    <n v="542.13"/>
    <s v="Medium"/>
    <s v="Repeat"/>
    <s v="Below Avg"/>
    <s v="Profit"/>
    <n v="407"/>
  </r>
  <r>
    <n v="366"/>
    <d v="2024-12-31T00:00:00"/>
    <n v="1070"/>
    <s v="Customer_30"/>
    <s v="Corporate"/>
    <x v="2"/>
    <x v="1"/>
    <x v="3"/>
    <n v="531"/>
    <n v="9"/>
    <n v="0.25"/>
    <n v="1369"/>
    <x v="2"/>
    <n v="3584.25"/>
    <x v="11"/>
    <n v="2024"/>
    <s v="Q4"/>
    <n v="0.38194880379437818"/>
    <n v="1194.75"/>
    <s v="Medium"/>
    <s v="Repeat"/>
    <s v="Below Avg"/>
    <s v="Profit"/>
    <n v="371"/>
  </r>
  <r>
    <n v="367"/>
    <d v="2025-01-01T00:00:00"/>
    <n v="1096"/>
    <s v="Customer_11"/>
    <s v="Corporate"/>
    <x v="3"/>
    <x v="0"/>
    <x v="1"/>
    <n v="1333"/>
    <n v="1"/>
    <n v="0.05"/>
    <n v="-123"/>
    <x v="0"/>
    <n v="1266.3499999999999"/>
    <x v="0"/>
    <n v="2025"/>
    <s v="Q1"/>
    <n v="-9.7129545544280813E-2"/>
    <n v="66.650000000000006"/>
    <s v="Low"/>
    <s v="Repeat"/>
    <s v="Below Avg"/>
    <s v="Loss"/>
    <n v="466"/>
  </r>
  <r>
    <n v="368"/>
    <d v="2025-01-02T00:00:00"/>
    <n v="1051"/>
    <s v="Customer_188"/>
    <s v="Consumer"/>
    <x v="1"/>
    <x v="1"/>
    <x v="1"/>
    <n v="1629"/>
    <n v="2"/>
    <n v="0.15"/>
    <n v="-281"/>
    <x v="1"/>
    <n v="2769.2999999999902"/>
    <x v="0"/>
    <n v="2025"/>
    <s v="Q1"/>
    <n v="-0.10146968548008559"/>
    <n v="488.7"/>
    <s v="Medium"/>
    <s v="Repeat"/>
    <s v="Below Avg"/>
    <s v="Loss"/>
    <n v="400"/>
  </r>
  <r>
    <n v="369"/>
    <d v="2025-01-03T00:00:00"/>
    <n v="1097"/>
    <s v="Customer_32"/>
    <s v="Corporate"/>
    <x v="1"/>
    <x v="1"/>
    <x v="3"/>
    <n v="4451"/>
    <n v="6"/>
    <n v="0.12"/>
    <n v="978"/>
    <x v="0"/>
    <n v="23501.279999999999"/>
    <x v="0"/>
    <n v="2025"/>
    <s v="Q1"/>
    <n v="4.1614754600600483E-2"/>
    <n v="3204.72"/>
    <s v="High"/>
    <s v="Repeat"/>
    <s v="Above Avg"/>
    <s v="Profit"/>
    <n v="57"/>
  </r>
  <r>
    <n v="370"/>
    <d v="2025-01-04T00:00:00"/>
    <n v="1003"/>
    <s v="Customer_2"/>
    <s v="Consumer"/>
    <x v="0"/>
    <x v="2"/>
    <x v="1"/>
    <n v="1480"/>
    <n v="7"/>
    <n v="0.26"/>
    <n v="1989"/>
    <x v="0"/>
    <n v="7666.4"/>
    <x v="0"/>
    <n v="2025"/>
    <s v="Q1"/>
    <n v="0.25944380674110407"/>
    <n v="2693.6"/>
    <s v="High"/>
    <s v="Repeat"/>
    <s v="Below Avg"/>
    <s v="Profit"/>
    <n v="261"/>
  </r>
  <r>
    <n v="371"/>
    <d v="2025-01-05T00:00:00"/>
    <n v="1000"/>
    <s v="Customer_138"/>
    <s v="Corporate"/>
    <x v="0"/>
    <x v="1"/>
    <x v="3"/>
    <n v="241"/>
    <n v="7"/>
    <n v="0.04"/>
    <n v="967"/>
    <x v="2"/>
    <n v="1619.52"/>
    <x v="0"/>
    <n v="2025"/>
    <s v="Q1"/>
    <n v="0.5970904959494171"/>
    <n v="67.48"/>
    <s v="Low"/>
    <s v="Repeat"/>
    <s v="Below Avg"/>
    <s v="Profit"/>
    <n v="452"/>
  </r>
  <r>
    <n v="372"/>
    <d v="2025-01-06T00:00:00"/>
    <n v="1077"/>
    <s v="Customer_124"/>
    <s v="Corporate"/>
    <x v="0"/>
    <x v="1"/>
    <x v="1"/>
    <n v="1316"/>
    <n v="6"/>
    <n v="0.27"/>
    <n v="-31"/>
    <x v="2"/>
    <n v="5764.08"/>
    <x v="0"/>
    <n v="2025"/>
    <s v="Q1"/>
    <n v="-5.3781349322008024E-3"/>
    <n v="2131.92"/>
    <s v="High"/>
    <s v="Repeat"/>
    <s v="Below Avg"/>
    <s v="Loss"/>
    <n v="302"/>
  </r>
  <r>
    <n v="373"/>
    <d v="2025-01-07T00:00:00"/>
    <n v="1094"/>
    <s v="Customer_174"/>
    <s v="Consumer"/>
    <x v="2"/>
    <x v="0"/>
    <x v="3"/>
    <n v="3947"/>
    <n v="8"/>
    <n v="0.08"/>
    <n v="655"/>
    <x v="2"/>
    <n v="29049.919999999998"/>
    <x v="0"/>
    <n v="2025"/>
    <s v="Q1"/>
    <n v="2.2547394278538462E-2"/>
    <n v="2526.08"/>
    <s v="High"/>
    <s v="Repeat"/>
    <s v="Above Avg"/>
    <s v="Profit"/>
    <n v="27"/>
  </r>
  <r>
    <n v="374"/>
    <d v="2025-01-08T00:00:00"/>
    <n v="1037"/>
    <s v="Customer_22"/>
    <s v="Consumer"/>
    <x v="1"/>
    <x v="2"/>
    <x v="2"/>
    <n v="4287"/>
    <n v="8"/>
    <n v="0.18"/>
    <n v="312"/>
    <x v="0"/>
    <n v="28122.720000000001"/>
    <x v="0"/>
    <n v="2025"/>
    <s v="Q1"/>
    <n v="1.1094232705798016E-2"/>
    <n v="6173.28"/>
    <s v="High"/>
    <s v="Repeat"/>
    <s v="Above Avg"/>
    <s v="Profit"/>
    <n v="30"/>
  </r>
  <r>
    <n v="375"/>
    <d v="2025-01-09T00:00:00"/>
    <n v="1052"/>
    <s v="Customer_73"/>
    <s v="Corporate"/>
    <x v="1"/>
    <x v="1"/>
    <x v="3"/>
    <n v="1876"/>
    <n v="1"/>
    <n v="0.11"/>
    <n v="486"/>
    <x v="1"/>
    <n v="1669.64"/>
    <x v="0"/>
    <n v="2025"/>
    <s v="Q1"/>
    <n v="0.29108071200977453"/>
    <n v="206.36"/>
    <s v="Low"/>
    <s v="Repeat"/>
    <s v="Below Avg"/>
    <s v="Profit"/>
    <n v="448"/>
  </r>
  <r>
    <n v="376"/>
    <d v="2025-01-10T00:00:00"/>
    <n v="1083"/>
    <s v="Customer_118"/>
    <s v="Corporate"/>
    <x v="0"/>
    <x v="2"/>
    <x v="3"/>
    <n v="3751"/>
    <n v="9"/>
    <n v="0.28000000000000003"/>
    <n v="339"/>
    <x v="2"/>
    <n v="24306.48"/>
    <x v="0"/>
    <n v="2025"/>
    <s v="Q1"/>
    <n v="1.3946898111120985E-2"/>
    <n v="9452.52"/>
    <s v="High"/>
    <s v="Repeat"/>
    <s v="Above Avg"/>
    <s v="Profit"/>
    <n v="49"/>
  </r>
  <r>
    <n v="377"/>
    <d v="2025-01-11T00:00:00"/>
    <n v="1002"/>
    <s v="Customer_55"/>
    <s v="Consumer"/>
    <x v="0"/>
    <x v="0"/>
    <x v="2"/>
    <n v="2552"/>
    <n v="4"/>
    <n v="0.06"/>
    <n v="-131"/>
    <x v="0"/>
    <n v="9595.5199999999895"/>
    <x v="0"/>
    <n v="2025"/>
    <s v="Q1"/>
    <n v="-1.3652204362035632E-2"/>
    <n v="612.48"/>
    <s v="High"/>
    <s v="Repeat"/>
    <s v="Below Avg"/>
    <s v="Loss"/>
    <n v="213"/>
  </r>
  <r>
    <n v="378"/>
    <d v="2025-01-12T00:00:00"/>
    <n v="1098"/>
    <s v="Customer_187"/>
    <s v="Corporate"/>
    <x v="3"/>
    <x v="0"/>
    <x v="3"/>
    <n v="817"/>
    <n v="4"/>
    <n v="0.15"/>
    <n v="514"/>
    <x v="0"/>
    <n v="2777.7999999999902"/>
    <x v="0"/>
    <n v="2025"/>
    <s v="Q1"/>
    <n v="0.18503851969184312"/>
    <n v="490.2"/>
    <s v="Medium"/>
    <s v="Repeat"/>
    <s v="Below Avg"/>
    <s v="Profit"/>
    <n v="399"/>
  </r>
  <r>
    <n v="379"/>
    <d v="2025-01-13T00:00:00"/>
    <n v="1096"/>
    <s v="Customer_30"/>
    <s v="Corporate"/>
    <x v="0"/>
    <x v="1"/>
    <x v="2"/>
    <n v="660"/>
    <n v="9"/>
    <n v="7.0000000000000007E-2"/>
    <n v="-250"/>
    <x v="0"/>
    <n v="5524.2"/>
    <x v="0"/>
    <n v="2025"/>
    <s v="Q1"/>
    <n v="-4.5255421599507621E-2"/>
    <n v="415.8"/>
    <s v="High"/>
    <s v="Repeat"/>
    <s v="Below Avg"/>
    <s v="Loss"/>
    <n v="308"/>
  </r>
  <r>
    <n v="380"/>
    <d v="2025-01-14T00:00:00"/>
    <n v="1014"/>
    <s v="Customer_181"/>
    <s v="Consumer"/>
    <x v="2"/>
    <x v="2"/>
    <x v="2"/>
    <n v="1004"/>
    <n v="2"/>
    <n v="0.24"/>
    <n v="-339"/>
    <x v="0"/>
    <n v="1526.08"/>
    <x v="0"/>
    <n v="2025"/>
    <s v="Q1"/>
    <n v="-0.2221377647305515"/>
    <n v="481.91999999999996"/>
    <s v="Low"/>
    <s v="Repeat"/>
    <s v="Below Avg"/>
    <s v="Loss"/>
    <n v="456"/>
  </r>
  <r>
    <n v="381"/>
    <d v="2025-01-15T00:00:00"/>
    <n v="1002"/>
    <s v="Customer_89"/>
    <s v="Consumer"/>
    <x v="0"/>
    <x v="1"/>
    <x v="1"/>
    <n v="1036"/>
    <n v="6"/>
    <n v="0.08"/>
    <n v="162"/>
    <x v="2"/>
    <n v="5718.72"/>
    <x v="0"/>
    <n v="2025"/>
    <s v="Q1"/>
    <n v="2.8328017458452238E-2"/>
    <n v="497.28000000000003"/>
    <s v="High"/>
    <s v="Repeat"/>
    <s v="Below Avg"/>
    <s v="Profit"/>
    <n v="303"/>
  </r>
  <r>
    <n v="382"/>
    <d v="2025-01-16T00:00:00"/>
    <n v="1091"/>
    <s v="Customer_21"/>
    <s v="Consumer"/>
    <x v="1"/>
    <x v="2"/>
    <x v="3"/>
    <n v="396"/>
    <n v="2"/>
    <n v="0.28999999999999998"/>
    <n v="1960"/>
    <x v="1"/>
    <n v="562.31999999999903"/>
    <x v="0"/>
    <n v="2025"/>
    <s v="Q1"/>
    <n v="3.4855598235879985"/>
    <n v="229.67999999999998"/>
    <s v="Low"/>
    <s v="Repeat"/>
    <s v="Below Avg"/>
    <s v="Profit"/>
    <n v="488"/>
  </r>
  <r>
    <n v="383"/>
    <d v="2025-01-17T00:00:00"/>
    <n v="1090"/>
    <s v="Customer_82"/>
    <s v="Consumer"/>
    <x v="2"/>
    <x v="2"/>
    <x v="2"/>
    <n v="4994"/>
    <n v="9"/>
    <n v="0.28000000000000003"/>
    <n v="992"/>
    <x v="2"/>
    <n v="32361.119999999999"/>
    <x v="0"/>
    <n v="2025"/>
    <s v="Q1"/>
    <n v="3.0654068833217144E-2"/>
    <n v="12584.880000000001"/>
    <s v="High"/>
    <s v="Repeat"/>
    <s v="Above Avg"/>
    <s v="Profit"/>
    <n v="20"/>
  </r>
  <r>
    <n v="384"/>
    <d v="2025-01-18T00:00:00"/>
    <n v="1032"/>
    <s v="Customer_20"/>
    <s v="Corporate"/>
    <x v="3"/>
    <x v="0"/>
    <x v="0"/>
    <n v="1860"/>
    <n v="3"/>
    <n v="0.14000000000000001"/>
    <n v="1994"/>
    <x v="1"/>
    <n v="4798.8"/>
    <x v="0"/>
    <n v="2025"/>
    <s v="Q1"/>
    <n v="0.41552054680336747"/>
    <n v="781.2"/>
    <s v="Medium"/>
    <s v="Repeat"/>
    <s v="Below Avg"/>
    <s v="Profit"/>
    <n v="330"/>
  </r>
  <r>
    <n v="385"/>
    <d v="2025-01-19T00:00:00"/>
    <n v="1082"/>
    <s v="Customer_113"/>
    <s v="Corporate"/>
    <x v="2"/>
    <x v="1"/>
    <x v="3"/>
    <n v="1299"/>
    <n v="6"/>
    <n v="0"/>
    <n v="92"/>
    <x v="0"/>
    <n v="7794"/>
    <x v="0"/>
    <n v="2025"/>
    <s v="Q1"/>
    <n v="1.1803951757762381E-2"/>
    <n v="0"/>
    <s v="High"/>
    <s v="Repeat"/>
    <s v="Below Avg"/>
    <s v="Profit"/>
    <n v="256"/>
  </r>
  <r>
    <n v="386"/>
    <d v="2025-01-20T00:00:00"/>
    <n v="1055"/>
    <s v="Customer_167"/>
    <s v="Consumer"/>
    <x v="3"/>
    <x v="2"/>
    <x v="3"/>
    <n v="4386"/>
    <n v="3"/>
    <n v="0.28999999999999998"/>
    <n v="838"/>
    <x v="2"/>
    <n v="9342.18"/>
    <x v="0"/>
    <n v="2025"/>
    <s v="Q1"/>
    <n v="8.9700690845177455E-2"/>
    <n v="3815.8199999999997"/>
    <s v="High"/>
    <s v="Repeat"/>
    <s v="Below Avg"/>
    <s v="Profit"/>
    <n v="224"/>
  </r>
  <r>
    <n v="387"/>
    <d v="2025-01-21T00:00:00"/>
    <n v="1032"/>
    <s v="Customer_35"/>
    <s v="Consumer"/>
    <x v="3"/>
    <x v="0"/>
    <x v="0"/>
    <n v="3993"/>
    <n v="5"/>
    <n v="0.21"/>
    <n v="1730"/>
    <x v="2"/>
    <n v="15772.35"/>
    <x v="0"/>
    <n v="2025"/>
    <s v="Q1"/>
    <n v="0.10968562072234005"/>
    <n v="4192.6499999999996"/>
    <s v="High"/>
    <s v="Repeat"/>
    <s v="Above Avg"/>
    <s v="Profit"/>
    <n v="132"/>
  </r>
  <r>
    <n v="388"/>
    <d v="2025-01-22T00:00:00"/>
    <n v="1030"/>
    <s v="Customer_29"/>
    <s v="Consumer"/>
    <x v="1"/>
    <x v="0"/>
    <x v="2"/>
    <n v="1045"/>
    <n v="3"/>
    <n v="0.15"/>
    <n v="1869"/>
    <x v="1"/>
    <n v="2664.75"/>
    <x v="0"/>
    <n v="2025"/>
    <s v="Q1"/>
    <n v="0.70137911623979732"/>
    <n v="470.25"/>
    <s v="Medium"/>
    <s v="Repeat"/>
    <s v="Below Avg"/>
    <s v="Profit"/>
    <n v="405"/>
  </r>
  <r>
    <n v="389"/>
    <d v="2025-01-23T00:00:00"/>
    <n v="1003"/>
    <s v="Customer_110"/>
    <s v="Corporate"/>
    <x v="2"/>
    <x v="2"/>
    <x v="3"/>
    <n v="1736"/>
    <n v="8"/>
    <n v="0.18"/>
    <n v="492"/>
    <x v="2"/>
    <n v="11388.16"/>
    <x v="0"/>
    <n v="2025"/>
    <s v="Q1"/>
    <n v="4.3202764976958526E-2"/>
    <n v="2499.8399999999997"/>
    <s v="High"/>
    <s v="Repeat"/>
    <s v="Above Avg"/>
    <s v="Profit"/>
    <n v="183"/>
  </r>
  <r>
    <n v="390"/>
    <d v="2025-01-24T00:00:00"/>
    <n v="1095"/>
    <s v="Customer_56"/>
    <s v="Consumer"/>
    <x v="3"/>
    <x v="1"/>
    <x v="0"/>
    <n v="2341"/>
    <n v="4"/>
    <n v="0.03"/>
    <n v="1730"/>
    <x v="1"/>
    <n v="9083.08"/>
    <x v="0"/>
    <n v="2025"/>
    <s v="Q1"/>
    <n v="0.19046402762058684"/>
    <n v="280.92"/>
    <s v="High"/>
    <s v="Repeat"/>
    <s v="Below Avg"/>
    <s v="Profit"/>
    <n v="229"/>
  </r>
  <r>
    <n v="391"/>
    <d v="2025-01-25T00:00:00"/>
    <n v="1091"/>
    <s v="Customer_116"/>
    <s v="Consumer"/>
    <x v="2"/>
    <x v="1"/>
    <x v="3"/>
    <n v="3013"/>
    <n v="3"/>
    <n v="0.05"/>
    <n v="1502"/>
    <x v="2"/>
    <n v="8587.0499999999993"/>
    <x v="0"/>
    <n v="2025"/>
    <s v="Q1"/>
    <n v="0.17491455156310959"/>
    <n v="451.95000000000005"/>
    <s v="High"/>
    <s v="Repeat"/>
    <s v="Below Avg"/>
    <s v="Profit"/>
    <n v="237"/>
  </r>
  <r>
    <n v="392"/>
    <d v="2025-01-26T00:00:00"/>
    <n v="1079"/>
    <s v="Customer_183"/>
    <s v="Corporate"/>
    <x v="3"/>
    <x v="1"/>
    <x v="1"/>
    <n v="3266"/>
    <n v="8"/>
    <n v="0.19"/>
    <n v="658"/>
    <x v="0"/>
    <n v="21163.68"/>
    <x v="0"/>
    <n v="2025"/>
    <s v="Q1"/>
    <n v="3.1091001186939134E-2"/>
    <n v="4964.32"/>
    <s v="High"/>
    <s v="Repeat"/>
    <s v="Above Avg"/>
    <s v="Profit"/>
    <n v="73"/>
  </r>
  <r>
    <n v="393"/>
    <d v="2025-01-27T00:00:00"/>
    <n v="1091"/>
    <s v="Customer_181"/>
    <s v="Consumer"/>
    <x v="0"/>
    <x v="1"/>
    <x v="3"/>
    <n v="4888"/>
    <n v="7"/>
    <n v="0.01"/>
    <n v="249"/>
    <x v="2"/>
    <n v="33873.839999999997"/>
    <x v="0"/>
    <n v="2025"/>
    <s v="Q1"/>
    <n v="7.3508052231456497E-3"/>
    <n v="342.16"/>
    <s v="High"/>
    <s v="Repeat"/>
    <s v="Above Avg"/>
    <s v="Profit"/>
    <n v="15"/>
  </r>
  <r>
    <n v="394"/>
    <d v="2025-01-28T00:00:00"/>
    <n v="1078"/>
    <s v="Customer_176"/>
    <s v="Corporate"/>
    <x v="0"/>
    <x v="0"/>
    <x v="2"/>
    <n v="4543"/>
    <n v="1"/>
    <n v="0.21"/>
    <n v="62"/>
    <x v="0"/>
    <n v="3588.97"/>
    <x v="0"/>
    <n v="2025"/>
    <s v="Q1"/>
    <n v="1.7275151366548065E-2"/>
    <n v="954.03"/>
    <s v="Medium"/>
    <s v="Repeat"/>
    <s v="Below Avg"/>
    <s v="Profit"/>
    <n v="370"/>
  </r>
  <r>
    <n v="395"/>
    <d v="2025-01-29T00:00:00"/>
    <n v="1021"/>
    <s v="Customer_67"/>
    <s v="Corporate"/>
    <x v="2"/>
    <x v="1"/>
    <x v="2"/>
    <n v="2496"/>
    <n v="3"/>
    <n v="0.28000000000000003"/>
    <n v="455"/>
    <x v="1"/>
    <n v="5391.36"/>
    <x v="0"/>
    <n v="2025"/>
    <s v="Q1"/>
    <n v="8.4394290123456797E-2"/>
    <n v="2096.6400000000003"/>
    <s v="High"/>
    <s v="Repeat"/>
    <s v="Below Avg"/>
    <s v="Profit"/>
    <n v="313"/>
  </r>
  <r>
    <n v="396"/>
    <d v="2025-01-30T00:00:00"/>
    <n v="1030"/>
    <s v="Customer_183"/>
    <s v="Consumer"/>
    <x v="2"/>
    <x v="1"/>
    <x v="3"/>
    <n v="1506"/>
    <n v="3"/>
    <n v="0.21"/>
    <n v="-309"/>
    <x v="0"/>
    <n v="3569.22"/>
    <x v="0"/>
    <n v="2025"/>
    <s v="Q1"/>
    <n v="-8.6573537075327389E-2"/>
    <n v="948.78"/>
    <s v="Medium"/>
    <s v="Repeat"/>
    <s v="Below Avg"/>
    <s v="Loss"/>
    <n v="373"/>
  </r>
  <r>
    <n v="397"/>
    <d v="2025-01-31T00:00:00"/>
    <n v="1059"/>
    <s v="Customer_32"/>
    <s v="Corporate"/>
    <x v="3"/>
    <x v="2"/>
    <x v="0"/>
    <n v="593"/>
    <n v="4"/>
    <n v="0.17"/>
    <n v="1059"/>
    <x v="1"/>
    <n v="1968.76"/>
    <x v="0"/>
    <n v="2025"/>
    <s v="Q1"/>
    <n v="0.53790202970397616"/>
    <n v="403.24"/>
    <s v="Low"/>
    <s v="Repeat"/>
    <s v="Below Avg"/>
    <s v="Profit"/>
    <n v="432"/>
  </r>
  <r>
    <n v="398"/>
    <d v="2025-02-01T00:00:00"/>
    <n v="1084"/>
    <s v="Customer_58"/>
    <s v="Corporate"/>
    <x v="3"/>
    <x v="2"/>
    <x v="0"/>
    <n v="2132"/>
    <n v="1"/>
    <n v="0.24"/>
    <n v="1264"/>
    <x v="2"/>
    <n v="1620.32"/>
    <x v="1"/>
    <n v="2025"/>
    <s v="Q1"/>
    <n v="0.78009282117112677"/>
    <n v="511.68"/>
    <s v="Low"/>
    <s v="Repeat"/>
    <s v="Below Avg"/>
    <s v="Profit"/>
    <n v="451"/>
  </r>
  <r>
    <n v="399"/>
    <d v="2025-02-02T00:00:00"/>
    <n v="1031"/>
    <s v="Customer_78"/>
    <s v="Consumer"/>
    <x v="3"/>
    <x v="2"/>
    <x v="0"/>
    <n v="160"/>
    <n v="9"/>
    <n v="0.22"/>
    <n v="121"/>
    <x v="0"/>
    <n v="1123.2"/>
    <x v="1"/>
    <n v="2025"/>
    <s v="Q1"/>
    <n v="0.10772792022792023"/>
    <n v="316.8"/>
    <s v="Low"/>
    <s v="New"/>
    <s v="Below Avg"/>
    <s v="Profit"/>
    <n v="473"/>
  </r>
  <r>
    <n v="400"/>
    <d v="2025-02-03T00:00:00"/>
    <n v="1070"/>
    <s v="Customer_69"/>
    <s v="Consumer"/>
    <x v="1"/>
    <x v="2"/>
    <x v="2"/>
    <n v="1845"/>
    <n v="2"/>
    <n v="0.18"/>
    <n v="-188"/>
    <x v="2"/>
    <n v="3025.8"/>
    <x v="1"/>
    <n v="2025"/>
    <s v="Q1"/>
    <n v="-6.2132328640359571E-2"/>
    <n v="664.19999999999993"/>
    <s v="Medium"/>
    <s v="Repeat"/>
    <s v="Below Avg"/>
    <s v="Loss"/>
    <n v="391"/>
  </r>
  <r>
    <n v="401"/>
    <d v="2025-02-04T00:00:00"/>
    <n v="1096"/>
    <s v="Customer_28"/>
    <s v="Consumer"/>
    <x v="1"/>
    <x v="0"/>
    <x v="3"/>
    <n v="3601"/>
    <n v="7"/>
    <n v="0.06"/>
    <n v="774"/>
    <x v="1"/>
    <n v="23694.5799999999"/>
    <x v="1"/>
    <n v="2025"/>
    <s v="Q1"/>
    <n v="3.2665698231410023E-2"/>
    <n v="1512.4199999999998"/>
    <s v="High"/>
    <s v="Repeat"/>
    <s v="Above Avg"/>
    <s v="Profit"/>
    <n v="54"/>
  </r>
  <r>
    <n v="402"/>
    <d v="2025-02-05T00:00:00"/>
    <n v="1007"/>
    <s v="Customer_72"/>
    <s v="Consumer"/>
    <x v="2"/>
    <x v="1"/>
    <x v="1"/>
    <n v="1056"/>
    <n v="2"/>
    <n v="0"/>
    <n v="1283"/>
    <x v="0"/>
    <n v="2112"/>
    <x v="1"/>
    <n v="2025"/>
    <s v="Q1"/>
    <n v="0.60748106060606055"/>
    <n v="0"/>
    <s v="Medium"/>
    <s v="Repeat"/>
    <s v="Below Avg"/>
    <s v="Profit"/>
    <n v="422"/>
  </r>
  <r>
    <n v="403"/>
    <d v="2025-02-06T00:00:00"/>
    <n v="1077"/>
    <s v="Customer_109"/>
    <s v="Consumer"/>
    <x v="2"/>
    <x v="1"/>
    <x v="1"/>
    <n v="4889"/>
    <n v="8"/>
    <n v="0.14000000000000001"/>
    <n v="517"/>
    <x v="0"/>
    <n v="33636.32"/>
    <x v="1"/>
    <n v="2025"/>
    <s v="Q1"/>
    <n v="1.5370290210106219E-2"/>
    <n v="5475.68"/>
    <s v="High"/>
    <s v="Repeat"/>
    <s v="Above Avg"/>
    <s v="Profit"/>
    <n v="16"/>
  </r>
  <r>
    <n v="404"/>
    <d v="2025-02-07T00:00:00"/>
    <n v="1061"/>
    <s v="Customer_60"/>
    <s v="Consumer"/>
    <x v="0"/>
    <x v="0"/>
    <x v="1"/>
    <n v="4231"/>
    <n v="3"/>
    <n v="7.0000000000000007E-2"/>
    <n v="-225"/>
    <x v="0"/>
    <n v="11804.49"/>
    <x v="1"/>
    <n v="2025"/>
    <s v="Q1"/>
    <n v="-1.9060543911681063E-2"/>
    <n v="888.5100000000001"/>
    <s v="High"/>
    <s v="Repeat"/>
    <s v="Above Avg"/>
    <s v="Loss"/>
    <n v="172"/>
  </r>
  <r>
    <n v="405"/>
    <d v="2025-02-08T00:00:00"/>
    <n v="1088"/>
    <s v="Customer_13"/>
    <s v="Corporate"/>
    <x v="0"/>
    <x v="0"/>
    <x v="2"/>
    <n v="2954"/>
    <n v="6"/>
    <n v="7.0000000000000007E-2"/>
    <n v="-111"/>
    <x v="2"/>
    <n v="16483.32"/>
    <x v="1"/>
    <n v="2025"/>
    <s v="Q1"/>
    <n v="-6.7340802702368216E-3"/>
    <n v="1240.68"/>
    <s v="High"/>
    <s v="Repeat"/>
    <s v="Above Avg"/>
    <s v="Loss"/>
    <n v="115"/>
  </r>
  <r>
    <n v="406"/>
    <d v="2025-02-09T00:00:00"/>
    <n v="1095"/>
    <s v="Customer_18"/>
    <s v="Corporate"/>
    <x v="2"/>
    <x v="0"/>
    <x v="1"/>
    <n v="3263"/>
    <n v="8"/>
    <n v="0.15"/>
    <n v="562"/>
    <x v="2"/>
    <n v="22188.3999999999"/>
    <x v="1"/>
    <n v="2025"/>
    <s v="Q1"/>
    <n v="2.5328550053181055E-2"/>
    <n v="3915.6"/>
    <s v="High"/>
    <s v="Repeat"/>
    <s v="Above Avg"/>
    <s v="Profit"/>
    <n v="65"/>
  </r>
  <r>
    <n v="407"/>
    <d v="2025-02-10T00:00:00"/>
    <n v="1027"/>
    <s v="Customer_179"/>
    <s v="Corporate"/>
    <x v="3"/>
    <x v="0"/>
    <x v="1"/>
    <n v="1024"/>
    <n v="5"/>
    <n v="0.11"/>
    <n v="538"/>
    <x v="2"/>
    <n v="4556.8"/>
    <x v="1"/>
    <n v="2025"/>
    <s v="Q1"/>
    <n v="0.11806530898876404"/>
    <n v="563.20000000000005"/>
    <s v="Medium"/>
    <s v="Repeat"/>
    <s v="Below Avg"/>
    <s v="Profit"/>
    <n v="337"/>
  </r>
  <r>
    <n v="408"/>
    <d v="2025-02-11T00:00:00"/>
    <n v="1065"/>
    <s v="Customer_50"/>
    <s v="Consumer"/>
    <x v="1"/>
    <x v="1"/>
    <x v="0"/>
    <n v="2288"/>
    <n v="7"/>
    <n v="0.15"/>
    <n v="634"/>
    <x v="1"/>
    <n v="13613.6"/>
    <x v="1"/>
    <n v="2025"/>
    <s v="Q1"/>
    <n v="4.6571075982840687E-2"/>
    <n v="2402.4"/>
    <s v="High"/>
    <s v="Repeat"/>
    <s v="Above Avg"/>
    <s v="Profit"/>
    <n v="152"/>
  </r>
  <r>
    <n v="409"/>
    <d v="2025-02-12T00:00:00"/>
    <n v="1016"/>
    <s v="Customer_43"/>
    <s v="Consumer"/>
    <x v="2"/>
    <x v="0"/>
    <x v="0"/>
    <n v="4617"/>
    <n v="9"/>
    <n v="0.08"/>
    <n v="1491"/>
    <x v="1"/>
    <n v="38228.76"/>
    <x v="1"/>
    <n v="2025"/>
    <s v="Q1"/>
    <n v="3.9002049765673799E-2"/>
    <n v="3324.2400000000002"/>
    <s v="High"/>
    <s v="Repeat"/>
    <s v="Above Avg"/>
    <s v="Profit"/>
    <n v="5"/>
  </r>
  <r>
    <n v="410"/>
    <d v="2025-02-13T00:00:00"/>
    <n v="1090"/>
    <s v="Customer_85"/>
    <s v="Consumer"/>
    <x v="2"/>
    <x v="1"/>
    <x v="1"/>
    <n v="1303"/>
    <n v="5"/>
    <n v="0.18"/>
    <n v="826"/>
    <x v="1"/>
    <n v="5342.3"/>
    <x v="1"/>
    <n v="2025"/>
    <s v="Q1"/>
    <n v="0.15461505344140164"/>
    <n v="1172.7"/>
    <s v="High"/>
    <s v="Repeat"/>
    <s v="Below Avg"/>
    <s v="Profit"/>
    <n v="315"/>
  </r>
  <r>
    <n v="411"/>
    <d v="2025-02-14T00:00:00"/>
    <n v="1001"/>
    <s v="Customer_46"/>
    <s v="Consumer"/>
    <x v="0"/>
    <x v="2"/>
    <x v="0"/>
    <n v="2942"/>
    <n v="7"/>
    <n v="0.19"/>
    <n v="90"/>
    <x v="0"/>
    <n v="16681.14"/>
    <x v="1"/>
    <n v="2025"/>
    <s v="Q1"/>
    <n v="5.3953147087069595E-3"/>
    <n v="3912.86"/>
    <s v="High"/>
    <s v="Repeat"/>
    <s v="Above Avg"/>
    <s v="Profit"/>
    <n v="109"/>
  </r>
  <r>
    <n v="412"/>
    <d v="2025-02-15T00:00:00"/>
    <n v="1007"/>
    <s v="Customer_24"/>
    <s v="Consumer"/>
    <x v="2"/>
    <x v="2"/>
    <x v="3"/>
    <n v="3138"/>
    <n v="8"/>
    <n v="0.06"/>
    <n v="281"/>
    <x v="2"/>
    <n v="23597.759999999998"/>
    <x v="1"/>
    <n v="2025"/>
    <s v="Q1"/>
    <n v="1.1907909903312858E-2"/>
    <n v="1506.24"/>
    <s v="High"/>
    <s v="Repeat"/>
    <s v="Above Avg"/>
    <s v="Profit"/>
    <n v="55"/>
  </r>
  <r>
    <n v="413"/>
    <d v="2025-02-16T00:00:00"/>
    <n v="1037"/>
    <s v="Customer_5"/>
    <s v="Corporate"/>
    <x v="0"/>
    <x v="0"/>
    <x v="3"/>
    <n v="2851"/>
    <n v="4"/>
    <n v="0.17"/>
    <n v="385"/>
    <x v="1"/>
    <n v="9465.32"/>
    <x v="1"/>
    <n v="2025"/>
    <s v="Q1"/>
    <n v="4.0674800218059193E-2"/>
    <n v="1938.68"/>
    <s v="High"/>
    <s v="Repeat"/>
    <s v="Below Avg"/>
    <s v="Profit"/>
    <n v="219"/>
  </r>
  <r>
    <n v="414"/>
    <d v="2025-02-17T00:00:00"/>
    <n v="1019"/>
    <s v="Customer_158"/>
    <s v="Consumer"/>
    <x v="1"/>
    <x v="1"/>
    <x v="0"/>
    <n v="1181"/>
    <n v="8"/>
    <n v="0.13"/>
    <n v="-134"/>
    <x v="2"/>
    <n v="8219.76"/>
    <x v="1"/>
    <n v="2025"/>
    <s v="Q1"/>
    <n v="-1.6302179139050289E-2"/>
    <n v="1228.24"/>
    <s v="High"/>
    <s v="Repeat"/>
    <s v="Below Avg"/>
    <s v="Loss"/>
    <n v="243"/>
  </r>
  <r>
    <n v="415"/>
    <d v="2025-02-18T00:00:00"/>
    <n v="1063"/>
    <s v="Customer_43"/>
    <s v="Corporate"/>
    <x v="2"/>
    <x v="2"/>
    <x v="0"/>
    <n v="4382"/>
    <n v="8"/>
    <n v="0.28999999999999998"/>
    <n v="420"/>
    <x v="0"/>
    <n v="24889.759999999998"/>
    <x v="1"/>
    <n v="2025"/>
    <s v="Q1"/>
    <n v="1.6874409395671152E-2"/>
    <n v="10166.24"/>
    <s v="High"/>
    <s v="Repeat"/>
    <s v="Above Avg"/>
    <s v="Profit"/>
    <n v="43"/>
  </r>
  <r>
    <n v="416"/>
    <d v="2025-02-19T00:00:00"/>
    <n v="1020"/>
    <s v="Customer_53"/>
    <s v="Consumer"/>
    <x v="1"/>
    <x v="2"/>
    <x v="3"/>
    <n v="346"/>
    <n v="1"/>
    <n v="0.22"/>
    <n v="1283"/>
    <x v="2"/>
    <n v="269.88"/>
    <x v="1"/>
    <n v="2025"/>
    <s v="Q1"/>
    <n v="4.7539647250629908"/>
    <n v="76.12"/>
    <s v="Low"/>
    <s v="Repeat"/>
    <s v="Below Avg"/>
    <s v="Profit"/>
    <n v="497"/>
  </r>
  <r>
    <n v="417"/>
    <d v="2025-02-20T00:00:00"/>
    <n v="1089"/>
    <s v="Customer_152"/>
    <s v="Consumer"/>
    <x v="0"/>
    <x v="0"/>
    <x v="2"/>
    <n v="895"/>
    <n v="7"/>
    <n v="0.05"/>
    <n v="305"/>
    <x v="1"/>
    <n v="5951.75"/>
    <x v="1"/>
    <n v="2025"/>
    <s v="Q1"/>
    <n v="5.1245432015793672E-2"/>
    <n v="313.25"/>
    <s v="High"/>
    <s v="Repeat"/>
    <s v="Below Avg"/>
    <s v="Profit"/>
    <n v="299"/>
  </r>
  <r>
    <n v="418"/>
    <d v="2025-02-21T00:00:00"/>
    <n v="1030"/>
    <s v="Customer_103"/>
    <s v="Consumer"/>
    <x v="3"/>
    <x v="1"/>
    <x v="1"/>
    <n v="3786"/>
    <n v="6"/>
    <n v="0.26"/>
    <n v="1046"/>
    <x v="0"/>
    <n v="16809.84"/>
    <x v="1"/>
    <n v="2025"/>
    <s v="Q1"/>
    <n v="6.2225458421971892E-2"/>
    <n v="5906.16"/>
    <s v="High"/>
    <s v="Repeat"/>
    <s v="Above Avg"/>
    <s v="Profit"/>
    <n v="106"/>
  </r>
  <r>
    <n v="419"/>
    <d v="2025-02-22T00:00:00"/>
    <n v="1083"/>
    <s v="Customer_142"/>
    <s v="Corporate"/>
    <x v="3"/>
    <x v="0"/>
    <x v="0"/>
    <n v="1037"/>
    <n v="9"/>
    <n v="0.14000000000000001"/>
    <n v="1107"/>
    <x v="1"/>
    <n v="8026.38"/>
    <x v="1"/>
    <n v="2025"/>
    <s v="Q1"/>
    <n v="0.13792020811374492"/>
    <n v="1306.6200000000001"/>
    <s v="High"/>
    <s v="Repeat"/>
    <s v="Below Avg"/>
    <s v="Profit"/>
    <n v="253"/>
  </r>
  <r>
    <n v="420"/>
    <d v="2025-02-23T00:00:00"/>
    <n v="1069"/>
    <s v="Customer_164"/>
    <s v="Corporate"/>
    <x v="1"/>
    <x v="1"/>
    <x v="2"/>
    <n v="2011"/>
    <n v="8"/>
    <n v="0.25"/>
    <n v="1506"/>
    <x v="1"/>
    <n v="12066"/>
    <x v="1"/>
    <n v="2025"/>
    <s v="Q1"/>
    <n v="0.12481352560914968"/>
    <n v="4022"/>
    <s v="High"/>
    <s v="Repeat"/>
    <s v="Above Avg"/>
    <s v="Profit"/>
    <n v="166"/>
  </r>
  <r>
    <n v="421"/>
    <d v="2025-02-24T00:00:00"/>
    <n v="1014"/>
    <s v="Customer_154"/>
    <s v="Consumer"/>
    <x v="3"/>
    <x v="1"/>
    <x v="1"/>
    <n v="1278"/>
    <n v="4"/>
    <n v="0.25"/>
    <n v="-41"/>
    <x v="1"/>
    <n v="3834"/>
    <x v="1"/>
    <n v="2025"/>
    <s v="Q1"/>
    <n v="-1.069379238393323E-2"/>
    <n v="1278"/>
    <s v="Medium"/>
    <s v="Repeat"/>
    <s v="Below Avg"/>
    <s v="Loss"/>
    <n v="362"/>
  </r>
  <r>
    <n v="422"/>
    <d v="2025-02-25T00:00:00"/>
    <n v="1056"/>
    <s v="Customer_13"/>
    <s v="Corporate"/>
    <x v="1"/>
    <x v="1"/>
    <x v="0"/>
    <n v="837"/>
    <n v="2"/>
    <n v="0.01"/>
    <n v="1937"/>
    <x v="2"/>
    <n v="1657.26"/>
    <x v="1"/>
    <n v="2025"/>
    <s v="Q1"/>
    <n v="1.1687966885099501"/>
    <n v="16.740000000000002"/>
    <s v="Low"/>
    <s v="Repeat"/>
    <s v="Below Avg"/>
    <s v="Profit"/>
    <n v="449"/>
  </r>
  <r>
    <n v="423"/>
    <d v="2025-02-26T00:00:00"/>
    <n v="1000"/>
    <s v="Customer_21"/>
    <s v="Consumer"/>
    <x v="3"/>
    <x v="1"/>
    <x v="0"/>
    <n v="734"/>
    <n v="3"/>
    <n v="7.0000000000000007E-2"/>
    <n v="1682"/>
    <x v="0"/>
    <n v="2047.86"/>
    <x v="1"/>
    <n v="2025"/>
    <s v="Q1"/>
    <n v="0.82134520914515641"/>
    <n v="154.14000000000001"/>
    <s v="Medium"/>
    <s v="Repeat"/>
    <s v="Below Avg"/>
    <s v="Profit"/>
    <n v="427"/>
  </r>
  <r>
    <n v="424"/>
    <d v="2025-02-27T00:00:00"/>
    <n v="1089"/>
    <s v="Customer_90"/>
    <s v="Corporate"/>
    <x v="2"/>
    <x v="0"/>
    <x v="2"/>
    <n v="316"/>
    <n v="7"/>
    <n v="0.27"/>
    <n v="1139"/>
    <x v="1"/>
    <n v="1614.76"/>
    <x v="1"/>
    <n v="2025"/>
    <s v="Q1"/>
    <n v="0.70536798038098536"/>
    <n v="597.24"/>
    <s v="Low"/>
    <s v="Repeat"/>
    <s v="Below Avg"/>
    <s v="Profit"/>
    <n v="453"/>
  </r>
  <r>
    <n v="425"/>
    <d v="2025-02-28T00:00:00"/>
    <n v="1028"/>
    <s v="Customer_98"/>
    <s v="Consumer"/>
    <x v="0"/>
    <x v="2"/>
    <x v="1"/>
    <n v="519"/>
    <n v="9"/>
    <n v="0.23"/>
    <n v="411"/>
    <x v="1"/>
    <n v="3596.67"/>
    <x v="1"/>
    <n v="2025"/>
    <s v="Q1"/>
    <n v="0.11427236860762872"/>
    <n v="1074.3300000000002"/>
    <s v="Medium"/>
    <s v="Repeat"/>
    <s v="Below Avg"/>
    <s v="Profit"/>
    <n v="369"/>
  </r>
  <r>
    <n v="426"/>
    <d v="2025-03-01T00:00:00"/>
    <n v="1065"/>
    <s v="Customer_40"/>
    <s v="Consumer"/>
    <x v="3"/>
    <x v="1"/>
    <x v="0"/>
    <n v="2662"/>
    <n v="3"/>
    <n v="0.04"/>
    <n v="1264"/>
    <x v="0"/>
    <n v="7666.5599999999904"/>
    <x v="2"/>
    <n v="2025"/>
    <s v="Q1"/>
    <n v="0.16487185908673532"/>
    <n v="319.44"/>
    <s v="High"/>
    <s v="Repeat"/>
    <s v="Below Avg"/>
    <s v="Profit"/>
    <n v="260"/>
  </r>
  <r>
    <n v="427"/>
    <d v="2025-03-02T00:00:00"/>
    <n v="1021"/>
    <s v="Customer_43"/>
    <s v="Consumer"/>
    <x v="1"/>
    <x v="1"/>
    <x v="1"/>
    <n v="408"/>
    <n v="7"/>
    <n v="0.06"/>
    <n v="1876"/>
    <x v="1"/>
    <n v="2684.64"/>
    <x v="2"/>
    <n v="2025"/>
    <s v="Q1"/>
    <n v="0.69879015435961622"/>
    <n v="171.35999999999999"/>
    <s v="Medium"/>
    <s v="Repeat"/>
    <s v="Below Avg"/>
    <s v="Profit"/>
    <n v="402"/>
  </r>
  <r>
    <n v="428"/>
    <d v="2025-03-03T00:00:00"/>
    <n v="1060"/>
    <s v="Customer_59"/>
    <s v="Consumer"/>
    <x v="0"/>
    <x v="1"/>
    <x v="1"/>
    <n v="4903"/>
    <n v="1"/>
    <n v="0.19"/>
    <n v="1541"/>
    <x v="0"/>
    <n v="3971.43"/>
    <x v="2"/>
    <n v="2025"/>
    <s v="Q1"/>
    <n v="0.38802144315775428"/>
    <n v="931.57"/>
    <s v="Medium"/>
    <s v="Repeat"/>
    <s v="Below Avg"/>
    <s v="Profit"/>
    <n v="355"/>
  </r>
  <r>
    <n v="429"/>
    <d v="2025-03-04T00:00:00"/>
    <n v="1028"/>
    <s v="Customer_49"/>
    <s v="Corporate"/>
    <x v="2"/>
    <x v="0"/>
    <x v="1"/>
    <n v="1966"/>
    <n v="3"/>
    <n v="0.08"/>
    <n v="919"/>
    <x v="1"/>
    <n v="5426.16"/>
    <x v="2"/>
    <n v="2025"/>
    <s v="Q1"/>
    <n v="0.16936470726996625"/>
    <n v="471.84000000000003"/>
    <s v="High"/>
    <s v="Repeat"/>
    <s v="Below Avg"/>
    <s v="Profit"/>
    <n v="311"/>
  </r>
  <r>
    <n v="430"/>
    <d v="2025-03-05T00:00:00"/>
    <n v="1008"/>
    <s v="Customer_175"/>
    <s v="Corporate"/>
    <x v="2"/>
    <x v="1"/>
    <x v="2"/>
    <n v="1083"/>
    <n v="2"/>
    <n v="0.06"/>
    <n v="25"/>
    <x v="1"/>
    <n v="2036.04"/>
    <x v="2"/>
    <n v="2025"/>
    <s v="Q1"/>
    <n v="1.2278737156440934E-2"/>
    <n v="129.96"/>
    <s v="Medium"/>
    <s v="Repeat"/>
    <s v="Below Avg"/>
    <s v="Profit"/>
    <n v="429"/>
  </r>
  <r>
    <n v="431"/>
    <d v="2025-03-06T00:00:00"/>
    <n v="1040"/>
    <s v="Customer_147"/>
    <s v="Corporate"/>
    <x v="1"/>
    <x v="2"/>
    <x v="1"/>
    <n v="3878"/>
    <n v="6"/>
    <n v="0.3"/>
    <n v="227"/>
    <x v="1"/>
    <n v="16287.5999999999"/>
    <x v="2"/>
    <n v="2025"/>
    <s v="Q1"/>
    <n v="1.3936982735332485E-2"/>
    <n v="6980.4"/>
    <s v="High"/>
    <s v="Repeat"/>
    <s v="Above Avg"/>
    <s v="Profit"/>
    <n v="120"/>
  </r>
  <r>
    <n v="432"/>
    <d v="2025-03-07T00:00:00"/>
    <n v="1020"/>
    <s v="Customer_140"/>
    <s v="Consumer"/>
    <x v="3"/>
    <x v="1"/>
    <x v="3"/>
    <n v="2387"/>
    <n v="9"/>
    <n v="0.14000000000000001"/>
    <n v="-68"/>
    <x v="2"/>
    <n v="18475.38"/>
    <x v="2"/>
    <n v="2025"/>
    <s v="Q1"/>
    <n v="-3.6805738231094568E-3"/>
    <n v="3007.6200000000003"/>
    <s v="High"/>
    <s v="Repeat"/>
    <s v="Above Avg"/>
    <s v="Loss"/>
    <n v="88"/>
  </r>
  <r>
    <n v="433"/>
    <d v="2025-03-08T00:00:00"/>
    <n v="1054"/>
    <s v="Customer_36"/>
    <s v="Consumer"/>
    <x v="3"/>
    <x v="2"/>
    <x v="0"/>
    <n v="3414"/>
    <n v="3"/>
    <n v="0.16"/>
    <n v="1361"/>
    <x v="0"/>
    <n v="8603.2799999999897"/>
    <x v="2"/>
    <n v="2025"/>
    <s v="Q1"/>
    <n v="0.15819547893361621"/>
    <n v="1638.72"/>
    <s v="High"/>
    <s v="Repeat"/>
    <s v="Below Avg"/>
    <s v="Profit"/>
    <n v="236"/>
  </r>
  <r>
    <n v="434"/>
    <d v="2025-03-09T00:00:00"/>
    <n v="1095"/>
    <s v="Customer_122"/>
    <s v="Consumer"/>
    <x v="0"/>
    <x v="2"/>
    <x v="1"/>
    <n v="661"/>
    <n v="8"/>
    <n v="0.2"/>
    <n v="31"/>
    <x v="2"/>
    <n v="4230.3999999999996"/>
    <x v="2"/>
    <n v="2025"/>
    <s v="Q1"/>
    <n v="7.3279122541603636E-3"/>
    <n v="1057.6000000000001"/>
    <s v="Medium"/>
    <s v="Repeat"/>
    <s v="Below Avg"/>
    <s v="Profit"/>
    <n v="345"/>
  </r>
  <r>
    <n v="435"/>
    <d v="2025-03-10T00:00:00"/>
    <n v="1095"/>
    <s v="Customer_94"/>
    <s v="Consumer"/>
    <x v="1"/>
    <x v="0"/>
    <x v="0"/>
    <n v="3695"/>
    <n v="9"/>
    <n v="0.02"/>
    <n v="1064"/>
    <x v="2"/>
    <n v="32589.8999999999"/>
    <x v="2"/>
    <n v="2025"/>
    <s v="Q1"/>
    <n v="3.2648151727989447E-2"/>
    <n v="665.1"/>
    <s v="High"/>
    <s v="Repeat"/>
    <s v="Above Avg"/>
    <s v="Profit"/>
    <n v="19"/>
  </r>
  <r>
    <n v="436"/>
    <d v="2025-03-11T00:00:00"/>
    <n v="1039"/>
    <s v="Customer_108"/>
    <s v="Corporate"/>
    <x v="1"/>
    <x v="2"/>
    <x v="3"/>
    <n v="4987"/>
    <n v="8"/>
    <n v="0.12"/>
    <n v="1901"/>
    <x v="0"/>
    <n v="35108.480000000003"/>
    <x v="2"/>
    <n v="2025"/>
    <s v="Q1"/>
    <n v="5.4146462620996406E-2"/>
    <n v="4787.5199999999995"/>
    <s v="High"/>
    <s v="Repeat"/>
    <s v="Above Avg"/>
    <s v="Profit"/>
    <n v="11"/>
  </r>
  <r>
    <n v="437"/>
    <d v="2025-03-12T00:00:00"/>
    <n v="1025"/>
    <s v="Customer_33"/>
    <s v="Corporate"/>
    <x v="0"/>
    <x v="1"/>
    <x v="3"/>
    <n v="1502"/>
    <n v="9"/>
    <n v="0.27"/>
    <n v="407"/>
    <x v="0"/>
    <n v="9868.14"/>
    <x v="2"/>
    <n v="2025"/>
    <s v="Q1"/>
    <n v="4.1243841291266646E-2"/>
    <n v="3649.86"/>
    <s v="High"/>
    <s v="Repeat"/>
    <s v="Below Avg"/>
    <s v="Profit"/>
    <n v="205"/>
  </r>
  <r>
    <n v="438"/>
    <d v="2025-03-13T00:00:00"/>
    <n v="1047"/>
    <s v="Customer_108"/>
    <s v="Corporate"/>
    <x v="0"/>
    <x v="2"/>
    <x v="3"/>
    <n v="2678"/>
    <n v="9"/>
    <n v="0.28000000000000003"/>
    <n v="-115"/>
    <x v="0"/>
    <n v="17353.439999999999"/>
    <x v="2"/>
    <n v="2025"/>
    <s v="Q1"/>
    <n v="-6.626928147963747E-3"/>
    <n v="6748.56"/>
    <s v="High"/>
    <s v="Repeat"/>
    <s v="Above Avg"/>
    <s v="Loss"/>
    <n v="100"/>
  </r>
  <r>
    <n v="439"/>
    <d v="2025-03-14T00:00:00"/>
    <n v="1076"/>
    <s v="Customer_127"/>
    <s v="Corporate"/>
    <x v="3"/>
    <x v="1"/>
    <x v="3"/>
    <n v="3044"/>
    <n v="3"/>
    <n v="0.15"/>
    <n v="151"/>
    <x v="0"/>
    <n v="7762.2"/>
    <x v="2"/>
    <n v="2025"/>
    <s v="Q1"/>
    <n v="1.9453247790574838E-2"/>
    <n v="1369.8"/>
    <s v="High"/>
    <s v="Repeat"/>
    <s v="Below Avg"/>
    <s v="Profit"/>
    <n v="257"/>
  </r>
  <r>
    <n v="440"/>
    <d v="2025-03-15T00:00:00"/>
    <n v="1002"/>
    <s v="Customer_87"/>
    <s v="Consumer"/>
    <x v="0"/>
    <x v="2"/>
    <x v="0"/>
    <n v="670"/>
    <n v="9"/>
    <n v="0.27"/>
    <n v="-290"/>
    <x v="1"/>
    <n v="4401.8999999999996"/>
    <x v="2"/>
    <n v="2025"/>
    <s v="Q1"/>
    <n v="-6.5880642449851201E-2"/>
    <n v="1628.1000000000001"/>
    <s v="Medium"/>
    <s v="Repeat"/>
    <s v="Below Avg"/>
    <s v="Loss"/>
    <n v="340"/>
  </r>
  <r>
    <n v="441"/>
    <d v="2025-03-16T00:00:00"/>
    <n v="1095"/>
    <s v="Customer_62"/>
    <s v="Consumer"/>
    <x v="1"/>
    <x v="1"/>
    <x v="1"/>
    <n v="2551"/>
    <n v="1"/>
    <n v="0.15"/>
    <n v="453"/>
    <x v="2"/>
    <n v="2168.35"/>
    <x v="2"/>
    <n v="2025"/>
    <s v="Q1"/>
    <n v="0.20891461249337054"/>
    <n v="382.65"/>
    <s v="Medium"/>
    <s v="Repeat"/>
    <s v="Below Avg"/>
    <s v="Profit"/>
    <n v="420"/>
  </r>
  <r>
    <n v="442"/>
    <d v="2025-03-17T00:00:00"/>
    <n v="1032"/>
    <s v="Customer_169"/>
    <s v="Corporate"/>
    <x v="2"/>
    <x v="0"/>
    <x v="2"/>
    <n v="1755"/>
    <n v="4"/>
    <n v="0.3"/>
    <n v="678"/>
    <x v="2"/>
    <n v="4914"/>
    <x v="2"/>
    <n v="2025"/>
    <s v="Q1"/>
    <n v="0.13797313797313798"/>
    <n v="2106"/>
    <s v="Medium"/>
    <s v="Repeat"/>
    <s v="Below Avg"/>
    <s v="Profit"/>
    <n v="327"/>
  </r>
  <r>
    <n v="443"/>
    <d v="2025-03-18T00:00:00"/>
    <n v="1096"/>
    <s v="Customer_19"/>
    <s v="Corporate"/>
    <x v="2"/>
    <x v="1"/>
    <x v="1"/>
    <n v="4413"/>
    <n v="1"/>
    <n v="0.24"/>
    <n v="-325"/>
    <x v="1"/>
    <n v="3353.88"/>
    <x v="2"/>
    <n v="2025"/>
    <s v="Q1"/>
    <n v="-9.6902691807697353E-2"/>
    <n v="1059.1199999999999"/>
    <s v="Medium"/>
    <s v="Repeat"/>
    <s v="Below Avg"/>
    <s v="Loss"/>
    <n v="383"/>
  </r>
  <r>
    <n v="444"/>
    <d v="2025-03-19T00:00:00"/>
    <n v="1041"/>
    <s v="Customer_101"/>
    <s v="Consumer"/>
    <x v="2"/>
    <x v="0"/>
    <x v="1"/>
    <n v="4983"/>
    <n v="2"/>
    <n v="0.25"/>
    <n v="159"/>
    <x v="2"/>
    <n v="7474.5"/>
    <x v="2"/>
    <n v="2025"/>
    <s v="Q1"/>
    <n v="2.1272325908087499E-2"/>
    <n v="2491.5"/>
    <s v="High"/>
    <s v="Repeat"/>
    <s v="Below Avg"/>
    <s v="Profit"/>
    <n v="265"/>
  </r>
  <r>
    <n v="445"/>
    <d v="2025-03-20T00:00:00"/>
    <n v="1076"/>
    <s v="Customer_31"/>
    <s v="Consumer"/>
    <x v="2"/>
    <x v="1"/>
    <x v="0"/>
    <n v="2328"/>
    <n v="4"/>
    <n v="0.06"/>
    <n v="878"/>
    <x v="2"/>
    <n v="8753.2799999999897"/>
    <x v="2"/>
    <n v="2025"/>
    <s v="Q1"/>
    <n v="0.10030525700080439"/>
    <n v="558.72"/>
    <s v="High"/>
    <s v="Repeat"/>
    <s v="Below Avg"/>
    <s v="Profit"/>
    <n v="234"/>
  </r>
  <r>
    <n v="446"/>
    <d v="2025-03-21T00:00:00"/>
    <n v="1042"/>
    <s v="Customer_50"/>
    <s v="Consumer"/>
    <x v="1"/>
    <x v="2"/>
    <x v="1"/>
    <n v="4886"/>
    <n v="8"/>
    <n v="0"/>
    <n v="-420"/>
    <x v="0"/>
    <n v="39088"/>
    <x v="2"/>
    <n v="2025"/>
    <s v="Q1"/>
    <n v="-1.0744985673352435E-2"/>
    <n v="0"/>
    <s v="High"/>
    <s v="New"/>
    <s v="Above Avg"/>
    <s v="Loss"/>
    <n v="4"/>
  </r>
  <r>
    <n v="447"/>
    <d v="2025-03-22T00:00:00"/>
    <n v="1069"/>
    <s v="Customer_170"/>
    <s v="Consumer"/>
    <x v="2"/>
    <x v="1"/>
    <x v="3"/>
    <n v="2947"/>
    <n v="6"/>
    <n v="0.15"/>
    <n v="963"/>
    <x v="1"/>
    <n v="15029.699999999901"/>
    <x v="2"/>
    <n v="2025"/>
    <s v="Q1"/>
    <n v="6.4073135192319636E-2"/>
    <n v="2652.2999999999997"/>
    <s v="High"/>
    <s v="Repeat"/>
    <s v="Above Avg"/>
    <s v="Profit"/>
    <n v="137"/>
  </r>
  <r>
    <n v="448"/>
    <d v="2025-03-23T00:00:00"/>
    <n v="1003"/>
    <s v="Customer_103"/>
    <s v="Corporate"/>
    <x v="1"/>
    <x v="2"/>
    <x v="0"/>
    <n v="3985"/>
    <n v="4"/>
    <n v="0.28999999999999998"/>
    <n v="735"/>
    <x v="1"/>
    <n v="11317.4"/>
    <x v="2"/>
    <n v="2025"/>
    <s v="Q1"/>
    <n v="6.494424514464453E-2"/>
    <n v="4622.5999999999995"/>
    <s v="High"/>
    <s v="Repeat"/>
    <s v="Above Avg"/>
    <s v="Profit"/>
    <n v="185"/>
  </r>
  <r>
    <n v="449"/>
    <d v="2025-03-24T00:00:00"/>
    <n v="1063"/>
    <s v="Customer_17"/>
    <s v="Consumer"/>
    <x v="3"/>
    <x v="1"/>
    <x v="2"/>
    <n v="444"/>
    <n v="4"/>
    <n v="0.28999999999999998"/>
    <n v="1226"/>
    <x v="1"/>
    <n v="1260.96"/>
    <x v="2"/>
    <n v="2025"/>
    <s v="Q1"/>
    <n v="0.97227509199340179"/>
    <n v="515.04"/>
    <s v="Low"/>
    <s v="Repeat"/>
    <s v="Below Avg"/>
    <s v="Profit"/>
    <n v="467"/>
  </r>
  <r>
    <n v="450"/>
    <d v="2025-03-25T00:00:00"/>
    <n v="1069"/>
    <s v="Customer_196"/>
    <s v="Consumer"/>
    <x v="2"/>
    <x v="1"/>
    <x v="0"/>
    <n v="3283"/>
    <n v="6"/>
    <n v="0.18"/>
    <n v="-475"/>
    <x v="1"/>
    <n v="16152.36"/>
    <x v="2"/>
    <n v="2025"/>
    <s v="Q1"/>
    <n v="-2.9407467391761945E-2"/>
    <n v="3545.64"/>
    <s v="High"/>
    <s v="Repeat"/>
    <s v="Above Avg"/>
    <s v="Loss"/>
    <n v="124"/>
  </r>
  <r>
    <n v="451"/>
    <d v="2025-03-26T00:00:00"/>
    <n v="1050"/>
    <s v="Customer_6"/>
    <s v="Consumer"/>
    <x v="1"/>
    <x v="1"/>
    <x v="0"/>
    <n v="3777"/>
    <n v="1"/>
    <n v="0.06"/>
    <n v="658"/>
    <x v="0"/>
    <n v="3550.3799999999901"/>
    <x v="2"/>
    <n v="2025"/>
    <s v="Q1"/>
    <n v="0.18533227429176646"/>
    <n v="226.62"/>
    <s v="Medium"/>
    <s v="Repeat"/>
    <s v="Below Avg"/>
    <s v="Profit"/>
    <n v="375"/>
  </r>
  <r>
    <n v="452"/>
    <d v="2025-03-27T00:00:00"/>
    <n v="1066"/>
    <s v="Customer_60"/>
    <s v="Corporate"/>
    <x v="3"/>
    <x v="0"/>
    <x v="2"/>
    <n v="4411"/>
    <n v="5"/>
    <n v="0"/>
    <n v="1052"/>
    <x v="2"/>
    <n v="22055"/>
    <x v="2"/>
    <n v="2025"/>
    <s v="Q1"/>
    <n v="4.7698934481976873E-2"/>
    <n v="0"/>
    <s v="High"/>
    <s v="Repeat"/>
    <s v="Above Avg"/>
    <s v="Profit"/>
    <n v="66"/>
  </r>
  <r>
    <n v="453"/>
    <d v="2025-03-28T00:00:00"/>
    <n v="1090"/>
    <s v="Customer_19"/>
    <s v="Corporate"/>
    <x v="3"/>
    <x v="2"/>
    <x v="0"/>
    <n v="2976"/>
    <n v="4"/>
    <n v="0.15"/>
    <n v="1151"/>
    <x v="1"/>
    <n v="10118.4"/>
    <x v="2"/>
    <n v="2025"/>
    <s v="Q1"/>
    <n v="0.11375316255534472"/>
    <n v="1785.6"/>
    <s v="High"/>
    <s v="Repeat"/>
    <s v="Below Avg"/>
    <s v="Profit"/>
    <n v="199"/>
  </r>
  <r>
    <n v="454"/>
    <d v="2025-03-29T00:00:00"/>
    <n v="1083"/>
    <s v="Customer_186"/>
    <s v="Corporate"/>
    <x v="3"/>
    <x v="0"/>
    <x v="3"/>
    <n v="504"/>
    <n v="8"/>
    <n v="0.09"/>
    <n v="1073"/>
    <x v="0"/>
    <n v="3669.12"/>
    <x v="2"/>
    <n v="2025"/>
    <s v="Q1"/>
    <n v="0.2924406942264085"/>
    <n v="362.88"/>
    <s v="Medium"/>
    <s v="Repeat"/>
    <s v="Below Avg"/>
    <s v="Profit"/>
    <n v="367"/>
  </r>
  <r>
    <n v="455"/>
    <d v="2025-03-30T00:00:00"/>
    <n v="1017"/>
    <s v="Customer_40"/>
    <s v="Corporate"/>
    <x v="2"/>
    <x v="0"/>
    <x v="1"/>
    <n v="2002"/>
    <n v="9"/>
    <n v="0.1"/>
    <n v="-460"/>
    <x v="0"/>
    <n v="16216.2"/>
    <x v="2"/>
    <n v="2025"/>
    <s v="Q1"/>
    <n v="-2.83666950333617E-2"/>
    <n v="1801.8000000000002"/>
    <s v="High"/>
    <s v="Repeat"/>
    <s v="Above Avg"/>
    <s v="Loss"/>
    <n v="121"/>
  </r>
  <r>
    <n v="456"/>
    <d v="2025-03-31T00:00:00"/>
    <n v="1019"/>
    <s v="Customer_124"/>
    <s v="Consumer"/>
    <x v="0"/>
    <x v="0"/>
    <x v="0"/>
    <n v="272"/>
    <n v="2"/>
    <n v="0.25"/>
    <n v="237"/>
    <x v="2"/>
    <n v="408"/>
    <x v="2"/>
    <n v="2025"/>
    <s v="Q1"/>
    <n v="0.58088235294117652"/>
    <n v="136"/>
    <s v="Low"/>
    <s v="Repeat"/>
    <s v="Below Avg"/>
    <s v="Profit"/>
    <n v="495"/>
  </r>
  <r>
    <n v="457"/>
    <d v="2025-04-01T00:00:00"/>
    <n v="1029"/>
    <s v="Customer_45"/>
    <s v="Consumer"/>
    <x v="1"/>
    <x v="0"/>
    <x v="2"/>
    <n v="1217"/>
    <n v="2"/>
    <n v="0.03"/>
    <n v="1969"/>
    <x v="2"/>
    <n v="2360.98"/>
    <x v="3"/>
    <n v="2025"/>
    <s v="Q2"/>
    <n v="0.83397572194597158"/>
    <n v="73.02"/>
    <s v="Medium"/>
    <s v="Repeat"/>
    <s v="Below Avg"/>
    <s v="Profit"/>
    <n v="414"/>
  </r>
  <r>
    <n v="458"/>
    <d v="2025-04-02T00:00:00"/>
    <n v="1073"/>
    <s v="Customer_42"/>
    <s v="Corporate"/>
    <x v="2"/>
    <x v="1"/>
    <x v="1"/>
    <n v="1801"/>
    <n v="8"/>
    <n v="0.03"/>
    <n v="1897"/>
    <x v="1"/>
    <n v="13975.76"/>
    <x v="3"/>
    <n v="2025"/>
    <s v="Q2"/>
    <n v="0.13573501548395223"/>
    <n v="432.24"/>
    <s v="High"/>
    <s v="Repeat"/>
    <s v="Above Avg"/>
    <s v="Profit"/>
    <n v="148"/>
  </r>
  <r>
    <n v="459"/>
    <d v="2025-04-03T00:00:00"/>
    <n v="1051"/>
    <s v="Customer_70"/>
    <s v="Corporate"/>
    <x v="1"/>
    <x v="1"/>
    <x v="3"/>
    <n v="4044"/>
    <n v="6"/>
    <n v="0.13"/>
    <n v="-422"/>
    <x v="1"/>
    <n v="21109.68"/>
    <x v="3"/>
    <n v="2025"/>
    <s v="Q2"/>
    <n v="-1.9990828851976911E-2"/>
    <n v="3154.32"/>
    <s v="High"/>
    <s v="Repeat"/>
    <s v="Above Avg"/>
    <s v="Loss"/>
    <n v="75"/>
  </r>
  <r>
    <n v="460"/>
    <d v="2025-04-04T00:00:00"/>
    <n v="1022"/>
    <s v="Customer_152"/>
    <s v="Corporate"/>
    <x v="1"/>
    <x v="0"/>
    <x v="1"/>
    <n v="1017"/>
    <n v="8"/>
    <n v="0.12"/>
    <n v="622"/>
    <x v="2"/>
    <n v="7159.68"/>
    <x v="3"/>
    <n v="2025"/>
    <s v="Q2"/>
    <n v="8.68753910789309E-2"/>
    <n v="976.31999999999994"/>
    <s v="High"/>
    <s v="Repeat"/>
    <s v="Below Avg"/>
    <s v="Profit"/>
    <n v="272"/>
  </r>
  <r>
    <n v="461"/>
    <d v="2025-04-05T00:00:00"/>
    <n v="1046"/>
    <s v="Customer_150"/>
    <s v="Consumer"/>
    <x v="0"/>
    <x v="0"/>
    <x v="3"/>
    <n v="3058"/>
    <n v="1"/>
    <n v="0.02"/>
    <n v="1633"/>
    <x v="1"/>
    <n v="2996.84"/>
    <x v="3"/>
    <n v="2025"/>
    <s v="Q2"/>
    <n v="0.54490730235848428"/>
    <n v="61.160000000000004"/>
    <s v="Medium"/>
    <s v="Repeat"/>
    <s v="Below Avg"/>
    <s v="Profit"/>
    <n v="393"/>
  </r>
  <r>
    <n v="462"/>
    <d v="2025-04-06T00:00:00"/>
    <n v="1002"/>
    <s v="Customer_53"/>
    <s v="Consumer"/>
    <x v="2"/>
    <x v="0"/>
    <x v="3"/>
    <n v="3212"/>
    <n v="3"/>
    <n v="0.16"/>
    <n v="-72"/>
    <x v="2"/>
    <n v="8094.24"/>
    <x v="3"/>
    <n v="2025"/>
    <s v="Q2"/>
    <n v="-8.8952143746664301E-3"/>
    <n v="1541.76"/>
    <s v="High"/>
    <s v="Repeat"/>
    <s v="Below Avg"/>
    <s v="Loss"/>
    <n v="249"/>
  </r>
  <r>
    <n v="463"/>
    <d v="2025-04-07T00:00:00"/>
    <n v="1049"/>
    <s v="Customer_78"/>
    <s v="Consumer"/>
    <x v="0"/>
    <x v="2"/>
    <x v="3"/>
    <n v="1965"/>
    <n v="7"/>
    <n v="0.13"/>
    <n v="510"/>
    <x v="2"/>
    <n v="11966.85"/>
    <x v="3"/>
    <n v="2025"/>
    <s v="Q2"/>
    <n v="4.2617731483222399E-2"/>
    <n v="1788.15"/>
    <s v="High"/>
    <s v="Repeat"/>
    <s v="Above Avg"/>
    <s v="Profit"/>
    <n v="168"/>
  </r>
  <r>
    <n v="464"/>
    <d v="2025-04-08T00:00:00"/>
    <n v="1008"/>
    <s v="Customer_152"/>
    <s v="Consumer"/>
    <x v="3"/>
    <x v="2"/>
    <x v="0"/>
    <n v="406"/>
    <n v="7"/>
    <n v="0.3"/>
    <n v="648"/>
    <x v="2"/>
    <n v="1989.3999999999901"/>
    <x v="3"/>
    <n v="2025"/>
    <s v="Q2"/>
    <n v="0.32572634965316338"/>
    <n v="852.6"/>
    <s v="Low"/>
    <s v="Repeat"/>
    <s v="Below Avg"/>
    <s v="Profit"/>
    <n v="431"/>
  </r>
  <r>
    <n v="465"/>
    <d v="2025-04-09T00:00:00"/>
    <n v="1018"/>
    <s v="Customer_153"/>
    <s v="Consumer"/>
    <x v="2"/>
    <x v="1"/>
    <x v="3"/>
    <n v="1951"/>
    <n v="5"/>
    <n v="0.02"/>
    <n v="575"/>
    <x v="1"/>
    <n v="9559.9"/>
    <x v="3"/>
    <n v="2025"/>
    <s v="Q2"/>
    <n v="6.0147072668124149E-2"/>
    <n v="195.1"/>
    <s v="High"/>
    <s v="Repeat"/>
    <s v="Below Avg"/>
    <s v="Profit"/>
    <n v="214"/>
  </r>
  <r>
    <n v="466"/>
    <d v="2025-04-10T00:00:00"/>
    <n v="1035"/>
    <s v="Customer_145"/>
    <s v="Consumer"/>
    <x v="3"/>
    <x v="2"/>
    <x v="1"/>
    <n v="930"/>
    <n v="9"/>
    <n v="0.04"/>
    <n v="-226"/>
    <x v="1"/>
    <n v="8035.2"/>
    <x v="3"/>
    <n v="2025"/>
    <s v="Q2"/>
    <n v="-2.8126244524093989E-2"/>
    <n v="334.8"/>
    <s v="High"/>
    <s v="Repeat"/>
    <s v="Below Avg"/>
    <s v="Loss"/>
    <n v="252"/>
  </r>
  <r>
    <n v="467"/>
    <d v="2025-04-11T00:00:00"/>
    <n v="1039"/>
    <s v="Customer_123"/>
    <s v="Consumer"/>
    <x v="0"/>
    <x v="0"/>
    <x v="0"/>
    <n v="524"/>
    <n v="2"/>
    <n v="0.05"/>
    <n v="563"/>
    <x v="1"/>
    <n v="995.599999999999"/>
    <x v="3"/>
    <n v="2025"/>
    <s v="Q2"/>
    <n v="0.56548814785054291"/>
    <n v="52.400000000000006"/>
    <s v="Low"/>
    <s v="Repeat"/>
    <s v="Below Avg"/>
    <s v="Profit"/>
    <n v="480"/>
  </r>
  <r>
    <n v="468"/>
    <d v="2025-04-12T00:00:00"/>
    <n v="1026"/>
    <s v="Customer_115"/>
    <s v="Corporate"/>
    <x v="3"/>
    <x v="2"/>
    <x v="2"/>
    <n v="3851"/>
    <n v="1"/>
    <n v="0.1"/>
    <n v="1436"/>
    <x v="0"/>
    <n v="3465.9"/>
    <x v="3"/>
    <n v="2025"/>
    <s v="Q2"/>
    <n v="0.41432239822268385"/>
    <n v="385.1"/>
    <s v="Medium"/>
    <s v="Repeat"/>
    <s v="Below Avg"/>
    <s v="Profit"/>
    <n v="377"/>
  </r>
  <r>
    <n v="469"/>
    <d v="2025-04-13T00:00:00"/>
    <n v="1091"/>
    <s v="Customer_110"/>
    <s v="Corporate"/>
    <x v="1"/>
    <x v="0"/>
    <x v="0"/>
    <n v="4972"/>
    <n v="3"/>
    <n v="0.2"/>
    <n v="1594"/>
    <x v="2"/>
    <n v="11932.8"/>
    <x v="3"/>
    <n v="2025"/>
    <s v="Q2"/>
    <n v="0.13358138911236256"/>
    <n v="2983.2000000000003"/>
    <s v="High"/>
    <s v="Repeat"/>
    <s v="Above Avg"/>
    <s v="Profit"/>
    <n v="169"/>
  </r>
  <r>
    <n v="470"/>
    <d v="2025-04-14T00:00:00"/>
    <n v="1071"/>
    <s v="Customer_163"/>
    <s v="Consumer"/>
    <x v="0"/>
    <x v="2"/>
    <x v="3"/>
    <n v="1905"/>
    <n v="7"/>
    <n v="0.28999999999999998"/>
    <n v="-284"/>
    <x v="0"/>
    <n v="9467.85"/>
    <x v="3"/>
    <n v="2025"/>
    <s v="Q2"/>
    <n v="-2.9996250468691414E-2"/>
    <n v="3867.1499999999996"/>
    <s v="High"/>
    <s v="Repeat"/>
    <s v="Below Avg"/>
    <s v="Loss"/>
    <n v="218"/>
  </r>
  <r>
    <n v="471"/>
    <d v="2025-04-15T00:00:00"/>
    <n v="1071"/>
    <s v="Customer_56"/>
    <s v="Corporate"/>
    <x v="3"/>
    <x v="2"/>
    <x v="2"/>
    <n v="4820"/>
    <n v="8"/>
    <n v="0.27"/>
    <n v="148"/>
    <x v="2"/>
    <n v="28148.799999999999"/>
    <x v="3"/>
    <n v="2025"/>
    <s v="Q2"/>
    <n v="5.257772977888933E-3"/>
    <n v="10411.200000000001"/>
    <s v="High"/>
    <s v="Repeat"/>
    <s v="Above Avg"/>
    <s v="Profit"/>
    <n v="28"/>
  </r>
  <r>
    <n v="472"/>
    <d v="2025-04-16T00:00:00"/>
    <n v="1081"/>
    <s v="Customer_28"/>
    <s v="Corporate"/>
    <x v="3"/>
    <x v="2"/>
    <x v="3"/>
    <n v="2519"/>
    <n v="8"/>
    <n v="0.13"/>
    <n v="1049"/>
    <x v="2"/>
    <n v="17532.240000000002"/>
    <x v="3"/>
    <n v="2025"/>
    <s v="Q2"/>
    <n v="5.9832628346406388E-2"/>
    <n v="2619.7600000000002"/>
    <s v="High"/>
    <s v="Repeat"/>
    <s v="Above Avg"/>
    <s v="Profit"/>
    <n v="96"/>
  </r>
  <r>
    <n v="473"/>
    <d v="2025-04-17T00:00:00"/>
    <n v="1020"/>
    <s v="Customer_194"/>
    <s v="Corporate"/>
    <x v="3"/>
    <x v="1"/>
    <x v="2"/>
    <n v="191"/>
    <n v="2"/>
    <n v="0.02"/>
    <n v="453"/>
    <x v="1"/>
    <n v="374.36"/>
    <x v="3"/>
    <n v="2025"/>
    <s v="Q2"/>
    <n v="1.2100651779036222"/>
    <n v="7.6400000000000006"/>
    <s v="Low"/>
    <s v="Repeat"/>
    <s v="Below Avg"/>
    <s v="Profit"/>
    <n v="496"/>
  </r>
  <r>
    <n v="474"/>
    <d v="2025-04-18T00:00:00"/>
    <n v="1012"/>
    <s v="Customer_34"/>
    <s v="Corporate"/>
    <x v="3"/>
    <x v="2"/>
    <x v="0"/>
    <n v="958"/>
    <n v="6"/>
    <n v="0.19"/>
    <n v="1374"/>
    <x v="1"/>
    <n v="4655.88"/>
    <x v="3"/>
    <n v="2025"/>
    <s v="Q2"/>
    <n v="0.2951106987293487"/>
    <n v="1092.1200000000001"/>
    <s v="Medium"/>
    <s v="Repeat"/>
    <s v="Below Avg"/>
    <s v="Profit"/>
    <n v="333"/>
  </r>
  <r>
    <n v="475"/>
    <d v="2025-04-19T00:00:00"/>
    <n v="1026"/>
    <s v="Customer_65"/>
    <s v="Corporate"/>
    <x v="2"/>
    <x v="1"/>
    <x v="1"/>
    <n v="4109"/>
    <n v="5"/>
    <n v="0.13"/>
    <n v="630"/>
    <x v="0"/>
    <n v="17874.150000000001"/>
    <x v="3"/>
    <n v="2025"/>
    <s v="Q2"/>
    <n v="3.5246431298830989E-2"/>
    <n v="2670.85"/>
    <s v="High"/>
    <s v="Repeat"/>
    <s v="Above Avg"/>
    <s v="Profit"/>
    <n v="92"/>
  </r>
  <r>
    <n v="476"/>
    <d v="2025-04-20T00:00:00"/>
    <n v="1061"/>
    <s v="Customer_111"/>
    <s v="Corporate"/>
    <x v="3"/>
    <x v="1"/>
    <x v="0"/>
    <n v="911"/>
    <n v="2"/>
    <n v="0.01"/>
    <n v="61"/>
    <x v="0"/>
    <n v="1803.78"/>
    <x v="3"/>
    <n v="2025"/>
    <s v="Q2"/>
    <n v="3.3817871359034919E-2"/>
    <n v="18.22"/>
    <s v="Low"/>
    <s v="Repeat"/>
    <s v="Below Avg"/>
    <s v="Profit"/>
    <n v="440"/>
  </r>
  <r>
    <n v="477"/>
    <d v="2025-04-21T00:00:00"/>
    <n v="1039"/>
    <s v="Customer_128"/>
    <s v="Consumer"/>
    <x v="3"/>
    <x v="2"/>
    <x v="1"/>
    <n v="1853"/>
    <n v="1"/>
    <n v="0.25"/>
    <n v="1755"/>
    <x v="2"/>
    <n v="1389.75"/>
    <x v="3"/>
    <n v="2025"/>
    <s v="Q2"/>
    <n v="1.2628170534268754"/>
    <n v="463.25"/>
    <s v="Low"/>
    <s v="Repeat"/>
    <s v="Below Avg"/>
    <s v="Profit"/>
    <n v="461"/>
  </r>
  <r>
    <n v="478"/>
    <d v="2025-04-22T00:00:00"/>
    <n v="1052"/>
    <s v="Customer_131"/>
    <s v="Corporate"/>
    <x v="2"/>
    <x v="0"/>
    <x v="3"/>
    <n v="3861"/>
    <n v="4"/>
    <n v="0.16"/>
    <n v="1739"/>
    <x v="1"/>
    <n v="12972.96"/>
    <x v="3"/>
    <n v="2025"/>
    <s v="Q2"/>
    <n v="0.1340480507147174"/>
    <n v="2471.04"/>
    <s v="High"/>
    <s v="Repeat"/>
    <s v="Above Avg"/>
    <s v="Profit"/>
    <n v="159"/>
  </r>
  <r>
    <n v="479"/>
    <d v="2025-04-23T00:00:00"/>
    <n v="1079"/>
    <s v="Customer_187"/>
    <s v="Corporate"/>
    <x v="3"/>
    <x v="0"/>
    <x v="3"/>
    <n v="3679"/>
    <n v="6"/>
    <n v="0.13"/>
    <n v="1506"/>
    <x v="2"/>
    <n v="19204.38"/>
    <x v="3"/>
    <n v="2025"/>
    <s v="Q2"/>
    <n v="7.8419610526348674E-2"/>
    <n v="2869.62"/>
    <s v="High"/>
    <s v="Repeat"/>
    <s v="Above Avg"/>
    <s v="Profit"/>
    <n v="84"/>
  </r>
  <r>
    <n v="480"/>
    <d v="2025-04-24T00:00:00"/>
    <n v="1039"/>
    <s v="Customer_56"/>
    <s v="Consumer"/>
    <x v="3"/>
    <x v="0"/>
    <x v="0"/>
    <n v="1431"/>
    <n v="9"/>
    <n v="0.22"/>
    <n v="822"/>
    <x v="0"/>
    <n v="10045.620000000001"/>
    <x v="3"/>
    <n v="2025"/>
    <s v="Q2"/>
    <n v="8.1826706564652046E-2"/>
    <n v="2833.38"/>
    <s v="High"/>
    <s v="Repeat"/>
    <s v="Below Avg"/>
    <s v="Profit"/>
    <n v="200"/>
  </r>
  <r>
    <n v="481"/>
    <d v="2025-04-25T00:00:00"/>
    <n v="1008"/>
    <s v="Customer_22"/>
    <s v="Consumer"/>
    <x v="3"/>
    <x v="2"/>
    <x v="3"/>
    <n v="2112"/>
    <n v="9"/>
    <n v="0.26"/>
    <n v="645"/>
    <x v="0"/>
    <n v="14065.92"/>
    <x v="3"/>
    <n v="2025"/>
    <s v="Q2"/>
    <n v="4.5855514605514604E-2"/>
    <n v="4942.08"/>
    <s v="High"/>
    <s v="Repeat"/>
    <s v="Above Avg"/>
    <s v="Profit"/>
    <n v="146"/>
  </r>
  <r>
    <n v="482"/>
    <d v="2025-04-26T00:00:00"/>
    <n v="1026"/>
    <s v="Customer_170"/>
    <s v="Consumer"/>
    <x v="2"/>
    <x v="1"/>
    <x v="1"/>
    <n v="3792"/>
    <n v="3"/>
    <n v="0.28000000000000003"/>
    <n v="1742"/>
    <x v="1"/>
    <n v="8190.7199999999903"/>
    <x v="3"/>
    <n v="2025"/>
    <s v="Q2"/>
    <n v="0.2126797155805597"/>
    <n v="3185.28"/>
    <s v="High"/>
    <s v="Repeat"/>
    <s v="Below Avg"/>
    <s v="Profit"/>
    <n v="244"/>
  </r>
  <r>
    <n v="483"/>
    <d v="2025-04-27T00:00:00"/>
    <n v="1080"/>
    <s v="Customer_132"/>
    <s v="Consumer"/>
    <x v="1"/>
    <x v="2"/>
    <x v="3"/>
    <n v="2486"/>
    <n v="9"/>
    <n v="0.1"/>
    <n v="-143"/>
    <x v="0"/>
    <n v="20136.599999999999"/>
    <x v="3"/>
    <n v="2025"/>
    <s v="Q2"/>
    <n v="-7.1014967770130014E-3"/>
    <n v="2237.4"/>
    <s v="High"/>
    <s v="Repeat"/>
    <s v="Above Avg"/>
    <s v="Loss"/>
    <n v="78"/>
  </r>
  <r>
    <n v="484"/>
    <d v="2025-04-28T00:00:00"/>
    <n v="1002"/>
    <s v="Customer_100"/>
    <s v="Corporate"/>
    <x v="1"/>
    <x v="1"/>
    <x v="1"/>
    <n v="306"/>
    <n v="6"/>
    <n v="0.06"/>
    <n v="-483"/>
    <x v="1"/>
    <n v="1725.84"/>
    <x v="3"/>
    <n v="2025"/>
    <s v="Q2"/>
    <n v="-0.27986371853706021"/>
    <n v="110.16"/>
    <s v="Low"/>
    <s v="Repeat"/>
    <s v="Below Avg"/>
    <s v="Loss"/>
    <n v="445"/>
  </r>
  <r>
    <n v="485"/>
    <d v="2025-04-29T00:00:00"/>
    <n v="1055"/>
    <s v="Customer_118"/>
    <s v="Consumer"/>
    <x v="2"/>
    <x v="0"/>
    <x v="2"/>
    <n v="3682"/>
    <n v="8"/>
    <n v="0.1"/>
    <n v="1715"/>
    <x v="1"/>
    <n v="26510.400000000001"/>
    <x v="3"/>
    <n v="2025"/>
    <s v="Q2"/>
    <n v="6.4691592733417819E-2"/>
    <n v="2945.6000000000004"/>
    <s v="High"/>
    <s v="Repeat"/>
    <s v="Above Avg"/>
    <s v="Profit"/>
    <n v="37"/>
  </r>
  <r>
    <n v="486"/>
    <d v="2025-04-30T00:00:00"/>
    <n v="1052"/>
    <s v="Customer_12"/>
    <s v="Consumer"/>
    <x v="1"/>
    <x v="2"/>
    <x v="3"/>
    <n v="4317"/>
    <n v="8"/>
    <n v="0.28999999999999998"/>
    <n v="227"/>
    <x v="0"/>
    <n v="24520.559999999899"/>
    <x v="3"/>
    <n v="2025"/>
    <s v="Q2"/>
    <n v="9.2575373482498332E-3"/>
    <n v="10015.439999999999"/>
    <s v="High"/>
    <s v="Repeat"/>
    <s v="Above Avg"/>
    <s v="Profit"/>
    <n v="46"/>
  </r>
  <r>
    <n v="487"/>
    <d v="2025-05-01T00:00:00"/>
    <n v="1003"/>
    <s v="Customer_37"/>
    <s v="Corporate"/>
    <x v="1"/>
    <x v="0"/>
    <x v="1"/>
    <n v="1839"/>
    <n v="3"/>
    <n v="0.03"/>
    <n v="1247"/>
    <x v="0"/>
    <n v="5351.49"/>
    <x v="4"/>
    <n v="2025"/>
    <s v="Q2"/>
    <n v="0.23301921520922211"/>
    <n v="165.51"/>
    <s v="High"/>
    <s v="Repeat"/>
    <s v="Below Avg"/>
    <s v="Profit"/>
    <n v="314"/>
  </r>
  <r>
    <n v="488"/>
    <d v="2025-05-02T00:00:00"/>
    <n v="1039"/>
    <s v="Customer_41"/>
    <s v="Consumer"/>
    <x v="2"/>
    <x v="2"/>
    <x v="0"/>
    <n v="3996"/>
    <n v="3"/>
    <n v="0.28999999999999998"/>
    <n v="56"/>
    <x v="1"/>
    <n v="8511.48"/>
    <x v="4"/>
    <n v="2025"/>
    <s v="Q2"/>
    <n v="6.5793493023539977E-3"/>
    <n v="3476.52"/>
    <s v="High"/>
    <s v="Repeat"/>
    <s v="Below Avg"/>
    <s v="Profit"/>
    <n v="238"/>
  </r>
  <r>
    <n v="489"/>
    <d v="2025-05-03T00:00:00"/>
    <n v="1051"/>
    <s v="Customer_58"/>
    <s v="Corporate"/>
    <x v="0"/>
    <x v="0"/>
    <x v="3"/>
    <n v="3116"/>
    <n v="9"/>
    <n v="0.19"/>
    <n v="942"/>
    <x v="2"/>
    <n v="22715.64"/>
    <x v="4"/>
    <n v="2025"/>
    <s v="Q2"/>
    <n v="4.1469225608435425E-2"/>
    <n v="5328.36"/>
    <s v="High"/>
    <s v="Repeat"/>
    <s v="Above Avg"/>
    <s v="Profit"/>
    <n v="61"/>
  </r>
  <r>
    <n v="490"/>
    <d v="2025-05-04T00:00:00"/>
    <n v="1055"/>
    <s v="Customer_63"/>
    <s v="Consumer"/>
    <x v="2"/>
    <x v="2"/>
    <x v="1"/>
    <n v="2104"/>
    <n v="3"/>
    <n v="0"/>
    <n v="1145"/>
    <x v="0"/>
    <n v="6312"/>
    <x v="4"/>
    <n v="2025"/>
    <s v="Q2"/>
    <n v="0.18140050697084917"/>
    <n v="0"/>
    <s v="High"/>
    <s v="Repeat"/>
    <s v="Below Avg"/>
    <s v="Profit"/>
    <n v="289"/>
  </r>
  <r>
    <n v="491"/>
    <d v="2025-05-05T00:00:00"/>
    <n v="1064"/>
    <s v="Customer_71"/>
    <s v="Corporate"/>
    <x v="1"/>
    <x v="1"/>
    <x v="2"/>
    <n v="1692"/>
    <n v="4"/>
    <n v="0.26"/>
    <n v="-81"/>
    <x v="2"/>
    <n v="5008.32"/>
    <x v="4"/>
    <n v="2025"/>
    <s v="Q2"/>
    <n v="-1.6173087981598621E-2"/>
    <n v="1759.68"/>
    <s v="High"/>
    <s v="Repeat"/>
    <s v="Below Avg"/>
    <s v="Loss"/>
    <n v="323"/>
  </r>
  <r>
    <n v="492"/>
    <d v="2025-05-06T00:00:00"/>
    <n v="1077"/>
    <s v="Customer_133"/>
    <s v="Consumer"/>
    <x v="1"/>
    <x v="1"/>
    <x v="2"/>
    <n v="2103"/>
    <n v="7"/>
    <n v="0.2"/>
    <n v="439"/>
    <x v="2"/>
    <n v="11776.8"/>
    <x v="4"/>
    <n v="2025"/>
    <s v="Q2"/>
    <n v="3.7276679573398551E-2"/>
    <n v="2944.2000000000003"/>
    <s v="High"/>
    <s v="Repeat"/>
    <s v="Above Avg"/>
    <s v="Profit"/>
    <n v="173"/>
  </r>
  <r>
    <n v="493"/>
    <d v="2025-05-07T00:00:00"/>
    <n v="1071"/>
    <s v="Customer_91"/>
    <s v="Corporate"/>
    <x v="3"/>
    <x v="0"/>
    <x v="3"/>
    <n v="3019"/>
    <n v="9"/>
    <n v="0.04"/>
    <n v="660"/>
    <x v="2"/>
    <n v="26084.16"/>
    <x v="4"/>
    <n v="2025"/>
    <s v="Q2"/>
    <n v="2.5302712450774725E-2"/>
    <n v="1086.8399999999999"/>
    <s v="High"/>
    <s v="Repeat"/>
    <s v="Above Avg"/>
    <s v="Profit"/>
    <n v="39"/>
  </r>
  <r>
    <n v="494"/>
    <d v="2025-05-08T00:00:00"/>
    <n v="1070"/>
    <s v="Customer_89"/>
    <s v="Consumer"/>
    <x v="0"/>
    <x v="1"/>
    <x v="1"/>
    <n v="208"/>
    <n v="3"/>
    <n v="0.1"/>
    <n v="1549"/>
    <x v="1"/>
    <n v="561.6"/>
    <x v="4"/>
    <n v="2025"/>
    <s v="Q2"/>
    <n v="2.758190883190883"/>
    <n v="62.400000000000006"/>
    <s v="Low"/>
    <s v="Repeat"/>
    <s v="Below Avg"/>
    <s v="Profit"/>
    <n v="489"/>
  </r>
  <r>
    <n v="495"/>
    <d v="2025-05-09T00:00:00"/>
    <n v="1029"/>
    <s v="Customer_17"/>
    <s v="Corporate"/>
    <x v="1"/>
    <x v="2"/>
    <x v="2"/>
    <n v="3081"/>
    <n v="1"/>
    <n v="0.26"/>
    <n v="606"/>
    <x v="1"/>
    <n v="2279.94"/>
    <x v="4"/>
    <n v="2025"/>
    <s v="Q2"/>
    <n v="0.26579646832811388"/>
    <n v="801.06000000000006"/>
    <s v="Medium"/>
    <s v="Repeat"/>
    <s v="Below Avg"/>
    <s v="Profit"/>
    <n v="416"/>
  </r>
  <r>
    <n v="496"/>
    <d v="2025-05-10T00:00:00"/>
    <n v="1024"/>
    <s v="Customer_156"/>
    <s v="Consumer"/>
    <x v="3"/>
    <x v="1"/>
    <x v="0"/>
    <n v="2595"/>
    <n v="2"/>
    <n v="0.22"/>
    <n v="1965"/>
    <x v="1"/>
    <n v="4048.2"/>
    <x v="4"/>
    <n v="2025"/>
    <s v="Q2"/>
    <n v="0.48540091892693049"/>
    <n v="1141.8"/>
    <s v="Medium"/>
    <s v="Repeat"/>
    <s v="Below Avg"/>
    <s v="Profit"/>
    <n v="352"/>
  </r>
  <r>
    <n v="497"/>
    <d v="2025-05-11T00:00:00"/>
    <n v="1038"/>
    <s v="Customer_119"/>
    <s v="Corporate"/>
    <x v="0"/>
    <x v="0"/>
    <x v="0"/>
    <n v="1791"/>
    <n v="4"/>
    <n v="0.1"/>
    <n v="-437"/>
    <x v="0"/>
    <n v="6447.6"/>
    <x v="4"/>
    <n v="2025"/>
    <s v="Q2"/>
    <n v="-6.7777157391897755E-2"/>
    <n v="716.40000000000009"/>
    <s v="High"/>
    <s v="Repeat"/>
    <s v="Below Avg"/>
    <s v="Loss"/>
    <n v="286"/>
  </r>
  <r>
    <n v="498"/>
    <d v="2025-05-12T00:00:00"/>
    <n v="1079"/>
    <s v="Customer_155"/>
    <s v="Consumer"/>
    <x v="1"/>
    <x v="0"/>
    <x v="1"/>
    <n v="4085"/>
    <n v="7"/>
    <n v="0.24"/>
    <n v="1108"/>
    <x v="0"/>
    <n v="21732.2"/>
    <x v="4"/>
    <n v="2025"/>
    <s v="Q2"/>
    <n v="5.0984253780105099E-2"/>
    <n v="6862.8"/>
    <s v="High"/>
    <s v="Repeat"/>
    <s v="Above Avg"/>
    <s v="Profit"/>
    <n v="70"/>
  </r>
  <r>
    <n v="499"/>
    <d v="2025-05-13T00:00:00"/>
    <n v="1074"/>
    <s v="Customer_181"/>
    <s v="Corporate"/>
    <x v="0"/>
    <x v="0"/>
    <x v="0"/>
    <n v="4431"/>
    <n v="1"/>
    <n v="0.08"/>
    <n v="394"/>
    <x v="1"/>
    <n v="4076.52"/>
    <x v="4"/>
    <n v="2025"/>
    <s v="Q2"/>
    <n v="9.665106512417454E-2"/>
    <n v="354.48"/>
    <s v="Medium"/>
    <s v="Repeat"/>
    <s v="Below Avg"/>
    <s v="Profit"/>
    <n v="350"/>
  </r>
  <r>
    <n v="500"/>
    <d v="2025-05-14T00:00:00"/>
    <n v="1024"/>
    <s v="Customer_26"/>
    <s v="Consumer"/>
    <x v="3"/>
    <x v="2"/>
    <x v="2"/>
    <n v="1822"/>
    <n v="4"/>
    <n v="0.16"/>
    <n v="1668"/>
    <x v="1"/>
    <n v="6121.92"/>
    <x v="4"/>
    <n v="2025"/>
    <s v="Q2"/>
    <n v="0.27246354084992941"/>
    <n v="1166.08"/>
    <s v="High"/>
    <s v="Repeat"/>
    <s v="Below Avg"/>
    <s v="Profit"/>
    <n v="2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d v="2024-01-01T00:00:00"/>
    <n v="1066"/>
    <s v="Customer_33"/>
    <s v="Consumer"/>
    <x v="0"/>
    <s v="Electronics"/>
    <s v="Product_A"/>
    <n v="2755"/>
    <n v="3"/>
    <n v="0.25"/>
    <n v="559"/>
    <s v="UPI"/>
    <n v="6198.75"/>
    <s v="Jan"/>
    <n v="2024"/>
    <s v="Q1"/>
    <n v="9.017947166767494E-2"/>
    <n v="2066.25"/>
    <s v="High"/>
    <s v="Repeat"/>
    <s v="Below Avg"/>
    <s v="Profit"/>
    <n v="293"/>
  </r>
  <r>
    <n v="2"/>
    <d v="2024-01-02T00:00:00"/>
    <n v="1092"/>
    <s v="Customer_191"/>
    <s v="Consumer"/>
    <x v="1"/>
    <s v="Clothing"/>
    <s v="Product_A"/>
    <n v="1709"/>
    <n v="3"/>
    <n v="0.04"/>
    <n v="1735"/>
    <s v="UPI"/>
    <n v="4921.92"/>
    <s v="Jan"/>
    <n v="2024"/>
    <s v="Q1"/>
    <n v="0.35250471360769781"/>
    <n v="205.08"/>
    <s v="Medium"/>
    <s v="Repeat"/>
    <s v="Below Avg"/>
    <s v="Profit"/>
    <n v="326"/>
  </r>
  <r>
    <n v="3"/>
    <d v="2024-01-03T00:00:00"/>
    <n v="1098"/>
    <s v="Customer_54"/>
    <s v="Corporate"/>
    <x v="1"/>
    <s v="Clothing"/>
    <s v="Product_D"/>
    <n v="3914"/>
    <n v="7"/>
    <n v="0.16"/>
    <n v="-225"/>
    <s v="Card"/>
    <n v="23014.32"/>
    <s v="Jan"/>
    <n v="2024"/>
    <s v="Q1"/>
    <n v="-9.7765217481985134E-3"/>
    <n v="4383.68"/>
    <s v="High"/>
    <s v="Repeat"/>
    <s v="Above Avg"/>
    <s v="Loss"/>
    <n v="59"/>
  </r>
  <r>
    <n v="4"/>
    <d v="2024-01-04T00:00:00"/>
    <n v="1017"/>
    <s v="Customer_116"/>
    <s v="Consumer"/>
    <x v="2"/>
    <s v="Electronics"/>
    <s v="Product_B"/>
    <n v="759"/>
    <n v="5"/>
    <n v="0.01"/>
    <n v="-75"/>
    <s v="UPI"/>
    <n v="3757.05"/>
    <s v="Jan"/>
    <n v="2024"/>
    <s v="Q1"/>
    <n v="-1.9962470555355931E-2"/>
    <n v="37.950000000000003"/>
    <s v="Medium"/>
    <s v="Repeat"/>
    <s v="Below Avg"/>
    <s v="Loss"/>
    <n v="365"/>
  </r>
  <r>
    <n v="5"/>
    <d v="2024-01-05T00:00:00"/>
    <n v="1083"/>
    <s v="Customer_179"/>
    <s v="Consumer"/>
    <x v="2"/>
    <s v="Electronics"/>
    <s v="Product_B"/>
    <n v="243"/>
    <n v="1"/>
    <n v="0.17"/>
    <n v="-482"/>
    <s v="COD"/>
    <n v="201.69"/>
    <s v="Jan"/>
    <n v="2024"/>
    <s v="Q1"/>
    <n v="-2.3898061381327782"/>
    <n v="41.31"/>
    <s v="Low"/>
    <s v="Repeat"/>
    <s v="Below Avg"/>
    <s v="Loss"/>
    <n v="499"/>
  </r>
  <r>
    <n v="6"/>
    <d v="2024-01-06T00:00:00"/>
    <n v="1057"/>
    <s v="Customer_112"/>
    <s v="Consumer"/>
    <x v="3"/>
    <s v="Furniture"/>
    <s v="Product_D"/>
    <n v="2090"/>
    <n v="8"/>
    <n v="0.04"/>
    <n v="1271"/>
    <s v="UPI"/>
    <n v="16051.199999999901"/>
    <s v="Jan"/>
    <n v="2024"/>
    <s v="Q1"/>
    <n v="7.9184110845295544E-2"/>
    <n v="668.80000000000007"/>
    <s v="High"/>
    <s v="Repeat"/>
    <s v="Above Avg"/>
    <s v="Profit"/>
    <n v="127"/>
  </r>
  <r>
    <n v="7"/>
    <d v="2024-01-07T00:00:00"/>
    <n v="1086"/>
    <s v="Customer_180"/>
    <s v="Corporate"/>
    <x v="3"/>
    <s v="Furniture"/>
    <s v="Product_D"/>
    <n v="550"/>
    <n v="5"/>
    <n v="0.24"/>
    <n v="1300"/>
    <s v="COD"/>
    <n v="2090"/>
    <s v="Jan"/>
    <n v="2024"/>
    <s v="Q1"/>
    <n v="0.62200956937799046"/>
    <n v="660"/>
    <s v="Medium"/>
    <s v="Repeat"/>
    <s v="Below Avg"/>
    <s v="Profit"/>
    <n v="423"/>
  </r>
  <r>
    <n v="8"/>
    <d v="2024-01-08T00:00:00"/>
    <n v="1097"/>
    <s v="Customer_180"/>
    <s v="Corporate"/>
    <x v="0"/>
    <s v="Furniture"/>
    <s v="Product_A"/>
    <n v="1291"/>
    <n v="4"/>
    <n v="7.0000000000000007E-2"/>
    <n v="829"/>
    <s v="COD"/>
    <n v="4802.5199999999904"/>
    <s v="Jan"/>
    <n v="2024"/>
    <s v="Q1"/>
    <n v="0.17261770903608972"/>
    <n v="361.48"/>
    <s v="Medium"/>
    <s v="Repeat"/>
    <s v="Below Avg"/>
    <s v="Profit"/>
    <n v="329"/>
  </r>
  <r>
    <n v="9"/>
    <d v="2024-01-09T00:00:00"/>
    <n v="1096"/>
    <s v="Customer_184"/>
    <s v="Consumer"/>
    <x v="2"/>
    <s v="Electronics"/>
    <s v="Product_C"/>
    <n v="4121"/>
    <n v="4"/>
    <n v="0.03"/>
    <n v="-169"/>
    <s v="Card"/>
    <n v="15989.48"/>
    <s v="Jan"/>
    <n v="2024"/>
    <s v="Q1"/>
    <n v="-1.056944941298904E-2"/>
    <n v="494.52"/>
    <s v="High"/>
    <s v="Repeat"/>
    <s v="Above Avg"/>
    <s v="Loss"/>
    <n v="128"/>
  </r>
  <r>
    <n v="10"/>
    <d v="2024-01-10T00:00:00"/>
    <n v="1047"/>
    <s v="Customer_114"/>
    <s v="Corporate"/>
    <x v="2"/>
    <s v="Electronics"/>
    <s v="Product_B"/>
    <n v="735"/>
    <n v="2"/>
    <n v="0.01"/>
    <n v="-250"/>
    <s v="COD"/>
    <n v="1455.3"/>
    <s v="Jan"/>
    <n v="2024"/>
    <s v="Q1"/>
    <n v="-0.17178588607160036"/>
    <n v="14.700000000000001"/>
    <s v="Low"/>
    <s v="Repeat"/>
    <s v="Below Avg"/>
    <s v="Loss"/>
    <n v="460"/>
  </r>
  <r>
    <n v="11"/>
    <d v="2024-01-11T00:00:00"/>
    <n v="1073"/>
    <s v="Customer_73"/>
    <s v="Consumer"/>
    <x v="2"/>
    <s v="Clothing"/>
    <s v="Product_A"/>
    <n v="2257"/>
    <n v="1"/>
    <n v="0.17"/>
    <n v="960"/>
    <s v="Card"/>
    <n v="1873.31"/>
    <s v="Jan"/>
    <n v="2024"/>
    <s v="Q1"/>
    <n v="0.51246189899162442"/>
    <n v="383.69000000000005"/>
    <s v="Low"/>
    <s v="Repeat"/>
    <s v="Below Avg"/>
    <s v="Profit"/>
    <n v="438"/>
  </r>
  <r>
    <n v="12"/>
    <d v="2024-01-12T00:00:00"/>
    <n v="1032"/>
    <s v="Customer_1"/>
    <s v="Consumer"/>
    <x v="2"/>
    <s v="Electronics"/>
    <s v="Product_C"/>
    <n v="3851"/>
    <n v="6"/>
    <n v="0.2"/>
    <n v="-7"/>
    <s v="UPI"/>
    <n v="18484.8"/>
    <s v="Jan"/>
    <n v="2024"/>
    <s v="Q1"/>
    <n v="-3.7868951787414524E-4"/>
    <n v="4621.2"/>
    <s v="High"/>
    <s v="Repeat"/>
    <s v="Above Avg"/>
    <s v="Loss"/>
    <n v="87"/>
  </r>
  <r>
    <n v="13"/>
    <d v="2024-01-13T00:00:00"/>
    <n v="1046"/>
    <s v="Customer_31"/>
    <s v="Corporate"/>
    <x v="1"/>
    <s v="Clothing"/>
    <s v="Product_B"/>
    <n v="999"/>
    <n v="3"/>
    <n v="0.27"/>
    <n v="-134"/>
    <s v="Card"/>
    <n v="2187.81"/>
    <s v="Jan"/>
    <n v="2024"/>
    <s v="Q1"/>
    <n v="-6.1248463074947093E-2"/>
    <n v="809.19"/>
    <s v="Medium"/>
    <s v="Repeat"/>
    <s v="Below Avg"/>
    <s v="Loss"/>
    <n v="419"/>
  </r>
  <r>
    <n v="14"/>
    <d v="2024-01-14T00:00:00"/>
    <n v="1096"/>
    <s v="Customer_21"/>
    <s v="Consumer"/>
    <x v="3"/>
    <s v="Clothing"/>
    <s v="Product_A"/>
    <n v="4554"/>
    <n v="9"/>
    <n v="0.02"/>
    <n v="1529"/>
    <s v="Card"/>
    <n v="40166.28"/>
    <s v="Jan"/>
    <n v="2024"/>
    <s v="Q1"/>
    <n v="3.8066756493257532E-2"/>
    <n v="819.72"/>
    <s v="High"/>
    <s v="Repeat"/>
    <s v="Above Avg"/>
    <s v="Profit"/>
    <n v="2"/>
  </r>
  <r>
    <n v="15"/>
    <d v="2024-01-15T00:00:00"/>
    <n v="1025"/>
    <s v="Customer_24"/>
    <s v="Corporate"/>
    <x v="0"/>
    <s v="Clothing"/>
    <s v="Product_A"/>
    <n v="2930"/>
    <n v="4"/>
    <n v="0.12"/>
    <n v="1243"/>
    <s v="Card"/>
    <n v="10313.6"/>
    <s v="Jan"/>
    <n v="2024"/>
    <s v="Q1"/>
    <n v="0.12052047781569965"/>
    <n v="1406.3999999999999"/>
    <s v="High"/>
    <s v="Repeat"/>
    <s v="Below Avg"/>
    <s v="Profit"/>
    <n v="198"/>
  </r>
  <r>
    <n v="16"/>
    <d v="2024-01-16T00:00:00"/>
    <n v="1083"/>
    <s v="Customer_19"/>
    <s v="Consumer"/>
    <x v="3"/>
    <s v="Furniture"/>
    <s v="Product_D"/>
    <n v="2870"/>
    <n v="2"/>
    <n v="0.05"/>
    <n v="1714"/>
    <s v="Card"/>
    <n v="5453"/>
    <s v="Jan"/>
    <n v="2024"/>
    <s v="Q1"/>
    <n v="0.31432239134421419"/>
    <n v="287"/>
    <s v="High"/>
    <s v="Repeat"/>
    <s v="Below Avg"/>
    <s v="Profit"/>
    <n v="310"/>
  </r>
  <r>
    <n v="17"/>
    <d v="2024-01-17T00:00:00"/>
    <n v="1078"/>
    <s v="Customer_61"/>
    <s v="Corporate"/>
    <x v="3"/>
    <s v="Clothing"/>
    <s v="Product_C"/>
    <n v="1320"/>
    <n v="4"/>
    <n v="0.15"/>
    <n v="644"/>
    <s v="UPI"/>
    <n v="4488"/>
    <s v="Jan"/>
    <n v="2024"/>
    <s v="Q1"/>
    <n v="0.14349376114081996"/>
    <n v="792"/>
    <s v="Medium"/>
    <s v="Repeat"/>
    <s v="Below Avg"/>
    <s v="Profit"/>
    <n v="338"/>
  </r>
  <r>
    <n v="18"/>
    <d v="2024-01-18T00:00:00"/>
    <n v="1036"/>
    <s v="Customer_112"/>
    <s v="Consumer"/>
    <x v="3"/>
    <s v="Furniture"/>
    <s v="Product_A"/>
    <n v="4545"/>
    <n v="4"/>
    <n v="7.0000000000000007E-2"/>
    <n v="1171"/>
    <s v="UPI"/>
    <n v="16907.3999999999"/>
    <s v="Jan"/>
    <n v="2024"/>
    <s v="Q1"/>
    <n v="6.9259614133456771E-2"/>
    <n v="1272.6000000000001"/>
    <s v="High"/>
    <s v="Repeat"/>
    <s v="Above Avg"/>
    <s v="Profit"/>
    <n v="105"/>
  </r>
  <r>
    <n v="19"/>
    <d v="2024-01-19T00:00:00"/>
    <n v="1096"/>
    <s v="Customer_188"/>
    <s v="Consumer"/>
    <x v="3"/>
    <s v="Electronics"/>
    <s v="Product_A"/>
    <n v="4690"/>
    <n v="1"/>
    <n v="0.12"/>
    <n v="-18"/>
    <s v="COD"/>
    <n v="4127.2"/>
    <s v="Jan"/>
    <n v="2024"/>
    <s v="Q1"/>
    <n v="-4.3613103314595857E-3"/>
    <n v="562.79999999999995"/>
    <s v="Medium"/>
    <s v="Repeat"/>
    <s v="Below Avg"/>
    <s v="Loss"/>
    <n v="348"/>
  </r>
  <r>
    <n v="20"/>
    <d v="2024-01-20T00:00:00"/>
    <n v="1080"/>
    <s v="Customer_124"/>
    <s v="Corporate"/>
    <x v="1"/>
    <s v="Furniture"/>
    <s v="Product_A"/>
    <n v="1487"/>
    <n v="8"/>
    <n v="0.11"/>
    <n v="992"/>
    <s v="Card"/>
    <n v="10587.44"/>
    <s v="Jan"/>
    <n v="2024"/>
    <s v="Q1"/>
    <n v="9.3695926494034437E-2"/>
    <n v="1308.56"/>
    <s v="High"/>
    <s v="Repeat"/>
    <s v="Below Avg"/>
    <s v="Profit"/>
    <n v="196"/>
  </r>
  <r>
    <n v="21"/>
    <d v="2024-01-21T00:00:00"/>
    <n v="1068"/>
    <s v="Customer_153"/>
    <s v="Consumer"/>
    <x v="0"/>
    <s v="Clothing"/>
    <s v="Product_B"/>
    <n v="2066"/>
    <n v="4"/>
    <n v="0.21"/>
    <n v="-488"/>
    <s v="UPI"/>
    <n v="6528.56"/>
    <s v="Jan"/>
    <n v="2024"/>
    <s v="Q1"/>
    <n v="-7.4748489712892274E-2"/>
    <n v="1735.4399999999998"/>
    <s v="High"/>
    <s v="Repeat"/>
    <s v="Below Avg"/>
    <s v="Loss"/>
    <n v="285"/>
  </r>
  <r>
    <n v="22"/>
    <d v="2024-01-22T00:00:00"/>
    <n v="1049"/>
    <s v="Customer_20"/>
    <s v="Corporate"/>
    <x v="1"/>
    <s v="Clothing"/>
    <s v="Product_D"/>
    <n v="4415"/>
    <n v="4"/>
    <n v="0.22"/>
    <n v="316"/>
    <s v="COD"/>
    <n v="13774.8"/>
    <s v="Jan"/>
    <n v="2024"/>
    <s v="Q1"/>
    <n v="2.2940441966489533E-2"/>
    <n v="3885.2"/>
    <s v="High"/>
    <s v="Repeat"/>
    <s v="Above Avg"/>
    <s v="Profit"/>
    <n v="149"/>
  </r>
  <r>
    <n v="23"/>
    <d v="2024-01-23T00:00:00"/>
    <n v="1055"/>
    <s v="Customer_117"/>
    <s v="Consumer"/>
    <x v="2"/>
    <s v="Furniture"/>
    <s v="Product_A"/>
    <n v="790"/>
    <n v="7"/>
    <n v="0.13"/>
    <n v="1889"/>
    <s v="COD"/>
    <n v="4811.1000000000004"/>
    <s v="Jan"/>
    <n v="2024"/>
    <s v="Q1"/>
    <n v="0.3926337012325663"/>
    <n v="718.9"/>
    <s v="Medium"/>
    <s v="Repeat"/>
    <s v="Below Avg"/>
    <s v="Profit"/>
    <n v="328"/>
  </r>
  <r>
    <n v="24"/>
    <d v="2024-01-24T00:00:00"/>
    <n v="1067"/>
    <s v="Customer_154"/>
    <s v="Corporate"/>
    <x v="3"/>
    <s v="Clothing"/>
    <s v="Product_A"/>
    <n v="4346"/>
    <n v="2"/>
    <n v="7.0000000000000007E-2"/>
    <n v="-8"/>
    <s v="Card"/>
    <n v="8083.5599999999904"/>
    <s v="Jan"/>
    <n v="2024"/>
    <s v="Q1"/>
    <n v="-9.8966297027547378E-4"/>
    <n v="608.44000000000005"/>
    <s v="High"/>
    <s v="Repeat"/>
    <s v="Below Avg"/>
    <s v="Loss"/>
    <n v="250"/>
  </r>
  <r>
    <n v="25"/>
    <d v="2024-01-25T00:00:00"/>
    <n v="1002"/>
    <s v="Customer_127"/>
    <s v="Consumer"/>
    <x v="0"/>
    <s v="Furniture"/>
    <s v="Product_D"/>
    <n v="2176"/>
    <n v="6"/>
    <n v="0.24"/>
    <n v="337"/>
    <s v="UPI"/>
    <n v="9922.56"/>
    <s v="Jan"/>
    <n v="2024"/>
    <s v="Q1"/>
    <n v="3.3963009545923635E-2"/>
    <n v="3133.44"/>
    <s v="High"/>
    <s v="Repeat"/>
    <s v="Below Avg"/>
    <s v="Profit"/>
    <n v="201"/>
  </r>
  <r>
    <n v="26"/>
    <d v="2024-01-26T00:00:00"/>
    <n v="1084"/>
    <s v="Customer_7"/>
    <s v="Corporate"/>
    <x v="3"/>
    <s v="Clothing"/>
    <s v="Product_C"/>
    <n v="1857"/>
    <n v="6"/>
    <n v="0.25"/>
    <n v="1296"/>
    <s v="Card"/>
    <n v="8356.5"/>
    <s v="Jan"/>
    <n v="2024"/>
    <s v="Q1"/>
    <n v="0.15508885298869143"/>
    <n v="2785.5"/>
    <s v="High"/>
    <s v="Repeat"/>
    <s v="Below Avg"/>
    <s v="Profit"/>
    <n v="240"/>
  </r>
  <r>
    <n v="27"/>
    <d v="2024-01-27T00:00:00"/>
    <n v="1039"/>
    <s v="Customer_195"/>
    <s v="Consumer"/>
    <x v="1"/>
    <s v="Furniture"/>
    <s v="Product_D"/>
    <n v="4258"/>
    <n v="7"/>
    <n v="0.16"/>
    <n v="1331"/>
    <s v="COD"/>
    <n v="25037.040000000001"/>
    <s v="Jan"/>
    <n v="2024"/>
    <s v="Q1"/>
    <n v="5.3161236312279724E-2"/>
    <n v="4768.96"/>
    <s v="High"/>
    <s v="Repeat"/>
    <s v="Above Avg"/>
    <s v="Profit"/>
    <n v="42"/>
  </r>
  <r>
    <n v="28"/>
    <d v="2024-01-28T00:00:00"/>
    <n v="1066"/>
    <s v="Customer_56"/>
    <s v="Consumer"/>
    <x v="0"/>
    <s v="Furniture"/>
    <s v="Product_D"/>
    <n v="270"/>
    <n v="2"/>
    <n v="7.0000000000000007E-2"/>
    <n v="1695"/>
    <s v="Card"/>
    <n v="502.2"/>
    <s v="Jan"/>
    <n v="2024"/>
    <s v="Q1"/>
    <n v="3.3751493428912784"/>
    <n v="37.800000000000004"/>
    <s v="Low"/>
    <s v="Repeat"/>
    <s v="Below Avg"/>
    <s v="Profit"/>
    <n v="491"/>
  </r>
  <r>
    <n v="29"/>
    <d v="2024-01-29T00:00:00"/>
    <n v="1084"/>
    <s v="Customer_72"/>
    <s v="Corporate"/>
    <x v="3"/>
    <s v="Furniture"/>
    <s v="Product_A"/>
    <n v="1757"/>
    <n v="7"/>
    <n v="0.24"/>
    <n v="1198"/>
    <s v="Card"/>
    <n v="9347.24"/>
    <s v="Jan"/>
    <n v="2024"/>
    <s v="Q1"/>
    <n v="0.1281661752560114"/>
    <n v="2951.7599999999998"/>
    <s v="High"/>
    <s v="Repeat"/>
    <s v="Below Avg"/>
    <s v="Profit"/>
    <n v="223"/>
  </r>
  <r>
    <n v="30"/>
    <d v="2024-01-30T00:00:00"/>
    <n v="1047"/>
    <s v="Customer_94"/>
    <s v="Corporate"/>
    <x v="2"/>
    <s v="Electronics"/>
    <s v="Product_A"/>
    <n v="2171"/>
    <n v="2"/>
    <n v="0.11"/>
    <n v="1464"/>
    <s v="UPI"/>
    <n v="3864.38"/>
    <s v="Jan"/>
    <n v="2024"/>
    <s v="Q1"/>
    <n v="0.37884473059067691"/>
    <n v="477.62"/>
    <s v="Medium"/>
    <s v="Repeat"/>
    <s v="Below Avg"/>
    <s v="Profit"/>
    <n v="359"/>
  </r>
  <r>
    <n v="31"/>
    <d v="2024-01-31T00:00:00"/>
    <n v="1061"/>
    <s v="Customer_11"/>
    <s v="Consumer"/>
    <x v="3"/>
    <s v="Furniture"/>
    <s v="Product_D"/>
    <n v="4589"/>
    <n v="2"/>
    <n v="0.28000000000000003"/>
    <n v="1849"/>
    <s v="COD"/>
    <n v="6608.16"/>
    <s v="Jan"/>
    <n v="2024"/>
    <s v="Q1"/>
    <n v="0.27980557371492215"/>
    <n v="2569.84"/>
    <s v="High"/>
    <s v="Repeat"/>
    <s v="Below Avg"/>
    <s v="Profit"/>
    <n v="284"/>
  </r>
  <r>
    <n v="32"/>
    <d v="2024-02-01T00:00:00"/>
    <n v="1048"/>
    <s v="Customer_145"/>
    <s v="Consumer"/>
    <x v="3"/>
    <s v="Furniture"/>
    <s v="Product_A"/>
    <n v="1491"/>
    <n v="1"/>
    <n v="0.08"/>
    <n v="-440"/>
    <s v="UPI"/>
    <n v="1371.72"/>
    <s v="Feb"/>
    <n v="2024"/>
    <s v="Q1"/>
    <n v="-0.32076517073455224"/>
    <n v="119.28"/>
    <s v="Low"/>
    <s v="Repeat"/>
    <s v="Below Avg"/>
    <s v="Loss"/>
    <n v="464"/>
  </r>
  <r>
    <n v="33"/>
    <d v="2024-02-02T00:00:00"/>
    <n v="1007"/>
    <s v="Customer_72"/>
    <s v="Corporate"/>
    <x v="3"/>
    <s v="Electronics"/>
    <s v="Product_D"/>
    <n v="4961"/>
    <n v="9"/>
    <n v="0.28000000000000003"/>
    <n v="1103"/>
    <s v="Card"/>
    <n v="32147.279999999999"/>
    <s v="Feb"/>
    <n v="2024"/>
    <s v="Q1"/>
    <n v="3.4310834384744214E-2"/>
    <n v="12501.720000000001"/>
    <s v="High"/>
    <s v="Repeat"/>
    <s v="Above Avg"/>
    <s v="Profit"/>
    <n v="21"/>
  </r>
  <r>
    <n v="34"/>
    <d v="2024-02-03T00:00:00"/>
    <n v="1099"/>
    <s v="Customer_175"/>
    <s v="Consumer"/>
    <x v="2"/>
    <s v="Electronics"/>
    <s v="Product_A"/>
    <n v="2141"/>
    <n v="9"/>
    <n v="0.13"/>
    <n v="191"/>
    <s v="COD"/>
    <n v="16764.03"/>
    <s v="Feb"/>
    <n v="2024"/>
    <s v="Q1"/>
    <n v="1.1393441791741009E-2"/>
    <n v="2504.9700000000003"/>
    <s v="High"/>
    <s v="Repeat"/>
    <s v="Above Avg"/>
    <s v="Profit"/>
    <n v="108"/>
  </r>
  <r>
    <n v="35"/>
    <d v="2024-02-04T00:00:00"/>
    <n v="1092"/>
    <s v="Customer_172"/>
    <s v="Consumer"/>
    <x v="2"/>
    <s v="Furniture"/>
    <s v="Product_B"/>
    <n v="4536"/>
    <n v="5"/>
    <n v="0.23"/>
    <n v="954"/>
    <s v="UPI"/>
    <n v="17463.599999999999"/>
    <s v="Feb"/>
    <n v="2024"/>
    <s v="Q1"/>
    <n v="5.4627911770768915E-2"/>
    <n v="5216.4000000000005"/>
    <s v="High"/>
    <s v="Repeat"/>
    <s v="Above Avg"/>
    <s v="Profit"/>
    <n v="98"/>
  </r>
  <r>
    <n v="36"/>
    <d v="2024-02-05T00:00:00"/>
    <n v="1052"/>
    <s v="Customer_192"/>
    <s v="Corporate"/>
    <x v="0"/>
    <s v="Electronics"/>
    <s v="Product_A"/>
    <n v="2529"/>
    <n v="7"/>
    <n v="0.06"/>
    <n v="-454"/>
    <s v="Card"/>
    <n v="16640.82"/>
    <s v="Feb"/>
    <n v="2024"/>
    <s v="Q1"/>
    <n v="-2.7282309405425934E-2"/>
    <n v="1062.18"/>
    <s v="High"/>
    <s v="Repeat"/>
    <s v="Above Avg"/>
    <s v="Loss"/>
    <n v="112"/>
  </r>
  <r>
    <n v="37"/>
    <d v="2024-02-06T00:00:00"/>
    <n v="1097"/>
    <s v="Customer_158"/>
    <s v="Consumer"/>
    <x v="1"/>
    <s v="Clothing"/>
    <s v="Product_C"/>
    <n v="3484"/>
    <n v="7"/>
    <n v="0.19"/>
    <n v="-398"/>
    <s v="UPI"/>
    <n v="19754.28"/>
    <s v="Feb"/>
    <n v="2024"/>
    <s v="Q1"/>
    <n v="-2.0147532585343533E-2"/>
    <n v="4633.72"/>
    <s v="High"/>
    <s v="Repeat"/>
    <s v="Above Avg"/>
    <s v="Loss"/>
    <n v="81"/>
  </r>
  <r>
    <n v="38"/>
    <d v="2024-02-07T00:00:00"/>
    <n v="1085"/>
    <s v="Customer_43"/>
    <s v="Consumer"/>
    <x v="3"/>
    <s v="Furniture"/>
    <s v="Product_B"/>
    <n v="100"/>
    <n v="3"/>
    <n v="0.17"/>
    <n v="-325"/>
    <s v="COD"/>
    <n v="249"/>
    <s v="Feb"/>
    <n v="2024"/>
    <s v="Q1"/>
    <n v="-1.3052208835341366"/>
    <n v="51.000000000000007"/>
    <s v="Low"/>
    <s v="Repeat"/>
    <s v="Below Avg"/>
    <s v="Loss"/>
    <n v="498"/>
  </r>
  <r>
    <n v="39"/>
    <d v="2024-02-08T00:00:00"/>
    <n v="1094"/>
    <s v="Customer_16"/>
    <s v="Consumer"/>
    <x v="1"/>
    <s v="Electronics"/>
    <s v="Product_D"/>
    <n v="1152"/>
    <n v="2"/>
    <n v="0.13"/>
    <n v="-297"/>
    <s v="UPI"/>
    <n v="2004.48"/>
    <s v="Feb"/>
    <n v="2024"/>
    <s v="Q1"/>
    <n v="-0.14816810344827586"/>
    <n v="299.52"/>
    <s v="Medium"/>
    <s v="Repeat"/>
    <s v="Below Avg"/>
    <s v="Loss"/>
    <n v="430"/>
  </r>
  <r>
    <n v="40"/>
    <d v="2024-02-09T00:00:00"/>
    <n v="1027"/>
    <s v="Customer_119"/>
    <s v="Corporate"/>
    <x v="0"/>
    <s v="Electronics"/>
    <s v="Product_A"/>
    <n v="1345"/>
    <n v="4"/>
    <n v="0.22"/>
    <n v="1624"/>
    <s v="COD"/>
    <n v="4196.3999999999996"/>
    <s v="Feb"/>
    <n v="2024"/>
    <s v="Q1"/>
    <n v="0.38699837956343536"/>
    <n v="1183.5999999999999"/>
    <s v="Medium"/>
    <s v="Repeat"/>
    <s v="Below Avg"/>
    <s v="Profit"/>
    <n v="346"/>
  </r>
  <r>
    <n v="41"/>
    <d v="2024-02-10T00:00:00"/>
    <n v="1034"/>
    <s v="Customer_4"/>
    <s v="Corporate"/>
    <x v="2"/>
    <s v="Furniture"/>
    <s v="Product_D"/>
    <n v="3274"/>
    <n v="8"/>
    <n v="0.25"/>
    <n v="578"/>
    <s v="Card"/>
    <n v="19644"/>
    <s v="Feb"/>
    <n v="2024"/>
    <s v="Q1"/>
    <n v="2.942374261861128E-2"/>
    <n v="6548"/>
    <s v="High"/>
    <s v="Repeat"/>
    <s v="Above Avg"/>
    <s v="Profit"/>
    <n v="82"/>
  </r>
  <r>
    <n v="42"/>
    <d v="2024-02-11T00:00:00"/>
    <n v="1097"/>
    <s v="Customer_85"/>
    <s v="Corporate"/>
    <x v="0"/>
    <s v="Furniture"/>
    <s v="Product_C"/>
    <n v="2350"/>
    <n v="1"/>
    <n v="0.22"/>
    <n v="1840"/>
    <s v="UPI"/>
    <n v="1833"/>
    <s v="Feb"/>
    <n v="2024"/>
    <s v="Q1"/>
    <n v="1.0038188761593017"/>
    <n v="517"/>
    <s v="Low"/>
    <s v="Repeat"/>
    <s v="Below Avg"/>
    <s v="Profit"/>
    <n v="439"/>
  </r>
  <r>
    <n v="43"/>
    <d v="2024-02-12T00:00:00"/>
    <n v="1076"/>
    <s v="Customer_50"/>
    <s v="Consumer"/>
    <x v="2"/>
    <s v="Electronics"/>
    <s v="Product_D"/>
    <n v="1934"/>
    <n v="8"/>
    <n v="0.24"/>
    <n v="1168"/>
    <s v="Card"/>
    <n v="11758.72"/>
    <s v="Feb"/>
    <n v="2024"/>
    <s v="Q1"/>
    <n v="9.933053937843575E-2"/>
    <n v="3713.2799999999997"/>
    <s v="High"/>
    <s v="Repeat"/>
    <s v="Above Avg"/>
    <s v="Profit"/>
    <n v="175"/>
  </r>
  <r>
    <n v="44"/>
    <d v="2024-02-13T00:00:00"/>
    <n v="1040"/>
    <s v="Customer_34"/>
    <s v="Corporate"/>
    <x v="3"/>
    <s v="Electronics"/>
    <s v="Product_C"/>
    <n v="3605"/>
    <n v="2"/>
    <n v="0.22"/>
    <n v="1510"/>
    <s v="Card"/>
    <n v="5623.8"/>
    <s v="Feb"/>
    <n v="2024"/>
    <s v="Q1"/>
    <n v="0.26850172481240442"/>
    <n v="1586.2"/>
    <s v="High"/>
    <s v="Repeat"/>
    <s v="Below Avg"/>
    <s v="Profit"/>
    <n v="305"/>
  </r>
  <r>
    <n v="45"/>
    <d v="2024-02-14T00:00:00"/>
    <n v="1003"/>
    <s v="Customer_35"/>
    <s v="Corporate"/>
    <x v="1"/>
    <s v="Furniture"/>
    <s v="Product_B"/>
    <n v="4693"/>
    <n v="8"/>
    <n v="0.04"/>
    <n v="1809"/>
    <s v="UPI"/>
    <n v="36042.239999999998"/>
    <s v="Feb"/>
    <n v="2024"/>
    <s v="Q1"/>
    <n v="5.019110909865758E-2"/>
    <n v="1501.76"/>
    <s v="High"/>
    <s v="Repeat"/>
    <s v="Above Avg"/>
    <s v="Profit"/>
    <n v="7"/>
  </r>
  <r>
    <n v="46"/>
    <d v="2024-02-15T00:00:00"/>
    <n v="1069"/>
    <s v="Customer_64"/>
    <s v="Consumer"/>
    <x v="0"/>
    <s v="Furniture"/>
    <s v="Product_C"/>
    <n v="4092"/>
    <n v="2"/>
    <n v="0.23"/>
    <n v="779"/>
    <s v="Card"/>
    <n v="6301.68"/>
    <s v="Feb"/>
    <n v="2024"/>
    <s v="Q1"/>
    <n v="0.12361782889642127"/>
    <n v="1882.3200000000002"/>
    <s v="High"/>
    <s v="Repeat"/>
    <s v="Below Avg"/>
    <s v="Profit"/>
    <n v="290"/>
  </r>
  <r>
    <n v="47"/>
    <d v="2024-02-16T00:00:00"/>
    <n v="1064"/>
    <s v="Customer_13"/>
    <s v="Corporate"/>
    <x v="2"/>
    <s v="Electronics"/>
    <s v="Product_B"/>
    <n v="1788"/>
    <n v="7"/>
    <n v="0.06"/>
    <n v="-196"/>
    <s v="Card"/>
    <n v="11765.039999999901"/>
    <s v="Feb"/>
    <n v="2024"/>
    <s v="Q1"/>
    <n v="-1.6659526869437048E-2"/>
    <n v="750.95999999999992"/>
    <s v="High"/>
    <s v="Repeat"/>
    <s v="Above Avg"/>
    <s v="Loss"/>
    <n v="174"/>
  </r>
  <r>
    <n v="48"/>
    <d v="2024-02-17T00:00:00"/>
    <n v="1075"/>
    <s v="Customer_107"/>
    <s v="Corporate"/>
    <x v="2"/>
    <s v="Clothing"/>
    <s v="Product_C"/>
    <n v="343"/>
    <n v="3"/>
    <n v="0.03"/>
    <n v="1062"/>
    <s v="UPI"/>
    <n v="998.13"/>
    <s v="Feb"/>
    <n v="2024"/>
    <s v="Q1"/>
    <n v="1.0639896606654444"/>
    <n v="30.869999999999997"/>
    <s v="Low"/>
    <s v="Repeat"/>
    <s v="Below Avg"/>
    <s v="Profit"/>
    <n v="479"/>
  </r>
  <r>
    <n v="49"/>
    <d v="2024-02-18T00:00:00"/>
    <n v="1034"/>
    <s v="Customer_27"/>
    <s v="Consumer"/>
    <x v="0"/>
    <s v="Electronics"/>
    <s v="Product_B"/>
    <n v="1734"/>
    <n v="6"/>
    <n v="0.27"/>
    <n v="318"/>
    <s v="UPI"/>
    <n v="7594.92"/>
    <s v="Feb"/>
    <n v="2024"/>
    <s v="Q1"/>
    <n v="4.1870092114202652E-2"/>
    <n v="2809.0800000000004"/>
    <s v="High"/>
    <s v="Repeat"/>
    <s v="Below Avg"/>
    <s v="Profit"/>
    <n v="263"/>
  </r>
  <r>
    <n v="50"/>
    <d v="2024-02-19T00:00:00"/>
    <n v="1058"/>
    <s v="Customer_169"/>
    <s v="Consumer"/>
    <x v="1"/>
    <s v="Furniture"/>
    <s v="Product_C"/>
    <n v="2310"/>
    <n v="7"/>
    <n v="0.18"/>
    <n v="-22"/>
    <s v="COD"/>
    <n v="13259.4"/>
    <s v="Feb"/>
    <n v="2024"/>
    <s v="Q1"/>
    <n v="-1.6592002654720426E-3"/>
    <n v="2910.6"/>
    <s v="High"/>
    <s v="Repeat"/>
    <s v="Above Avg"/>
    <s v="Loss"/>
    <n v="157"/>
  </r>
  <r>
    <n v="51"/>
    <d v="2024-02-20T00:00:00"/>
    <n v="1010"/>
    <s v="Customer_42"/>
    <s v="Consumer"/>
    <x v="1"/>
    <s v="Clothing"/>
    <s v="Product_B"/>
    <n v="274"/>
    <n v="6"/>
    <n v="0.05"/>
    <n v="-327"/>
    <s v="COD"/>
    <n v="1561.8"/>
    <s v="Feb"/>
    <n v="2024"/>
    <s v="Q1"/>
    <n v="-0.20937379946215906"/>
    <n v="82.2"/>
    <s v="Low"/>
    <s v="Repeat"/>
    <s v="Below Avg"/>
    <s v="Loss"/>
    <n v="455"/>
  </r>
  <r>
    <n v="52"/>
    <d v="2024-02-21T00:00:00"/>
    <n v="1022"/>
    <s v="Customer_157"/>
    <s v="Corporate"/>
    <x v="2"/>
    <s v="Clothing"/>
    <s v="Product_A"/>
    <n v="2319"/>
    <n v="5"/>
    <n v="0.19"/>
    <n v="51"/>
    <s v="COD"/>
    <n v="9391.9500000000007"/>
    <s v="Feb"/>
    <n v="2024"/>
    <s v="Q1"/>
    <n v="5.4301822305272062E-3"/>
    <n v="2203.0500000000002"/>
    <s v="High"/>
    <s v="Repeat"/>
    <s v="Below Avg"/>
    <s v="Profit"/>
    <n v="222"/>
  </r>
  <r>
    <n v="53"/>
    <d v="2024-02-22T00:00:00"/>
    <n v="1077"/>
    <s v="Customer_144"/>
    <s v="Corporate"/>
    <x v="3"/>
    <s v="Electronics"/>
    <s v="Product_B"/>
    <n v="3756"/>
    <n v="9"/>
    <n v="0.1"/>
    <n v="1822"/>
    <s v="Card"/>
    <n v="30423.599999999999"/>
    <s v="Feb"/>
    <n v="2024"/>
    <s v="Q1"/>
    <n v="5.9887718744658758E-2"/>
    <n v="3380.4"/>
    <s v="High"/>
    <s v="Repeat"/>
    <s v="Above Avg"/>
    <s v="Profit"/>
    <n v="23"/>
  </r>
  <r>
    <n v="54"/>
    <d v="2024-02-23T00:00:00"/>
    <n v="1018"/>
    <s v="Customer_181"/>
    <s v="Corporate"/>
    <x v="3"/>
    <s v="Furniture"/>
    <s v="Product_D"/>
    <n v="366"/>
    <n v="9"/>
    <n v="0.04"/>
    <n v="-461"/>
    <s v="UPI"/>
    <n v="3162.24"/>
    <s v="Feb"/>
    <n v="2024"/>
    <s v="Q1"/>
    <n v="-0.14578273628820079"/>
    <n v="131.76"/>
    <s v="Medium"/>
    <s v="Repeat"/>
    <s v="Below Avg"/>
    <s v="Loss"/>
    <n v="388"/>
  </r>
  <r>
    <n v="55"/>
    <d v="2024-02-24T00:00:00"/>
    <n v="1015"/>
    <s v="Customer_46"/>
    <s v="Corporate"/>
    <x v="3"/>
    <s v="Clothing"/>
    <s v="Product_A"/>
    <n v="1482"/>
    <n v="3"/>
    <n v="0.24"/>
    <n v="1102"/>
    <s v="COD"/>
    <n v="3378.96"/>
    <s v="Feb"/>
    <n v="2024"/>
    <s v="Q1"/>
    <n v="0.32613585245164189"/>
    <n v="1067.04"/>
    <s v="Medium"/>
    <s v="Repeat"/>
    <s v="Below Avg"/>
    <s v="Profit"/>
    <n v="381"/>
  </r>
  <r>
    <n v="56"/>
    <d v="2024-02-25T00:00:00"/>
    <n v="1027"/>
    <s v="Customer_197"/>
    <s v="Corporate"/>
    <x v="3"/>
    <s v="Electronics"/>
    <s v="Product_C"/>
    <n v="879"/>
    <n v="7"/>
    <n v="0.03"/>
    <n v="1934"/>
    <s v="Card"/>
    <n v="5968.41"/>
    <s v="Feb"/>
    <n v="2024"/>
    <s v="Q1"/>
    <n v="0.3240394007784318"/>
    <n v="184.59"/>
    <s v="High"/>
    <s v="Repeat"/>
    <s v="Below Avg"/>
    <s v="Profit"/>
    <n v="298"/>
  </r>
  <r>
    <n v="57"/>
    <d v="2024-02-26T00:00:00"/>
    <n v="1030"/>
    <s v="Customer_37"/>
    <s v="Corporate"/>
    <x v="1"/>
    <s v="Furniture"/>
    <s v="Product_B"/>
    <n v="4731"/>
    <n v="2"/>
    <n v="0.28999999999999998"/>
    <n v="1177"/>
    <s v="COD"/>
    <n v="6718.0199999999904"/>
    <s v="Feb"/>
    <n v="2024"/>
    <s v="Q1"/>
    <n v="0.17520043107939567"/>
    <n v="2743.98"/>
    <s v="High"/>
    <s v="Repeat"/>
    <s v="Below Avg"/>
    <s v="Profit"/>
    <n v="282"/>
  </r>
  <r>
    <n v="58"/>
    <d v="2024-02-27T00:00:00"/>
    <n v="1052"/>
    <s v="Customer_104"/>
    <s v="Consumer"/>
    <x v="2"/>
    <s v="Furniture"/>
    <s v="Product_B"/>
    <n v="766"/>
    <n v="1"/>
    <n v="0.23"/>
    <n v="993"/>
    <s v="COD"/>
    <n v="589.82000000000005"/>
    <s v="Feb"/>
    <n v="2024"/>
    <s v="Q1"/>
    <n v="1.6835644772981586"/>
    <n v="176.18"/>
    <s v="Low"/>
    <s v="Repeat"/>
    <s v="Below Avg"/>
    <s v="Profit"/>
    <n v="487"/>
  </r>
  <r>
    <n v="59"/>
    <d v="2024-02-28T00:00:00"/>
    <n v="1070"/>
    <s v="Customer_188"/>
    <s v="Consumer"/>
    <x v="2"/>
    <s v="Furniture"/>
    <s v="Product_B"/>
    <n v="1257"/>
    <n v="4"/>
    <n v="0.21"/>
    <n v="-182"/>
    <s v="UPI"/>
    <n v="3972.12"/>
    <s v="Feb"/>
    <n v="2024"/>
    <s v="Q1"/>
    <n v="-4.581936094579217E-2"/>
    <n v="1055.8799999999999"/>
    <s v="Medium"/>
    <s v="Repeat"/>
    <s v="Below Avg"/>
    <s v="Loss"/>
    <n v="354"/>
  </r>
  <r>
    <n v="60"/>
    <d v="2024-02-29T00:00:00"/>
    <n v="1026"/>
    <s v="Customer_143"/>
    <s v="Consumer"/>
    <x v="3"/>
    <s v="Electronics"/>
    <s v="Product_C"/>
    <n v="4776"/>
    <n v="3"/>
    <n v="7.0000000000000007E-2"/>
    <n v="1297"/>
    <s v="UPI"/>
    <n v="13325.039999999901"/>
    <s v="Feb"/>
    <n v="2024"/>
    <s v="Q1"/>
    <n v="9.7335542707564823E-2"/>
    <n v="1002.9600000000002"/>
    <s v="High"/>
    <s v="Repeat"/>
    <s v="Above Avg"/>
    <s v="Profit"/>
    <n v="156"/>
  </r>
  <r>
    <n v="61"/>
    <d v="2024-03-01T00:00:00"/>
    <n v="1080"/>
    <s v="Customer_149"/>
    <s v="Consumer"/>
    <x v="2"/>
    <s v="Furniture"/>
    <s v="Product_D"/>
    <n v="963"/>
    <n v="4"/>
    <n v="0.23"/>
    <n v="-271"/>
    <s v="Card"/>
    <n v="2966.04"/>
    <s v="Mar"/>
    <n v="2024"/>
    <s v="Q1"/>
    <n v="-9.1367614732100713E-2"/>
    <n v="885.96"/>
    <s v="Medium"/>
    <s v="Repeat"/>
    <s v="Below Avg"/>
    <s v="Loss"/>
    <n v="395"/>
  </r>
  <r>
    <n v="62"/>
    <d v="2024-03-02T00:00:00"/>
    <n v="1006"/>
    <s v="Customer_34"/>
    <s v="Corporate"/>
    <x v="1"/>
    <s v="Clothing"/>
    <s v="Product_C"/>
    <n v="4000"/>
    <n v="3"/>
    <n v="0.01"/>
    <n v="1902"/>
    <s v="COD"/>
    <n v="11880"/>
    <s v="Mar"/>
    <n v="2024"/>
    <s v="Q1"/>
    <n v="0.1601010101010101"/>
    <n v="120"/>
    <s v="High"/>
    <s v="Repeat"/>
    <s v="Above Avg"/>
    <s v="Profit"/>
    <n v="171"/>
  </r>
  <r>
    <n v="63"/>
    <d v="2024-03-03T00:00:00"/>
    <n v="1014"/>
    <s v="Customer_9"/>
    <s v="Consumer"/>
    <x v="0"/>
    <s v="Electronics"/>
    <s v="Product_B"/>
    <n v="156"/>
    <n v="9"/>
    <n v="0.17"/>
    <n v="325"/>
    <s v="COD"/>
    <n v="1165.32"/>
    <s v="Mar"/>
    <n v="2024"/>
    <s v="Q1"/>
    <n v="0.2788933511825078"/>
    <n v="238.68"/>
    <s v="Low"/>
    <s v="Repeat"/>
    <s v="Below Avg"/>
    <s v="Profit"/>
    <n v="472"/>
  </r>
  <r>
    <n v="64"/>
    <d v="2024-03-04T00:00:00"/>
    <n v="1075"/>
    <s v="Customer_154"/>
    <s v="Consumer"/>
    <x v="0"/>
    <s v="Electronics"/>
    <s v="Product_A"/>
    <n v="3350"/>
    <n v="4"/>
    <n v="0.09"/>
    <n v="1332"/>
    <s v="COD"/>
    <n v="12194"/>
    <s v="Mar"/>
    <n v="2024"/>
    <s v="Q1"/>
    <n v="0.109234049532557"/>
    <n v="1206"/>
    <s v="High"/>
    <s v="Repeat"/>
    <s v="Above Avg"/>
    <s v="Profit"/>
    <n v="165"/>
  </r>
  <r>
    <n v="65"/>
    <d v="2024-03-05T00:00:00"/>
    <n v="1054"/>
    <s v="Customer_77"/>
    <s v="Consumer"/>
    <x v="2"/>
    <s v="Electronics"/>
    <s v="Product_B"/>
    <n v="642"/>
    <n v="4"/>
    <n v="0.25"/>
    <n v="30"/>
    <s v="UPI"/>
    <n v="1926"/>
    <s v="Mar"/>
    <n v="2024"/>
    <s v="Q1"/>
    <n v="1.5576323987538941E-2"/>
    <n v="642"/>
    <s v="Low"/>
    <s v="Repeat"/>
    <s v="Below Avg"/>
    <s v="Profit"/>
    <n v="434"/>
  </r>
  <r>
    <n v="66"/>
    <d v="2024-03-06T00:00:00"/>
    <n v="1071"/>
    <s v="Customer_146"/>
    <s v="Corporate"/>
    <x v="2"/>
    <s v="Electronics"/>
    <s v="Product_A"/>
    <n v="1032"/>
    <n v="7"/>
    <n v="0.23"/>
    <n v="-33"/>
    <s v="UPI"/>
    <n v="5562.48"/>
    <s v="Mar"/>
    <n v="2024"/>
    <s v="Q1"/>
    <n v="-5.9326056003796875E-3"/>
    <n v="1661.52"/>
    <s v="High"/>
    <s v="Repeat"/>
    <s v="Below Avg"/>
    <s v="Loss"/>
    <n v="307"/>
  </r>
  <r>
    <n v="67"/>
    <d v="2024-03-07T00:00:00"/>
    <n v="1001"/>
    <s v="Customer_1"/>
    <s v="Consumer"/>
    <x v="2"/>
    <s v="Furniture"/>
    <s v="Product_B"/>
    <n v="950"/>
    <n v="4"/>
    <n v="0.15"/>
    <n v="1734"/>
    <s v="COD"/>
    <n v="3230"/>
    <s v="Mar"/>
    <n v="2024"/>
    <s v="Q1"/>
    <n v="0.5368421052631579"/>
    <n v="570"/>
    <s v="Medium"/>
    <s v="Repeat"/>
    <s v="Below Avg"/>
    <s v="Profit"/>
    <n v="387"/>
  </r>
  <r>
    <n v="68"/>
    <d v="2024-03-08T00:00:00"/>
    <n v="1043"/>
    <s v="Customer_23"/>
    <s v="Corporate"/>
    <x v="3"/>
    <s v="Electronics"/>
    <s v="Product_D"/>
    <n v="1275"/>
    <n v="9"/>
    <n v="0.14000000000000001"/>
    <n v="1604"/>
    <s v="Card"/>
    <n v="9868.5"/>
    <s v="Mar"/>
    <n v="2024"/>
    <s v="Q1"/>
    <n v="0.16253736636773572"/>
    <n v="1606.5000000000002"/>
    <s v="High"/>
    <s v="New"/>
    <s v="Below Avg"/>
    <s v="Profit"/>
    <n v="204"/>
  </r>
  <r>
    <n v="69"/>
    <d v="2024-03-09T00:00:00"/>
    <n v="1058"/>
    <s v="Customer_33"/>
    <s v="Consumer"/>
    <x v="3"/>
    <s v="Clothing"/>
    <s v="Product_D"/>
    <n v="622"/>
    <n v="9"/>
    <n v="0.02"/>
    <n v="442"/>
    <s v="Card"/>
    <n v="5486.04"/>
    <s v="Mar"/>
    <n v="2024"/>
    <s v="Q1"/>
    <n v="8.0568132933773726E-2"/>
    <n v="111.96000000000001"/>
    <s v="High"/>
    <s v="Repeat"/>
    <s v="Below Avg"/>
    <s v="Profit"/>
    <n v="309"/>
  </r>
  <r>
    <n v="70"/>
    <d v="2024-03-10T00:00:00"/>
    <n v="1055"/>
    <s v="Customer_175"/>
    <s v="Consumer"/>
    <x v="2"/>
    <s v="Clothing"/>
    <s v="Product_C"/>
    <n v="209"/>
    <n v="9"/>
    <n v="7.0000000000000007E-2"/>
    <n v="79"/>
    <s v="Card"/>
    <n v="1749.33"/>
    <s v="Mar"/>
    <n v="2024"/>
    <s v="Q1"/>
    <n v="4.5160147027719186E-2"/>
    <n v="131.67000000000002"/>
    <s v="Low"/>
    <s v="Repeat"/>
    <s v="Below Avg"/>
    <s v="Profit"/>
    <n v="444"/>
  </r>
  <r>
    <n v="71"/>
    <d v="2024-03-11T00:00:00"/>
    <n v="1025"/>
    <s v="Customer_95"/>
    <s v="Consumer"/>
    <x v="0"/>
    <s v="Clothing"/>
    <s v="Product_D"/>
    <n v="3545"/>
    <n v="6"/>
    <n v="0.21"/>
    <n v="706"/>
    <s v="Card"/>
    <n v="16803.3"/>
    <s v="Mar"/>
    <n v="2024"/>
    <s v="Q1"/>
    <n v="4.2015556468074727E-2"/>
    <n v="4466.7"/>
    <s v="High"/>
    <s v="Repeat"/>
    <s v="Above Avg"/>
    <s v="Profit"/>
    <n v="107"/>
  </r>
  <r>
    <n v="72"/>
    <d v="2024-03-12T00:00:00"/>
    <n v="1050"/>
    <s v="Customer_122"/>
    <s v="Corporate"/>
    <x v="1"/>
    <s v="Clothing"/>
    <s v="Product_A"/>
    <n v="156"/>
    <n v="9"/>
    <n v="0.02"/>
    <n v="56"/>
    <s v="COD"/>
    <n v="1375.92"/>
    <s v="Mar"/>
    <n v="2024"/>
    <s v="Q1"/>
    <n v="4.0700040700040699E-2"/>
    <n v="28.080000000000002"/>
    <s v="Low"/>
    <s v="Repeat"/>
    <s v="Below Avg"/>
    <s v="Profit"/>
    <n v="463"/>
  </r>
  <r>
    <n v="73"/>
    <d v="2024-03-13T00:00:00"/>
    <n v="1084"/>
    <s v="Customer_21"/>
    <s v="Consumer"/>
    <x v="2"/>
    <s v="Clothing"/>
    <s v="Product_C"/>
    <n v="3923"/>
    <n v="3"/>
    <n v="0.24"/>
    <n v="1141"/>
    <s v="UPI"/>
    <n v="8944.44"/>
    <s v="Mar"/>
    <n v="2024"/>
    <s v="Q1"/>
    <n v="0.12756528077777926"/>
    <n v="2824.56"/>
    <s v="High"/>
    <s v="Repeat"/>
    <s v="Below Avg"/>
    <s v="Profit"/>
    <n v="232"/>
  </r>
  <r>
    <n v="74"/>
    <d v="2024-03-14T00:00:00"/>
    <n v="1056"/>
    <s v="Customer_61"/>
    <s v="Corporate"/>
    <x v="1"/>
    <s v="Electronics"/>
    <s v="Product_D"/>
    <n v="1766"/>
    <n v="2"/>
    <n v="0.28999999999999998"/>
    <n v="620"/>
    <s v="Card"/>
    <n v="2507.7199999999998"/>
    <s v="Mar"/>
    <n v="2024"/>
    <s v="Q1"/>
    <n v="0.24723653358429173"/>
    <n v="1024.28"/>
    <s v="Medium"/>
    <s v="Repeat"/>
    <s v="Below Avg"/>
    <s v="Profit"/>
    <n v="410"/>
  </r>
  <r>
    <n v="75"/>
    <d v="2024-03-15T00:00:00"/>
    <n v="1049"/>
    <s v="Customer_27"/>
    <s v="Consumer"/>
    <x v="1"/>
    <s v="Furniture"/>
    <s v="Product_B"/>
    <n v="4017"/>
    <n v="2"/>
    <n v="0.02"/>
    <n v="755"/>
    <s v="COD"/>
    <n v="7873.32"/>
    <s v="Mar"/>
    <n v="2024"/>
    <s v="Q1"/>
    <n v="9.58934731472873E-2"/>
    <n v="160.68"/>
    <s v="High"/>
    <s v="Repeat"/>
    <s v="Below Avg"/>
    <s v="Profit"/>
    <n v="255"/>
  </r>
  <r>
    <n v="76"/>
    <d v="2024-03-16T00:00:00"/>
    <n v="1012"/>
    <s v="Customer_191"/>
    <s v="Consumer"/>
    <x v="1"/>
    <s v="Clothing"/>
    <s v="Product_D"/>
    <n v="1527"/>
    <n v="7"/>
    <n v="0.14000000000000001"/>
    <n v="-113"/>
    <s v="COD"/>
    <n v="9192.53999999999"/>
    <s v="Mar"/>
    <n v="2024"/>
    <s v="Q1"/>
    <n v="-1.2292576371710117E-2"/>
    <n v="1496.46"/>
    <s v="High"/>
    <s v="Repeat"/>
    <s v="Below Avg"/>
    <s v="Loss"/>
    <n v="227"/>
  </r>
  <r>
    <n v="77"/>
    <d v="2024-03-17T00:00:00"/>
    <n v="1018"/>
    <s v="Customer_102"/>
    <s v="Consumer"/>
    <x v="1"/>
    <s v="Furniture"/>
    <s v="Product_C"/>
    <n v="604"/>
    <n v="5"/>
    <n v="0.17"/>
    <n v="213"/>
    <s v="COD"/>
    <n v="2506.6"/>
    <s v="Mar"/>
    <n v="2024"/>
    <s v="Q1"/>
    <n v="8.497566424638954E-2"/>
    <n v="513.40000000000009"/>
    <s v="Medium"/>
    <s v="Repeat"/>
    <s v="Below Avg"/>
    <s v="Profit"/>
    <n v="411"/>
  </r>
  <r>
    <n v="78"/>
    <d v="2024-03-18T00:00:00"/>
    <n v="1081"/>
    <s v="Customer_180"/>
    <s v="Consumer"/>
    <x v="3"/>
    <s v="Clothing"/>
    <s v="Product_D"/>
    <n v="3795"/>
    <n v="4"/>
    <n v="0.24"/>
    <n v="842"/>
    <s v="UPI"/>
    <n v="11536.8"/>
    <s v="Mar"/>
    <n v="2024"/>
    <s v="Q1"/>
    <n v="7.2983843006726307E-2"/>
    <n v="3643.2"/>
    <s v="High"/>
    <s v="Repeat"/>
    <s v="Above Avg"/>
    <s v="Profit"/>
    <n v="181"/>
  </r>
  <r>
    <n v="79"/>
    <d v="2024-03-19T00:00:00"/>
    <n v="1001"/>
    <s v="Customer_192"/>
    <s v="Consumer"/>
    <x v="2"/>
    <s v="Clothing"/>
    <s v="Product_A"/>
    <n v="4704"/>
    <n v="2"/>
    <n v="0.05"/>
    <n v="-31"/>
    <s v="Card"/>
    <n v="8937.6"/>
    <s v="Mar"/>
    <n v="2024"/>
    <s v="Q1"/>
    <n v="-3.4684926602219835E-3"/>
    <n v="470.40000000000003"/>
    <s v="High"/>
    <s v="Repeat"/>
    <s v="Below Avg"/>
    <s v="Loss"/>
    <n v="233"/>
  </r>
  <r>
    <n v="80"/>
    <d v="2024-03-20T00:00:00"/>
    <n v="1051"/>
    <s v="Customer_142"/>
    <s v="Corporate"/>
    <x v="1"/>
    <s v="Clothing"/>
    <s v="Product_A"/>
    <n v="1428"/>
    <n v="4"/>
    <n v="0.11"/>
    <n v="361"/>
    <s v="UPI"/>
    <n v="5083.68"/>
    <s v="Mar"/>
    <n v="2024"/>
    <s v="Q1"/>
    <n v="7.10115506876908E-2"/>
    <n v="628.32000000000005"/>
    <s v="High"/>
    <s v="Repeat"/>
    <s v="Below Avg"/>
    <s v="Profit"/>
    <n v="320"/>
  </r>
  <r>
    <n v="81"/>
    <d v="2024-03-21T00:00:00"/>
    <n v="1044"/>
    <s v="Customer_101"/>
    <s v="Corporate"/>
    <x v="1"/>
    <s v="Furniture"/>
    <s v="Product_A"/>
    <n v="783"/>
    <n v="6"/>
    <n v="0.25"/>
    <n v="-54"/>
    <s v="COD"/>
    <n v="3523.5"/>
    <s v="Mar"/>
    <n v="2024"/>
    <s v="Q1"/>
    <n v="-1.532567049808429E-2"/>
    <n v="1174.5"/>
    <s v="Medium"/>
    <s v="Repeat"/>
    <s v="Below Avg"/>
    <s v="Loss"/>
    <n v="376"/>
  </r>
  <r>
    <n v="82"/>
    <d v="2024-03-22T00:00:00"/>
    <n v="1048"/>
    <s v="Customer_175"/>
    <s v="Consumer"/>
    <x v="0"/>
    <s v="Electronics"/>
    <s v="Product_A"/>
    <n v="222"/>
    <n v="6"/>
    <n v="0.16"/>
    <n v="9"/>
    <s v="UPI"/>
    <n v="1118.8799999999901"/>
    <s v="Mar"/>
    <n v="2024"/>
    <s v="Q1"/>
    <n v="8.043758043758115E-3"/>
    <n v="213.12"/>
    <s v="Low"/>
    <s v="Repeat"/>
    <s v="Below Avg"/>
    <s v="Profit"/>
    <n v="474"/>
  </r>
  <r>
    <n v="83"/>
    <d v="2024-03-23T00:00:00"/>
    <n v="1056"/>
    <s v="Customer_7"/>
    <s v="Corporate"/>
    <x v="2"/>
    <s v="Clothing"/>
    <s v="Product_A"/>
    <n v="1447"/>
    <n v="8"/>
    <n v="0.05"/>
    <n v="1686"/>
    <s v="UPI"/>
    <n v="10997.199999999901"/>
    <s v="Mar"/>
    <n v="2024"/>
    <s v="Q1"/>
    <n v="0.15331175208234962"/>
    <n v="578.80000000000007"/>
    <s v="High"/>
    <s v="Repeat"/>
    <s v="Above Avg"/>
    <s v="Profit"/>
    <n v="191"/>
  </r>
  <r>
    <n v="84"/>
    <d v="2024-03-24T00:00:00"/>
    <n v="1091"/>
    <s v="Customer_76"/>
    <s v="Corporate"/>
    <x v="1"/>
    <s v="Electronics"/>
    <s v="Product_C"/>
    <n v="4171"/>
    <n v="6"/>
    <n v="0.26"/>
    <n v="1941"/>
    <s v="UPI"/>
    <n v="18519.2399999999"/>
    <s v="Mar"/>
    <n v="2024"/>
    <s v="Q1"/>
    <n v="0.10480991660564962"/>
    <n v="6506.76"/>
    <s v="High"/>
    <s v="Repeat"/>
    <s v="Above Avg"/>
    <s v="Profit"/>
    <n v="86"/>
  </r>
  <r>
    <n v="85"/>
    <d v="2024-03-25T00:00:00"/>
    <n v="1049"/>
    <s v="Customer_156"/>
    <s v="Corporate"/>
    <x v="3"/>
    <s v="Clothing"/>
    <s v="Product_D"/>
    <n v="2001"/>
    <n v="5"/>
    <n v="0.28000000000000003"/>
    <n v="832"/>
    <s v="UPI"/>
    <n v="7203.5999999999904"/>
    <s v="Mar"/>
    <n v="2024"/>
    <s v="Q1"/>
    <n v="0.1154978066522296"/>
    <n v="2801.4"/>
    <s v="High"/>
    <s v="Repeat"/>
    <s v="Below Avg"/>
    <s v="Profit"/>
    <n v="271"/>
  </r>
  <r>
    <n v="86"/>
    <d v="2024-03-26T00:00:00"/>
    <n v="1086"/>
    <s v="Customer_131"/>
    <s v="Consumer"/>
    <x v="0"/>
    <s v="Electronics"/>
    <s v="Product_C"/>
    <n v="1745"/>
    <n v="7"/>
    <n v="0.22"/>
    <n v="1411"/>
    <s v="UPI"/>
    <n v="9527.7000000000007"/>
    <s v="Mar"/>
    <n v="2024"/>
    <s v="Q1"/>
    <n v="0.14809450339536298"/>
    <n v="2687.3"/>
    <s v="High"/>
    <s v="Repeat"/>
    <s v="Below Avg"/>
    <s v="Profit"/>
    <n v="215"/>
  </r>
  <r>
    <n v="87"/>
    <d v="2024-03-27T00:00:00"/>
    <n v="1003"/>
    <s v="Customer_150"/>
    <s v="Corporate"/>
    <x v="0"/>
    <s v="Electronics"/>
    <s v="Product_D"/>
    <n v="2969"/>
    <n v="3"/>
    <n v="0.28999999999999998"/>
    <n v="735"/>
    <s v="UPI"/>
    <n v="6323.9699999999903"/>
    <s v="Mar"/>
    <n v="2024"/>
    <s v="Q1"/>
    <n v="0.11622446026783827"/>
    <n v="2583.0299999999997"/>
    <s v="High"/>
    <s v="Repeat"/>
    <s v="Below Avg"/>
    <s v="Profit"/>
    <n v="288"/>
  </r>
  <r>
    <n v="88"/>
    <d v="2024-03-28T00:00:00"/>
    <n v="1067"/>
    <s v="Customer_85"/>
    <s v="Corporate"/>
    <x v="0"/>
    <s v="Clothing"/>
    <s v="Product_A"/>
    <n v="1478"/>
    <n v="4"/>
    <n v="0.28000000000000003"/>
    <n v="-370"/>
    <s v="COD"/>
    <n v="4256.6399999999903"/>
    <s v="Mar"/>
    <n v="2024"/>
    <s v="Q1"/>
    <n v="-8.6923019094873155E-2"/>
    <n v="1655.3600000000001"/>
    <s v="Medium"/>
    <s v="Repeat"/>
    <s v="Below Avg"/>
    <s v="Loss"/>
    <n v="343"/>
  </r>
  <r>
    <n v="89"/>
    <d v="2024-03-29T00:00:00"/>
    <n v="1011"/>
    <s v="Customer_191"/>
    <s v="Corporate"/>
    <x v="0"/>
    <s v="Electronics"/>
    <s v="Product_B"/>
    <n v="2972"/>
    <n v="6"/>
    <n v="0.04"/>
    <n v="64"/>
    <s v="UPI"/>
    <n v="17118.72"/>
    <s v="Mar"/>
    <n v="2024"/>
    <s v="Q1"/>
    <n v="3.7385972783011813E-3"/>
    <n v="713.28"/>
    <s v="High"/>
    <s v="Repeat"/>
    <s v="Above Avg"/>
    <s v="Profit"/>
    <n v="104"/>
  </r>
  <r>
    <n v="90"/>
    <d v="2024-03-30T00:00:00"/>
    <n v="1021"/>
    <s v="Customer_29"/>
    <s v="Consumer"/>
    <x v="1"/>
    <s v="Furniture"/>
    <s v="Product_B"/>
    <n v="1596"/>
    <n v="9"/>
    <n v="0.12"/>
    <n v="1887"/>
    <s v="UPI"/>
    <n v="12640.32"/>
    <s v="Mar"/>
    <n v="2024"/>
    <s v="Q1"/>
    <n v="0.14928419533682691"/>
    <n v="1723.6799999999998"/>
    <s v="High"/>
    <s v="Repeat"/>
    <s v="Above Avg"/>
    <s v="Profit"/>
    <n v="161"/>
  </r>
  <r>
    <n v="91"/>
    <d v="2024-03-31T00:00:00"/>
    <n v="1089"/>
    <s v="Customer_148"/>
    <s v="Corporate"/>
    <x v="3"/>
    <s v="Electronics"/>
    <s v="Product_B"/>
    <n v="775"/>
    <n v="6"/>
    <n v="0.18"/>
    <n v="1459"/>
    <s v="UPI"/>
    <n v="3813"/>
    <s v="Mar"/>
    <n v="2024"/>
    <s v="Q1"/>
    <n v="0.38263834251245737"/>
    <n v="837"/>
    <s v="Medium"/>
    <s v="Repeat"/>
    <s v="Below Avg"/>
    <s v="Profit"/>
    <n v="364"/>
  </r>
  <r>
    <n v="92"/>
    <d v="2024-04-01T00:00:00"/>
    <n v="1098"/>
    <s v="Customer_67"/>
    <s v="Corporate"/>
    <x v="0"/>
    <s v="Furniture"/>
    <s v="Product_D"/>
    <n v="2608"/>
    <n v="4"/>
    <n v="0.22"/>
    <n v="1774"/>
    <s v="UPI"/>
    <n v="8136.96"/>
    <s v="Apr"/>
    <n v="2024"/>
    <s v="Q2"/>
    <n v="0.21801753971999371"/>
    <n v="2295.04"/>
    <s v="High"/>
    <s v="Repeat"/>
    <s v="Below Avg"/>
    <s v="Profit"/>
    <n v="246"/>
  </r>
  <r>
    <n v="93"/>
    <d v="2024-04-02T00:00:00"/>
    <n v="1003"/>
    <s v="Customer_105"/>
    <s v="Corporate"/>
    <x v="3"/>
    <s v="Electronics"/>
    <s v="Product_D"/>
    <n v="2396"/>
    <n v="8"/>
    <n v="0.16"/>
    <n v="943"/>
    <s v="Card"/>
    <n v="16101.119999999901"/>
    <s v="Apr"/>
    <n v="2024"/>
    <s v="Q2"/>
    <n v="5.8567354320693578E-2"/>
    <n v="3066.88"/>
    <s v="High"/>
    <s v="Repeat"/>
    <s v="Above Avg"/>
    <s v="Profit"/>
    <n v="126"/>
  </r>
  <r>
    <n v="94"/>
    <d v="2024-04-03T00:00:00"/>
    <n v="1011"/>
    <s v="Customer_161"/>
    <s v="Consumer"/>
    <x v="1"/>
    <s v="Furniture"/>
    <s v="Product_C"/>
    <n v="662"/>
    <n v="5"/>
    <n v="0.19"/>
    <n v="-45"/>
    <s v="COD"/>
    <n v="2681.1"/>
    <s v="Apr"/>
    <n v="2024"/>
    <s v="Q2"/>
    <n v="-1.6784155756965426E-2"/>
    <n v="628.9"/>
    <s v="Medium"/>
    <s v="Repeat"/>
    <s v="Below Avg"/>
    <s v="Loss"/>
    <n v="403"/>
  </r>
  <r>
    <n v="95"/>
    <d v="2024-04-04T00:00:00"/>
    <n v="1003"/>
    <s v="Customer_94"/>
    <s v="Consumer"/>
    <x v="2"/>
    <s v="Clothing"/>
    <s v="Product_C"/>
    <n v="4372"/>
    <n v="5"/>
    <n v="0.04"/>
    <n v="1771"/>
    <s v="UPI"/>
    <n v="20985.599999999999"/>
    <s v="Apr"/>
    <n v="2024"/>
    <s v="Q2"/>
    <n v="8.4391201585849354E-2"/>
    <n v="874.4"/>
    <s v="High"/>
    <s v="Repeat"/>
    <s v="Above Avg"/>
    <s v="Profit"/>
    <n v="77"/>
  </r>
  <r>
    <n v="96"/>
    <d v="2024-04-05T00:00:00"/>
    <n v="1094"/>
    <s v="Customer_48"/>
    <s v="Consumer"/>
    <x v="3"/>
    <s v="Furniture"/>
    <s v="Product_D"/>
    <n v="301"/>
    <n v="8"/>
    <n v="0.12"/>
    <n v="1297"/>
    <s v="UPI"/>
    <n v="2119.04"/>
    <s v="Apr"/>
    <n v="2024"/>
    <s v="Q2"/>
    <n v="0.61206961643008151"/>
    <n v="288.95999999999998"/>
    <s v="Medium"/>
    <s v="Repeat"/>
    <s v="Below Avg"/>
    <s v="Profit"/>
    <n v="421"/>
  </r>
  <r>
    <n v="97"/>
    <d v="2024-04-06T00:00:00"/>
    <n v="1006"/>
    <s v="Customer_103"/>
    <s v="Corporate"/>
    <x v="1"/>
    <s v="Furniture"/>
    <s v="Product_A"/>
    <n v="4572"/>
    <n v="9"/>
    <n v="0"/>
    <n v="519"/>
    <s v="UPI"/>
    <n v="41148"/>
    <s v="Apr"/>
    <n v="2024"/>
    <s v="Q2"/>
    <n v="1.2613006707494897E-2"/>
    <n v="0"/>
    <s v="High"/>
    <s v="Repeat"/>
    <s v="Above Avg"/>
    <s v="Profit"/>
    <n v="1"/>
  </r>
  <r>
    <n v="98"/>
    <d v="2024-04-07T00:00:00"/>
    <n v="1009"/>
    <s v="Customer_41"/>
    <s v="Consumer"/>
    <x v="0"/>
    <s v="Electronics"/>
    <s v="Product_A"/>
    <n v="3094"/>
    <n v="4"/>
    <n v="0.2"/>
    <n v="236"/>
    <s v="Card"/>
    <n v="9900.7999999999993"/>
    <s v="Apr"/>
    <n v="2024"/>
    <s v="Q2"/>
    <n v="2.3836457659987074E-2"/>
    <n v="2475.2000000000003"/>
    <s v="High"/>
    <s v="Repeat"/>
    <s v="Below Avg"/>
    <s v="Profit"/>
    <n v="203"/>
  </r>
  <r>
    <n v="99"/>
    <d v="2024-04-08T00:00:00"/>
    <n v="1087"/>
    <s v="Customer_123"/>
    <s v="Consumer"/>
    <x v="2"/>
    <s v="Electronics"/>
    <s v="Product_A"/>
    <n v="4656"/>
    <n v="8"/>
    <n v="0.05"/>
    <n v="115"/>
    <s v="Card"/>
    <n v="35385.599999999999"/>
    <s v="Apr"/>
    <n v="2024"/>
    <s v="Q2"/>
    <n v="3.2499095677337676E-3"/>
    <n v="1862.4"/>
    <s v="High"/>
    <s v="Repeat"/>
    <s v="Above Avg"/>
    <s v="Profit"/>
    <n v="9"/>
  </r>
  <r>
    <n v="100"/>
    <d v="2024-04-09T00:00:00"/>
    <n v="1014"/>
    <s v="Customer_137"/>
    <s v="Corporate"/>
    <x v="3"/>
    <s v="Clothing"/>
    <s v="Product_B"/>
    <n v="4815"/>
    <n v="8"/>
    <n v="0.12"/>
    <n v="271"/>
    <s v="UPI"/>
    <n v="33897.599999999999"/>
    <s v="Apr"/>
    <n v="2024"/>
    <s v="Q2"/>
    <n v="7.9946662890588126E-3"/>
    <n v="4622.3999999999996"/>
    <s v="High"/>
    <s v="Repeat"/>
    <s v="Above Avg"/>
    <s v="Profit"/>
    <n v="14"/>
  </r>
  <r>
    <n v="101"/>
    <d v="2024-04-10T00:00:00"/>
    <n v="1083"/>
    <s v="Customer_176"/>
    <s v="Consumer"/>
    <x v="0"/>
    <s v="Furniture"/>
    <s v="Product_C"/>
    <n v="4598"/>
    <n v="3"/>
    <n v="0.15"/>
    <n v="93"/>
    <s v="Card"/>
    <n v="11724.9"/>
    <s v="Apr"/>
    <n v="2024"/>
    <s v="Q2"/>
    <n v="7.9318373717473072E-3"/>
    <n v="2069.1"/>
    <s v="High"/>
    <s v="Repeat"/>
    <s v="Above Avg"/>
    <s v="Profit"/>
    <n v="177"/>
  </r>
  <r>
    <n v="102"/>
    <d v="2024-04-11T00:00:00"/>
    <n v="1070"/>
    <s v="Customer_182"/>
    <s v="Consumer"/>
    <x v="1"/>
    <s v="Electronics"/>
    <s v="Product_B"/>
    <n v="4505"/>
    <n v="4"/>
    <n v="0.2"/>
    <n v="-150"/>
    <s v="UPI"/>
    <n v="14416"/>
    <s v="Apr"/>
    <n v="2024"/>
    <s v="Q2"/>
    <n v="-1.0405105438401776E-2"/>
    <n v="3604"/>
    <s v="High"/>
    <s v="Repeat"/>
    <s v="Above Avg"/>
    <s v="Loss"/>
    <n v="144"/>
  </r>
  <r>
    <n v="103"/>
    <d v="2024-04-12T00:00:00"/>
    <n v="1012"/>
    <s v="Customer_23"/>
    <s v="Consumer"/>
    <x v="1"/>
    <s v="Electronics"/>
    <s v="Product_C"/>
    <n v="3765"/>
    <n v="2"/>
    <n v="0.23"/>
    <n v="820"/>
    <s v="COD"/>
    <n v="5798.1"/>
    <s v="Apr"/>
    <n v="2024"/>
    <s v="Q2"/>
    <n v="0.14142563943360756"/>
    <n v="1731.9"/>
    <s v="High"/>
    <s v="Repeat"/>
    <s v="Below Avg"/>
    <s v="Profit"/>
    <n v="301"/>
  </r>
  <r>
    <n v="104"/>
    <d v="2024-04-13T00:00:00"/>
    <n v="1054"/>
    <s v="Customer_193"/>
    <s v="Corporate"/>
    <x v="1"/>
    <s v="Furniture"/>
    <s v="Product_A"/>
    <n v="4195"/>
    <n v="5"/>
    <n v="0.21"/>
    <n v="-479"/>
    <s v="Card"/>
    <n v="16570.25"/>
    <s v="Apr"/>
    <n v="2024"/>
    <s v="Q2"/>
    <n v="-2.8907228315806943E-2"/>
    <n v="4404.75"/>
    <s v="High"/>
    <s v="Repeat"/>
    <s v="Above Avg"/>
    <s v="Loss"/>
    <n v="114"/>
  </r>
  <r>
    <n v="105"/>
    <d v="2024-04-14T00:00:00"/>
    <n v="1027"/>
    <s v="Customer_149"/>
    <s v="Corporate"/>
    <x v="0"/>
    <s v="Furniture"/>
    <s v="Product_A"/>
    <n v="1628"/>
    <n v="6"/>
    <n v="0.17"/>
    <n v="1224"/>
    <s v="Card"/>
    <n v="8107.44"/>
    <s v="Apr"/>
    <n v="2024"/>
    <s v="Q2"/>
    <n v="0.15097244012906663"/>
    <n v="1660.5600000000002"/>
    <s v="High"/>
    <s v="Repeat"/>
    <s v="Below Avg"/>
    <s v="Profit"/>
    <n v="248"/>
  </r>
  <r>
    <n v="106"/>
    <d v="2024-04-15T00:00:00"/>
    <n v="1038"/>
    <s v="Customer_160"/>
    <s v="Corporate"/>
    <x v="3"/>
    <s v="Clothing"/>
    <s v="Product_A"/>
    <n v="759"/>
    <n v="6"/>
    <n v="0.16"/>
    <n v="879"/>
    <s v="UPI"/>
    <n v="3825.3599999999901"/>
    <s v="Apr"/>
    <n v="2024"/>
    <s v="Q2"/>
    <n v="0.22978229499968689"/>
    <n v="728.64"/>
    <s v="Medium"/>
    <s v="Repeat"/>
    <s v="Below Avg"/>
    <s v="Profit"/>
    <n v="363"/>
  </r>
  <r>
    <n v="107"/>
    <d v="2024-04-16T00:00:00"/>
    <n v="1017"/>
    <s v="Customer_109"/>
    <s v="Consumer"/>
    <x v="1"/>
    <s v="Electronics"/>
    <s v="Product_B"/>
    <n v="101"/>
    <n v="2"/>
    <n v="0.26"/>
    <n v="1747"/>
    <s v="COD"/>
    <n v="149.47999999999999"/>
    <s v="Apr"/>
    <n v="2024"/>
    <s v="Q2"/>
    <n v="11.687182231736688"/>
    <n v="52.52"/>
    <s v="Low"/>
    <s v="Repeat"/>
    <s v="Below Avg"/>
    <s v="Profit"/>
    <n v="500"/>
  </r>
  <r>
    <n v="108"/>
    <d v="2024-04-17T00:00:00"/>
    <n v="1061"/>
    <s v="Customer_154"/>
    <s v="Corporate"/>
    <x v="1"/>
    <s v="Furniture"/>
    <s v="Product_A"/>
    <n v="608"/>
    <n v="4"/>
    <n v="0.26"/>
    <n v="1152"/>
    <s v="UPI"/>
    <n v="1799.68"/>
    <s v="Apr"/>
    <n v="2024"/>
    <s v="Q2"/>
    <n v="0.64011379800853485"/>
    <n v="632.32000000000005"/>
    <s v="Low"/>
    <s v="Repeat"/>
    <s v="Below Avg"/>
    <s v="Profit"/>
    <n v="441"/>
  </r>
  <r>
    <n v="109"/>
    <d v="2024-04-18T00:00:00"/>
    <n v="1074"/>
    <s v="Customer_33"/>
    <s v="Consumer"/>
    <x v="2"/>
    <s v="Clothing"/>
    <s v="Product_A"/>
    <n v="239"/>
    <n v="2"/>
    <n v="0.02"/>
    <n v="1292"/>
    <s v="COD"/>
    <n v="468.44"/>
    <s v="Apr"/>
    <n v="2024"/>
    <s v="Q2"/>
    <n v="2.7580906839723336"/>
    <n v="9.56"/>
    <s v="Low"/>
    <s v="Repeat"/>
    <s v="Below Avg"/>
    <s v="Profit"/>
    <n v="492"/>
  </r>
  <r>
    <n v="110"/>
    <d v="2024-04-19T00:00:00"/>
    <n v="1099"/>
    <s v="Customer_188"/>
    <s v="Corporate"/>
    <x v="3"/>
    <s v="Furniture"/>
    <s v="Product_B"/>
    <n v="3354"/>
    <n v="5"/>
    <n v="0.08"/>
    <n v="556"/>
    <s v="Card"/>
    <n v="15428.4"/>
    <s v="Apr"/>
    <n v="2024"/>
    <s v="Q2"/>
    <n v="3.603743745300874E-2"/>
    <n v="1341.6000000000001"/>
    <s v="High"/>
    <s v="Repeat"/>
    <s v="Above Avg"/>
    <s v="Profit"/>
    <n v="136"/>
  </r>
  <r>
    <n v="111"/>
    <d v="2024-04-20T00:00:00"/>
    <n v="1099"/>
    <s v="Customer_137"/>
    <s v="Corporate"/>
    <x v="1"/>
    <s v="Furniture"/>
    <s v="Product_A"/>
    <n v="3754"/>
    <n v="2"/>
    <n v="0.28000000000000003"/>
    <n v="853"/>
    <s v="Card"/>
    <n v="5405.76"/>
    <s v="Apr"/>
    <n v="2024"/>
    <s v="Q2"/>
    <n v="0.15779464867104717"/>
    <n v="2102.2400000000002"/>
    <s v="High"/>
    <s v="Repeat"/>
    <s v="Below Avg"/>
    <s v="Profit"/>
    <n v="312"/>
  </r>
  <r>
    <n v="112"/>
    <d v="2024-04-21T00:00:00"/>
    <n v="1065"/>
    <s v="Customer_81"/>
    <s v="Consumer"/>
    <x v="3"/>
    <s v="Clothing"/>
    <s v="Product_A"/>
    <n v="1685"/>
    <n v="9"/>
    <n v="0.18"/>
    <n v="1489"/>
    <s v="COD"/>
    <n v="12435.3"/>
    <s v="Apr"/>
    <n v="2024"/>
    <s v="Q2"/>
    <n v="0.11973977306538645"/>
    <n v="2729.7"/>
    <s v="High"/>
    <s v="Repeat"/>
    <s v="Above Avg"/>
    <s v="Profit"/>
    <n v="163"/>
  </r>
  <r>
    <n v="113"/>
    <d v="2024-04-22T00:00:00"/>
    <n v="1047"/>
    <s v="Customer_70"/>
    <s v="Corporate"/>
    <x v="1"/>
    <s v="Furniture"/>
    <s v="Product_B"/>
    <n v="4837"/>
    <n v="1"/>
    <n v="0.04"/>
    <n v="216"/>
    <s v="Card"/>
    <n v="4643.5199999999904"/>
    <s v="Apr"/>
    <n v="2024"/>
    <s v="Q2"/>
    <n v="4.6516435807318679E-2"/>
    <n v="193.48000000000002"/>
    <s v="Medium"/>
    <s v="Repeat"/>
    <s v="Below Avg"/>
    <s v="Profit"/>
    <n v="334"/>
  </r>
  <r>
    <n v="114"/>
    <d v="2024-04-23T00:00:00"/>
    <n v="1016"/>
    <s v="Customer_174"/>
    <s v="Corporate"/>
    <x v="0"/>
    <s v="Electronics"/>
    <s v="Product_D"/>
    <n v="327"/>
    <n v="6"/>
    <n v="0.02"/>
    <n v="-476"/>
    <s v="UPI"/>
    <n v="1922.76"/>
    <s v="Apr"/>
    <n v="2024"/>
    <s v="Q2"/>
    <n v="-0.24756079801951361"/>
    <n v="39.24"/>
    <s v="Low"/>
    <s v="Repeat"/>
    <s v="Below Avg"/>
    <s v="Loss"/>
    <n v="435"/>
  </r>
  <r>
    <n v="115"/>
    <d v="2024-04-24T00:00:00"/>
    <n v="1005"/>
    <s v="Customer_7"/>
    <s v="Corporate"/>
    <x v="1"/>
    <s v="Clothing"/>
    <s v="Product_C"/>
    <n v="2697"/>
    <n v="9"/>
    <n v="0.03"/>
    <n v="196"/>
    <s v="Card"/>
    <n v="23544.809999999899"/>
    <s v="Apr"/>
    <n v="2024"/>
    <s v="Q2"/>
    <n v="8.324552204923329E-3"/>
    <n v="728.18999999999994"/>
    <s v="High"/>
    <s v="Repeat"/>
    <s v="Above Avg"/>
    <s v="Profit"/>
    <n v="56"/>
  </r>
  <r>
    <n v="116"/>
    <d v="2024-04-25T00:00:00"/>
    <n v="1086"/>
    <s v="Customer_128"/>
    <s v="Consumer"/>
    <x v="2"/>
    <s v="Clothing"/>
    <s v="Product_A"/>
    <n v="2905"/>
    <n v="3"/>
    <n v="0.23"/>
    <n v="1412"/>
    <s v="Card"/>
    <n v="6710.55"/>
    <s v="Apr"/>
    <n v="2024"/>
    <s v="Q2"/>
    <n v="0.21041494363353228"/>
    <n v="2004.45"/>
    <s v="High"/>
    <s v="Repeat"/>
    <s v="Below Avg"/>
    <s v="Profit"/>
    <n v="283"/>
  </r>
  <r>
    <n v="117"/>
    <d v="2024-04-26T00:00:00"/>
    <n v="1046"/>
    <s v="Customer_7"/>
    <s v="Corporate"/>
    <x v="1"/>
    <s v="Furniture"/>
    <s v="Product_A"/>
    <n v="4460"/>
    <n v="9"/>
    <n v="7.0000000000000007E-2"/>
    <n v="683"/>
    <s v="UPI"/>
    <n v="37330.199999999997"/>
    <s v="Apr"/>
    <n v="2024"/>
    <s v="Q2"/>
    <n v="1.8296178429261029E-2"/>
    <n v="2809.8"/>
    <s v="High"/>
    <s v="Repeat"/>
    <s v="Above Avg"/>
    <s v="Profit"/>
    <n v="6"/>
  </r>
  <r>
    <n v="118"/>
    <d v="2024-04-27T00:00:00"/>
    <n v="1015"/>
    <s v="Customer_121"/>
    <s v="Consumer"/>
    <x v="1"/>
    <s v="Clothing"/>
    <s v="Product_B"/>
    <n v="3646"/>
    <n v="2"/>
    <n v="7.0000000000000007E-2"/>
    <n v="1559"/>
    <s v="COD"/>
    <n v="6781.5599999999904"/>
    <s v="Apr"/>
    <n v="2024"/>
    <s v="Q2"/>
    <n v="0.22988810834085405"/>
    <n v="510.44000000000005"/>
    <s v="High"/>
    <s v="Repeat"/>
    <s v="Below Avg"/>
    <s v="Profit"/>
    <n v="278"/>
  </r>
  <r>
    <n v="119"/>
    <d v="2024-04-28T00:00:00"/>
    <n v="1059"/>
    <s v="Customer_197"/>
    <s v="Corporate"/>
    <x v="2"/>
    <s v="Furniture"/>
    <s v="Product_D"/>
    <n v="3772"/>
    <n v="2"/>
    <n v="0.04"/>
    <n v="189"/>
    <s v="Card"/>
    <n v="7242.24"/>
    <s v="Apr"/>
    <n v="2024"/>
    <s v="Q2"/>
    <n v="2.6096898197242844E-2"/>
    <n v="301.76"/>
    <s v="High"/>
    <s v="Repeat"/>
    <s v="Below Avg"/>
    <s v="Profit"/>
    <n v="270"/>
  </r>
  <r>
    <n v="120"/>
    <d v="2024-04-29T00:00:00"/>
    <n v="1040"/>
    <s v="Customer_161"/>
    <s v="Corporate"/>
    <x v="1"/>
    <s v="Clothing"/>
    <s v="Product_B"/>
    <n v="4990"/>
    <n v="2"/>
    <n v="0.18"/>
    <n v="829"/>
    <s v="UPI"/>
    <n v="8183.6"/>
    <s v="Apr"/>
    <n v="2024"/>
    <s v="Q2"/>
    <n v="0.10130016129820617"/>
    <n v="1796.3999999999999"/>
    <s v="High"/>
    <s v="Repeat"/>
    <s v="Below Avg"/>
    <s v="Profit"/>
    <n v="245"/>
  </r>
  <r>
    <n v="121"/>
    <d v="2024-04-30T00:00:00"/>
    <n v="1025"/>
    <s v="Customer_114"/>
    <s v="Corporate"/>
    <x v="0"/>
    <s v="Clothing"/>
    <s v="Product_D"/>
    <n v="4660"/>
    <n v="3"/>
    <n v="0.15"/>
    <n v="697"/>
    <s v="UPI"/>
    <n v="11883"/>
    <s v="Apr"/>
    <n v="2024"/>
    <s v="Q2"/>
    <n v="5.8655221745350504E-2"/>
    <n v="2097"/>
    <s v="High"/>
    <s v="Repeat"/>
    <s v="Above Avg"/>
    <s v="Profit"/>
    <n v="170"/>
  </r>
  <r>
    <n v="122"/>
    <d v="2024-05-01T00:00:00"/>
    <n v="1045"/>
    <s v="Customer_138"/>
    <s v="Corporate"/>
    <x v="1"/>
    <s v="Furniture"/>
    <s v="Product_B"/>
    <n v="2622"/>
    <n v="4"/>
    <n v="0.08"/>
    <n v="-69"/>
    <s v="COD"/>
    <n v="9648.9599999999991"/>
    <s v="May"/>
    <n v="2024"/>
    <s v="Q2"/>
    <n v="-7.1510297482837533E-3"/>
    <n v="839.04"/>
    <s v="High"/>
    <s v="Repeat"/>
    <s v="Below Avg"/>
    <s v="Loss"/>
    <n v="210"/>
  </r>
  <r>
    <n v="123"/>
    <d v="2024-05-02T00:00:00"/>
    <n v="1049"/>
    <s v="Customer_104"/>
    <s v="Consumer"/>
    <x v="2"/>
    <s v="Furniture"/>
    <s v="Product_B"/>
    <n v="438"/>
    <n v="3"/>
    <n v="0.2"/>
    <n v="1254"/>
    <s v="UPI"/>
    <n v="1051.2"/>
    <s v="May"/>
    <n v="2024"/>
    <s v="Q2"/>
    <n v="1.1929223744292237"/>
    <n v="262.8"/>
    <s v="Low"/>
    <s v="Repeat"/>
    <s v="Below Avg"/>
    <s v="Profit"/>
    <n v="478"/>
  </r>
  <r>
    <n v="124"/>
    <d v="2024-05-03T00:00:00"/>
    <n v="1000"/>
    <s v="Customer_28"/>
    <s v="Consumer"/>
    <x v="1"/>
    <s v="Clothing"/>
    <s v="Product_D"/>
    <n v="918"/>
    <n v="6"/>
    <n v="0.23"/>
    <n v="-299"/>
    <s v="UPI"/>
    <n v="4241.16"/>
    <s v="May"/>
    <n v="2024"/>
    <s v="Q2"/>
    <n v="-7.0499580303501869E-2"/>
    <n v="1266.8400000000001"/>
    <s v="Medium"/>
    <s v="Repeat"/>
    <s v="Below Avg"/>
    <s v="Loss"/>
    <n v="344"/>
  </r>
  <r>
    <n v="125"/>
    <d v="2024-05-04T00:00:00"/>
    <n v="1035"/>
    <s v="Customer_175"/>
    <s v="Corporate"/>
    <x v="2"/>
    <s v="Furniture"/>
    <s v="Product_D"/>
    <n v="2666"/>
    <n v="6"/>
    <n v="0.28999999999999998"/>
    <n v="1830"/>
    <s v="Card"/>
    <n v="11357.16"/>
    <s v="May"/>
    <n v="2024"/>
    <s v="Q2"/>
    <n v="0.16113183225383812"/>
    <n v="4638.8399999999992"/>
    <s v="High"/>
    <s v="Repeat"/>
    <s v="Above Avg"/>
    <s v="Profit"/>
    <n v="184"/>
  </r>
  <r>
    <n v="126"/>
    <d v="2024-05-05T00:00:00"/>
    <n v="1029"/>
    <s v="Customer_46"/>
    <s v="Consumer"/>
    <x v="3"/>
    <s v="Electronics"/>
    <s v="Product_C"/>
    <n v="3817"/>
    <n v="5"/>
    <n v="0.14000000000000001"/>
    <n v="381"/>
    <s v="COD"/>
    <n v="16413.099999999999"/>
    <s v="May"/>
    <n v="2024"/>
    <s v="Q2"/>
    <n v="2.3213165093736103E-2"/>
    <n v="2671.9"/>
    <s v="High"/>
    <s v="Repeat"/>
    <s v="Above Avg"/>
    <s v="Profit"/>
    <n v="117"/>
  </r>
  <r>
    <n v="127"/>
    <d v="2024-05-06T00:00:00"/>
    <n v="1001"/>
    <s v="Customer_22"/>
    <s v="Consumer"/>
    <x v="2"/>
    <s v="Furniture"/>
    <s v="Product_B"/>
    <n v="3162"/>
    <n v="2"/>
    <n v="0.12"/>
    <n v="1730"/>
    <s v="UPI"/>
    <n v="5565.12"/>
    <s v="May"/>
    <n v="2024"/>
    <s v="Q2"/>
    <n v="0.31086481513426484"/>
    <n v="758.88"/>
    <s v="High"/>
    <s v="Repeat"/>
    <s v="Below Avg"/>
    <s v="Profit"/>
    <n v="306"/>
  </r>
  <r>
    <n v="128"/>
    <d v="2024-05-07T00:00:00"/>
    <n v="1083"/>
    <s v="Customer_21"/>
    <s v="Corporate"/>
    <x v="2"/>
    <s v="Furniture"/>
    <s v="Product_A"/>
    <n v="1353"/>
    <n v="4"/>
    <n v="0.09"/>
    <n v="558"/>
    <s v="Card"/>
    <n v="4924.92"/>
    <s v="May"/>
    <n v="2024"/>
    <s v="Q2"/>
    <n v="0.11330133281352793"/>
    <n v="487.08"/>
    <s v="Medium"/>
    <s v="Repeat"/>
    <s v="Below Avg"/>
    <s v="Profit"/>
    <n v="325"/>
  </r>
  <r>
    <n v="129"/>
    <d v="2024-05-08T00:00:00"/>
    <n v="1068"/>
    <s v="Customer_111"/>
    <s v="Consumer"/>
    <x v="0"/>
    <s v="Electronics"/>
    <s v="Product_A"/>
    <n v="3250"/>
    <n v="7"/>
    <n v="0.24"/>
    <n v="170"/>
    <s v="COD"/>
    <n v="17290"/>
    <s v="May"/>
    <n v="2024"/>
    <s v="Q2"/>
    <n v="9.8322729901677269E-3"/>
    <n v="5460"/>
    <s v="High"/>
    <s v="Repeat"/>
    <s v="Above Avg"/>
    <s v="Profit"/>
    <n v="103"/>
  </r>
  <r>
    <n v="130"/>
    <d v="2024-05-09T00:00:00"/>
    <n v="1030"/>
    <s v="Customer_184"/>
    <s v="Corporate"/>
    <x v="1"/>
    <s v="Furniture"/>
    <s v="Product_D"/>
    <n v="2350"/>
    <n v="8"/>
    <n v="0.28999999999999998"/>
    <n v="188"/>
    <s v="Card"/>
    <n v="13348"/>
    <s v="May"/>
    <n v="2024"/>
    <s v="Q2"/>
    <n v="1.4084507042253521E-2"/>
    <n v="5452"/>
    <s v="High"/>
    <s v="Repeat"/>
    <s v="Above Avg"/>
    <s v="Profit"/>
    <n v="155"/>
  </r>
  <r>
    <n v="131"/>
    <d v="2024-05-10T00:00:00"/>
    <n v="1007"/>
    <s v="Customer_32"/>
    <s v="Consumer"/>
    <x v="0"/>
    <s v="Electronics"/>
    <s v="Product_C"/>
    <n v="4420"/>
    <n v="9"/>
    <n v="0.18"/>
    <n v="-333"/>
    <s v="UPI"/>
    <n v="32619.599999999999"/>
    <s v="May"/>
    <n v="2024"/>
    <s v="Q2"/>
    <n v="-1.0208586248758415E-2"/>
    <n v="7160.4"/>
    <s v="High"/>
    <s v="Repeat"/>
    <s v="Above Avg"/>
    <s v="Loss"/>
    <n v="18"/>
  </r>
  <r>
    <n v="132"/>
    <d v="2024-05-11T00:00:00"/>
    <n v="1093"/>
    <s v="Customer_160"/>
    <s v="Consumer"/>
    <x v="3"/>
    <s v="Furniture"/>
    <s v="Product_B"/>
    <n v="3715"/>
    <n v="2"/>
    <n v="0.19"/>
    <n v="931"/>
    <s v="COD"/>
    <n v="6018.3"/>
    <s v="May"/>
    <n v="2024"/>
    <s v="Q2"/>
    <n v="0.15469484738215111"/>
    <n v="1411.7"/>
    <s v="High"/>
    <s v="Repeat"/>
    <s v="Below Avg"/>
    <s v="Profit"/>
    <n v="296"/>
  </r>
  <r>
    <n v="133"/>
    <d v="2024-05-12T00:00:00"/>
    <n v="1060"/>
    <s v="Customer_115"/>
    <s v="Corporate"/>
    <x v="1"/>
    <s v="Clothing"/>
    <s v="Product_C"/>
    <n v="1879"/>
    <n v="9"/>
    <n v="0.21"/>
    <n v="738"/>
    <s v="UPI"/>
    <n v="13359.69"/>
    <s v="May"/>
    <n v="2024"/>
    <s v="Q2"/>
    <n v="5.5240802743177421E-2"/>
    <n v="3551.31"/>
    <s v="High"/>
    <s v="Repeat"/>
    <s v="Above Avg"/>
    <s v="Profit"/>
    <n v="154"/>
  </r>
  <r>
    <n v="134"/>
    <d v="2024-05-13T00:00:00"/>
    <n v="1065"/>
    <s v="Customer_164"/>
    <s v="Consumer"/>
    <x v="0"/>
    <s v="Electronics"/>
    <s v="Product_D"/>
    <n v="1391"/>
    <n v="7"/>
    <n v="0.13"/>
    <n v="1496"/>
    <s v="COD"/>
    <n v="8471.19"/>
    <s v="May"/>
    <n v="2024"/>
    <s v="Q2"/>
    <n v="0.17659856525470446"/>
    <n v="1265.81"/>
    <s v="High"/>
    <s v="Repeat"/>
    <s v="Below Avg"/>
    <s v="Profit"/>
    <n v="239"/>
  </r>
  <r>
    <n v="135"/>
    <d v="2024-05-14T00:00:00"/>
    <n v="1076"/>
    <s v="Customer_159"/>
    <s v="Consumer"/>
    <x v="1"/>
    <s v="Furniture"/>
    <s v="Product_D"/>
    <n v="778"/>
    <n v="7"/>
    <n v="7.0000000000000007E-2"/>
    <n v="1345"/>
    <s v="UPI"/>
    <n v="5064.78"/>
    <s v="May"/>
    <n v="2024"/>
    <s v="Q2"/>
    <n v="0.26555941225482649"/>
    <n v="381.22"/>
    <s v="High"/>
    <s v="Repeat"/>
    <s v="Below Avg"/>
    <s v="Profit"/>
    <n v="321"/>
  </r>
  <r>
    <n v="136"/>
    <d v="2024-05-15T00:00:00"/>
    <n v="1067"/>
    <s v="Customer_70"/>
    <s v="Consumer"/>
    <x v="1"/>
    <s v="Electronics"/>
    <s v="Product_D"/>
    <n v="2652"/>
    <n v="1"/>
    <n v="0.08"/>
    <n v="-241"/>
    <s v="Card"/>
    <n v="2439.84"/>
    <s v="May"/>
    <n v="2024"/>
    <s v="Q2"/>
    <n v="-9.8776968981572552E-2"/>
    <n v="212.16"/>
    <s v="Medium"/>
    <s v="Repeat"/>
    <s v="Below Avg"/>
    <s v="Loss"/>
    <n v="412"/>
  </r>
  <r>
    <n v="137"/>
    <d v="2024-05-16T00:00:00"/>
    <n v="1044"/>
    <s v="Customer_54"/>
    <s v="Corporate"/>
    <x v="1"/>
    <s v="Clothing"/>
    <s v="Product_C"/>
    <n v="3324"/>
    <n v="8"/>
    <n v="0.19"/>
    <n v="1450"/>
    <s v="UPI"/>
    <n v="21539.52"/>
    <s v="May"/>
    <n v="2024"/>
    <s v="Q2"/>
    <n v="6.731812036665627E-2"/>
    <n v="5052.4800000000005"/>
    <s v="High"/>
    <s v="Repeat"/>
    <s v="Above Avg"/>
    <s v="Profit"/>
    <n v="71"/>
  </r>
  <r>
    <n v="138"/>
    <d v="2024-05-17T00:00:00"/>
    <n v="1051"/>
    <s v="Customer_21"/>
    <s v="Corporate"/>
    <x v="0"/>
    <s v="Electronics"/>
    <s v="Product_A"/>
    <n v="314"/>
    <n v="3"/>
    <n v="0.19"/>
    <n v="1084"/>
    <s v="COD"/>
    <n v="763.02"/>
    <s v="May"/>
    <n v="2024"/>
    <s v="Q2"/>
    <n v="1.4206704935650443"/>
    <n v="178.98"/>
    <s v="Low"/>
    <s v="Repeat"/>
    <s v="Below Avg"/>
    <s v="Profit"/>
    <n v="482"/>
  </r>
  <r>
    <n v="139"/>
    <d v="2024-05-18T00:00:00"/>
    <n v="1007"/>
    <s v="Customer_35"/>
    <s v="Consumer"/>
    <x v="1"/>
    <s v="Clothing"/>
    <s v="Product_A"/>
    <n v="1085"/>
    <n v="4"/>
    <n v="0.14000000000000001"/>
    <n v="1745"/>
    <s v="Card"/>
    <n v="3732.4"/>
    <s v="May"/>
    <n v="2024"/>
    <s v="Q2"/>
    <n v="0.46752759618476047"/>
    <n v="607.6"/>
    <s v="Medium"/>
    <s v="Repeat"/>
    <s v="Below Avg"/>
    <s v="Profit"/>
    <n v="366"/>
  </r>
  <r>
    <n v="140"/>
    <d v="2024-05-19T00:00:00"/>
    <n v="1088"/>
    <s v="Customer_23"/>
    <s v="Corporate"/>
    <x v="3"/>
    <s v="Furniture"/>
    <s v="Product_A"/>
    <n v="3383"/>
    <n v="4"/>
    <n v="0.01"/>
    <n v="1826"/>
    <s v="COD"/>
    <n v="13396.68"/>
    <s v="May"/>
    <n v="2024"/>
    <s v="Q2"/>
    <n v="0.13630242716852234"/>
    <n v="135.32"/>
    <s v="High"/>
    <s v="Repeat"/>
    <s v="Above Avg"/>
    <s v="Profit"/>
    <n v="153"/>
  </r>
  <r>
    <n v="141"/>
    <d v="2024-05-20T00:00:00"/>
    <n v="1070"/>
    <s v="Customer_170"/>
    <s v="Consumer"/>
    <x v="0"/>
    <s v="Clothing"/>
    <s v="Product_C"/>
    <n v="4806"/>
    <n v="2"/>
    <n v="0.26"/>
    <n v="126"/>
    <s v="UPI"/>
    <n v="7112.88"/>
    <s v="May"/>
    <n v="2024"/>
    <s v="Q2"/>
    <n v="1.7714343557040185E-2"/>
    <n v="2499.12"/>
    <s v="High"/>
    <s v="Repeat"/>
    <s v="Below Avg"/>
    <s v="Profit"/>
    <n v="273"/>
  </r>
  <r>
    <n v="142"/>
    <d v="2024-05-21T00:00:00"/>
    <n v="1013"/>
    <s v="Customer_24"/>
    <s v="Corporate"/>
    <x v="2"/>
    <s v="Electronics"/>
    <s v="Product_B"/>
    <n v="2445"/>
    <n v="3"/>
    <n v="7.0000000000000007E-2"/>
    <n v="834"/>
    <s v="COD"/>
    <n v="6821.5499999999902"/>
    <s v="May"/>
    <n v="2024"/>
    <s v="Q2"/>
    <n v="0.12225960375574484"/>
    <n v="513.45000000000005"/>
    <s v="High"/>
    <s v="Repeat"/>
    <s v="Below Avg"/>
    <s v="Profit"/>
    <n v="277"/>
  </r>
  <r>
    <n v="143"/>
    <d v="2024-05-22T00:00:00"/>
    <n v="1028"/>
    <s v="Customer_94"/>
    <s v="Consumer"/>
    <x v="3"/>
    <s v="Furniture"/>
    <s v="Product_C"/>
    <n v="4838"/>
    <n v="5"/>
    <n v="0.17"/>
    <n v="-431"/>
    <s v="UPI"/>
    <n v="20077.7"/>
    <s v="May"/>
    <n v="2024"/>
    <s v="Q2"/>
    <n v="-2.1466602250257746E-2"/>
    <n v="4112.3"/>
    <s v="High"/>
    <s v="Repeat"/>
    <s v="Above Avg"/>
    <s v="Loss"/>
    <n v="79"/>
  </r>
  <r>
    <n v="144"/>
    <d v="2024-05-23T00:00:00"/>
    <n v="1063"/>
    <s v="Customer_74"/>
    <s v="Consumer"/>
    <x v="2"/>
    <s v="Furniture"/>
    <s v="Product_A"/>
    <n v="3533"/>
    <n v="3"/>
    <n v="0.22"/>
    <n v="1071"/>
    <s v="UPI"/>
    <n v="8267.2199999999993"/>
    <s v="May"/>
    <n v="2024"/>
    <s v="Q2"/>
    <n v="0.1295477802695465"/>
    <n v="2331.7800000000002"/>
    <s v="High"/>
    <s v="Repeat"/>
    <s v="Below Avg"/>
    <s v="Profit"/>
    <n v="242"/>
  </r>
  <r>
    <n v="145"/>
    <d v="2024-05-24T00:00:00"/>
    <n v="1084"/>
    <s v="Customer_69"/>
    <s v="Corporate"/>
    <x v="2"/>
    <s v="Furniture"/>
    <s v="Product_D"/>
    <n v="3727"/>
    <n v="5"/>
    <n v="0.06"/>
    <n v="1304"/>
    <s v="COD"/>
    <n v="17516.8999999999"/>
    <s v="May"/>
    <n v="2024"/>
    <s v="Q2"/>
    <n v="7.4442395629364069E-2"/>
    <n v="1118.0999999999999"/>
    <s v="High"/>
    <s v="Repeat"/>
    <s v="Above Avg"/>
    <s v="Profit"/>
    <n v="97"/>
  </r>
  <r>
    <n v="146"/>
    <d v="2024-05-25T00:00:00"/>
    <n v="1036"/>
    <s v="Customer_127"/>
    <s v="Consumer"/>
    <x v="3"/>
    <s v="Clothing"/>
    <s v="Product_D"/>
    <n v="3173"/>
    <n v="8"/>
    <n v="0.14000000000000001"/>
    <n v="1176"/>
    <s v="Card"/>
    <n v="21830.2399999999"/>
    <s v="May"/>
    <n v="2024"/>
    <s v="Q2"/>
    <n v="5.3870227720813214E-2"/>
    <n v="3553.76"/>
    <s v="High"/>
    <s v="Repeat"/>
    <s v="Above Avg"/>
    <s v="Profit"/>
    <n v="69"/>
  </r>
  <r>
    <n v="147"/>
    <d v="2024-05-26T00:00:00"/>
    <n v="1096"/>
    <s v="Customer_125"/>
    <s v="Consumer"/>
    <x v="1"/>
    <s v="Furniture"/>
    <s v="Product_A"/>
    <n v="4473"/>
    <n v="8"/>
    <n v="0"/>
    <n v="126"/>
    <s v="Card"/>
    <n v="35784"/>
    <s v="May"/>
    <n v="2024"/>
    <s v="Q2"/>
    <n v="3.5211267605633804E-3"/>
    <n v="0"/>
    <s v="High"/>
    <s v="Repeat"/>
    <s v="Above Avg"/>
    <s v="Profit"/>
    <n v="8"/>
  </r>
  <r>
    <n v="148"/>
    <d v="2024-05-27T00:00:00"/>
    <n v="1040"/>
    <s v="Customer_170"/>
    <s v="Consumer"/>
    <x v="3"/>
    <s v="Clothing"/>
    <s v="Product_B"/>
    <n v="3339"/>
    <n v="3"/>
    <n v="0.01"/>
    <n v="-386"/>
    <s v="Card"/>
    <n v="9916.83"/>
    <s v="May"/>
    <n v="2024"/>
    <s v="Q2"/>
    <n v="-3.8923728651191966E-2"/>
    <n v="100.17"/>
    <s v="High"/>
    <s v="Repeat"/>
    <s v="Below Avg"/>
    <s v="Loss"/>
    <n v="202"/>
  </r>
  <r>
    <n v="149"/>
    <d v="2024-05-28T00:00:00"/>
    <n v="1088"/>
    <s v="Customer_158"/>
    <s v="Corporate"/>
    <x v="0"/>
    <s v="Clothing"/>
    <s v="Product_D"/>
    <n v="1472"/>
    <n v="5"/>
    <n v="0.08"/>
    <n v="788"/>
    <s v="UPI"/>
    <n v="6771.2"/>
    <s v="May"/>
    <n v="2024"/>
    <s v="Q2"/>
    <n v="0.11637523629489603"/>
    <n v="588.80000000000007"/>
    <s v="High"/>
    <s v="Repeat"/>
    <s v="Below Avg"/>
    <s v="Profit"/>
    <n v="279"/>
  </r>
  <r>
    <n v="150"/>
    <d v="2024-05-29T00:00:00"/>
    <n v="1063"/>
    <s v="Customer_199"/>
    <s v="Corporate"/>
    <x v="1"/>
    <s v="Clothing"/>
    <s v="Product_B"/>
    <n v="2138"/>
    <n v="1"/>
    <n v="0.2"/>
    <n v="725"/>
    <s v="Card"/>
    <n v="1710.4"/>
    <s v="May"/>
    <n v="2024"/>
    <s v="Q2"/>
    <n v="0.42387745556594947"/>
    <n v="427.6"/>
    <s v="Low"/>
    <s v="Repeat"/>
    <s v="Below Avg"/>
    <s v="Profit"/>
    <n v="446"/>
  </r>
  <r>
    <n v="151"/>
    <d v="2024-05-30T00:00:00"/>
    <n v="1058"/>
    <s v="Customer_134"/>
    <s v="Consumer"/>
    <x v="1"/>
    <s v="Furniture"/>
    <s v="Product_D"/>
    <n v="4818"/>
    <n v="7"/>
    <n v="0.27"/>
    <n v="841"/>
    <s v="Card"/>
    <n v="24619.98"/>
    <s v="May"/>
    <n v="2024"/>
    <s v="Q2"/>
    <n v="3.4159247895408529E-2"/>
    <n v="9106.02"/>
    <s v="High"/>
    <s v="Repeat"/>
    <s v="Above Avg"/>
    <s v="Profit"/>
    <n v="44"/>
  </r>
  <r>
    <n v="152"/>
    <d v="2024-05-31T00:00:00"/>
    <n v="1077"/>
    <s v="Customer_52"/>
    <s v="Consumer"/>
    <x v="2"/>
    <s v="Electronics"/>
    <s v="Product_A"/>
    <n v="3953"/>
    <n v="3"/>
    <n v="0.13"/>
    <n v="1405"/>
    <s v="COD"/>
    <n v="10317.33"/>
    <s v="May"/>
    <n v="2024"/>
    <s v="Q2"/>
    <n v="0.13617864311793845"/>
    <n v="1541.67"/>
    <s v="High"/>
    <s v="Repeat"/>
    <s v="Below Avg"/>
    <s v="Profit"/>
    <n v="197"/>
  </r>
  <r>
    <n v="153"/>
    <d v="2024-06-01T00:00:00"/>
    <n v="1008"/>
    <s v="Customer_82"/>
    <s v="Corporate"/>
    <x v="3"/>
    <s v="Furniture"/>
    <s v="Product_C"/>
    <n v="3443"/>
    <n v="7"/>
    <n v="0.01"/>
    <n v="1505"/>
    <s v="Card"/>
    <n v="23859.99"/>
    <s v="Jun"/>
    <n v="2024"/>
    <s v="Q2"/>
    <n v="6.3076304726028806E-2"/>
    <n v="241.01"/>
    <s v="High"/>
    <s v="Repeat"/>
    <s v="Above Avg"/>
    <s v="Profit"/>
    <n v="52"/>
  </r>
  <r>
    <n v="154"/>
    <d v="2024-06-02T00:00:00"/>
    <n v="1078"/>
    <s v="Customer_154"/>
    <s v="Consumer"/>
    <x v="1"/>
    <s v="Furniture"/>
    <s v="Product_C"/>
    <n v="4783"/>
    <n v="8"/>
    <n v="0.09"/>
    <n v="605"/>
    <s v="COD"/>
    <n v="34820.239999999998"/>
    <s v="Jun"/>
    <n v="2024"/>
    <s v="Q2"/>
    <n v="1.7374952039388585E-2"/>
    <n v="3443.7599999999998"/>
    <s v="High"/>
    <s v="Repeat"/>
    <s v="Above Avg"/>
    <s v="Profit"/>
    <n v="12"/>
  </r>
  <r>
    <n v="155"/>
    <d v="2024-06-03T00:00:00"/>
    <n v="1006"/>
    <s v="Customer_100"/>
    <s v="Consumer"/>
    <x v="0"/>
    <s v="Furniture"/>
    <s v="Product_B"/>
    <n v="4252"/>
    <n v="7"/>
    <n v="0.28999999999999998"/>
    <n v="-483"/>
    <s v="Card"/>
    <n v="21132.44"/>
    <s v="Jun"/>
    <n v="2024"/>
    <s v="Q2"/>
    <n v="-2.2855855736488549E-2"/>
    <n v="8631.56"/>
    <s v="High"/>
    <s v="Repeat"/>
    <s v="Above Avg"/>
    <s v="Loss"/>
    <n v="74"/>
  </r>
  <r>
    <n v="156"/>
    <d v="2024-06-04T00:00:00"/>
    <n v="1065"/>
    <s v="Customer_41"/>
    <s v="Corporate"/>
    <x v="0"/>
    <s v="Furniture"/>
    <s v="Product_A"/>
    <n v="1868"/>
    <n v="5"/>
    <n v="0.03"/>
    <n v="200"/>
    <s v="Card"/>
    <n v="9059.7999999999993"/>
    <s v="Jun"/>
    <n v="2024"/>
    <s v="Q2"/>
    <n v="2.2075542506457099E-2"/>
    <n v="280.2"/>
    <s v="High"/>
    <s v="Repeat"/>
    <s v="Below Avg"/>
    <s v="Profit"/>
    <n v="230"/>
  </r>
  <r>
    <n v="157"/>
    <d v="2024-06-05T00:00:00"/>
    <n v="1094"/>
    <s v="Customer_196"/>
    <s v="Consumer"/>
    <x v="1"/>
    <s v="Clothing"/>
    <s v="Product_D"/>
    <n v="138"/>
    <n v="9"/>
    <n v="0.23"/>
    <n v="486"/>
    <s v="COD"/>
    <n v="956.34"/>
    <s v="Jun"/>
    <n v="2024"/>
    <s v="Q2"/>
    <n v="0.50818746470920384"/>
    <n v="285.66000000000003"/>
    <s v="Low"/>
    <s v="Repeat"/>
    <s v="Below Avg"/>
    <s v="Profit"/>
    <n v="481"/>
  </r>
  <r>
    <n v="158"/>
    <d v="2024-06-06T00:00:00"/>
    <n v="1070"/>
    <s v="Customer_182"/>
    <s v="Consumer"/>
    <x v="0"/>
    <s v="Electronics"/>
    <s v="Product_B"/>
    <n v="3662"/>
    <n v="1"/>
    <n v="0.22"/>
    <n v="-184"/>
    <s v="Card"/>
    <n v="2856.36"/>
    <s v="Jun"/>
    <n v="2024"/>
    <s v="Q2"/>
    <n v="-6.4417650436219526E-2"/>
    <n v="805.64"/>
    <s v="Medium"/>
    <s v="Repeat"/>
    <s v="Below Avg"/>
    <s v="Loss"/>
    <n v="397"/>
  </r>
  <r>
    <n v="159"/>
    <d v="2024-06-07T00:00:00"/>
    <n v="1040"/>
    <s v="Customer_60"/>
    <s v="Corporate"/>
    <x v="3"/>
    <s v="Furniture"/>
    <s v="Product_A"/>
    <n v="1929"/>
    <n v="6"/>
    <n v="0.18"/>
    <n v="1743"/>
    <s v="COD"/>
    <n v="9490.68"/>
    <s v="Jun"/>
    <n v="2024"/>
    <s v="Q2"/>
    <n v="0.18365385831152245"/>
    <n v="2083.3199999999997"/>
    <s v="High"/>
    <s v="Repeat"/>
    <s v="Below Avg"/>
    <s v="Profit"/>
    <n v="217"/>
  </r>
  <r>
    <n v="160"/>
    <d v="2024-06-08T00:00:00"/>
    <n v="1074"/>
    <s v="Customer_77"/>
    <s v="Consumer"/>
    <x v="0"/>
    <s v="Furniture"/>
    <s v="Product_C"/>
    <n v="2271"/>
    <n v="6"/>
    <n v="0.28000000000000003"/>
    <n v="1840"/>
    <s v="COD"/>
    <n v="9810.7199999999993"/>
    <s v="Jun"/>
    <n v="2024"/>
    <s v="Q2"/>
    <n v="0.18754994536588548"/>
    <n v="3815.28"/>
    <s v="High"/>
    <s v="Repeat"/>
    <s v="Below Avg"/>
    <s v="Profit"/>
    <n v="207"/>
  </r>
  <r>
    <n v="161"/>
    <d v="2024-06-09T00:00:00"/>
    <n v="1076"/>
    <s v="Customer_183"/>
    <s v="Consumer"/>
    <x v="1"/>
    <s v="Clothing"/>
    <s v="Product_C"/>
    <n v="208"/>
    <n v="7"/>
    <n v="0.19"/>
    <n v="1079"/>
    <s v="Card"/>
    <n v="1179.3599999999999"/>
    <s v="Jun"/>
    <n v="2024"/>
    <s v="Q2"/>
    <n v="0.9149029982363317"/>
    <n v="276.64"/>
    <s v="Low"/>
    <s v="Repeat"/>
    <s v="Below Avg"/>
    <s v="Profit"/>
    <n v="469"/>
  </r>
  <r>
    <n v="162"/>
    <d v="2024-06-10T00:00:00"/>
    <n v="1076"/>
    <s v="Customer_152"/>
    <s v="Consumer"/>
    <x v="0"/>
    <s v="Clothing"/>
    <s v="Product_C"/>
    <n v="4940"/>
    <n v="7"/>
    <n v="0.28999999999999998"/>
    <n v="-154"/>
    <s v="Card"/>
    <n v="24551.8"/>
    <s v="Jun"/>
    <n v="2024"/>
    <s v="Q2"/>
    <n v="-6.272452528938815E-3"/>
    <n v="10028.199999999999"/>
    <s v="High"/>
    <s v="Repeat"/>
    <s v="Above Avg"/>
    <s v="Loss"/>
    <n v="45"/>
  </r>
  <r>
    <n v="163"/>
    <d v="2024-06-11T00:00:00"/>
    <n v="1025"/>
    <s v="Customer_119"/>
    <s v="Consumer"/>
    <x v="2"/>
    <s v="Clothing"/>
    <s v="Product_B"/>
    <n v="4228"/>
    <n v="2"/>
    <n v="0.25"/>
    <n v="115"/>
    <s v="Card"/>
    <n v="6342"/>
    <s v="Jun"/>
    <n v="2024"/>
    <s v="Q2"/>
    <n v="1.8133081046988332E-2"/>
    <n v="2114"/>
    <s v="High"/>
    <s v="Repeat"/>
    <s v="Below Avg"/>
    <s v="Profit"/>
    <n v="287"/>
  </r>
  <r>
    <n v="164"/>
    <d v="2024-06-12T00:00:00"/>
    <n v="1007"/>
    <s v="Customer_95"/>
    <s v="Consumer"/>
    <x v="0"/>
    <s v="Electronics"/>
    <s v="Product_C"/>
    <n v="4335"/>
    <n v="5"/>
    <n v="0.24"/>
    <n v="1958"/>
    <s v="UPI"/>
    <n v="16473"/>
    <s v="Jun"/>
    <n v="2024"/>
    <s v="Q2"/>
    <n v="0.11886116675772476"/>
    <n v="5202"/>
    <s v="High"/>
    <s v="Repeat"/>
    <s v="Above Avg"/>
    <s v="Profit"/>
    <n v="116"/>
  </r>
  <r>
    <n v="165"/>
    <d v="2024-06-13T00:00:00"/>
    <n v="1013"/>
    <s v="Customer_127"/>
    <s v="Consumer"/>
    <x v="2"/>
    <s v="Clothing"/>
    <s v="Product_B"/>
    <n v="4277"/>
    <n v="6"/>
    <n v="0.28999999999999998"/>
    <n v="-94"/>
    <s v="COD"/>
    <n v="18220.02"/>
    <s v="Jun"/>
    <n v="2024"/>
    <s v="Q2"/>
    <n v="-5.1591600887375532E-3"/>
    <n v="7441.98"/>
    <s v="High"/>
    <s v="Repeat"/>
    <s v="Above Avg"/>
    <s v="Loss"/>
    <n v="89"/>
  </r>
  <r>
    <n v="166"/>
    <d v="2024-06-14T00:00:00"/>
    <n v="1044"/>
    <s v="Customer_168"/>
    <s v="Corporate"/>
    <x v="3"/>
    <s v="Electronics"/>
    <s v="Product_D"/>
    <n v="3206"/>
    <n v="2"/>
    <n v="0.19"/>
    <n v="1742"/>
    <s v="COD"/>
    <n v="5193.72"/>
    <s v="Jun"/>
    <n v="2024"/>
    <s v="Q2"/>
    <n v="0.33540506611831211"/>
    <n v="1218.28"/>
    <s v="High"/>
    <s v="Repeat"/>
    <s v="Below Avg"/>
    <s v="Profit"/>
    <n v="319"/>
  </r>
  <r>
    <n v="167"/>
    <d v="2024-06-15T00:00:00"/>
    <n v="1001"/>
    <s v="Customer_192"/>
    <s v="Consumer"/>
    <x v="3"/>
    <s v="Furniture"/>
    <s v="Product_C"/>
    <n v="236"/>
    <n v="9"/>
    <n v="0.1"/>
    <n v="-188"/>
    <s v="COD"/>
    <n v="1911.6"/>
    <s v="Jun"/>
    <n v="2024"/>
    <s v="Q2"/>
    <n v="-9.8346934505126604E-2"/>
    <n v="212.4"/>
    <s v="Low"/>
    <s v="Repeat"/>
    <s v="Below Avg"/>
    <s v="Loss"/>
    <n v="436"/>
  </r>
  <r>
    <n v="168"/>
    <d v="2024-06-16T00:00:00"/>
    <n v="1041"/>
    <s v="Customer_162"/>
    <s v="Corporate"/>
    <x v="3"/>
    <s v="Clothing"/>
    <s v="Product_C"/>
    <n v="3837"/>
    <n v="6"/>
    <n v="0.03"/>
    <n v="-151"/>
    <s v="COD"/>
    <n v="22331.34"/>
    <s v="Jun"/>
    <n v="2024"/>
    <s v="Q2"/>
    <n v="-6.7617975455122707E-3"/>
    <n v="690.66"/>
    <s v="High"/>
    <s v="Repeat"/>
    <s v="Above Avg"/>
    <s v="Loss"/>
    <n v="64"/>
  </r>
  <r>
    <n v="169"/>
    <d v="2024-06-17T00:00:00"/>
    <n v="1078"/>
    <s v="Customer_39"/>
    <s v="Consumer"/>
    <x v="3"/>
    <s v="Furniture"/>
    <s v="Product_C"/>
    <n v="3951"/>
    <n v="5"/>
    <n v="0.21"/>
    <n v="1112"/>
    <s v="COD"/>
    <n v="15606.45"/>
    <s v="Jun"/>
    <n v="2024"/>
    <s v="Q2"/>
    <n v="7.1252591076125568E-2"/>
    <n v="4148.55"/>
    <s v="High"/>
    <s v="Repeat"/>
    <s v="Above Avg"/>
    <s v="Profit"/>
    <n v="134"/>
  </r>
  <r>
    <n v="170"/>
    <d v="2024-06-18T00:00:00"/>
    <n v="1056"/>
    <s v="Customer_122"/>
    <s v="Corporate"/>
    <x v="2"/>
    <s v="Furniture"/>
    <s v="Product_C"/>
    <n v="430"/>
    <n v="8"/>
    <n v="0.16"/>
    <n v="403"/>
    <s v="Card"/>
    <n v="2889.6"/>
    <s v="Jun"/>
    <n v="2024"/>
    <s v="Q2"/>
    <n v="0.13946566998892582"/>
    <n v="550.4"/>
    <s v="Medium"/>
    <s v="Repeat"/>
    <s v="Below Avg"/>
    <s v="Profit"/>
    <n v="396"/>
  </r>
  <r>
    <n v="171"/>
    <d v="2024-06-19T00:00:00"/>
    <n v="1087"/>
    <s v="Customer_1"/>
    <s v="Consumer"/>
    <x v="2"/>
    <s v="Furniture"/>
    <s v="Product_D"/>
    <n v="296"/>
    <n v="8"/>
    <n v="0.12"/>
    <n v="-8"/>
    <s v="Card"/>
    <n v="2083.84"/>
    <s v="Jun"/>
    <n v="2024"/>
    <s v="Q2"/>
    <n v="-3.8390663390663387E-3"/>
    <n v="284.15999999999997"/>
    <s v="Medium"/>
    <s v="Repeat"/>
    <s v="Below Avg"/>
    <s v="Loss"/>
    <n v="424"/>
  </r>
  <r>
    <n v="172"/>
    <d v="2024-06-20T00:00:00"/>
    <n v="1063"/>
    <s v="Customer_123"/>
    <s v="Corporate"/>
    <x v="2"/>
    <s v="Furniture"/>
    <s v="Product_B"/>
    <n v="1515"/>
    <n v="1"/>
    <n v="0.28000000000000003"/>
    <n v="1470"/>
    <s v="UPI"/>
    <n v="1090.8"/>
    <s v="Jun"/>
    <n v="2024"/>
    <s v="Q2"/>
    <n v="1.3476347634763477"/>
    <n v="424.20000000000005"/>
    <s v="Low"/>
    <s v="Repeat"/>
    <s v="Below Avg"/>
    <s v="Profit"/>
    <n v="477"/>
  </r>
  <r>
    <n v="173"/>
    <d v="2024-06-21T00:00:00"/>
    <n v="1097"/>
    <s v="Customer_20"/>
    <s v="Consumer"/>
    <x v="0"/>
    <s v="Clothing"/>
    <s v="Product_D"/>
    <n v="3396"/>
    <n v="7"/>
    <n v="0.27"/>
    <n v="1252"/>
    <s v="COD"/>
    <n v="17353.560000000001"/>
    <s v="Jun"/>
    <n v="2024"/>
    <s v="Q2"/>
    <n v="7.2146579721970583E-2"/>
    <n v="6418.4400000000005"/>
    <s v="High"/>
    <s v="Repeat"/>
    <s v="Above Avg"/>
    <s v="Profit"/>
    <n v="99"/>
  </r>
  <r>
    <n v="174"/>
    <d v="2024-06-22T00:00:00"/>
    <n v="1003"/>
    <s v="Customer_111"/>
    <s v="Consumer"/>
    <x v="1"/>
    <s v="Electronics"/>
    <s v="Product_A"/>
    <n v="3120"/>
    <n v="6"/>
    <n v="0.11"/>
    <n v="-429"/>
    <s v="UPI"/>
    <n v="16660.8"/>
    <s v="Jun"/>
    <n v="2024"/>
    <s v="Q2"/>
    <n v="-2.5749063670411985E-2"/>
    <n v="2059.1999999999998"/>
    <s v="High"/>
    <s v="Repeat"/>
    <s v="Above Avg"/>
    <s v="Loss"/>
    <n v="110"/>
  </r>
  <r>
    <n v="175"/>
    <d v="2024-06-23T00:00:00"/>
    <n v="1017"/>
    <s v="Customer_153"/>
    <s v="Corporate"/>
    <x v="1"/>
    <s v="Clothing"/>
    <s v="Product_D"/>
    <n v="3469"/>
    <n v="3"/>
    <n v="0.28000000000000003"/>
    <n v="431"/>
    <s v="UPI"/>
    <n v="7493.04"/>
    <s v="Jun"/>
    <n v="2024"/>
    <s v="Q2"/>
    <n v="5.7520045268675997E-2"/>
    <n v="2913.9600000000005"/>
    <s v="High"/>
    <s v="Repeat"/>
    <s v="Below Avg"/>
    <s v="Profit"/>
    <n v="264"/>
  </r>
  <r>
    <n v="176"/>
    <d v="2024-06-24T00:00:00"/>
    <n v="1088"/>
    <s v="Customer_134"/>
    <s v="Corporate"/>
    <x v="1"/>
    <s v="Clothing"/>
    <s v="Product_B"/>
    <n v="4955"/>
    <n v="1"/>
    <n v="0.13"/>
    <n v="-182"/>
    <s v="Card"/>
    <n v="4310.8500000000004"/>
    <s v="Jun"/>
    <n v="2024"/>
    <s v="Q2"/>
    <n v="-4.2219051927114136E-2"/>
    <n v="644.15"/>
    <s v="Medium"/>
    <s v="Repeat"/>
    <s v="Below Avg"/>
    <s v="Loss"/>
    <n v="341"/>
  </r>
  <r>
    <n v="177"/>
    <d v="2024-06-25T00:00:00"/>
    <n v="1087"/>
    <s v="Customer_116"/>
    <s v="Corporate"/>
    <x v="0"/>
    <s v="Clothing"/>
    <s v="Product_A"/>
    <n v="940"/>
    <n v="2"/>
    <n v="0.06"/>
    <n v="1960"/>
    <s v="Card"/>
    <n v="1767.19999999999"/>
    <s v="Jun"/>
    <n v="2024"/>
    <s v="Q2"/>
    <n v="1.109099139882306"/>
    <n v="112.8"/>
    <s v="Low"/>
    <s v="Repeat"/>
    <s v="Below Avg"/>
    <s v="Profit"/>
    <n v="442"/>
  </r>
  <r>
    <n v="178"/>
    <d v="2024-06-26T00:00:00"/>
    <n v="1069"/>
    <s v="Customer_94"/>
    <s v="Consumer"/>
    <x v="2"/>
    <s v="Furniture"/>
    <s v="Product_C"/>
    <n v="3742"/>
    <n v="1"/>
    <n v="0.19"/>
    <n v="1388"/>
    <s v="Card"/>
    <n v="3031.02"/>
    <s v="Jun"/>
    <n v="2024"/>
    <s v="Q2"/>
    <n v="0.45793165337081249"/>
    <n v="710.98"/>
    <s v="Medium"/>
    <s v="Repeat"/>
    <s v="Below Avg"/>
    <s v="Profit"/>
    <n v="390"/>
  </r>
  <r>
    <n v="179"/>
    <d v="2024-06-27T00:00:00"/>
    <n v="1097"/>
    <s v="Customer_120"/>
    <s v="Corporate"/>
    <x v="0"/>
    <s v="Clothing"/>
    <s v="Product_C"/>
    <n v="2769"/>
    <n v="3"/>
    <n v="0.03"/>
    <n v="-283"/>
    <s v="Card"/>
    <n v="8057.79"/>
    <s v="Jun"/>
    <n v="2024"/>
    <s v="Q2"/>
    <n v="-3.512129256284912E-2"/>
    <n v="249.20999999999998"/>
    <s v="High"/>
    <s v="Repeat"/>
    <s v="Below Avg"/>
    <s v="Loss"/>
    <n v="251"/>
  </r>
  <r>
    <n v="180"/>
    <d v="2024-06-28T00:00:00"/>
    <n v="1050"/>
    <s v="Customer_113"/>
    <s v="Consumer"/>
    <x v="3"/>
    <s v="Furniture"/>
    <s v="Product_C"/>
    <n v="1277"/>
    <n v="6"/>
    <n v="0.05"/>
    <n v="-393"/>
    <s v="Card"/>
    <n v="7278.9"/>
    <s v="Jun"/>
    <n v="2024"/>
    <s v="Q2"/>
    <n v="-5.3991674566211928E-2"/>
    <n v="383.1"/>
    <s v="High"/>
    <s v="Repeat"/>
    <s v="Below Avg"/>
    <s v="Loss"/>
    <n v="269"/>
  </r>
  <r>
    <n v="181"/>
    <d v="2024-06-29T00:00:00"/>
    <n v="1002"/>
    <s v="Customer_3"/>
    <s v="Consumer"/>
    <x v="0"/>
    <s v="Furniture"/>
    <s v="Product_A"/>
    <n v="1043"/>
    <n v="2"/>
    <n v="0.24"/>
    <n v="1350"/>
    <s v="Card"/>
    <n v="1585.36"/>
    <s v="Jun"/>
    <n v="2024"/>
    <s v="Q2"/>
    <n v="0.85154160569208259"/>
    <n v="500.64"/>
    <s v="Low"/>
    <s v="Repeat"/>
    <s v="Below Avg"/>
    <s v="Profit"/>
    <n v="454"/>
  </r>
  <r>
    <n v="182"/>
    <d v="2024-06-30T00:00:00"/>
    <n v="1018"/>
    <s v="Customer_164"/>
    <s v="Consumer"/>
    <x v="0"/>
    <s v="Electronics"/>
    <s v="Product_B"/>
    <n v="3546"/>
    <n v="6"/>
    <n v="0.25"/>
    <n v="1825"/>
    <s v="UPI"/>
    <n v="15957"/>
    <s v="Jun"/>
    <n v="2024"/>
    <s v="Q2"/>
    <n v="0.11436986902299931"/>
    <n v="5319"/>
    <s v="High"/>
    <s v="Repeat"/>
    <s v="Above Avg"/>
    <s v="Profit"/>
    <n v="129"/>
  </r>
  <r>
    <n v="183"/>
    <d v="2024-07-01T00:00:00"/>
    <n v="1046"/>
    <s v="Customer_70"/>
    <s v="Corporate"/>
    <x v="0"/>
    <s v="Furniture"/>
    <s v="Product_A"/>
    <n v="951"/>
    <n v="8"/>
    <n v="7.0000000000000007E-2"/>
    <n v="1104"/>
    <s v="COD"/>
    <n v="7075.44"/>
    <s v="Jul"/>
    <n v="2024"/>
    <s v="Q3"/>
    <n v="0.15603269902649164"/>
    <n v="532.56000000000006"/>
    <s v="High"/>
    <s v="Repeat"/>
    <s v="Below Avg"/>
    <s v="Profit"/>
    <n v="274"/>
  </r>
  <r>
    <n v="184"/>
    <d v="2024-07-02T00:00:00"/>
    <n v="1045"/>
    <s v="Customer_166"/>
    <s v="Corporate"/>
    <x v="3"/>
    <s v="Furniture"/>
    <s v="Product_C"/>
    <n v="4700"/>
    <n v="3"/>
    <n v="0.22"/>
    <n v="140"/>
    <s v="COD"/>
    <n v="10998"/>
    <s v="Jul"/>
    <n v="2024"/>
    <s v="Q3"/>
    <n v="1.2729587197672304E-2"/>
    <n v="3102"/>
    <s v="High"/>
    <s v="Repeat"/>
    <s v="Above Avg"/>
    <s v="Profit"/>
    <n v="190"/>
  </r>
  <r>
    <n v="185"/>
    <d v="2024-07-03T00:00:00"/>
    <n v="1057"/>
    <s v="Customer_65"/>
    <s v="Consumer"/>
    <x v="1"/>
    <s v="Electronics"/>
    <s v="Product_C"/>
    <n v="1851"/>
    <n v="3"/>
    <n v="0.28999999999999998"/>
    <n v="589"/>
    <s v="Card"/>
    <n v="3942.6299999999901"/>
    <s v="Jul"/>
    <n v="2024"/>
    <s v="Q3"/>
    <n v="0.14939266428754447"/>
    <n v="1610.37"/>
    <s v="Medium"/>
    <s v="Repeat"/>
    <s v="Below Avg"/>
    <s v="Profit"/>
    <n v="356"/>
  </r>
  <r>
    <n v="186"/>
    <d v="2024-07-04T00:00:00"/>
    <n v="1035"/>
    <s v="Customer_83"/>
    <s v="Corporate"/>
    <x v="1"/>
    <s v="Furniture"/>
    <s v="Product_C"/>
    <n v="1945"/>
    <n v="1"/>
    <n v="0.28999999999999998"/>
    <n v="7"/>
    <s v="Card"/>
    <n v="1380.94999999999"/>
    <s v="Jul"/>
    <n v="2024"/>
    <s v="Q3"/>
    <n v="5.068974256852204E-3"/>
    <n v="564.04999999999995"/>
    <s v="Low"/>
    <s v="Repeat"/>
    <s v="Below Avg"/>
    <s v="Profit"/>
    <n v="462"/>
  </r>
  <r>
    <n v="187"/>
    <d v="2024-07-05T00:00:00"/>
    <n v="1018"/>
    <s v="Customer_38"/>
    <s v="Corporate"/>
    <x v="3"/>
    <s v="Clothing"/>
    <s v="Product_A"/>
    <n v="4924"/>
    <n v="3"/>
    <n v="0.13"/>
    <n v="1357"/>
    <s v="UPI"/>
    <n v="12851.64"/>
    <s v="Jul"/>
    <n v="2024"/>
    <s v="Q3"/>
    <n v="0.1055896368089987"/>
    <n v="1920.3600000000001"/>
    <s v="High"/>
    <s v="Repeat"/>
    <s v="Above Avg"/>
    <s v="Profit"/>
    <n v="160"/>
  </r>
  <r>
    <n v="188"/>
    <d v="2024-07-06T00:00:00"/>
    <n v="1091"/>
    <s v="Customer_28"/>
    <s v="Corporate"/>
    <x v="1"/>
    <s v="Furniture"/>
    <s v="Product_A"/>
    <n v="1821"/>
    <n v="7"/>
    <n v="0.26"/>
    <n v="-309"/>
    <s v="Card"/>
    <n v="9432.7800000000007"/>
    <s v="Jul"/>
    <n v="2024"/>
    <s v="Q3"/>
    <n v="-3.2758105245749396E-2"/>
    <n v="3314.2200000000003"/>
    <s v="High"/>
    <s v="Repeat"/>
    <s v="Below Avg"/>
    <s v="Loss"/>
    <n v="220"/>
  </r>
  <r>
    <n v="189"/>
    <d v="2024-07-07T00:00:00"/>
    <n v="1046"/>
    <s v="Customer_175"/>
    <s v="Corporate"/>
    <x v="1"/>
    <s v="Clothing"/>
    <s v="Product_B"/>
    <n v="1873"/>
    <n v="9"/>
    <n v="0.17"/>
    <n v="-234"/>
    <s v="UPI"/>
    <n v="13991.31"/>
    <s v="Jul"/>
    <n v="2024"/>
    <s v="Q3"/>
    <n v="-1.672466695398787E-2"/>
    <n v="2865.69"/>
    <s v="High"/>
    <s v="Repeat"/>
    <s v="Above Avg"/>
    <s v="Loss"/>
    <n v="147"/>
  </r>
  <r>
    <n v="190"/>
    <d v="2024-07-08T00:00:00"/>
    <n v="1054"/>
    <s v="Customer_47"/>
    <s v="Consumer"/>
    <x v="2"/>
    <s v="Furniture"/>
    <s v="Product_C"/>
    <n v="750"/>
    <n v="8"/>
    <n v="0.17"/>
    <n v="-108"/>
    <s v="Card"/>
    <n v="4980"/>
    <s v="Jul"/>
    <n v="2024"/>
    <s v="Q3"/>
    <n v="-2.1686746987951807E-2"/>
    <n v="1020.0000000000001"/>
    <s v="Medium"/>
    <s v="Repeat"/>
    <s v="Below Avg"/>
    <s v="Loss"/>
    <n v="324"/>
  </r>
  <r>
    <n v="191"/>
    <d v="2024-07-09T00:00:00"/>
    <n v="1073"/>
    <s v="Customer_10"/>
    <s v="Consumer"/>
    <x v="1"/>
    <s v="Furniture"/>
    <s v="Product_A"/>
    <n v="1461"/>
    <n v="3"/>
    <n v="7.0000000000000007E-2"/>
    <n v="-371"/>
    <s v="COD"/>
    <n v="4076.1899999999901"/>
    <s v="Jul"/>
    <n v="2024"/>
    <s v="Q3"/>
    <n v="-9.1016365772940144E-2"/>
    <n v="306.81"/>
    <s v="Medium"/>
    <s v="Repeat"/>
    <s v="Below Avg"/>
    <s v="Loss"/>
    <n v="351"/>
  </r>
  <r>
    <n v="192"/>
    <d v="2024-07-10T00:00:00"/>
    <n v="1081"/>
    <s v="Customer_88"/>
    <s v="Corporate"/>
    <x v="0"/>
    <s v="Clothing"/>
    <s v="Product_A"/>
    <n v="3609"/>
    <n v="5"/>
    <n v="0.12"/>
    <n v="514"/>
    <s v="COD"/>
    <n v="15879.6"/>
    <s v="Jul"/>
    <n v="2024"/>
    <s v="Q3"/>
    <n v="3.2368573515705684E-2"/>
    <n v="2165.4"/>
    <s v="High"/>
    <s v="Repeat"/>
    <s v="Above Avg"/>
    <s v="Profit"/>
    <n v="131"/>
  </r>
  <r>
    <n v="193"/>
    <d v="2024-07-11T00:00:00"/>
    <n v="1062"/>
    <s v="Customer_133"/>
    <s v="Corporate"/>
    <x v="0"/>
    <s v="Electronics"/>
    <s v="Product_D"/>
    <n v="1568"/>
    <n v="1"/>
    <n v="0.06"/>
    <n v="1807"/>
    <s v="UPI"/>
    <n v="1473.9199999999901"/>
    <s v="Jul"/>
    <n v="2024"/>
    <s v="Q3"/>
    <n v="1.225982414242301"/>
    <n v="94.08"/>
    <s v="Low"/>
    <s v="Repeat"/>
    <s v="Below Avg"/>
    <s v="Profit"/>
    <n v="459"/>
  </r>
  <r>
    <n v="194"/>
    <d v="2024-07-12T00:00:00"/>
    <n v="1067"/>
    <s v="Customer_141"/>
    <s v="Consumer"/>
    <x v="2"/>
    <s v="Furniture"/>
    <s v="Product_C"/>
    <n v="584"/>
    <n v="1"/>
    <n v="0.22"/>
    <n v="858"/>
    <s v="Card"/>
    <n v="455.52"/>
    <s v="Jul"/>
    <n v="2024"/>
    <s v="Q3"/>
    <n v="1.8835616438356164"/>
    <n v="128.47999999999999"/>
    <s v="Low"/>
    <s v="Repeat"/>
    <s v="Below Avg"/>
    <s v="Profit"/>
    <n v="494"/>
  </r>
  <r>
    <n v="195"/>
    <d v="2024-07-13T00:00:00"/>
    <n v="1011"/>
    <s v="Customer_86"/>
    <s v="Corporate"/>
    <x v="0"/>
    <s v="Furniture"/>
    <s v="Product_C"/>
    <n v="851"/>
    <n v="9"/>
    <n v="0.19"/>
    <n v="1126"/>
    <s v="Card"/>
    <n v="6203.79"/>
    <s v="Jul"/>
    <n v="2024"/>
    <s v="Q3"/>
    <n v="0.18150195283850679"/>
    <n v="1455.21"/>
    <s v="High"/>
    <s v="Repeat"/>
    <s v="Below Avg"/>
    <s v="Profit"/>
    <n v="292"/>
  </r>
  <r>
    <n v="196"/>
    <d v="2024-07-14T00:00:00"/>
    <n v="1026"/>
    <s v="Customer_34"/>
    <s v="Corporate"/>
    <x v="2"/>
    <s v="Electronics"/>
    <s v="Product_A"/>
    <n v="209"/>
    <n v="7"/>
    <n v="0.24"/>
    <n v="-125"/>
    <s v="UPI"/>
    <n v="1111.8800000000001"/>
    <s v="Jul"/>
    <n v="2024"/>
    <s v="Q3"/>
    <n v="-0.11242220383494621"/>
    <n v="351.12"/>
    <s v="Low"/>
    <s v="Repeat"/>
    <s v="Below Avg"/>
    <s v="Loss"/>
    <n v="476"/>
  </r>
  <r>
    <n v="197"/>
    <d v="2024-07-15T00:00:00"/>
    <n v="1092"/>
    <s v="Customer_153"/>
    <s v="Corporate"/>
    <x v="0"/>
    <s v="Electronics"/>
    <s v="Product_D"/>
    <n v="2452"/>
    <n v="4"/>
    <n v="0.19"/>
    <n v="1641"/>
    <s v="Card"/>
    <n v="7944.48"/>
    <s v="Jul"/>
    <n v="2024"/>
    <s v="Q3"/>
    <n v="0.20655851610174614"/>
    <n v="1863.52"/>
    <s v="High"/>
    <s v="Repeat"/>
    <s v="Below Avg"/>
    <s v="Profit"/>
    <n v="254"/>
  </r>
  <r>
    <n v="198"/>
    <d v="2024-07-16T00:00:00"/>
    <n v="1075"/>
    <s v="Customer_151"/>
    <s v="Consumer"/>
    <x v="1"/>
    <s v="Electronics"/>
    <s v="Product_C"/>
    <n v="4378"/>
    <n v="4"/>
    <n v="0.08"/>
    <n v="-266"/>
    <s v="COD"/>
    <n v="16111.04"/>
    <s v="Jul"/>
    <n v="2024"/>
    <s v="Q3"/>
    <n v="-1.6510417701153992E-2"/>
    <n v="1400.96"/>
    <s v="High"/>
    <s v="Repeat"/>
    <s v="Above Avg"/>
    <s v="Loss"/>
    <n v="125"/>
  </r>
  <r>
    <n v="199"/>
    <d v="2024-07-17T00:00:00"/>
    <n v="1010"/>
    <s v="Customer_112"/>
    <s v="Corporate"/>
    <x v="0"/>
    <s v="Furniture"/>
    <s v="Product_C"/>
    <n v="3624"/>
    <n v="3"/>
    <n v="0.28999999999999998"/>
    <n v="-429"/>
    <s v="COD"/>
    <n v="7719.12"/>
    <s v="Jul"/>
    <n v="2024"/>
    <s v="Q3"/>
    <n v="-5.557628330690545E-2"/>
    <n v="3152.8799999999997"/>
    <s v="High"/>
    <s v="Repeat"/>
    <s v="Below Avg"/>
    <s v="Loss"/>
    <n v="259"/>
  </r>
  <r>
    <n v="200"/>
    <d v="2024-07-18T00:00:00"/>
    <n v="1003"/>
    <s v="Customer_85"/>
    <s v="Corporate"/>
    <x v="0"/>
    <s v="Clothing"/>
    <s v="Product_C"/>
    <n v="1158"/>
    <n v="5"/>
    <n v="0.2"/>
    <n v="1597"/>
    <s v="COD"/>
    <n v="4632"/>
    <s v="Jul"/>
    <n v="2024"/>
    <s v="Q3"/>
    <n v="0.34477547495682209"/>
    <n v="1158"/>
    <s v="Medium"/>
    <s v="Repeat"/>
    <s v="Below Avg"/>
    <s v="Profit"/>
    <n v="335"/>
  </r>
  <r>
    <n v="201"/>
    <d v="2024-07-19T00:00:00"/>
    <n v="1045"/>
    <s v="Customer_3"/>
    <s v="Corporate"/>
    <x v="2"/>
    <s v="Furniture"/>
    <s v="Product_A"/>
    <n v="300"/>
    <n v="8"/>
    <n v="0.14000000000000001"/>
    <n v="1580"/>
    <s v="UPI"/>
    <n v="2064"/>
    <s v="Jul"/>
    <n v="2024"/>
    <s v="Q3"/>
    <n v="0.76550387596899228"/>
    <n v="336.00000000000006"/>
    <s v="Medium"/>
    <s v="Repeat"/>
    <s v="Below Avg"/>
    <s v="Profit"/>
    <n v="425"/>
  </r>
  <r>
    <n v="202"/>
    <d v="2024-07-20T00:00:00"/>
    <n v="1058"/>
    <s v="Customer_8"/>
    <s v="Consumer"/>
    <x v="2"/>
    <s v="Clothing"/>
    <s v="Product_A"/>
    <n v="4590"/>
    <n v="3"/>
    <n v="0.23"/>
    <n v="458"/>
    <s v="Card"/>
    <n v="10602.9"/>
    <s v="Jul"/>
    <n v="2024"/>
    <s v="Q3"/>
    <n v="4.3195729470239273E-2"/>
    <n v="3167.1000000000004"/>
    <s v="High"/>
    <s v="Repeat"/>
    <s v="Below Avg"/>
    <s v="Profit"/>
    <n v="195"/>
  </r>
  <r>
    <n v="203"/>
    <d v="2024-07-21T00:00:00"/>
    <n v="1059"/>
    <s v="Customer_174"/>
    <s v="Consumer"/>
    <x v="2"/>
    <s v="Electronics"/>
    <s v="Product_B"/>
    <n v="3815"/>
    <n v="6"/>
    <n v="0.08"/>
    <n v="971"/>
    <s v="Card"/>
    <n v="21058.799999999999"/>
    <s v="Jul"/>
    <n v="2024"/>
    <s v="Q3"/>
    <n v="4.6108990065910689E-2"/>
    <n v="1831.2"/>
    <s v="High"/>
    <s v="Repeat"/>
    <s v="Above Avg"/>
    <s v="Profit"/>
    <n v="76"/>
  </r>
  <r>
    <n v="204"/>
    <d v="2024-07-22T00:00:00"/>
    <n v="1023"/>
    <s v="Customer_190"/>
    <s v="Consumer"/>
    <x v="3"/>
    <s v="Furniture"/>
    <s v="Product_B"/>
    <n v="1315"/>
    <n v="4"/>
    <n v="0.24"/>
    <n v="-35"/>
    <s v="COD"/>
    <n v="3997.6"/>
    <s v="Jul"/>
    <n v="2024"/>
    <s v="Q3"/>
    <n v="-8.7552531518911344E-3"/>
    <n v="1262.3999999999999"/>
    <s v="Medium"/>
    <s v="Repeat"/>
    <s v="Below Avg"/>
    <s v="Loss"/>
    <n v="353"/>
  </r>
  <r>
    <n v="205"/>
    <d v="2024-07-23T00:00:00"/>
    <n v="1025"/>
    <s v="Customer_167"/>
    <s v="Consumer"/>
    <x v="1"/>
    <s v="Furniture"/>
    <s v="Product_C"/>
    <n v="831"/>
    <n v="3"/>
    <n v="0.1"/>
    <n v="1324"/>
    <s v="UPI"/>
    <n v="2243.6999999999998"/>
    <s v="Jul"/>
    <n v="2024"/>
    <s v="Q3"/>
    <n v="0.59009671524713647"/>
    <n v="249.3"/>
    <s v="Medium"/>
    <s v="Repeat"/>
    <s v="Below Avg"/>
    <s v="Profit"/>
    <n v="417"/>
  </r>
  <r>
    <n v="206"/>
    <d v="2024-07-24T00:00:00"/>
    <n v="1027"/>
    <s v="Customer_51"/>
    <s v="Consumer"/>
    <x v="3"/>
    <s v="Furniture"/>
    <s v="Product_D"/>
    <n v="473"/>
    <n v="1"/>
    <n v="0.02"/>
    <n v="-233"/>
    <s v="UPI"/>
    <n v="463.539999999999"/>
    <s v="Jul"/>
    <n v="2024"/>
    <s v="Q3"/>
    <n v="-0.50265349268671633"/>
    <n v="9.4600000000000009"/>
    <s v="Low"/>
    <s v="Repeat"/>
    <s v="Below Avg"/>
    <s v="Loss"/>
    <n v="493"/>
  </r>
  <r>
    <n v="207"/>
    <d v="2024-07-25T00:00:00"/>
    <n v="1057"/>
    <s v="Customer_22"/>
    <s v="Consumer"/>
    <x v="0"/>
    <s v="Furniture"/>
    <s v="Product_C"/>
    <n v="3249"/>
    <n v="8"/>
    <n v="0.23"/>
    <n v="1197"/>
    <s v="UPI"/>
    <n v="20013.84"/>
    <s v="Jul"/>
    <n v="2024"/>
    <s v="Q3"/>
    <n v="5.9808612440191387E-2"/>
    <n v="5978.16"/>
    <s v="High"/>
    <s v="Repeat"/>
    <s v="Above Avg"/>
    <s v="Profit"/>
    <n v="80"/>
  </r>
  <r>
    <n v="208"/>
    <d v="2024-07-26T00:00:00"/>
    <n v="1003"/>
    <s v="Customer_45"/>
    <s v="Corporate"/>
    <x v="0"/>
    <s v="Electronics"/>
    <s v="Product_D"/>
    <n v="3344"/>
    <n v="7"/>
    <n v="0.06"/>
    <n v="581"/>
    <s v="COD"/>
    <n v="22003.52"/>
    <s v="Jul"/>
    <n v="2024"/>
    <s v="Q3"/>
    <n v="2.6404866130510025E-2"/>
    <n v="1404.48"/>
    <s v="High"/>
    <s v="Repeat"/>
    <s v="Above Avg"/>
    <s v="Profit"/>
    <n v="67"/>
  </r>
  <r>
    <n v="209"/>
    <d v="2024-07-27T00:00:00"/>
    <n v="1099"/>
    <s v="Customer_151"/>
    <s v="Corporate"/>
    <x v="2"/>
    <s v="Electronics"/>
    <s v="Product_A"/>
    <n v="4041"/>
    <n v="7"/>
    <n v="0.19"/>
    <n v="1642"/>
    <s v="UPI"/>
    <n v="22912.47"/>
    <s v="Jul"/>
    <n v="2024"/>
    <s v="Q3"/>
    <n v="7.1664032729775534E-2"/>
    <n v="5374.53"/>
    <s v="High"/>
    <s v="Repeat"/>
    <s v="Above Avg"/>
    <s v="Profit"/>
    <n v="60"/>
  </r>
  <r>
    <n v="210"/>
    <d v="2024-07-28T00:00:00"/>
    <n v="1078"/>
    <s v="Customer_177"/>
    <s v="Consumer"/>
    <x v="2"/>
    <s v="Electronics"/>
    <s v="Product_B"/>
    <n v="4048"/>
    <n v="8"/>
    <n v="0.08"/>
    <n v="-375"/>
    <s v="COD"/>
    <n v="29793.279999999999"/>
    <s v="Jul"/>
    <n v="2024"/>
    <s v="Q3"/>
    <n v="-1.2586730967520193E-2"/>
    <n v="2590.7200000000003"/>
    <s v="High"/>
    <s v="Repeat"/>
    <s v="Above Avg"/>
    <s v="Loss"/>
    <n v="24"/>
  </r>
  <r>
    <n v="211"/>
    <d v="2024-07-29T00:00:00"/>
    <n v="1085"/>
    <s v="Customer_80"/>
    <s v="Consumer"/>
    <x v="0"/>
    <s v="Furniture"/>
    <s v="Product_A"/>
    <n v="745"/>
    <n v="9"/>
    <n v="0.21"/>
    <n v="515"/>
    <s v="Card"/>
    <n v="5296.95"/>
    <s v="Jul"/>
    <n v="2024"/>
    <s v="Q3"/>
    <n v="9.7225761995110391E-2"/>
    <n v="1408.05"/>
    <s v="High"/>
    <s v="Repeat"/>
    <s v="Below Avg"/>
    <s v="Profit"/>
    <n v="316"/>
  </r>
  <r>
    <n v="212"/>
    <d v="2024-07-30T00:00:00"/>
    <n v="1059"/>
    <s v="Customer_124"/>
    <s v="Consumer"/>
    <x v="3"/>
    <s v="Furniture"/>
    <s v="Product_D"/>
    <n v="3695"/>
    <n v="3"/>
    <n v="0.04"/>
    <n v="333"/>
    <s v="Card"/>
    <n v="10641.6"/>
    <s v="Jul"/>
    <n v="2024"/>
    <s v="Q3"/>
    <n v="3.1292286874154258E-2"/>
    <n v="443.40000000000003"/>
    <s v="High"/>
    <s v="Repeat"/>
    <s v="Above Avg"/>
    <s v="Profit"/>
    <n v="194"/>
  </r>
  <r>
    <n v="213"/>
    <d v="2024-07-31T00:00:00"/>
    <n v="1048"/>
    <s v="Customer_179"/>
    <s v="Corporate"/>
    <x v="2"/>
    <s v="Clothing"/>
    <s v="Product_D"/>
    <n v="4178"/>
    <n v="2"/>
    <n v="0.19"/>
    <n v="1860"/>
    <s v="Card"/>
    <n v="6768.36"/>
    <s v="Jul"/>
    <n v="2024"/>
    <s v="Q3"/>
    <n v="0.27480807758452563"/>
    <n v="1587.64"/>
    <s v="High"/>
    <s v="Repeat"/>
    <s v="Below Avg"/>
    <s v="Profit"/>
    <n v="280"/>
  </r>
  <r>
    <n v="214"/>
    <d v="2024-08-01T00:00:00"/>
    <n v="1056"/>
    <s v="Customer_28"/>
    <s v="Consumer"/>
    <x v="2"/>
    <s v="Clothing"/>
    <s v="Product_B"/>
    <n v="2035"/>
    <n v="4"/>
    <n v="0.06"/>
    <n v="1215"/>
    <s v="UPI"/>
    <n v="7651.5999999999904"/>
    <s v="Aug"/>
    <n v="2024"/>
    <s v="Q3"/>
    <n v="0.15879031836478666"/>
    <n v="488.4"/>
    <s v="High"/>
    <s v="Repeat"/>
    <s v="Below Avg"/>
    <s v="Profit"/>
    <n v="262"/>
  </r>
  <r>
    <n v="215"/>
    <d v="2024-08-02T00:00:00"/>
    <n v="1087"/>
    <s v="Customer_99"/>
    <s v="Consumer"/>
    <x v="0"/>
    <s v="Clothing"/>
    <s v="Product_A"/>
    <n v="2833"/>
    <n v="4"/>
    <n v="0.15"/>
    <n v="-499"/>
    <s v="COD"/>
    <n v="9632.1999999999898"/>
    <s v="Aug"/>
    <n v="2024"/>
    <s v="Q3"/>
    <n v="-5.1805402711737766E-2"/>
    <n v="1699.8"/>
    <s v="High"/>
    <s v="Repeat"/>
    <s v="Below Avg"/>
    <s v="Loss"/>
    <n v="211"/>
  </r>
  <r>
    <n v="216"/>
    <d v="2024-08-03T00:00:00"/>
    <n v="1087"/>
    <s v="Customer_106"/>
    <s v="Consumer"/>
    <x v="1"/>
    <s v="Furniture"/>
    <s v="Product_C"/>
    <n v="2661"/>
    <n v="8"/>
    <n v="0.26"/>
    <n v="-152"/>
    <s v="COD"/>
    <n v="15753.119999999901"/>
    <s v="Aug"/>
    <n v="2024"/>
    <s v="Q3"/>
    <n v="-9.6488822531664176E-3"/>
    <n v="5534.88"/>
    <s v="High"/>
    <s v="Repeat"/>
    <s v="Above Avg"/>
    <s v="Loss"/>
    <n v="133"/>
  </r>
  <r>
    <n v="217"/>
    <d v="2024-08-04T00:00:00"/>
    <n v="1004"/>
    <s v="Customer_29"/>
    <s v="Consumer"/>
    <x v="2"/>
    <s v="Furniture"/>
    <s v="Product_A"/>
    <n v="2152"/>
    <n v="8"/>
    <n v="0.14000000000000001"/>
    <n v="925"/>
    <s v="COD"/>
    <n v="14805.76"/>
    <s v="Aug"/>
    <n v="2024"/>
    <s v="Q3"/>
    <n v="6.2475685138756808E-2"/>
    <n v="2410.2400000000002"/>
    <s v="High"/>
    <s v="Repeat"/>
    <s v="Above Avg"/>
    <s v="Profit"/>
    <n v="142"/>
  </r>
  <r>
    <n v="218"/>
    <d v="2024-08-05T00:00:00"/>
    <n v="1069"/>
    <s v="Customer_187"/>
    <s v="Consumer"/>
    <x v="3"/>
    <s v="Clothing"/>
    <s v="Product_D"/>
    <n v="2039"/>
    <n v="7"/>
    <n v="0.23"/>
    <n v="-462"/>
    <s v="UPI"/>
    <n v="10990.21"/>
    <s v="Aug"/>
    <n v="2024"/>
    <s v="Q3"/>
    <n v="-4.2037413297835079E-2"/>
    <n v="3282.79"/>
    <s v="High"/>
    <s v="Repeat"/>
    <s v="Above Avg"/>
    <s v="Loss"/>
    <n v="192"/>
  </r>
  <r>
    <n v="219"/>
    <d v="2024-08-06T00:00:00"/>
    <n v="1056"/>
    <s v="Customer_102"/>
    <s v="Consumer"/>
    <x v="1"/>
    <s v="Clothing"/>
    <s v="Product_A"/>
    <n v="802"/>
    <n v="5"/>
    <n v="0.04"/>
    <n v="1193"/>
    <s v="COD"/>
    <n v="3849.6"/>
    <s v="Aug"/>
    <n v="2024"/>
    <s v="Q3"/>
    <n v="0.30990232751454699"/>
    <n v="160.4"/>
    <s v="Medium"/>
    <s v="Repeat"/>
    <s v="Below Avg"/>
    <s v="Profit"/>
    <n v="361"/>
  </r>
  <r>
    <n v="220"/>
    <d v="2024-08-07T00:00:00"/>
    <n v="1060"/>
    <s v="Customer_198"/>
    <s v="Corporate"/>
    <x v="0"/>
    <s v="Clothing"/>
    <s v="Product_B"/>
    <n v="2899"/>
    <n v="1"/>
    <n v="0.2"/>
    <n v="569"/>
    <s v="COD"/>
    <n v="2319.1999999999998"/>
    <s v="Aug"/>
    <n v="2024"/>
    <s v="Q3"/>
    <n v="0.24534322180062093"/>
    <n v="579.80000000000007"/>
    <s v="Medium"/>
    <s v="Repeat"/>
    <s v="Below Avg"/>
    <s v="Profit"/>
    <n v="415"/>
  </r>
  <r>
    <n v="221"/>
    <d v="2024-08-08T00:00:00"/>
    <n v="1009"/>
    <s v="Customer_78"/>
    <s v="Corporate"/>
    <x v="2"/>
    <s v="Electronics"/>
    <s v="Product_A"/>
    <n v="607"/>
    <n v="6"/>
    <n v="0.05"/>
    <n v="1509"/>
    <s v="Card"/>
    <n v="3459.8999999999901"/>
    <s v="Aug"/>
    <n v="2024"/>
    <s v="Q3"/>
    <n v="0.43613977282580546"/>
    <n v="182.10000000000002"/>
    <s v="Medium"/>
    <s v="Repeat"/>
    <s v="Below Avg"/>
    <s v="Profit"/>
    <n v="378"/>
  </r>
  <r>
    <n v="222"/>
    <d v="2024-08-09T00:00:00"/>
    <n v="1066"/>
    <s v="Customer_156"/>
    <s v="Corporate"/>
    <x v="1"/>
    <s v="Clothing"/>
    <s v="Product_A"/>
    <n v="1523"/>
    <n v="1"/>
    <n v="0.23"/>
    <n v="1244"/>
    <s v="COD"/>
    <n v="1172.71"/>
    <s v="Aug"/>
    <n v="2024"/>
    <s v="Q3"/>
    <n v="1.0607908178492551"/>
    <n v="350.29"/>
    <s v="Low"/>
    <s v="Repeat"/>
    <s v="Below Avg"/>
    <s v="Profit"/>
    <n v="471"/>
  </r>
  <r>
    <n v="223"/>
    <d v="2024-08-10T00:00:00"/>
    <n v="1033"/>
    <s v="Customer_110"/>
    <s v="Corporate"/>
    <x v="0"/>
    <s v="Furniture"/>
    <s v="Product_D"/>
    <n v="2167"/>
    <n v="2"/>
    <n v="0.21"/>
    <n v="1682"/>
    <s v="Card"/>
    <n v="3423.86"/>
    <s v="Aug"/>
    <n v="2024"/>
    <s v="Q3"/>
    <n v="0.49125840425718337"/>
    <n v="910.14"/>
    <s v="Medium"/>
    <s v="New"/>
    <s v="Below Avg"/>
    <s v="Profit"/>
    <n v="379"/>
  </r>
  <r>
    <n v="224"/>
    <d v="2024-08-11T00:00:00"/>
    <n v="1069"/>
    <s v="Customer_175"/>
    <s v="Corporate"/>
    <x v="3"/>
    <s v="Furniture"/>
    <s v="Product_C"/>
    <n v="4265"/>
    <n v="6"/>
    <n v="0.12"/>
    <n v="490"/>
    <s v="COD"/>
    <n v="22519.200000000001"/>
    <s v="Aug"/>
    <n v="2024"/>
    <s v="Q3"/>
    <n v="2.1759209918647198E-2"/>
    <n v="3070.7999999999997"/>
    <s v="High"/>
    <s v="Repeat"/>
    <s v="Above Avg"/>
    <s v="Profit"/>
    <n v="63"/>
  </r>
  <r>
    <n v="225"/>
    <d v="2024-08-12T00:00:00"/>
    <n v="1009"/>
    <s v="Customer_4"/>
    <s v="Consumer"/>
    <x v="2"/>
    <s v="Clothing"/>
    <s v="Product_C"/>
    <n v="851"/>
    <n v="1"/>
    <n v="0.14000000000000001"/>
    <n v="1419"/>
    <s v="UPI"/>
    <n v="731.86"/>
    <s v="Aug"/>
    <n v="2024"/>
    <s v="Q3"/>
    <n v="1.9388954171562867"/>
    <n v="119.14000000000001"/>
    <s v="Low"/>
    <s v="Repeat"/>
    <s v="Below Avg"/>
    <s v="Profit"/>
    <n v="484"/>
  </r>
  <r>
    <n v="226"/>
    <d v="2024-08-13T00:00:00"/>
    <n v="1079"/>
    <s v="Customer_130"/>
    <s v="Corporate"/>
    <x v="0"/>
    <s v="Furniture"/>
    <s v="Product_B"/>
    <n v="2116"/>
    <n v="6"/>
    <n v="0.05"/>
    <n v="1516"/>
    <s v="UPI"/>
    <n v="12061.199999999901"/>
    <s v="Aug"/>
    <n v="2024"/>
    <s v="Q3"/>
    <n v="0.12569230259012473"/>
    <n v="634.80000000000007"/>
    <s v="High"/>
    <s v="Repeat"/>
    <s v="Above Avg"/>
    <s v="Profit"/>
    <n v="167"/>
  </r>
  <r>
    <n v="227"/>
    <d v="2024-08-14T00:00:00"/>
    <n v="1028"/>
    <s v="Customer_110"/>
    <s v="Consumer"/>
    <x v="2"/>
    <s v="Furniture"/>
    <s v="Product_B"/>
    <n v="648"/>
    <n v="9"/>
    <n v="0.19"/>
    <n v="730"/>
    <s v="Card"/>
    <n v="4723.92"/>
    <s v="Aug"/>
    <n v="2024"/>
    <s v="Q3"/>
    <n v="0.15453267625192638"/>
    <n v="1108.08"/>
    <s v="Medium"/>
    <s v="Repeat"/>
    <s v="Below Avg"/>
    <s v="Profit"/>
    <n v="331"/>
  </r>
  <r>
    <n v="228"/>
    <d v="2024-08-15T00:00:00"/>
    <n v="1066"/>
    <s v="Customer_64"/>
    <s v="Consumer"/>
    <x v="2"/>
    <s v="Furniture"/>
    <s v="Product_A"/>
    <n v="2655"/>
    <n v="6"/>
    <n v="0.27"/>
    <n v="1403"/>
    <s v="COD"/>
    <n v="11628.9"/>
    <s v="Aug"/>
    <n v="2024"/>
    <s v="Q3"/>
    <n v="0.12064769668670296"/>
    <n v="4301.1000000000004"/>
    <s v="High"/>
    <s v="Repeat"/>
    <s v="Above Avg"/>
    <s v="Profit"/>
    <n v="179"/>
  </r>
  <r>
    <n v="229"/>
    <d v="2024-08-16T00:00:00"/>
    <n v="1010"/>
    <s v="Customer_29"/>
    <s v="Consumer"/>
    <x v="3"/>
    <s v="Clothing"/>
    <s v="Product_C"/>
    <n v="738"/>
    <n v="1"/>
    <n v="0.17"/>
    <n v="1581"/>
    <s v="UPI"/>
    <n v="612.54"/>
    <s v="Aug"/>
    <n v="2024"/>
    <s v="Q3"/>
    <n v="2.5810559310412384"/>
    <n v="125.46000000000001"/>
    <s v="Low"/>
    <s v="Repeat"/>
    <s v="Below Avg"/>
    <s v="Profit"/>
    <n v="486"/>
  </r>
  <r>
    <n v="230"/>
    <d v="2024-08-17T00:00:00"/>
    <n v="1003"/>
    <s v="Customer_89"/>
    <s v="Consumer"/>
    <x v="1"/>
    <s v="Furniture"/>
    <s v="Product_B"/>
    <n v="1820"/>
    <n v="9"/>
    <n v="0.09"/>
    <n v="631"/>
    <s v="UPI"/>
    <n v="14905.8"/>
    <s v="Aug"/>
    <n v="2024"/>
    <s v="Q3"/>
    <n v="4.2332514859987389E-2"/>
    <n v="1474.2"/>
    <s v="High"/>
    <s v="Repeat"/>
    <s v="Above Avg"/>
    <s v="Profit"/>
    <n v="141"/>
  </r>
  <r>
    <n v="231"/>
    <d v="2024-08-18T00:00:00"/>
    <n v="1048"/>
    <s v="Customer_95"/>
    <s v="Consumer"/>
    <x v="3"/>
    <s v="Electronics"/>
    <s v="Product_C"/>
    <n v="3916"/>
    <n v="7"/>
    <n v="0.12"/>
    <n v="1533"/>
    <s v="UPI"/>
    <n v="24122.560000000001"/>
    <s v="Aug"/>
    <n v="2024"/>
    <s v="Q3"/>
    <n v="6.3550468938620111E-2"/>
    <n v="3289.44"/>
    <s v="High"/>
    <s v="Repeat"/>
    <s v="Above Avg"/>
    <s v="Profit"/>
    <n v="51"/>
  </r>
  <r>
    <n v="232"/>
    <d v="2024-08-19T00:00:00"/>
    <n v="1003"/>
    <s v="Customer_175"/>
    <s v="Consumer"/>
    <x v="2"/>
    <s v="Clothing"/>
    <s v="Product_D"/>
    <n v="3888"/>
    <n v="5"/>
    <n v="7.0000000000000007E-2"/>
    <n v="1032"/>
    <s v="Card"/>
    <n v="18079.199999999899"/>
    <s v="Aug"/>
    <n v="2024"/>
    <s v="Q3"/>
    <n v="5.7082171777512597E-2"/>
    <n v="1360.8000000000002"/>
    <s v="High"/>
    <s v="Repeat"/>
    <s v="Above Avg"/>
    <s v="Profit"/>
    <n v="91"/>
  </r>
  <r>
    <n v="233"/>
    <d v="2024-08-20T00:00:00"/>
    <n v="1023"/>
    <s v="Customer_15"/>
    <s v="Consumer"/>
    <x v="3"/>
    <s v="Clothing"/>
    <s v="Product_B"/>
    <n v="1813"/>
    <n v="7"/>
    <n v="0.13"/>
    <n v="937"/>
    <s v="COD"/>
    <n v="11041.17"/>
    <s v="Aug"/>
    <n v="2024"/>
    <s v="Q3"/>
    <n v="8.4864194646038421E-2"/>
    <n v="1649.8300000000002"/>
    <s v="High"/>
    <s v="Repeat"/>
    <s v="Above Avg"/>
    <s v="Profit"/>
    <n v="189"/>
  </r>
  <r>
    <n v="234"/>
    <d v="2024-08-21T00:00:00"/>
    <n v="1091"/>
    <s v="Customer_166"/>
    <s v="Corporate"/>
    <x v="2"/>
    <s v="Furniture"/>
    <s v="Product_C"/>
    <n v="4283"/>
    <n v="6"/>
    <n v="0.15"/>
    <n v="436"/>
    <s v="COD"/>
    <n v="21843.3"/>
    <s v="Aug"/>
    <n v="2024"/>
    <s v="Q3"/>
    <n v="1.9960353975818673E-2"/>
    <n v="3854.7"/>
    <s v="High"/>
    <s v="Repeat"/>
    <s v="Above Avg"/>
    <s v="Profit"/>
    <n v="68"/>
  </r>
  <r>
    <n v="235"/>
    <d v="2024-08-22T00:00:00"/>
    <n v="1055"/>
    <s v="Customer_97"/>
    <s v="Corporate"/>
    <x v="3"/>
    <s v="Clothing"/>
    <s v="Product_C"/>
    <n v="4730"/>
    <n v="8"/>
    <n v="0.28000000000000003"/>
    <n v="1356"/>
    <s v="Card"/>
    <n v="27244.799999999999"/>
    <s v="Aug"/>
    <n v="2024"/>
    <s v="Q3"/>
    <n v="4.9770965468639891E-2"/>
    <n v="10595.2"/>
    <s v="High"/>
    <s v="Repeat"/>
    <s v="Above Avg"/>
    <s v="Profit"/>
    <n v="34"/>
  </r>
  <r>
    <n v="236"/>
    <d v="2024-08-23T00:00:00"/>
    <n v="1034"/>
    <s v="Customer_177"/>
    <s v="Consumer"/>
    <x v="2"/>
    <s v="Furniture"/>
    <s v="Product_C"/>
    <n v="4044"/>
    <n v="8"/>
    <n v="0.13"/>
    <n v="-288"/>
    <s v="UPI"/>
    <n v="28146.240000000002"/>
    <s v="Aug"/>
    <n v="2024"/>
    <s v="Q3"/>
    <n v="-1.0232272587741736E-2"/>
    <n v="4205.76"/>
    <s v="High"/>
    <s v="Repeat"/>
    <s v="Above Avg"/>
    <s v="Loss"/>
    <n v="29"/>
  </r>
  <r>
    <n v="237"/>
    <d v="2024-08-24T00:00:00"/>
    <n v="1037"/>
    <s v="Customer_40"/>
    <s v="Corporate"/>
    <x v="3"/>
    <s v="Electronics"/>
    <s v="Product_D"/>
    <n v="1901"/>
    <n v="8"/>
    <n v="0.26"/>
    <n v="1933"/>
    <s v="UPI"/>
    <n v="11253.92"/>
    <s v="Aug"/>
    <n v="2024"/>
    <s v="Q3"/>
    <n v="0.17176237257773291"/>
    <n v="3954.08"/>
    <s v="High"/>
    <s v="Repeat"/>
    <s v="Above Avg"/>
    <s v="Profit"/>
    <n v="186"/>
  </r>
  <r>
    <n v="238"/>
    <d v="2024-08-25T00:00:00"/>
    <n v="1049"/>
    <s v="Customer_144"/>
    <s v="Consumer"/>
    <x v="0"/>
    <s v="Electronics"/>
    <s v="Product_A"/>
    <n v="4270"/>
    <n v="6"/>
    <n v="0.05"/>
    <n v="1845"/>
    <s v="Card"/>
    <n v="24339"/>
    <s v="Aug"/>
    <n v="2024"/>
    <s v="Q3"/>
    <n v="7.5804264760261308E-2"/>
    <n v="1281"/>
    <s v="High"/>
    <s v="Repeat"/>
    <s v="Above Avg"/>
    <s v="Profit"/>
    <n v="48"/>
  </r>
  <r>
    <n v="239"/>
    <d v="2024-08-26T00:00:00"/>
    <n v="1087"/>
    <s v="Customer_102"/>
    <s v="Corporate"/>
    <x v="3"/>
    <s v="Furniture"/>
    <s v="Product_B"/>
    <n v="3460"/>
    <n v="2"/>
    <n v="0.16"/>
    <n v="898"/>
    <s v="UPI"/>
    <n v="5812.8"/>
    <s v="Aug"/>
    <n v="2024"/>
    <s v="Q3"/>
    <n v="0.15448665015139004"/>
    <n v="1107.2"/>
    <s v="High"/>
    <s v="Repeat"/>
    <s v="Below Avg"/>
    <s v="Profit"/>
    <n v="300"/>
  </r>
  <r>
    <n v="240"/>
    <d v="2024-08-27T00:00:00"/>
    <n v="1085"/>
    <s v="Customer_108"/>
    <s v="Consumer"/>
    <x v="1"/>
    <s v="Furniture"/>
    <s v="Product_C"/>
    <n v="4062"/>
    <n v="1"/>
    <n v="0.18"/>
    <n v="630"/>
    <s v="Card"/>
    <n v="3330.84"/>
    <s v="Aug"/>
    <n v="2024"/>
    <s v="Q3"/>
    <n v="0.18914147782541341"/>
    <n v="731.16"/>
    <s v="Medium"/>
    <s v="Repeat"/>
    <s v="Below Avg"/>
    <s v="Profit"/>
    <n v="385"/>
  </r>
  <r>
    <n v="241"/>
    <d v="2024-08-28T00:00:00"/>
    <n v="1025"/>
    <s v="Customer_34"/>
    <s v="Corporate"/>
    <x v="0"/>
    <s v="Furniture"/>
    <s v="Product_C"/>
    <n v="3312"/>
    <n v="6"/>
    <n v="0.18"/>
    <n v="1603"/>
    <s v="UPI"/>
    <n v="16295.04"/>
    <s v="Aug"/>
    <n v="2024"/>
    <s v="Q3"/>
    <n v="9.8373492792898934E-2"/>
    <n v="3576.96"/>
    <s v="High"/>
    <s v="Repeat"/>
    <s v="Above Avg"/>
    <s v="Profit"/>
    <n v="119"/>
  </r>
  <r>
    <n v="242"/>
    <d v="2024-08-29T00:00:00"/>
    <n v="1017"/>
    <s v="Customer_127"/>
    <s v="Corporate"/>
    <x v="0"/>
    <s v="Electronics"/>
    <s v="Product_B"/>
    <n v="2687"/>
    <n v="2"/>
    <n v="0.15"/>
    <n v="564"/>
    <s v="UPI"/>
    <n v="4567.8999999999996"/>
    <s v="Aug"/>
    <n v="2024"/>
    <s v="Q3"/>
    <n v="0.12347030364062261"/>
    <n v="806.1"/>
    <s v="Medium"/>
    <s v="Repeat"/>
    <s v="Below Avg"/>
    <s v="Profit"/>
    <n v="336"/>
  </r>
  <r>
    <n v="243"/>
    <d v="2024-08-30T00:00:00"/>
    <n v="1058"/>
    <s v="Customer_134"/>
    <s v="Corporate"/>
    <x v="3"/>
    <s v="Furniture"/>
    <s v="Product_B"/>
    <n v="4904"/>
    <n v="7"/>
    <n v="0.23"/>
    <n v="984"/>
    <s v="Card"/>
    <n v="26432.560000000001"/>
    <s v="Aug"/>
    <n v="2024"/>
    <s v="Q3"/>
    <n v="3.7226814201878289E-2"/>
    <n v="7895.4400000000005"/>
    <s v="High"/>
    <s v="Repeat"/>
    <s v="Above Avg"/>
    <s v="Profit"/>
    <n v="38"/>
  </r>
  <r>
    <n v="244"/>
    <d v="2024-08-31T00:00:00"/>
    <n v="1066"/>
    <s v="Customer_103"/>
    <s v="Consumer"/>
    <x v="3"/>
    <s v="Electronics"/>
    <s v="Product_D"/>
    <n v="1799"/>
    <n v="2"/>
    <n v="0.05"/>
    <n v="241"/>
    <s v="Card"/>
    <n v="3418.1"/>
    <s v="Aug"/>
    <n v="2024"/>
    <s v="Q3"/>
    <n v="7.0507006816652534E-2"/>
    <n v="179.9"/>
    <s v="Medium"/>
    <s v="Repeat"/>
    <s v="Below Avg"/>
    <s v="Profit"/>
    <n v="380"/>
  </r>
  <r>
    <n v="245"/>
    <d v="2024-09-01T00:00:00"/>
    <n v="1045"/>
    <s v="Customer_87"/>
    <s v="Consumer"/>
    <x v="2"/>
    <s v="Clothing"/>
    <s v="Product_A"/>
    <n v="247"/>
    <n v="7"/>
    <n v="0.02"/>
    <n v="452"/>
    <s v="UPI"/>
    <n v="1694.42"/>
    <s v="Sep"/>
    <n v="2024"/>
    <s v="Q3"/>
    <n v="0.26675794667201758"/>
    <n v="34.58"/>
    <s v="Low"/>
    <s v="Repeat"/>
    <s v="Below Avg"/>
    <s v="Profit"/>
    <n v="447"/>
  </r>
  <r>
    <n v="246"/>
    <d v="2024-09-02T00:00:00"/>
    <n v="1010"/>
    <s v="Customer_181"/>
    <s v="Corporate"/>
    <x v="1"/>
    <s v="Furniture"/>
    <s v="Product_C"/>
    <n v="3111"/>
    <n v="1"/>
    <n v="0.04"/>
    <n v="120"/>
    <s v="Card"/>
    <n v="2986.56"/>
    <s v="Sep"/>
    <n v="2024"/>
    <s v="Q3"/>
    <n v="4.0180006428801027E-2"/>
    <n v="124.44"/>
    <s v="Medium"/>
    <s v="Repeat"/>
    <s v="Below Avg"/>
    <s v="Profit"/>
    <n v="394"/>
  </r>
  <r>
    <n v="247"/>
    <d v="2024-09-03T00:00:00"/>
    <n v="1008"/>
    <s v="Customer_114"/>
    <s v="Corporate"/>
    <x v="3"/>
    <s v="Electronics"/>
    <s v="Product_B"/>
    <n v="1629"/>
    <n v="6"/>
    <n v="0.17"/>
    <n v="1561"/>
    <s v="UPI"/>
    <n v="8112.4199999999901"/>
    <s v="Sep"/>
    <n v="2024"/>
    <s v="Q3"/>
    <n v="0.19242100384348959"/>
    <n v="1661.5800000000002"/>
    <s v="High"/>
    <s v="Repeat"/>
    <s v="Below Avg"/>
    <s v="Profit"/>
    <n v="247"/>
  </r>
  <r>
    <n v="248"/>
    <d v="2024-09-04T00:00:00"/>
    <n v="1096"/>
    <s v="Customer_149"/>
    <s v="Corporate"/>
    <x v="1"/>
    <s v="Electronics"/>
    <s v="Product_A"/>
    <n v="4607"/>
    <n v="8"/>
    <n v="7.0000000000000007E-2"/>
    <n v="746"/>
    <s v="UPI"/>
    <n v="34276.0799999999"/>
    <s v="Sep"/>
    <n v="2024"/>
    <s v="Q3"/>
    <n v="2.1764449143542731E-2"/>
    <n v="2579.92"/>
    <s v="High"/>
    <s v="Repeat"/>
    <s v="Above Avg"/>
    <s v="Profit"/>
    <n v="13"/>
  </r>
  <r>
    <n v="249"/>
    <d v="2024-09-05T00:00:00"/>
    <n v="1025"/>
    <s v="Customer_99"/>
    <s v="Corporate"/>
    <x v="2"/>
    <s v="Clothing"/>
    <s v="Product_A"/>
    <n v="217"/>
    <n v="4"/>
    <n v="0.22"/>
    <n v="-1"/>
    <s v="COD"/>
    <n v="677.04"/>
    <s v="Sep"/>
    <n v="2024"/>
    <s v="Q3"/>
    <n v="-1.4770176060498641E-3"/>
    <n v="190.96"/>
    <s v="Low"/>
    <s v="Repeat"/>
    <s v="Below Avg"/>
    <s v="Loss"/>
    <n v="485"/>
  </r>
  <r>
    <n v="250"/>
    <d v="2024-09-06T00:00:00"/>
    <n v="1099"/>
    <s v="Customer_157"/>
    <s v="Corporate"/>
    <x v="1"/>
    <s v="Electronics"/>
    <s v="Product_A"/>
    <n v="4979"/>
    <n v="2"/>
    <n v="0.02"/>
    <n v="1538"/>
    <s v="COD"/>
    <n v="9758.84"/>
    <s v="Sep"/>
    <n v="2024"/>
    <s v="Q3"/>
    <n v="0.15760069844366748"/>
    <n v="199.16"/>
    <s v="High"/>
    <s v="Repeat"/>
    <s v="Below Avg"/>
    <s v="Profit"/>
    <n v="208"/>
  </r>
  <r>
    <n v="251"/>
    <d v="2024-09-07T00:00:00"/>
    <n v="1067"/>
    <s v="Customer_2"/>
    <s v="Consumer"/>
    <x v="0"/>
    <s v="Furniture"/>
    <s v="Product_A"/>
    <n v="586"/>
    <n v="9"/>
    <n v="0.27"/>
    <n v="781"/>
    <s v="COD"/>
    <n v="3850.02"/>
    <s v="Sep"/>
    <n v="2024"/>
    <s v="Q3"/>
    <n v="0.20285608905927763"/>
    <n v="1423.98"/>
    <s v="Medium"/>
    <s v="Repeat"/>
    <s v="Below Avg"/>
    <s v="Profit"/>
    <n v="360"/>
  </r>
  <r>
    <n v="252"/>
    <d v="2024-09-08T00:00:00"/>
    <n v="1065"/>
    <s v="Customer_97"/>
    <s v="Consumer"/>
    <x v="2"/>
    <s v="Furniture"/>
    <s v="Product_C"/>
    <n v="1335"/>
    <n v="6"/>
    <n v="0.28999999999999998"/>
    <n v="598"/>
    <s v="Card"/>
    <n v="5687.0999999999904"/>
    <s v="Sep"/>
    <n v="2024"/>
    <s v="Q3"/>
    <n v="0.10515025232543845"/>
    <n v="2322.8999999999996"/>
    <s v="High"/>
    <s v="Repeat"/>
    <s v="Below Avg"/>
    <s v="Profit"/>
    <n v="304"/>
  </r>
  <r>
    <n v="253"/>
    <d v="2024-09-09T00:00:00"/>
    <n v="1007"/>
    <s v="Customer_26"/>
    <s v="Consumer"/>
    <x v="0"/>
    <s v="Electronics"/>
    <s v="Product_A"/>
    <n v="2947"/>
    <n v="2"/>
    <n v="0.24"/>
    <n v="48"/>
    <s v="COD"/>
    <n v="4479.4399999999996"/>
    <s v="Sep"/>
    <n v="2024"/>
    <s v="Q3"/>
    <n v="1.0715625167431644E-2"/>
    <n v="1414.56"/>
    <s v="Medium"/>
    <s v="Repeat"/>
    <s v="Below Avg"/>
    <s v="Profit"/>
    <n v="339"/>
  </r>
  <r>
    <n v="254"/>
    <d v="2024-09-10T00:00:00"/>
    <n v="1070"/>
    <s v="Customer_44"/>
    <s v="Corporate"/>
    <x v="1"/>
    <s v="Electronics"/>
    <s v="Product_C"/>
    <n v="1121"/>
    <n v="5"/>
    <n v="0.26"/>
    <n v="1771"/>
    <s v="COD"/>
    <n v="4147.7"/>
    <s v="Sep"/>
    <n v="2024"/>
    <s v="Q3"/>
    <n v="0.42698362948139934"/>
    <n v="1457.3"/>
    <s v="Medium"/>
    <s v="Repeat"/>
    <s v="Below Avg"/>
    <s v="Profit"/>
    <n v="347"/>
  </r>
  <r>
    <n v="255"/>
    <d v="2024-09-11T00:00:00"/>
    <n v="1099"/>
    <s v="Customer_18"/>
    <s v="Consumer"/>
    <x v="0"/>
    <s v="Electronics"/>
    <s v="Product_B"/>
    <n v="2319"/>
    <n v="7"/>
    <n v="0.11"/>
    <n v="-105"/>
    <s v="UPI"/>
    <n v="14447.37"/>
    <s v="Sep"/>
    <n v="2024"/>
    <s v="Q3"/>
    <n v="-7.2677587685509538E-3"/>
    <n v="1785.63"/>
    <s v="High"/>
    <s v="Repeat"/>
    <s v="Above Avg"/>
    <s v="Loss"/>
    <n v="143"/>
  </r>
  <r>
    <n v="256"/>
    <d v="2024-09-12T00:00:00"/>
    <n v="1097"/>
    <s v="Customer_98"/>
    <s v="Corporate"/>
    <x v="0"/>
    <s v="Clothing"/>
    <s v="Product_C"/>
    <n v="3265"/>
    <n v="3"/>
    <n v="0.05"/>
    <n v="1937"/>
    <s v="Card"/>
    <n v="9305.25"/>
    <s v="Sep"/>
    <n v="2024"/>
    <s v="Q3"/>
    <n v="0.20816205905268531"/>
    <n v="489.75"/>
    <s v="High"/>
    <s v="Repeat"/>
    <s v="Below Avg"/>
    <s v="Profit"/>
    <n v="225"/>
  </r>
  <r>
    <n v="257"/>
    <d v="2024-09-13T00:00:00"/>
    <n v="1039"/>
    <s v="Customer_30"/>
    <s v="Corporate"/>
    <x v="2"/>
    <s v="Furniture"/>
    <s v="Product_A"/>
    <n v="3199"/>
    <n v="1"/>
    <n v="0.06"/>
    <n v="1657"/>
    <s v="Card"/>
    <n v="3007.06"/>
    <s v="Sep"/>
    <n v="2024"/>
    <s v="Q3"/>
    <n v="0.55103656062732376"/>
    <n v="191.94"/>
    <s v="Medium"/>
    <s v="Repeat"/>
    <s v="Below Avg"/>
    <s v="Profit"/>
    <n v="392"/>
  </r>
  <r>
    <n v="258"/>
    <d v="2024-09-14T00:00:00"/>
    <n v="1082"/>
    <s v="Customer_108"/>
    <s v="Corporate"/>
    <x v="0"/>
    <s v="Electronics"/>
    <s v="Product_B"/>
    <n v="316"/>
    <n v="5"/>
    <n v="0.15"/>
    <n v="897"/>
    <s v="UPI"/>
    <n v="1343"/>
    <s v="Sep"/>
    <n v="2024"/>
    <s v="Q3"/>
    <n v="0.66790766939687263"/>
    <n v="237"/>
    <s v="Low"/>
    <s v="Repeat"/>
    <s v="Below Avg"/>
    <s v="Profit"/>
    <n v="465"/>
  </r>
  <r>
    <n v="259"/>
    <d v="2024-09-15T00:00:00"/>
    <n v="1092"/>
    <s v="Customer_23"/>
    <s v="Consumer"/>
    <x v="0"/>
    <s v="Furniture"/>
    <s v="Product_C"/>
    <n v="4046"/>
    <n v="5"/>
    <n v="0.2"/>
    <n v="-246"/>
    <s v="COD"/>
    <n v="16184"/>
    <s v="Sep"/>
    <n v="2024"/>
    <s v="Q3"/>
    <n v="-1.5200197726149283E-2"/>
    <n v="4046"/>
    <s v="High"/>
    <s v="Repeat"/>
    <s v="Above Avg"/>
    <s v="Loss"/>
    <n v="122"/>
  </r>
  <r>
    <n v="260"/>
    <d v="2024-09-16T00:00:00"/>
    <n v="1038"/>
    <s v="Customer_48"/>
    <s v="Corporate"/>
    <x v="2"/>
    <s v="Clothing"/>
    <s v="Product_C"/>
    <n v="2805"/>
    <n v="7"/>
    <n v="0.17"/>
    <n v="1777"/>
    <s v="Card"/>
    <n v="16297.05"/>
    <s v="Sep"/>
    <n v="2024"/>
    <s v="Q3"/>
    <n v="0.10903813880426212"/>
    <n v="3337.9500000000003"/>
    <s v="High"/>
    <s v="Repeat"/>
    <s v="Above Avg"/>
    <s v="Profit"/>
    <n v="118"/>
  </r>
  <r>
    <n v="261"/>
    <d v="2024-09-17T00:00:00"/>
    <n v="1005"/>
    <s v="Customer_183"/>
    <s v="Corporate"/>
    <x v="0"/>
    <s v="Clothing"/>
    <s v="Product_B"/>
    <n v="1983"/>
    <n v="6"/>
    <n v="0.03"/>
    <n v="722"/>
    <s v="UPI"/>
    <n v="11541.06"/>
    <s v="Sep"/>
    <n v="2024"/>
    <s v="Q3"/>
    <n v="6.2559244991361285E-2"/>
    <n v="356.94"/>
    <s v="High"/>
    <s v="Repeat"/>
    <s v="Above Avg"/>
    <s v="Profit"/>
    <n v="180"/>
  </r>
  <r>
    <n v="262"/>
    <d v="2024-09-18T00:00:00"/>
    <n v="1009"/>
    <s v="Customer_127"/>
    <s v="Corporate"/>
    <x v="1"/>
    <s v="Furniture"/>
    <s v="Product_C"/>
    <n v="1606"/>
    <n v="1"/>
    <n v="0.22"/>
    <n v="1195"/>
    <s v="COD"/>
    <n v="1252.68"/>
    <s v="Sep"/>
    <n v="2024"/>
    <s v="Q3"/>
    <n v="0.95395472107800872"/>
    <n v="353.32"/>
    <s v="Low"/>
    <s v="Repeat"/>
    <s v="Below Avg"/>
    <s v="Profit"/>
    <n v="468"/>
  </r>
  <r>
    <n v="263"/>
    <d v="2024-09-19T00:00:00"/>
    <n v="1040"/>
    <s v="Customer_23"/>
    <s v="Corporate"/>
    <x v="0"/>
    <s v="Clothing"/>
    <s v="Product_D"/>
    <n v="4264"/>
    <n v="1"/>
    <n v="0.24"/>
    <n v="-20"/>
    <s v="UPI"/>
    <n v="3240.64"/>
    <s v="Sep"/>
    <n v="2024"/>
    <s v="Q3"/>
    <n v="-6.1716204206576485E-3"/>
    <n v="1023.36"/>
    <s v="Medium"/>
    <s v="Repeat"/>
    <s v="Below Avg"/>
    <s v="Loss"/>
    <n v="386"/>
  </r>
  <r>
    <n v="264"/>
    <d v="2024-09-20T00:00:00"/>
    <n v="1068"/>
    <s v="Customer_40"/>
    <s v="Corporate"/>
    <x v="1"/>
    <s v="Furniture"/>
    <s v="Product_A"/>
    <n v="2397"/>
    <n v="7"/>
    <n v="0.01"/>
    <n v="-217"/>
    <s v="COD"/>
    <n v="16611.21"/>
    <s v="Sep"/>
    <n v="2024"/>
    <s v="Q3"/>
    <n v="-1.3063467381364754E-2"/>
    <n v="167.79"/>
    <s v="High"/>
    <s v="Repeat"/>
    <s v="Above Avg"/>
    <s v="Loss"/>
    <n v="113"/>
  </r>
  <r>
    <n v="265"/>
    <d v="2024-09-21T00:00:00"/>
    <n v="1087"/>
    <s v="Customer_64"/>
    <s v="Corporate"/>
    <x v="2"/>
    <s v="Furniture"/>
    <s v="Product_B"/>
    <n v="1811"/>
    <n v="2"/>
    <n v="0.14000000000000001"/>
    <n v="1730"/>
    <s v="UPI"/>
    <n v="3114.92"/>
    <s v="Sep"/>
    <n v="2024"/>
    <s v="Q3"/>
    <n v="0.55539147072798012"/>
    <n v="507.08000000000004"/>
    <s v="Medium"/>
    <s v="Repeat"/>
    <s v="Below Avg"/>
    <s v="Profit"/>
    <n v="389"/>
  </r>
  <r>
    <n v="266"/>
    <d v="2024-09-22T00:00:00"/>
    <n v="1021"/>
    <s v="Customer_72"/>
    <s v="Corporate"/>
    <x v="2"/>
    <s v="Electronics"/>
    <s v="Product_A"/>
    <n v="1107"/>
    <n v="9"/>
    <n v="0.13"/>
    <n v="655"/>
    <s v="Card"/>
    <n v="8667.81"/>
    <s v="Sep"/>
    <n v="2024"/>
    <s v="Q3"/>
    <n v="7.5566954051830865E-2"/>
    <n v="1295.19"/>
    <s v="High"/>
    <s v="Repeat"/>
    <s v="Below Avg"/>
    <s v="Profit"/>
    <n v="235"/>
  </r>
  <r>
    <n v="267"/>
    <d v="2024-09-23T00:00:00"/>
    <n v="1089"/>
    <s v="Customer_142"/>
    <s v="Consumer"/>
    <x v="0"/>
    <s v="Electronics"/>
    <s v="Product_D"/>
    <n v="2696"/>
    <n v="9"/>
    <n v="0.02"/>
    <n v="445"/>
    <s v="Card"/>
    <n v="23778.720000000001"/>
    <s v="Sep"/>
    <n v="2024"/>
    <s v="Q3"/>
    <n v="1.8714211698527085E-2"/>
    <n v="485.28000000000003"/>
    <s v="High"/>
    <s v="Repeat"/>
    <s v="Above Avg"/>
    <s v="Profit"/>
    <n v="53"/>
  </r>
  <r>
    <n v="268"/>
    <d v="2024-09-24T00:00:00"/>
    <n v="1050"/>
    <s v="Customer_124"/>
    <s v="Corporate"/>
    <x v="2"/>
    <s v="Furniture"/>
    <s v="Product_B"/>
    <n v="3486"/>
    <n v="4"/>
    <n v="0.05"/>
    <n v="1943"/>
    <s v="COD"/>
    <n v="13246.8"/>
    <s v="Sep"/>
    <n v="2024"/>
    <s v="Q3"/>
    <n v="0.14667693329709819"/>
    <n v="697.2"/>
    <s v="High"/>
    <s v="Repeat"/>
    <s v="Above Avg"/>
    <s v="Profit"/>
    <n v="158"/>
  </r>
  <r>
    <n v="269"/>
    <d v="2024-09-25T00:00:00"/>
    <n v="1036"/>
    <s v="Customer_110"/>
    <s v="Corporate"/>
    <x v="2"/>
    <s v="Electronics"/>
    <s v="Product_A"/>
    <n v="1882"/>
    <n v="3"/>
    <n v="0.24"/>
    <n v="1096"/>
    <s v="COD"/>
    <n v="4290.96"/>
    <s v="Sep"/>
    <n v="2024"/>
    <s v="Q3"/>
    <n v="0.25542069839849357"/>
    <n v="1355.04"/>
    <s v="Medium"/>
    <s v="Repeat"/>
    <s v="Below Avg"/>
    <s v="Profit"/>
    <n v="342"/>
  </r>
  <r>
    <n v="270"/>
    <d v="2024-09-26T00:00:00"/>
    <n v="1044"/>
    <s v="Customer_78"/>
    <s v="Corporate"/>
    <x v="3"/>
    <s v="Furniture"/>
    <s v="Product_C"/>
    <n v="4244"/>
    <n v="8"/>
    <n v="0.18"/>
    <n v="1997"/>
    <s v="UPI"/>
    <n v="27840.639999999999"/>
    <s v="Sep"/>
    <n v="2024"/>
    <s v="Q3"/>
    <n v="7.1729672881083201E-2"/>
    <n v="6111.36"/>
    <s v="High"/>
    <s v="Repeat"/>
    <s v="Above Avg"/>
    <s v="Profit"/>
    <n v="33"/>
  </r>
  <r>
    <n v="271"/>
    <d v="2024-09-27T00:00:00"/>
    <n v="1092"/>
    <s v="Customer_2"/>
    <s v="Consumer"/>
    <x v="1"/>
    <s v="Clothing"/>
    <s v="Product_D"/>
    <n v="2461"/>
    <n v="4"/>
    <n v="7.0000000000000007E-2"/>
    <n v="1327"/>
    <s v="Card"/>
    <n v="9154.92"/>
    <s v="Sep"/>
    <n v="2024"/>
    <s v="Q3"/>
    <n v="0.14494938240858468"/>
    <n v="689.08"/>
    <s v="High"/>
    <s v="Repeat"/>
    <s v="Below Avg"/>
    <s v="Profit"/>
    <n v="228"/>
  </r>
  <r>
    <n v="272"/>
    <d v="2024-09-28T00:00:00"/>
    <n v="1099"/>
    <s v="Customer_122"/>
    <s v="Corporate"/>
    <x v="0"/>
    <s v="Electronics"/>
    <s v="Product_B"/>
    <n v="4549"/>
    <n v="3"/>
    <n v="0.14000000000000001"/>
    <n v="1353"/>
    <s v="COD"/>
    <n v="11736.42"/>
    <s v="Sep"/>
    <n v="2024"/>
    <s v="Q3"/>
    <n v="0.11528217292837169"/>
    <n v="1910.5800000000002"/>
    <s v="High"/>
    <s v="Repeat"/>
    <s v="Above Avg"/>
    <s v="Profit"/>
    <n v="176"/>
  </r>
  <r>
    <n v="273"/>
    <d v="2024-09-29T00:00:00"/>
    <n v="1083"/>
    <s v="Customer_4"/>
    <s v="Corporate"/>
    <x v="0"/>
    <s v="Furniture"/>
    <s v="Product_D"/>
    <n v="1134"/>
    <n v="3"/>
    <n v="0.26"/>
    <n v="1911"/>
    <s v="UPI"/>
    <n v="2517.48"/>
    <s v="Sep"/>
    <n v="2024"/>
    <s v="Q3"/>
    <n v="0.75909242575909242"/>
    <n v="884.52"/>
    <s v="Medium"/>
    <s v="Repeat"/>
    <s v="Below Avg"/>
    <s v="Profit"/>
    <n v="409"/>
  </r>
  <r>
    <n v="274"/>
    <d v="2024-09-30T00:00:00"/>
    <n v="1081"/>
    <s v="Customer_100"/>
    <s v="Consumer"/>
    <x v="2"/>
    <s v="Electronics"/>
    <s v="Product_C"/>
    <n v="3921"/>
    <n v="3"/>
    <n v="0.03"/>
    <n v="-471"/>
    <s v="COD"/>
    <n v="11410.11"/>
    <s v="Sep"/>
    <n v="2024"/>
    <s v="Q3"/>
    <n v="-4.1279181357585508E-2"/>
    <n v="352.89"/>
    <s v="High"/>
    <s v="Repeat"/>
    <s v="Above Avg"/>
    <s v="Loss"/>
    <n v="182"/>
  </r>
  <r>
    <n v="275"/>
    <d v="2024-10-01T00:00:00"/>
    <n v="1061"/>
    <s v="Customer_9"/>
    <s v="Consumer"/>
    <x v="3"/>
    <s v="Electronics"/>
    <s v="Product_C"/>
    <n v="3876"/>
    <n v="1"/>
    <n v="0.28999999999999998"/>
    <n v="71"/>
    <s v="UPI"/>
    <n v="2751.96"/>
    <s v="Oct"/>
    <n v="2024"/>
    <s v="Q4"/>
    <n v="2.5799793601651185E-2"/>
    <n v="1124.04"/>
    <s v="Medium"/>
    <s v="Repeat"/>
    <s v="Below Avg"/>
    <s v="Profit"/>
    <n v="401"/>
  </r>
  <r>
    <n v="276"/>
    <d v="2024-10-02T00:00:00"/>
    <n v="1014"/>
    <s v="Customer_16"/>
    <s v="Corporate"/>
    <x v="2"/>
    <s v="Furniture"/>
    <s v="Product_B"/>
    <n v="4808"/>
    <n v="5"/>
    <n v="0.04"/>
    <n v="860"/>
    <s v="COD"/>
    <n v="23078.3999999999"/>
    <s v="Oct"/>
    <n v="2024"/>
    <s v="Q4"/>
    <n v="3.7264281752634659E-2"/>
    <n v="961.6"/>
    <s v="High"/>
    <s v="Repeat"/>
    <s v="Above Avg"/>
    <s v="Profit"/>
    <n v="58"/>
  </r>
  <r>
    <n v="277"/>
    <d v="2024-10-03T00:00:00"/>
    <n v="1078"/>
    <s v="Customer_96"/>
    <s v="Consumer"/>
    <x v="0"/>
    <s v="Furniture"/>
    <s v="Product_B"/>
    <n v="1839"/>
    <n v="2"/>
    <n v="0.09"/>
    <n v="1136"/>
    <s v="COD"/>
    <n v="3346.98"/>
    <s v="Oct"/>
    <n v="2024"/>
    <s v="Q4"/>
    <n v="0.33941045360294952"/>
    <n v="331.02"/>
    <s v="Medium"/>
    <s v="Repeat"/>
    <s v="Below Avg"/>
    <s v="Profit"/>
    <n v="384"/>
  </r>
  <r>
    <n v="278"/>
    <d v="2024-10-04T00:00:00"/>
    <n v="1023"/>
    <s v="Customer_160"/>
    <s v="Consumer"/>
    <x v="2"/>
    <s v="Furniture"/>
    <s v="Product_D"/>
    <n v="535"/>
    <n v="7"/>
    <n v="0.05"/>
    <n v="-213"/>
    <s v="COD"/>
    <n v="3557.75"/>
    <s v="Oct"/>
    <n v="2024"/>
    <s v="Q4"/>
    <n v="-5.9869299416766213E-2"/>
    <n v="187.25"/>
    <s v="Medium"/>
    <s v="Repeat"/>
    <s v="Below Avg"/>
    <s v="Loss"/>
    <n v="374"/>
  </r>
  <r>
    <n v="279"/>
    <d v="2024-10-05T00:00:00"/>
    <n v="1062"/>
    <s v="Customer_27"/>
    <s v="Corporate"/>
    <x v="3"/>
    <s v="Electronics"/>
    <s v="Product_B"/>
    <n v="592"/>
    <n v="4"/>
    <n v="0.14000000000000001"/>
    <n v="549"/>
    <s v="COD"/>
    <n v="2036.48"/>
    <s v="Oct"/>
    <n v="2024"/>
    <s v="Q4"/>
    <n v="0.26958280955373981"/>
    <n v="331.52000000000004"/>
    <s v="Medium"/>
    <s v="Repeat"/>
    <s v="Below Avg"/>
    <s v="Profit"/>
    <n v="428"/>
  </r>
  <r>
    <n v="280"/>
    <d v="2024-10-06T00:00:00"/>
    <n v="1028"/>
    <s v="Customer_15"/>
    <s v="Consumer"/>
    <x v="2"/>
    <s v="Electronics"/>
    <s v="Product_A"/>
    <n v="4041"/>
    <n v="2"/>
    <n v="0.09"/>
    <n v="-358"/>
    <s v="UPI"/>
    <n v="7354.62"/>
    <s v="Oct"/>
    <n v="2024"/>
    <s v="Q4"/>
    <n v="-4.8676886093367164E-2"/>
    <n v="727.38"/>
    <s v="High"/>
    <s v="Repeat"/>
    <s v="Below Avg"/>
    <s v="Loss"/>
    <n v="267"/>
  </r>
  <r>
    <n v="281"/>
    <d v="2024-10-07T00:00:00"/>
    <n v="1080"/>
    <s v="Customer_68"/>
    <s v="Consumer"/>
    <x v="3"/>
    <s v="Furniture"/>
    <s v="Product_D"/>
    <n v="2216"/>
    <n v="8"/>
    <n v="0.3"/>
    <n v="618"/>
    <s v="COD"/>
    <n v="12409.5999999999"/>
    <s v="Oct"/>
    <n v="2024"/>
    <s v="Q4"/>
    <n v="4.9800154718927681E-2"/>
    <n v="5318.4"/>
    <s v="High"/>
    <s v="Repeat"/>
    <s v="Above Avg"/>
    <s v="Profit"/>
    <n v="164"/>
  </r>
  <r>
    <n v="282"/>
    <d v="2024-10-08T00:00:00"/>
    <n v="1024"/>
    <s v="Customer_25"/>
    <s v="Consumer"/>
    <x v="3"/>
    <s v="Furniture"/>
    <s v="Product_A"/>
    <n v="2168"/>
    <n v="8"/>
    <n v="0"/>
    <n v="853"/>
    <s v="Card"/>
    <n v="17344"/>
    <s v="Oct"/>
    <n v="2024"/>
    <s v="Q4"/>
    <n v="4.9181273062730631E-2"/>
    <n v="0"/>
    <s v="High"/>
    <s v="Repeat"/>
    <s v="Above Avg"/>
    <s v="Profit"/>
    <n v="101"/>
  </r>
  <r>
    <n v="283"/>
    <d v="2024-10-09T00:00:00"/>
    <n v="1015"/>
    <s v="Customer_15"/>
    <s v="Consumer"/>
    <x v="2"/>
    <s v="Clothing"/>
    <s v="Product_D"/>
    <n v="1828"/>
    <n v="1"/>
    <n v="0.1"/>
    <n v="892"/>
    <s v="COD"/>
    <n v="1645.2"/>
    <s v="Oct"/>
    <n v="2024"/>
    <s v="Q4"/>
    <n v="0.54218332117675661"/>
    <n v="182.8"/>
    <s v="Low"/>
    <s v="Repeat"/>
    <s v="Below Avg"/>
    <s v="Profit"/>
    <n v="450"/>
  </r>
  <r>
    <n v="284"/>
    <d v="2024-10-10T00:00:00"/>
    <n v="1049"/>
    <s v="Customer_12"/>
    <s v="Corporate"/>
    <x v="0"/>
    <s v="Electronics"/>
    <s v="Product_B"/>
    <n v="2743"/>
    <n v="5"/>
    <n v="0.18"/>
    <n v="-288"/>
    <s v="COD"/>
    <n v="11246.3"/>
    <s v="Oct"/>
    <n v="2024"/>
    <s v="Q4"/>
    <n v="-2.5608422325564855E-2"/>
    <n v="2468.6999999999998"/>
    <s v="High"/>
    <s v="Repeat"/>
    <s v="Above Avg"/>
    <s v="Loss"/>
    <n v="187"/>
  </r>
  <r>
    <n v="285"/>
    <d v="2024-10-11T00:00:00"/>
    <n v="1080"/>
    <s v="Customer_71"/>
    <s v="Corporate"/>
    <x v="3"/>
    <s v="Clothing"/>
    <s v="Product_C"/>
    <n v="3747"/>
    <n v="2"/>
    <n v="0.1"/>
    <n v="-334"/>
    <s v="Card"/>
    <n v="6744.6"/>
    <s v="Oct"/>
    <n v="2024"/>
    <s v="Q4"/>
    <n v="-4.9521098360169616E-2"/>
    <n v="749.40000000000009"/>
    <s v="High"/>
    <s v="Repeat"/>
    <s v="Below Avg"/>
    <s v="Loss"/>
    <n v="281"/>
  </r>
  <r>
    <n v="286"/>
    <d v="2024-10-12T00:00:00"/>
    <n v="1084"/>
    <s v="Customer_152"/>
    <s v="Corporate"/>
    <x v="0"/>
    <s v="Electronics"/>
    <s v="Product_C"/>
    <n v="3612"/>
    <n v="9"/>
    <n v="0.14000000000000001"/>
    <n v="74"/>
    <s v="COD"/>
    <n v="27956.880000000001"/>
    <s v="Oct"/>
    <n v="2024"/>
    <s v="Q4"/>
    <n v="2.6469334203244425E-3"/>
    <n v="4551.1200000000008"/>
    <s v="High"/>
    <s v="Repeat"/>
    <s v="Above Avg"/>
    <s v="Profit"/>
    <n v="31"/>
  </r>
  <r>
    <n v="287"/>
    <d v="2024-10-13T00:00:00"/>
    <n v="1090"/>
    <s v="Customer_70"/>
    <s v="Corporate"/>
    <x v="3"/>
    <s v="Electronics"/>
    <s v="Product_D"/>
    <n v="1459"/>
    <n v="2"/>
    <n v="0.13"/>
    <n v="-190"/>
    <s v="UPI"/>
    <n v="2538.66"/>
    <s v="Oct"/>
    <n v="2024"/>
    <s v="Q4"/>
    <n v="-7.4842633515319112E-2"/>
    <n v="379.34000000000003"/>
    <s v="Medium"/>
    <s v="Repeat"/>
    <s v="Below Avg"/>
    <s v="Loss"/>
    <n v="408"/>
  </r>
  <r>
    <n v="288"/>
    <d v="2024-10-14T00:00:00"/>
    <n v="1004"/>
    <s v="Customer_112"/>
    <s v="Corporate"/>
    <x v="0"/>
    <s v="Electronics"/>
    <s v="Product_A"/>
    <n v="2607"/>
    <n v="7"/>
    <n v="0.03"/>
    <n v="431"/>
    <s v="UPI"/>
    <n v="17701.53"/>
    <s v="Oct"/>
    <n v="2024"/>
    <s v="Q4"/>
    <n v="2.4348177812878322E-2"/>
    <n v="547.47"/>
    <s v="High"/>
    <s v="Repeat"/>
    <s v="Above Avg"/>
    <s v="Profit"/>
    <n v="93"/>
  </r>
  <r>
    <n v="289"/>
    <d v="2024-10-15T00:00:00"/>
    <n v="1021"/>
    <s v="Customer_169"/>
    <s v="Consumer"/>
    <x v="0"/>
    <s v="Furniture"/>
    <s v="Product_C"/>
    <n v="3261"/>
    <n v="2"/>
    <n v="0.19"/>
    <n v="1891"/>
    <s v="COD"/>
    <n v="5282.82"/>
    <s v="Oct"/>
    <n v="2024"/>
    <s v="Q4"/>
    <n v="0.35795276007889726"/>
    <n v="1239.18"/>
    <s v="High"/>
    <s v="Repeat"/>
    <s v="Below Avg"/>
    <s v="Profit"/>
    <n v="317"/>
  </r>
  <r>
    <n v="290"/>
    <d v="2024-10-16T00:00:00"/>
    <n v="1032"/>
    <s v="Customer_60"/>
    <s v="Corporate"/>
    <x v="2"/>
    <s v="Furniture"/>
    <s v="Product_D"/>
    <n v="3495"/>
    <n v="2"/>
    <n v="0.25"/>
    <n v="1055"/>
    <s v="UPI"/>
    <n v="5242.5"/>
    <s v="Oct"/>
    <n v="2024"/>
    <s v="Q4"/>
    <n v="0.20123986647591799"/>
    <n v="1747.5"/>
    <s v="High"/>
    <s v="Repeat"/>
    <s v="Below Avg"/>
    <s v="Profit"/>
    <n v="318"/>
  </r>
  <r>
    <n v="291"/>
    <d v="2024-10-17T00:00:00"/>
    <n v="1039"/>
    <s v="Customer_31"/>
    <s v="Consumer"/>
    <x v="2"/>
    <s v="Furniture"/>
    <s v="Product_D"/>
    <n v="3159"/>
    <n v="1"/>
    <n v="0.16"/>
    <n v="528"/>
    <s v="COD"/>
    <n v="2653.56"/>
    <s v="Oct"/>
    <n v="2024"/>
    <s v="Q4"/>
    <n v="0.19897797675575454"/>
    <n v="505.44"/>
    <s v="Medium"/>
    <s v="Repeat"/>
    <s v="Below Avg"/>
    <s v="Profit"/>
    <n v="406"/>
  </r>
  <r>
    <n v="292"/>
    <d v="2024-10-18T00:00:00"/>
    <n v="1001"/>
    <s v="Customer_149"/>
    <s v="Corporate"/>
    <x v="0"/>
    <s v="Furniture"/>
    <s v="Product_C"/>
    <n v="2792"/>
    <n v="1"/>
    <n v="0.04"/>
    <n v="1424"/>
    <s v="Card"/>
    <n v="2680.3199999999902"/>
    <s v="Oct"/>
    <n v="2024"/>
    <s v="Q4"/>
    <n v="0.53127984718242793"/>
    <n v="111.68"/>
    <s v="Medium"/>
    <s v="Repeat"/>
    <s v="Below Avg"/>
    <s v="Profit"/>
    <n v="404"/>
  </r>
  <r>
    <n v="293"/>
    <d v="2024-10-19T00:00:00"/>
    <n v="1098"/>
    <s v="Customer_60"/>
    <s v="Corporate"/>
    <x v="2"/>
    <s v="Furniture"/>
    <s v="Product_C"/>
    <n v="462"/>
    <n v="9"/>
    <n v="0.14000000000000001"/>
    <n v="448"/>
    <s v="UPI"/>
    <n v="3575.88"/>
    <s v="Oct"/>
    <n v="2024"/>
    <s v="Q4"/>
    <n v="0.12528384621407876"/>
    <n v="582.12"/>
    <s v="Medium"/>
    <s v="Repeat"/>
    <s v="Below Avg"/>
    <s v="Profit"/>
    <n v="372"/>
  </r>
  <r>
    <n v="294"/>
    <d v="2024-10-20T00:00:00"/>
    <n v="1082"/>
    <s v="Customer_75"/>
    <s v="Corporate"/>
    <x v="3"/>
    <s v="Electronics"/>
    <s v="Product_A"/>
    <n v="373"/>
    <n v="2"/>
    <n v="0"/>
    <n v="509"/>
    <s v="COD"/>
    <n v="746"/>
    <s v="Oct"/>
    <n v="2024"/>
    <s v="Q4"/>
    <n v="0.68230563002680966"/>
    <n v="0"/>
    <s v="Low"/>
    <s v="Repeat"/>
    <s v="Below Avg"/>
    <s v="Profit"/>
    <n v="483"/>
  </r>
  <r>
    <n v="295"/>
    <d v="2024-10-21T00:00:00"/>
    <n v="1090"/>
    <s v="Customer_14"/>
    <s v="Corporate"/>
    <x v="0"/>
    <s v="Clothing"/>
    <s v="Product_B"/>
    <n v="4106"/>
    <n v="3"/>
    <n v="0.27"/>
    <n v="1883"/>
    <s v="UPI"/>
    <n v="8992.14"/>
    <s v="Oct"/>
    <n v="2024"/>
    <s v="Q4"/>
    <n v="0.20940510267856152"/>
    <n v="3325.86"/>
    <s v="High"/>
    <s v="Repeat"/>
    <s v="Below Avg"/>
    <s v="Profit"/>
    <n v="231"/>
  </r>
  <r>
    <n v="296"/>
    <d v="2024-10-22T00:00:00"/>
    <n v="1035"/>
    <s v="Customer_102"/>
    <s v="Corporate"/>
    <x v="1"/>
    <s v="Clothing"/>
    <s v="Product_A"/>
    <n v="3188"/>
    <n v="9"/>
    <n v="7.0000000000000007E-2"/>
    <n v="956"/>
    <s v="COD"/>
    <n v="26683.559999999899"/>
    <s v="Oct"/>
    <n v="2024"/>
    <s v="Q4"/>
    <n v="3.5827303403294146E-2"/>
    <n v="2008.4400000000003"/>
    <s v="High"/>
    <s v="Repeat"/>
    <s v="Above Avg"/>
    <s v="Profit"/>
    <n v="35"/>
  </r>
  <r>
    <n v="297"/>
    <d v="2024-10-23T00:00:00"/>
    <n v="1058"/>
    <s v="Customer_82"/>
    <s v="Consumer"/>
    <x v="0"/>
    <s v="Clothing"/>
    <s v="Product_D"/>
    <n v="3427"/>
    <n v="6"/>
    <n v="0.27"/>
    <n v="803"/>
    <s v="Card"/>
    <n v="15010.26"/>
    <s v="Oct"/>
    <n v="2024"/>
    <s v="Q4"/>
    <n v="5.3496741562104856E-2"/>
    <n v="5551.7400000000007"/>
    <s v="High"/>
    <s v="Repeat"/>
    <s v="Above Avg"/>
    <s v="Profit"/>
    <n v="138"/>
  </r>
  <r>
    <n v="298"/>
    <d v="2024-10-24T00:00:00"/>
    <n v="1038"/>
    <s v="Customer_14"/>
    <s v="Consumer"/>
    <x v="3"/>
    <s v="Clothing"/>
    <s v="Product_D"/>
    <n v="227"/>
    <n v="6"/>
    <n v="0.18"/>
    <n v="1807"/>
    <s v="COD"/>
    <n v="1116.8399999999999"/>
    <s v="Oct"/>
    <n v="2024"/>
    <s v="Q4"/>
    <n v="1.6179578095340426"/>
    <n v="245.16"/>
    <s v="Low"/>
    <s v="Repeat"/>
    <s v="Below Avg"/>
    <s v="Profit"/>
    <n v="475"/>
  </r>
  <r>
    <n v="299"/>
    <d v="2024-10-25T00:00:00"/>
    <n v="1001"/>
    <s v="Customer_152"/>
    <s v="Corporate"/>
    <x v="3"/>
    <s v="Furniture"/>
    <s v="Product_B"/>
    <n v="3346"/>
    <n v="9"/>
    <n v="0.28999999999999998"/>
    <n v="784"/>
    <s v="UPI"/>
    <n v="21380.94"/>
    <s v="Oct"/>
    <n v="2024"/>
    <s v="Q4"/>
    <n v="3.6668172680901778E-2"/>
    <n v="8733.06"/>
    <s v="High"/>
    <s v="Repeat"/>
    <s v="Above Avg"/>
    <s v="Profit"/>
    <n v="72"/>
  </r>
  <r>
    <n v="300"/>
    <d v="2024-10-26T00:00:00"/>
    <n v="1052"/>
    <s v="Customer_25"/>
    <s v="Corporate"/>
    <x v="3"/>
    <s v="Clothing"/>
    <s v="Product_A"/>
    <n v="1300"/>
    <n v="7"/>
    <n v="0.25"/>
    <n v="-190"/>
    <s v="UPI"/>
    <n v="6825"/>
    <s v="Oct"/>
    <n v="2024"/>
    <s v="Q4"/>
    <n v="-2.7838827838827841E-2"/>
    <n v="2275"/>
    <s v="High"/>
    <s v="Repeat"/>
    <s v="Below Avg"/>
    <s v="Loss"/>
    <n v="276"/>
  </r>
  <r>
    <n v="301"/>
    <d v="2024-10-27T00:00:00"/>
    <n v="1017"/>
    <s v="Customer_109"/>
    <s v="Corporate"/>
    <x v="3"/>
    <s v="Clothing"/>
    <s v="Product_A"/>
    <n v="3165"/>
    <n v="3"/>
    <n v="0"/>
    <n v="286"/>
    <s v="Card"/>
    <n v="9495"/>
    <s v="Oct"/>
    <n v="2024"/>
    <s v="Q4"/>
    <n v="3.0121116377040548E-2"/>
    <n v="0"/>
    <s v="High"/>
    <s v="Repeat"/>
    <s v="Below Avg"/>
    <s v="Profit"/>
    <n v="216"/>
  </r>
  <r>
    <n v="302"/>
    <d v="2024-10-28T00:00:00"/>
    <n v="1045"/>
    <s v="Customer_108"/>
    <s v="Corporate"/>
    <x v="0"/>
    <s v="Clothing"/>
    <s v="Product_A"/>
    <n v="4359"/>
    <n v="9"/>
    <n v="0"/>
    <n v="198"/>
    <s v="Card"/>
    <n v="39231"/>
    <s v="Oct"/>
    <n v="2024"/>
    <s v="Q4"/>
    <n v="5.0470291351227348E-3"/>
    <n v="0"/>
    <s v="High"/>
    <s v="Repeat"/>
    <s v="Above Avg"/>
    <s v="Profit"/>
    <n v="3"/>
  </r>
  <r>
    <n v="303"/>
    <d v="2024-10-29T00:00:00"/>
    <n v="1022"/>
    <s v="Customer_156"/>
    <s v="Consumer"/>
    <x v="2"/>
    <s v="Electronics"/>
    <s v="Product_C"/>
    <n v="4615"/>
    <n v="4"/>
    <n v="0.22"/>
    <n v="247"/>
    <s v="COD"/>
    <n v="14398.8"/>
    <s v="Oct"/>
    <n v="2024"/>
    <s v="Q4"/>
    <n v="1.7154207295052366E-2"/>
    <n v="4061.2"/>
    <s v="High"/>
    <s v="Repeat"/>
    <s v="Above Avg"/>
    <s v="Profit"/>
    <n v="145"/>
  </r>
  <r>
    <n v="304"/>
    <d v="2024-10-30T00:00:00"/>
    <n v="1053"/>
    <s v="Customer_88"/>
    <s v="Consumer"/>
    <x v="3"/>
    <s v="Clothing"/>
    <s v="Product_D"/>
    <n v="3662"/>
    <n v="3"/>
    <n v="0.16"/>
    <n v="1555"/>
    <s v="COD"/>
    <n v="9228.24"/>
    <s v="Oct"/>
    <n v="2024"/>
    <s v="Q4"/>
    <n v="0.16850450356731078"/>
    <n v="1757.76"/>
    <s v="High"/>
    <s v="New"/>
    <s v="Below Avg"/>
    <s v="Profit"/>
    <n v="226"/>
  </r>
  <r>
    <n v="305"/>
    <d v="2024-10-31T00:00:00"/>
    <n v="1089"/>
    <s v="Customer_18"/>
    <s v="Corporate"/>
    <x v="0"/>
    <s v="Electronics"/>
    <s v="Product_A"/>
    <n v="170"/>
    <n v="9"/>
    <n v="0.23"/>
    <n v="291"/>
    <s v="COD"/>
    <n v="1178.0999999999999"/>
    <s v="Oct"/>
    <n v="2024"/>
    <s v="Q4"/>
    <n v="0.24700789406671761"/>
    <n v="351.90000000000003"/>
    <s v="Low"/>
    <s v="Repeat"/>
    <s v="Below Avg"/>
    <s v="Profit"/>
    <n v="470"/>
  </r>
  <r>
    <n v="306"/>
    <d v="2024-11-01T00:00:00"/>
    <n v="1074"/>
    <s v="Customer_57"/>
    <s v="Corporate"/>
    <x v="0"/>
    <s v="Electronics"/>
    <s v="Product_C"/>
    <n v="4005"/>
    <n v="3"/>
    <n v="0.18"/>
    <n v="940"/>
    <s v="COD"/>
    <n v="9852.2999999999993"/>
    <s v="Nov"/>
    <n v="2024"/>
    <s v="Q4"/>
    <n v="9.5409193792312469E-2"/>
    <n v="2162.6999999999998"/>
    <s v="High"/>
    <s v="Repeat"/>
    <s v="Below Avg"/>
    <s v="Profit"/>
    <n v="206"/>
  </r>
  <r>
    <n v="307"/>
    <d v="2024-11-02T00:00:00"/>
    <n v="1000"/>
    <s v="Customer_98"/>
    <s v="Consumer"/>
    <x v="0"/>
    <s v="Electronics"/>
    <s v="Product_C"/>
    <n v="568"/>
    <n v="1"/>
    <n v="7.0000000000000007E-2"/>
    <n v="1894"/>
    <s v="UPI"/>
    <n v="528.24"/>
    <s v="Nov"/>
    <n v="2024"/>
    <s v="Q4"/>
    <n v="3.585491443283356"/>
    <n v="39.760000000000005"/>
    <s v="Low"/>
    <s v="Repeat"/>
    <s v="Below Avg"/>
    <s v="Profit"/>
    <n v="490"/>
  </r>
  <r>
    <n v="308"/>
    <d v="2024-11-03T00:00:00"/>
    <n v="1035"/>
    <s v="Customer_170"/>
    <s v="Consumer"/>
    <x v="3"/>
    <s v="Clothing"/>
    <s v="Product_A"/>
    <n v="3660"/>
    <n v="3"/>
    <n v="0.24"/>
    <n v="1824"/>
    <s v="COD"/>
    <n v="8344.7999999999993"/>
    <s v="Nov"/>
    <n v="2024"/>
    <s v="Q4"/>
    <n v="0.21857923497267762"/>
    <n v="2635.2"/>
    <s v="High"/>
    <s v="Repeat"/>
    <s v="Below Avg"/>
    <s v="Profit"/>
    <n v="241"/>
  </r>
  <r>
    <n v="309"/>
    <d v="2024-11-04T00:00:00"/>
    <n v="1083"/>
    <s v="Customer_67"/>
    <s v="Corporate"/>
    <x v="1"/>
    <s v="Furniture"/>
    <s v="Product_D"/>
    <n v="2023"/>
    <n v="3"/>
    <n v="0.01"/>
    <n v="356"/>
    <s v="Card"/>
    <n v="6008.31"/>
    <s v="Nov"/>
    <n v="2024"/>
    <s v="Q4"/>
    <n v="5.9251270323934679E-2"/>
    <n v="60.69"/>
    <s v="High"/>
    <s v="Repeat"/>
    <s v="Below Avg"/>
    <s v="Profit"/>
    <n v="297"/>
  </r>
  <r>
    <n v="310"/>
    <d v="2024-11-05T00:00:00"/>
    <n v="1094"/>
    <s v="Customer_140"/>
    <s v="Consumer"/>
    <x v="3"/>
    <s v="Clothing"/>
    <s v="Product_B"/>
    <n v="3079"/>
    <n v="5"/>
    <n v="0.24"/>
    <n v="1522"/>
    <s v="UPI"/>
    <n v="11700.2"/>
    <s v="Nov"/>
    <n v="2024"/>
    <s v="Q4"/>
    <n v="0.13008324644023178"/>
    <n v="3694.7999999999997"/>
    <s v="High"/>
    <s v="Repeat"/>
    <s v="Above Avg"/>
    <s v="Profit"/>
    <n v="178"/>
  </r>
  <r>
    <n v="311"/>
    <d v="2024-11-06T00:00:00"/>
    <n v="1071"/>
    <s v="Customer_164"/>
    <s v="Corporate"/>
    <x v="0"/>
    <s v="Furniture"/>
    <s v="Product_B"/>
    <n v="4122"/>
    <n v="9"/>
    <n v="0.2"/>
    <n v="-297"/>
    <s v="Card"/>
    <n v="29678.400000000001"/>
    <s v="Nov"/>
    <n v="2024"/>
    <s v="Q4"/>
    <n v="-1.0007278020378457E-2"/>
    <n v="7419.6"/>
    <s v="High"/>
    <s v="Repeat"/>
    <s v="Above Avg"/>
    <s v="Loss"/>
    <n v="25"/>
  </r>
  <r>
    <n v="312"/>
    <d v="2024-11-07T00:00:00"/>
    <n v="1039"/>
    <s v="Customer_69"/>
    <s v="Corporate"/>
    <x v="3"/>
    <s v="Clothing"/>
    <s v="Product_A"/>
    <n v="4319"/>
    <n v="7"/>
    <n v="0.2"/>
    <n v="1668"/>
    <s v="UPI"/>
    <n v="24186.400000000001"/>
    <s v="Nov"/>
    <n v="2024"/>
    <s v="Q4"/>
    <n v="6.896437667449476E-2"/>
    <n v="6046.6"/>
    <s v="High"/>
    <s v="Repeat"/>
    <s v="Above Avg"/>
    <s v="Profit"/>
    <n v="50"/>
  </r>
  <r>
    <n v="313"/>
    <d v="2024-11-08T00:00:00"/>
    <n v="1087"/>
    <s v="Customer_83"/>
    <s v="Consumer"/>
    <x v="2"/>
    <s v="Clothing"/>
    <s v="Product_D"/>
    <n v="4618"/>
    <n v="3"/>
    <n v="0.01"/>
    <n v="1802"/>
    <s v="COD"/>
    <n v="13715.46"/>
    <s v="Nov"/>
    <n v="2024"/>
    <s v="Q4"/>
    <n v="0.13138458352836874"/>
    <n v="138.54"/>
    <s v="High"/>
    <s v="Repeat"/>
    <s v="Above Avg"/>
    <s v="Profit"/>
    <n v="150"/>
  </r>
  <r>
    <n v="314"/>
    <d v="2024-11-09T00:00:00"/>
    <n v="1083"/>
    <s v="Customer_76"/>
    <s v="Corporate"/>
    <x v="1"/>
    <s v="Furniture"/>
    <s v="Product_B"/>
    <n v="666"/>
    <n v="3"/>
    <n v="0.06"/>
    <n v="-107"/>
    <s v="UPI"/>
    <n v="1878.12"/>
    <s v="Nov"/>
    <n v="2024"/>
    <s v="Q4"/>
    <n v="-5.6971865482503783E-2"/>
    <n v="119.88"/>
    <s v="Low"/>
    <s v="Repeat"/>
    <s v="Below Avg"/>
    <s v="Loss"/>
    <n v="437"/>
  </r>
  <r>
    <n v="315"/>
    <d v="2024-11-10T00:00:00"/>
    <n v="1078"/>
    <s v="Customer_91"/>
    <s v="Corporate"/>
    <x v="1"/>
    <s v="Electronics"/>
    <s v="Product_D"/>
    <n v="3227"/>
    <n v="4"/>
    <n v="0.15"/>
    <n v="200"/>
    <s v="COD"/>
    <n v="10971.8"/>
    <s v="Nov"/>
    <n v="2024"/>
    <s v="Q4"/>
    <n v="1.8228549554311965E-2"/>
    <n v="1936.1999999999998"/>
    <s v="High"/>
    <s v="Repeat"/>
    <s v="Above Avg"/>
    <s v="Profit"/>
    <n v="193"/>
  </r>
  <r>
    <n v="316"/>
    <d v="2024-11-11T00:00:00"/>
    <n v="1029"/>
    <s v="Customer_17"/>
    <s v="Corporate"/>
    <x v="3"/>
    <s v="Electronics"/>
    <s v="Product_B"/>
    <n v="4116"/>
    <n v="7"/>
    <n v="0.13"/>
    <n v="1791"/>
    <s v="UPI"/>
    <n v="25066.44"/>
    <s v="Nov"/>
    <n v="2024"/>
    <s v="Q4"/>
    <n v="7.1450114176564369E-2"/>
    <n v="3745.56"/>
    <s v="High"/>
    <s v="Repeat"/>
    <s v="Above Avg"/>
    <s v="Profit"/>
    <n v="41"/>
  </r>
  <r>
    <n v="317"/>
    <d v="2024-11-12T00:00:00"/>
    <n v="1019"/>
    <s v="Customer_171"/>
    <s v="Corporate"/>
    <x v="1"/>
    <s v="Electronics"/>
    <s v="Product_C"/>
    <n v="1265"/>
    <n v="4"/>
    <n v="0.01"/>
    <n v="458"/>
    <s v="Card"/>
    <n v="5009.3999999999996"/>
    <s v="Nov"/>
    <n v="2024"/>
    <s v="Q4"/>
    <n v="9.1428115143530164E-2"/>
    <n v="50.6"/>
    <s v="High"/>
    <s v="Repeat"/>
    <s v="Below Avg"/>
    <s v="Profit"/>
    <n v="322"/>
  </r>
  <r>
    <n v="318"/>
    <d v="2024-11-13T00:00:00"/>
    <n v="1037"/>
    <s v="Customer_92"/>
    <s v="Corporate"/>
    <x v="1"/>
    <s v="Furniture"/>
    <s v="Product_D"/>
    <n v="4336"/>
    <n v="9"/>
    <n v="0.1"/>
    <n v="-99"/>
    <s v="COD"/>
    <n v="35121.599999999999"/>
    <s v="Nov"/>
    <n v="2024"/>
    <s v="Q4"/>
    <n v="-2.8187781877818778E-3"/>
    <n v="3902.4"/>
    <s v="High"/>
    <s v="Repeat"/>
    <s v="Above Avg"/>
    <s v="Loss"/>
    <n v="10"/>
  </r>
  <r>
    <n v="319"/>
    <d v="2024-11-14T00:00:00"/>
    <n v="1001"/>
    <s v="Customer_40"/>
    <s v="Corporate"/>
    <x v="0"/>
    <s v="Clothing"/>
    <s v="Product_B"/>
    <n v="1915"/>
    <n v="3"/>
    <n v="0.28999999999999998"/>
    <n v="1599"/>
    <s v="Card"/>
    <n v="4078.95"/>
    <s v="Nov"/>
    <n v="2024"/>
    <s v="Q4"/>
    <n v="0.39201265031441918"/>
    <n v="1666.05"/>
    <s v="Medium"/>
    <s v="Repeat"/>
    <s v="Below Avg"/>
    <s v="Profit"/>
    <n v="349"/>
  </r>
  <r>
    <n v="320"/>
    <d v="2024-11-15T00:00:00"/>
    <n v="1005"/>
    <s v="Customer_22"/>
    <s v="Corporate"/>
    <x v="0"/>
    <s v="Clothing"/>
    <s v="Product_A"/>
    <n v="4067"/>
    <n v="7"/>
    <n v="0.09"/>
    <n v="1720"/>
    <s v="UPI"/>
    <n v="25906.79"/>
    <s v="Nov"/>
    <n v="2024"/>
    <s v="Q4"/>
    <n v="6.6391860975443112E-2"/>
    <n v="2562.21"/>
    <s v="High"/>
    <s v="Repeat"/>
    <s v="Above Avg"/>
    <s v="Profit"/>
    <n v="40"/>
  </r>
  <r>
    <n v="321"/>
    <d v="2024-11-16T00:00:00"/>
    <n v="1081"/>
    <s v="Customer_192"/>
    <s v="Corporate"/>
    <x v="1"/>
    <s v="Furniture"/>
    <s v="Product_D"/>
    <n v="240"/>
    <n v="9"/>
    <n v="0.19"/>
    <n v="271"/>
    <s v="Card"/>
    <n v="1749.6"/>
    <s v="Nov"/>
    <n v="2024"/>
    <s v="Q4"/>
    <n v="0.15489254686785553"/>
    <n v="410.4"/>
    <s v="Low"/>
    <s v="Repeat"/>
    <s v="Below Avg"/>
    <s v="Profit"/>
    <n v="443"/>
  </r>
  <r>
    <n v="322"/>
    <d v="2024-11-17T00:00:00"/>
    <n v="1035"/>
    <s v="Customer_138"/>
    <s v="Consumer"/>
    <x v="3"/>
    <s v="Electronics"/>
    <s v="Product_D"/>
    <n v="3410"/>
    <n v="5"/>
    <n v="0.2"/>
    <n v="1549"/>
    <s v="Card"/>
    <n v="13640"/>
    <s v="Nov"/>
    <n v="2024"/>
    <s v="Q4"/>
    <n v="0.11356304985337243"/>
    <n v="3410"/>
    <s v="High"/>
    <s v="Repeat"/>
    <s v="Above Avg"/>
    <s v="Profit"/>
    <n v="151"/>
  </r>
  <r>
    <n v="323"/>
    <d v="2024-11-18T00:00:00"/>
    <n v="1077"/>
    <s v="Customer_105"/>
    <s v="Consumer"/>
    <x v="1"/>
    <s v="Clothing"/>
    <s v="Product_D"/>
    <n v="601"/>
    <n v="4"/>
    <n v="0.19"/>
    <n v="-310"/>
    <s v="COD"/>
    <n v="1947.24"/>
    <s v="Nov"/>
    <n v="2024"/>
    <s v="Q4"/>
    <n v="-0.15919968776319304"/>
    <n v="456.76"/>
    <s v="Low"/>
    <s v="Repeat"/>
    <s v="Below Avg"/>
    <s v="Loss"/>
    <n v="433"/>
  </r>
  <r>
    <n v="324"/>
    <d v="2024-11-19T00:00:00"/>
    <n v="1025"/>
    <s v="Customer_134"/>
    <s v="Corporate"/>
    <x v="0"/>
    <s v="Furniture"/>
    <s v="Product_B"/>
    <n v="1554"/>
    <n v="2"/>
    <n v="0.09"/>
    <n v="1816"/>
    <s v="COD"/>
    <n v="2828.28"/>
    <s v="Nov"/>
    <n v="2024"/>
    <s v="Q4"/>
    <n v="0.64208635637207057"/>
    <n v="279.71999999999997"/>
    <s v="Medium"/>
    <s v="Repeat"/>
    <s v="Below Avg"/>
    <s v="Profit"/>
    <n v="398"/>
  </r>
  <r>
    <n v="325"/>
    <d v="2024-11-20T00:00:00"/>
    <n v="1097"/>
    <s v="Customer_17"/>
    <s v="Consumer"/>
    <x v="0"/>
    <s v="Furniture"/>
    <s v="Product_C"/>
    <n v="4379"/>
    <n v="5"/>
    <n v="0.17"/>
    <n v="884"/>
    <s v="UPI"/>
    <n v="18172.849999999999"/>
    <s v="Nov"/>
    <n v="2024"/>
    <s v="Q4"/>
    <n v="4.8643993649867802E-2"/>
    <n v="3722.15"/>
    <s v="High"/>
    <s v="Repeat"/>
    <s v="Above Avg"/>
    <s v="Profit"/>
    <n v="90"/>
  </r>
  <r>
    <n v="326"/>
    <d v="2024-11-21T00:00:00"/>
    <n v="1093"/>
    <s v="Customer_76"/>
    <s v="Corporate"/>
    <x v="1"/>
    <s v="Clothing"/>
    <s v="Product_C"/>
    <n v="635"/>
    <n v="3"/>
    <n v="0.21"/>
    <n v="895"/>
    <s v="Card"/>
    <n v="1504.95"/>
    <s v="Nov"/>
    <n v="2024"/>
    <s v="Q4"/>
    <n v="0.59470414299478391"/>
    <n v="400.05"/>
    <s v="Low"/>
    <s v="Repeat"/>
    <s v="Below Avg"/>
    <s v="Profit"/>
    <n v="457"/>
  </r>
  <r>
    <n v="327"/>
    <d v="2024-11-22T00:00:00"/>
    <n v="1070"/>
    <s v="Customer_191"/>
    <s v="Consumer"/>
    <x v="1"/>
    <s v="Furniture"/>
    <s v="Product_B"/>
    <n v="2260"/>
    <n v="3"/>
    <n v="0.11"/>
    <n v="1691"/>
    <s v="UPI"/>
    <n v="6034.2"/>
    <s v="Nov"/>
    <n v="2024"/>
    <s v="Q4"/>
    <n v="0.28023598820058998"/>
    <n v="745.8"/>
    <s v="High"/>
    <s v="Repeat"/>
    <s v="Below Avg"/>
    <s v="Profit"/>
    <n v="295"/>
  </r>
  <r>
    <n v="328"/>
    <d v="2024-11-23T00:00:00"/>
    <n v="1058"/>
    <s v="Customer_198"/>
    <s v="Consumer"/>
    <x v="2"/>
    <s v="Furniture"/>
    <s v="Product_C"/>
    <n v="4341"/>
    <n v="7"/>
    <n v="0.08"/>
    <n v="-164"/>
    <s v="COD"/>
    <n v="27956.04"/>
    <s v="Nov"/>
    <n v="2024"/>
    <s v="Q4"/>
    <n v="-5.8663530314021581E-3"/>
    <n v="2430.96"/>
    <s v="High"/>
    <s v="Repeat"/>
    <s v="Above Avg"/>
    <s v="Loss"/>
    <n v="32"/>
  </r>
  <r>
    <n v="329"/>
    <d v="2024-11-24T00:00:00"/>
    <n v="1029"/>
    <s v="Customer_178"/>
    <s v="Consumer"/>
    <x v="2"/>
    <s v="Electronics"/>
    <s v="Product_C"/>
    <n v="2929"/>
    <n v="6"/>
    <n v="0.08"/>
    <n v="122"/>
    <s v="COD"/>
    <n v="16168.08"/>
    <s v="Nov"/>
    <n v="2024"/>
    <s v="Q4"/>
    <n v="7.5457320844528235E-3"/>
    <n v="1405.92"/>
    <s v="High"/>
    <s v="Repeat"/>
    <s v="Above Avg"/>
    <s v="Profit"/>
    <n v="123"/>
  </r>
  <r>
    <n v="330"/>
    <d v="2024-11-25T00:00:00"/>
    <n v="1081"/>
    <s v="Customer_80"/>
    <s v="Corporate"/>
    <x v="3"/>
    <s v="Furniture"/>
    <s v="Product_A"/>
    <n v="4483"/>
    <n v="3"/>
    <n v="0.28000000000000003"/>
    <n v="1527"/>
    <s v="Card"/>
    <n v="9683.2799999999897"/>
    <s v="Nov"/>
    <n v="2024"/>
    <s v="Q4"/>
    <n v="0.15769450021067258"/>
    <n v="3765.7200000000003"/>
    <s v="High"/>
    <s v="Repeat"/>
    <s v="Below Avg"/>
    <s v="Profit"/>
    <n v="209"/>
  </r>
  <r>
    <n v="331"/>
    <d v="2024-11-26T00:00:00"/>
    <n v="1021"/>
    <s v="Customer_196"/>
    <s v="Corporate"/>
    <x v="0"/>
    <s v="Electronics"/>
    <s v="Product_C"/>
    <n v="1725"/>
    <n v="9"/>
    <n v="0.19"/>
    <n v="508"/>
    <s v="COD"/>
    <n v="12575.25"/>
    <s v="Nov"/>
    <n v="2024"/>
    <s v="Q4"/>
    <n v="4.0396811196596487E-2"/>
    <n v="2949.75"/>
    <s v="High"/>
    <s v="Repeat"/>
    <s v="Above Avg"/>
    <s v="Profit"/>
    <n v="162"/>
  </r>
  <r>
    <n v="332"/>
    <d v="2024-11-27T00:00:00"/>
    <n v="1016"/>
    <s v="Customer_153"/>
    <s v="Consumer"/>
    <x v="0"/>
    <s v="Furniture"/>
    <s v="Product_B"/>
    <n v="4547"/>
    <n v="7"/>
    <n v="0.23"/>
    <n v="695"/>
    <s v="UPI"/>
    <n v="24508.33"/>
    <s v="Nov"/>
    <n v="2024"/>
    <s v="Q4"/>
    <n v="2.8357705318967058E-2"/>
    <n v="7320.67"/>
    <s v="High"/>
    <s v="Repeat"/>
    <s v="Above Avg"/>
    <s v="Profit"/>
    <n v="47"/>
  </r>
  <r>
    <n v="333"/>
    <d v="2024-11-28T00:00:00"/>
    <n v="1030"/>
    <s v="Customer_33"/>
    <s v="Consumer"/>
    <x v="0"/>
    <s v="Electronics"/>
    <s v="Product_B"/>
    <n v="2252"/>
    <n v="8"/>
    <n v="0.17"/>
    <n v="1739"/>
    <s v="Card"/>
    <n v="14953.279999999901"/>
    <s v="Nov"/>
    <n v="2024"/>
    <s v="Q4"/>
    <n v="0.11629555522266764"/>
    <n v="3062.7200000000003"/>
    <s v="High"/>
    <s v="Repeat"/>
    <s v="Above Avg"/>
    <s v="Profit"/>
    <n v="140"/>
  </r>
  <r>
    <n v="334"/>
    <d v="2024-11-29T00:00:00"/>
    <n v="1055"/>
    <s v="Customer_1"/>
    <s v="Corporate"/>
    <x v="2"/>
    <s v="Clothing"/>
    <s v="Product_B"/>
    <n v="3427"/>
    <n v="4"/>
    <n v="0.19"/>
    <n v="922"/>
    <s v="Card"/>
    <n v="11103.48"/>
    <s v="Nov"/>
    <n v="2024"/>
    <s v="Q4"/>
    <n v="8.3037029832088688E-2"/>
    <n v="2604.52"/>
    <s v="High"/>
    <s v="Repeat"/>
    <s v="Above Avg"/>
    <s v="Profit"/>
    <n v="188"/>
  </r>
  <r>
    <n v="335"/>
    <d v="2024-11-30T00:00:00"/>
    <n v="1080"/>
    <s v="Customer_79"/>
    <s v="Consumer"/>
    <x v="3"/>
    <s v="Clothing"/>
    <s v="Product_A"/>
    <n v="370"/>
    <n v="7"/>
    <n v="0.08"/>
    <n v="1381"/>
    <s v="Card"/>
    <n v="2382.8000000000002"/>
    <s v="Nov"/>
    <n v="2024"/>
    <s v="Q4"/>
    <n v="0.57957025348329694"/>
    <n v="207.20000000000002"/>
    <s v="Medium"/>
    <s v="Repeat"/>
    <s v="Below Avg"/>
    <s v="Profit"/>
    <n v="413"/>
  </r>
  <r>
    <n v="336"/>
    <d v="2024-12-01T00:00:00"/>
    <n v="1030"/>
    <s v="Customer_128"/>
    <s v="Consumer"/>
    <x v="0"/>
    <s v="Electronics"/>
    <s v="Product_D"/>
    <n v="4426"/>
    <n v="9"/>
    <n v="0.27"/>
    <n v="-447"/>
    <s v="Card"/>
    <n v="29078.82"/>
    <s v="Dec"/>
    <n v="2024"/>
    <s v="Q4"/>
    <n v="-1.537201303216568E-2"/>
    <n v="10755.18"/>
    <s v="High"/>
    <s v="Repeat"/>
    <s v="Above Avg"/>
    <s v="Loss"/>
    <n v="26"/>
  </r>
  <r>
    <n v="337"/>
    <d v="2024-12-02T00:00:00"/>
    <n v="1012"/>
    <s v="Customer_145"/>
    <s v="Corporate"/>
    <x v="2"/>
    <s v="Clothing"/>
    <s v="Product_C"/>
    <n v="3915"/>
    <n v="8"/>
    <n v="0.15"/>
    <n v="-47"/>
    <s v="Card"/>
    <n v="26622"/>
    <s v="Dec"/>
    <n v="2024"/>
    <s v="Q4"/>
    <n v="-1.7654571407106905E-3"/>
    <n v="4698"/>
    <s v="High"/>
    <s v="Repeat"/>
    <s v="Above Avg"/>
    <s v="Loss"/>
    <n v="36"/>
  </r>
  <r>
    <n v="338"/>
    <d v="2024-12-03T00:00:00"/>
    <n v="1090"/>
    <s v="Customer_171"/>
    <s v="Consumer"/>
    <x v="3"/>
    <s v="Furniture"/>
    <s v="Product_B"/>
    <n v="1456"/>
    <n v="7"/>
    <n v="0.24"/>
    <n v="-31"/>
    <s v="Card"/>
    <n v="7745.92"/>
    <s v="Dec"/>
    <n v="2024"/>
    <s v="Q4"/>
    <n v="-4.0021069156407499E-3"/>
    <n v="2446.08"/>
    <s v="High"/>
    <s v="Repeat"/>
    <s v="Below Avg"/>
    <s v="Loss"/>
    <n v="258"/>
  </r>
  <r>
    <n v="339"/>
    <d v="2024-12-04T00:00:00"/>
    <n v="1083"/>
    <s v="Customer_186"/>
    <s v="Corporate"/>
    <x v="1"/>
    <s v="Electronics"/>
    <s v="Product_A"/>
    <n v="4189"/>
    <n v="5"/>
    <n v="0.16"/>
    <n v="798"/>
    <s v="Card"/>
    <n v="17593.8"/>
    <s v="Dec"/>
    <n v="2024"/>
    <s v="Q4"/>
    <n v="4.5356887085223209E-2"/>
    <n v="3351.2000000000003"/>
    <s v="High"/>
    <s v="Repeat"/>
    <s v="Above Avg"/>
    <s v="Profit"/>
    <n v="95"/>
  </r>
  <r>
    <n v="340"/>
    <d v="2024-12-05T00:00:00"/>
    <n v="1016"/>
    <s v="Customer_147"/>
    <s v="Consumer"/>
    <x v="1"/>
    <s v="Electronics"/>
    <s v="Product_C"/>
    <n v="190"/>
    <n v="8"/>
    <n v="0.03"/>
    <n v="728"/>
    <s v="Card"/>
    <n v="1474.3999999999901"/>
    <s v="Dec"/>
    <n v="2024"/>
    <s v="Q4"/>
    <n v="0.4937601736299545"/>
    <n v="45.6"/>
    <s v="Low"/>
    <s v="Repeat"/>
    <s v="Below Avg"/>
    <s v="Profit"/>
    <n v="458"/>
  </r>
  <r>
    <n v="341"/>
    <d v="2024-12-06T00:00:00"/>
    <n v="1092"/>
    <s v="Customer_54"/>
    <s v="Corporate"/>
    <x v="1"/>
    <s v="Clothing"/>
    <s v="Product_D"/>
    <n v="2277"/>
    <n v="8"/>
    <n v="0.03"/>
    <n v="297"/>
    <s v="UPI"/>
    <n v="17669.52"/>
    <s v="Dec"/>
    <n v="2024"/>
    <s v="Q4"/>
    <n v="1.6808606006275213E-2"/>
    <n v="546.48"/>
    <s v="High"/>
    <s v="Repeat"/>
    <s v="Above Avg"/>
    <s v="Profit"/>
    <n v="94"/>
  </r>
  <r>
    <n v="342"/>
    <d v="2024-12-07T00:00:00"/>
    <n v="1038"/>
    <s v="Customer_114"/>
    <s v="Corporate"/>
    <x v="2"/>
    <s v="Electronics"/>
    <s v="Product_A"/>
    <n v="1830"/>
    <n v="4"/>
    <n v="0.14000000000000001"/>
    <n v="898"/>
    <s v="COD"/>
    <n v="6295.2"/>
    <s v="Dec"/>
    <n v="2024"/>
    <s v="Q4"/>
    <n v="0.14264836700978523"/>
    <n v="1024.8000000000002"/>
    <s v="High"/>
    <s v="Repeat"/>
    <s v="Below Avg"/>
    <s v="Profit"/>
    <n v="291"/>
  </r>
  <r>
    <n v="343"/>
    <d v="2024-12-08T00:00:00"/>
    <n v="1098"/>
    <s v="Customer_83"/>
    <s v="Corporate"/>
    <x v="1"/>
    <s v="Clothing"/>
    <s v="Product_B"/>
    <n v="2458"/>
    <n v="9"/>
    <n v="0.13"/>
    <n v="-443"/>
    <s v="COD"/>
    <n v="19246.14"/>
    <s v="Dec"/>
    <n v="2024"/>
    <s v="Q4"/>
    <n v="-2.3017602490681251E-2"/>
    <n v="2875.86"/>
    <s v="High"/>
    <s v="Repeat"/>
    <s v="Above Avg"/>
    <s v="Loss"/>
    <n v="83"/>
  </r>
  <r>
    <n v="344"/>
    <d v="2024-12-09T00:00:00"/>
    <n v="1007"/>
    <s v="Customer_84"/>
    <s v="Consumer"/>
    <x v="1"/>
    <s v="Electronics"/>
    <s v="Product_B"/>
    <n v="2809"/>
    <n v="1"/>
    <n v="0.27"/>
    <n v="-352"/>
    <s v="COD"/>
    <n v="2050.5700000000002"/>
    <s v="Dec"/>
    <n v="2024"/>
    <s v="Q4"/>
    <n v="-0.17165958733425338"/>
    <n v="758.43000000000006"/>
    <s v="Medium"/>
    <s v="Repeat"/>
    <s v="Below Avg"/>
    <s v="Loss"/>
    <n v="426"/>
  </r>
  <r>
    <n v="345"/>
    <d v="2024-12-10T00:00:00"/>
    <n v="1037"/>
    <s v="Customer_1"/>
    <s v="Consumer"/>
    <x v="3"/>
    <s v="Clothing"/>
    <s v="Product_D"/>
    <n v="448"/>
    <n v="9"/>
    <n v="0.04"/>
    <n v="1096"/>
    <s v="COD"/>
    <n v="3870.72"/>
    <s v="Dec"/>
    <n v="2024"/>
    <s v="Q4"/>
    <n v="0.28315145502645506"/>
    <n v="161.28"/>
    <s v="Medium"/>
    <s v="Repeat"/>
    <s v="Below Avg"/>
    <s v="Profit"/>
    <n v="358"/>
  </r>
  <r>
    <n v="346"/>
    <d v="2024-12-11T00:00:00"/>
    <n v="1014"/>
    <s v="Customer_144"/>
    <s v="Consumer"/>
    <x v="1"/>
    <s v="Clothing"/>
    <s v="Product_C"/>
    <n v="4977"/>
    <n v="1"/>
    <n v="0.21"/>
    <n v="294"/>
    <s v="Card"/>
    <n v="3931.83"/>
    <s v="Dec"/>
    <n v="2024"/>
    <s v="Q4"/>
    <n v="7.4774341718741658E-2"/>
    <n v="1045.17"/>
    <s v="Medium"/>
    <s v="Repeat"/>
    <s v="Below Avg"/>
    <s v="Profit"/>
    <n v="357"/>
  </r>
  <r>
    <n v="347"/>
    <d v="2024-12-12T00:00:00"/>
    <n v="1000"/>
    <s v="Customer_152"/>
    <s v="Consumer"/>
    <x v="1"/>
    <s v="Furniture"/>
    <s v="Product_A"/>
    <n v="4432"/>
    <n v="5"/>
    <n v="0.28000000000000003"/>
    <n v="1809"/>
    <s v="UPI"/>
    <n v="15955.199999999901"/>
    <s v="Dec"/>
    <n v="2024"/>
    <s v="Q4"/>
    <n v="0.11337996389891768"/>
    <n v="6204.8"/>
    <s v="High"/>
    <s v="Repeat"/>
    <s v="Above Avg"/>
    <s v="Profit"/>
    <n v="130"/>
  </r>
  <r>
    <n v="348"/>
    <d v="2024-12-13T00:00:00"/>
    <n v="1096"/>
    <s v="Customer_192"/>
    <s v="Corporate"/>
    <x v="2"/>
    <s v="Furniture"/>
    <s v="Product_A"/>
    <n v="1393"/>
    <n v="6"/>
    <n v="0.12"/>
    <n v="1693"/>
    <s v="Card"/>
    <n v="7355.04"/>
    <s v="Dec"/>
    <n v="2024"/>
    <s v="Q4"/>
    <n v="0.23018229676521135"/>
    <n v="1002.9599999999999"/>
    <s v="High"/>
    <s v="Repeat"/>
    <s v="Below Avg"/>
    <s v="Profit"/>
    <n v="266"/>
  </r>
  <r>
    <n v="349"/>
    <d v="2024-12-14T00:00:00"/>
    <n v="1002"/>
    <s v="Customer_186"/>
    <s v="Consumer"/>
    <x v="2"/>
    <s v="Electronics"/>
    <s v="Product_C"/>
    <n v="4564"/>
    <n v="5"/>
    <n v="0.27"/>
    <n v="710"/>
    <s v="UPI"/>
    <n v="16658.599999999999"/>
    <s v="Dec"/>
    <n v="2024"/>
    <s v="Q4"/>
    <n v="4.2620628384137924E-2"/>
    <n v="6161.4000000000005"/>
    <s v="High"/>
    <s v="Repeat"/>
    <s v="Above Avg"/>
    <s v="Profit"/>
    <n v="111"/>
  </r>
  <r>
    <n v="350"/>
    <d v="2024-12-15T00:00:00"/>
    <n v="1037"/>
    <s v="Customer_152"/>
    <s v="Consumer"/>
    <x v="2"/>
    <s v="Clothing"/>
    <s v="Product_B"/>
    <n v="2447"/>
    <n v="4"/>
    <n v="0.04"/>
    <n v="-339"/>
    <s v="UPI"/>
    <n v="9396.48"/>
    <s v="Dec"/>
    <n v="2024"/>
    <s v="Q4"/>
    <n v="-3.6077339599509609E-2"/>
    <n v="391.52"/>
    <s v="High"/>
    <s v="Repeat"/>
    <s v="Below Avg"/>
    <s v="Loss"/>
    <n v="221"/>
  </r>
  <r>
    <n v="351"/>
    <d v="2024-12-16T00:00:00"/>
    <n v="1047"/>
    <s v="Customer_186"/>
    <s v="Consumer"/>
    <x v="1"/>
    <s v="Furniture"/>
    <s v="Product_C"/>
    <n v="3091"/>
    <n v="5"/>
    <n v="0.03"/>
    <n v="644"/>
    <s v="UPI"/>
    <n v="14991.35"/>
    <s v="Dec"/>
    <n v="2024"/>
    <s v="Q4"/>
    <n v="4.2958105841034995E-2"/>
    <n v="463.65"/>
    <s v="High"/>
    <s v="Repeat"/>
    <s v="Above Avg"/>
    <s v="Profit"/>
    <n v="139"/>
  </r>
  <r>
    <n v="352"/>
    <d v="2024-12-17T00:00:00"/>
    <n v="1062"/>
    <s v="Customer_101"/>
    <s v="Consumer"/>
    <x v="3"/>
    <s v="Electronics"/>
    <s v="Product_C"/>
    <n v="2900"/>
    <n v="7"/>
    <n v="7.0000000000000007E-2"/>
    <n v="1932"/>
    <s v="UPI"/>
    <n v="18879"/>
    <s v="Dec"/>
    <n v="2024"/>
    <s v="Q4"/>
    <n v="0.10233592880978866"/>
    <n v="1421.0000000000002"/>
    <s v="High"/>
    <s v="Repeat"/>
    <s v="Above Avg"/>
    <s v="Profit"/>
    <n v="85"/>
  </r>
  <r>
    <n v="353"/>
    <d v="2024-12-18T00:00:00"/>
    <n v="1061"/>
    <s v="Customer_192"/>
    <s v="Consumer"/>
    <x v="0"/>
    <s v="Clothing"/>
    <s v="Product_C"/>
    <n v="4356"/>
    <n v="2"/>
    <n v="0.16"/>
    <n v="332"/>
    <s v="COD"/>
    <n v="7318.08"/>
    <s v="Dec"/>
    <n v="2024"/>
    <s v="Q4"/>
    <n v="4.5367090821636279E-2"/>
    <n v="1393.92"/>
    <s v="High"/>
    <s v="Repeat"/>
    <s v="Below Avg"/>
    <s v="Profit"/>
    <n v="268"/>
  </r>
  <r>
    <n v="354"/>
    <d v="2024-12-19T00:00:00"/>
    <n v="1014"/>
    <s v="Customer_169"/>
    <s v="Corporate"/>
    <x v="2"/>
    <s v="Furniture"/>
    <s v="Product_B"/>
    <n v="1224"/>
    <n v="7"/>
    <n v="0.19"/>
    <n v="210"/>
    <s v="COD"/>
    <n v="6940.08"/>
    <s v="Dec"/>
    <n v="2024"/>
    <s v="Q4"/>
    <n v="3.0259017187121762E-2"/>
    <n v="1627.92"/>
    <s v="High"/>
    <s v="Repeat"/>
    <s v="Below Avg"/>
    <s v="Profit"/>
    <n v="275"/>
  </r>
  <r>
    <n v="355"/>
    <d v="2024-12-20T00:00:00"/>
    <n v="1061"/>
    <s v="Customer_161"/>
    <s v="Consumer"/>
    <x v="3"/>
    <s v="Clothing"/>
    <s v="Product_B"/>
    <n v="673"/>
    <n v="9"/>
    <n v="0.23"/>
    <n v="944"/>
    <s v="UPI"/>
    <n v="4663.8900000000003"/>
    <s v="Dec"/>
    <n v="2024"/>
    <s v="Q4"/>
    <n v="0.20240614594255008"/>
    <n v="1393.1100000000001"/>
    <s v="Medium"/>
    <s v="Repeat"/>
    <s v="Below Avg"/>
    <s v="Profit"/>
    <n v="332"/>
  </r>
  <r>
    <n v="356"/>
    <d v="2024-12-21T00:00:00"/>
    <n v="1081"/>
    <s v="Customer_186"/>
    <s v="Corporate"/>
    <x v="1"/>
    <s v="Furniture"/>
    <s v="Product_A"/>
    <n v="4179"/>
    <n v="7"/>
    <n v="0.23"/>
    <n v="-144"/>
    <s v="UPI"/>
    <n v="22524.81"/>
    <s v="Dec"/>
    <n v="2024"/>
    <s v="Q4"/>
    <n v="-6.3929507063544598E-3"/>
    <n v="6728.1900000000005"/>
    <s v="High"/>
    <s v="Repeat"/>
    <s v="Above Avg"/>
    <s v="Loss"/>
    <n v="62"/>
  </r>
  <r>
    <n v="357"/>
    <d v="2024-12-22T00:00:00"/>
    <n v="1037"/>
    <s v="Customer_125"/>
    <s v="Consumer"/>
    <x v="2"/>
    <s v="Clothing"/>
    <s v="Product_C"/>
    <n v="928"/>
    <n v="4"/>
    <n v="0.03"/>
    <n v="182"/>
    <s v="Card"/>
    <n v="3600.64"/>
    <s v="Dec"/>
    <n v="2024"/>
    <s v="Q4"/>
    <n v="5.0546569498755779E-2"/>
    <n v="111.36"/>
    <s v="Medium"/>
    <s v="Repeat"/>
    <s v="Below Avg"/>
    <s v="Profit"/>
    <n v="368"/>
  </r>
  <r>
    <n v="358"/>
    <d v="2024-12-23T00:00:00"/>
    <n v="1094"/>
    <s v="Customer_184"/>
    <s v="Consumer"/>
    <x v="3"/>
    <s v="Electronics"/>
    <s v="Product_C"/>
    <n v="570"/>
    <n v="8"/>
    <n v="0.26"/>
    <n v="1134"/>
    <s v="UPI"/>
    <n v="3374.4"/>
    <s v="Dec"/>
    <n v="2024"/>
    <s v="Q4"/>
    <n v="0.33605974395448079"/>
    <n v="1185.6000000000001"/>
    <s v="Medium"/>
    <s v="Repeat"/>
    <s v="Below Avg"/>
    <s v="Profit"/>
    <n v="382"/>
  </r>
  <r>
    <n v="359"/>
    <d v="2024-12-24T00:00:00"/>
    <n v="1019"/>
    <s v="Customer_95"/>
    <s v="Corporate"/>
    <x v="0"/>
    <s v="Furniture"/>
    <s v="Product_B"/>
    <n v="4250"/>
    <n v="8"/>
    <n v="0.03"/>
    <n v="335"/>
    <s v="Card"/>
    <n v="32980"/>
    <s v="Dec"/>
    <n v="2024"/>
    <s v="Q4"/>
    <n v="1.015767131594906E-2"/>
    <n v="1020"/>
    <s v="High"/>
    <s v="Repeat"/>
    <s v="Above Avg"/>
    <s v="Profit"/>
    <n v="17"/>
  </r>
  <r>
    <n v="360"/>
    <d v="2024-12-25T00:00:00"/>
    <n v="1058"/>
    <s v="Customer_15"/>
    <s v="Corporate"/>
    <x v="3"/>
    <s v="Clothing"/>
    <s v="Product_B"/>
    <n v="2351"/>
    <n v="9"/>
    <n v="0.27"/>
    <n v="28"/>
    <s v="COD"/>
    <n v="15446.07"/>
    <s v="Dec"/>
    <n v="2024"/>
    <s v="Q4"/>
    <n v="1.8127588441590645E-3"/>
    <n v="5712.93"/>
    <s v="High"/>
    <s v="Repeat"/>
    <s v="Above Avg"/>
    <s v="Profit"/>
    <n v="135"/>
  </r>
  <r>
    <n v="361"/>
    <d v="2024-12-26T00:00:00"/>
    <n v="1006"/>
    <s v="Customer_65"/>
    <s v="Corporate"/>
    <x v="1"/>
    <s v="Furniture"/>
    <s v="Product_C"/>
    <n v="4067"/>
    <n v="6"/>
    <n v="0.28999999999999998"/>
    <n v="1213"/>
    <s v="UPI"/>
    <n v="17325.419999999998"/>
    <s v="Dec"/>
    <n v="2024"/>
    <s v="Q4"/>
    <n v="7.0012732736060665E-2"/>
    <n v="7076.58"/>
    <s v="High"/>
    <s v="Repeat"/>
    <s v="Above Avg"/>
    <s v="Profit"/>
    <n v="102"/>
  </r>
  <r>
    <n v="362"/>
    <d v="2024-12-27T00:00:00"/>
    <n v="1090"/>
    <s v="Customer_113"/>
    <s v="Corporate"/>
    <x v="2"/>
    <s v="Furniture"/>
    <s v="Product_D"/>
    <n v="2732"/>
    <n v="1"/>
    <n v="0.18"/>
    <n v="547"/>
    <s v="COD"/>
    <n v="2240.2399999999998"/>
    <s v="Dec"/>
    <n v="2024"/>
    <s v="Q4"/>
    <n v="0.24417026747134238"/>
    <n v="491.76"/>
    <s v="Medium"/>
    <s v="Repeat"/>
    <s v="Below Avg"/>
    <s v="Profit"/>
    <n v="418"/>
  </r>
  <r>
    <n v="363"/>
    <d v="2024-12-28T00:00:00"/>
    <n v="1071"/>
    <s v="Customer_140"/>
    <s v="Consumer"/>
    <x v="3"/>
    <s v="Clothing"/>
    <s v="Product_B"/>
    <n v="4332"/>
    <n v="9"/>
    <n v="0.21"/>
    <n v="1493"/>
    <s v="COD"/>
    <n v="30800.52"/>
    <s v="Dec"/>
    <n v="2024"/>
    <s v="Q4"/>
    <n v="4.8473207595196445E-2"/>
    <n v="8187.48"/>
    <s v="High"/>
    <s v="Repeat"/>
    <s v="Above Avg"/>
    <s v="Profit"/>
    <n v="22"/>
  </r>
  <r>
    <n v="364"/>
    <d v="2024-12-29T00:00:00"/>
    <n v="1077"/>
    <s v="Customer_163"/>
    <s v="Consumer"/>
    <x v="3"/>
    <s v="Electronics"/>
    <s v="Product_D"/>
    <n v="1198"/>
    <n v="9"/>
    <n v="0.11"/>
    <n v="-189"/>
    <s v="UPI"/>
    <n v="9595.98"/>
    <s v="Dec"/>
    <n v="2024"/>
    <s v="Q4"/>
    <n v="-1.9695747594305115E-2"/>
    <n v="1186.02"/>
    <s v="High"/>
    <s v="Repeat"/>
    <s v="Below Avg"/>
    <s v="Loss"/>
    <n v="212"/>
  </r>
  <r>
    <n v="365"/>
    <d v="2024-12-30T00:00:00"/>
    <n v="1078"/>
    <s v="Customer_37"/>
    <s v="Consumer"/>
    <x v="3"/>
    <s v="Furniture"/>
    <s v="Product_C"/>
    <n v="3189"/>
    <n v="1"/>
    <n v="0.17"/>
    <n v="159"/>
    <s v="UPI"/>
    <n v="2646.87"/>
    <s v="Dec"/>
    <n v="2024"/>
    <s v="Q4"/>
    <n v="6.0070951727889926E-2"/>
    <n v="542.13"/>
    <s v="Medium"/>
    <s v="Repeat"/>
    <s v="Below Avg"/>
    <s v="Profit"/>
    <n v="407"/>
  </r>
  <r>
    <n v="366"/>
    <d v="2024-12-31T00:00:00"/>
    <n v="1070"/>
    <s v="Customer_30"/>
    <s v="Corporate"/>
    <x v="2"/>
    <s v="Clothing"/>
    <s v="Product_C"/>
    <n v="531"/>
    <n v="9"/>
    <n v="0.25"/>
    <n v="1369"/>
    <s v="COD"/>
    <n v="3584.25"/>
    <s v="Dec"/>
    <n v="2024"/>
    <s v="Q4"/>
    <n v="0.38194880379437818"/>
    <n v="1194.75"/>
    <s v="Medium"/>
    <s v="Repeat"/>
    <s v="Below Avg"/>
    <s v="Profit"/>
    <n v="371"/>
  </r>
  <r>
    <n v="367"/>
    <d v="2025-01-01T00:00:00"/>
    <n v="1096"/>
    <s v="Customer_11"/>
    <s v="Corporate"/>
    <x v="3"/>
    <s v="Electronics"/>
    <s v="Product_D"/>
    <n v="1333"/>
    <n v="1"/>
    <n v="0.05"/>
    <n v="-123"/>
    <s v="UPI"/>
    <n v="1266.3499999999999"/>
    <s v="Jan"/>
    <n v="2025"/>
    <s v="Q1"/>
    <n v="-9.7129545544280813E-2"/>
    <n v="66.650000000000006"/>
    <s v="Low"/>
    <s v="Repeat"/>
    <s v="Below Avg"/>
    <s v="Loss"/>
    <n v="466"/>
  </r>
  <r>
    <n v="368"/>
    <d v="2025-01-02T00:00:00"/>
    <n v="1051"/>
    <s v="Customer_188"/>
    <s v="Consumer"/>
    <x v="1"/>
    <s v="Clothing"/>
    <s v="Product_D"/>
    <n v="1629"/>
    <n v="2"/>
    <n v="0.15"/>
    <n v="-281"/>
    <s v="Card"/>
    <n v="2769.2999999999902"/>
    <s v="Jan"/>
    <n v="2025"/>
    <s v="Q1"/>
    <n v="-0.10146968548008559"/>
    <n v="488.7"/>
    <s v="Medium"/>
    <s v="Repeat"/>
    <s v="Below Avg"/>
    <s v="Loss"/>
    <n v="400"/>
  </r>
  <r>
    <n v="369"/>
    <d v="2025-01-03T00:00:00"/>
    <n v="1097"/>
    <s v="Customer_32"/>
    <s v="Corporate"/>
    <x v="1"/>
    <s v="Clothing"/>
    <s v="Product_C"/>
    <n v="4451"/>
    <n v="6"/>
    <n v="0.12"/>
    <n v="978"/>
    <s v="UPI"/>
    <n v="23501.279999999999"/>
    <s v="Jan"/>
    <n v="2025"/>
    <s v="Q1"/>
    <n v="4.1614754600600483E-2"/>
    <n v="3204.72"/>
    <s v="High"/>
    <s v="Repeat"/>
    <s v="Above Avg"/>
    <s v="Profit"/>
    <n v="57"/>
  </r>
  <r>
    <n v="370"/>
    <d v="2025-01-04T00:00:00"/>
    <n v="1003"/>
    <s v="Customer_2"/>
    <s v="Consumer"/>
    <x v="0"/>
    <s v="Furniture"/>
    <s v="Product_D"/>
    <n v="1480"/>
    <n v="7"/>
    <n v="0.26"/>
    <n v="1989"/>
    <s v="UPI"/>
    <n v="7666.4"/>
    <s v="Jan"/>
    <n v="2025"/>
    <s v="Q1"/>
    <n v="0.25944380674110407"/>
    <n v="2693.6"/>
    <s v="High"/>
    <s v="Repeat"/>
    <s v="Below Avg"/>
    <s v="Profit"/>
    <n v="261"/>
  </r>
  <r>
    <n v="371"/>
    <d v="2025-01-05T00:00:00"/>
    <n v="1000"/>
    <s v="Customer_138"/>
    <s v="Corporate"/>
    <x v="0"/>
    <s v="Clothing"/>
    <s v="Product_C"/>
    <n v="241"/>
    <n v="7"/>
    <n v="0.04"/>
    <n v="967"/>
    <s v="COD"/>
    <n v="1619.52"/>
    <s v="Jan"/>
    <n v="2025"/>
    <s v="Q1"/>
    <n v="0.5970904959494171"/>
    <n v="67.48"/>
    <s v="Low"/>
    <s v="Repeat"/>
    <s v="Below Avg"/>
    <s v="Profit"/>
    <n v="452"/>
  </r>
  <r>
    <n v="372"/>
    <d v="2025-01-06T00:00:00"/>
    <n v="1077"/>
    <s v="Customer_124"/>
    <s v="Corporate"/>
    <x v="0"/>
    <s v="Clothing"/>
    <s v="Product_D"/>
    <n v="1316"/>
    <n v="6"/>
    <n v="0.27"/>
    <n v="-31"/>
    <s v="COD"/>
    <n v="5764.08"/>
    <s v="Jan"/>
    <n v="2025"/>
    <s v="Q1"/>
    <n v="-5.3781349322008024E-3"/>
    <n v="2131.92"/>
    <s v="High"/>
    <s v="Repeat"/>
    <s v="Below Avg"/>
    <s v="Loss"/>
    <n v="302"/>
  </r>
  <r>
    <n v="373"/>
    <d v="2025-01-07T00:00:00"/>
    <n v="1094"/>
    <s v="Customer_174"/>
    <s v="Consumer"/>
    <x v="2"/>
    <s v="Electronics"/>
    <s v="Product_C"/>
    <n v="3947"/>
    <n v="8"/>
    <n v="0.08"/>
    <n v="655"/>
    <s v="COD"/>
    <n v="29049.919999999998"/>
    <s v="Jan"/>
    <n v="2025"/>
    <s v="Q1"/>
    <n v="2.2547394278538462E-2"/>
    <n v="2526.08"/>
    <s v="High"/>
    <s v="Repeat"/>
    <s v="Above Avg"/>
    <s v="Profit"/>
    <n v="27"/>
  </r>
  <r>
    <n v="374"/>
    <d v="2025-01-08T00:00:00"/>
    <n v="1037"/>
    <s v="Customer_22"/>
    <s v="Consumer"/>
    <x v="1"/>
    <s v="Furniture"/>
    <s v="Product_B"/>
    <n v="4287"/>
    <n v="8"/>
    <n v="0.18"/>
    <n v="312"/>
    <s v="UPI"/>
    <n v="28122.720000000001"/>
    <s v="Jan"/>
    <n v="2025"/>
    <s v="Q1"/>
    <n v="1.1094232705798016E-2"/>
    <n v="6173.28"/>
    <s v="High"/>
    <s v="Repeat"/>
    <s v="Above Avg"/>
    <s v="Profit"/>
    <n v="30"/>
  </r>
  <r>
    <n v="375"/>
    <d v="2025-01-09T00:00:00"/>
    <n v="1052"/>
    <s v="Customer_73"/>
    <s v="Corporate"/>
    <x v="1"/>
    <s v="Clothing"/>
    <s v="Product_C"/>
    <n v="1876"/>
    <n v="1"/>
    <n v="0.11"/>
    <n v="486"/>
    <s v="Card"/>
    <n v="1669.64"/>
    <s v="Jan"/>
    <n v="2025"/>
    <s v="Q1"/>
    <n v="0.29108071200977453"/>
    <n v="206.36"/>
    <s v="Low"/>
    <s v="Repeat"/>
    <s v="Below Avg"/>
    <s v="Profit"/>
    <n v="448"/>
  </r>
  <r>
    <n v="376"/>
    <d v="2025-01-10T00:00:00"/>
    <n v="1083"/>
    <s v="Customer_118"/>
    <s v="Corporate"/>
    <x v="0"/>
    <s v="Furniture"/>
    <s v="Product_C"/>
    <n v="3751"/>
    <n v="9"/>
    <n v="0.28000000000000003"/>
    <n v="339"/>
    <s v="COD"/>
    <n v="24306.48"/>
    <s v="Jan"/>
    <n v="2025"/>
    <s v="Q1"/>
    <n v="1.3946898111120985E-2"/>
    <n v="9452.52"/>
    <s v="High"/>
    <s v="Repeat"/>
    <s v="Above Avg"/>
    <s v="Profit"/>
    <n v="49"/>
  </r>
  <r>
    <n v="377"/>
    <d v="2025-01-11T00:00:00"/>
    <n v="1002"/>
    <s v="Customer_55"/>
    <s v="Consumer"/>
    <x v="0"/>
    <s v="Electronics"/>
    <s v="Product_B"/>
    <n v="2552"/>
    <n v="4"/>
    <n v="0.06"/>
    <n v="-131"/>
    <s v="UPI"/>
    <n v="9595.5199999999895"/>
    <s v="Jan"/>
    <n v="2025"/>
    <s v="Q1"/>
    <n v="-1.3652204362035632E-2"/>
    <n v="612.48"/>
    <s v="High"/>
    <s v="Repeat"/>
    <s v="Below Avg"/>
    <s v="Loss"/>
    <n v="213"/>
  </r>
  <r>
    <n v="378"/>
    <d v="2025-01-12T00:00:00"/>
    <n v="1098"/>
    <s v="Customer_187"/>
    <s v="Corporate"/>
    <x v="3"/>
    <s v="Electronics"/>
    <s v="Product_C"/>
    <n v="817"/>
    <n v="4"/>
    <n v="0.15"/>
    <n v="514"/>
    <s v="UPI"/>
    <n v="2777.7999999999902"/>
    <s v="Jan"/>
    <n v="2025"/>
    <s v="Q1"/>
    <n v="0.18503851969184312"/>
    <n v="490.2"/>
    <s v="Medium"/>
    <s v="Repeat"/>
    <s v="Below Avg"/>
    <s v="Profit"/>
    <n v="399"/>
  </r>
  <r>
    <n v="379"/>
    <d v="2025-01-13T00:00:00"/>
    <n v="1096"/>
    <s v="Customer_30"/>
    <s v="Corporate"/>
    <x v="0"/>
    <s v="Clothing"/>
    <s v="Product_B"/>
    <n v="660"/>
    <n v="9"/>
    <n v="7.0000000000000007E-2"/>
    <n v="-250"/>
    <s v="UPI"/>
    <n v="5524.2"/>
    <s v="Jan"/>
    <n v="2025"/>
    <s v="Q1"/>
    <n v="-4.5255421599507621E-2"/>
    <n v="415.8"/>
    <s v="High"/>
    <s v="Repeat"/>
    <s v="Below Avg"/>
    <s v="Loss"/>
    <n v="308"/>
  </r>
  <r>
    <n v="380"/>
    <d v="2025-01-14T00:00:00"/>
    <n v="1014"/>
    <s v="Customer_181"/>
    <s v="Consumer"/>
    <x v="2"/>
    <s v="Furniture"/>
    <s v="Product_B"/>
    <n v="1004"/>
    <n v="2"/>
    <n v="0.24"/>
    <n v="-339"/>
    <s v="UPI"/>
    <n v="1526.08"/>
    <s v="Jan"/>
    <n v="2025"/>
    <s v="Q1"/>
    <n v="-0.2221377647305515"/>
    <n v="481.91999999999996"/>
    <s v="Low"/>
    <s v="Repeat"/>
    <s v="Below Avg"/>
    <s v="Loss"/>
    <n v="456"/>
  </r>
  <r>
    <n v="381"/>
    <d v="2025-01-15T00:00:00"/>
    <n v="1002"/>
    <s v="Customer_89"/>
    <s v="Consumer"/>
    <x v="0"/>
    <s v="Clothing"/>
    <s v="Product_D"/>
    <n v="1036"/>
    <n v="6"/>
    <n v="0.08"/>
    <n v="162"/>
    <s v="COD"/>
    <n v="5718.72"/>
    <s v="Jan"/>
    <n v="2025"/>
    <s v="Q1"/>
    <n v="2.8328017458452238E-2"/>
    <n v="497.28000000000003"/>
    <s v="High"/>
    <s v="Repeat"/>
    <s v="Below Avg"/>
    <s v="Profit"/>
    <n v="303"/>
  </r>
  <r>
    <n v="382"/>
    <d v="2025-01-16T00:00:00"/>
    <n v="1091"/>
    <s v="Customer_21"/>
    <s v="Consumer"/>
    <x v="1"/>
    <s v="Furniture"/>
    <s v="Product_C"/>
    <n v="396"/>
    <n v="2"/>
    <n v="0.28999999999999998"/>
    <n v="1960"/>
    <s v="Card"/>
    <n v="562.31999999999903"/>
    <s v="Jan"/>
    <n v="2025"/>
    <s v="Q1"/>
    <n v="3.4855598235879985"/>
    <n v="229.67999999999998"/>
    <s v="Low"/>
    <s v="Repeat"/>
    <s v="Below Avg"/>
    <s v="Profit"/>
    <n v="488"/>
  </r>
  <r>
    <n v="383"/>
    <d v="2025-01-17T00:00:00"/>
    <n v="1090"/>
    <s v="Customer_82"/>
    <s v="Consumer"/>
    <x v="2"/>
    <s v="Furniture"/>
    <s v="Product_B"/>
    <n v="4994"/>
    <n v="9"/>
    <n v="0.28000000000000003"/>
    <n v="992"/>
    <s v="COD"/>
    <n v="32361.119999999999"/>
    <s v="Jan"/>
    <n v="2025"/>
    <s v="Q1"/>
    <n v="3.0654068833217144E-2"/>
    <n v="12584.880000000001"/>
    <s v="High"/>
    <s v="Repeat"/>
    <s v="Above Avg"/>
    <s v="Profit"/>
    <n v="20"/>
  </r>
  <r>
    <n v="384"/>
    <d v="2025-01-18T00:00:00"/>
    <n v="1032"/>
    <s v="Customer_20"/>
    <s v="Corporate"/>
    <x v="3"/>
    <s v="Electronics"/>
    <s v="Product_A"/>
    <n v="1860"/>
    <n v="3"/>
    <n v="0.14000000000000001"/>
    <n v="1994"/>
    <s v="Card"/>
    <n v="4798.8"/>
    <s v="Jan"/>
    <n v="2025"/>
    <s v="Q1"/>
    <n v="0.41552054680336747"/>
    <n v="781.2"/>
    <s v="Medium"/>
    <s v="Repeat"/>
    <s v="Below Avg"/>
    <s v="Profit"/>
    <n v="330"/>
  </r>
  <r>
    <n v="385"/>
    <d v="2025-01-19T00:00:00"/>
    <n v="1082"/>
    <s v="Customer_113"/>
    <s v="Corporate"/>
    <x v="2"/>
    <s v="Clothing"/>
    <s v="Product_C"/>
    <n v="1299"/>
    <n v="6"/>
    <n v="0"/>
    <n v="92"/>
    <s v="UPI"/>
    <n v="7794"/>
    <s v="Jan"/>
    <n v="2025"/>
    <s v="Q1"/>
    <n v="1.1803951757762381E-2"/>
    <n v="0"/>
    <s v="High"/>
    <s v="Repeat"/>
    <s v="Below Avg"/>
    <s v="Profit"/>
    <n v="256"/>
  </r>
  <r>
    <n v="386"/>
    <d v="2025-01-20T00:00:00"/>
    <n v="1055"/>
    <s v="Customer_167"/>
    <s v="Consumer"/>
    <x v="3"/>
    <s v="Furniture"/>
    <s v="Product_C"/>
    <n v="4386"/>
    <n v="3"/>
    <n v="0.28999999999999998"/>
    <n v="838"/>
    <s v="COD"/>
    <n v="9342.18"/>
    <s v="Jan"/>
    <n v="2025"/>
    <s v="Q1"/>
    <n v="8.9700690845177455E-2"/>
    <n v="3815.8199999999997"/>
    <s v="High"/>
    <s v="Repeat"/>
    <s v="Below Avg"/>
    <s v="Profit"/>
    <n v="224"/>
  </r>
  <r>
    <n v="387"/>
    <d v="2025-01-21T00:00:00"/>
    <n v="1032"/>
    <s v="Customer_35"/>
    <s v="Consumer"/>
    <x v="3"/>
    <s v="Electronics"/>
    <s v="Product_A"/>
    <n v="3993"/>
    <n v="5"/>
    <n v="0.21"/>
    <n v="1730"/>
    <s v="COD"/>
    <n v="15772.35"/>
    <s v="Jan"/>
    <n v="2025"/>
    <s v="Q1"/>
    <n v="0.10968562072234005"/>
    <n v="4192.6499999999996"/>
    <s v="High"/>
    <s v="Repeat"/>
    <s v="Above Avg"/>
    <s v="Profit"/>
    <n v="132"/>
  </r>
  <r>
    <n v="388"/>
    <d v="2025-01-22T00:00:00"/>
    <n v="1030"/>
    <s v="Customer_29"/>
    <s v="Consumer"/>
    <x v="1"/>
    <s v="Electronics"/>
    <s v="Product_B"/>
    <n v="1045"/>
    <n v="3"/>
    <n v="0.15"/>
    <n v="1869"/>
    <s v="Card"/>
    <n v="2664.75"/>
    <s v="Jan"/>
    <n v="2025"/>
    <s v="Q1"/>
    <n v="0.70137911623979732"/>
    <n v="470.25"/>
    <s v="Medium"/>
    <s v="Repeat"/>
    <s v="Below Avg"/>
    <s v="Profit"/>
    <n v="405"/>
  </r>
  <r>
    <n v="389"/>
    <d v="2025-01-23T00:00:00"/>
    <n v="1003"/>
    <s v="Customer_110"/>
    <s v="Corporate"/>
    <x v="2"/>
    <s v="Furniture"/>
    <s v="Product_C"/>
    <n v="1736"/>
    <n v="8"/>
    <n v="0.18"/>
    <n v="492"/>
    <s v="COD"/>
    <n v="11388.16"/>
    <s v="Jan"/>
    <n v="2025"/>
    <s v="Q1"/>
    <n v="4.3202764976958526E-2"/>
    <n v="2499.8399999999997"/>
    <s v="High"/>
    <s v="Repeat"/>
    <s v="Above Avg"/>
    <s v="Profit"/>
    <n v="183"/>
  </r>
  <r>
    <n v="390"/>
    <d v="2025-01-24T00:00:00"/>
    <n v="1095"/>
    <s v="Customer_56"/>
    <s v="Consumer"/>
    <x v="3"/>
    <s v="Clothing"/>
    <s v="Product_A"/>
    <n v="2341"/>
    <n v="4"/>
    <n v="0.03"/>
    <n v="1730"/>
    <s v="Card"/>
    <n v="9083.08"/>
    <s v="Jan"/>
    <n v="2025"/>
    <s v="Q1"/>
    <n v="0.19046402762058684"/>
    <n v="280.92"/>
    <s v="High"/>
    <s v="Repeat"/>
    <s v="Below Avg"/>
    <s v="Profit"/>
    <n v="229"/>
  </r>
  <r>
    <n v="391"/>
    <d v="2025-01-25T00:00:00"/>
    <n v="1091"/>
    <s v="Customer_116"/>
    <s v="Consumer"/>
    <x v="2"/>
    <s v="Clothing"/>
    <s v="Product_C"/>
    <n v="3013"/>
    <n v="3"/>
    <n v="0.05"/>
    <n v="1502"/>
    <s v="COD"/>
    <n v="8587.0499999999993"/>
    <s v="Jan"/>
    <n v="2025"/>
    <s v="Q1"/>
    <n v="0.17491455156310959"/>
    <n v="451.95000000000005"/>
    <s v="High"/>
    <s v="Repeat"/>
    <s v="Below Avg"/>
    <s v="Profit"/>
    <n v="237"/>
  </r>
  <r>
    <n v="392"/>
    <d v="2025-01-26T00:00:00"/>
    <n v="1079"/>
    <s v="Customer_183"/>
    <s v="Corporate"/>
    <x v="3"/>
    <s v="Clothing"/>
    <s v="Product_D"/>
    <n v="3266"/>
    <n v="8"/>
    <n v="0.19"/>
    <n v="658"/>
    <s v="UPI"/>
    <n v="21163.68"/>
    <s v="Jan"/>
    <n v="2025"/>
    <s v="Q1"/>
    <n v="3.1091001186939134E-2"/>
    <n v="4964.32"/>
    <s v="High"/>
    <s v="Repeat"/>
    <s v="Above Avg"/>
    <s v="Profit"/>
    <n v="73"/>
  </r>
  <r>
    <n v="393"/>
    <d v="2025-01-27T00:00:00"/>
    <n v="1091"/>
    <s v="Customer_181"/>
    <s v="Consumer"/>
    <x v="0"/>
    <s v="Clothing"/>
    <s v="Product_C"/>
    <n v="4888"/>
    <n v="7"/>
    <n v="0.01"/>
    <n v="249"/>
    <s v="COD"/>
    <n v="33873.839999999997"/>
    <s v="Jan"/>
    <n v="2025"/>
    <s v="Q1"/>
    <n v="7.3508052231456497E-3"/>
    <n v="342.16"/>
    <s v="High"/>
    <s v="Repeat"/>
    <s v="Above Avg"/>
    <s v="Profit"/>
    <n v="15"/>
  </r>
  <r>
    <n v="394"/>
    <d v="2025-01-28T00:00:00"/>
    <n v="1078"/>
    <s v="Customer_176"/>
    <s v="Corporate"/>
    <x v="0"/>
    <s v="Electronics"/>
    <s v="Product_B"/>
    <n v="4543"/>
    <n v="1"/>
    <n v="0.21"/>
    <n v="62"/>
    <s v="UPI"/>
    <n v="3588.97"/>
    <s v="Jan"/>
    <n v="2025"/>
    <s v="Q1"/>
    <n v="1.7275151366548065E-2"/>
    <n v="954.03"/>
    <s v="Medium"/>
    <s v="Repeat"/>
    <s v="Below Avg"/>
    <s v="Profit"/>
    <n v="370"/>
  </r>
  <r>
    <n v="395"/>
    <d v="2025-01-29T00:00:00"/>
    <n v="1021"/>
    <s v="Customer_67"/>
    <s v="Corporate"/>
    <x v="2"/>
    <s v="Clothing"/>
    <s v="Product_B"/>
    <n v="2496"/>
    <n v="3"/>
    <n v="0.28000000000000003"/>
    <n v="455"/>
    <s v="Card"/>
    <n v="5391.36"/>
    <s v="Jan"/>
    <n v="2025"/>
    <s v="Q1"/>
    <n v="8.4394290123456797E-2"/>
    <n v="2096.6400000000003"/>
    <s v="High"/>
    <s v="Repeat"/>
    <s v="Below Avg"/>
    <s v="Profit"/>
    <n v="313"/>
  </r>
  <r>
    <n v="396"/>
    <d v="2025-01-30T00:00:00"/>
    <n v="1030"/>
    <s v="Customer_183"/>
    <s v="Consumer"/>
    <x v="2"/>
    <s v="Clothing"/>
    <s v="Product_C"/>
    <n v="1506"/>
    <n v="3"/>
    <n v="0.21"/>
    <n v="-309"/>
    <s v="UPI"/>
    <n v="3569.22"/>
    <s v="Jan"/>
    <n v="2025"/>
    <s v="Q1"/>
    <n v="-8.6573537075327389E-2"/>
    <n v="948.78"/>
    <s v="Medium"/>
    <s v="Repeat"/>
    <s v="Below Avg"/>
    <s v="Loss"/>
    <n v="373"/>
  </r>
  <r>
    <n v="397"/>
    <d v="2025-01-31T00:00:00"/>
    <n v="1059"/>
    <s v="Customer_32"/>
    <s v="Corporate"/>
    <x v="3"/>
    <s v="Furniture"/>
    <s v="Product_A"/>
    <n v="593"/>
    <n v="4"/>
    <n v="0.17"/>
    <n v="1059"/>
    <s v="Card"/>
    <n v="1968.76"/>
    <s v="Jan"/>
    <n v="2025"/>
    <s v="Q1"/>
    <n v="0.53790202970397616"/>
    <n v="403.24"/>
    <s v="Low"/>
    <s v="Repeat"/>
    <s v="Below Avg"/>
    <s v="Profit"/>
    <n v="432"/>
  </r>
  <r>
    <n v="398"/>
    <d v="2025-02-01T00:00:00"/>
    <n v="1084"/>
    <s v="Customer_58"/>
    <s v="Corporate"/>
    <x v="3"/>
    <s v="Furniture"/>
    <s v="Product_A"/>
    <n v="2132"/>
    <n v="1"/>
    <n v="0.24"/>
    <n v="1264"/>
    <s v="COD"/>
    <n v="1620.32"/>
    <s v="Feb"/>
    <n v="2025"/>
    <s v="Q1"/>
    <n v="0.78009282117112677"/>
    <n v="511.68"/>
    <s v="Low"/>
    <s v="Repeat"/>
    <s v="Below Avg"/>
    <s v="Profit"/>
    <n v="451"/>
  </r>
  <r>
    <n v="399"/>
    <d v="2025-02-02T00:00:00"/>
    <n v="1031"/>
    <s v="Customer_78"/>
    <s v="Consumer"/>
    <x v="3"/>
    <s v="Furniture"/>
    <s v="Product_A"/>
    <n v="160"/>
    <n v="9"/>
    <n v="0.22"/>
    <n v="121"/>
    <s v="UPI"/>
    <n v="1123.2"/>
    <s v="Feb"/>
    <n v="2025"/>
    <s v="Q1"/>
    <n v="0.10772792022792023"/>
    <n v="316.8"/>
    <s v="Low"/>
    <s v="New"/>
    <s v="Below Avg"/>
    <s v="Profit"/>
    <n v="473"/>
  </r>
  <r>
    <n v="400"/>
    <d v="2025-02-03T00:00:00"/>
    <n v="1070"/>
    <s v="Customer_69"/>
    <s v="Consumer"/>
    <x v="1"/>
    <s v="Furniture"/>
    <s v="Product_B"/>
    <n v="1845"/>
    <n v="2"/>
    <n v="0.18"/>
    <n v="-188"/>
    <s v="COD"/>
    <n v="3025.8"/>
    <s v="Feb"/>
    <n v="2025"/>
    <s v="Q1"/>
    <n v="-6.2132328640359571E-2"/>
    <n v="664.19999999999993"/>
    <s v="Medium"/>
    <s v="Repeat"/>
    <s v="Below Avg"/>
    <s v="Loss"/>
    <n v="391"/>
  </r>
  <r>
    <n v="401"/>
    <d v="2025-02-04T00:00:00"/>
    <n v="1096"/>
    <s v="Customer_28"/>
    <s v="Consumer"/>
    <x v="1"/>
    <s v="Electronics"/>
    <s v="Product_C"/>
    <n v="3601"/>
    <n v="7"/>
    <n v="0.06"/>
    <n v="774"/>
    <s v="Card"/>
    <n v="23694.5799999999"/>
    <s v="Feb"/>
    <n v="2025"/>
    <s v="Q1"/>
    <n v="3.2665698231410023E-2"/>
    <n v="1512.4199999999998"/>
    <s v="High"/>
    <s v="Repeat"/>
    <s v="Above Avg"/>
    <s v="Profit"/>
    <n v="54"/>
  </r>
  <r>
    <n v="402"/>
    <d v="2025-02-05T00:00:00"/>
    <n v="1007"/>
    <s v="Customer_72"/>
    <s v="Consumer"/>
    <x v="2"/>
    <s v="Clothing"/>
    <s v="Product_D"/>
    <n v="1056"/>
    <n v="2"/>
    <n v="0"/>
    <n v="1283"/>
    <s v="UPI"/>
    <n v="2112"/>
    <s v="Feb"/>
    <n v="2025"/>
    <s v="Q1"/>
    <n v="0.60748106060606055"/>
    <n v="0"/>
    <s v="Medium"/>
    <s v="Repeat"/>
    <s v="Below Avg"/>
    <s v="Profit"/>
    <n v="422"/>
  </r>
  <r>
    <n v="403"/>
    <d v="2025-02-06T00:00:00"/>
    <n v="1077"/>
    <s v="Customer_109"/>
    <s v="Consumer"/>
    <x v="2"/>
    <s v="Clothing"/>
    <s v="Product_D"/>
    <n v="4889"/>
    <n v="8"/>
    <n v="0.14000000000000001"/>
    <n v="517"/>
    <s v="UPI"/>
    <n v="33636.32"/>
    <s v="Feb"/>
    <n v="2025"/>
    <s v="Q1"/>
    <n v="1.5370290210106219E-2"/>
    <n v="5475.68"/>
    <s v="High"/>
    <s v="Repeat"/>
    <s v="Above Avg"/>
    <s v="Profit"/>
    <n v="16"/>
  </r>
  <r>
    <n v="404"/>
    <d v="2025-02-07T00:00:00"/>
    <n v="1061"/>
    <s v="Customer_60"/>
    <s v="Consumer"/>
    <x v="0"/>
    <s v="Electronics"/>
    <s v="Product_D"/>
    <n v="4231"/>
    <n v="3"/>
    <n v="7.0000000000000007E-2"/>
    <n v="-225"/>
    <s v="UPI"/>
    <n v="11804.49"/>
    <s v="Feb"/>
    <n v="2025"/>
    <s v="Q1"/>
    <n v="-1.9060543911681063E-2"/>
    <n v="888.5100000000001"/>
    <s v="High"/>
    <s v="Repeat"/>
    <s v="Above Avg"/>
    <s v="Loss"/>
    <n v="172"/>
  </r>
  <r>
    <n v="405"/>
    <d v="2025-02-08T00:00:00"/>
    <n v="1088"/>
    <s v="Customer_13"/>
    <s v="Corporate"/>
    <x v="0"/>
    <s v="Electronics"/>
    <s v="Product_B"/>
    <n v="2954"/>
    <n v="6"/>
    <n v="7.0000000000000007E-2"/>
    <n v="-111"/>
    <s v="COD"/>
    <n v="16483.32"/>
    <s v="Feb"/>
    <n v="2025"/>
    <s v="Q1"/>
    <n v="-6.7340802702368216E-3"/>
    <n v="1240.68"/>
    <s v="High"/>
    <s v="Repeat"/>
    <s v="Above Avg"/>
    <s v="Loss"/>
    <n v="115"/>
  </r>
  <r>
    <n v="406"/>
    <d v="2025-02-09T00:00:00"/>
    <n v="1095"/>
    <s v="Customer_18"/>
    <s v="Corporate"/>
    <x v="2"/>
    <s v="Electronics"/>
    <s v="Product_D"/>
    <n v="3263"/>
    <n v="8"/>
    <n v="0.15"/>
    <n v="562"/>
    <s v="COD"/>
    <n v="22188.3999999999"/>
    <s v="Feb"/>
    <n v="2025"/>
    <s v="Q1"/>
    <n v="2.5328550053181055E-2"/>
    <n v="3915.6"/>
    <s v="High"/>
    <s v="Repeat"/>
    <s v="Above Avg"/>
    <s v="Profit"/>
    <n v="65"/>
  </r>
  <r>
    <n v="407"/>
    <d v="2025-02-10T00:00:00"/>
    <n v="1027"/>
    <s v="Customer_179"/>
    <s v="Corporate"/>
    <x v="3"/>
    <s v="Electronics"/>
    <s v="Product_D"/>
    <n v="1024"/>
    <n v="5"/>
    <n v="0.11"/>
    <n v="538"/>
    <s v="COD"/>
    <n v="4556.8"/>
    <s v="Feb"/>
    <n v="2025"/>
    <s v="Q1"/>
    <n v="0.11806530898876404"/>
    <n v="563.20000000000005"/>
    <s v="Medium"/>
    <s v="Repeat"/>
    <s v="Below Avg"/>
    <s v="Profit"/>
    <n v="337"/>
  </r>
  <r>
    <n v="408"/>
    <d v="2025-02-11T00:00:00"/>
    <n v="1065"/>
    <s v="Customer_50"/>
    <s v="Consumer"/>
    <x v="1"/>
    <s v="Clothing"/>
    <s v="Product_A"/>
    <n v="2288"/>
    <n v="7"/>
    <n v="0.15"/>
    <n v="634"/>
    <s v="Card"/>
    <n v="13613.6"/>
    <s v="Feb"/>
    <n v="2025"/>
    <s v="Q1"/>
    <n v="4.6571075982840687E-2"/>
    <n v="2402.4"/>
    <s v="High"/>
    <s v="Repeat"/>
    <s v="Above Avg"/>
    <s v="Profit"/>
    <n v="152"/>
  </r>
  <r>
    <n v="409"/>
    <d v="2025-02-12T00:00:00"/>
    <n v="1016"/>
    <s v="Customer_43"/>
    <s v="Consumer"/>
    <x v="2"/>
    <s v="Electronics"/>
    <s v="Product_A"/>
    <n v="4617"/>
    <n v="9"/>
    <n v="0.08"/>
    <n v="1491"/>
    <s v="Card"/>
    <n v="38228.76"/>
    <s v="Feb"/>
    <n v="2025"/>
    <s v="Q1"/>
    <n v="3.9002049765673799E-2"/>
    <n v="3324.2400000000002"/>
    <s v="High"/>
    <s v="Repeat"/>
    <s v="Above Avg"/>
    <s v="Profit"/>
    <n v="5"/>
  </r>
  <r>
    <n v="410"/>
    <d v="2025-02-13T00:00:00"/>
    <n v="1090"/>
    <s v="Customer_85"/>
    <s v="Consumer"/>
    <x v="2"/>
    <s v="Clothing"/>
    <s v="Product_D"/>
    <n v="1303"/>
    <n v="5"/>
    <n v="0.18"/>
    <n v="826"/>
    <s v="Card"/>
    <n v="5342.3"/>
    <s v="Feb"/>
    <n v="2025"/>
    <s v="Q1"/>
    <n v="0.15461505344140164"/>
    <n v="1172.7"/>
    <s v="High"/>
    <s v="Repeat"/>
    <s v="Below Avg"/>
    <s v="Profit"/>
    <n v="315"/>
  </r>
  <r>
    <n v="411"/>
    <d v="2025-02-14T00:00:00"/>
    <n v="1001"/>
    <s v="Customer_46"/>
    <s v="Consumer"/>
    <x v="0"/>
    <s v="Furniture"/>
    <s v="Product_A"/>
    <n v="2942"/>
    <n v="7"/>
    <n v="0.19"/>
    <n v="90"/>
    <s v="UPI"/>
    <n v="16681.14"/>
    <s v="Feb"/>
    <n v="2025"/>
    <s v="Q1"/>
    <n v="5.3953147087069595E-3"/>
    <n v="3912.86"/>
    <s v="High"/>
    <s v="Repeat"/>
    <s v="Above Avg"/>
    <s v="Profit"/>
    <n v="109"/>
  </r>
  <r>
    <n v="412"/>
    <d v="2025-02-15T00:00:00"/>
    <n v="1007"/>
    <s v="Customer_24"/>
    <s v="Consumer"/>
    <x v="2"/>
    <s v="Furniture"/>
    <s v="Product_C"/>
    <n v="3138"/>
    <n v="8"/>
    <n v="0.06"/>
    <n v="281"/>
    <s v="COD"/>
    <n v="23597.759999999998"/>
    <s v="Feb"/>
    <n v="2025"/>
    <s v="Q1"/>
    <n v="1.1907909903312858E-2"/>
    <n v="1506.24"/>
    <s v="High"/>
    <s v="Repeat"/>
    <s v="Above Avg"/>
    <s v="Profit"/>
    <n v="55"/>
  </r>
  <r>
    <n v="413"/>
    <d v="2025-02-16T00:00:00"/>
    <n v="1037"/>
    <s v="Customer_5"/>
    <s v="Corporate"/>
    <x v="0"/>
    <s v="Electronics"/>
    <s v="Product_C"/>
    <n v="2851"/>
    <n v="4"/>
    <n v="0.17"/>
    <n v="385"/>
    <s v="Card"/>
    <n v="9465.32"/>
    <s v="Feb"/>
    <n v="2025"/>
    <s v="Q1"/>
    <n v="4.0674800218059193E-2"/>
    <n v="1938.68"/>
    <s v="High"/>
    <s v="Repeat"/>
    <s v="Below Avg"/>
    <s v="Profit"/>
    <n v="219"/>
  </r>
  <r>
    <n v="414"/>
    <d v="2025-02-17T00:00:00"/>
    <n v="1019"/>
    <s v="Customer_158"/>
    <s v="Consumer"/>
    <x v="1"/>
    <s v="Clothing"/>
    <s v="Product_A"/>
    <n v="1181"/>
    <n v="8"/>
    <n v="0.13"/>
    <n v="-134"/>
    <s v="COD"/>
    <n v="8219.76"/>
    <s v="Feb"/>
    <n v="2025"/>
    <s v="Q1"/>
    <n v="-1.6302179139050289E-2"/>
    <n v="1228.24"/>
    <s v="High"/>
    <s v="Repeat"/>
    <s v="Below Avg"/>
    <s v="Loss"/>
    <n v="243"/>
  </r>
  <r>
    <n v="415"/>
    <d v="2025-02-18T00:00:00"/>
    <n v="1063"/>
    <s v="Customer_43"/>
    <s v="Corporate"/>
    <x v="2"/>
    <s v="Furniture"/>
    <s v="Product_A"/>
    <n v="4382"/>
    <n v="8"/>
    <n v="0.28999999999999998"/>
    <n v="420"/>
    <s v="UPI"/>
    <n v="24889.759999999998"/>
    <s v="Feb"/>
    <n v="2025"/>
    <s v="Q1"/>
    <n v="1.6874409395671152E-2"/>
    <n v="10166.24"/>
    <s v="High"/>
    <s v="Repeat"/>
    <s v="Above Avg"/>
    <s v="Profit"/>
    <n v="43"/>
  </r>
  <r>
    <n v="416"/>
    <d v="2025-02-19T00:00:00"/>
    <n v="1020"/>
    <s v="Customer_53"/>
    <s v="Consumer"/>
    <x v="1"/>
    <s v="Furniture"/>
    <s v="Product_C"/>
    <n v="346"/>
    <n v="1"/>
    <n v="0.22"/>
    <n v="1283"/>
    <s v="COD"/>
    <n v="269.88"/>
    <s v="Feb"/>
    <n v="2025"/>
    <s v="Q1"/>
    <n v="4.7539647250629908"/>
    <n v="76.12"/>
    <s v="Low"/>
    <s v="Repeat"/>
    <s v="Below Avg"/>
    <s v="Profit"/>
    <n v="497"/>
  </r>
  <r>
    <n v="417"/>
    <d v="2025-02-20T00:00:00"/>
    <n v="1089"/>
    <s v="Customer_152"/>
    <s v="Consumer"/>
    <x v="0"/>
    <s v="Electronics"/>
    <s v="Product_B"/>
    <n v="895"/>
    <n v="7"/>
    <n v="0.05"/>
    <n v="305"/>
    <s v="Card"/>
    <n v="5951.75"/>
    <s v="Feb"/>
    <n v="2025"/>
    <s v="Q1"/>
    <n v="5.1245432015793672E-2"/>
    <n v="313.25"/>
    <s v="High"/>
    <s v="Repeat"/>
    <s v="Below Avg"/>
    <s v="Profit"/>
    <n v="299"/>
  </r>
  <r>
    <n v="418"/>
    <d v="2025-02-21T00:00:00"/>
    <n v="1030"/>
    <s v="Customer_103"/>
    <s v="Consumer"/>
    <x v="3"/>
    <s v="Clothing"/>
    <s v="Product_D"/>
    <n v="3786"/>
    <n v="6"/>
    <n v="0.26"/>
    <n v="1046"/>
    <s v="UPI"/>
    <n v="16809.84"/>
    <s v="Feb"/>
    <n v="2025"/>
    <s v="Q1"/>
    <n v="6.2225458421971892E-2"/>
    <n v="5906.16"/>
    <s v="High"/>
    <s v="Repeat"/>
    <s v="Above Avg"/>
    <s v="Profit"/>
    <n v="106"/>
  </r>
  <r>
    <n v="419"/>
    <d v="2025-02-22T00:00:00"/>
    <n v="1083"/>
    <s v="Customer_142"/>
    <s v="Corporate"/>
    <x v="3"/>
    <s v="Electronics"/>
    <s v="Product_A"/>
    <n v="1037"/>
    <n v="9"/>
    <n v="0.14000000000000001"/>
    <n v="1107"/>
    <s v="Card"/>
    <n v="8026.38"/>
    <s v="Feb"/>
    <n v="2025"/>
    <s v="Q1"/>
    <n v="0.13792020811374492"/>
    <n v="1306.6200000000001"/>
    <s v="High"/>
    <s v="Repeat"/>
    <s v="Below Avg"/>
    <s v="Profit"/>
    <n v="253"/>
  </r>
  <r>
    <n v="420"/>
    <d v="2025-02-23T00:00:00"/>
    <n v="1069"/>
    <s v="Customer_164"/>
    <s v="Corporate"/>
    <x v="1"/>
    <s v="Clothing"/>
    <s v="Product_B"/>
    <n v="2011"/>
    <n v="8"/>
    <n v="0.25"/>
    <n v="1506"/>
    <s v="Card"/>
    <n v="12066"/>
    <s v="Feb"/>
    <n v="2025"/>
    <s v="Q1"/>
    <n v="0.12481352560914968"/>
    <n v="4022"/>
    <s v="High"/>
    <s v="Repeat"/>
    <s v="Above Avg"/>
    <s v="Profit"/>
    <n v="166"/>
  </r>
  <r>
    <n v="421"/>
    <d v="2025-02-24T00:00:00"/>
    <n v="1014"/>
    <s v="Customer_154"/>
    <s v="Consumer"/>
    <x v="3"/>
    <s v="Clothing"/>
    <s v="Product_D"/>
    <n v="1278"/>
    <n v="4"/>
    <n v="0.25"/>
    <n v="-41"/>
    <s v="Card"/>
    <n v="3834"/>
    <s v="Feb"/>
    <n v="2025"/>
    <s v="Q1"/>
    <n v="-1.069379238393323E-2"/>
    <n v="1278"/>
    <s v="Medium"/>
    <s v="Repeat"/>
    <s v="Below Avg"/>
    <s v="Loss"/>
    <n v="362"/>
  </r>
  <r>
    <n v="422"/>
    <d v="2025-02-25T00:00:00"/>
    <n v="1056"/>
    <s v="Customer_13"/>
    <s v="Corporate"/>
    <x v="1"/>
    <s v="Clothing"/>
    <s v="Product_A"/>
    <n v="837"/>
    <n v="2"/>
    <n v="0.01"/>
    <n v="1937"/>
    <s v="COD"/>
    <n v="1657.26"/>
    <s v="Feb"/>
    <n v="2025"/>
    <s v="Q1"/>
    <n v="1.1687966885099501"/>
    <n v="16.740000000000002"/>
    <s v="Low"/>
    <s v="Repeat"/>
    <s v="Below Avg"/>
    <s v="Profit"/>
    <n v="449"/>
  </r>
  <r>
    <n v="423"/>
    <d v="2025-02-26T00:00:00"/>
    <n v="1000"/>
    <s v="Customer_21"/>
    <s v="Consumer"/>
    <x v="3"/>
    <s v="Clothing"/>
    <s v="Product_A"/>
    <n v="734"/>
    <n v="3"/>
    <n v="7.0000000000000007E-2"/>
    <n v="1682"/>
    <s v="UPI"/>
    <n v="2047.86"/>
    <s v="Feb"/>
    <n v="2025"/>
    <s v="Q1"/>
    <n v="0.82134520914515641"/>
    <n v="154.14000000000001"/>
    <s v="Medium"/>
    <s v="Repeat"/>
    <s v="Below Avg"/>
    <s v="Profit"/>
    <n v="427"/>
  </r>
  <r>
    <n v="424"/>
    <d v="2025-02-27T00:00:00"/>
    <n v="1089"/>
    <s v="Customer_90"/>
    <s v="Corporate"/>
    <x v="2"/>
    <s v="Electronics"/>
    <s v="Product_B"/>
    <n v="316"/>
    <n v="7"/>
    <n v="0.27"/>
    <n v="1139"/>
    <s v="Card"/>
    <n v="1614.76"/>
    <s v="Feb"/>
    <n v="2025"/>
    <s v="Q1"/>
    <n v="0.70536798038098536"/>
    <n v="597.24"/>
    <s v="Low"/>
    <s v="Repeat"/>
    <s v="Below Avg"/>
    <s v="Profit"/>
    <n v="453"/>
  </r>
  <r>
    <n v="425"/>
    <d v="2025-02-28T00:00:00"/>
    <n v="1028"/>
    <s v="Customer_98"/>
    <s v="Consumer"/>
    <x v="0"/>
    <s v="Furniture"/>
    <s v="Product_D"/>
    <n v="519"/>
    <n v="9"/>
    <n v="0.23"/>
    <n v="411"/>
    <s v="Card"/>
    <n v="3596.67"/>
    <s v="Feb"/>
    <n v="2025"/>
    <s v="Q1"/>
    <n v="0.11427236860762872"/>
    <n v="1074.3300000000002"/>
    <s v="Medium"/>
    <s v="Repeat"/>
    <s v="Below Avg"/>
    <s v="Profit"/>
    <n v="369"/>
  </r>
  <r>
    <n v="426"/>
    <d v="2025-03-01T00:00:00"/>
    <n v="1065"/>
    <s v="Customer_40"/>
    <s v="Consumer"/>
    <x v="3"/>
    <s v="Clothing"/>
    <s v="Product_A"/>
    <n v="2662"/>
    <n v="3"/>
    <n v="0.04"/>
    <n v="1264"/>
    <s v="UPI"/>
    <n v="7666.5599999999904"/>
    <s v="Mar"/>
    <n v="2025"/>
    <s v="Q1"/>
    <n v="0.16487185908673532"/>
    <n v="319.44"/>
    <s v="High"/>
    <s v="Repeat"/>
    <s v="Below Avg"/>
    <s v="Profit"/>
    <n v="260"/>
  </r>
  <r>
    <n v="427"/>
    <d v="2025-03-02T00:00:00"/>
    <n v="1021"/>
    <s v="Customer_43"/>
    <s v="Consumer"/>
    <x v="1"/>
    <s v="Clothing"/>
    <s v="Product_D"/>
    <n v="408"/>
    <n v="7"/>
    <n v="0.06"/>
    <n v="1876"/>
    <s v="Card"/>
    <n v="2684.64"/>
    <s v="Mar"/>
    <n v="2025"/>
    <s v="Q1"/>
    <n v="0.69879015435961622"/>
    <n v="171.35999999999999"/>
    <s v="Medium"/>
    <s v="Repeat"/>
    <s v="Below Avg"/>
    <s v="Profit"/>
    <n v="402"/>
  </r>
  <r>
    <n v="428"/>
    <d v="2025-03-03T00:00:00"/>
    <n v="1060"/>
    <s v="Customer_59"/>
    <s v="Consumer"/>
    <x v="0"/>
    <s v="Clothing"/>
    <s v="Product_D"/>
    <n v="4903"/>
    <n v="1"/>
    <n v="0.19"/>
    <n v="1541"/>
    <s v="UPI"/>
    <n v="3971.43"/>
    <s v="Mar"/>
    <n v="2025"/>
    <s v="Q1"/>
    <n v="0.38802144315775428"/>
    <n v="931.57"/>
    <s v="Medium"/>
    <s v="Repeat"/>
    <s v="Below Avg"/>
    <s v="Profit"/>
    <n v="355"/>
  </r>
  <r>
    <n v="429"/>
    <d v="2025-03-04T00:00:00"/>
    <n v="1028"/>
    <s v="Customer_49"/>
    <s v="Corporate"/>
    <x v="2"/>
    <s v="Electronics"/>
    <s v="Product_D"/>
    <n v="1966"/>
    <n v="3"/>
    <n v="0.08"/>
    <n v="919"/>
    <s v="Card"/>
    <n v="5426.16"/>
    <s v="Mar"/>
    <n v="2025"/>
    <s v="Q1"/>
    <n v="0.16936470726996625"/>
    <n v="471.84000000000003"/>
    <s v="High"/>
    <s v="Repeat"/>
    <s v="Below Avg"/>
    <s v="Profit"/>
    <n v="311"/>
  </r>
  <r>
    <n v="430"/>
    <d v="2025-03-05T00:00:00"/>
    <n v="1008"/>
    <s v="Customer_175"/>
    <s v="Corporate"/>
    <x v="2"/>
    <s v="Clothing"/>
    <s v="Product_B"/>
    <n v="1083"/>
    <n v="2"/>
    <n v="0.06"/>
    <n v="25"/>
    <s v="Card"/>
    <n v="2036.04"/>
    <s v="Mar"/>
    <n v="2025"/>
    <s v="Q1"/>
    <n v="1.2278737156440934E-2"/>
    <n v="129.96"/>
    <s v="Medium"/>
    <s v="Repeat"/>
    <s v="Below Avg"/>
    <s v="Profit"/>
    <n v="429"/>
  </r>
  <r>
    <n v="431"/>
    <d v="2025-03-06T00:00:00"/>
    <n v="1040"/>
    <s v="Customer_147"/>
    <s v="Corporate"/>
    <x v="1"/>
    <s v="Furniture"/>
    <s v="Product_D"/>
    <n v="3878"/>
    <n v="6"/>
    <n v="0.3"/>
    <n v="227"/>
    <s v="Card"/>
    <n v="16287.5999999999"/>
    <s v="Mar"/>
    <n v="2025"/>
    <s v="Q1"/>
    <n v="1.3936982735332485E-2"/>
    <n v="6980.4"/>
    <s v="High"/>
    <s v="Repeat"/>
    <s v="Above Avg"/>
    <s v="Profit"/>
    <n v="120"/>
  </r>
  <r>
    <n v="432"/>
    <d v="2025-03-07T00:00:00"/>
    <n v="1020"/>
    <s v="Customer_140"/>
    <s v="Consumer"/>
    <x v="3"/>
    <s v="Clothing"/>
    <s v="Product_C"/>
    <n v="2387"/>
    <n v="9"/>
    <n v="0.14000000000000001"/>
    <n v="-68"/>
    <s v="COD"/>
    <n v="18475.38"/>
    <s v="Mar"/>
    <n v="2025"/>
    <s v="Q1"/>
    <n v="-3.6805738231094568E-3"/>
    <n v="3007.6200000000003"/>
    <s v="High"/>
    <s v="Repeat"/>
    <s v="Above Avg"/>
    <s v="Loss"/>
    <n v="88"/>
  </r>
  <r>
    <n v="433"/>
    <d v="2025-03-08T00:00:00"/>
    <n v="1054"/>
    <s v="Customer_36"/>
    <s v="Consumer"/>
    <x v="3"/>
    <s v="Furniture"/>
    <s v="Product_A"/>
    <n v="3414"/>
    <n v="3"/>
    <n v="0.16"/>
    <n v="1361"/>
    <s v="UPI"/>
    <n v="8603.2799999999897"/>
    <s v="Mar"/>
    <n v="2025"/>
    <s v="Q1"/>
    <n v="0.15819547893361621"/>
    <n v="1638.72"/>
    <s v="High"/>
    <s v="Repeat"/>
    <s v="Below Avg"/>
    <s v="Profit"/>
    <n v="236"/>
  </r>
  <r>
    <n v="434"/>
    <d v="2025-03-09T00:00:00"/>
    <n v="1095"/>
    <s v="Customer_122"/>
    <s v="Consumer"/>
    <x v="0"/>
    <s v="Furniture"/>
    <s v="Product_D"/>
    <n v="661"/>
    <n v="8"/>
    <n v="0.2"/>
    <n v="31"/>
    <s v="COD"/>
    <n v="4230.3999999999996"/>
    <s v="Mar"/>
    <n v="2025"/>
    <s v="Q1"/>
    <n v="7.3279122541603636E-3"/>
    <n v="1057.6000000000001"/>
    <s v="Medium"/>
    <s v="Repeat"/>
    <s v="Below Avg"/>
    <s v="Profit"/>
    <n v="345"/>
  </r>
  <r>
    <n v="435"/>
    <d v="2025-03-10T00:00:00"/>
    <n v="1095"/>
    <s v="Customer_94"/>
    <s v="Consumer"/>
    <x v="1"/>
    <s v="Electronics"/>
    <s v="Product_A"/>
    <n v="3695"/>
    <n v="9"/>
    <n v="0.02"/>
    <n v="1064"/>
    <s v="COD"/>
    <n v="32589.8999999999"/>
    <s v="Mar"/>
    <n v="2025"/>
    <s v="Q1"/>
    <n v="3.2648151727989447E-2"/>
    <n v="665.1"/>
    <s v="High"/>
    <s v="Repeat"/>
    <s v="Above Avg"/>
    <s v="Profit"/>
    <n v="19"/>
  </r>
  <r>
    <n v="436"/>
    <d v="2025-03-11T00:00:00"/>
    <n v="1039"/>
    <s v="Customer_108"/>
    <s v="Corporate"/>
    <x v="1"/>
    <s v="Furniture"/>
    <s v="Product_C"/>
    <n v="4987"/>
    <n v="8"/>
    <n v="0.12"/>
    <n v="1901"/>
    <s v="UPI"/>
    <n v="35108.480000000003"/>
    <s v="Mar"/>
    <n v="2025"/>
    <s v="Q1"/>
    <n v="5.4146462620996406E-2"/>
    <n v="4787.5199999999995"/>
    <s v="High"/>
    <s v="Repeat"/>
    <s v="Above Avg"/>
    <s v="Profit"/>
    <n v="11"/>
  </r>
  <r>
    <n v="437"/>
    <d v="2025-03-12T00:00:00"/>
    <n v="1025"/>
    <s v="Customer_33"/>
    <s v="Corporate"/>
    <x v="0"/>
    <s v="Clothing"/>
    <s v="Product_C"/>
    <n v="1502"/>
    <n v="9"/>
    <n v="0.27"/>
    <n v="407"/>
    <s v="UPI"/>
    <n v="9868.14"/>
    <s v="Mar"/>
    <n v="2025"/>
    <s v="Q1"/>
    <n v="4.1243841291266646E-2"/>
    <n v="3649.86"/>
    <s v="High"/>
    <s v="Repeat"/>
    <s v="Below Avg"/>
    <s v="Profit"/>
    <n v="205"/>
  </r>
  <r>
    <n v="438"/>
    <d v="2025-03-13T00:00:00"/>
    <n v="1047"/>
    <s v="Customer_108"/>
    <s v="Corporate"/>
    <x v="0"/>
    <s v="Furniture"/>
    <s v="Product_C"/>
    <n v="2678"/>
    <n v="9"/>
    <n v="0.28000000000000003"/>
    <n v="-115"/>
    <s v="UPI"/>
    <n v="17353.439999999999"/>
    <s v="Mar"/>
    <n v="2025"/>
    <s v="Q1"/>
    <n v="-6.626928147963747E-3"/>
    <n v="6748.56"/>
    <s v="High"/>
    <s v="Repeat"/>
    <s v="Above Avg"/>
    <s v="Loss"/>
    <n v="100"/>
  </r>
  <r>
    <n v="439"/>
    <d v="2025-03-14T00:00:00"/>
    <n v="1076"/>
    <s v="Customer_127"/>
    <s v="Corporate"/>
    <x v="3"/>
    <s v="Clothing"/>
    <s v="Product_C"/>
    <n v="3044"/>
    <n v="3"/>
    <n v="0.15"/>
    <n v="151"/>
    <s v="UPI"/>
    <n v="7762.2"/>
    <s v="Mar"/>
    <n v="2025"/>
    <s v="Q1"/>
    <n v="1.9453247790574838E-2"/>
    <n v="1369.8"/>
    <s v="High"/>
    <s v="Repeat"/>
    <s v="Below Avg"/>
    <s v="Profit"/>
    <n v="257"/>
  </r>
  <r>
    <n v="440"/>
    <d v="2025-03-15T00:00:00"/>
    <n v="1002"/>
    <s v="Customer_87"/>
    <s v="Consumer"/>
    <x v="0"/>
    <s v="Furniture"/>
    <s v="Product_A"/>
    <n v="670"/>
    <n v="9"/>
    <n v="0.27"/>
    <n v="-290"/>
    <s v="Card"/>
    <n v="4401.8999999999996"/>
    <s v="Mar"/>
    <n v="2025"/>
    <s v="Q1"/>
    <n v="-6.5880642449851201E-2"/>
    <n v="1628.1000000000001"/>
    <s v="Medium"/>
    <s v="Repeat"/>
    <s v="Below Avg"/>
    <s v="Loss"/>
    <n v="340"/>
  </r>
  <r>
    <n v="441"/>
    <d v="2025-03-16T00:00:00"/>
    <n v="1095"/>
    <s v="Customer_62"/>
    <s v="Consumer"/>
    <x v="1"/>
    <s v="Clothing"/>
    <s v="Product_D"/>
    <n v="2551"/>
    <n v="1"/>
    <n v="0.15"/>
    <n v="453"/>
    <s v="COD"/>
    <n v="2168.35"/>
    <s v="Mar"/>
    <n v="2025"/>
    <s v="Q1"/>
    <n v="0.20891461249337054"/>
    <n v="382.65"/>
    <s v="Medium"/>
    <s v="Repeat"/>
    <s v="Below Avg"/>
    <s v="Profit"/>
    <n v="420"/>
  </r>
  <r>
    <n v="442"/>
    <d v="2025-03-17T00:00:00"/>
    <n v="1032"/>
    <s v="Customer_169"/>
    <s v="Corporate"/>
    <x v="2"/>
    <s v="Electronics"/>
    <s v="Product_B"/>
    <n v="1755"/>
    <n v="4"/>
    <n v="0.3"/>
    <n v="678"/>
    <s v="COD"/>
    <n v="4914"/>
    <s v="Mar"/>
    <n v="2025"/>
    <s v="Q1"/>
    <n v="0.13797313797313798"/>
    <n v="2106"/>
    <s v="Medium"/>
    <s v="Repeat"/>
    <s v="Below Avg"/>
    <s v="Profit"/>
    <n v="327"/>
  </r>
  <r>
    <n v="443"/>
    <d v="2025-03-18T00:00:00"/>
    <n v="1096"/>
    <s v="Customer_19"/>
    <s v="Corporate"/>
    <x v="2"/>
    <s v="Clothing"/>
    <s v="Product_D"/>
    <n v="4413"/>
    <n v="1"/>
    <n v="0.24"/>
    <n v="-325"/>
    <s v="Card"/>
    <n v="3353.88"/>
    <s v="Mar"/>
    <n v="2025"/>
    <s v="Q1"/>
    <n v="-9.6902691807697353E-2"/>
    <n v="1059.1199999999999"/>
    <s v="Medium"/>
    <s v="Repeat"/>
    <s v="Below Avg"/>
    <s v="Loss"/>
    <n v="383"/>
  </r>
  <r>
    <n v="444"/>
    <d v="2025-03-19T00:00:00"/>
    <n v="1041"/>
    <s v="Customer_101"/>
    <s v="Consumer"/>
    <x v="2"/>
    <s v="Electronics"/>
    <s v="Product_D"/>
    <n v="4983"/>
    <n v="2"/>
    <n v="0.25"/>
    <n v="159"/>
    <s v="COD"/>
    <n v="7474.5"/>
    <s v="Mar"/>
    <n v="2025"/>
    <s v="Q1"/>
    <n v="2.1272325908087499E-2"/>
    <n v="2491.5"/>
    <s v="High"/>
    <s v="Repeat"/>
    <s v="Below Avg"/>
    <s v="Profit"/>
    <n v="265"/>
  </r>
  <r>
    <n v="445"/>
    <d v="2025-03-20T00:00:00"/>
    <n v="1076"/>
    <s v="Customer_31"/>
    <s v="Consumer"/>
    <x v="2"/>
    <s v="Clothing"/>
    <s v="Product_A"/>
    <n v="2328"/>
    <n v="4"/>
    <n v="0.06"/>
    <n v="878"/>
    <s v="COD"/>
    <n v="8753.2799999999897"/>
    <s v="Mar"/>
    <n v="2025"/>
    <s v="Q1"/>
    <n v="0.10030525700080439"/>
    <n v="558.72"/>
    <s v="High"/>
    <s v="Repeat"/>
    <s v="Below Avg"/>
    <s v="Profit"/>
    <n v="234"/>
  </r>
  <r>
    <n v="446"/>
    <d v="2025-03-21T00:00:00"/>
    <n v="1042"/>
    <s v="Customer_50"/>
    <s v="Consumer"/>
    <x v="1"/>
    <s v="Furniture"/>
    <s v="Product_D"/>
    <n v="4886"/>
    <n v="8"/>
    <n v="0"/>
    <n v="-420"/>
    <s v="UPI"/>
    <n v="39088"/>
    <s v="Mar"/>
    <n v="2025"/>
    <s v="Q1"/>
    <n v="-1.0744985673352435E-2"/>
    <n v="0"/>
    <s v="High"/>
    <s v="New"/>
    <s v="Above Avg"/>
    <s v="Loss"/>
    <n v="4"/>
  </r>
  <r>
    <n v="447"/>
    <d v="2025-03-22T00:00:00"/>
    <n v="1069"/>
    <s v="Customer_170"/>
    <s v="Consumer"/>
    <x v="2"/>
    <s v="Clothing"/>
    <s v="Product_C"/>
    <n v="2947"/>
    <n v="6"/>
    <n v="0.15"/>
    <n v="963"/>
    <s v="Card"/>
    <n v="15029.699999999901"/>
    <s v="Mar"/>
    <n v="2025"/>
    <s v="Q1"/>
    <n v="6.4073135192319636E-2"/>
    <n v="2652.2999999999997"/>
    <s v="High"/>
    <s v="Repeat"/>
    <s v="Above Avg"/>
    <s v="Profit"/>
    <n v="137"/>
  </r>
  <r>
    <n v="448"/>
    <d v="2025-03-23T00:00:00"/>
    <n v="1003"/>
    <s v="Customer_103"/>
    <s v="Corporate"/>
    <x v="1"/>
    <s v="Furniture"/>
    <s v="Product_A"/>
    <n v="3985"/>
    <n v="4"/>
    <n v="0.28999999999999998"/>
    <n v="735"/>
    <s v="Card"/>
    <n v="11317.4"/>
    <s v="Mar"/>
    <n v="2025"/>
    <s v="Q1"/>
    <n v="6.494424514464453E-2"/>
    <n v="4622.5999999999995"/>
    <s v="High"/>
    <s v="Repeat"/>
    <s v="Above Avg"/>
    <s v="Profit"/>
    <n v="185"/>
  </r>
  <r>
    <n v="449"/>
    <d v="2025-03-24T00:00:00"/>
    <n v="1063"/>
    <s v="Customer_17"/>
    <s v="Consumer"/>
    <x v="3"/>
    <s v="Clothing"/>
    <s v="Product_B"/>
    <n v="444"/>
    <n v="4"/>
    <n v="0.28999999999999998"/>
    <n v="1226"/>
    <s v="Card"/>
    <n v="1260.96"/>
    <s v="Mar"/>
    <n v="2025"/>
    <s v="Q1"/>
    <n v="0.97227509199340179"/>
    <n v="515.04"/>
    <s v="Low"/>
    <s v="Repeat"/>
    <s v="Below Avg"/>
    <s v="Profit"/>
    <n v="467"/>
  </r>
  <r>
    <n v="450"/>
    <d v="2025-03-25T00:00:00"/>
    <n v="1069"/>
    <s v="Customer_196"/>
    <s v="Consumer"/>
    <x v="2"/>
    <s v="Clothing"/>
    <s v="Product_A"/>
    <n v="3283"/>
    <n v="6"/>
    <n v="0.18"/>
    <n v="-475"/>
    <s v="Card"/>
    <n v="16152.36"/>
    <s v="Mar"/>
    <n v="2025"/>
    <s v="Q1"/>
    <n v="-2.9407467391761945E-2"/>
    <n v="3545.64"/>
    <s v="High"/>
    <s v="Repeat"/>
    <s v="Above Avg"/>
    <s v="Loss"/>
    <n v="124"/>
  </r>
  <r>
    <n v="451"/>
    <d v="2025-03-26T00:00:00"/>
    <n v="1050"/>
    <s v="Customer_6"/>
    <s v="Consumer"/>
    <x v="1"/>
    <s v="Clothing"/>
    <s v="Product_A"/>
    <n v="3777"/>
    <n v="1"/>
    <n v="0.06"/>
    <n v="658"/>
    <s v="UPI"/>
    <n v="3550.3799999999901"/>
    <s v="Mar"/>
    <n v="2025"/>
    <s v="Q1"/>
    <n v="0.18533227429176646"/>
    <n v="226.62"/>
    <s v="Medium"/>
    <s v="Repeat"/>
    <s v="Below Avg"/>
    <s v="Profit"/>
    <n v="375"/>
  </r>
  <r>
    <n v="452"/>
    <d v="2025-03-27T00:00:00"/>
    <n v="1066"/>
    <s v="Customer_60"/>
    <s v="Corporate"/>
    <x v="3"/>
    <s v="Electronics"/>
    <s v="Product_B"/>
    <n v="4411"/>
    <n v="5"/>
    <n v="0"/>
    <n v="1052"/>
    <s v="COD"/>
    <n v="22055"/>
    <s v="Mar"/>
    <n v="2025"/>
    <s v="Q1"/>
    <n v="4.7698934481976873E-2"/>
    <n v="0"/>
    <s v="High"/>
    <s v="Repeat"/>
    <s v="Above Avg"/>
    <s v="Profit"/>
    <n v="66"/>
  </r>
  <r>
    <n v="453"/>
    <d v="2025-03-28T00:00:00"/>
    <n v="1090"/>
    <s v="Customer_19"/>
    <s v="Corporate"/>
    <x v="3"/>
    <s v="Furniture"/>
    <s v="Product_A"/>
    <n v="2976"/>
    <n v="4"/>
    <n v="0.15"/>
    <n v="1151"/>
    <s v="Card"/>
    <n v="10118.4"/>
    <s v="Mar"/>
    <n v="2025"/>
    <s v="Q1"/>
    <n v="0.11375316255534472"/>
    <n v="1785.6"/>
    <s v="High"/>
    <s v="Repeat"/>
    <s v="Below Avg"/>
    <s v="Profit"/>
    <n v="199"/>
  </r>
  <r>
    <n v="454"/>
    <d v="2025-03-29T00:00:00"/>
    <n v="1083"/>
    <s v="Customer_186"/>
    <s v="Corporate"/>
    <x v="3"/>
    <s v="Electronics"/>
    <s v="Product_C"/>
    <n v="504"/>
    <n v="8"/>
    <n v="0.09"/>
    <n v="1073"/>
    <s v="UPI"/>
    <n v="3669.12"/>
    <s v="Mar"/>
    <n v="2025"/>
    <s v="Q1"/>
    <n v="0.2924406942264085"/>
    <n v="362.88"/>
    <s v="Medium"/>
    <s v="Repeat"/>
    <s v="Below Avg"/>
    <s v="Profit"/>
    <n v="367"/>
  </r>
  <r>
    <n v="455"/>
    <d v="2025-03-30T00:00:00"/>
    <n v="1017"/>
    <s v="Customer_40"/>
    <s v="Corporate"/>
    <x v="2"/>
    <s v="Electronics"/>
    <s v="Product_D"/>
    <n v="2002"/>
    <n v="9"/>
    <n v="0.1"/>
    <n v="-460"/>
    <s v="UPI"/>
    <n v="16216.2"/>
    <s v="Mar"/>
    <n v="2025"/>
    <s v="Q1"/>
    <n v="-2.83666950333617E-2"/>
    <n v="1801.8000000000002"/>
    <s v="High"/>
    <s v="Repeat"/>
    <s v="Above Avg"/>
    <s v="Loss"/>
    <n v="121"/>
  </r>
  <r>
    <n v="456"/>
    <d v="2025-03-31T00:00:00"/>
    <n v="1019"/>
    <s v="Customer_124"/>
    <s v="Consumer"/>
    <x v="0"/>
    <s v="Electronics"/>
    <s v="Product_A"/>
    <n v="272"/>
    <n v="2"/>
    <n v="0.25"/>
    <n v="237"/>
    <s v="COD"/>
    <n v="408"/>
    <s v="Mar"/>
    <n v="2025"/>
    <s v="Q1"/>
    <n v="0.58088235294117652"/>
    <n v="136"/>
    <s v="Low"/>
    <s v="Repeat"/>
    <s v="Below Avg"/>
    <s v="Profit"/>
    <n v="495"/>
  </r>
  <r>
    <n v="457"/>
    <d v="2025-04-01T00:00:00"/>
    <n v="1029"/>
    <s v="Customer_45"/>
    <s v="Consumer"/>
    <x v="1"/>
    <s v="Electronics"/>
    <s v="Product_B"/>
    <n v="1217"/>
    <n v="2"/>
    <n v="0.03"/>
    <n v="1969"/>
    <s v="COD"/>
    <n v="2360.98"/>
    <s v="Apr"/>
    <n v="2025"/>
    <s v="Q2"/>
    <n v="0.83397572194597158"/>
    <n v="73.02"/>
    <s v="Medium"/>
    <s v="Repeat"/>
    <s v="Below Avg"/>
    <s v="Profit"/>
    <n v="414"/>
  </r>
  <r>
    <n v="458"/>
    <d v="2025-04-02T00:00:00"/>
    <n v="1073"/>
    <s v="Customer_42"/>
    <s v="Corporate"/>
    <x v="2"/>
    <s v="Clothing"/>
    <s v="Product_D"/>
    <n v="1801"/>
    <n v="8"/>
    <n v="0.03"/>
    <n v="1897"/>
    <s v="Card"/>
    <n v="13975.76"/>
    <s v="Apr"/>
    <n v="2025"/>
    <s v="Q2"/>
    <n v="0.13573501548395223"/>
    <n v="432.24"/>
    <s v="High"/>
    <s v="Repeat"/>
    <s v="Above Avg"/>
    <s v="Profit"/>
    <n v="148"/>
  </r>
  <r>
    <n v="459"/>
    <d v="2025-04-03T00:00:00"/>
    <n v="1051"/>
    <s v="Customer_70"/>
    <s v="Corporate"/>
    <x v="1"/>
    <s v="Clothing"/>
    <s v="Product_C"/>
    <n v="4044"/>
    <n v="6"/>
    <n v="0.13"/>
    <n v="-422"/>
    <s v="Card"/>
    <n v="21109.68"/>
    <s v="Apr"/>
    <n v="2025"/>
    <s v="Q2"/>
    <n v="-1.9990828851976911E-2"/>
    <n v="3154.32"/>
    <s v="High"/>
    <s v="Repeat"/>
    <s v="Above Avg"/>
    <s v="Loss"/>
    <n v="75"/>
  </r>
  <r>
    <n v="460"/>
    <d v="2025-04-04T00:00:00"/>
    <n v="1022"/>
    <s v="Customer_152"/>
    <s v="Corporate"/>
    <x v="1"/>
    <s v="Electronics"/>
    <s v="Product_D"/>
    <n v="1017"/>
    <n v="8"/>
    <n v="0.12"/>
    <n v="622"/>
    <s v="COD"/>
    <n v="7159.68"/>
    <s v="Apr"/>
    <n v="2025"/>
    <s v="Q2"/>
    <n v="8.68753910789309E-2"/>
    <n v="976.31999999999994"/>
    <s v="High"/>
    <s v="Repeat"/>
    <s v="Below Avg"/>
    <s v="Profit"/>
    <n v="272"/>
  </r>
  <r>
    <n v="461"/>
    <d v="2025-04-05T00:00:00"/>
    <n v="1046"/>
    <s v="Customer_150"/>
    <s v="Consumer"/>
    <x v="0"/>
    <s v="Electronics"/>
    <s v="Product_C"/>
    <n v="3058"/>
    <n v="1"/>
    <n v="0.02"/>
    <n v="1633"/>
    <s v="Card"/>
    <n v="2996.84"/>
    <s v="Apr"/>
    <n v="2025"/>
    <s v="Q2"/>
    <n v="0.54490730235848428"/>
    <n v="61.160000000000004"/>
    <s v="Medium"/>
    <s v="Repeat"/>
    <s v="Below Avg"/>
    <s v="Profit"/>
    <n v="393"/>
  </r>
  <r>
    <n v="462"/>
    <d v="2025-04-06T00:00:00"/>
    <n v="1002"/>
    <s v="Customer_53"/>
    <s v="Consumer"/>
    <x v="2"/>
    <s v="Electronics"/>
    <s v="Product_C"/>
    <n v="3212"/>
    <n v="3"/>
    <n v="0.16"/>
    <n v="-72"/>
    <s v="COD"/>
    <n v="8094.24"/>
    <s v="Apr"/>
    <n v="2025"/>
    <s v="Q2"/>
    <n v="-8.8952143746664301E-3"/>
    <n v="1541.76"/>
    <s v="High"/>
    <s v="Repeat"/>
    <s v="Below Avg"/>
    <s v="Loss"/>
    <n v="249"/>
  </r>
  <r>
    <n v="463"/>
    <d v="2025-04-07T00:00:00"/>
    <n v="1049"/>
    <s v="Customer_78"/>
    <s v="Consumer"/>
    <x v="0"/>
    <s v="Furniture"/>
    <s v="Product_C"/>
    <n v="1965"/>
    <n v="7"/>
    <n v="0.13"/>
    <n v="510"/>
    <s v="COD"/>
    <n v="11966.85"/>
    <s v="Apr"/>
    <n v="2025"/>
    <s v="Q2"/>
    <n v="4.2617731483222399E-2"/>
    <n v="1788.15"/>
    <s v="High"/>
    <s v="Repeat"/>
    <s v="Above Avg"/>
    <s v="Profit"/>
    <n v="168"/>
  </r>
  <r>
    <n v="464"/>
    <d v="2025-04-08T00:00:00"/>
    <n v="1008"/>
    <s v="Customer_152"/>
    <s v="Consumer"/>
    <x v="3"/>
    <s v="Furniture"/>
    <s v="Product_A"/>
    <n v="406"/>
    <n v="7"/>
    <n v="0.3"/>
    <n v="648"/>
    <s v="COD"/>
    <n v="1989.3999999999901"/>
    <s v="Apr"/>
    <n v="2025"/>
    <s v="Q2"/>
    <n v="0.32572634965316338"/>
    <n v="852.6"/>
    <s v="Low"/>
    <s v="Repeat"/>
    <s v="Below Avg"/>
    <s v="Profit"/>
    <n v="431"/>
  </r>
  <r>
    <n v="465"/>
    <d v="2025-04-09T00:00:00"/>
    <n v="1018"/>
    <s v="Customer_153"/>
    <s v="Consumer"/>
    <x v="2"/>
    <s v="Clothing"/>
    <s v="Product_C"/>
    <n v="1951"/>
    <n v="5"/>
    <n v="0.02"/>
    <n v="575"/>
    <s v="Card"/>
    <n v="9559.9"/>
    <s v="Apr"/>
    <n v="2025"/>
    <s v="Q2"/>
    <n v="6.0147072668124149E-2"/>
    <n v="195.1"/>
    <s v="High"/>
    <s v="Repeat"/>
    <s v="Below Avg"/>
    <s v="Profit"/>
    <n v="214"/>
  </r>
  <r>
    <n v="466"/>
    <d v="2025-04-10T00:00:00"/>
    <n v="1035"/>
    <s v="Customer_145"/>
    <s v="Consumer"/>
    <x v="3"/>
    <s v="Furniture"/>
    <s v="Product_D"/>
    <n v="930"/>
    <n v="9"/>
    <n v="0.04"/>
    <n v="-226"/>
    <s v="Card"/>
    <n v="8035.2"/>
    <s v="Apr"/>
    <n v="2025"/>
    <s v="Q2"/>
    <n v="-2.8126244524093989E-2"/>
    <n v="334.8"/>
    <s v="High"/>
    <s v="Repeat"/>
    <s v="Below Avg"/>
    <s v="Loss"/>
    <n v="252"/>
  </r>
  <r>
    <n v="467"/>
    <d v="2025-04-11T00:00:00"/>
    <n v="1039"/>
    <s v="Customer_123"/>
    <s v="Consumer"/>
    <x v="0"/>
    <s v="Electronics"/>
    <s v="Product_A"/>
    <n v="524"/>
    <n v="2"/>
    <n v="0.05"/>
    <n v="563"/>
    <s v="Card"/>
    <n v="995.599999999999"/>
    <s v="Apr"/>
    <n v="2025"/>
    <s v="Q2"/>
    <n v="0.56548814785054291"/>
    <n v="52.400000000000006"/>
    <s v="Low"/>
    <s v="Repeat"/>
    <s v="Below Avg"/>
    <s v="Profit"/>
    <n v="480"/>
  </r>
  <r>
    <n v="468"/>
    <d v="2025-04-12T00:00:00"/>
    <n v="1026"/>
    <s v="Customer_115"/>
    <s v="Corporate"/>
    <x v="3"/>
    <s v="Furniture"/>
    <s v="Product_B"/>
    <n v="3851"/>
    <n v="1"/>
    <n v="0.1"/>
    <n v="1436"/>
    <s v="UPI"/>
    <n v="3465.9"/>
    <s v="Apr"/>
    <n v="2025"/>
    <s v="Q2"/>
    <n v="0.41432239822268385"/>
    <n v="385.1"/>
    <s v="Medium"/>
    <s v="Repeat"/>
    <s v="Below Avg"/>
    <s v="Profit"/>
    <n v="377"/>
  </r>
  <r>
    <n v="469"/>
    <d v="2025-04-13T00:00:00"/>
    <n v="1091"/>
    <s v="Customer_110"/>
    <s v="Corporate"/>
    <x v="1"/>
    <s v="Electronics"/>
    <s v="Product_A"/>
    <n v="4972"/>
    <n v="3"/>
    <n v="0.2"/>
    <n v="1594"/>
    <s v="COD"/>
    <n v="11932.8"/>
    <s v="Apr"/>
    <n v="2025"/>
    <s v="Q2"/>
    <n v="0.13358138911236256"/>
    <n v="2983.2000000000003"/>
    <s v="High"/>
    <s v="Repeat"/>
    <s v="Above Avg"/>
    <s v="Profit"/>
    <n v="169"/>
  </r>
  <r>
    <n v="470"/>
    <d v="2025-04-14T00:00:00"/>
    <n v="1071"/>
    <s v="Customer_163"/>
    <s v="Consumer"/>
    <x v="0"/>
    <s v="Furniture"/>
    <s v="Product_C"/>
    <n v="1905"/>
    <n v="7"/>
    <n v="0.28999999999999998"/>
    <n v="-284"/>
    <s v="UPI"/>
    <n v="9467.85"/>
    <s v="Apr"/>
    <n v="2025"/>
    <s v="Q2"/>
    <n v="-2.9996250468691414E-2"/>
    <n v="3867.1499999999996"/>
    <s v="High"/>
    <s v="Repeat"/>
    <s v="Below Avg"/>
    <s v="Loss"/>
    <n v="218"/>
  </r>
  <r>
    <n v="471"/>
    <d v="2025-04-15T00:00:00"/>
    <n v="1071"/>
    <s v="Customer_56"/>
    <s v="Corporate"/>
    <x v="3"/>
    <s v="Furniture"/>
    <s v="Product_B"/>
    <n v="4820"/>
    <n v="8"/>
    <n v="0.27"/>
    <n v="148"/>
    <s v="COD"/>
    <n v="28148.799999999999"/>
    <s v="Apr"/>
    <n v="2025"/>
    <s v="Q2"/>
    <n v="5.257772977888933E-3"/>
    <n v="10411.200000000001"/>
    <s v="High"/>
    <s v="Repeat"/>
    <s v="Above Avg"/>
    <s v="Profit"/>
    <n v="28"/>
  </r>
  <r>
    <n v="472"/>
    <d v="2025-04-16T00:00:00"/>
    <n v="1081"/>
    <s v="Customer_28"/>
    <s v="Corporate"/>
    <x v="3"/>
    <s v="Furniture"/>
    <s v="Product_C"/>
    <n v="2519"/>
    <n v="8"/>
    <n v="0.13"/>
    <n v="1049"/>
    <s v="COD"/>
    <n v="17532.240000000002"/>
    <s v="Apr"/>
    <n v="2025"/>
    <s v="Q2"/>
    <n v="5.9832628346406388E-2"/>
    <n v="2619.7600000000002"/>
    <s v="High"/>
    <s v="Repeat"/>
    <s v="Above Avg"/>
    <s v="Profit"/>
    <n v="96"/>
  </r>
  <r>
    <n v="473"/>
    <d v="2025-04-17T00:00:00"/>
    <n v="1020"/>
    <s v="Customer_194"/>
    <s v="Corporate"/>
    <x v="3"/>
    <s v="Clothing"/>
    <s v="Product_B"/>
    <n v="191"/>
    <n v="2"/>
    <n v="0.02"/>
    <n v="453"/>
    <s v="Card"/>
    <n v="374.36"/>
    <s v="Apr"/>
    <n v="2025"/>
    <s v="Q2"/>
    <n v="1.2100651779036222"/>
    <n v="7.6400000000000006"/>
    <s v="Low"/>
    <s v="Repeat"/>
    <s v="Below Avg"/>
    <s v="Profit"/>
    <n v="496"/>
  </r>
  <r>
    <n v="474"/>
    <d v="2025-04-18T00:00:00"/>
    <n v="1012"/>
    <s v="Customer_34"/>
    <s v="Corporate"/>
    <x v="3"/>
    <s v="Furniture"/>
    <s v="Product_A"/>
    <n v="958"/>
    <n v="6"/>
    <n v="0.19"/>
    <n v="1374"/>
    <s v="Card"/>
    <n v="4655.88"/>
    <s v="Apr"/>
    <n v="2025"/>
    <s v="Q2"/>
    <n v="0.2951106987293487"/>
    <n v="1092.1200000000001"/>
    <s v="Medium"/>
    <s v="Repeat"/>
    <s v="Below Avg"/>
    <s v="Profit"/>
    <n v="333"/>
  </r>
  <r>
    <n v="475"/>
    <d v="2025-04-19T00:00:00"/>
    <n v="1026"/>
    <s v="Customer_65"/>
    <s v="Corporate"/>
    <x v="2"/>
    <s v="Clothing"/>
    <s v="Product_D"/>
    <n v="4109"/>
    <n v="5"/>
    <n v="0.13"/>
    <n v="630"/>
    <s v="UPI"/>
    <n v="17874.150000000001"/>
    <s v="Apr"/>
    <n v="2025"/>
    <s v="Q2"/>
    <n v="3.5246431298830989E-2"/>
    <n v="2670.85"/>
    <s v="High"/>
    <s v="Repeat"/>
    <s v="Above Avg"/>
    <s v="Profit"/>
    <n v="92"/>
  </r>
  <r>
    <n v="476"/>
    <d v="2025-04-20T00:00:00"/>
    <n v="1061"/>
    <s v="Customer_111"/>
    <s v="Corporate"/>
    <x v="3"/>
    <s v="Clothing"/>
    <s v="Product_A"/>
    <n v="911"/>
    <n v="2"/>
    <n v="0.01"/>
    <n v="61"/>
    <s v="UPI"/>
    <n v="1803.78"/>
    <s v="Apr"/>
    <n v="2025"/>
    <s v="Q2"/>
    <n v="3.3817871359034919E-2"/>
    <n v="18.22"/>
    <s v="Low"/>
    <s v="Repeat"/>
    <s v="Below Avg"/>
    <s v="Profit"/>
    <n v="440"/>
  </r>
  <r>
    <n v="477"/>
    <d v="2025-04-21T00:00:00"/>
    <n v="1039"/>
    <s v="Customer_128"/>
    <s v="Consumer"/>
    <x v="3"/>
    <s v="Furniture"/>
    <s v="Product_D"/>
    <n v="1853"/>
    <n v="1"/>
    <n v="0.25"/>
    <n v="1755"/>
    <s v="COD"/>
    <n v="1389.75"/>
    <s v="Apr"/>
    <n v="2025"/>
    <s v="Q2"/>
    <n v="1.2628170534268754"/>
    <n v="463.25"/>
    <s v="Low"/>
    <s v="Repeat"/>
    <s v="Below Avg"/>
    <s v="Profit"/>
    <n v="461"/>
  </r>
  <r>
    <n v="478"/>
    <d v="2025-04-22T00:00:00"/>
    <n v="1052"/>
    <s v="Customer_131"/>
    <s v="Corporate"/>
    <x v="2"/>
    <s v="Electronics"/>
    <s v="Product_C"/>
    <n v="3861"/>
    <n v="4"/>
    <n v="0.16"/>
    <n v="1739"/>
    <s v="Card"/>
    <n v="12972.96"/>
    <s v="Apr"/>
    <n v="2025"/>
    <s v="Q2"/>
    <n v="0.1340480507147174"/>
    <n v="2471.04"/>
    <s v="High"/>
    <s v="Repeat"/>
    <s v="Above Avg"/>
    <s v="Profit"/>
    <n v="159"/>
  </r>
  <r>
    <n v="479"/>
    <d v="2025-04-23T00:00:00"/>
    <n v="1079"/>
    <s v="Customer_187"/>
    <s v="Corporate"/>
    <x v="3"/>
    <s v="Electronics"/>
    <s v="Product_C"/>
    <n v="3679"/>
    <n v="6"/>
    <n v="0.13"/>
    <n v="1506"/>
    <s v="COD"/>
    <n v="19204.38"/>
    <s v="Apr"/>
    <n v="2025"/>
    <s v="Q2"/>
    <n v="7.8419610526348674E-2"/>
    <n v="2869.62"/>
    <s v="High"/>
    <s v="Repeat"/>
    <s v="Above Avg"/>
    <s v="Profit"/>
    <n v="84"/>
  </r>
  <r>
    <n v="480"/>
    <d v="2025-04-24T00:00:00"/>
    <n v="1039"/>
    <s v="Customer_56"/>
    <s v="Consumer"/>
    <x v="3"/>
    <s v="Electronics"/>
    <s v="Product_A"/>
    <n v="1431"/>
    <n v="9"/>
    <n v="0.22"/>
    <n v="822"/>
    <s v="UPI"/>
    <n v="10045.620000000001"/>
    <s v="Apr"/>
    <n v="2025"/>
    <s v="Q2"/>
    <n v="8.1826706564652046E-2"/>
    <n v="2833.38"/>
    <s v="High"/>
    <s v="Repeat"/>
    <s v="Below Avg"/>
    <s v="Profit"/>
    <n v="200"/>
  </r>
  <r>
    <n v="481"/>
    <d v="2025-04-25T00:00:00"/>
    <n v="1008"/>
    <s v="Customer_22"/>
    <s v="Consumer"/>
    <x v="3"/>
    <s v="Furniture"/>
    <s v="Product_C"/>
    <n v="2112"/>
    <n v="9"/>
    <n v="0.26"/>
    <n v="645"/>
    <s v="UPI"/>
    <n v="14065.92"/>
    <s v="Apr"/>
    <n v="2025"/>
    <s v="Q2"/>
    <n v="4.5855514605514604E-2"/>
    <n v="4942.08"/>
    <s v="High"/>
    <s v="Repeat"/>
    <s v="Above Avg"/>
    <s v="Profit"/>
    <n v="146"/>
  </r>
  <r>
    <n v="482"/>
    <d v="2025-04-26T00:00:00"/>
    <n v="1026"/>
    <s v="Customer_170"/>
    <s v="Consumer"/>
    <x v="2"/>
    <s v="Clothing"/>
    <s v="Product_D"/>
    <n v="3792"/>
    <n v="3"/>
    <n v="0.28000000000000003"/>
    <n v="1742"/>
    <s v="Card"/>
    <n v="8190.7199999999903"/>
    <s v="Apr"/>
    <n v="2025"/>
    <s v="Q2"/>
    <n v="0.2126797155805597"/>
    <n v="3185.28"/>
    <s v="High"/>
    <s v="Repeat"/>
    <s v="Below Avg"/>
    <s v="Profit"/>
    <n v="244"/>
  </r>
  <r>
    <n v="483"/>
    <d v="2025-04-27T00:00:00"/>
    <n v="1080"/>
    <s v="Customer_132"/>
    <s v="Consumer"/>
    <x v="1"/>
    <s v="Furniture"/>
    <s v="Product_C"/>
    <n v="2486"/>
    <n v="9"/>
    <n v="0.1"/>
    <n v="-143"/>
    <s v="UPI"/>
    <n v="20136.599999999999"/>
    <s v="Apr"/>
    <n v="2025"/>
    <s v="Q2"/>
    <n v="-7.1014967770130014E-3"/>
    <n v="2237.4"/>
    <s v="High"/>
    <s v="Repeat"/>
    <s v="Above Avg"/>
    <s v="Loss"/>
    <n v="78"/>
  </r>
  <r>
    <n v="484"/>
    <d v="2025-04-28T00:00:00"/>
    <n v="1002"/>
    <s v="Customer_100"/>
    <s v="Corporate"/>
    <x v="1"/>
    <s v="Clothing"/>
    <s v="Product_D"/>
    <n v="306"/>
    <n v="6"/>
    <n v="0.06"/>
    <n v="-483"/>
    <s v="Card"/>
    <n v="1725.84"/>
    <s v="Apr"/>
    <n v="2025"/>
    <s v="Q2"/>
    <n v="-0.27986371853706021"/>
    <n v="110.16"/>
    <s v="Low"/>
    <s v="Repeat"/>
    <s v="Below Avg"/>
    <s v="Loss"/>
    <n v="445"/>
  </r>
  <r>
    <n v="485"/>
    <d v="2025-04-29T00:00:00"/>
    <n v="1055"/>
    <s v="Customer_118"/>
    <s v="Consumer"/>
    <x v="2"/>
    <s v="Electronics"/>
    <s v="Product_B"/>
    <n v="3682"/>
    <n v="8"/>
    <n v="0.1"/>
    <n v="1715"/>
    <s v="Card"/>
    <n v="26510.400000000001"/>
    <s v="Apr"/>
    <n v="2025"/>
    <s v="Q2"/>
    <n v="6.4691592733417819E-2"/>
    <n v="2945.6000000000004"/>
    <s v="High"/>
    <s v="Repeat"/>
    <s v="Above Avg"/>
    <s v="Profit"/>
    <n v="37"/>
  </r>
  <r>
    <n v="486"/>
    <d v="2025-04-30T00:00:00"/>
    <n v="1052"/>
    <s v="Customer_12"/>
    <s v="Consumer"/>
    <x v="1"/>
    <s v="Furniture"/>
    <s v="Product_C"/>
    <n v="4317"/>
    <n v="8"/>
    <n v="0.28999999999999998"/>
    <n v="227"/>
    <s v="UPI"/>
    <n v="24520.559999999899"/>
    <s v="Apr"/>
    <n v="2025"/>
    <s v="Q2"/>
    <n v="9.2575373482498332E-3"/>
    <n v="10015.439999999999"/>
    <s v="High"/>
    <s v="Repeat"/>
    <s v="Above Avg"/>
    <s v="Profit"/>
    <n v="46"/>
  </r>
  <r>
    <n v="487"/>
    <d v="2025-05-01T00:00:00"/>
    <n v="1003"/>
    <s v="Customer_37"/>
    <s v="Corporate"/>
    <x v="1"/>
    <s v="Electronics"/>
    <s v="Product_D"/>
    <n v="1839"/>
    <n v="3"/>
    <n v="0.03"/>
    <n v="1247"/>
    <s v="UPI"/>
    <n v="5351.49"/>
    <s v="May"/>
    <n v="2025"/>
    <s v="Q2"/>
    <n v="0.23301921520922211"/>
    <n v="165.51"/>
    <s v="High"/>
    <s v="Repeat"/>
    <s v="Below Avg"/>
    <s v="Profit"/>
    <n v="314"/>
  </r>
  <r>
    <n v="488"/>
    <d v="2025-05-02T00:00:00"/>
    <n v="1039"/>
    <s v="Customer_41"/>
    <s v="Consumer"/>
    <x v="2"/>
    <s v="Furniture"/>
    <s v="Product_A"/>
    <n v="3996"/>
    <n v="3"/>
    <n v="0.28999999999999998"/>
    <n v="56"/>
    <s v="Card"/>
    <n v="8511.48"/>
    <s v="May"/>
    <n v="2025"/>
    <s v="Q2"/>
    <n v="6.5793493023539977E-3"/>
    <n v="3476.52"/>
    <s v="High"/>
    <s v="Repeat"/>
    <s v="Below Avg"/>
    <s v="Profit"/>
    <n v="238"/>
  </r>
  <r>
    <n v="489"/>
    <d v="2025-05-03T00:00:00"/>
    <n v="1051"/>
    <s v="Customer_58"/>
    <s v="Corporate"/>
    <x v="0"/>
    <s v="Electronics"/>
    <s v="Product_C"/>
    <n v="3116"/>
    <n v="9"/>
    <n v="0.19"/>
    <n v="942"/>
    <s v="COD"/>
    <n v="22715.64"/>
    <s v="May"/>
    <n v="2025"/>
    <s v="Q2"/>
    <n v="4.1469225608435425E-2"/>
    <n v="5328.36"/>
    <s v="High"/>
    <s v="Repeat"/>
    <s v="Above Avg"/>
    <s v="Profit"/>
    <n v="61"/>
  </r>
  <r>
    <n v="490"/>
    <d v="2025-05-04T00:00:00"/>
    <n v="1055"/>
    <s v="Customer_63"/>
    <s v="Consumer"/>
    <x v="2"/>
    <s v="Furniture"/>
    <s v="Product_D"/>
    <n v="2104"/>
    <n v="3"/>
    <n v="0"/>
    <n v="1145"/>
    <s v="UPI"/>
    <n v="6312"/>
    <s v="May"/>
    <n v="2025"/>
    <s v="Q2"/>
    <n v="0.18140050697084917"/>
    <n v="0"/>
    <s v="High"/>
    <s v="Repeat"/>
    <s v="Below Avg"/>
    <s v="Profit"/>
    <n v="289"/>
  </r>
  <r>
    <n v="491"/>
    <d v="2025-05-05T00:00:00"/>
    <n v="1064"/>
    <s v="Customer_71"/>
    <s v="Corporate"/>
    <x v="1"/>
    <s v="Clothing"/>
    <s v="Product_B"/>
    <n v="1692"/>
    <n v="4"/>
    <n v="0.26"/>
    <n v="-81"/>
    <s v="COD"/>
    <n v="5008.32"/>
    <s v="May"/>
    <n v="2025"/>
    <s v="Q2"/>
    <n v="-1.6173087981598621E-2"/>
    <n v="1759.68"/>
    <s v="High"/>
    <s v="Repeat"/>
    <s v="Below Avg"/>
    <s v="Loss"/>
    <n v="323"/>
  </r>
  <r>
    <n v="492"/>
    <d v="2025-05-06T00:00:00"/>
    <n v="1077"/>
    <s v="Customer_133"/>
    <s v="Consumer"/>
    <x v="1"/>
    <s v="Clothing"/>
    <s v="Product_B"/>
    <n v="2103"/>
    <n v="7"/>
    <n v="0.2"/>
    <n v="439"/>
    <s v="COD"/>
    <n v="11776.8"/>
    <s v="May"/>
    <n v="2025"/>
    <s v="Q2"/>
    <n v="3.7276679573398551E-2"/>
    <n v="2944.2000000000003"/>
    <s v="High"/>
    <s v="Repeat"/>
    <s v="Above Avg"/>
    <s v="Profit"/>
    <n v="173"/>
  </r>
  <r>
    <n v="493"/>
    <d v="2025-05-07T00:00:00"/>
    <n v="1071"/>
    <s v="Customer_91"/>
    <s v="Corporate"/>
    <x v="3"/>
    <s v="Electronics"/>
    <s v="Product_C"/>
    <n v="3019"/>
    <n v="9"/>
    <n v="0.04"/>
    <n v="660"/>
    <s v="COD"/>
    <n v="26084.16"/>
    <s v="May"/>
    <n v="2025"/>
    <s v="Q2"/>
    <n v="2.5302712450774725E-2"/>
    <n v="1086.8399999999999"/>
    <s v="High"/>
    <s v="Repeat"/>
    <s v="Above Avg"/>
    <s v="Profit"/>
    <n v="39"/>
  </r>
  <r>
    <n v="494"/>
    <d v="2025-05-08T00:00:00"/>
    <n v="1070"/>
    <s v="Customer_89"/>
    <s v="Consumer"/>
    <x v="0"/>
    <s v="Clothing"/>
    <s v="Product_D"/>
    <n v="208"/>
    <n v="3"/>
    <n v="0.1"/>
    <n v="1549"/>
    <s v="Card"/>
    <n v="561.6"/>
    <s v="May"/>
    <n v="2025"/>
    <s v="Q2"/>
    <n v="2.758190883190883"/>
    <n v="62.400000000000006"/>
    <s v="Low"/>
    <s v="Repeat"/>
    <s v="Below Avg"/>
    <s v="Profit"/>
    <n v="489"/>
  </r>
  <r>
    <n v="495"/>
    <d v="2025-05-09T00:00:00"/>
    <n v="1029"/>
    <s v="Customer_17"/>
    <s v="Corporate"/>
    <x v="1"/>
    <s v="Furniture"/>
    <s v="Product_B"/>
    <n v="3081"/>
    <n v="1"/>
    <n v="0.26"/>
    <n v="606"/>
    <s v="Card"/>
    <n v="2279.94"/>
    <s v="May"/>
    <n v="2025"/>
    <s v="Q2"/>
    <n v="0.26579646832811388"/>
    <n v="801.06000000000006"/>
    <s v="Medium"/>
    <s v="Repeat"/>
    <s v="Below Avg"/>
    <s v="Profit"/>
    <n v="416"/>
  </r>
  <r>
    <n v="496"/>
    <d v="2025-05-10T00:00:00"/>
    <n v="1024"/>
    <s v="Customer_156"/>
    <s v="Consumer"/>
    <x v="3"/>
    <s v="Clothing"/>
    <s v="Product_A"/>
    <n v="2595"/>
    <n v="2"/>
    <n v="0.22"/>
    <n v="1965"/>
    <s v="Card"/>
    <n v="4048.2"/>
    <s v="May"/>
    <n v="2025"/>
    <s v="Q2"/>
    <n v="0.48540091892693049"/>
    <n v="1141.8"/>
    <s v="Medium"/>
    <s v="Repeat"/>
    <s v="Below Avg"/>
    <s v="Profit"/>
    <n v="352"/>
  </r>
  <r>
    <n v="497"/>
    <d v="2025-05-11T00:00:00"/>
    <n v="1038"/>
    <s v="Customer_119"/>
    <s v="Corporate"/>
    <x v="0"/>
    <s v="Electronics"/>
    <s v="Product_A"/>
    <n v="1791"/>
    <n v="4"/>
    <n v="0.1"/>
    <n v="-437"/>
    <s v="UPI"/>
    <n v="6447.6"/>
    <s v="May"/>
    <n v="2025"/>
    <s v="Q2"/>
    <n v="-6.7777157391897755E-2"/>
    <n v="716.40000000000009"/>
    <s v="High"/>
    <s v="Repeat"/>
    <s v="Below Avg"/>
    <s v="Loss"/>
    <n v="286"/>
  </r>
  <r>
    <n v="498"/>
    <d v="2025-05-12T00:00:00"/>
    <n v="1079"/>
    <s v="Customer_155"/>
    <s v="Consumer"/>
    <x v="1"/>
    <s v="Electronics"/>
    <s v="Product_D"/>
    <n v="4085"/>
    <n v="7"/>
    <n v="0.24"/>
    <n v="1108"/>
    <s v="UPI"/>
    <n v="21732.2"/>
    <s v="May"/>
    <n v="2025"/>
    <s v="Q2"/>
    <n v="5.0984253780105099E-2"/>
    <n v="6862.8"/>
    <s v="High"/>
    <s v="Repeat"/>
    <s v="Above Avg"/>
    <s v="Profit"/>
    <n v="70"/>
  </r>
  <r>
    <n v="499"/>
    <d v="2025-05-13T00:00:00"/>
    <n v="1074"/>
    <s v="Customer_181"/>
    <s v="Corporate"/>
    <x v="0"/>
    <s v="Electronics"/>
    <s v="Product_A"/>
    <n v="4431"/>
    <n v="1"/>
    <n v="0.08"/>
    <n v="394"/>
    <s v="Card"/>
    <n v="4076.52"/>
    <s v="May"/>
    <n v="2025"/>
    <s v="Q2"/>
    <n v="9.665106512417454E-2"/>
    <n v="354.48"/>
    <s v="Medium"/>
    <s v="Repeat"/>
    <s v="Below Avg"/>
    <s v="Profit"/>
    <n v="350"/>
  </r>
  <r>
    <n v="500"/>
    <d v="2025-05-14T00:00:00"/>
    <n v="1024"/>
    <s v="Customer_26"/>
    <s v="Consumer"/>
    <x v="3"/>
    <s v="Furniture"/>
    <s v="Product_B"/>
    <n v="1822"/>
    <n v="4"/>
    <n v="0.16"/>
    <n v="1668"/>
    <s v="Card"/>
    <n v="6121.92"/>
    <s v="May"/>
    <n v="2025"/>
    <s v="Q2"/>
    <n v="0.27246354084992941"/>
    <n v="1166.08"/>
    <s v="High"/>
    <s v="Repeat"/>
    <s v="Below Avg"/>
    <s v="Profit"/>
    <n v="29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d v="2024-01-01T00:00:00"/>
    <n v="1066"/>
    <s v="Customer_33"/>
    <x v="0"/>
    <x v="0"/>
    <s v="Electronics"/>
    <s v="Product_A"/>
    <n v="2755"/>
    <n v="3"/>
    <n v="0.25"/>
    <n v="559"/>
    <s v="UPI"/>
    <n v="6198.75"/>
    <s v="Jan"/>
    <n v="2024"/>
    <s v="Q1"/>
    <n v="9.017947166767494E-2"/>
    <n v="2066.25"/>
    <s v="High"/>
    <s v="Repeat"/>
    <s v="Below Avg"/>
    <s v="Profit"/>
    <n v="293"/>
  </r>
  <r>
    <n v="2"/>
    <d v="2024-01-02T00:00:00"/>
    <n v="1092"/>
    <s v="Customer_191"/>
    <x v="0"/>
    <x v="1"/>
    <s v="Clothing"/>
    <s v="Product_A"/>
    <n v="1709"/>
    <n v="3"/>
    <n v="0.04"/>
    <n v="1735"/>
    <s v="UPI"/>
    <n v="4921.92"/>
    <s v="Jan"/>
    <n v="2024"/>
    <s v="Q1"/>
    <n v="0.35250471360769781"/>
    <n v="205.08"/>
    <s v="Medium"/>
    <s v="Repeat"/>
    <s v="Below Avg"/>
    <s v="Profit"/>
    <n v="326"/>
  </r>
  <r>
    <n v="3"/>
    <d v="2024-01-03T00:00:00"/>
    <n v="1098"/>
    <s v="Customer_54"/>
    <x v="1"/>
    <x v="1"/>
    <s v="Clothing"/>
    <s v="Product_D"/>
    <n v="3914"/>
    <n v="7"/>
    <n v="0.16"/>
    <n v="-225"/>
    <s v="Card"/>
    <n v="23014.32"/>
    <s v="Jan"/>
    <n v="2024"/>
    <s v="Q1"/>
    <n v="-9.7765217481985134E-3"/>
    <n v="4383.68"/>
    <s v="High"/>
    <s v="Repeat"/>
    <s v="Above Avg"/>
    <s v="Loss"/>
    <n v="59"/>
  </r>
  <r>
    <n v="4"/>
    <d v="2024-01-04T00:00:00"/>
    <n v="1017"/>
    <s v="Customer_116"/>
    <x v="0"/>
    <x v="2"/>
    <s v="Electronics"/>
    <s v="Product_B"/>
    <n v="759"/>
    <n v="5"/>
    <n v="0.01"/>
    <n v="-75"/>
    <s v="UPI"/>
    <n v="3757.05"/>
    <s v="Jan"/>
    <n v="2024"/>
    <s v="Q1"/>
    <n v="-1.9962470555355931E-2"/>
    <n v="37.950000000000003"/>
    <s v="Medium"/>
    <s v="Repeat"/>
    <s v="Below Avg"/>
    <s v="Loss"/>
    <n v="365"/>
  </r>
  <r>
    <n v="5"/>
    <d v="2024-01-05T00:00:00"/>
    <n v="1083"/>
    <s v="Customer_179"/>
    <x v="0"/>
    <x v="2"/>
    <s v="Electronics"/>
    <s v="Product_B"/>
    <n v="243"/>
    <n v="1"/>
    <n v="0.17"/>
    <n v="-482"/>
    <s v="COD"/>
    <n v="201.69"/>
    <s v="Jan"/>
    <n v="2024"/>
    <s v="Q1"/>
    <n v="-2.3898061381327782"/>
    <n v="41.31"/>
    <s v="Low"/>
    <s v="Repeat"/>
    <s v="Below Avg"/>
    <s v="Loss"/>
    <n v="499"/>
  </r>
  <r>
    <n v="6"/>
    <d v="2024-01-06T00:00:00"/>
    <n v="1057"/>
    <s v="Customer_112"/>
    <x v="0"/>
    <x v="3"/>
    <s v="Furniture"/>
    <s v="Product_D"/>
    <n v="2090"/>
    <n v="8"/>
    <n v="0.04"/>
    <n v="1271"/>
    <s v="UPI"/>
    <n v="16051.199999999901"/>
    <s v="Jan"/>
    <n v="2024"/>
    <s v="Q1"/>
    <n v="7.9184110845295544E-2"/>
    <n v="668.80000000000007"/>
    <s v="High"/>
    <s v="Repeat"/>
    <s v="Above Avg"/>
    <s v="Profit"/>
    <n v="127"/>
  </r>
  <r>
    <n v="7"/>
    <d v="2024-01-07T00:00:00"/>
    <n v="1086"/>
    <s v="Customer_180"/>
    <x v="1"/>
    <x v="3"/>
    <s v="Furniture"/>
    <s v="Product_D"/>
    <n v="550"/>
    <n v="5"/>
    <n v="0.24"/>
    <n v="1300"/>
    <s v="COD"/>
    <n v="2090"/>
    <s v="Jan"/>
    <n v="2024"/>
    <s v="Q1"/>
    <n v="0.62200956937799046"/>
    <n v="660"/>
    <s v="Medium"/>
    <s v="Repeat"/>
    <s v="Below Avg"/>
    <s v="Profit"/>
    <n v="423"/>
  </r>
  <r>
    <n v="8"/>
    <d v="2024-01-08T00:00:00"/>
    <n v="1097"/>
    <s v="Customer_180"/>
    <x v="1"/>
    <x v="0"/>
    <s v="Furniture"/>
    <s v="Product_A"/>
    <n v="1291"/>
    <n v="4"/>
    <n v="7.0000000000000007E-2"/>
    <n v="829"/>
    <s v="COD"/>
    <n v="4802.5199999999904"/>
    <s v="Jan"/>
    <n v="2024"/>
    <s v="Q1"/>
    <n v="0.17261770903608972"/>
    <n v="361.48"/>
    <s v="Medium"/>
    <s v="Repeat"/>
    <s v="Below Avg"/>
    <s v="Profit"/>
    <n v="329"/>
  </r>
  <r>
    <n v="9"/>
    <d v="2024-01-09T00:00:00"/>
    <n v="1096"/>
    <s v="Customer_184"/>
    <x v="0"/>
    <x v="2"/>
    <s v="Electronics"/>
    <s v="Product_C"/>
    <n v="4121"/>
    <n v="4"/>
    <n v="0.03"/>
    <n v="-169"/>
    <s v="Card"/>
    <n v="15989.48"/>
    <s v="Jan"/>
    <n v="2024"/>
    <s v="Q1"/>
    <n v="-1.056944941298904E-2"/>
    <n v="494.52"/>
    <s v="High"/>
    <s v="Repeat"/>
    <s v="Above Avg"/>
    <s v="Loss"/>
    <n v="128"/>
  </r>
  <r>
    <n v="10"/>
    <d v="2024-01-10T00:00:00"/>
    <n v="1047"/>
    <s v="Customer_114"/>
    <x v="1"/>
    <x v="2"/>
    <s v="Electronics"/>
    <s v="Product_B"/>
    <n v="735"/>
    <n v="2"/>
    <n v="0.01"/>
    <n v="-250"/>
    <s v="COD"/>
    <n v="1455.3"/>
    <s v="Jan"/>
    <n v="2024"/>
    <s v="Q1"/>
    <n v="-0.17178588607160036"/>
    <n v="14.700000000000001"/>
    <s v="Low"/>
    <s v="Repeat"/>
    <s v="Below Avg"/>
    <s v="Loss"/>
    <n v="460"/>
  </r>
  <r>
    <n v="11"/>
    <d v="2024-01-11T00:00:00"/>
    <n v="1073"/>
    <s v="Customer_73"/>
    <x v="0"/>
    <x v="2"/>
    <s v="Clothing"/>
    <s v="Product_A"/>
    <n v="2257"/>
    <n v="1"/>
    <n v="0.17"/>
    <n v="960"/>
    <s v="Card"/>
    <n v="1873.31"/>
    <s v="Jan"/>
    <n v="2024"/>
    <s v="Q1"/>
    <n v="0.51246189899162442"/>
    <n v="383.69000000000005"/>
    <s v="Low"/>
    <s v="Repeat"/>
    <s v="Below Avg"/>
    <s v="Profit"/>
    <n v="438"/>
  </r>
  <r>
    <n v="12"/>
    <d v="2024-01-12T00:00:00"/>
    <n v="1032"/>
    <s v="Customer_1"/>
    <x v="0"/>
    <x v="2"/>
    <s v="Electronics"/>
    <s v="Product_C"/>
    <n v="3851"/>
    <n v="6"/>
    <n v="0.2"/>
    <n v="-7"/>
    <s v="UPI"/>
    <n v="18484.8"/>
    <s v="Jan"/>
    <n v="2024"/>
    <s v="Q1"/>
    <n v="-3.7868951787414524E-4"/>
    <n v="4621.2"/>
    <s v="High"/>
    <s v="Repeat"/>
    <s v="Above Avg"/>
    <s v="Loss"/>
    <n v="87"/>
  </r>
  <r>
    <n v="13"/>
    <d v="2024-01-13T00:00:00"/>
    <n v="1046"/>
    <s v="Customer_31"/>
    <x v="1"/>
    <x v="1"/>
    <s v="Clothing"/>
    <s v="Product_B"/>
    <n v="999"/>
    <n v="3"/>
    <n v="0.27"/>
    <n v="-134"/>
    <s v="Card"/>
    <n v="2187.81"/>
    <s v="Jan"/>
    <n v="2024"/>
    <s v="Q1"/>
    <n v="-6.1248463074947093E-2"/>
    <n v="809.19"/>
    <s v="Medium"/>
    <s v="Repeat"/>
    <s v="Below Avg"/>
    <s v="Loss"/>
    <n v="419"/>
  </r>
  <r>
    <n v="14"/>
    <d v="2024-01-14T00:00:00"/>
    <n v="1096"/>
    <s v="Customer_21"/>
    <x v="0"/>
    <x v="3"/>
    <s v="Clothing"/>
    <s v="Product_A"/>
    <n v="4554"/>
    <n v="9"/>
    <n v="0.02"/>
    <n v="1529"/>
    <s v="Card"/>
    <n v="40166.28"/>
    <s v="Jan"/>
    <n v="2024"/>
    <s v="Q1"/>
    <n v="3.8066756493257532E-2"/>
    <n v="819.72"/>
    <s v="High"/>
    <s v="Repeat"/>
    <s v="Above Avg"/>
    <s v="Profit"/>
    <n v="2"/>
  </r>
  <r>
    <n v="15"/>
    <d v="2024-01-15T00:00:00"/>
    <n v="1025"/>
    <s v="Customer_24"/>
    <x v="1"/>
    <x v="0"/>
    <s v="Clothing"/>
    <s v="Product_A"/>
    <n v="2930"/>
    <n v="4"/>
    <n v="0.12"/>
    <n v="1243"/>
    <s v="Card"/>
    <n v="10313.6"/>
    <s v="Jan"/>
    <n v="2024"/>
    <s v="Q1"/>
    <n v="0.12052047781569965"/>
    <n v="1406.3999999999999"/>
    <s v="High"/>
    <s v="Repeat"/>
    <s v="Below Avg"/>
    <s v="Profit"/>
    <n v="198"/>
  </r>
  <r>
    <n v="16"/>
    <d v="2024-01-16T00:00:00"/>
    <n v="1083"/>
    <s v="Customer_19"/>
    <x v="0"/>
    <x v="3"/>
    <s v="Furniture"/>
    <s v="Product_D"/>
    <n v="2870"/>
    <n v="2"/>
    <n v="0.05"/>
    <n v="1714"/>
    <s v="Card"/>
    <n v="5453"/>
    <s v="Jan"/>
    <n v="2024"/>
    <s v="Q1"/>
    <n v="0.31432239134421419"/>
    <n v="287"/>
    <s v="High"/>
    <s v="Repeat"/>
    <s v="Below Avg"/>
    <s v="Profit"/>
    <n v="310"/>
  </r>
  <r>
    <n v="17"/>
    <d v="2024-01-17T00:00:00"/>
    <n v="1078"/>
    <s v="Customer_61"/>
    <x v="1"/>
    <x v="3"/>
    <s v="Clothing"/>
    <s v="Product_C"/>
    <n v="1320"/>
    <n v="4"/>
    <n v="0.15"/>
    <n v="644"/>
    <s v="UPI"/>
    <n v="4488"/>
    <s v="Jan"/>
    <n v="2024"/>
    <s v="Q1"/>
    <n v="0.14349376114081996"/>
    <n v="792"/>
    <s v="Medium"/>
    <s v="Repeat"/>
    <s v="Below Avg"/>
    <s v="Profit"/>
    <n v="338"/>
  </r>
  <r>
    <n v="18"/>
    <d v="2024-01-18T00:00:00"/>
    <n v="1036"/>
    <s v="Customer_112"/>
    <x v="0"/>
    <x v="3"/>
    <s v="Furniture"/>
    <s v="Product_A"/>
    <n v="4545"/>
    <n v="4"/>
    <n v="7.0000000000000007E-2"/>
    <n v="1171"/>
    <s v="UPI"/>
    <n v="16907.3999999999"/>
    <s v="Jan"/>
    <n v="2024"/>
    <s v="Q1"/>
    <n v="6.9259614133456771E-2"/>
    <n v="1272.6000000000001"/>
    <s v="High"/>
    <s v="Repeat"/>
    <s v="Above Avg"/>
    <s v="Profit"/>
    <n v="105"/>
  </r>
  <r>
    <n v="19"/>
    <d v="2024-01-19T00:00:00"/>
    <n v="1096"/>
    <s v="Customer_188"/>
    <x v="0"/>
    <x v="3"/>
    <s v="Electronics"/>
    <s v="Product_A"/>
    <n v="4690"/>
    <n v="1"/>
    <n v="0.12"/>
    <n v="-18"/>
    <s v="COD"/>
    <n v="4127.2"/>
    <s v="Jan"/>
    <n v="2024"/>
    <s v="Q1"/>
    <n v="-4.3613103314595857E-3"/>
    <n v="562.79999999999995"/>
    <s v="Medium"/>
    <s v="Repeat"/>
    <s v="Below Avg"/>
    <s v="Loss"/>
    <n v="348"/>
  </r>
  <r>
    <n v="20"/>
    <d v="2024-01-20T00:00:00"/>
    <n v="1080"/>
    <s v="Customer_124"/>
    <x v="1"/>
    <x v="1"/>
    <s v="Furniture"/>
    <s v="Product_A"/>
    <n v="1487"/>
    <n v="8"/>
    <n v="0.11"/>
    <n v="992"/>
    <s v="Card"/>
    <n v="10587.44"/>
    <s v="Jan"/>
    <n v="2024"/>
    <s v="Q1"/>
    <n v="9.3695926494034437E-2"/>
    <n v="1308.56"/>
    <s v="High"/>
    <s v="Repeat"/>
    <s v="Below Avg"/>
    <s v="Profit"/>
    <n v="196"/>
  </r>
  <r>
    <n v="21"/>
    <d v="2024-01-21T00:00:00"/>
    <n v="1068"/>
    <s v="Customer_153"/>
    <x v="0"/>
    <x v="0"/>
    <s v="Clothing"/>
    <s v="Product_B"/>
    <n v="2066"/>
    <n v="4"/>
    <n v="0.21"/>
    <n v="-488"/>
    <s v="UPI"/>
    <n v="6528.56"/>
    <s v="Jan"/>
    <n v="2024"/>
    <s v="Q1"/>
    <n v="-7.4748489712892274E-2"/>
    <n v="1735.4399999999998"/>
    <s v="High"/>
    <s v="Repeat"/>
    <s v="Below Avg"/>
    <s v="Loss"/>
    <n v="285"/>
  </r>
  <r>
    <n v="22"/>
    <d v="2024-01-22T00:00:00"/>
    <n v="1049"/>
    <s v="Customer_20"/>
    <x v="1"/>
    <x v="1"/>
    <s v="Clothing"/>
    <s v="Product_D"/>
    <n v="4415"/>
    <n v="4"/>
    <n v="0.22"/>
    <n v="316"/>
    <s v="COD"/>
    <n v="13774.8"/>
    <s v="Jan"/>
    <n v="2024"/>
    <s v="Q1"/>
    <n v="2.2940441966489533E-2"/>
    <n v="3885.2"/>
    <s v="High"/>
    <s v="Repeat"/>
    <s v="Above Avg"/>
    <s v="Profit"/>
    <n v="149"/>
  </r>
  <r>
    <n v="23"/>
    <d v="2024-01-23T00:00:00"/>
    <n v="1055"/>
    <s v="Customer_117"/>
    <x v="0"/>
    <x v="2"/>
    <s v="Furniture"/>
    <s v="Product_A"/>
    <n v="790"/>
    <n v="7"/>
    <n v="0.13"/>
    <n v="1889"/>
    <s v="COD"/>
    <n v="4811.1000000000004"/>
    <s v="Jan"/>
    <n v="2024"/>
    <s v="Q1"/>
    <n v="0.3926337012325663"/>
    <n v="718.9"/>
    <s v="Medium"/>
    <s v="Repeat"/>
    <s v="Below Avg"/>
    <s v="Profit"/>
    <n v="328"/>
  </r>
  <r>
    <n v="24"/>
    <d v="2024-01-24T00:00:00"/>
    <n v="1067"/>
    <s v="Customer_154"/>
    <x v="1"/>
    <x v="3"/>
    <s v="Clothing"/>
    <s v="Product_A"/>
    <n v="4346"/>
    <n v="2"/>
    <n v="7.0000000000000007E-2"/>
    <n v="-8"/>
    <s v="Card"/>
    <n v="8083.5599999999904"/>
    <s v="Jan"/>
    <n v="2024"/>
    <s v="Q1"/>
    <n v="-9.8966297027547378E-4"/>
    <n v="608.44000000000005"/>
    <s v="High"/>
    <s v="Repeat"/>
    <s v="Below Avg"/>
    <s v="Loss"/>
    <n v="250"/>
  </r>
  <r>
    <n v="25"/>
    <d v="2024-01-25T00:00:00"/>
    <n v="1002"/>
    <s v="Customer_127"/>
    <x v="0"/>
    <x v="0"/>
    <s v="Furniture"/>
    <s v="Product_D"/>
    <n v="2176"/>
    <n v="6"/>
    <n v="0.24"/>
    <n v="337"/>
    <s v="UPI"/>
    <n v="9922.56"/>
    <s v="Jan"/>
    <n v="2024"/>
    <s v="Q1"/>
    <n v="3.3963009545923635E-2"/>
    <n v="3133.44"/>
    <s v="High"/>
    <s v="Repeat"/>
    <s v="Below Avg"/>
    <s v="Profit"/>
    <n v="201"/>
  </r>
  <r>
    <n v="26"/>
    <d v="2024-01-26T00:00:00"/>
    <n v="1084"/>
    <s v="Customer_7"/>
    <x v="1"/>
    <x v="3"/>
    <s v="Clothing"/>
    <s v="Product_C"/>
    <n v="1857"/>
    <n v="6"/>
    <n v="0.25"/>
    <n v="1296"/>
    <s v="Card"/>
    <n v="8356.5"/>
    <s v="Jan"/>
    <n v="2024"/>
    <s v="Q1"/>
    <n v="0.15508885298869143"/>
    <n v="2785.5"/>
    <s v="High"/>
    <s v="Repeat"/>
    <s v="Below Avg"/>
    <s v="Profit"/>
    <n v="240"/>
  </r>
  <r>
    <n v="27"/>
    <d v="2024-01-27T00:00:00"/>
    <n v="1039"/>
    <s v="Customer_195"/>
    <x v="0"/>
    <x v="1"/>
    <s v="Furniture"/>
    <s v="Product_D"/>
    <n v="4258"/>
    <n v="7"/>
    <n v="0.16"/>
    <n v="1331"/>
    <s v="COD"/>
    <n v="25037.040000000001"/>
    <s v="Jan"/>
    <n v="2024"/>
    <s v="Q1"/>
    <n v="5.3161236312279724E-2"/>
    <n v="4768.96"/>
    <s v="High"/>
    <s v="Repeat"/>
    <s v="Above Avg"/>
    <s v="Profit"/>
    <n v="42"/>
  </r>
  <r>
    <n v="28"/>
    <d v="2024-01-28T00:00:00"/>
    <n v="1066"/>
    <s v="Customer_56"/>
    <x v="0"/>
    <x v="0"/>
    <s v="Furniture"/>
    <s v="Product_D"/>
    <n v="270"/>
    <n v="2"/>
    <n v="7.0000000000000007E-2"/>
    <n v="1695"/>
    <s v="Card"/>
    <n v="502.2"/>
    <s v="Jan"/>
    <n v="2024"/>
    <s v="Q1"/>
    <n v="3.3751493428912784"/>
    <n v="37.800000000000004"/>
    <s v="Low"/>
    <s v="Repeat"/>
    <s v="Below Avg"/>
    <s v="Profit"/>
    <n v="491"/>
  </r>
  <r>
    <n v="29"/>
    <d v="2024-01-29T00:00:00"/>
    <n v="1084"/>
    <s v="Customer_72"/>
    <x v="1"/>
    <x v="3"/>
    <s v="Furniture"/>
    <s v="Product_A"/>
    <n v="1757"/>
    <n v="7"/>
    <n v="0.24"/>
    <n v="1198"/>
    <s v="Card"/>
    <n v="9347.24"/>
    <s v="Jan"/>
    <n v="2024"/>
    <s v="Q1"/>
    <n v="0.1281661752560114"/>
    <n v="2951.7599999999998"/>
    <s v="High"/>
    <s v="Repeat"/>
    <s v="Below Avg"/>
    <s v="Profit"/>
    <n v="223"/>
  </r>
  <r>
    <n v="30"/>
    <d v="2024-01-30T00:00:00"/>
    <n v="1047"/>
    <s v="Customer_94"/>
    <x v="1"/>
    <x v="2"/>
    <s v="Electronics"/>
    <s v="Product_A"/>
    <n v="2171"/>
    <n v="2"/>
    <n v="0.11"/>
    <n v="1464"/>
    <s v="UPI"/>
    <n v="3864.38"/>
    <s v="Jan"/>
    <n v="2024"/>
    <s v="Q1"/>
    <n v="0.37884473059067691"/>
    <n v="477.62"/>
    <s v="Medium"/>
    <s v="Repeat"/>
    <s v="Below Avg"/>
    <s v="Profit"/>
    <n v="359"/>
  </r>
  <r>
    <n v="31"/>
    <d v="2024-01-31T00:00:00"/>
    <n v="1061"/>
    <s v="Customer_11"/>
    <x v="0"/>
    <x v="3"/>
    <s v="Furniture"/>
    <s v="Product_D"/>
    <n v="4589"/>
    <n v="2"/>
    <n v="0.28000000000000003"/>
    <n v="1849"/>
    <s v="COD"/>
    <n v="6608.16"/>
    <s v="Jan"/>
    <n v="2024"/>
    <s v="Q1"/>
    <n v="0.27980557371492215"/>
    <n v="2569.84"/>
    <s v="High"/>
    <s v="Repeat"/>
    <s v="Below Avg"/>
    <s v="Profit"/>
    <n v="284"/>
  </r>
  <r>
    <n v="32"/>
    <d v="2024-02-01T00:00:00"/>
    <n v="1048"/>
    <s v="Customer_145"/>
    <x v="0"/>
    <x v="3"/>
    <s v="Furniture"/>
    <s v="Product_A"/>
    <n v="1491"/>
    <n v="1"/>
    <n v="0.08"/>
    <n v="-440"/>
    <s v="UPI"/>
    <n v="1371.72"/>
    <s v="Feb"/>
    <n v="2024"/>
    <s v="Q1"/>
    <n v="-0.32076517073455224"/>
    <n v="119.28"/>
    <s v="Low"/>
    <s v="Repeat"/>
    <s v="Below Avg"/>
    <s v="Loss"/>
    <n v="464"/>
  </r>
  <r>
    <n v="33"/>
    <d v="2024-02-02T00:00:00"/>
    <n v="1007"/>
    <s v="Customer_72"/>
    <x v="1"/>
    <x v="3"/>
    <s v="Electronics"/>
    <s v="Product_D"/>
    <n v="4961"/>
    <n v="9"/>
    <n v="0.28000000000000003"/>
    <n v="1103"/>
    <s v="Card"/>
    <n v="32147.279999999999"/>
    <s v="Feb"/>
    <n v="2024"/>
    <s v="Q1"/>
    <n v="3.4310834384744214E-2"/>
    <n v="12501.720000000001"/>
    <s v="High"/>
    <s v="Repeat"/>
    <s v="Above Avg"/>
    <s v="Profit"/>
    <n v="21"/>
  </r>
  <r>
    <n v="34"/>
    <d v="2024-02-03T00:00:00"/>
    <n v="1099"/>
    <s v="Customer_175"/>
    <x v="0"/>
    <x v="2"/>
    <s v="Electronics"/>
    <s v="Product_A"/>
    <n v="2141"/>
    <n v="9"/>
    <n v="0.13"/>
    <n v="191"/>
    <s v="COD"/>
    <n v="16764.03"/>
    <s v="Feb"/>
    <n v="2024"/>
    <s v="Q1"/>
    <n v="1.1393441791741009E-2"/>
    <n v="2504.9700000000003"/>
    <s v="High"/>
    <s v="Repeat"/>
    <s v="Above Avg"/>
    <s v="Profit"/>
    <n v="108"/>
  </r>
  <r>
    <n v="35"/>
    <d v="2024-02-04T00:00:00"/>
    <n v="1092"/>
    <s v="Customer_172"/>
    <x v="0"/>
    <x v="2"/>
    <s v="Furniture"/>
    <s v="Product_B"/>
    <n v="4536"/>
    <n v="5"/>
    <n v="0.23"/>
    <n v="954"/>
    <s v="UPI"/>
    <n v="17463.599999999999"/>
    <s v="Feb"/>
    <n v="2024"/>
    <s v="Q1"/>
    <n v="5.4627911770768915E-2"/>
    <n v="5216.4000000000005"/>
    <s v="High"/>
    <s v="Repeat"/>
    <s v="Above Avg"/>
    <s v="Profit"/>
    <n v="98"/>
  </r>
  <r>
    <n v="36"/>
    <d v="2024-02-05T00:00:00"/>
    <n v="1052"/>
    <s v="Customer_192"/>
    <x v="1"/>
    <x v="0"/>
    <s v="Electronics"/>
    <s v="Product_A"/>
    <n v="2529"/>
    <n v="7"/>
    <n v="0.06"/>
    <n v="-454"/>
    <s v="Card"/>
    <n v="16640.82"/>
    <s v="Feb"/>
    <n v="2024"/>
    <s v="Q1"/>
    <n v="-2.7282309405425934E-2"/>
    <n v="1062.18"/>
    <s v="High"/>
    <s v="Repeat"/>
    <s v="Above Avg"/>
    <s v="Loss"/>
    <n v="112"/>
  </r>
  <r>
    <n v="37"/>
    <d v="2024-02-06T00:00:00"/>
    <n v="1097"/>
    <s v="Customer_158"/>
    <x v="0"/>
    <x v="1"/>
    <s v="Clothing"/>
    <s v="Product_C"/>
    <n v="3484"/>
    <n v="7"/>
    <n v="0.19"/>
    <n v="-398"/>
    <s v="UPI"/>
    <n v="19754.28"/>
    <s v="Feb"/>
    <n v="2024"/>
    <s v="Q1"/>
    <n v="-2.0147532585343533E-2"/>
    <n v="4633.72"/>
    <s v="High"/>
    <s v="Repeat"/>
    <s v="Above Avg"/>
    <s v="Loss"/>
    <n v="81"/>
  </r>
  <r>
    <n v="38"/>
    <d v="2024-02-07T00:00:00"/>
    <n v="1085"/>
    <s v="Customer_43"/>
    <x v="0"/>
    <x v="3"/>
    <s v="Furniture"/>
    <s v="Product_B"/>
    <n v="100"/>
    <n v="3"/>
    <n v="0.17"/>
    <n v="-325"/>
    <s v="COD"/>
    <n v="249"/>
    <s v="Feb"/>
    <n v="2024"/>
    <s v="Q1"/>
    <n v="-1.3052208835341366"/>
    <n v="51.000000000000007"/>
    <s v="Low"/>
    <s v="Repeat"/>
    <s v="Below Avg"/>
    <s v="Loss"/>
    <n v="498"/>
  </r>
  <r>
    <n v="39"/>
    <d v="2024-02-08T00:00:00"/>
    <n v="1094"/>
    <s v="Customer_16"/>
    <x v="0"/>
    <x v="1"/>
    <s v="Electronics"/>
    <s v="Product_D"/>
    <n v="1152"/>
    <n v="2"/>
    <n v="0.13"/>
    <n v="-297"/>
    <s v="UPI"/>
    <n v="2004.48"/>
    <s v="Feb"/>
    <n v="2024"/>
    <s v="Q1"/>
    <n v="-0.14816810344827586"/>
    <n v="299.52"/>
    <s v="Medium"/>
    <s v="Repeat"/>
    <s v="Below Avg"/>
    <s v="Loss"/>
    <n v="430"/>
  </r>
  <r>
    <n v="40"/>
    <d v="2024-02-09T00:00:00"/>
    <n v="1027"/>
    <s v="Customer_119"/>
    <x v="1"/>
    <x v="0"/>
    <s v="Electronics"/>
    <s v="Product_A"/>
    <n v="1345"/>
    <n v="4"/>
    <n v="0.22"/>
    <n v="1624"/>
    <s v="COD"/>
    <n v="4196.3999999999996"/>
    <s v="Feb"/>
    <n v="2024"/>
    <s v="Q1"/>
    <n v="0.38699837956343536"/>
    <n v="1183.5999999999999"/>
    <s v="Medium"/>
    <s v="Repeat"/>
    <s v="Below Avg"/>
    <s v="Profit"/>
    <n v="346"/>
  </r>
  <r>
    <n v="41"/>
    <d v="2024-02-10T00:00:00"/>
    <n v="1034"/>
    <s v="Customer_4"/>
    <x v="1"/>
    <x v="2"/>
    <s v="Furniture"/>
    <s v="Product_D"/>
    <n v="3274"/>
    <n v="8"/>
    <n v="0.25"/>
    <n v="578"/>
    <s v="Card"/>
    <n v="19644"/>
    <s v="Feb"/>
    <n v="2024"/>
    <s v="Q1"/>
    <n v="2.942374261861128E-2"/>
    <n v="6548"/>
    <s v="High"/>
    <s v="Repeat"/>
    <s v="Above Avg"/>
    <s v="Profit"/>
    <n v="82"/>
  </r>
  <r>
    <n v="42"/>
    <d v="2024-02-11T00:00:00"/>
    <n v="1097"/>
    <s v="Customer_85"/>
    <x v="1"/>
    <x v="0"/>
    <s v="Furniture"/>
    <s v="Product_C"/>
    <n v="2350"/>
    <n v="1"/>
    <n v="0.22"/>
    <n v="1840"/>
    <s v="UPI"/>
    <n v="1833"/>
    <s v="Feb"/>
    <n v="2024"/>
    <s v="Q1"/>
    <n v="1.0038188761593017"/>
    <n v="517"/>
    <s v="Low"/>
    <s v="Repeat"/>
    <s v="Below Avg"/>
    <s v="Profit"/>
    <n v="439"/>
  </r>
  <r>
    <n v="43"/>
    <d v="2024-02-12T00:00:00"/>
    <n v="1076"/>
    <s v="Customer_50"/>
    <x v="0"/>
    <x v="2"/>
    <s v="Electronics"/>
    <s v="Product_D"/>
    <n v="1934"/>
    <n v="8"/>
    <n v="0.24"/>
    <n v="1168"/>
    <s v="Card"/>
    <n v="11758.72"/>
    <s v="Feb"/>
    <n v="2024"/>
    <s v="Q1"/>
    <n v="9.933053937843575E-2"/>
    <n v="3713.2799999999997"/>
    <s v="High"/>
    <s v="Repeat"/>
    <s v="Above Avg"/>
    <s v="Profit"/>
    <n v="175"/>
  </r>
  <r>
    <n v="44"/>
    <d v="2024-02-13T00:00:00"/>
    <n v="1040"/>
    <s v="Customer_34"/>
    <x v="1"/>
    <x v="3"/>
    <s v="Electronics"/>
    <s v="Product_C"/>
    <n v="3605"/>
    <n v="2"/>
    <n v="0.22"/>
    <n v="1510"/>
    <s v="Card"/>
    <n v="5623.8"/>
    <s v="Feb"/>
    <n v="2024"/>
    <s v="Q1"/>
    <n v="0.26850172481240442"/>
    <n v="1586.2"/>
    <s v="High"/>
    <s v="Repeat"/>
    <s v="Below Avg"/>
    <s v="Profit"/>
    <n v="305"/>
  </r>
  <r>
    <n v="45"/>
    <d v="2024-02-14T00:00:00"/>
    <n v="1003"/>
    <s v="Customer_35"/>
    <x v="1"/>
    <x v="1"/>
    <s v="Furniture"/>
    <s v="Product_B"/>
    <n v="4693"/>
    <n v="8"/>
    <n v="0.04"/>
    <n v="1809"/>
    <s v="UPI"/>
    <n v="36042.239999999998"/>
    <s v="Feb"/>
    <n v="2024"/>
    <s v="Q1"/>
    <n v="5.019110909865758E-2"/>
    <n v="1501.76"/>
    <s v="High"/>
    <s v="Repeat"/>
    <s v="Above Avg"/>
    <s v="Profit"/>
    <n v="7"/>
  </r>
  <r>
    <n v="46"/>
    <d v="2024-02-15T00:00:00"/>
    <n v="1069"/>
    <s v="Customer_64"/>
    <x v="0"/>
    <x v="0"/>
    <s v="Furniture"/>
    <s v="Product_C"/>
    <n v="4092"/>
    <n v="2"/>
    <n v="0.23"/>
    <n v="779"/>
    <s v="Card"/>
    <n v="6301.68"/>
    <s v="Feb"/>
    <n v="2024"/>
    <s v="Q1"/>
    <n v="0.12361782889642127"/>
    <n v="1882.3200000000002"/>
    <s v="High"/>
    <s v="Repeat"/>
    <s v="Below Avg"/>
    <s v="Profit"/>
    <n v="290"/>
  </r>
  <r>
    <n v="47"/>
    <d v="2024-02-16T00:00:00"/>
    <n v="1064"/>
    <s v="Customer_13"/>
    <x v="1"/>
    <x v="2"/>
    <s v="Electronics"/>
    <s v="Product_B"/>
    <n v="1788"/>
    <n v="7"/>
    <n v="0.06"/>
    <n v="-196"/>
    <s v="Card"/>
    <n v="11765.039999999901"/>
    <s v="Feb"/>
    <n v="2024"/>
    <s v="Q1"/>
    <n v="-1.6659526869437048E-2"/>
    <n v="750.95999999999992"/>
    <s v="High"/>
    <s v="Repeat"/>
    <s v="Above Avg"/>
    <s v="Loss"/>
    <n v="174"/>
  </r>
  <r>
    <n v="48"/>
    <d v="2024-02-17T00:00:00"/>
    <n v="1075"/>
    <s v="Customer_107"/>
    <x v="1"/>
    <x v="2"/>
    <s v="Clothing"/>
    <s v="Product_C"/>
    <n v="343"/>
    <n v="3"/>
    <n v="0.03"/>
    <n v="1062"/>
    <s v="UPI"/>
    <n v="998.13"/>
    <s v="Feb"/>
    <n v="2024"/>
    <s v="Q1"/>
    <n v="1.0639896606654444"/>
    <n v="30.869999999999997"/>
    <s v="Low"/>
    <s v="Repeat"/>
    <s v="Below Avg"/>
    <s v="Profit"/>
    <n v="479"/>
  </r>
  <r>
    <n v="49"/>
    <d v="2024-02-18T00:00:00"/>
    <n v="1034"/>
    <s v="Customer_27"/>
    <x v="0"/>
    <x v="0"/>
    <s v="Electronics"/>
    <s v="Product_B"/>
    <n v="1734"/>
    <n v="6"/>
    <n v="0.27"/>
    <n v="318"/>
    <s v="UPI"/>
    <n v="7594.92"/>
    <s v="Feb"/>
    <n v="2024"/>
    <s v="Q1"/>
    <n v="4.1870092114202652E-2"/>
    <n v="2809.0800000000004"/>
    <s v="High"/>
    <s v="Repeat"/>
    <s v="Below Avg"/>
    <s v="Profit"/>
    <n v="263"/>
  </r>
  <r>
    <n v="50"/>
    <d v="2024-02-19T00:00:00"/>
    <n v="1058"/>
    <s v="Customer_169"/>
    <x v="0"/>
    <x v="1"/>
    <s v="Furniture"/>
    <s v="Product_C"/>
    <n v="2310"/>
    <n v="7"/>
    <n v="0.18"/>
    <n v="-22"/>
    <s v="COD"/>
    <n v="13259.4"/>
    <s v="Feb"/>
    <n v="2024"/>
    <s v="Q1"/>
    <n v="-1.6592002654720426E-3"/>
    <n v="2910.6"/>
    <s v="High"/>
    <s v="Repeat"/>
    <s v="Above Avg"/>
    <s v="Loss"/>
    <n v="157"/>
  </r>
  <r>
    <n v="51"/>
    <d v="2024-02-20T00:00:00"/>
    <n v="1010"/>
    <s v="Customer_42"/>
    <x v="0"/>
    <x v="1"/>
    <s v="Clothing"/>
    <s v="Product_B"/>
    <n v="274"/>
    <n v="6"/>
    <n v="0.05"/>
    <n v="-327"/>
    <s v="COD"/>
    <n v="1561.8"/>
    <s v="Feb"/>
    <n v="2024"/>
    <s v="Q1"/>
    <n v="-0.20937379946215906"/>
    <n v="82.2"/>
    <s v="Low"/>
    <s v="Repeat"/>
    <s v="Below Avg"/>
    <s v="Loss"/>
    <n v="455"/>
  </r>
  <r>
    <n v="52"/>
    <d v="2024-02-21T00:00:00"/>
    <n v="1022"/>
    <s v="Customer_157"/>
    <x v="1"/>
    <x v="2"/>
    <s v="Clothing"/>
    <s v="Product_A"/>
    <n v="2319"/>
    <n v="5"/>
    <n v="0.19"/>
    <n v="51"/>
    <s v="COD"/>
    <n v="9391.9500000000007"/>
    <s v="Feb"/>
    <n v="2024"/>
    <s v="Q1"/>
    <n v="5.4301822305272062E-3"/>
    <n v="2203.0500000000002"/>
    <s v="High"/>
    <s v="Repeat"/>
    <s v="Below Avg"/>
    <s v="Profit"/>
    <n v="222"/>
  </r>
  <r>
    <n v="53"/>
    <d v="2024-02-22T00:00:00"/>
    <n v="1077"/>
    <s v="Customer_144"/>
    <x v="1"/>
    <x v="3"/>
    <s v="Electronics"/>
    <s v="Product_B"/>
    <n v="3756"/>
    <n v="9"/>
    <n v="0.1"/>
    <n v="1822"/>
    <s v="Card"/>
    <n v="30423.599999999999"/>
    <s v="Feb"/>
    <n v="2024"/>
    <s v="Q1"/>
    <n v="5.9887718744658758E-2"/>
    <n v="3380.4"/>
    <s v="High"/>
    <s v="Repeat"/>
    <s v="Above Avg"/>
    <s v="Profit"/>
    <n v="23"/>
  </r>
  <r>
    <n v="54"/>
    <d v="2024-02-23T00:00:00"/>
    <n v="1018"/>
    <s v="Customer_181"/>
    <x v="1"/>
    <x v="3"/>
    <s v="Furniture"/>
    <s v="Product_D"/>
    <n v="366"/>
    <n v="9"/>
    <n v="0.04"/>
    <n v="-461"/>
    <s v="UPI"/>
    <n v="3162.24"/>
    <s v="Feb"/>
    <n v="2024"/>
    <s v="Q1"/>
    <n v="-0.14578273628820079"/>
    <n v="131.76"/>
    <s v="Medium"/>
    <s v="Repeat"/>
    <s v="Below Avg"/>
    <s v="Loss"/>
    <n v="388"/>
  </r>
  <r>
    <n v="55"/>
    <d v="2024-02-24T00:00:00"/>
    <n v="1015"/>
    <s v="Customer_46"/>
    <x v="1"/>
    <x v="3"/>
    <s v="Clothing"/>
    <s v="Product_A"/>
    <n v="1482"/>
    <n v="3"/>
    <n v="0.24"/>
    <n v="1102"/>
    <s v="COD"/>
    <n v="3378.96"/>
    <s v="Feb"/>
    <n v="2024"/>
    <s v="Q1"/>
    <n v="0.32613585245164189"/>
    <n v="1067.04"/>
    <s v="Medium"/>
    <s v="Repeat"/>
    <s v="Below Avg"/>
    <s v="Profit"/>
    <n v="381"/>
  </r>
  <r>
    <n v="56"/>
    <d v="2024-02-25T00:00:00"/>
    <n v="1027"/>
    <s v="Customer_197"/>
    <x v="1"/>
    <x v="3"/>
    <s v="Electronics"/>
    <s v="Product_C"/>
    <n v="879"/>
    <n v="7"/>
    <n v="0.03"/>
    <n v="1934"/>
    <s v="Card"/>
    <n v="5968.41"/>
    <s v="Feb"/>
    <n v="2024"/>
    <s v="Q1"/>
    <n v="0.3240394007784318"/>
    <n v="184.59"/>
    <s v="High"/>
    <s v="Repeat"/>
    <s v="Below Avg"/>
    <s v="Profit"/>
    <n v="298"/>
  </r>
  <r>
    <n v="57"/>
    <d v="2024-02-26T00:00:00"/>
    <n v="1030"/>
    <s v="Customer_37"/>
    <x v="1"/>
    <x v="1"/>
    <s v="Furniture"/>
    <s v="Product_B"/>
    <n v="4731"/>
    <n v="2"/>
    <n v="0.28999999999999998"/>
    <n v="1177"/>
    <s v="COD"/>
    <n v="6718.0199999999904"/>
    <s v="Feb"/>
    <n v="2024"/>
    <s v="Q1"/>
    <n v="0.17520043107939567"/>
    <n v="2743.98"/>
    <s v="High"/>
    <s v="Repeat"/>
    <s v="Below Avg"/>
    <s v="Profit"/>
    <n v="282"/>
  </r>
  <r>
    <n v="58"/>
    <d v="2024-02-27T00:00:00"/>
    <n v="1052"/>
    <s v="Customer_104"/>
    <x v="0"/>
    <x v="2"/>
    <s v="Furniture"/>
    <s v="Product_B"/>
    <n v="766"/>
    <n v="1"/>
    <n v="0.23"/>
    <n v="993"/>
    <s v="COD"/>
    <n v="589.82000000000005"/>
    <s v="Feb"/>
    <n v="2024"/>
    <s v="Q1"/>
    <n v="1.6835644772981586"/>
    <n v="176.18"/>
    <s v="Low"/>
    <s v="Repeat"/>
    <s v="Below Avg"/>
    <s v="Profit"/>
    <n v="487"/>
  </r>
  <r>
    <n v="59"/>
    <d v="2024-02-28T00:00:00"/>
    <n v="1070"/>
    <s v="Customer_188"/>
    <x v="0"/>
    <x v="2"/>
    <s v="Furniture"/>
    <s v="Product_B"/>
    <n v="1257"/>
    <n v="4"/>
    <n v="0.21"/>
    <n v="-182"/>
    <s v="UPI"/>
    <n v="3972.12"/>
    <s v="Feb"/>
    <n v="2024"/>
    <s v="Q1"/>
    <n v="-4.581936094579217E-2"/>
    <n v="1055.8799999999999"/>
    <s v="Medium"/>
    <s v="Repeat"/>
    <s v="Below Avg"/>
    <s v="Loss"/>
    <n v="354"/>
  </r>
  <r>
    <n v="60"/>
    <d v="2024-02-29T00:00:00"/>
    <n v="1026"/>
    <s v="Customer_143"/>
    <x v="0"/>
    <x v="3"/>
    <s v="Electronics"/>
    <s v="Product_C"/>
    <n v="4776"/>
    <n v="3"/>
    <n v="7.0000000000000007E-2"/>
    <n v="1297"/>
    <s v="UPI"/>
    <n v="13325.039999999901"/>
    <s v="Feb"/>
    <n v="2024"/>
    <s v="Q1"/>
    <n v="9.7335542707564823E-2"/>
    <n v="1002.9600000000002"/>
    <s v="High"/>
    <s v="Repeat"/>
    <s v="Above Avg"/>
    <s v="Profit"/>
    <n v="156"/>
  </r>
  <r>
    <n v="61"/>
    <d v="2024-03-01T00:00:00"/>
    <n v="1080"/>
    <s v="Customer_149"/>
    <x v="0"/>
    <x v="2"/>
    <s v="Furniture"/>
    <s v="Product_D"/>
    <n v="963"/>
    <n v="4"/>
    <n v="0.23"/>
    <n v="-271"/>
    <s v="Card"/>
    <n v="2966.04"/>
    <s v="Mar"/>
    <n v="2024"/>
    <s v="Q1"/>
    <n v="-9.1367614732100713E-2"/>
    <n v="885.96"/>
    <s v="Medium"/>
    <s v="Repeat"/>
    <s v="Below Avg"/>
    <s v="Loss"/>
    <n v="395"/>
  </r>
  <r>
    <n v="62"/>
    <d v="2024-03-02T00:00:00"/>
    <n v="1006"/>
    <s v="Customer_34"/>
    <x v="1"/>
    <x v="1"/>
    <s v="Clothing"/>
    <s v="Product_C"/>
    <n v="4000"/>
    <n v="3"/>
    <n v="0.01"/>
    <n v="1902"/>
    <s v="COD"/>
    <n v="11880"/>
    <s v="Mar"/>
    <n v="2024"/>
    <s v="Q1"/>
    <n v="0.1601010101010101"/>
    <n v="120"/>
    <s v="High"/>
    <s v="Repeat"/>
    <s v="Above Avg"/>
    <s v="Profit"/>
    <n v="171"/>
  </r>
  <r>
    <n v="63"/>
    <d v="2024-03-03T00:00:00"/>
    <n v="1014"/>
    <s v="Customer_9"/>
    <x v="0"/>
    <x v="0"/>
    <s v="Electronics"/>
    <s v="Product_B"/>
    <n v="156"/>
    <n v="9"/>
    <n v="0.17"/>
    <n v="325"/>
    <s v="COD"/>
    <n v="1165.32"/>
    <s v="Mar"/>
    <n v="2024"/>
    <s v="Q1"/>
    <n v="0.2788933511825078"/>
    <n v="238.68"/>
    <s v="Low"/>
    <s v="Repeat"/>
    <s v="Below Avg"/>
    <s v="Profit"/>
    <n v="472"/>
  </r>
  <r>
    <n v="64"/>
    <d v="2024-03-04T00:00:00"/>
    <n v="1075"/>
    <s v="Customer_154"/>
    <x v="0"/>
    <x v="0"/>
    <s v="Electronics"/>
    <s v="Product_A"/>
    <n v="3350"/>
    <n v="4"/>
    <n v="0.09"/>
    <n v="1332"/>
    <s v="COD"/>
    <n v="12194"/>
    <s v="Mar"/>
    <n v="2024"/>
    <s v="Q1"/>
    <n v="0.109234049532557"/>
    <n v="1206"/>
    <s v="High"/>
    <s v="Repeat"/>
    <s v="Above Avg"/>
    <s v="Profit"/>
    <n v="165"/>
  </r>
  <r>
    <n v="65"/>
    <d v="2024-03-05T00:00:00"/>
    <n v="1054"/>
    <s v="Customer_77"/>
    <x v="0"/>
    <x v="2"/>
    <s v="Electronics"/>
    <s v="Product_B"/>
    <n v="642"/>
    <n v="4"/>
    <n v="0.25"/>
    <n v="30"/>
    <s v="UPI"/>
    <n v="1926"/>
    <s v="Mar"/>
    <n v="2024"/>
    <s v="Q1"/>
    <n v="1.5576323987538941E-2"/>
    <n v="642"/>
    <s v="Low"/>
    <s v="Repeat"/>
    <s v="Below Avg"/>
    <s v="Profit"/>
    <n v="434"/>
  </r>
  <r>
    <n v="66"/>
    <d v="2024-03-06T00:00:00"/>
    <n v="1071"/>
    <s v="Customer_146"/>
    <x v="1"/>
    <x v="2"/>
    <s v="Electronics"/>
    <s v="Product_A"/>
    <n v="1032"/>
    <n v="7"/>
    <n v="0.23"/>
    <n v="-33"/>
    <s v="UPI"/>
    <n v="5562.48"/>
    <s v="Mar"/>
    <n v="2024"/>
    <s v="Q1"/>
    <n v="-5.9326056003796875E-3"/>
    <n v="1661.52"/>
    <s v="High"/>
    <s v="Repeat"/>
    <s v="Below Avg"/>
    <s v="Loss"/>
    <n v="307"/>
  </r>
  <r>
    <n v="67"/>
    <d v="2024-03-07T00:00:00"/>
    <n v="1001"/>
    <s v="Customer_1"/>
    <x v="0"/>
    <x v="2"/>
    <s v="Furniture"/>
    <s v="Product_B"/>
    <n v="950"/>
    <n v="4"/>
    <n v="0.15"/>
    <n v="1734"/>
    <s v="COD"/>
    <n v="3230"/>
    <s v="Mar"/>
    <n v="2024"/>
    <s v="Q1"/>
    <n v="0.5368421052631579"/>
    <n v="570"/>
    <s v="Medium"/>
    <s v="Repeat"/>
    <s v="Below Avg"/>
    <s v="Profit"/>
    <n v="387"/>
  </r>
  <r>
    <n v="68"/>
    <d v="2024-03-08T00:00:00"/>
    <n v="1043"/>
    <s v="Customer_23"/>
    <x v="1"/>
    <x v="3"/>
    <s v="Electronics"/>
    <s v="Product_D"/>
    <n v="1275"/>
    <n v="9"/>
    <n v="0.14000000000000001"/>
    <n v="1604"/>
    <s v="Card"/>
    <n v="9868.5"/>
    <s v="Mar"/>
    <n v="2024"/>
    <s v="Q1"/>
    <n v="0.16253736636773572"/>
    <n v="1606.5000000000002"/>
    <s v="High"/>
    <s v="New"/>
    <s v="Below Avg"/>
    <s v="Profit"/>
    <n v="204"/>
  </r>
  <r>
    <n v="69"/>
    <d v="2024-03-09T00:00:00"/>
    <n v="1058"/>
    <s v="Customer_33"/>
    <x v="0"/>
    <x v="3"/>
    <s v="Clothing"/>
    <s v="Product_D"/>
    <n v="622"/>
    <n v="9"/>
    <n v="0.02"/>
    <n v="442"/>
    <s v="Card"/>
    <n v="5486.04"/>
    <s v="Mar"/>
    <n v="2024"/>
    <s v="Q1"/>
    <n v="8.0568132933773726E-2"/>
    <n v="111.96000000000001"/>
    <s v="High"/>
    <s v="Repeat"/>
    <s v="Below Avg"/>
    <s v="Profit"/>
    <n v="309"/>
  </r>
  <r>
    <n v="70"/>
    <d v="2024-03-10T00:00:00"/>
    <n v="1055"/>
    <s v="Customer_175"/>
    <x v="0"/>
    <x v="2"/>
    <s v="Clothing"/>
    <s v="Product_C"/>
    <n v="209"/>
    <n v="9"/>
    <n v="7.0000000000000007E-2"/>
    <n v="79"/>
    <s v="Card"/>
    <n v="1749.33"/>
    <s v="Mar"/>
    <n v="2024"/>
    <s v="Q1"/>
    <n v="4.5160147027719186E-2"/>
    <n v="131.67000000000002"/>
    <s v="Low"/>
    <s v="Repeat"/>
    <s v="Below Avg"/>
    <s v="Profit"/>
    <n v="444"/>
  </r>
  <r>
    <n v="71"/>
    <d v="2024-03-11T00:00:00"/>
    <n v="1025"/>
    <s v="Customer_95"/>
    <x v="0"/>
    <x v="0"/>
    <s v="Clothing"/>
    <s v="Product_D"/>
    <n v="3545"/>
    <n v="6"/>
    <n v="0.21"/>
    <n v="706"/>
    <s v="Card"/>
    <n v="16803.3"/>
    <s v="Mar"/>
    <n v="2024"/>
    <s v="Q1"/>
    <n v="4.2015556468074727E-2"/>
    <n v="4466.7"/>
    <s v="High"/>
    <s v="Repeat"/>
    <s v="Above Avg"/>
    <s v="Profit"/>
    <n v="107"/>
  </r>
  <r>
    <n v="72"/>
    <d v="2024-03-12T00:00:00"/>
    <n v="1050"/>
    <s v="Customer_122"/>
    <x v="1"/>
    <x v="1"/>
    <s v="Clothing"/>
    <s v="Product_A"/>
    <n v="156"/>
    <n v="9"/>
    <n v="0.02"/>
    <n v="56"/>
    <s v="COD"/>
    <n v="1375.92"/>
    <s v="Mar"/>
    <n v="2024"/>
    <s v="Q1"/>
    <n v="4.0700040700040699E-2"/>
    <n v="28.080000000000002"/>
    <s v="Low"/>
    <s v="Repeat"/>
    <s v="Below Avg"/>
    <s v="Profit"/>
    <n v="463"/>
  </r>
  <r>
    <n v="73"/>
    <d v="2024-03-13T00:00:00"/>
    <n v="1084"/>
    <s v="Customer_21"/>
    <x v="0"/>
    <x v="2"/>
    <s v="Clothing"/>
    <s v="Product_C"/>
    <n v="3923"/>
    <n v="3"/>
    <n v="0.24"/>
    <n v="1141"/>
    <s v="UPI"/>
    <n v="8944.44"/>
    <s v="Mar"/>
    <n v="2024"/>
    <s v="Q1"/>
    <n v="0.12756528077777926"/>
    <n v="2824.56"/>
    <s v="High"/>
    <s v="Repeat"/>
    <s v="Below Avg"/>
    <s v="Profit"/>
    <n v="232"/>
  </r>
  <r>
    <n v="74"/>
    <d v="2024-03-14T00:00:00"/>
    <n v="1056"/>
    <s v="Customer_61"/>
    <x v="1"/>
    <x v="1"/>
    <s v="Electronics"/>
    <s v="Product_D"/>
    <n v="1766"/>
    <n v="2"/>
    <n v="0.28999999999999998"/>
    <n v="620"/>
    <s v="Card"/>
    <n v="2507.7199999999998"/>
    <s v="Mar"/>
    <n v="2024"/>
    <s v="Q1"/>
    <n v="0.24723653358429173"/>
    <n v="1024.28"/>
    <s v="Medium"/>
    <s v="Repeat"/>
    <s v="Below Avg"/>
    <s v="Profit"/>
    <n v="410"/>
  </r>
  <r>
    <n v="75"/>
    <d v="2024-03-15T00:00:00"/>
    <n v="1049"/>
    <s v="Customer_27"/>
    <x v="0"/>
    <x v="1"/>
    <s v="Furniture"/>
    <s v="Product_B"/>
    <n v="4017"/>
    <n v="2"/>
    <n v="0.02"/>
    <n v="755"/>
    <s v="COD"/>
    <n v="7873.32"/>
    <s v="Mar"/>
    <n v="2024"/>
    <s v="Q1"/>
    <n v="9.58934731472873E-2"/>
    <n v="160.68"/>
    <s v="High"/>
    <s v="Repeat"/>
    <s v="Below Avg"/>
    <s v="Profit"/>
    <n v="255"/>
  </r>
  <r>
    <n v="76"/>
    <d v="2024-03-16T00:00:00"/>
    <n v="1012"/>
    <s v="Customer_191"/>
    <x v="0"/>
    <x v="1"/>
    <s v="Clothing"/>
    <s v="Product_D"/>
    <n v="1527"/>
    <n v="7"/>
    <n v="0.14000000000000001"/>
    <n v="-113"/>
    <s v="COD"/>
    <n v="9192.53999999999"/>
    <s v="Mar"/>
    <n v="2024"/>
    <s v="Q1"/>
    <n v="-1.2292576371710117E-2"/>
    <n v="1496.46"/>
    <s v="High"/>
    <s v="Repeat"/>
    <s v="Below Avg"/>
    <s v="Loss"/>
    <n v="227"/>
  </r>
  <r>
    <n v="77"/>
    <d v="2024-03-17T00:00:00"/>
    <n v="1018"/>
    <s v="Customer_102"/>
    <x v="0"/>
    <x v="1"/>
    <s v="Furniture"/>
    <s v="Product_C"/>
    <n v="604"/>
    <n v="5"/>
    <n v="0.17"/>
    <n v="213"/>
    <s v="COD"/>
    <n v="2506.6"/>
    <s v="Mar"/>
    <n v="2024"/>
    <s v="Q1"/>
    <n v="8.497566424638954E-2"/>
    <n v="513.40000000000009"/>
    <s v="Medium"/>
    <s v="Repeat"/>
    <s v="Below Avg"/>
    <s v="Profit"/>
    <n v="411"/>
  </r>
  <r>
    <n v="78"/>
    <d v="2024-03-18T00:00:00"/>
    <n v="1081"/>
    <s v="Customer_180"/>
    <x v="0"/>
    <x v="3"/>
    <s v="Clothing"/>
    <s v="Product_D"/>
    <n v="3795"/>
    <n v="4"/>
    <n v="0.24"/>
    <n v="842"/>
    <s v="UPI"/>
    <n v="11536.8"/>
    <s v="Mar"/>
    <n v="2024"/>
    <s v="Q1"/>
    <n v="7.2983843006726307E-2"/>
    <n v="3643.2"/>
    <s v="High"/>
    <s v="Repeat"/>
    <s v="Above Avg"/>
    <s v="Profit"/>
    <n v="181"/>
  </r>
  <r>
    <n v="79"/>
    <d v="2024-03-19T00:00:00"/>
    <n v="1001"/>
    <s v="Customer_192"/>
    <x v="0"/>
    <x v="2"/>
    <s v="Clothing"/>
    <s v="Product_A"/>
    <n v="4704"/>
    <n v="2"/>
    <n v="0.05"/>
    <n v="-31"/>
    <s v="Card"/>
    <n v="8937.6"/>
    <s v="Mar"/>
    <n v="2024"/>
    <s v="Q1"/>
    <n v="-3.4684926602219835E-3"/>
    <n v="470.40000000000003"/>
    <s v="High"/>
    <s v="Repeat"/>
    <s v="Below Avg"/>
    <s v="Loss"/>
    <n v="233"/>
  </r>
  <r>
    <n v="80"/>
    <d v="2024-03-20T00:00:00"/>
    <n v="1051"/>
    <s v="Customer_142"/>
    <x v="1"/>
    <x v="1"/>
    <s v="Clothing"/>
    <s v="Product_A"/>
    <n v="1428"/>
    <n v="4"/>
    <n v="0.11"/>
    <n v="361"/>
    <s v="UPI"/>
    <n v="5083.68"/>
    <s v="Mar"/>
    <n v="2024"/>
    <s v="Q1"/>
    <n v="7.10115506876908E-2"/>
    <n v="628.32000000000005"/>
    <s v="High"/>
    <s v="Repeat"/>
    <s v="Below Avg"/>
    <s v="Profit"/>
    <n v="320"/>
  </r>
  <r>
    <n v="81"/>
    <d v="2024-03-21T00:00:00"/>
    <n v="1044"/>
    <s v="Customer_101"/>
    <x v="1"/>
    <x v="1"/>
    <s v="Furniture"/>
    <s v="Product_A"/>
    <n v="783"/>
    <n v="6"/>
    <n v="0.25"/>
    <n v="-54"/>
    <s v="COD"/>
    <n v="3523.5"/>
    <s v="Mar"/>
    <n v="2024"/>
    <s v="Q1"/>
    <n v="-1.532567049808429E-2"/>
    <n v="1174.5"/>
    <s v="Medium"/>
    <s v="Repeat"/>
    <s v="Below Avg"/>
    <s v="Loss"/>
    <n v="376"/>
  </r>
  <r>
    <n v="82"/>
    <d v="2024-03-22T00:00:00"/>
    <n v="1048"/>
    <s v="Customer_175"/>
    <x v="0"/>
    <x v="0"/>
    <s v="Electronics"/>
    <s v="Product_A"/>
    <n v="222"/>
    <n v="6"/>
    <n v="0.16"/>
    <n v="9"/>
    <s v="UPI"/>
    <n v="1118.8799999999901"/>
    <s v="Mar"/>
    <n v="2024"/>
    <s v="Q1"/>
    <n v="8.043758043758115E-3"/>
    <n v="213.12"/>
    <s v="Low"/>
    <s v="Repeat"/>
    <s v="Below Avg"/>
    <s v="Profit"/>
    <n v="474"/>
  </r>
  <r>
    <n v="83"/>
    <d v="2024-03-23T00:00:00"/>
    <n v="1056"/>
    <s v="Customer_7"/>
    <x v="1"/>
    <x v="2"/>
    <s v="Clothing"/>
    <s v="Product_A"/>
    <n v="1447"/>
    <n v="8"/>
    <n v="0.05"/>
    <n v="1686"/>
    <s v="UPI"/>
    <n v="10997.199999999901"/>
    <s v="Mar"/>
    <n v="2024"/>
    <s v="Q1"/>
    <n v="0.15331175208234962"/>
    <n v="578.80000000000007"/>
    <s v="High"/>
    <s v="Repeat"/>
    <s v="Above Avg"/>
    <s v="Profit"/>
    <n v="191"/>
  </r>
  <r>
    <n v="84"/>
    <d v="2024-03-24T00:00:00"/>
    <n v="1091"/>
    <s v="Customer_76"/>
    <x v="1"/>
    <x v="1"/>
    <s v="Electronics"/>
    <s v="Product_C"/>
    <n v="4171"/>
    <n v="6"/>
    <n v="0.26"/>
    <n v="1941"/>
    <s v="UPI"/>
    <n v="18519.2399999999"/>
    <s v="Mar"/>
    <n v="2024"/>
    <s v="Q1"/>
    <n v="0.10480991660564962"/>
    <n v="6506.76"/>
    <s v="High"/>
    <s v="Repeat"/>
    <s v="Above Avg"/>
    <s v="Profit"/>
    <n v="86"/>
  </r>
  <r>
    <n v="85"/>
    <d v="2024-03-25T00:00:00"/>
    <n v="1049"/>
    <s v="Customer_156"/>
    <x v="1"/>
    <x v="3"/>
    <s v="Clothing"/>
    <s v="Product_D"/>
    <n v="2001"/>
    <n v="5"/>
    <n v="0.28000000000000003"/>
    <n v="832"/>
    <s v="UPI"/>
    <n v="7203.5999999999904"/>
    <s v="Mar"/>
    <n v="2024"/>
    <s v="Q1"/>
    <n v="0.1154978066522296"/>
    <n v="2801.4"/>
    <s v="High"/>
    <s v="Repeat"/>
    <s v="Below Avg"/>
    <s v="Profit"/>
    <n v="271"/>
  </r>
  <r>
    <n v="86"/>
    <d v="2024-03-26T00:00:00"/>
    <n v="1086"/>
    <s v="Customer_131"/>
    <x v="0"/>
    <x v="0"/>
    <s v="Electronics"/>
    <s v="Product_C"/>
    <n v="1745"/>
    <n v="7"/>
    <n v="0.22"/>
    <n v="1411"/>
    <s v="UPI"/>
    <n v="9527.7000000000007"/>
    <s v="Mar"/>
    <n v="2024"/>
    <s v="Q1"/>
    <n v="0.14809450339536298"/>
    <n v="2687.3"/>
    <s v="High"/>
    <s v="Repeat"/>
    <s v="Below Avg"/>
    <s v="Profit"/>
    <n v="215"/>
  </r>
  <r>
    <n v="87"/>
    <d v="2024-03-27T00:00:00"/>
    <n v="1003"/>
    <s v="Customer_150"/>
    <x v="1"/>
    <x v="0"/>
    <s v="Electronics"/>
    <s v="Product_D"/>
    <n v="2969"/>
    <n v="3"/>
    <n v="0.28999999999999998"/>
    <n v="735"/>
    <s v="UPI"/>
    <n v="6323.9699999999903"/>
    <s v="Mar"/>
    <n v="2024"/>
    <s v="Q1"/>
    <n v="0.11622446026783827"/>
    <n v="2583.0299999999997"/>
    <s v="High"/>
    <s v="Repeat"/>
    <s v="Below Avg"/>
    <s v="Profit"/>
    <n v="288"/>
  </r>
  <r>
    <n v="88"/>
    <d v="2024-03-28T00:00:00"/>
    <n v="1067"/>
    <s v="Customer_85"/>
    <x v="1"/>
    <x v="0"/>
    <s v="Clothing"/>
    <s v="Product_A"/>
    <n v="1478"/>
    <n v="4"/>
    <n v="0.28000000000000003"/>
    <n v="-370"/>
    <s v="COD"/>
    <n v="4256.6399999999903"/>
    <s v="Mar"/>
    <n v="2024"/>
    <s v="Q1"/>
    <n v="-8.6923019094873155E-2"/>
    <n v="1655.3600000000001"/>
    <s v="Medium"/>
    <s v="Repeat"/>
    <s v="Below Avg"/>
    <s v="Loss"/>
    <n v="343"/>
  </r>
  <r>
    <n v="89"/>
    <d v="2024-03-29T00:00:00"/>
    <n v="1011"/>
    <s v="Customer_191"/>
    <x v="1"/>
    <x v="0"/>
    <s v="Electronics"/>
    <s v="Product_B"/>
    <n v="2972"/>
    <n v="6"/>
    <n v="0.04"/>
    <n v="64"/>
    <s v="UPI"/>
    <n v="17118.72"/>
    <s v="Mar"/>
    <n v="2024"/>
    <s v="Q1"/>
    <n v="3.7385972783011813E-3"/>
    <n v="713.28"/>
    <s v="High"/>
    <s v="Repeat"/>
    <s v="Above Avg"/>
    <s v="Profit"/>
    <n v="104"/>
  </r>
  <r>
    <n v="90"/>
    <d v="2024-03-30T00:00:00"/>
    <n v="1021"/>
    <s v="Customer_29"/>
    <x v="0"/>
    <x v="1"/>
    <s v="Furniture"/>
    <s v="Product_B"/>
    <n v="1596"/>
    <n v="9"/>
    <n v="0.12"/>
    <n v="1887"/>
    <s v="UPI"/>
    <n v="12640.32"/>
    <s v="Mar"/>
    <n v="2024"/>
    <s v="Q1"/>
    <n v="0.14928419533682691"/>
    <n v="1723.6799999999998"/>
    <s v="High"/>
    <s v="Repeat"/>
    <s v="Above Avg"/>
    <s v="Profit"/>
    <n v="161"/>
  </r>
  <r>
    <n v="91"/>
    <d v="2024-03-31T00:00:00"/>
    <n v="1089"/>
    <s v="Customer_148"/>
    <x v="1"/>
    <x v="3"/>
    <s v="Electronics"/>
    <s v="Product_B"/>
    <n v="775"/>
    <n v="6"/>
    <n v="0.18"/>
    <n v="1459"/>
    <s v="UPI"/>
    <n v="3813"/>
    <s v="Mar"/>
    <n v="2024"/>
    <s v="Q1"/>
    <n v="0.38263834251245737"/>
    <n v="837"/>
    <s v="Medium"/>
    <s v="Repeat"/>
    <s v="Below Avg"/>
    <s v="Profit"/>
    <n v="364"/>
  </r>
  <r>
    <n v="92"/>
    <d v="2024-04-01T00:00:00"/>
    <n v="1098"/>
    <s v="Customer_67"/>
    <x v="1"/>
    <x v="0"/>
    <s v="Furniture"/>
    <s v="Product_D"/>
    <n v="2608"/>
    <n v="4"/>
    <n v="0.22"/>
    <n v="1774"/>
    <s v="UPI"/>
    <n v="8136.96"/>
    <s v="Apr"/>
    <n v="2024"/>
    <s v="Q2"/>
    <n v="0.21801753971999371"/>
    <n v="2295.04"/>
    <s v="High"/>
    <s v="Repeat"/>
    <s v="Below Avg"/>
    <s v="Profit"/>
    <n v="246"/>
  </r>
  <r>
    <n v="93"/>
    <d v="2024-04-02T00:00:00"/>
    <n v="1003"/>
    <s v="Customer_105"/>
    <x v="1"/>
    <x v="3"/>
    <s v="Electronics"/>
    <s v="Product_D"/>
    <n v="2396"/>
    <n v="8"/>
    <n v="0.16"/>
    <n v="943"/>
    <s v="Card"/>
    <n v="16101.119999999901"/>
    <s v="Apr"/>
    <n v="2024"/>
    <s v="Q2"/>
    <n v="5.8567354320693578E-2"/>
    <n v="3066.88"/>
    <s v="High"/>
    <s v="Repeat"/>
    <s v="Above Avg"/>
    <s v="Profit"/>
    <n v="126"/>
  </r>
  <r>
    <n v="94"/>
    <d v="2024-04-03T00:00:00"/>
    <n v="1011"/>
    <s v="Customer_161"/>
    <x v="0"/>
    <x v="1"/>
    <s v="Furniture"/>
    <s v="Product_C"/>
    <n v="662"/>
    <n v="5"/>
    <n v="0.19"/>
    <n v="-45"/>
    <s v="COD"/>
    <n v="2681.1"/>
    <s v="Apr"/>
    <n v="2024"/>
    <s v="Q2"/>
    <n v="-1.6784155756965426E-2"/>
    <n v="628.9"/>
    <s v="Medium"/>
    <s v="Repeat"/>
    <s v="Below Avg"/>
    <s v="Loss"/>
    <n v="403"/>
  </r>
  <r>
    <n v="95"/>
    <d v="2024-04-04T00:00:00"/>
    <n v="1003"/>
    <s v="Customer_94"/>
    <x v="0"/>
    <x v="2"/>
    <s v="Clothing"/>
    <s v="Product_C"/>
    <n v="4372"/>
    <n v="5"/>
    <n v="0.04"/>
    <n v="1771"/>
    <s v="UPI"/>
    <n v="20985.599999999999"/>
    <s v="Apr"/>
    <n v="2024"/>
    <s v="Q2"/>
    <n v="8.4391201585849354E-2"/>
    <n v="874.4"/>
    <s v="High"/>
    <s v="Repeat"/>
    <s v="Above Avg"/>
    <s v="Profit"/>
    <n v="77"/>
  </r>
  <r>
    <n v="96"/>
    <d v="2024-04-05T00:00:00"/>
    <n v="1094"/>
    <s v="Customer_48"/>
    <x v="0"/>
    <x v="3"/>
    <s v="Furniture"/>
    <s v="Product_D"/>
    <n v="301"/>
    <n v="8"/>
    <n v="0.12"/>
    <n v="1297"/>
    <s v="UPI"/>
    <n v="2119.04"/>
    <s v="Apr"/>
    <n v="2024"/>
    <s v="Q2"/>
    <n v="0.61206961643008151"/>
    <n v="288.95999999999998"/>
    <s v="Medium"/>
    <s v="Repeat"/>
    <s v="Below Avg"/>
    <s v="Profit"/>
    <n v="421"/>
  </r>
  <r>
    <n v="97"/>
    <d v="2024-04-06T00:00:00"/>
    <n v="1006"/>
    <s v="Customer_103"/>
    <x v="1"/>
    <x v="1"/>
    <s v="Furniture"/>
    <s v="Product_A"/>
    <n v="4572"/>
    <n v="9"/>
    <n v="0"/>
    <n v="519"/>
    <s v="UPI"/>
    <n v="41148"/>
    <s v="Apr"/>
    <n v="2024"/>
    <s v="Q2"/>
    <n v="1.2613006707494897E-2"/>
    <n v="0"/>
    <s v="High"/>
    <s v="Repeat"/>
    <s v="Above Avg"/>
    <s v="Profit"/>
    <n v="1"/>
  </r>
  <r>
    <n v="98"/>
    <d v="2024-04-07T00:00:00"/>
    <n v="1009"/>
    <s v="Customer_41"/>
    <x v="0"/>
    <x v="0"/>
    <s v="Electronics"/>
    <s v="Product_A"/>
    <n v="3094"/>
    <n v="4"/>
    <n v="0.2"/>
    <n v="236"/>
    <s v="Card"/>
    <n v="9900.7999999999993"/>
    <s v="Apr"/>
    <n v="2024"/>
    <s v="Q2"/>
    <n v="2.3836457659987074E-2"/>
    <n v="2475.2000000000003"/>
    <s v="High"/>
    <s v="Repeat"/>
    <s v="Below Avg"/>
    <s v="Profit"/>
    <n v="203"/>
  </r>
  <r>
    <n v="99"/>
    <d v="2024-04-08T00:00:00"/>
    <n v="1087"/>
    <s v="Customer_123"/>
    <x v="0"/>
    <x v="2"/>
    <s v="Electronics"/>
    <s v="Product_A"/>
    <n v="4656"/>
    <n v="8"/>
    <n v="0.05"/>
    <n v="115"/>
    <s v="Card"/>
    <n v="35385.599999999999"/>
    <s v="Apr"/>
    <n v="2024"/>
    <s v="Q2"/>
    <n v="3.2499095677337676E-3"/>
    <n v="1862.4"/>
    <s v="High"/>
    <s v="Repeat"/>
    <s v="Above Avg"/>
    <s v="Profit"/>
    <n v="9"/>
  </r>
  <r>
    <n v="100"/>
    <d v="2024-04-09T00:00:00"/>
    <n v="1014"/>
    <s v="Customer_137"/>
    <x v="1"/>
    <x v="3"/>
    <s v="Clothing"/>
    <s v="Product_B"/>
    <n v="4815"/>
    <n v="8"/>
    <n v="0.12"/>
    <n v="271"/>
    <s v="UPI"/>
    <n v="33897.599999999999"/>
    <s v="Apr"/>
    <n v="2024"/>
    <s v="Q2"/>
    <n v="7.9946662890588126E-3"/>
    <n v="4622.3999999999996"/>
    <s v="High"/>
    <s v="Repeat"/>
    <s v="Above Avg"/>
    <s v="Profit"/>
    <n v="14"/>
  </r>
  <r>
    <n v="101"/>
    <d v="2024-04-10T00:00:00"/>
    <n v="1083"/>
    <s v="Customer_176"/>
    <x v="0"/>
    <x v="0"/>
    <s v="Furniture"/>
    <s v="Product_C"/>
    <n v="4598"/>
    <n v="3"/>
    <n v="0.15"/>
    <n v="93"/>
    <s v="Card"/>
    <n v="11724.9"/>
    <s v="Apr"/>
    <n v="2024"/>
    <s v="Q2"/>
    <n v="7.9318373717473072E-3"/>
    <n v="2069.1"/>
    <s v="High"/>
    <s v="Repeat"/>
    <s v="Above Avg"/>
    <s v="Profit"/>
    <n v="177"/>
  </r>
  <r>
    <n v="102"/>
    <d v="2024-04-11T00:00:00"/>
    <n v="1070"/>
    <s v="Customer_182"/>
    <x v="0"/>
    <x v="1"/>
    <s v="Electronics"/>
    <s v="Product_B"/>
    <n v="4505"/>
    <n v="4"/>
    <n v="0.2"/>
    <n v="-150"/>
    <s v="UPI"/>
    <n v="14416"/>
    <s v="Apr"/>
    <n v="2024"/>
    <s v="Q2"/>
    <n v="-1.0405105438401776E-2"/>
    <n v="3604"/>
    <s v="High"/>
    <s v="Repeat"/>
    <s v="Above Avg"/>
    <s v="Loss"/>
    <n v="144"/>
  </r>
  <r>
    <n v="103"/>
    <d v="2024-04-12T00:00:00"/>
    <n v="1012"/>
    <s v="Customer_23"/>
    <x v="0"/>
    <x v="1"/>
    <s v="Electronics"/>
    <s v="Product_C"/>
    <n v="3765"/>
    <n v="2"/>
    <n v="0.23"/>
    <n v="820"/>
    <s v="COD"/>
    <n v="5798.1"/>
    <s v="Apr"/>
    <n v="2024"/>
    <s v="Q2"/>
    <n v="0.14142563943360756"/>
    <n v="1731.9"/>
    <s v="High"/>
    <s v="Repeat"/>
    <s v="Below Avg"/>
    <s v="Profit"/>
    <n v="301"/>
  </r>
  <r>
    <n v="104"/>
    <d v="2024-04-13T00:00:00"/>
    <n v="1054"/>
    <s v="Customer_193"/>
    <x v="1"/>
    <x v="1"/>
    <s v="Furniture"/>
    <s v="Product_A"/>
    <n v="4195"/>
    <n v="5"/>
    <n v="0.21"/>
    <n v="-479"/>
    <s v="Card"/>
    <n v="16570.25"/>
    <s v="Apr"/>
    <n v="2024"/>
    <s v="Q2"/>
    <n v="-2.8907228315806943E-2"/>
    <n v="4404.75"/>
    <s v="High"/>
    <s v="Repeat"/>
    <s v="Above Avg"/>
    <s v="Loss"/>
    <n v="114"/>
  </r>
  <r>
    <n v="105"/>
    <d v="2024-04-14T00:00:00"/>
    <n v="1027"/>
    <s v="Customer_149"/>
    <x v="1"/>
    <x v="0"/>
    <s v="Furniture"/>
    <s v="Product_A"/>
    <n v="1628"/>
    <n v="6"/>
    <n v="0.17"/>
    <n v="1224"/>
    <s v="Card"/>
    <n v="8107.44"/>
    <s v="Apr"/>
    <n v="2024"/>
    <s v="Q2"/>
    <n v="0.15097244012906663"/>
    <n v="1660.5600000000002"/>
    <s v="High"/>
    <s v="Repeat"/>
    <s v="Below Avg"/>
    <s v="Profit"/>
    <n v="248"/>
  </r>
  <r>
    <n v="106"/>
    <d v="2024-04-15T00:00:00"/>
    <n v="1038"/>
    <s v="Customer_160"/>
    <x v="1"/>
    <x v="3"/>
    <s v="Clothing"/>
    <s v="Product_A"/>
    <n v="759"/>
    <n v="6"/>
    <n v="0.16"/>
    <n v="879"/>
    <s v="UPI"/>
    <n v="3825.3599999999901"/>
    <s v="Apr"/>
    <n v="2024"/>
    <s v="Q2"/>
    <n v="0.22978229499968689"/>
    <n v="728.64"/>
    <s v="Medium"/>
    <s v="Repeat"/>
    <s v="Below Avg"/>
    <s v="Profit"/>
    <n v="363"/>
  </r>
  <r>
    <n v="107"/>
    <d v="2024-04-16T00:00:00"/>
    <n v="1017"/>
    <s v="Customer_109"/>
    <x v="0"/>
    <x v="1"/>
    <s v="Electronics"/>
    <s v="Product_B"/>
    <n v="101"/>
    <n v="2"/>
    <n v="0.26"/>
    <n v="1747"/>
    <s v="COD"/>
    <n v="149.47999999999999"/>
    <s v="Apr"/>
    <n v="2024"/>
    <s v="Q2"/>
    <n v="11.687182231736688"/>
    <n v="52.52"/>
    <s v="Low"/>
    <s v="Repeat"/>
    <s v="Below Avg"/>
    <s v="Profit"/>
    <n v="500"/>
  </r>
  <r>
    <n v="108"/>
    <d v="2024-04-17T00:00:00"/>
    <n v="1061"/>
    <s v="Customer_154"/>
    <x v="1"/>
    <x v="1"/>
    <s v="Furniture"/>
    <s v="Product_A"/>
    <n v="608"/>
    <n v="4"/>
    <n v="0.26"/>
    <n v="1152"/>
    <s v="UPI"/>
    <n v="1799.68"/>
    <s v="Apr"/>
    <n v="2024"/>
    <s v="Q2"/>
    <n v="0.64011379800853485"/>
    <n v="632.32000000000005"/>
    <s v="Low"/>
    <s v="Repeat"/>
    <s v="Below Avg"/>
    <s v="Profit"/>
    <n v="441"/>
  </r>
  <r>
    <n v="109"/>
    <d v="2024-04-18T00:00:00"/>
    <n v="1074"/>
    <s v="Customer_33"/>
    <x v="0"/>
    <x v="2"/>
    <s v="Clothing"/>
    <s v="Product_A"/>
    <n v="239"/>
    <n v="2"/>
    <n v="0.02"/>
    <n v="1292"/>
    <s v="COD"/>
    <n v="468.44"/>
    <s v="Apr"/>
    <n v="2024"/>
    <s v="Q2"/>
    <n v="2.7580906839723336"/>
    <n v="9.56"/>
    <s v="Low"/>
    <s v="Repeat"/>
    <s v="Below Avg"/>
    <s v="Profit"/>
    <n v="492"/>
  </r>
  <r>
    <n v="110"/>
    <d v="2024-04-19T00:00:00"/>
    <n v="1099"/>
    <s v="Customer_188"/>
    <x v="1"/>
    <x v="3"/>
    <s v="Furniture"/>
    <s v="Product_B"/>
    <n v="3354"/>
    <n v="5"/>
    <n v="0.08"/>
    <n v="556"/>
    <s v="Card"/>
    <n v="15428.4"/>
    <s v="Apr"/>
    <n v="2024"/>
    <s v="Q2"/>
    <n v="3.603743745300874E-2"/>
    <n v="1341.6000000000001"/>
    <s v="High"/>
    <s v="Repeat"/>
    <s v="Above Avg"/>
    <s v="Profit"/>
    <n v="136"/>
  </r>
  <r>
    <n v="111"/>
    <d v="2024-04-20T00:00:00"/>
    <n v="1099"/>
    <s v="Customer_137"/>
    <x v="1"/>
    <x v="1"/>
    <s v="Furniture"/>
    <s v="Product_A"/>
    <n v="3754"/>
    <n v="2"/>
    <n v="0.28000000000000003"/>
    <n v="853"/>
    <s v="Card"/>
    <n v="5405.76"/>
    <s v="Apr"/>
    <n v="2024"/>
    <s v="Q2"/>
    <n v="0.15779464867104717"/>
    <n v="2102.2400000000002"/>
    <s v="High"/>
    <s v="Repeat"/>
    <s v="Below Avg"/>
    <s v="Profit"/>
    <n v="312"/>
  </r>
  <r>
    <n v="112"/>
    <d v="2024-04-21T00:00:00"/>
    <n v="1065"/>
    <s v="Customer_81"/>
    <x v="0"/>
    <x v="3"/>
    <s v="Clothing"/>
    <s v="Product_A"/>
    <n v="1685"/>
    <n v="9"/>
    <n v="0.18"/>
    <n v="1489"/>
    <s v="COD"/>
    <n v="12435.3"/>
    <s v="Apr"/>
    <n v="2024"/>
    <s v="Q2"/>
    <n v="0.11973977306538645"/>
    <n v="2729.7"/>
    <s v="High"/>
    <s v="Repeat"/>
    <s v="Above Avg"/>
    <s v="Profit"/>
    <n v="163"/>
  </r>
  <r>
    <n v="113"/>
    <d v="2024-04-22T00:00:00"/>
    <n v="1047"/>
    <s v="Customer_70"/>
    <x v="1"/>
    <x v="1"/>
    <s v="Furniture"/>
    <s v="Product_B"/>
    <n v="4837"/>
    <n v="1"/>
    <n v="0.04"/>
    <n v="216"/>
    <s v="Card"/>
    <n v="4643.5199999999904"/>
    <s v="Apr"/>
    <n v="2024"/>
    <s v="Q2"/>
    <n v="4.6516435807318679E-2"/>
    <n v="193.48000000000002"/>
    <s v="Medium"/>
    <s v="Repeat"/>
    <s v="Below Avg"/>
    <s v="Profit"/>
    <n v="334"/>
  </r>
  <r>
    <n v="114"/>
    <d v="2024-04-23T00:00:00"/>
    <n v="1016"/>
    <s v="Customer_174"/>
    <x v="1"/>
    <x v="0"/>
    <s v="Electronics"/>
    <s v="Product_D"/>
    <n v="327"/>
    <n v="6"/>
    <n v="0.02"/>
    <n v="-476"/>
    <s v="UPI"/>
    <n v="1922.76"/>
    <s v="Apr"/>
    <n v="2024"/>
    <s v="Q2"/>
    <n v="-0.24756079801951361"/>
    <n v="39.24"/>
    <s v="Low"/>
    <s v="Repeat"/>
    <s v="Below Avg"/>
    <s v="Loss"/>
    <n v="435"/>
  </r>
  <r>
    <n v="115"/>
    <d v="2024-04-24T00:00:00"/>
    <n v="1005"/>
    <s v="Customer_7"/>
    <x v="1"/>
    <x v="1"/>
    <s v="Clothing"/>
    <s v="Product_C"/>
    <n v="2697"/>
    <n v="9"/>
    <n v="0.03"/>
    <n v="196"/>
    <s v="Card"/>
    <n v="23544.809999999899"/>
    <s v="Apr"/>
    <n v="2024"/>
    <s v="Q2"/>
    <n v="8.324552204923329E-3"/>
    <n v="728.18999999999994"/>
    <s v="High"/>
    <s v="Repeat"/>
    <s v="Above Avg"/>
    <s v="Profit"/>
    <n v="56"/>
  </r>
  <r>
    <n v="116"/>
    <d v="2024-04-25T00:00:00"/>
    <n v="1086"/>
    <s v="Customer_128"/>
    <x v="0"/>
    <x v="2"/>
    <s v="Clothing"/>
    <s v="Product_A"/>
    <n v="2905"/>
    <n v="3"/>
    <n v="0.23"/>
    <n v="1412"/>
    <s v="Card"/>
    <n v="6710.55"/>
    <s v="Apr"/>
    <n v="2024"/>
    <s v="Q2"/>
    <n v="0.21041494363353228"/>
    <n v="2004.45"/>
    <s v="High"/>
    <s v="Repeat"/>
    <s v="Below Avg"/>
    <s v="Profit"/>
    <n v="283"/>
  </r>
  <r>
    <n v="117"/>
    <d v="2024-04-26T00:00:00"/>
    <n v="1046"/>
    <s v="Customer_7"/>
    <x v="1"/>
    <x v="1"/>
    <s v="Furniture"/>
    <s v="Product_A"/>
    <n v="4460"/>
    <n v="9"/>
    <n v="7.0000000000000007E-2"/>
    <n v="683"/>
    <s v="UPI"/>
    <n v="37330.199999999997"/>
    <s v="Apr"/>
    <n v="2024"/>
    <s v="Q2"/>
    <n v="1.8296178429261029E-2"/>
    <n v="2809.8"/>
    <s v="High"/>
    <s v="Repeat"/>
    <s v="Above Avg"/>
    <s v="Profit"/>
    <n v="6"/>
  </r>
  <r>
    <n v="118"/>
    <d v="2024-04-27T00:00:00"/>
    <n v="1015"/>
    <s v="Customer_121"/>
    <x v="0"/>
    <x v="1"/>
    <s v="Clothing"/>
    <s v="Product_B"/>
    <n v="3646"/>
    <n v="2"/>
    <n v="7.0000000000000007E-2"/>
    <n v="1559"/>
    <s v="COD"/>
    <n v="6781.5599999999904"/>
    <s v="Apr"/>
    <n v="2024"/>
    <s v="Q2"/>
    <n v="0.22988810834085405"/>
    <n v="510.44000000000005"/>
    <s v="High"/>
    <s v="Repeat"/>
    <s v="Below Avg"/>
    <s v="Profit"/>
    <n v="278"/>
  </r>
  <r>
    <n v="119"/>
    <d v="2024-04-28T00:00:00"/>
    <n v="1059"/>
    <s v="Customer_197"/>
    <x v="1"/>
    <x v="2"/>
    <s v="Furniture"/>
    <s v="Product_D"/>
    <n v="3772"/>
    <n v="2"/>
    <n v="0.04"/>
    <n v="189"/>
    <s v="Card"/>
    <n v="7242.24"/>
    <s v="Apr"/>
    <n v="2024"/>
    <s v="Q2"/>
    <n v="2.6096898197242844E-2"/>
    <n v="301.76"/>
    <s v="High"/>
    <s v="Repeat"/>
    <s v="Below Avg"/>
    <s v="Profit"/>
    <n v="270"/>
  </r>
  <r>
    <n v="120"/>
    <d v="2024-04-29T00:00:00"/>
    <n v="1040"/>
    <s v="Customer_161"/>
    <x v="1"/>
    <x v="1"/>
    <s v="Clothing"/>
    <s v="Product_B"/>
    <n v="4990"/>
    <n v="2"/>
    <n v="0.18"/>
    <n v="829"/>
    <s v="UPI"/>
    <n v="8183.6"/>
    <s v="Apr"/>
    <n v="2024"/>
    <s v="Q2"/>
    <n v="0.10130016129820617"/>
    <n v="1796.3999999999999"/>
    <s v="High"/>
    <s v="Repeat"/>
    <s v="Below Avg"/>
    <s v="Profit"/>
    <n v="245"/>
  </r>
  <r>
    <n v="121"/>
    <d v="2024-04-30T00:00:00"/>
    <n v="1025"/>
    <s v="Customer_114"/>
    <x v="1"/>
    <x v="0"/>
    <s v="Clothing"/>
    <s v="Product_D"/>
    <n v="4660"/>
    <n v="3"/>
    <n v="0.15"/>
    <n v="697"/>
    <s v="UPI"/>
    <n v="11883"/>
    <s v="Apr"/>
    <n v="2024"/>
    <s v="Q2"/>
    <n v="5.8655221745350504E-2"/>
    <n v="2097"/>
    <s v="High"/>
    <s v="Repeat"/>
    <s v="Above Avg"/>
    <s v="Profit"/>
    <n v="170"/>
  </r>
  <r>
    <n v="122"/>
    <d v="2024-05-01T00:00:00"/>
    <n v="1045"/>
    <s v="Customer_138"/>
    <x v="1"/>
    <x v="1"/>
    <s v="Furniture"/>
    <s v="Product_B"/>
    <n v="2622"/>
    <n v="4"/>
    <n v="0.08"/>
    <n v="-69"/>
    <s v="COD"/>
    <n v="9648.9599999999991"/>
    <s v="May"/>
    <n v="2024"/>
    <s v="Q2"/>
    <n v="-7.1510297482837533E-3"/>
    <n v="839.04"/>
    <s v="High"/>
    <s v="Repeat"/>
    <s v="Below Avg"/>
    <s v="Loss"/>
    <n v="210"/>
  </r>
  <r>
    <n v="123"/>
    <d v="2024-05-02T00:00:00"/>
    <n v="1049"/>
    <s v="Customer_104"/>
    <x v="0"/>
    <x v="2"/>
    <s v="Furniture"/>
    <s v="Product_B"/>
    <n v="438"/>
    <n v="3"/>
    <n v="0.2"/>
    <n v="1254"/>
    <s v="UPI"/>
    <n v="1051.2"/>
    <s v="May"/>
    <n v="2024"/>
    <s v="Q2"/>
    <n v="1.1929223744292237"/>
    <n v="262.8"/>
    <s v="Low"/>
    <s v="Repeat"/>
    <s v="Below Avg"/>
    <s v="Profit"/>
    <n v="478"/>
  </r>
  <r>
    <n v="124"/>
    <d v="2024-05-03T00:00:00"/>
    <n v="1000"/>
    <s v="Customer_28"/>
    <x v="0"/>
    <x v="1"/>
    <s v="Clothing"/>
    <s v="Product_D"/>
    <n v="918"/>
    <n v="6"/>
    <n v="0.23"/>
    <n v="-299"/>
    <s v="UPI"/>
    <n v="4241.16"/>
    <s v="May"/>
    <n v="2024"/>
    <s v="Q2"/>
    <n v="-7.0499580303501869E-2"/>
    <n v="1266.8400000000001"/>
    <s v="Medium"/>
    <s v="Repeat"/>
    <s v="Below Avg"/>
    <s v="Loss"/>
    <n v="344"/>
  </r>
  <r>
    <n v="125"/>
    <d v="2024-05-04T00:00:00"/>
    <n v="1035"/>
    <s v="Customer_175"/>
    <x v="1"/>
    <x v="2"/>
    <s v="Furniture"/>
    <s v="Product_D"/>
    <n v="2666"/>
    <n v="6"/>
    <n v="0.28999999999999998"/>
    <n v="1830"/>
    <s v="Card"/>
    <n v="11357.16"/>
    <s v="May"/>
    <n v="2024"/>
    <s v="Q2"/>
    <n v="0.16113183225383812"/>
    <n v="4638.8399999999992"/>
    <s v="High"/>
    <s v="Repeat"/>
    <s v="Above Avg"/>
    <s v="Profit"/>
    <n v="184"/>
  </r>
  <r>
    <n v="126"/>
    <d v="2024-05-05T00:00:00"/>
    <n v="1029"/>
    <s v="Customer_46"/>
    <x v="0"/>
    <x v="3"/>
    <s v="Electronics"/>
    <s v="Product_C"/>
    <n v="3817"/>
    <n v="5"/>
    <n v="0.14000000000000001"/>
    <n v="381"/>
    <s v="COD"/>
    <n v="16413.099999999999"/>
    <s v="May"/>
    <n v="2024"/>
    <s v="Q2"/>
    <n v="2.3213165093736103E-2"/>
    <n v="2671.9"/>
    <s v="High"/>
    <s v="Repeat"/>
    <s v="Above Avg"/>
    <s v="Profit"/>
    <n v="117"/>
  </r>
  <r>
    <n v="127"/>
    <d v="2024-05-06T00:00:00"/>
    <n v="1001"/>
    <s v="Customer_22"/>
    <x v="0"/>
    <x v="2"/>
    <s v="Furniture"/>
    <s v="Product_B"/>
    <n v="3162"/>
    <n v="2"/>
    <n v="0.12"/>
    <n v="1730"/>
    <s v="UPI"/>
    <n v="5565.12"/>
    <s v="May"/>
    <n v="2024"/>
    <s v="Q2"/>
    <n v="0.31086481513426484"/>
    <n v="758.88"/>
    <s v="High"/>
    <s v="Repeat"/>
    <s v="Below Avg"/>
    <s v="Profit"/>
    <n v="306"/>
  </r>
  <r>
    <n v="128"/>
    <d v="2024-05-07T00:00:00"/>
    <n v="1083"/>
    <s v="Customer_21"/>
    <x v="1"/>
    <x v="2"/>
    <s v="Furniture"/>
    <s v="Product_A"/>
    <n v="1353"/>
    <n v="4"/>
    <n v="0.09"/>
    <n v="558"/>
    <s v="Card"/>
    <n v="4924.92"/>
    <s v="May"/>
    <n v="2024"/>
    <s v="Q2"/>
    <n v="0.11330133281352793"/>
    <n v="487.08"/>
    <s v="Medium"/>
    <s v="Repeat"/>
    <s v="Below Avg"/>
    <s v="Profit"/>
    <n v="325"/>
  </r>
  <r>
    <n v="129"/>
    <d v="2024-05-08T00:00:00"/>
    <n v="1068"/>
    <s v="Customer_111"/>
    <x v="0"/>
    <x v="0"/>
    <s v="Electronics"/>
    <s v="Product_A"/>
    <n v="3250"/>
    <n v="7"/>
    <n v="0.24"/>
    <n v="170"/>
    <s v="COD"/>
    <n v="17290"/>
    <s v="May"/>
    <n v="2024"/>
    <s v="Q2"/>
    <n v="9.8322729901677269E-3"/>
    <n v="5460"/>
    <s v="High"/>
    <s v="Repeat"/>
    <s v="Above Avg"/>
    <s v="Profit"/>
    <n v="103"/>
  </r>
  <r>
    <n v="130"/>
    <d v="2024-05-09T00:00:00"/>
    <n v="1030"/>
    <s v="Customer_184"/>
    <x v="1"/>
    <x v="1"/>
    <s v="Furniture"/>
    <s v="Product_D"/>
    <n v="2350"/>
    <n v="8"/>
    <n v="0.28999999999999998"/>
    <n v="188"/>
    <s v="Card"/>
    <n v="13348"/>
    <s v="May"/>
    <n v="2024"/>
    <s v="Q2"/>
    <n v="1.4084507042253521E-2"/>
    <n v="5452"/>
    <s v="High"/>
    <s v="Repeat"/>
    <s v="Above Avg"/>
    <s v="Profit"/>
    <n v="155"/>
  </r>
  <r>
    <n v="131"/>
    <d v="2024-05-10T00:00:00"/>
    <n v="1007"/>
    <s v="Customer_32"/>
    <x v="0"/>
    <x v="0"/>
    <s v="Electronics"/>
    <s v="Product_C"/>
    <n v="4420"/>
    <n v="9"/>
    <n v="0.18"/>
    <n v="-333"/>
    <s v="UPI"/>
    <n v="32619.599999999999"/>
    <s v="May"/>
    <n v="2024"/>
    <s v="Q2"/>
    <n v="-1.0208586248758415E-2"/>
    <n v="7160.4"/>
    <s v="High"/>
    <s v="Repeat"/>
    <s v="Above Avg"/>
    <s v="Loss"/>
    <n v="18"/>
  </r>
  <r>
    <n v="132"/>
    <d v="2024-05-11T00:00:00"/>
    <n v="1093"/>
    <s v="Customer_160"/>
    <x v="0"/>
    <x v="3"/>
    <s v="Furniture"/>
    <s v="Product_B"/>
    <n v="3715"/>
    <n v="2"/>
    <n v="0.19"/>
    <n v="931"/>
    <s v="COD"/>
    <n v="6018.3"/>
    <s v="May"/>
    <n v="2024"/>
    <s v="Q2"/>
    <n v="0.15469484738215111"/>
    <n v="1411.7"/>
    <s v="High"/>
    <s v="Repeat"/>
    <s v="Below Avg"/>
    <s v="Profit"/>
    <n v="296"/>
  </r>
  <r>
    <n v="133"/>
    <d v="2024-05-12T00:00:00"/>
    <n v="1060"/>
    <s v="Customer_115"/>
    <x v="1"/>
    <x v="1"/>
    <s v="Clothing"/>
    <s v="Product_C"/>
    <n v="1879"/>
    <n v="9"/>
    <n v="0.21"/>
    <n v="738"/>
    <s v="UPI"/>
    <n v="13359.69"/>
    <s v="May"/>
    <n v="2024"/>
    <s v="Q2"/>
    <n v="5.5240802743177421E-2"/>
    <n v="3551.31"/>
    <s v="High"/>
    <s v="Repeat"/>
    <s v="Above Avg"/>
    <s v="Profit"/>
    <n v="154"/>
  </r>
  <r>
    <n v="134"/>
    <d v="2024-05-13T00:00:00"/>
    <n v="1065"/>
    <s v="Customer_164"/>
    <x v="0"/>
    <x v="0"/>
    <s v="Electronics"/>
    <s v="Product_D"/>
    <n v="1391"/>
    <n v="7"/>
    <n v="0.13"/>
    <n v="1496"/>
    <s v="COD"/>
    <n v="8471.19"/>
    <s v="May"/>
    <n v="2024"/>
    <s v="Q2"/>
    <n v="0.17659856525470446"/>
    <n v="1265.81"/>
    <s v="High"/>
    <s v="Repeat"/>
    <s v="Below Avg"/>
    <s v="Profit"/>
    <n v="239"/>
  </r>
  <r>
    <n v="135"/>
    <d v="2024-05-14T00:00:00"/>
    <n v="1076"/>
    <s v="Customer_159"/>
    <x v="0"/>
    <x v="1"/>
    <s v="Furniture"/>
    <s v="Product_D"/>
    <n v="778"/>
    <n v="7"/>
    <n v="7.0000000000000007E-2"/>
    <n v="1345"/>
    <s v="UPI"/>
    <n v="5064.78"/>
    <s v="May"/>
    <n v="2024"/>
    <s v="Q2"/>
    <n v="0.26555941225482649"/>
    <n v="381.22"/>
    <s v="High"/>
    <s v="Repeat"/>
    <s v="Below Avg"/>
    <s v="Profit"/>
    <n v="321"/>
  </r>
  <r>
    <n v="136"/>
    <d v="2024-05-15T00:00:00"/>
    <n v="1067"/>
    <s v="Customer_70"/>
    <x v="0"/>
    <x v="1"/>
    <s v="Electronics"/>
    <s v="Product_D"/>
    <n v="2652"/>
    <n v="1"/>
    <n v="0.08"/>
    <n v="-241"/>
    <s v="Card"/>
    <n v="2439.84"/>
    <s v="May"/>
    <n v="2024"/>
    <s v="Q2"/>
    <n v="-9.8776968981572552E-2"/>
    <n v="212.16"/>
    <s v="Medium"/>
    <s v="Repeat"/>
    <s v="Below Avg"/>
    <s v="Loss"/>
    <n v="412"/>
  </r>
  <r>
    <n v="137"/>
    <d v="2024-05-16T00:00:00"/>
    <n v="1044"/>
    <s v="Customer_54"/>
    <x v="1"/>
    <x v="1"/>
    <s v="Clothing"/>
    <s v="Product_C"/>
    <n v="3324"/>
    <n v="8"/>
    <n v="0.19"/>
    <n v="1450"/>
    <s v="UPI"/>
    <n v="21539.52"/>
    <s v="May"/>
    <n v="2024"/>
    <s v="Q2"/>
    <n v="6.731812036665627E-2"/>
    <n v="5052.4800000000005"/>
    <s v="High"/>
    <s v="Repeat"/>
    <s v="Above Avg"/>
    <s v="Profit"/>
    <n v="71"/>
  </r>
  <r>
    <n v="138"/>
    <d v="2024-05-17T00:00:00"/>
    <n v="1051"/>
    <s v="Customer_21"/>
    <x v="1"/>
    <x v="0"/>
    <s v="Electronics"/>
    <s v="Product_A"/>
    <n v="314"/>
    <n v="3"/>
    <n v="0.19"/>
    <n v="1084"/>
    <s v="COD"/>
    <n v="763.02"/>
    <s v="May"/>
    <n v="2024"/>
    <s v="Q2"/>
    <n v="1.4206704935650443"/>
    <n v="178.98"/>
    <s v="Low"/>
    <s v="Repeat"/>
    <s v="Below Avg"/>
    <s v="Profit"/>
    <n v="482"/>
  </r>
  <r>
    <n v="139"/>
    <d v="2024-05-18T00:00:00"/>
    <n v="1007"/>
    <s v="Customer_35"/>
    <x v="0"/>
    <x v="1"/>
    <s v="Clothing"/>
    <s v="Product_A"/>
    <n v="1085"/>
    <n v="4"/>
    <n v="0.14000000000000001"/>
    <n v="1745"/>
    <s v="Card"/>
    <n v="3732.4"/>
    <s v="May"/>
    <n v="2024"/>
    <s v="Q2"/>
    <n v="0.46752759618476047"/>
    <n v="607.6"/>
    <s v="Medium"/>
    <s v="Repeat"/>
    <s v="Below Avg"/>
    <s v="Profit"/>
    <n v="366"/>
  </r>
  <r>
    <n v="140"/>
    <d v="2024-05-19T00:00:00"/>
    <n v="1088"/>
    <s v="Customer_23"/>
    <x v="1"/>
    <x v="3"/>
    <s v="Furniture"/>
    <s v="Product_A"/>
    <n v="3383"/>
    <n v="4"/>
    <n v="0.01"/>
    <n v="1826"/>
    <s v="COD"/>
    <n v="13396.68"/>
    <s v="May"/>
    <n v="2024"/>
    <s v="Q2"/>
    <n v="0.13630242716852234"/>
    <n v="135.32"/>
    <s v="High"/>
    <s v="Repeat"/>
    <s v="Above Avg"/>
    <s v="Profit"/>
    <n v="153"/>
  </r>
  <r>
    <n v="141"/>
    <d v="2024-05-20T00:00:00"/>
    <n v="1070"/>
    <s v="Customer_170"/>
    <x v="0"/>
    <x v="0"/>
    <s v="Clothing"/>
    <s v="Product_C"/>
    <n v="4806"/>
    <n v="2"/>
    <n v="0.26"/>
    <n v="126"/>
    <s v="UPI"/>
    <n v="7112.88"/>
    <s v="May"/>
    <n v="2024"/>
    <s v="Q2"/>
    <n v="1.7714343557040185E-2"/>
    <n v="2499.12"/>
    <s v="High"/>
    <s v="Repeat"/>
    <s v="Below Avg"/>
    <s v="Profit"/>
    <n v="273"/>
  </r>
  <r>
    <n v="142"/>
    <d v="2024-05-21T00:00:00"/>
    <n v="1013"/>
    <s v="Customer_24"/>
    <x v="1"/>
    <x v="2"/>
    <s v="Electronics"/>
    <s v="Product_B"/>
    <n v="2445"/>
    <n v="3"/>
    <n v="7.0000000000000007E-2"/>
    <n v="834"/>
    <s v="COD"/>
    <n v="6821.5499999999902"/>
    <s v="May"/>
    <n v="2024"/>
    <s v="Q2"/>
    <n v="0.12225960375574484"/>
    <n v="513.45000000000005"/>
    <s v="High"/>
    <s v="Repeat"/>
    <s v="Below Avg"/>
    <s v="Profit"/>
    <n v="277"/>
  </r>
  <r>
    <n v="143"/>
    <d v="2024-05-22T00:00:00"/>
    <n v="1028"/>
    <s v="Customer_94"/>
    <x v="0"/>
    <x v="3"/>
    <s v="Furniture"/>
    <s v="Product_C"/>
    <n v="4838"/>
    <n v="5"/>
    <n v="0.17"/>
    <n v="-431"/>
    <s v="UPI"/>
    <n v="20077.7"/>
    <s v="May"/>
    <n v="2024"/>
    <s v="Q2"/>
    <n v="-2.1466602250257746E-2"/>
    <n v="4112.3"/>
    <s v="High"/>
    <s v="Repeat"/>
    <s v="Above Avg"/>
    <s v="Loss"/>
    <n v="79"/>
  </r>
  <r>
    <n v="144"/>
    <d v="2024-05-23T00:00:00"/>
    <n v="1063"/>
    <s v="Customer_74"/>
    <x v="0"/>
    <x v="2"/>
    <s v="Furniture"/>
    <s v="Product_A"/>
    <n v="3533"/>
    <n v="3"/>
    <n v="0.22"/>
    <n v="1071"/>
    <s v="UPI"/>
    <n v="8267.2199999999993"/>
    <s v="May"/>
    <n v="2024"/>
    <s v="Q2"/>
    <n v="0.1295477802695465"/>
    <n v="2331.7800000000002"/>
    <s v="High"/>
    <s v="Repeat"/>
    <s v="Below Avg"/>
    <s v="Profit"/>
    <n v="242"/>
  </r>
  <r>
    <n v="145"/>
    <d v="2024-05-24T00:00:00"/>
    <n v="1084"/>
    <s v="Customer_69"/>
    <x v="1"/>
    <x v="2"/>
    <s v="Furniture"/>
    <s v="Product_D"/>
    <n v="3727"/>
    <n v="5"/>
    <n v="0.06"/>
    <n v="1304"/>
    <s v="COD"/>
    <n v="17516.8999999999"/>
    <s v="May"/>
    <n v="2024"/>
    <s v="Q2"/>
    <n v="7.4442395629364069E-2"/>
    <n v="1118.0999999999999"/>
    <s v="High"/>
    <s v="Repeat"/>
    <s v="Above Avg"/>
    <s v="Profit"/>
    <n v="97"/>
  </r>
  <r>
    <n v="146"/>
    <d v="2024-05-25T00:00:00"/>
    <n v="1036"/>
    <s v="Customer_127"/>
    <x v="0"/>
    <x v="3"/>
    <s v="Clothing"/>
    <s v="Product_D"/>
    <n v="3173"/>
    <n v="8"/>
    <n v="0.14000000000000001"/>
    <n v="1176"/>
    <s v="Card"/>
    <n v="21830.2399999999"/>
    <s v="May"/>
    <n v="2024"/>
    <s v="Q2"/>
    <n v="5.3870227720813214E-2"/>
    <n v="3553.76"/>
    <s v="High"/>
    <s v="Repeat"/>
    <s v="Above Avg"/>
    <s v="Profit"/>
    <n v="69"/>
  </r>
  <r>
    <n v="147"/>
    <d v="2024-05-26T00:00:00"/>
    <n v="1096"/>
    <s v="Customer_125"/>
    <x v="0"/>
    <x v="1"/>
    <s v="Furniture"/>
    <s v="Product_A"/>
    <n v="4473"/>
    <n v="8"/>
    <n v="0"/>
    <n v="126"/>
    <s v="Card"/>
    <n v="35784"/>
    <s v="May"/>
    <n v="2024"/>
    <s v="Q2"/>
    <n v="3.5211267605633804E-3"/>
    <n v="0"/>
    <s v="High"/>
    <s v="Repeat"/>
    <s v="Above Avg"/>
    <s v="Profit"/>
    <n v="8"/>
  </r>
  <r>
    <n v="148"/>
    <d v="2024-05-27T00:00:00"/>
    <n v="1040"/>
    <s v="Customer_170"/>
    <x v="0"/>
    <x v="3"/>
    <s v="Clothing"/>
    <s v="Product_B"/>
    <n v="3339"/>
    <n v="3"/>
    <n v="0.01"/>
    <n v="-386"/>
    <s v="Card"/>
    <n v="9916.83"/>
    <s v="May"/>
    <n v="2024"/>
    <s v="Q2"/>
    <n v="-3.8923728651191966E-2"/>
    <n v="100.17"/>
    <s v="High"/>
    <s v="Repeat"/>
    <s v="Below Avg"/>
    <s v="Loss"/>
    <n v="202"/>
  </r>
  <r>
    <n v="149"/>
    <d v="2024-05-28T00:00:00"/>
    <n v="1088"/>
    <s v="Customer_158"/>
    <x v="1"/>
    <x v="0"/>
    <s v="Clothing"/>
    <s v="Product_D"/>
    <n v="1472"/>
    <n v="5"/>
    <n v="0.08"/>
    <n v="788"/>
    <s v="UPI"/>
    <n v="6771.2"/>
    <s v="May"/>
    <n v="2024"/>
    <s v="Q2"/>
    <n v="0.11637523629489603"/>
    <n v="588.80000000000007"/>
    <s v="High"/>
    <s v="Repeat"/>
    <s v="Below Avg"/>
    <s v="Profit"/>
    <n v="279"/>
  </r>
  <r>
    <n v="150"/>
    <d v="2024-05-29T00:00:00"/>
    <n v="1063"/>
    <s v="Customer_199"/>
    <x v="1"/>
    <x v="1"/>
    <s v="Clothing"/>
    <s v="Product_B"/>
    <n v="2138"/>
    <n v="1"/>
    <n v="0.2"/>
    <n v="725"/>
    <s v="Card"/>
    <n v="1710.4"/>
    <s v="May"/>
    <n v="2024"/>
    <s v="Q2"/>
    <n v="0.42387745556594947"/>
    <n v="427.6"/>
    <s v="Low"/>
    <s v="Repeat"/>
    <s v="Below Avg"/>
    <s v="Profit"/>
    <n v="446"/>
  </r>
  <r>
    <n v="151"/>
    <d v="2024-05-30T00:00:00"/>
    <n v="1058"/>
    <s v="Customer_134"/>
    <x v="0"/>
    <x v="1"/>
    <s v="Furniture"/>
    <s v="Product_D"/>
    <n v="4818"/>
    <n v="7"/>
    <n v="0.27"/>
    <n v="841"/>
    <s v="Card"/>
    <n v="24619.98"/>
    <s v="May"/>
    <n v="2024"/>
    <s v="Q2"/>
    <n v="3.4159247895408529E-2"/>
    <n v="9106.02"/>
    <s v="High"/>
    <s v="Repeat"/>
    <s v="Above Avg"/>
    <s v="Profit"/>
    <n v="44"/>
  </r>
  <r>
    <n v="152"/>
    <d v="2024-05-31T00:00:00"/>
    <n v="1077"/>
    <s v="Customer_52"/>
    <x v="0"/>
    <x v="2"/>
    <s v="Electronics"/>
    <s v="Product_A"/>
    <n v="3953"/>
    <n v="3"/>
    <n v="0.13"/>
    <n v="1405"/>
    <s v="COD"/>
    <n v="10317.33"/>
    <s v="May"/>
    <n v="2024"/>
    <s v="Q2"/>
    <n v="0.13617864311793845"/>
    <n v="1541.67"/>
    <s v="High"/>
    <s v="Repeat"/>
    <s v="Below Avg"/>
    <s v="Profit"/>
    <n v="197"/>
  </r>
  <r>
    <n v="153"/>
    <d v="2024-06-01T00:00:00"/>
    <n v="1008"/>
    <s v="Customer_82"/>
    <x v="1"/>
    <x v="3"/>
    <s v="Furniture"/>
    <s v="Product_C"/>
    <n v="3443"/>
    <n v="7"/>
    <n v="0.01"/>
    <n v="1505"/>
    <s v="Card"/>
    <n v="23859.99"/>
    <s v="Jun"/>
    <n v="2024"/>
    <s v="Q2"/>
    <n v="6.3076304726028806E-2"/>
    <n v="241.01"/>
    <s v="High"/>
    <s v="Repeat"/>
    <s v="Above Avg"/>
    <s v="Profit"/>
    <n v="52"/>
  </r>
  <r>
    <n v="154"/>
    <d v="2024-06-02T00:00:00"/>
    <n v="1078"/>
    <s v="Customer_154"/>
    <x v="0"/>
    <x v="1"/>
    <s v="Furniture"/>
    <s v="Product_C"/>
    <n v="4783"/>
    <n v="8"/>
    <n v="0.09"/>
    <n v="605"/>
    <s v="COD"/>
    <n v="34820.239999999998"/>
    <s v="Jun"/>
    <n v="2024"/>
    <s v="Q2"/>
    <n v="1.7374952039388585E-2"/>
    <n v="3443.7599999999998"/>
    <s v="High"/>
    <s v="Repeat"/>
    <s v="Above Avg"/>
    <s v="Profit"/>
    <n v="12"/>
  </r>
  <r>
    <n v="155"/>
    <d v="2024-06-03T00:00:00"/>
    <n v="1006"/>
    <s v="Customer_100"/>
    <x v="0"/>
    <x v="0"/>
    <s v="Furniture"/>
    <s v="Product_B"/>
    <n v="4252"/>
    <n v="7"/>
    <n v="0.28999999999999998"/>
    <n v="-483"/>
    <s v="Card"/>
    <n v="21132.44"/>
    <s v="Jun"/>
    <n v="2024"/>
    <s v="Q2"/>
    <n v="-2.2855855736488549E-2"/>
    <n v="8631.56"/>
    <s v="High"/>
    <s v="Repeat"/>
    <s v="Above Avg"/>
    <s v="Loss"/>
    <n v="74"/>
  </r>
  <r>
    <n v="156"/>
    <d v="2024-06-04T00:00:00"/>
    <n v="1065"/>
    <s v="Customer_41"/>
    <x v="1"/>
    <x v="0"/>
    <s v="Furniture"/>
    <s v="Product_A"/>
    <n v="1868"/>
    <n v="5"/>
    <n v="0.03"/>
    <n v="200"/>
    <s v="Card"/>
    <n v="9059.7999999999993"/>
    <s v="Jun"/>
    <n v="2024"/>
    <s v="Q2"/>
    <n v="2.2075542506457099E-2"/>
    <n v="280.2"/>
    <s v="High"/>
    <s v="Repeat"/>
    <s v="Below Avg"/>
    <s v="Profit"/>
    <n v="230"/>
  </r>
  <r>
    <n v="157"/>
    <d v="2024-06-05T00:00:00"/>
    <n v="1094"/>
    <s v="Customer_196"/>
    <x v="0"/>
    <x v="1"/>
    <s v="Clothing"/>
    <s v="Product_D"/>
    <n v="138"/>
    <n v="9"/>
    <n v="0.23"/>
    <n v="486"/>
    <s v="COD"/>
    <n v="956.34"/>
    <s v="Jun"/>
    <n v="2024"/>
    <s v="Q2"/>
    <n v="0.50818746470920384"/>
    <n v="285.66000000000003"/>
    <s v="Low"/>
    <s v="Repeat"/>
    <s v="Below Avg"/>
    <s v="Profit"/>
    <n v="481"/>
  </r>
  <r>
    <n v="158"/>
    <d v="2024-06-06T00:00:00"/>
    <n v="1070"/>
    <s v="Customer_182"/>
    <x v="0"/>
    <x v="0"/>
    <s v="Electronics"/>
    <s v="Product_B"/>
    <n v="3662"/>
    <n v="1"/>
    <n v="0.22"/>
    <n v="-184"/>
    <s v="Card"/>
    <n v="2856.36"/>
    <s v="Jun"/>
    <n v="2024"/>
    <s v="Q2"/>
    <n v="-6.4417650436219526E-2"/>
    <n v="805.64"/>
    <s v="Medium"/>
    <s v="Repeat"/>
    <s v="Below Avg"/>
    <s v="Loss"/>
    <n v="397"/>
  </r>
  <r>
    <n v="159"/>
    <d v="2024-06-07T00:00:00"/>
    <n v="1040"/>
    <s v="Customer_60"/>
    <x v="1"/>
    <x v="3"/>
    <s v="Furniture"/>
    <s v="Product_A"/>
    <n v="1929"/>
    <n v="6"/>
    <n v="0.18"/>
    <n v="1743"/>
    <s v="COD"/>
    <n v="9490.68"/>
    <s v="Jun"/>
    <n v="2024"/>
    <s v="Q2"/>
    <n v="0.18365385831152245"/>
    <n v="2083.3199999999997"/>
    <s v="High"/>
    <s v="Repeat"/>
    <s v="Below Avg"/>
    <s v="Profit"/>
    <n v="217"/>
  </r>
  <r>
    <n v="160"/>
    <d v="2024-06-08T00:00:00"/>
    <n v="1074"/>
    <s v="Customer_77"/>
    <x v="0"/>
    <x v="0"/>
    <s v="Furniture"/>
    <s v="Product_C"/>
    <n v="2271"/>
    <n v="6"/>
    <n v="0.28000000000000003"/>
    <n v="1840"/>
    <s v="COD"/>
    <n v="9810.7199999999993"/>
    <s v="Jun"/>
    <n v="2024"/>
    <s v="Q2"/>
    <n v="0.18754994536588548"/>
    <n v="3815.28"/>
    <s v="High"/>
    <s v="Repeat"/>
    <s v="Below Avg"/>
    <s v="Profit"/>
    <n v="207"/>
  </r>
  <r>
    <n v="161"/>
    <d v="2024-06-09T00:00:00"/>
    <n v="1076"/>
    <s v="Customer_183"/>
    <x v="0"/>
    <x v="1"/>
    <s v="Clothing"/>
    <s v="Product_C"/>
    <n v="208"/>
    <n v="7"/>
    <n v="0.19"/>
    <n v="1079"/>
    <s v="Card"/>
    <n v="1179.3599999999999"/>
    <s v="Jun"/>
    <n v="2024"/>
    <s v="Q2"/>
    <n v="0.9149029982363317"/>
    <n v="276.64"/>
    <s v="Low"/>
    <s v="Repeat"/>
    <s v="Below Avg"/>
    <s v="Profit"/>
    <n v="469"/>
  </r>
  <r>
    <n v="162"/>
    <d v="2024-06-10T00:00:00"/>
    <n v="1076"/>
    <s v="Customer_152"/>
    <x v="0"/>
    <x v="0"/>
    <s v="Clothing"/>
    <s v="Product_C"/>
    <n v="4940"/>
    <n v="7"/>
    <n v="0.28999999999999998"/>
    <n v="-154"/>
    <s v="Card"/>
    <n v="24551.8"/>
    <s v="Jun"/>
    <n v="2024"/>
    <s v="Q2"/>
    <n v="-6.272452528938815E-3"/>
    <n v="10028.199999999999"/>
    <s v="High"/>
    <s v="Repeat"/>
    <s v="Above Avg"/>
    <s v="Loss"/>
    <n v="45"/>
  </r>
  <r>
    <n v="163"/>
    <d v="2024-06-11T00:00:00"/>
    <n v="1025"/>
    <s v="Customer_119"/>
    <x v="0"/>
    <x v="2"/>
    <s v="Clothing"/>
    <s v="Product_B"/>
    <n v="4228"/>
    <n v="2"/>
    <n v="0.25"/>
    <n v="115"/>
    <s v="Card"/>
    <n v="6342"/>
    <s v="Jun"/>
    <n v="2024"/>
    <s v="Q2"/>
    <n v="1.8133081046988332E-2"/>
    <n v="2114"/>
    <s v="High"/>
    <s v="Repeat"/>
    <s v="Below Avg"/>
    <s v="Profit"/>
    <n v="287"/>
  </r>
  <r>
    <n v="164"/>
    <d v="2024-06-12T00:00:00"/>
    <n v="1007"/>
    <s v="Customer_95"/>
    <x v="0"/>
    <x v="0"/>
    <s v="Electronics"/>
    <s v="Product_C"/>
    <n v="4335"/>
    <n v="5"/>
    <n v="0.24"/>
    <n v="1958"/>
    <s v="UPI"/>
    <n v="16473"/>
    <s v="Jun"/>
    <n v="2024"/>
    <s v="Q2"/>
    <n v="0.11886116675772476"/>
    <n v="5202"/>
    <s v="High"/>
    <s v="Repeat"/>
    <s v="Above Avg"/>
    <s v="Profit"/>
    <n v="116"/>
  </r>
  <r>
    <n v="165"/>
    <d v="2024-06-13T00:00:00"/>
    <n v="1013"/>
    <s v="Customer_127"/>
    <x v="0"/>
    <x v="2"/>
    <s v="Clothing"/>
    <s v="Product_B"/>
    <n v="4277"/>
    <n v="6"/>
    <n v="0.28999999999999998"/>
    <n v="-94"/>
    <s v="COD"/>
    <n v="18220.02"/>
    <s v="Jun"/>
    <n v="2024"/>
    <s v="Q2"/>
    <n v="-5.1591600887375532E-3"/>
    <n v="7441.98"/>
    <s v="High"/>
    <s v="Repeat"/>
    <s v="Above Avg"/>
    <s v="Loss"/>
    <n v="89"/>
  </r>
  <r>
    <n v="166"/>
    <d v="2024-06-14T00:00:00"/>
    <n v="1044"/>
    <s v="Customer_168"/>
    <x v="1"/>
    <x v="3"/>
    <s v="Electronics"/>
    <s v="Product_D"/>
    <n v="3206"/>
    <n v="2"/>
    <n v="0.19"/>
    <n v="1742"/>
    <s v="COD"/>
    <n v="5193.72"/>
    <s v="Jun"/>
    <n v="2024"/>
    <s v="Q2"/>
    <n v="0.33540506611831211"/>
    <n v="1218.28"/>
    <s v="High"/>
    <s v="Repeat"/>
    <s v="Below Avg"/>
    <s v="Profit"/>
    <n v="319"/>
  </r>
  <r>
    <n v="167"/>
    <d v="2024-06-15T00:00:00"/>
    <n v="1001"/>
    <s v="Customer_192"/>
    <x v="0"/>
    <x v="3"/>
    <s v="Furniture"/>
    <s v="Product_C"/>
    <n v="236"/>
    <n v="9"/>
    <n v="0.1"/>
    <n v="-188"/>
    <s v="COD"/>
    <n v="1911.6"/>
    <s v="Jun"/>
    <n v="2024"/>
    <s v="Q2"/>
    <n v="-9.8346934505126604E-2"/>
    <n v="212.4"/>
    <s v="Low"/>
    <s v="Repeat"/>
    <s v="Below Avg"/>
    <s v="Loss"/>
    <n v="436"/>
  </r>
  <r>
    <n v="168"/>
    <d v="2024-06-16T00:00:00"/>
    <n v="1041"/>
    <s v="Customer_162"/>
    <x v="1"/>
    <x v="3"/>
    <s v="Clothing"/>
    <s v="Product_C"/>
    <n v="3837"/>
    <n v="6"/>
    <n v="0.03"/>
    <n v="-151"/>
    <s v="COD"/>
    <n v="22331.34"/>
    <s v="Jun"/>
    <n v="2024"/>
    <s v="Q2"/>
    <n v="-6.7617975455122707E-3"/>
    <n v="690.66"/>
    <s v="High"/>
    <s v="Repeat"/>
    <s v="Above Avg"/>
    <s v="Loss"/>
    <n v="64"/>
  </r>
  <r>
    <n v="169"/>
    <d v="2024-06-17T00:00:00"/>
    <n v="1078"/>
    <s v="Customer_39"/>
    <x v="0"/>
    <x v="3"/>
    <s v="Furniture"/>
    <s v="Product_C"/>
    <n v="3951"/>
    <n v="5"/>
    <n v="0.21"/>
    <n v="1112"/>
    <s v="COD"/>
    <n v="15606.45"/>
    <s v="Jun"/>
    <n v="2024"/>
    <s v="Q2"/>
    <n v="7.1252591076125568E-2"/>
    <n v="4148.55"/>
    <s v="High"/>
    <s v="Repeat"/>
    <s v="Above Avg"/>
    <s v="Profit"/>
    <n v="134"/>
  </r>
  <r>
    <n v="170"/>
    <d v="2024-06-18T00:00:00"/>
    <n v="1056"/>
    <s v="Customer_122"/>
    <x v="1"/>
    <x v="2"/>
    <s v="Furniture"/>
    <s v="Product_C"/>
    <n v="430"/>
    <n v="8"/>
    <n v="0.16"/>
    <n v="403"/>
    <s v="Card"/>
    <n v="2889.6"/>
    <s v="Jun"/>
    <n v="2024"/>
    <s v="Q2"/>
    <n v="0.13946566998892582"/>
    <n v="550.4"/>
    <s v="Medium"/>
    <s v="Repeat"/>
    <s v="Below Avg"/>
    <s v="Profit"/>
    <n v="396"/>
  </r>
  <r>
    <n v="171"/>
    <d v="2024-06-19T00:00:00"/>
    <n v="1087"/>
    <s v="Customer_1"/>
    <x v="0"/>
    <x v="2"/>
    <s v="Furniture"/>
    <s v="Product_D"/>
    <n v="296"/>
    <n v="8"/>
    <n v="0.12"/>
    <n v="-8"/>
    <s v="Card"/>
    <n v="2083.84"/>
    <s v="Jun"/>
    <n v="2024"/>
    <s v="Q2"/>
    <n v="-3.8390663390663387E-3"/>
    <n v="284.15999999999997"/>
    <s v="Medium"/>
    <s v="Repeat"/>
    <s v="Below Avg"/>
    <s v="Loss"/>
    <n v="424"/>
  </r>
  <r>
    <n v="172"/>
    <d v="2024-06-20T00:00:00"/>
    <n v="1063"/>
    <s v="Customer_123"/>
    <x v="1"/>
    <x v="2"/>
    <s v="Furniture"/>
    <s v="Product_B"/>
    <n v="1515"/>
    <n v="1"/>
    <n v="0.28000000000000003"/>
    <n v="1470"/>
    <s v="UPI"/>
    <n v="1090.8"/>
    <s v="Jun"/>
    <n v="2024"/>
    <s v="Q2"/>
    <n v="1.3476347634763477"/>
    <n v="424.20000000000005"/>
    <s v="Low"/>
    <s v="Repeat"/>
    <s v="Below Avg"/>
    <s v="Profit"/>
    <n v="477"/>
  </r>
  <r>
    <n v="173"/>
    <d v="2024-06-21T00:00:00"/>
    <n v="1097"/>
    <s v="Customer_20"/>
    <x v="0"/>
    <x v="0"/>
    <s v="Clothing"/>
    <s v="Product_D"/>
    <n v="3396"/>
    <n v="7"/>
    <n v="0.27"/>
    <n v="1252"/>
    <s v="COD"/>
    <n v="17353.560000000001"/>
    <s v="Jun"/>
    <n v="2024"/>
    <s v="Q2"/>
    <n v="7.2146579721970583E-2"/>
    <n v="6418.4400000000005"/>
    <s v="High"/>
    <s v="Repeat"/>
    <s v="Above Avg"/>
    <s v="Profit"/>
    <n v="99"/>
  </r>
  <r>
    <n v="174"/>
    <d v="2024-06-22T00:00:00"/>
    <n v="1003"/>
    <s v="Customer_111"/>
    <x v="0"/>
    <x v="1"/>
    <s v="Electronics"/>
    <s v="Product_A"/>
    <n v="3120"/>
    <n v="6"/>
    <n v="0.11"/>
    <n v="-429"/>
    <s v="UPI"/>
    <n v="16660.8"/>
    <s v="Jun"/>
    <n v="2024"/>
    <s v="Q2"/>
    <n v="-2.5749063670411985E-2"/>
    <n v="2059.1999999999998"/>
    <s v="High"/>
    <s v="Repeat"/>
    <s v="Above Avg"/>
    <s v="Loss"/>
    <n v="110"/>
  </r>
  <r>
    <n v="175"/>
    <d v="2024-06-23T00:00:00"/>
    <n v="1017"/>
    <s v="Customer_153"/>
    <x v="1"/>
    <x v="1"/>
    <s v="Clothing"/>
    <s v="Product_D"/>
    <n v="3469"/>
    <n v="3"/>
    <n v="0.28000000000000003"/>
    <n v="431"/>
    <s v="UPI"/>
    <n v="7493.04"/>
    <s v="Jun"/>
    <n v="2024"/>
    <s v="Q2"/>
    <n v="5.7520045268675997E-2"/>
    <n v="2913.9600000000005"/>
    <s v="High"/>
    <s v="Repeat"/>
    <s v="Below Avg"/>
    <s v="Profit"/>
    <n v="264"/>
  </r>
  <r>
    <n v="176"/>
    <d v="2024-06-24T00:00:00"/>
    <n v="1088"/>
    <s v="Customer_134"/>
    <x v="1"/>
    <x v="1"/>
    <s v="Clothing"/>
    <s v="Product_B"/>
    <n v="4955"/>
    <n v="1"/>
    <n v="0.13"/>
    <n v="-182"/>
    <s v="Card"/>
    <n v="4310.8500000000004"/>
    <s v="Jun"/>
    <n v="2024"/>
    <s v="Q2"/>
    <n v="-4.2219051927114136E-2"/>
    <n v="644.15"/>
    <s v="Medium"/>
    <s v="Repeat"/>
    <s v="Below Avg"/>
    <s v="Loss"/>
    <n v="341"/>
  </r>
  <r>
    <n v="177"/>
    <d v="2024-06-25T00:00:00"/>
    <n v="1087"/>
    <s v="Customer_116"/>
    <x v="1"/>
    <x v="0"/>
    <s v="Clothing"/>
    <s v="Product_A"/>
    <n v="940"/>
    <n v="2"/>
    <n v="0.06"/>
    <n v="1960"/>
    <s v="Card"/>
    <n v="1767.19999999999"/>
    <s v="Jun"/>
    <n v="2024"/>
    <s v="Q2"/>
    <n v="1.109099139882306"/>
    <n v="112.8"/>
    <s v="Low"/>
    <s v="Repeat"/>
    <s v="Below Avg"/>
    <s v="Profit"/>
    <n v="442"/>
  </r>
  <r>
    <n v="178"/>
    <d v="2024-06-26T00:00:00"/>
    <n v="1069"/>
    <s v="Customer_94"/>
    <x v="0"/>
    <x v="2"/>
    <s v="Furniture"/>
    <s v="Product_C"/>
    <n v="3742"/>
    <n v="1"/>
    <n v="0.19"/>
    <n v="1388"/>
    <s v="Card"/>
    <n v="3031.02"/>
    <s v="Jun"/>
    <n v="2024"/>
    <s v="Q2"/>
    <n v="0.45793165337081249"/>
    <n v="710.98"/>
    <s v="Medium"/>
    <s v="Repeat"/>
    <s v="Below Avg"/>
    <s v="Profit"/>
    <n v="390"/>
  </r>
  <r>
    <n v="179"/>
    <d v="2024-06-27T00:00:00"/>
    <n v="1097"/>
    <s v="Customer_120"/>
    <x v="1"/>
    <x v="0"/>
    <s v="Clothing"/>
    <s v="Product_C"/>
    <n v="2769"/>
    <n v="3"/>
    <n v="0.03"/>
    <n v="-283"/>
    <s v="Card"/>
    <n v="8057.79"/>
    <s v="Jun"/>
    <n v="2024"/>
    <s v="Q2"/>
    <n v="-3.512129256284912E-2"/>
    <n v="249.20999999999998"/>
    <s v="High"/>
    <s v="Repeat"/>
    <s v="Below Avg"/>
    <s v="Loss"/>
    <n v="251"/>
  </r>
  <r>
    <n v="180"/>
    <d v="2024-06-28T00:00:00"/>
    <n v="1050"/>
    <s v="Customer_113"/>
    <x v="0"/>
    <x v="3"/>
    <s v="Furniture"/>
    <s v="Product_C"/>
    <n v="1277"/>
    <n v="6"/>
    <n v="0.05"/>
    <n v="-393"/>
    <s v="Card"/>
    <n v="7278.9"/>
    <s v="Jun"/>
    <n v="2024"/>
    <s v="Q2"/>
    <n v="-5.3991674566211928E-2"/>
    <n v="383.1"/>
    <s v="High"/>
    <s v="Repeat"/>
    <s v="Below Avg"/>
    <s v="Loss"/>
    <n v="269"/>
  </r>
  <r>
    <n v="181"/>
    <d v="2024-06-29T00:00:00"/>
    <n v="1002"/>
    <s v="Customer_3"/>
    <x v="0"/>
    <x v="0"/>
    <s v="Furniture"/>
    <s v="Product_A"/>
    <n v="1043"/>
    <n v="2"/>
    <n v="0.24"/>
    <n v="1350"/>
    <s v="Card"/>
    <n v="1585.36"/>
    <s v="Jun"/>
    <n v="2024"/>
    <s v="Q2"/>
    <n v="0.85154160569208259"/>
    <n v="500.64"/>
    <s v="Low"/>
    <s v="Repeat"/>
    <s v="Below Avg"/>
    <s v="Profit"/>
    <n v="454"/>
  </r>
  <r>
    <n v="182"/>
    <d v="2024-06-30T00:00:00"/>
    <n v="1018"/>
    <s v="Customer_164"/>
    <x v="0"/>
    <x v="0"/>
    <s v="Electronics"/>
    <s v="Product_B"/>
    <n v="3546"/>
    <n v="6"/>
    <n v="0.25"/>
    <n v="1825"/>
    <s v="UPI"/>
    <n v="15957"/>
    <s v="Jun"/>
    <n v="2024"/>
    <s v="Q2"/>
    <n v="0.11436986902299931"/>
    <n v="5319"/>
    <s v="High"/>
    <s v="Repeat"/>
    <s v="Above Avg"/>
    <s v="Profit"/>
    <n v="129"/>
  </r>
  <r>
    <n v="183"/>
    <d v="2024-07-01T00:00:00"/>
    <n v="1046"/>
    <s v="Customer_70"/>
    <x v="1"/>
    <x v="0"/>
    <s v="Furniture"/>
    <s v="Product_A"/>
    <n v="951"/>
    <n v="8"/>
    <n v="7.0000000000000007E-2"/>
    <n v="1104"/>
    <s v="COD"/>
    <n v="7075.44"/>
    <s v="Jul"/>
    <n v="2024"/>
    <s v="Q3"/>
    <n v="0.15603269902649164"/>
    <n v="532.56000000000006"/>
    <s v="High"/>
    <s v="Repeat"/>
    <s v="Below Avg"/>
    <s v="Profit"/>
    <n v="274"/>
  </r>
  <r>
    <n v="184"/>
    <d v="2024-07-02T00:00:00"/>
    <n v="1045"/>
    <s v="Customer_166"/>
    <x v="1"/>
    <x v="3"/>
    <s v="Furniture"/>
    <s v="Product_C"/>
    <n v="4700"/>
    <n v="3"/>
    <n v="0.22"/>
    <n v="140"/>
    <s v="COD"/>
    <n v="10998"/>
    <s v="Jul"/>
    <n v="2024"/>
    <s v="Q3"/>
    <n v="1.2729587197672304E-2"/>
    <n v="3102"/>
    <s v="High"/>
    <s v="Repeat"/>
    <s v="Above Avg"/>
    <s v="Profit"/>
    <n v="190"/>
  </r>
  <r>
    <n v="185"/>
    <d v="2024-07-03T00:00:00"/>
    <n v="1057"/>
    <s v="Customer_65"/>
    <x v="0"/>
    <x v="1"/>
    <s v="Electronics"/>
    <s v="Product_C"/>
    <n v="1851"/>
    <n v="3"/>
    <n v="0.28999999999999998"/>
    <n v="589"/>
    <s v="Card"/>
    <n v="3942.6299999999901"/>
    <s v="Jul"/>
    <n v="2024"/>
    <s v="Q3"/>
    <n v="0.14939266428754447"/>
    <n v="1610.37"/>
    <s v="Medium"/>
    <s v="Repeat"/>
    <s v="Below Avg"/>
    <s v="Profit"/>
    <n v="356"/>
  </r>
  <r>
    <n v="186"/>
    <d v="2024-07-04T00:00:00"/>
    <n v="1035"/>
    <s v="Customer_83"/>
    <x v="1"/>
    <x v="1"/>
    <s v="Furniture"/>
    <s v="Product_C"/>
    <n v="1945"/>
    <n v="1"/>
    <n v="0.28999999999999998"/>
    <n v="7"/>
    <s v="Card"/>
    <n v="1380.94999999999"/>
    <s v="Jul"/>
    <n v="2024"/>
    <s v="Q3"/>
    <n v="5.068974256852204E-3"/>
    <n v="564.04999999999995"/>
    <s v="Low"/>
    <s v="Repeat"/>
    <s v="Below Avg"/>
    <s v="Profit"/>
    <n v="462"/>
  </r>
  <r>
    <n v="187"/>
    <d v="2024-07-05T00:00:00"/>
    <n v="1018"/>
    <s v="Customer_38"/>
    <x v="1"/>
    <x v="3"/>
    <s v="Clothing"/>
    <s v="Product_A"/>
    <n v="4924"/>
    <n v="3"/>
    <n v="0.13"/>
    <n v="1357"/>
    <s v="UPI"/>
    <n v="12851.64"/>
    <s v="Jul"/>
    <n v="2024"/>
    <s v="Q3"/>
    <n v="0.1055896368089987"/>
    <n v="1920.3600000000001"/>
    <s v="High"/>
    <s v="Repeat"/>
    <s v="Above Avg"/>
    <s v="Profit"/>
    <n v="160"/>
  </r>
  <r>
    <n v="188"/>
    <d v="2024-07-06T00:00:00"/>
    <n v="1091"/>
    <s v="Customer_28"/>
    <x v="1"/>
    <x v="1"/>
    <s v="Furniture"/>
    <s v="Product_A"/>
    <n v="1821"/>
    <n v="7"/>
    <n v="0.26"/>
    <n v="-309"/>
    <s v="Card"/>
    <n v="9432.7800000000007"/>
    <s v="Jul"/>
    <n v="2024"/>
    <s v="Q3"/>
    <n v="-3.2758105245749396E-2"/>
    <n v="3314.2200000000003"/>
    <s v="High"/>
    <s v="Repeat"/>
    <s v="Below Avg"/>
    <s v="Loss"/>
    <n v="220"/>
  </r>
  <r>
    <n v="189"/>
    <d v="2024-07-07T00:00:00"/>
    <n v="1046"/>
    <s v="Customer_175"/>
    <x v="1"/>
    <x v="1"/>
    <s v="Clothing"/>
    <s v="Product_B"/>
    <n v="1873"/>
    <n v="9"/>
    <n v="0.17"/>
    <n v="-234"/>
    <s v="UPI"/>
    <n v="13991.31"/>
    <s v="Jul"/>
    <n v="2024"/>
    <s v="Q3"/>
    <n v="-1.672466695398787E-2"/>
    <n v="2865.69"/>
    <s v="High"/>
    <s v="Repeat"/>
    <s v="Above Avg"/>
    <s v="Loss"/>
    <n v="147"/>
  </r>
  <r>
    <n v="190"/>
    <d v="2024-07-08T00:00:00"/>
    <n v="1054"/>
    <s v="Customer_47"/>
    <x v="0"/>
    <x v="2"/>
    <s v="Furniture"/>
    <s v="Product_C"/>
    <n v="750"/>
    <n v="8"/>
    <n v="0.17"/>
    <n v="-108"/>
    <s v="Card"/>
    <n v="4980"/>
    <s v="Jul"/>
    <n v="2024"/>
    <s v="Q3"/>
    <n v="-2.1686746987951807E-2"/>
    <n v="1020.0000000000001"/>
    <s v="Medium"/>
    <s v="Repeat"/>
    <s v="Below Avg"/>
    <s v="Loss"/>
    <n v="324"/>
  </r>
  <r>
    <n v="191"/>
    <d v="2024-07-09T00:00:00"/>
    <n v="1073"/>
    <s v="Customer_10"/>
    <x v="0"/>
    <x v="1"/>
    <s v="Furniture"/>
    <s v="Product_A"/>
    <n v="1461"/>
    <n v="3"/>
    <n v="7.0000000000000007E-2"/>
    <n v="-371"/>
    <s v="COD"/>
    <n v="4076.1899999999901"/>
    <s v="Jul"/>
    <n v="2024"/>
    <s v="Q3"/>
    <n v="-9.1016365772940144E-2"/>
    <n v="306.81"/>
    <s v="Medium"/>
    <s v="Repeat"/>
    <s v="Below Avg"/>
    <s v="Loss"/>
    <n v="351"/>
  </r>
  <r>
    <n v="192"/>
    <d v="2024-07-10T00:00:00"/>
    <n v="1081"/>
    <s v="Customer_88"/>
    <x v="1"/>
    <x v="0"/>
    <s v="Clothing"/>
    <s v="Product_A"/>
    <n v="3609"/>
    <n v="5"/>
    <n v="0.12"/>
    <n v="514"/>
    <s v="COD"/>
    <n v="15879.6"/>
    <s v="Jul"/>
    <n v="2024"/>
    <s v="Q3"/>
    <n v="3.2368573515705684E-2"/>
    <n v="2165.4"/>
    <s v="High"/>
    <s v="Repeat"/>
    <s v="Above Avg"/>
    <s v="Profit"/>
    <n v="131"/>
  </r>
  <r>
    <n v="193"/>
    <d v="2024-07-11T00:00:00"/>
    <n v="1062"/>
    <s v="Customer_133"/>
    <x v="1"/>
    <x v="0"/>
    <s v="Electronics"/>
    <s v="Product_D"/>
    <n v="1568"/>
    <n v="1"/>
    <n v="0.06"/>
    <n v="1807"/>
    <s v="UPI"/>
    <n v="1473.9199999999901"/>
    <s v="Jul"/>
    <n v="2024"/>
    <s v="Q3"/>
    <n v="1.225982414242301"/>
    <n v="94.08"/>
    <s v="Low"/>
    <s v="Repeat"/>
    <s v="Below Avg"/>
    <s v="Profit"/>
    <n v="459"/>
  </r>
  <r>
    <n v="194"/>
    <d v="2024-07-12T00:00:00"/>
    <n v="1067"/>
    <s v="Customer_141"/>
    <x v="0"/>
    <x v="2"/>
    <s v="Furniture"/>
    <s v="Product_C"/>
    <n v="584"/>
    <n v="1"/>
    <n v="0.22"/>
    <n v="858"/>
    <s v="Card"/>
    <n v="455.52"/>
    <s v="Jul"/>
    <n v="2024"/>
    <s v="Q3"/>
    <n v="1.8835616438356164"/>
    <n v="128.47999999999999"/>
    <s v="Low"/>
    <s v="Repeat"/>
    <s v="Below Avg"/>
    <s v="Profit"/>
    <n v="494"/>
  </r>
  <r>
    <n v="195"/>
    <d v="2024-07-13T00:00:00"/>
    <n v="1011"/>
    <s v="Customer_86"/>
    <x v="1"/>
    <x v="0"/>
    <s v="Furniture"/>
    <s v="Product_C"/>
    <n v="851"/>
    <n v="9"/>
    <n v="0.19"/>
    <n v="1126"/>
    <s v="Card"/>
    <n v="6203.79"/>
    <s v="Jul"/>
    <n v="2024"/>
    <s v="Q3"/>
    <n v="0.18150195283850679"/>
    <n v="1455.21"/>
    <s v="High"/>
    <s v="Repeat"/>
    <s v="Below Avg"/>
    <s v="Profit"/>
    <n v="292"/>
  </r>
  <r>
    <n v="196"/>
    <d v="2024-07-14T00:00:00"/>
    <n v="1026"/>
    <s v="Customer_34"/>
    <x v="1"/>
    <x v="2"/>
    <s v="Electronics"/>
    <s v="Product_A"/>
    <n v="209"/>
    <n v="7"/>
    <n v="0.24"/>
    <n v="-125"/>
    <s v="UPI"/>
    <n v="1111.8800000000001"/>
    <s v="Jul"/>
    <n v="2024"/>
    <s v="Q3"/>
    <n v="-0.11242220383494621"/>
    <n v="351.12"/>
    <s v="Low"/>
    <s v="Repeat"/>
    <s v="Below Avg"/>
    <s v="Loss"/>
    <n v="476"/>
  </r>
  <r>
    <n v="197"/>
    <d v="2024-07-15T00:00:00"/>
    <n v="1092"/>
    <s v="Customer_153"/>
    <x v="1"/>
    <x v="0"/>
    <s v="Electronics"/>
    <s v="Product_D"/>
    <n v="2452"/>
    <n v="4"/>
    <n v="0.19"/>
    <n v="1641"/>
    <s v="Card"/>
    <n v="7944.48"/>
    <s v="Jul"/>
    <n v="2024"/>
    <s v="Q3"/>
    <n v="0.20655851610174614"/>
    <n v="1863.52"/>
    <s v="High"/>
    <s v="Repeat"/>
    <s v="Below Avg"/>
    <s v="Profit"/>
    <n v="254"/>
  </r>
  <r>
    <n v="198"/>
    <d v="2024-07-16T00:00:00"/>
    <n v="1075"/>
    <s v="Customer_151"/>
    <x v="0"/>
    <x v="1"/>
    <s v="Electronics"/>
    <s v="Product_C"/>
    <n v="4378"/>
    <n v="4"/>
    <n v="0.08"/>
    <n v="-266"/>
    <s v="COD"/>
    <n v="16111.04"/>
    <s v="Jul"/>
    <n v="2024"/>
    <s v="Q3"/>
    <n v="-1.6510417701153992E-2"/>
    <n v="1400.96"/>
    <s v="High"/>
    <s v="Repeat"/>
    <s v="Above Avg"/>
    <s v="Loss"/>
    <n v="125"/>
  </r>
  <r>
    <n v="199"/>
    <d v="2024-07-17T00:00:00"/>
    <n v="1010"/>
    <s v="Customer_112"/>
    <x v="1"/>
    <x v="0"/>
    <s v="Furniture"/>
    <s v="Product_C"/>
    <n v="3624"/>
    <n v="3"/>
    <n v="0.28999999999999998"/>
    <n v="-429"/>
    <s v="COD"/>
    <n v="7719.12"/>
    <s v="Jul"/>
    <n v="2024"/>
    <s v="Q3"/>
    <n v="-5.557628330690545E-2"/>
    <n v="3152.8799999999997"/>
    <s v="High"/>
    <s v="Repeat"/>
    <s v="Below Avg"/>
    <s v="Loss"/>
    <n v="259"/>
  </r>
  <r>
    <n v="200"/>
    <d v="2024-07-18T00:00:00"/>
    <n v="1003"/>
    <s v="Customer_85"/>
    <x v="1"/>
    <x v="0"/>
    <s v="Clothing"/>
    <s v="Product_C"/>
    <n v="1158"/>
    <n v="5"/>
    <n v="0.2"/>
    <n v="1597"/>
    <s v="COD"/>
    <n v="4632"/>
    <s v="Jul"/>
    <n v="2024"/>
    <s v="Q3"/>
    <n v="0.34477547495682209"/>
    <n v="1158"/>
    <s v="Medium"/>
    <s v="Repeat"/>
    <s v="Below Avg"/>
    <s v="Profit"/>
    <n v="335"/>
  </r>
  <r>
    <n v="201"/>
    <d v="2024-07-19T00:00:00"/>
    <n v="1045"/>
    <s v="Customer_3"/>
    <x v="1"/>
    <x v="2"/>
    <s v="Furniture"/>
    <s v="Product_A"/>
    <n v="300"/>
    <n v="8"/>
    <n v="0.14000000000000001"/>
    <n v="1580"/>
    <s v="UPI"/>
    <n v="2064"/>
    <s v="Jul"/>
    <n v="2024"/>
    <s v="Q3"/>
    <n v="0.76550387596899228"/>
    <n v="336.00000000000006"/>
    <s v="Medium"/>
    <s v="Repeat"/>
    <s v="Below Avg"/>
    <s v="Profit"/>
    <n v="425"/>
  </r>
  <r>
    <n v="202"/>
    <d v="2024-07-20T00:00:00"/>
    <n v="1058"/>
    <s v="Customer_8"/>
    <x v="0"/>
    <x v="2"/>
    <s v="Clothing"/>
    <s v="Product_A"/>
    <n v="4590"/>
    <n v="3"/>
    <n v="0.23"/>
    <n v="458"/>
    <s v="Card"/>
    <n v="10602.9"/>
    <s v="Jul"/>
    <n v="2024"/>
    <s v="Q3"/>
    <n v="4.3195729470239273E-2"/>
    <n v="3167.1000000000004"/>
    <s v="High"/>
    <s v="Repeat"/>
    <s v="Below Avg"/>
    <s v="Profit"/>
    <n v="195"/>
  </r>
  <r>
    <n v="203"/>
    <d v="2024-07-21T00:00:00"/>
    <n v="1059"/>
    <s v="Customer_174"/>
    <x v="0"/>
    <x v="2"/>
    <s v="Electronics"/>
    <s v="Product_B"/>
    <n v="3815"/>
    <n v="6"/>
    <n v="0.08"/>
    <n v="971"/>
    <s v="Card"/>
    <n v="21058.799999999999"/>
    <s v="Jul"/>
    <n v="2024"/>
    <s v="Q3"/>
    <n v="4.6108990065910689E-2"/>
    <n v="1831.2"/>
    <s v="High"/>
    <s v="Repeat"/>
    <s v="Above Avg"/>
    <s v="Profit"/>
    <n v="76"/>
  </r>
  <r>
    <n v="204"/>
    <d v="2024-07-22T00:00:00"/>
    <n v="1023"/>
    <s v="Customer_190"/>
    <x v="0"/>
    <x v="3"/>
    <s v="Furniture"/>
    <s v="Product_B"/>
    <n v="1315"/>
    <n v="4"/>
    <n v="0.24"/>
    <n v="-35"/>
    <s v="COD"/>
    <n v="3997.6"/>
    <s v="Jul"/>
    <n v="2024"/>
    <s v="Q3"/>
    <n v="-8.7552531518911344E-3"/>
    <n v="1262.3999999999999"/>
    <s v="Medium"/>
    <s v="Repeat"/>
    <s v="Below Avg"/>
    <s v="Loss"/>
    <n v="353"/>
  </r>
  <r>
    <n v="205"/>
    <d v="2024-07-23T00:00:00"/>
    <n v="1025"/>
    <s v="Customer_167"/>
    <x v="0"/>
    <x v="1"/>
    <s v="Furniture"/>
    <s v="Product_C"/>
    <n v="831"/>
    <n v="3"/>
    <n v="0.1"/>
    <n v="1324"/>
    <s v="UPI"/>
    <n v="2243.6999999999998"/>
    <s v="Jul"/>
    <n v="2024"/>
    <s v="Q3"/>
    <n v="0.59009671524713647"/>
    <n v="249.3"/>
    <s v="Medium"/>
    <s v="Repeat"/>
    <s v="Below Avg"/>
    <s v="Profit"/>
    <n v="417"/>
  </r>
  <r>
    <n v="206"/>
    <d v="2024-07-24T00:00:00"/>
    <n v="1027"/>
    <s v="Customer_51"/>
    <x v="0"/>
    <x v="3"/>
    <s v="Furniture"/>
    <s v="Product_D"/>
    <n v="473"/>
    <n v="1"/>
    <n v="0.02"/>
    <n v="-233"/>
    <s v="UPI"/>
    <n v="463.539999999999"/>
    <s v="Jul"/>
    <n v="2024"/>
    <s v="Q3"/>
    <n v="-0.50265349268671633"/>
    <n v="9.4600000000000009"/>
    <s v="Low"/>
    <s v="Repeat"/>
    <s v="Below Avg"/>
    <s v="Loss"/>
    <n v="493"/>
  </r>
  <r>
    <n v="207"/>
    <d v="2024-07-25T00:00:00"/>
    <n v="1057"/>
    <s v="Customer_22"/>
    <x v="0"/>
    <x v="0"/>
    <s v="Furniture"/>
    <s v="Product_C"/>
    <n v="3249"/>
    <n v="8"/>
    <n v="0.23"/>
    <n v="1197"/>
    <s v="UPI"/>
    <n v="20013.84"/>
    <s v="Jul"/>
    <n v="2024"/>
    <s v="Q3"/>
    <n v="5.9808612440191387E-2"/>
    <n v="5978.16"/>
    <s v="High"/>
    <s v="Repeat"/>
    <s v="Above Avg"/>
    <s v="Profit"/>
    <n v="80"/>
  </r>
  <r>
    <n v="208"/>
    <d v="2024-07-26T00:00:00"/>
    <n v="1003"/>
    <s v="Customer_45"/>
    <x v="1"/>
    <x v="0"/>
    <s v="Electronics"/>
    <s v="Product_D"/>
    <n v="3344"/>
    <n v="7"/>
    <n v="0.06"/>
    <n v="581"/>
    <s v="COD"/>
    <n v="22003.52"/>
    <s v="Jul"/>
    <n v="2024"/>
    <s v="Q3"/>
    <n v="2.6404866130510025E-2"/>
    <n v="1404.48"/>
    <s v="High"/>
    <s v="Repeat"/>
    <s v="Above Avg"/>
    <s v="Profit"/>
    <n v="67"/>
  </r>
  <r>
    <n v="209"/>
    <d v="2024-07-27T00:00:00"/>
    <n v="1099"/>
    <s v="Customer_151"/>
    <x v="1"/>
    <x v="2"/>
    <s v="Electronics"/>
    <s v="Product_A"/>
    <n v="4041"/>
    <n v="7"/>
    <n v="0.19"/>
    <n v="1642"/>
    <s v="UPI"/>
    <n v="22912.47"/>
    <s v="Jul"/>
    <n v="2024"/>
    <s v="Q3"/>
    <n v="7.1664032729775534E-2"/>
    <n v="5374.53"/>
    <s v="High"/>
    <s v="Repeat"/>
    <s v="Above Avg"/>
    <s v="Profit"/>
    <n v="60"/>
  </r>
  <r>
    <n v="210"/>
    <d v="2024-07-28T00:00:00"/>
    <n v="1078"/>
    <s v="Customer_177"/>
    <x v="0"/>
    <x v="2"/>
    <s v="Electronics"/>
    <s v="Product_B"/>
    <n v="4048"/>
    <n v="8"/>
    <n v="0.08"/>
    <n v="-375"/>
    <s v="COD"/>
    <n v="29793.279999999999"/>
    <s v="Jul"/>
    <n v="2024"/>
    <s v="Q3"/>
    <n v="-1.2586730967520193E-2"/>
    <n v="2590.7200000000003"/>
    <s v="High"/>
    <s v="Repeat"/>
    <s v="Above Avg"/>
    <s v="Loss"/>
    <n v="24"/>
  </r>
  <r>
    <n v="211"/>
    <d v="2024-07-29T00:00:00"/>
    <n v="1085"/>
    <s v="Customer_80"/>
    <x v="0"/>
    <x v="0"/>
    <s v="Furniture"/>
    <s v="Product_A"/>
    <n v="745"/>
    <n v="9"/>
    <n v="0.21"/>
    <n v="515"/>
    <s v="Card"/>
    <n v="5296.95"/>
    <s v="Jul"/>
    <n v="2024"/>
    <s v="Q3"/>
    <n v="9.7225761995110391E-2"/>
    <n v="1408.05"/>
    <s v="High"/>
    <s v="Repeat"/>
    <s v="Below Avg"/>
    <s v="Profit"/>
    <n v="316"/>
  </r>
  <r>
    <n v="212"/>
    <d v="2024-07-30T00:00:00"/>
    <n v="1059"/>
    <s v="Customer_124"/>
    <x v="0"/>
    <x v="3"/>
    <s v="Furniture"/>
    <s v="Product_D"/>
    <n v="3695"/>
    <n v="3"/>
    <n v="0.04"/>
    <n v="333"/>
    <s v="Card"/>
    <n v="10641.6"/>
    <s v="Jul"/>
    <n v="2024"/>
    <s v="Q3"/>
    <n v="3.1292286874154258E-2"/>
    <n v="443.40000000000003"/>
    <s v="High"/>
    <s v="Repeat"/>
    <s v="Above Avg"/>
    <s v="Profit"/>
    <n v="194"/>
  </r>
  <r>
    <n v="213"/>
    <d v="2024-07-31T00:00:00"/>
    <n v="1048"/>
    <s v="Customer_179"/>
    <x v="1"/>
    <x v="2"/>
    <s v="Clothing"/>
    <s v="Product_D"/>
    <n v="4178"/>
    <n v="2"/>
    <n v="0.19"/>
    <n v="1860"/>
    <s v="Card"/>
    <n v="6768.36"/>
    <s v="Jul"/>
    <n v="2024"/>
    <s v="Q3"/>
    <n v="0.27480807758452563"/>
    <n v="1587.64"/>
    <s v="High"/>
    <s v="Repeat"/>
    <s v="Below Avg"/>
    <s v="Profit"/>
    <n v="280"/>
  </r>
  <r>
    <n v="214"/>
    <d v="2024-08-01T00:00:00"/>
    <n v="1056"/>
    <s v="Customer_28"/>
    <x v="0"/>
    <x v="2"/>
    <s v="Clothing"/>
    <s v="Product_B"/>
    <n v="2035"/>
    <n v="4"/>
    <n v="0.06"/>
    <n v="1215"/>
    <s v="UPI"/>
    <n v="7651.5999999999904"/>
    <s v="Aug"/>
    <n v="2024"/>
    <s v="Q3"/>
    <n v="0.15879031836478666"/>
    <n v="488.4"/>
    <s v="High"/>
    <s v="Repeat"/>
    <s v="Below Avg"/>
    <s v="Profit"/>
    <n v="262"/>
  </r>
  <r>
    <n v="215"/>
    <d v="2024-08-02T00:00:00"/>
    <n v="1087"/>
    <s v="Customer_99"/>
    <x v="0"/>
    <x v="0"/>
    <s v="Clothing"/>
    <s v="Product_A"/>
    <n v="2833"/>
    <n v="4"/>
    <n v="0.15"/>
    <n v="-499"/>
    <s v="COD"/>
    <n v="9632.1999999999898"/>
    <s v="Aug"/>
    <n v="2024"/>
    <s v="Q3"/>
    <n v="-5.1805402711737766E-2"/>
    <n v="1699.8"/>
    <s v="High"/>
    <s v="Repeat"/>
    <s v="Below Avg"/>
    <s v="Loss"/>
    <n v="211"/>
  </r>
  <r>
    <n v="216"/>
    <d v="2024-08-03T00:00:00"/>
    <n v="1087"/>
    <s v="Customer_106"/>
    <x v="0"/>
    <x v="1"/>
    <s v="Furniture"/>
    <s v="Product_C"/>
    <n v="2661"/>
    <n v="8"/>
    <n v="0.26"/>
    <n v="-152"/>
    <s v="COD"/>
    <n v="15753.119999999901"/>
    <s v="Aug"/>
    <n v="2024"/>
    <s v="Q3"/>
    <n v="-9.6488822531664176E-3"/>
    <n v="5534.88"/>
    <s v="High"/>
    <s v="Repeat"/>
    <s v="Above Avg"/>
    <s v="Loss"/>
    <n v="133"/>
  </r>
  <r>
    <n v="217"/>
    <d v="2024-08-04T00:00:00"/>
    <n v="1004"/>
    <s v="Customer_29"/>
    <x v="0"/>
    <x v="2"/>
    <s v="Furniture"/>
    <s v="Product_A"/>
    <n v="2152"/>
    <n v="8"/>
    <n v="0.14000000000000001"/>
    <n v="925"/>
    <s v="COD"/>
    <n v="14805.76"/>
    <s v="Aug"/>
    <n v="2024"/>
    <s v="Q3"/>
    <n v="6.2475685138756808E-2"/>
    <n v="2410.2400000000002"/>
    <s v="High"/>
    <s v="Repeat"/>
    <s v="Above Avg"/>
    <s v="Profit"/>
    <n v="142"/>
  </r>
  <r>
    <n v="218"/>
    <d v="2024-08-05T00:00:00"/>
    <n v="1069"/>
    <s v="Customer_187"/>
    <x v="0"/>
    <x v="3"/>
    <s v="Clothing"/>
    <s v="Product_D"/>
    <n v="2039"/>
    <n v="7"/>
    <n v="0.23"/>
    <n v="-462"/>
    <s v="UPI"/>
    <n v="10990.21"/>
    <s v="Aug"/>
    <n v="2024"/>
    <s v="Q3"/>
    <n v="-4.2037413297835079E-2"/>
    <n v="3282.79"/>
    <s v="High"/>
    <s v="Repeat"/>
    <s v="Above Avg"/>
    <s v="Loss"/>
    <n v="192"/>
  </r>
  <r>
    <n v="219"/>
    <d v="2024-08-06T00:00:00"/>
    <n v="1056"/>
    <s v="Customer_102"/>
    <x v="0"/>
    <x v="1"/>
    <s v="Clothing"/>
    <s v="Product_A"/>
    <n v="802"/>
    <n v="5"/>
    <n v="0.04"/>
    <n v="1193"/>
    <s v="COD"/>
    <n v="3849.6"/>
    <s v="Aug"/>
    <n v="2024"/>
    <s v="Q3"/>
    <n v="0.30990232751454699"/>
    <n v="160.4"/>
    <s v="Medium"/>
    <s v="Repeat"/>
    <s v="Below Avg"/>
    <s v="Profit"/>
    <n v="361"/>
  </r>
  <r>
    <n v="220"/>
    <d v="2024-08-07T00:00:00"/>
    <n v="1060"/>
    <s v="Customer_198"/>
    <x v="1"/>
    <x v="0"/>
    <s v="Clothing"/>
    <s v="Product_B"/>
    <n v="2899"/>
    <n v="1"/>
    <n v="0.2"/>
    <n v="569"/>
    <s v="COD"/>
    <n v="2319.1999999999998"/>
    <s v="Aug"/>
    <n v="2024"/>
    <s v="Q3"/>
    <n v="0.24534322180062093"/>
    <n v="579.80000000000007"/>
    <s v="Medium"/>
    <s v="Repeat"/>
    <s v="Below Avg"/>
    <s v="Profit"/>
    <n v="415"/>
  </r>
  <r>
    <n v="221"/>
    <d v="2024-08-08T00:00:00"/>
    <n v="1009"/>
    <s v="Customer_78"/>
    <x v="1"/>
    <x v="2"/>
    <s v="Electronics"/>
    <s v="Product_A"/>
    <n v="607"/>
    <n v="6"/>
    <n v="0.05"/>
    <n v="1509"/>
    <s v="Card"/>
    <n v="3459.8999999999901"/>
    <s v="Aug"/>
    <n v="2024"/>
    <s v="Q3"/>
    <n v="0.43613977282580546"/>
    <n v="182.10000000000002"/>
    <s v="Medium"/>
    <s v="Repeat"/>
    <s v="Below Avg"/>
    <s v="Profit"/>
    <n v="378"/>
  </r>
  <r>
    <n v="222"/>
    <d v="2024-08-09T00:00:00"/>
    <n v="1066"/>
    <s v="Customer_156"/>
    <x v="1"/>
    <x v="1"/>
    <s v="Clothing"/>
    <s v="Product_A"/>
    <n v="1523"/>
    <n v="1"/>
    <n v="0.23"/>
    <n v="1244"/>
    <s v="COD"/>
    <n v="1172.71"/>
    <s v="Aug"/>
    <n v="2024"/>
    <s v="Q3"/>
    <n v="1.0607908178492551"/>
    <n v="350.29"/>
    <s v="Low"/>
    <s v="Repeat"/>
    <s v="Below Avg"/>
    <s v="Profit"/>
    <n v="471"/>
  </r>
  <r>
    <n v="223"/>
    <d v="2024-08-10T00:00:00"/>
    <n v="1033"/>
    <s v="Customer_110"/>
    <x v="1"/>
    <x v="0"/>
    <s v="Furniture"/>
    <s v="Product_D"/>
    <n v="2167"/>
    <n v="2"/>
    <n v="0.21"/>
    <n v="1682"/>
    <s v="Card"/>
    <n v="3423.86"/>
    <s v="Aug"/>
    <n v="2024"/>
    <s v="Q3"/>
    <n v="0.49125840425718337"/>
    <n v="910.14"/>
    <s v="Medium"/>
    <s v="New"/>
    <s v="Below Avg"/>
    <s v="Profit"/>
    <n v="379"/>
  </r>
  <r>
    <n v="224"/>
    <d v="2024-08-11T00:00:00"/>
    <n v="1069"/>
    <s v="Customer_175"/>
    <x v="1"/>
    <x v="3"/>
    <s v="Furniture"/>
    <s v="Product_C"/>
    <n v="4265"/>
    <n v="6"/>
    <n v="0.12"/>
    <n v="490"/>
    <s v="COD"/>
    <n v="22519.200000000001"/>
    <s v="Aug"/>
    <n v="2024"/>
    <s v="Q3"/>
    <n v="2.1759209918647198E-2"/>
    <n v="3070.7999999999997"/>
    <s v="High"/>
    <s v="Repeat"/>
    <s v="Above Avg"/>
    <s v="Profit"/>
    <n v="63"/>
  </r>
  <r>
    <n v="225"/>
    <d v="2024-08-12T00:00:00"/>
    <n v="1009"/>
    <s v="Customer_4"/>
    <x v="0"/>
    <x v="2"/>
    <s v="Clothing"/>
    <s v="Product_C"/>
    <n v="851"/>
    <n v="1"/>
    <n v="0.14000000000000001"/>
    <n v="1419"/>
    <s v="UPI"/>
    <n v="731.86"/>
    <s v="Aug"/>
    <n v="2024"/>
    <s v="Q3"/>
    <n v="1.9388954171562867"/>
    <n v="119.14000000000001"/>
    <s v="Low"/>
    <s v="Repeat"/>
    <s v="Below Avg"/>
    <s v="Profit"/>
    <n v="484"/>
  </r>
  <r>
    <n v="226"/>
    <d v="2024-08-13T00:00:00"/>
    <n v="1079"/>
    <s v="Customer_130"/>
    <x v="1"/>
    <x v="0"/>
    <s v="Furniture"/>
    <s v="Product_B"/>
    <n v="2116"/>
    <n v="6"/>
    <n v="0.05"/>
    <n v="1516"/>
    <s v="UPI"/>
    <n v="12061.199999999901"/>
    <s v="Aug"/>
    <n v="2024"/>
    <s v="Q3"/>
    <n v="0.12569230259012473"/>
    <n v="634.80000000000007"/>
    <s v="High"/>
    <s v="Repeat"/>
    <s v="Above Avg"/>
    <s v="Profit"/>
    <n v="167"/>
  </r>
  <r>
    <n v="227"/>
    <d v="2024-08-14T00:00:00"/>
    <n v="1028"/>
    <s v="Customer_110"/>
    <x v="0"/>
    <x v="2"/>
    <s v="Furniture"/>
    <s v="Product_B"/>
    <n v="648"/>
    <n v="9"/>
    <n v="0.19"/>
    <n v="730"/>
    <s v="Card"/>
    <n v="4723.92"/>
    <s v="Aug"/>
    <n v="2024"/>
    <s v="Q3"/>
    <n v="0.15453267625192638"/>
    <n v="1108.08"/>
    <s v="Medium"/>
    <s v="Repeat"/>
    <s v="Below Avg"/>
    <s v="Profit"/>
    <n v="331"/>
  </r>
  <r>
    <n v="228"/>
    <d v="2024-08-15T00:00:00"/>
    <n v="1066"/>
    <s v="Customer_64"/>
    <x v="0"/>
    <x v="2"/>
    <s v="Furniture"/>
    <s v="Product_A"/>
    <n v="2655"/>
    <n v="6"/>
    <n v="0.27"/>
    <n v="1403"/>
    <s v="COD"/>
    <n v="11628.9"/>
    <s v="Aug"/>
    <n v="2024"/>
    <s v="Q3"/>
    <n v="0.12064769668670296"/>
    <n v="4301.1000000000004"/>
    <s v="High"/>
    <s v="Repeat"/>
    <s v="Above Avg"/>
    <s v="Profit"/>
    <n v="179"/>
  </r>
  <r>
    <n v="229"/>
    <d v="2024-08-16T00:00:00"/>
    <n v="1010"/>
    <s v="Customer_29"/>
    <x v="0"/>
    <x v="3"/>
    <s v="Clothing"/>
    <s v="Product_C"/>
    <n v="738"/>
    <n v="1"/>
    <n v="0.17"/>
    <n v="1581"/>
    <s v="UPI"/>
    <n v="612.54"/>
    <s v="Aug"/>
    <n v="2024"/>
    <s v="Q3"/>
    <n v="2.5810559310412384"/>
    <n v="125.46000000000001"/>
    <s v="Low"/>
    <s v="Repeat"/>
    <s v="Below Avg"/>
    <s v="Profit"/>
    <n v="486"/>
  </r>
  <r>
    <n v="230"/>
    <d v="2024-08-17T00:00:00"/>
    <n v="1003"/>
    <s v="Customer_89"/>
    <x v="0"/>
    <x v="1"/>
    <s v="Furniture"/>
    <s v="Product_B"/>
    <n v="1820"/>
    <n v="9"/>
    <n v="0.09"/>
    <n v="631"/>
    <s v="UPI"/>
    <n v="14905.8"/>
    <s v="Aug"/>
    <n v="2024"/>
    <s v="Q3"/>
    <n v="4.2332514859987389E-2"/>
    <n v="1474.2"/>
    <s v="High"/>
    <s v="Repeat"/>
    <s v="Above Avg"/>
    <s v="Profit"/>
    <n v="141"/>
  </r>
  <r>
    <n v="231"/>
    <d v="2024-08-18T00:00:00"/>
    <n v="1048"/>
    <s v="Customer_95"/>
    <x v="0"/>
    <x v="3"/>
    <s v="Electronics"/>
    <s v="Product_C"/>
    <n v="3916"/>
    <n v="7"/>
    <n v="0.12"/>
    <n v="1533"/>
    <s v="UPI"/>
    <n v="24122.560000000001"/>
    <s v="Aug"/>
    <n v="2024"/>
    <s v="Q3"/>
    <n v="6.3550468938620111E-2"/>
    <n v="3289.44"/>
    <s v="High"/>
    <s v="Repeat"/>
    <s v="Above Avg"/>
    <s v="Profit"/>
    <n v="51"/>
  </r>
  <r>
    <n v="232"/>
    <d v="2024-08-19T00:00:00"/>
    <n v="1003"/>
    <s v="Customer_175"/>
    <x v="0"/>
    <x v="2"/>
    <s v="Clothing"/>
    <s v="Product_D"/>
    <n v="3888"/>
    <n v="5"/>
    <n v="7.0000000000000007E-2"/>
    <n v="1032"/>
    <s v="Card"/>
    <n v="18079.199999999899"/>
    <s v="Aug"/>
    <n v="2024"/>
    <s v="Q3"/>
    <n v="5.7082171777512597E-2"/>
    <n v="1360.8000000000002"/>
    <s v="High"/>
    <s v="Repeat"/>
    <s v="Above Avg"/>
    <s v="Profit"/>
    <n v="91"/>
  </r>
  <r>
    <n v="233"/>
    <d v="2024-08-20T00:00:00"/>
    <n v="1023"/>
    <s v="Customer_15"/>
    <x v="0"/>
    <x v="3"/>
    <s v="Clothing"/>
    <s v="Product_B"/>
    <n v="1813"/>
    <n v="7"/>
    <n v="0.13"/>
    <n v="937"/>
    <s v="COD"/>
    <n v="11041.17"/>
    <s v="Aug"/>
    <n v="2024"/>
    <s v="Q3"/>
    <n v="8.4864194646038421E-2"/>
    <n v="1649.8300000000002"/>
    <s v="High"/>
    <s v="Repeat"/>
    <s v="Above Avg"/>
    <s v="Profit"/>
    <n v="189"/>
  </r>
  <r>
    <n v="234"/>
    <d v="2024-08-21T00:00:00"/>
    <n v="1091"/>
    <s v="Customer_166"/>
    <x v="1"/>
    <x v="2"/>
    <s v="Furniture"/>
    <s v="Product_C"/>
    <n v="4283"/>
    <n v="6"/>
    <n v="0.15"/>
    <n v="436"/>
    <s v="COD"/>
    <n v="21843.3"/>
    <s v="Aug"/>
    <n v="2024"/>
    <s v="Q3"/>
    <n v="1.9960353975818673E-2"/>
    <n v="3854.7"/>
    <s v="High"/>
    <s v="Repeat"/>
    <s v="Above Avg"/>
    <s v="Profit"/>
    <n v="68"/>
  </r>
  <r>
    <n v="235"/>
    <d v="2024-08-22T00:00:00"/>
    <n v="1055"/>
    <s v="Customer_97"/>
    <x v="1"/>
    <x v="3"/>
    <s v="Clothing"/>
    <s v="Product_C"/>
    <n v="4730"/>
    <n v="8"/>
    <n v="0.28000000000000003"/>
    <n v="1356"/>
    <s v="Card"/>
    <n v="27244.799999999999"/>
    <s v="Aug"/>
    <n v="2024"/>
    <s v="Q3"/>
    <n v="4.9770965468639891E-2"/>
    <n v="10595.2"/>
    <s v="High"/>
    <s v="Repeat"/>
    <s v="Above Avg"/>
    <s v="Profit"/>
    <n v="34"/>
  </r>
  <r>
    <n v="236"/>
    <d v="2024-08-23T00:00:00"/>
    <n v="1034"/>
    <s v="Customer_177"/>
    <x v="0"/>
    <x v="2"/>
    <s v="Furniture"/>
    <s v="Product_C"/>
    <n v="4044"/>
    <n v="8"/>
    <n v="0.13"/>
    <n v="-288"/>
    <s v="UPI"/>
    <n v="28146.240000000002"/>
    <s v="Aug"/>
    <n v="2024"/>
    <s v="Q3"/>
    <n v="-1.0232272587741736E-2"/>
    <n v="4205.76"/>
    <s v="High"/>
    <s v="Repeat"/>
    <s v="Above Avg"/>
    <s v="Loss"/>
    <n v="29"/>
  </r>
  <r>
    <n v="237"/>
    <d v="2024-08-24T00:00:00"/>
    <n v="1037"/>
    <s v="Customer_40"/>
    <x v="1"/>
    <x v="3"/>
    <s v="Electronics"/>
    <s v="Product_D"/>
    <n v="1901"/>
    <n v="8"/>
    <n v="0.26"/>
    <n v="1933"/>
    <s v="UPI"/>
    <n v="11253.92"/>
    <s v="Aug"/>
    <n v="2024"/>
    <s v="Q3"/>
    <n v="0.17176237257773291"/>
    <n v="3954.08"/>
    <s v="High"/>
    <s v="Repeat"/>
    <s v="Above Avg"/>
    <s v="Profit"/>
    <n v="186"/>
  </r>
  <r>
    <n v="238"/>
    <d v="2024-08-25T00:00:00"/>
    <n v="1049"/>
    <s v="Customer_144"/>
    <x v="0"/>
    <x v="0"/>
    <s v="Electronics"/>
    <s v="Product_A"/>
    <n v="4270"/>
    <n v="6"/>
    <n v="0.05"/>
    <n v="1845"/>
    <s v="Card"/>
    <n v="24339"/>
    <s v="Aug"/>
    <n v="2024"/>
    <s v="Q3"/>
    <n v="7.5804264760261308E-2"/>
    <n v="1281"/>
    <s v="High"/>
    <s v="Repeat"/>
    <s v="Above Avg"/>
    <s v="Profit"/>
    <n v="48"/>
  </r>
  <r>
    <n v="239"/>
    <d v="2024-08-26T00:00:00"/>
    <n v="1087"/>
    <s v="Customer_102"/>
    <x v="1"/>
    <x v="3"/>
    <s v="Furniture"/>
    <s v="Product_B"/>
    <n v="3460"/>
    <n v="2"/>
    <n v="0.16"/>
    <n v="898"/>
    <s v="UPI"/>
    <n v="5812.8"/>
    <s v="Aug"/>
    <n v="2024"/>
    <s v="Q3"/>
    <n v="0.15448665015139004"/>
    <n v="1107.2"/>
    <s v="High"/>
    <s v="Repeat"/>
    <s v="Below Avg"/>
    <s v="Profit"/>
    <n v="300"/>
  </r>
  <r>
    <n v="240"/>
    <d v="2024-08-27T00:00:00"/>
    <n v="1085"/>
    <s v="Customer_108"/>
    <x v="0"/>
    <x v="1"/>
    <s v="Furniture"/>
    <s v="Product_C"/>
    <n v="4062"/>
    <n v="1"/>
    <n v="0.18"/>
    <n v="630"/>
    <s v="Card"/>
    <n v="3330.84"/>
    <s v="Aug"/>
    <n v="2024"/>
    <s v="Q3"/>
    <n v="0.18914147782541341"/>
    <n v="731.16"/>
    <s v="Medium"/>
    <s v="Repeat"/>
    <s v="Below Avg"/>
    <s v="Profit"/>
    <n v="385"/>
  </r>
  <r>
    <n v="241"/>
    <d v="2024-08-28T00:00:00"/>
    <n v="1025"/>
    <s v="Customer_34"/>
    <x v="1"/>
    <x v="0"/>
    <s v="Furniture"/>
    <s v="Product_C"/>
    <n v="3312"/>
    <n v="6"/>
    <n v="0.18"/>
    <n v="1603"/>
    <s v="UPI"/>
    <n v="16295.04"/>
    <s v="Aug"/>
    <n v="2024"/>
    <s v="Q3"/>
    <n v="9.8373492792898934E-2"/>
    <n v="3576.96"/>
    <s v="High"/>
    <s v="Repeat"/>
    <s v="Above Avg"/>
    <s v="Profit"/>
    <n v="119"/>
  </r>
  <r>
    <n v="242"/>
    <d v="2024-08-29T00:00:00"/>
    <n v="1017"/>
    <s v="Customer_127"/>
    <x v="1"/>
    <x v="0"/>
    <s v="Electronics"/>
    <s v="Product_B"/>
    <n v="2687"/>
    <n v="2"/>
    <n v="0.15"/>
    <n v="564"/>
    <s v="UPI"/>
    <n v="4567.8999999999996"/>
    <s v="Aug"/>
    <n v="2024"/>
    <s v="Q3"/>
    <n v="0.12347030364062261"/>
    <n v="806.1"/>
    <s v="Medium"/>
    <s v="Repeat"/>
    <s v="Below Avg"/>
    <s v="Profit"/>
    <n v="336"/>
  </r>
  <r>
    <n v="243"/>
    <d v="2024-08-30T00:00:00"/>
    <n v="1058"/>
    <s v="Customer_134"/>
    <x v="1"/>
    <x v="3"/>
    <s v="Furniture"/>
    <s v="Product_B"/>
    <n v="4904"/>
    <n v="7"/>
    <n v="0.23"/>
    <n v="984"/>
    <s v="Card"/>
    <n v="26432.560000000001"/>
    <s v="Aug"/>
    <n v="2024"/>
    <s v="Q3"/>
    <n v="3.7226814201878289E-2"/>
    <n v="7895.4400000000005"/>
    <s v="High"/>
    <s v="Repeat"/>
    <s v="Above Avg"/>
    <s v="Profit"/>
    <n v="38"/>
  </r>
  <r>
    <n v="244"/>
    <d v="2024-08-31T00:00:00"/>
    <n v="1066"/>
    <s v="Customer_103"/>
    <x v="0"/>
    <x v="3"/>
    <s v="Electronics"/>
    <s v="Product_D"/>
    <n v="1799"/>
    <n v="2"/>
    <n v="0.05"/>
    <n v="241"/>
    <s v="Card"/>
    <n v="3418.1"/>
    <s v="Aug"/>
    <n v="2024"/>
    <s v="Q3"/>
    <n v="7.0507006816652534E-2"/>
    <n v="179.9"/>
    <s v="Medium"/>
    <s v="Repeat"/>
    <s v="Below Avg"/>
    <s v="Profit"/>
    <n v="380"/>
  </r>
  <r>
    <n v="245"/>
    <d v="2024-09-01T00:00:00"/>
    <n v="1045"/>
    <s v="Customer_87"/>
    <x v="0"/>
    <x v="2"/>
    <s v="Clothing"/>
    <s v="Product_A"/>
    <n v="247"/>
    <n v="7"/>
    <n v="0.02"/>
    <n v="452"/>
    <s v="UPI"/>
    <n v="1694.42"/>
    <s v="Sep"/>
    <n v="2024"/>
    <s v="Q3"/>
    <n v="0.26675794667201758"/>
    <n v="34.58"/>
    <s v="Low"/>
    <s v="Repeat"/>
    <s v="Below Avg"/>
    <s v="Profit"/>
    <n v="447"/>
  </r>
  <r>
    <n v="246"/>
    <d v="2024-09-02T00:00:00"/>
    <n v="1010"/>
    <s v="Customer_181"/>
    <x v="1"/>
    <x v="1"/>
    <s v="Furniture"/>
    <s v="Product_C"/>
    <n v="3111"/>
    <n v="1"/>
    <n v="0.04"/>
    <n v="120"/>
    <s v="Card"/>
    <n v="2986.56"/>
    <s v="Sep"/>
    <n v="2024"/>
    <s v="Q3"/>
    <n v="4.0180006428801027E-2"/>
    <n v="124.44"/>
    <s v="Medium"/>
    <s v="Repeat"/>
    <s v="Below Avg"/>
    <s v="Profit"/>
    <n v="394"/>
  </r>
  <r>
    <n v="247"/>
    <d v="2024-09-03T00:00:00"/>
    <n v="1008"/>
    <s v="Customer_114"/>
    <x v="1"/>
    <x v="3"/>
    <s v="Electronics"/>
    <s v="Product_B"/>
    <n v="1629"/>
    <n v="6"/>
    <n v="0.17"/>
    <n v="1561"/>
    <s v="UPI"/>
    <n v="8112.4199999999901"/>
    <s v="Sep"/>
    <n v="2024"/>
    <s v="Q3"/>
    <n v="0.19242100384348959"/>
    <n v="1661.5800000000002"/>
    <s v="High"/>
    <s v="Repeat"/>
    <s v="Below Avg"/>
    <s v="Profit"/>
    <n v="247"/>
  </r>
  <r>
    <n v="248"/>
    <d v="2024-09-04T00:00:00"/>
    <n v="1096"/>
    <s v="Customer_149"/>
    <x v="1"/>
    <x v="1"/>
    <s v="Electronics"/>
    <s v="Product_A"/>
    <n v="4607"/>
    <n v="8"/>
    <n v="7.0000000000000007E-2"/>
    <n v="746"/>
    <s v="UPI"/>
    <n v="34276.0799999999"/>
    <s v="Sep"/>
    <n v="2024"/>
    <s v="Q3"/>
    <n v="2.1764449143542731E-2"/>
    <n v="2579.92"/>
    <s v="High"/>
    <s v="Repeat"/>
    <s v="Above Avg"/>
    <s v="Profit"/>
    <n v="13"/>
  </r>
  <r>
    <n v="249"/>
    <d v="2024-09-05T00:00:00"/>
    <n v="1025"/>
    <s v="Customer_99"/>
    <x v="1"/>
    <x v="2"/>
    <s v="Clothing"/>
    <s v="Product_A"/>
    <n v="217"/>
    <n v="4"/>
    <n v="0.22"/>
    <n v="-1"/>
    <s v="COD"/>
    <n v="677.04"/>
    <s v="Sep"/>
    <n v="2024"/>
    <s v="Q3"/>
    <n v="-1.4770176060498641E-3"/>
    <n v="190.96"/>
    <s v="Low"/>
    <s v="Repeat"/>
    <s v="Below Avg"/>
    <s v="Loss"/>
    <n v="485"/>
  </r>
  <r>
    <n v="250"/>
    <d v="2024-09-06T00:00:00"/>
    <n v="1099"/>
    <s v="Customer_157"/>
    <x v="1"/>
    <x v="1"/>
    <s v="Electronics"/>
    <s v="Product_A"/>
    <n v="4979"/>
    <n v="2"/>
    <n v="0.02"/>
    <n v="1538"/>
    <s v="COD"/>
    <n v="9758.84"/>
    <s v="Sep"/>
    <n v="2024"/>
    <s v="Q3"/>
    <n v="0.15760069844366748"/>
    <n v="199.16"/>
    <s v="High"/>
    <s v="Repeat"/>
    <s v="Below Avg"/>
    <s v="Profit"/>
    <n v="208"/>
  </r>
  <r>
    <n v="251"/>
    <d v="2024-09-07T00:00:00"/>
    <n v="1067"/>
    <s v="Customer_2"/>
    <x v="0"/>
    <x v="0"/>
    <s v="Furniture"/>
    <s v="Product_A"/>
    <n v="586"/>
    <n v="9"/>
    <n v="0.27"/>
    <n v="781"/>
    <s v="COD"/>
    <n v="3850.02"/>
    <s v="Sep"/>
    <n v="2024"/>
    <s v="Q3"/>
    <n v="0.20285608905927763"/>
    <n v="1423.98"/>
    <s v="Medium"/>
    <s v="Repeat"/>
    <s v="Below Avg"/>
    <s v="Profit"/>
    <n v="360"/>
  </r>
  <r>
    <n v="252"/>
    <d v="2024-09-08T00:00:00"/>
    <n v="1065"/>
    <s v="Customer_97"/>
    <x v="0"/>
    <x v="2"/>
    <s v="Furniture"/>
    <s v="Product_C"/>
    <n v="1335"/>
    <n v="6"/>
    <n v="0.28999999999999998"/>
    <n v="598"/>
    <s v="Card"/>
    <n v="5687.0999999999904"/>
    <s v="Sep"/>
    <n v="2024"/>
    <s v="Q3"/>
    <n v="0.10515025232543845"/>
    <n v="2322.8999999999996"/>
    <s v="High"/>
    <s v="Repeat"/>
    <s v="Below Avg"/>
    <s v="Profit"/>
    <n v="304"/>
  </r>
  <r>
    <n v="253"/>
    <d v="2024-09-09T00:00:00"/>
    <n v="1007"/>
    <s v="Customer_26"/>
    <x v="0"/>
    <x v="0"/>
    <s v="Electronics"/>
    <s v="Product_A"/>
    <n v="2947"/>
    <n v="2"/>
    <n v="0.24"/>
    <n v="48"/>
    <s v="COD"/>
    <n v="4479.4399999999996"/>
    <s v="Sep"/>
    <n v="2024"/>
    <s v="Q3"/>
    <n v="1.0715625167431644E-2"/>
    <n v="1414.56"/>
    <s v="Medium"/>
    <s v="Repeat"/>
    <s v="Below Avg"/>
    <s v="Profit"/>
    <n v="339"/>
  </r>
  <r>
    <n v="254"/>
    <d v="2024-09-10T00:00:00"/>
    <n v="1070"/>
    <s v="Customer_44"/>
    <x v="1"/>
    <x v="1"/>
    <s v="Electronics"/>
    <s v="Product_C"/>
    <n v="1121"/>
    <n v="5"/>
    <n v="0.26"/>
    <n v="1771"/>
    <s v="COD"/>
    <n v="4147.7"/>
    <s v="Sep"/>
    <n v="2024"/>
    <s v="Q3"/>
    <n v="0.42698362948139934"/>
    <n v="1457.3"/>
    <s v="Medium"/>
    <s v="Repeat"/>
    <s v="Below Avg"/>
    <s v="Profit"/>
    <n v="347"/>
  </r>
  <r>
    <n v="255"/>
    <d v="2024-09-11T00:00:00"/>
    <n v="1099"/>
    <s v="Customer_18"/>
    <x v="0"/>
    <x v="0"/>
    <s v="Electronics"/>
    <s v="Product_B"/>
    <n v="2319"/>
    <n v="7"/>
    <n v="0.11"/>
    <n v="-105"/>
    <s v="UPI"/>
    <n v="14447.37"/>
    <s v="Sep"/>
    <n v="2024"/>
    <s v="Q3"/>
    <n v="-7.2677587685509538E-3"/>
    <n v="1785.63"/>
    <s v="High"/>
    <s v="Repeat"/>
    <s v="Above Avg"/>
    <s v="Loss"/>
    <n v="143"/>
  </r>
  <r>
    <n v="256"/>
    <d v="2024-09-12T00:00:00"/>
    <n v="1097"/>
    <s v="Customer_98"/>
    <x v="1"/>
    <x v="0"/>
    <s v="Clothing"/>
    <s v="Product_C"/>
    <n v="3265"/>
    <n v="3"/>
    <n v="0.05"/>
    <n v="1937"/>
    <s v="Card"/>
    <n v="9305.25"/>
    <s v="Sep"/>
    <n v="2024"/>
    <s v="Q3"/>
    <n v="0.20816205905268531"/>
    <n v="489.75"/>
    <s v="High"/>
    <s v="Repeat"/>
    <s v="Below Avg"/>
    <s v="Profit"/>
    <n v="225"/>
  </r>
  <r>
    <n v="257"/>
    <d v="2024-09-13T00:00:00"/>
    <n v="1039"/>
    <s v="Customer_30"/>
    <x v="1"/>
    <x v="2"/>
    <s v="Furniture"/>
    <s v="Product_A"/>
    <n v="3199"/>
    <n v="1"/>
    <n v="0.06"/>
    <n v="1657"/>
    <s v="Card"/>
    <n v="3007.06"/>
    <s v="Sep"/>
    <n v="2024"/>
    <s v="Q3"/>
    <n v="0.55103656062732376"/>
    <n v="191.94"/>
    <s v="Medium"/>
    <s v="Repeat"/>
    <s v="Below Avg"/>
    <s v="Profit"/>
    <n v="392"/>
  </r>
  <r>
    <n v="258"/>
    <d v="2024-09-14T00:00:00"/>
    <n v="1082"/>
    <s v="Customer_108"/>
    <x v="1"/>
    <x v="0"/>
    <s v="Electronics"/>
    <s v="Product_B"/>
    <n v="316"/>
    <n v="5"/>
    <n v="0.15"/>
    <n v="897"/>
    <s v="UPI"/>
    <n v="1343"/>
    <s v="Sep"/>
    <n v="2024"/>
    <s v="Q3"/>
    <n v="0.66790766939687263"/>
    <n v="237"/>
    <s v="Low"/>
    <s v="Repeat"/>
    <s v="Below Avg"/>
    <s v="Profit"/>
    <n v="465"/>
  </r>
  <r>
    <n v="259"/>
    <d v="2024-09-15T00:00:00"/>
    <n v="1092"/>
    <s v="Customer_23"/>
    <x v="0"/>
    <x v="0"/>
    <s v="Furniture"/>
    <s v="Product_C"/>
    <n v="4046"/>
    <n v="5"/>
    <n v="0.2"/>
    <n v="-246"/>
    <s v="COD"/>
    <n v="16184"/>
    <s v="Sep"/>
    <n v="2024"/>
    <s v="Q3"/>
    <n v="-1.5200197726149283E-2"/>
    <n v="4046"/>
    <s v="High"/>
    <s v="Repeat"/>
    <s v="Above Avg"/>
    <s v="Loss"/>
    <n v="122"/>
  </r>
  <r>
    <n v="260"/>
    <d v="2024-09-16T00:00:00"/>
    <n v="1038"/>
    <s v="Customer_48"/>
    <x v="1"/>
    <x v="2"/>
    <s v="Clothing"/>
    <s v="Product_C"/>
    <n v="2805"/>
    <n v="7"/>
    <n v="0.17"/>
    <n v="1777"/>
    <s v="Card"/>
    <n v="16297.05"/>
    <s v="Sep"/>
    <n v="2024"/>
    <s v="Q3"/>
    <n v="0.10903813880426212"/>
    <n v="3337.9500000000003"/>
    <s v="High"/>
    <s v="Repeat"/>
    <s v="Above Avg"/>
    <s v="Profit"/>
    <n v="118"/>
  </r>
  <r>
    <n v="261"/>
    <d v="2024-09-17T00:00:00"/>
    <n v="1005"/>
    <s v="Customer_183"/>
    <x v="1"/>
    <x v="0"/>
    <s v="Clothing"/>
    <s v="Product_B"/>
    <n v="1983"/>
    <n v="6"/>
    <n v="0.03"/>
    <n v="722"/>
    <s v="UPI"/>
    <n v="11541.06"/>
    <s v="Sep"/>
    <n v="2024"/>
    <s v="Q3"/>
    <n v="6.2559244991361285E-2"/>
    <n v="356.94"/>
    <s v="High"/>
    <s v="Repeat"/>
    <s v="Above Avg"/>
    <s v="Profit"/>
    <n v="180"/>
  </r>
  <r>
    <n v="262"/>
    <d v="2024-09-18T00:00:00"/>
    <n v="1009"/>
    <s v="Customer_127"/>
    <x v="1"/>
    <x v="1"/>
    <s v="Furniture"/>
    <s v="Product_C"/>
    <n v="1606"/>
    <n v="1"/>
    <n v="0.22"/>
    <n v="1195"/>
    <s v="COD"/>
    <n v="1252.68"/>
    <s v="Sep"/>
    <n v="2024"/>
    <s v="Q3"/>
    <n v="0.95395472107800872"/>
    <n v="353.32"/>
    <s v="Low"/>
    <s v="Repeat"/>
    <s v="Below Avg"/>
    <s v="Profit"/>
    <n v="468"/>
  </r>
  <r>
    <n v="263"/>
    <d v="2024-09-19T00:00:00"/>
    <n v="1040"/>
    <s v="Customer_23"/>
    <x v="1"/>
    <x v="0"/>
    <s v="Clothing"/>
    <s v="Product_D"/>
    <n v="4264"/>
    <n v="1"/>
    <n v="0.24"/>
    <n v="-20"/>
    <s v="UPI"/>
    <n v="3240.64"/>
    <s v="Sep"/>
    <n v="2024"/>
    <s v="Q3"/>
    <n v="-6.1716204206576485E-3"/>
    <n v="1023.36"/>
    <s v="Medium"/>
    <s v="Repeat"/>
    <s v="Below Avg"/>
    <s v="Loss"/>
    <n v="386"/>
  </r>
  <r>
    <n v="264"/>
    <d v="2024-09-20T00:00:00"/>
    <n v="1068"/>
    <s v="Customer_40"/>
    <x v="1"/>
    <x v="1"/>
    <s v="Furniture"/>
    <s v="Product_A"/>
    <n v="2397"/>
    <n v="7"/>
    <n v="0.01"/>
    <n v="-217"/>
    <s v="COD"/>
    <n v="16611.21"/>
    <s v="Sep"/>
    <n v="2024"/>
    <s v="Q3"/>
    <n v="-1.3063467381364754E-2"/>
    <n v="167.79"/>
    <s v="High"/>
    <s v="Repeat"/>
    <s v="Above Avg"/>
    <s v="Loss"/>
    <n v="113"/>
  </r>
  <r>
    <n v="265"/>
    <d v="2024-09-21T00:00:00"/>
    <n v="1087"/>
    <s v="Customer_64"/>
    <x v="1"/>
    <x v="2"/>
    <s v="Furniture"/>
    <s v="Product_B"/>
    <n v="1811"/>
    <n v="2"/>
    <n v="0.14000000000000001"/>
    <n v="1730"/>
    <s v="UPI"/>
    <n v="3114.92"/>
    <s v="Sep"/>
    <n v="2024"/>
    <s v="Q3"/>
    <n v="0.55539147072798012"/>
    <n v="507.08000000000004"/>
    <s v="Medium"/>
    <s v="Repeat"/>
    <s v="Below Avg"/>
    <s v="Profit"/>
    <n v="389"/>
  </r>
  <r>
    <n v="266"/>
    <d v="2024-09-22T00:00:00"/>
    <n v="1021"/>
    <s v="Customer_72"/>
    <x v="1"/>
    <x v="2"/>
    <s v="Electronics"/>
    <s v="Product_A"/>
    <n v="1107"/>
    <n v="9"/>
    <n v="0.13"/>
    <n v="655"/>
    <s v="Card"/>
    <n v="8667.81"/>
    <s v="Sep"/>
    <n v="2024"/>
    <s v="Q3"/>
    <n v="7.5566954051830865E-2"/>
    <n v="1295.19"/>
    <s v="High"/>
    <s v="Repeat"/>
    <s v="Below Avg"/>
    <s v="Profit"/>
    <n v="235"/>
  </r>
  <r>
    <n v="267"/>
    <d v="2024-09-23T00:00:00"/>
    <n v="1089"/>
    <s v="Customer_142"/>
    <x v="0"/>
    <x v="0"/>
    <s v="Electronics"/>
    <s v="Product_D"/>
    <n v="2696"/>
    <n v="9"/>
    <n v="0.02"/>
    <n v="445"/>
    <s v="Card"/>
    <n v="23778.720000000001"/>
    <s v="Sep"/>
    <n v="2024"/>
    <s v="Q3"/>
    <n v="1.8714211698527085E-2"/>
    <n v="485.28000000000003"/>
    <s v="High"/>
    <s v="Repeat"/>
    <s v="Above Avg"/>
    <s v="Profit"/>
    <n v="53"/>
  </r>
  <r>
    <n v="268"/>
    <d v="2024-09-24T00:00:00"/>
    <n v="1050"/>
    <s v="Customer_124"/>
    <x v="1"/>
    <x v="2"/>
    <s v="Furniture"/>
    <s v="Product_B"/>
    <n v="3486"/>
    <n v="4"/>
    <n v="0.05"/>
    <n v="1943"/>
    <s v="COD"/>
    <n v="13246.8"/>
    <s v="Sep"/>
    <n v="2024"/>
    <s v="Q3"/>
    <n v="0.14667693329709819"/>
    <n v="697.2"/>
    <s v="High"/>
    <s v="Repeat"/>
    <s v="Above Avg"/>
    <s v="Profit"/>
    <n v="158"/>
  </r>
  <r>
    <n v="269"/>
    <d v="2024-09-25T00:00:00"/>
    <n v="1036"/>
    <s v="Customer_110"/>
    <x v="1"/>
    <x v="2"/>
    <s v="Electronics"/>
    <s v="Product_A"/>
    <n v="1882"/>
    <n v="3"/>
    <n v="0.24"/>
    <n v="1096"/>
    <s v="COD"/>
    <n v="4290.96"/>
    <s v="Sep"/>
    <n v="2024"/>
    <s v="Q3"/>
    <n v="0.25542069839849357"/>
    <n v="1355.04"/>
    <s v="Medium"/>
    <s v="Repeat"/>
    <s v="Below Avg"/>
    <s v="Profit"/>
    <n v="342"/>
  </r>
  <r>
    <n v="270"/>
    <d v="2024-09-26T00:00:00"/>
    <n v="1044"/>
    <s v="Customer_78"/>
    <x v="1"/>
    <x v="3"/>
    <s v="Furniture"/>
    <s v="Product_C"/>
    <n v="4244"/>
    <n v="8"/>
    <n v="0.18"/>
    <n v="1997"/>
    <s v="UPI"/>
    <n v="27840.639999999999"/>
    <s v="Sep"/>
    <n v="2024"/>
    <s v="Q3"/>
    <n v="7.1729672881083201E-2"/>
    <n v="6111.36"/>
    <s v="High"/>
    <s v="Repeat"/>
    <s v="Above Avg"/>
    <s v="Profit"/>
    <n v="33"/>
  </r>
  <r>
    <n v="271"/>
    <d v="2024-09-27T00:00:00"/>
    <n v="1092"/>
    <s v="Customer_2"/>
    <x v="0"/>
    <x v="1"/>
    <s v="Clothing"/>
    <s v="Product_D"/>
    <n v="2461"/>
    <n v="4"/>
    <n v="7.0000000000000007E-2"/>
    <n v="1327"/>
    <s v="Card"/>
    <n v="9154.92"/>
    <s v="Sep"/>
    <n v="2024"/>
    <s v="Q3"/>
    <n v="0.14494938240858468"/>
    <n v="689.08"/>
    <s v="High"/>
    <s v="Repeat"/>
    <s v="Below Avg"/>
    <s v="Profit"/>
    <n v="228"/>
  </r>
  <r>
    <n v="272"/>
    <d v="2024-09-28T00:00:00"/>
    <n v="1099"/>
    <s v="Customer_122"/>
    <x v="1"/>
    <x v="0"/>
    <s v="Electronics"/>
    <s v="Product_B"/>
    <n v="4549"/>
    <n v="3"/>
    <n v="0.14000000000000001"/>
    <n v="1353"/>
    <s v="COD"/>
    <n v="11736.42"/>
    <s v="Sep"/>
    <n v="2024"/>
    <s v="Q3"/>
    <n v="0.11528217292837169"/>
    <n v="1910.5800000000002"/>
    <s v="High"/>
    <s v="Repeat"/>
    <s v="Above Avg"/>
    <s v="Profit"/>
    <n v="176"/>
  </r>
  <r>
    <n v="273"/>
    <d v="2024-09-29T00:00:00"/>
    <n v="1083"/>
    <s v="Customer_4"/>
    <x v="1"/>
    <x v="0"/>
    <s v="Furniture"/>
    <s v="Product_D"/>
    <n v="1134"/>
    <n v="3"/>
    <n v="0.26"/>
    <n v="1911"/>
    <s v="UPI"/>
    <n v="2517.48"/>
    <s v="Sep"/>
    <n v="2024"/>
    <s v="Q3"/>
    <n v="0.75909242575909242"/>
    <n v="884.52"/>
    <s v="Medium"/>
    <s v="Repeat"/>
    <s v="Below Avg"/>
    <s v="Profit"/>
    <n v="409"/>
  </r>
  <r>
    <n v="274"/>
    <d v="2024-09-30T00:00:00"/>
    <n v="1081"/>
    <s v="Customer_100"/>
    <x v="0"/>
    <x v="2"/>
    <s v="Electronics"/>
    <s v="Product_C"/>
    <n v="3921"/>
    <n v="3"/>
    <n v="0.03"/>
    <n v="-471"/>
    <s v="COD"/>
    <n v="11410.11"/>
    <s v="Sep"/>
    <n v="2024"/>
    <s v="Q3"/>
    <n v="-4.1279181357585508E-2"/>
    <n v="352.89"/>
    <s v="High"/>
    <s v="Repeat"/>
    <s v="Above Avg"/>
    <s v="Loss"/>
    <n v="182"/>
  </r>
  <r>
    <n v="275"/>
    <d v="2024-10-01T00:00:00"/>
    <n v="1061"/>
    <s v="Customer_9"/>
    <x v="0"/>
    <x v="3"/>
    <s v="Electronics"/>
    <s v="Product_C"/>
    <n v="3876"/>
    <n v="1"/>
    <n v="0.28999999999999998"/>
    <n v="71"/>
    <s v="UPI"/>
    <n v="2751.96"/>
    <s v="Oct"/>
    <n v="2024"/>
    <s v="Q4"/>
    <n v="2.5799793601651185E-2"/>
    <n v="1124.04"/>
    <s v="Medium"/>
    <s v="Repeat"/>
    <s v="Below Avg"/>
    <s v="Profit"/>
    <n v="401"/>
  </r>
  <r>
    <n v="276"/>
    <d v="2024-10-02T00:00:00"/>
    <n v="1014"/>
    <s v="Customer_16"/>
    <x v="1"/>
    <x v="2"/>
    <s v="Furniture"/>
    <s v="Product_B"/>
    <n v="4808"/>
    <n v="5"/>
    <n v="0.04"/>
    <n v="860"/>
    <s v="COD"/>
    <n v="23078.3999999999"/>
    <s v="Oct"/>
    <n v="2024"/>
    <s v="Q4"/>
    <n v="3.7264281752634659E-2"/>
    <n v="961.6"/>
    <s v="High"/>
    <s v="Repeat"/>
    <s v="Above Avg"/>
    <s v="Profit"/>
    <n v="58"/>
  </r>
  <r>
    <n v="277"/>
    <d v="2024-10-03T00:00:00"/>
    <n v="1078"/>
    <s v="Customer_96"/>
    <x v="0"/>
    <x v="0"/>
    <s v="Furniture"/>
    <s v="Product_B"/>
    <n v="1839"/>
    <n v="2"/>
    <n v="0.09"/>
    <n v="1136"/>
    <s v="COD"/>
    <n v="3346.98"/>
    <s v="Oct"/>
    <n v="2024"/>
    <s v="Q4"/>
    <n v="0.33941045360294952"/>
    <n v="331.02"/>
    <s v="Medium"/>
    <s v="Repeat"/>
    <s v="Below Avg"/>
    <s v="Profit"/>
    <n v="384"/>
  </r>
  <r>
    <n v="278"/>
    <d v="2024-10-04T00:00:00"/>
    <n v="1023"/>
    <s v="Customer_160"/>
    <x v="0"/>
    <x v="2"/>
    <s v="Furniture"/>
    <s v="Product_D"/>
    <n v="535"/>
    <n v="7"/>
    <n v="0.05"/>
    <n v="-213"/>
    <s v="COD"/>
    <n v="3557.75"/>
    <s v="Oct"/>
    <n v="2024"/>
    <s v="Q4"/>
    <n v="-5.9869299416766213E-2"/>
    <n v="187.25"/>
    <s v="Medium"/>
    <s v="Repeat"/>
    <s v="Below Avg"/>
    <s v="Loss"/>
    <n v="374"/>
  </r>
  <r>
    <n v="279"/>
    <d v="2024-10-05T00:00:00"/>
    <n v="1062"/>
    <s v="Customer_27"/>
    <x v="1"/>
    <x v="3"/>
    <s v="Electronics"/>
    <s v="Product_B"/>
    <n v="592"/>
    <n v="4"/>
    <n v="0.14000000000000001"/>
    <n v="549"/>
    <s v="COD"/>
    <n v="2036.48"/>
    <s v="Oct"/>
    <n v="2024"/>
    <s v="Q4"/>
    <n v="0.26958280955373981"/>
    <n v="331.52000000000004"/>
    <s v="Medium"/>
    <s v="Repeat"/>
    <s v="Below Avg"/>
    <s v="Profit"/>
    <n v="428"/>
  </r>
  <r>
    <n v="280"/>
    <d v="2024-10-06T00:00:00"/>
    <n v="1028"/>
    <s v="Customer_15"/>
    <x v="0"/>
    <x v="2"/>
    <s v="Electronics"/>
    <s v="Product_A"/>
    <n v="4041"/>
    <n v="2"/>
    <n v="0.09"/>
    <n v="-358"/>
    <s v="UPI"/>
    <n v="7354.62"/>
    <s v="Oct"/>
    <n v="2024"/>
    <s v="Q4"/>
    <n v="-4.8676886093367164E-2"/>
    <n v="727.38"/>
    <s v="High"/>
    <s v="Repeat"/>
    <s v="Below Avg"/>
    <s v="Loss"/>
    <n v="267"/>
  </r>
  <r>
    <n v="281"/>
    <d v="2024-10-07T00:00:00"/>
    <n v="1080"/>
    <s v="Customer_68"/>
    <x v="0"/>
    <x v="3"/>
    <s v="Furniture"/>
    <s v="Product_D"/>
    <n v="2216"/>
    <n v="8"/>
    <n v="0.3"/>
    <n v="618"/>
    <s v="COD"/>
    <n v="12409.5999999999"/>
    <s v="Oct"/>
    <n v="2024"/>
    <s v="Q4"/>
    <n v="4.9800154718927681E-2"/>
    <n v="5318.4"/>
    <s v="High"/>
    <s v="Repeat"/>
    <s v="Above Avg"/>
    <s v="Profit"/>
    <n v="164"/>
  </r>
  <r>
    <n v="282"/>
    <d v="2024-10-08T00:00:00"/>
    <n v="1024"/>
    <s v="Customer_25"/>
    <x v="0"/>
    <x v="3"/>
    <s v="Furniture"/>
    <s v="Product_A"/>
    <n v="2168"/>
    <n v="8"/>
    <n v="0"/>
    <n v="853"/>
    <s v="Card"/>
    <n v="17344"/>
    <s v="Oct"/>
    <n v="2024"/>
    <s v="Q4"/>
    <n v="4.9181273062730631E-2"/>
    <n v="0"/>
    <s v="High"/>
    <s v="Repeat"/>
    <s v="Above Avg"/>
    <s v="Profit"/>
    <n v="101"/>
  </r>
  <r>
    <n v="283"/>
    <d v="2024-10-09T00:00:00"/>
    <n v="1015"/>
    <s v="Customer_15"/>
    <x v="0"/>
    <x v="2"/>
    <s v="Clothing"/>
    <s v="Product_D"/>
    <n v="1828"/>
    <n v="1"/>
    <n v="0.1"/>
    <n v="892"/>
    <s v="COD"/>
    <n v="1645.2"/>
    <s v="Oct"/>
    <n v="2024"/>
    <s v="Q4"/>
    <n v="0.54218332117675661"/>
    <n v="182.8"/>
    <s v="Low"/>
    <s v="Repeat"/>
    <s v="Below Avg"/>
    <s v="Profit"/>
    <n v="450"/>
  </r>
  <r>
    <n v="284"/>
    <d v="2024-10-10T00:00:00"/>
    <n v="1049"/>
    <s v="Customer_12"/>
    <x v="1"/>
    <x v="0"/>
    <s v="Electronics"/>
    <s v="Product_B"/>
    <n v="2743"/>
    <n v="5"/>
    <n v="0.18"/>
    <n v="-288"/>
    <s v="COD"/>
    <n v="11246.3"/>
    <s v="Oct"/>
    <n v="2024"/>
    <s v="Q4"/>
    <n v="-2.5608422325564855E-2"/>
    <n v="2468.6999999999998"/>
    <s v="High"/>
    <s v="Repeat"/>
    <s v="Above Avg"/>
    <s v="Loss"/>
    <n v="187"/>
  </r>
  <r>
    <n v="285"/>
    <d v="2024-10-11T00:00:00"/>
    <n v="1080"/>
    <s v="Customer_71"/>
    <x v="1"/>
    <x v="3"/>
    <s v="Clothing"/>
    <s v="Product_C"/>
    <n v="3747"/>
    <n v="2"/>
    <n v="0.1"/>
    <n v="-334"/>
    <s v="Card"/>
    <n v="6744.6"/>
    <s v="Oct"/>
    <n v="2024"/>
    <s v="Q4"/>
    <n v="-4.9521098360169616E-2"/>
    <n v="749.40000000000009"/>
    <s v="High"/>
    <s v="Repeat"/>
    <s v="Below Avg"/>
    <s v="Loss"/>
    <n v="281"/>
  </r>
  <r>
    <n v="286"/>
    <d v="2024-10-12T00:00:00"/>
    <n v="1084"/>
    <s v="Customer_152"/>
    <x v="1"/>
    <x v="0"/>
    <s v="Electronics"/>
    <s v="Product_C"/>
    <n v="3612"/>
    <n v="9"/>
    <n v="0.14000000000000001"/>
    <n v="74"/>
    <s v="COD"/>
    <n v="27956.880000000001"/>
    <s v="Oct"/>
    <n v="2024"/>
    <s v="Q4"/>
    <n v="2.6469334203244425E-3"/>
    <n v="4551.1200000000008"/>
    <s v="High"/>
    <s v="Repeat"/>
    <s v="Above Avg"/>
    <s v="Profit"/>
    <n v="31"/>
  </r>
  <r>
    <n v="287"/>
    <d v="2024-10-13T00:00:00"/>
    <n v="1090"/>
    <s v="Customer_70"/>
    <x v="1"/>
    <x v="3"/>
    <s v="Electronics"/>
    <s v="Product_D"/>
    <n v="1459"/>
    <n v="2"/>
    <n v="0.13"/>
    <n v="-190"/>
    <s v="UPI"/>
    <n v="2538.66"/>
    <s v="Oct"/>
    <n v="2024"/>
    <s v="Q4"/>
    <n v="-7.4842633515319112E-2"/>
    <n v="379.34000000000003"/>
    <s v="Medium"/>
    <s v="Repeat"/>
    <s v="Below Avg"/>
    <s v="Loss"/>
    <n v="408"/>
  </r>
  <r>
    <n v="288"/>
    <d v="2024-10-14T00:00:00"/>
    <n v="1004"/>
    <s v="Customer_112"/>
    <x v="1"/>
    <x v="0"/>
    <s v="Electronics"/>
    <s v="Product_A"/>
    <n v="2607"/>
    <n v="7"/>
    <n v="0.03"/>
    <n v="431"/>
    <s v="UPI"/>
    <n v="17701.53"/>
    <s v="Oct"/>
    <n v="2024"/>
    <s v="Q4"/>
    <n v="2.4348177812878322E-2"/>
    <n v="547.47"/>
    <s v="High"/>
    <s v="Repeat"/>
    <s v="Above Avg"/>
    <s v="Profit"/>
    <n v="93"/>
  </r>
  <r>
    <n v="289"/>
    <d v="2024-10-15T00:00:00"/>
    <n v="1021"/>
    <s v="Customer_169"/>
    <x v="0"/>
    <x v="0"/>
    <s v="Furniture"/>
    <s v="Product_C"/>
    <n v="3261"/>
    <n v="2"/>
    <n v="0.19"/>
    <n v="1891"/>
    <s v="COD"/>
    <n v="5282.82"/>
    <s v="Oct"/>
    <n v="2024"/>
    <s v="Q4"/>
    <n v="0.35795276007889726"/>
    <n v="1239.18"/>
    <s v="High"/>
    <s v="Repeat"/>
    <s v="Below Avg"/>
    <s v="Profit"/>
    <n v="317"/>
  </r>
  <r>
    <n v="290"/>
    <d v="2024-10-16T00:00:00"/>
    <n v="1032"/>
    <s v="Customer_60"/>
    <x v="1"/>
    <x v="2"/>
    <s v="Furniture"/>
    <s v="Product_D"/>
    <n v="3495"/>
    <n v="2"/>
    <n v="0.25"/>
    <n v="1055"/>
    <s v="UPI"/>
    <n v="5242.5"/>
    <s v="Oct"/>
    <n v="2024"/>
    <s v="Q4"/>
    <n v="0.20123986647591799"/>
    <n v="1747.5"/>
    <s v="High"/>
    <s v="Repeat"/>
    <s v="Below Avg"/>
    <s v="Profit"/>
    <n v="318"/>
  </r>
  <r>
    <n v="291"/>
    <d v="2024-10-17T00:00:00"/>
    <n v="1039"/>
    <s v="Customer_31"/>
    <x v="0"/>
    <x v="2"/>
    <s v="Furniture"/>
    <s v="Product_D"/>
    <n v="3159"/>
    <n v="1"/>
    <n v="0.16"/>
    <n v="528"/>
    <s v="COD"/>
    <n v="2653.56"/>
    <s v="Oct"/>
    <n v="2024"/>
    <s v="Q4"/>
    <n v="0.19897797675575454"/>
    <n v="505.44"/>
    <s v="Medium"/>
    <s v="Repeat"/>
    <s v="Below Avg"/>
    <s v="Profit"/>
    <n v="406"/>
  </r>
  <r>
    <n v="292"/>
    <d v="2024-10-18T00:00:00"/>
    <n v="1001"/>
    <s v="Customer_149"/>
    <x v="1"/>
    <x v="0"/>
    <s v="Furniture"/>
    <s v="Product_C"/>
    <n v="2792"/>
    <n v="1"/>
    <n v="0.04"/>
    <n v="1424"/>
    <s v="Card"/>
    <n v="2680.3199999999902"/>
    <s v="Oct"/>
    <n v="2024"/>
    <s v="Q4"/>
    <n v="0.53127984718242793"/>
    <n v="111.68"/>
    <s v="Medium"/>
    <s v="Repeat"/>
    <s v="Below Avg"/>
    <s v="Profit"/>
    <n v="404"/>
  </r>
  <r>
    <n v="293"/>
    <d v="2024-10-19T00:00:00"/>
    <n v="1098"/>
    <s v="Customer_60"/>
    <x v="1"/>
    <x v="2"/>
    <s v="Furniture"/>
    <s v="Product_C"/>
    <n v="462"/>
    <n v="9"/>
    <n v="0.14000000000000001"/>
    <n v="448"/>
    <s v="UPI"/>
    <n v="3575.88"/>
    <s v="Oct"/>
    <n v="2024"/>
    <s v="Q4"/>
    <n v="0.12528384621407876"/>
    <n v="582.12"/>
    <s v="Medium"/>
    <s v="Repeat"/>
    <s v="Below Avg"/>
    <s v="Profit"/>
    <n v="372"/>
  </r>
  <r>
    <n v="294"/>
    <d v="2024-10-20T00:00:00"/>
    <n v="1082"/>
    <s v="Customer_75"/>
    <x v="1"/>
    <x v="3"/>
    <s v="Electronics"/>
    <s v="Product_A"/>
    <n v="373"/>
    <n v="2"/>
    <n v="0"/>
    <n v="509"/>
    <s v="COD"/>
    <n v="746"/>
    <s v="Oct"/>
    <n v="2024"/>
    <s v="Q4"/>
    <n v="0.68230563002680966"/>
    <n v="0"/>
    <s v="Low"/>
    <s v="Repeat"/>
    <s v="Below Avg"/>
    <s v="Profit"/>
    <n v="483"/>
  </r>
  <r>
    <n v="295"/>
    <d v="2024-10-21T00:00:00"/>
    <n v="1090"/>
    <s v="Customer_14"/>
    <x v="1"/>
    <x v="0"/>
    <s v="Clothing"/>
    <s v="Product_B"/>
    <n v="4106"/>
    <n v="3"/>
    <n v="0.27"/>
    <n v="1883"/>
    <s v="UPI"/>
    <n v="8992.14"/>
    <s v="Oct"/>
    <n v="2024"/>
    <s v="Q4"/>
    <n v="0.20940510267856152"/>
    <n v="3325.86"/>
    <s v="High"/>
    <s v="Repeat"/>
    <s v="Below Avg"/>
    <s v="Profit"/>
    <n v="231"/>
  </r>
  <r>
    <n v="296"/>
    <d v="2024-10-22T00:00:00"/>
    <n v="1035"/>
    <s v="Customer_102"/>
    <x v="1"/>
    <x v="1"/>
    <s v="Clothing"/>
    <s v="Product_A"/>
    <n v="3188"/>
    <n v="9"/>
    <n v="7.0000000000000007E-2"/>
    <n v="956"/>
    <s v="COD"/>
    <n v="26683.559999999899"/>
    <s v="Oct"/>
    <n v="2024"/>
    <s v="Q4"/>
    <n v="3.5827303403294146E-2"/>
    <n v="2008.4400000000003"/>
    <s v="High"/>
    <s v="Repeat"/>
    <s v="Above Avg"/>
    <s v="Profit"/>
    <n v="35"/>
  </r>
  <r>
    <n v="297"/>
    <d v="2024-10-23T00:00:00"/>
    <n v="1058"/>
    <s v="Customer_82"/>
    <x v="0"/>
    <x v="0"/>
    <s v="Clothing"/>
    <s v="Product_D"/>
    <n v="3427"/>
    <n v="6"/>
    <n v="0.27"/>
    <n v="803"/>
    <s v="Card"/>
    <n v="15010.26"/>
    <s v="Oct"/>
    <n v="2024"/>
    <s v="Q4"/>
    <n v="5.3496741562104856E-2"/>
    <n v="5551.7400000000007"/>
    <s v="High"/>
    <s v="Repeat"/>
    <s v="Above Avg"/>
    <s v="Profit"/>
    <n v="138"/>
  </r>
  <r>
    <n v="298"/>
    <d v="2024-10-24T00:00:00"/>
    <n v="1038"/>
    <s v="Customer_14"/>
    <x v="0"/>
    <x v="3"/>
    <s v="Clothing"/>
    <s v="Product_D"/>
    <n v="227"/>
    <n v="6"/>
    <n v="0.18"/>
    <n v="1807"/>
    <s v="COD"/>
    <n v="1116.8399999999999"/>
    <s v="Oct"/>
    <n v="2024"/>
    <s v="Q4"/>
    <n v="1.6179578095340426"/>
    <n v="245.16"/>
    <s v="Low"/>
    <s v="Repeat"/>
    <s v="Below Avg"/>
    <s v="Profit"/>
    <n v="475"/>
  </r>
  <r>
    <n v="299"/>
    <d v="2024-10-25T00:00:00"/>
    <n v="1001"/>
    <s v="Customer_152"/>
    <x v="1"/>
    <x v="3"/>
    <s v="Furniture"/>
    <s v="Product_B"/>
    <n v="3346"/>
    <n v="9"/>
    <n v="0.28999999999999998"/>
    <n v="784"/>
    <s v="UPI"/>
    <n v="21380.94"/>
    <s v="Oct"/>
    <n v="2024"/>
    <s v="Q4"/>
    <n v="3.6668172680901778E-2"/>
    <n v="8733.06"/>
    <s v="High"/>
    <s v="Repeat"/>
    <s v="Above Avg"/>
    <s v="Profit"/>
    <n v="72"/>
  </r>
  <r>
    <n v="300"/>
    <d v="2024-10-26T00:00:00"/>
    <n v="1052"/>
    <s v="Customer_25"/>
    <x v="1"/>
    <x v="3"/>
    <s v="Clothing"/>
    <s v="Product_A"/>
    <n v="1300"/>
    <n v="7"/>
    <n v="0.25"/>
    <n v="-190"/>
    <s v="UPI"/>
    <n v="6825"/>
    <s v="Oct"/>
    <n v="2024"/>
    <s v="Q4"/>
    <n v="-2.7838827838827841E-2"/>
    <n v="2275"/>
    <s v="High"/>
    <s v="Repeat"/>
    <s v="Below Avg"/>
    <s v="Loss"/>
    <n v="276"/>
  </r>
  <r>
    <n v="301"/>
    <d v="2024-10-27T00:00:00"/>
    <n v="1017"/>
    <s v="Customer_109"/>
    <x v="1"/>
    <x v="3"/>
    <s v="Clothing"/>
    <s v="Product_A"/>
    <n v="3165"/>
    <n v="3"/>
    <n v="0"/>
    <n v="286"/>
    <s v="Card"/>
    <n v="9495"/>
    <s v="Oct"/>
    <n v="2024"/>
    <s v="Q4"/>
    <n v="3.0121116377040548E-2"/>
    <n v="0"/>
    <s v="High"/>
    <s v="Repeat"/>
    <s v="Below Avg"/>
    <s v="Profit"/>
    <n v="216"/>
  </r>
  <r>
    <n v="302"/>
    <d v="2024-10-28T00:00:00"/>
    <n v="1045"/>
    <s v="Customer_108"/>
    <x v="1"/>
    <x v="0"/>
    <s v="Clothing"/>
    <s v="Product_A"/>
    <n v="4359"/>
    <n v="9"/>
    <n v="0"/>
    <n v="198"/>
    <s v="Card"/>
    <n v="39231"/>
    <s v="Oct"/>
    <n v="2024"/>
    <s v="Q4"/>
    <n v="5.0470291351227348E-3"/>
    <n v="0"/>
    <s v="High"/>
    <s v="Repeat"/>
    <s v="Above Avg"/>
    <s v="Profit"/>
    <n v="3"/>
  </r>
  <r>
    <n v="303"/>
    <d v="2024-10-29T00:00:00"/>
    <n v="1022"/>
    <s v="Customer_156"/>
    <x v="0"/>
    <x v="2"/>
    <s v="Electronics"/>
    <s v="Product_C"/>
    <n v="4615"/>
    <n v="4"/>
    <n v="0.22"/>
    <n v="247"/>
    <s v="COD"/>
    <n v="14398.8"/>
    <s v="Oct"/>
    <n v="2024"/>
    <s v="Q4"/>
    <n v="1.7154207295052366E-2"/>
    <n v="4061.2"/>
    <s v="High"/>
    <s v="Repeat"/>
    <s v="Above Avg"/>
    <s v="Profit"/>
    <n v="145"/>
  </r>
  <r>
    <n v="304"/>
    <d v="2024-10-30T00:00:00"/>
    <n v="1053"/>
    <s v="Customer_88"/>
    <x v="0"/>
    <x v="3"/>
    <s v="Clothing"/>
    <s v="Product_D"/>
    <n v="3662"/>
    <n v="3"/>
    <n v="0.16"/>
    <n v="1555"/>
    <s v="COD"/>
    <n v="9228.24"/>
    <s v="Oct"/>
    <n v="2024"/>
    <s v="Q4"/>
    <n v="0.16850450356731078"/>
    <n v="1757.76"/>
    <s v="High"/>
    <s v="New"/>
    <s v="Below Avg"/>
    <s v="Profit"/>
    <n v="226"/>
  </r>
  <r>
    <n v="305"/>
    <d v="2024-10-31T00:00:00"/>
    <n v="1089"/>
    <s v="Customer_18"/>
    <x v="1"/>
    <x v="0"/>
    <s v="Electronics"/>
    <s v="Product_A"/>
    <n v="170"/>
    <n v="9"/>
    <n v="0.23"/>
    <n v="291"/>
    <s v="COD"/>
    <n v="1178.0999999999999"/>
    <s v="Oct"/>
    <n v="2024"/>
    <s v="Q4"/>
    <n v="0.24700789406671761"/>
    <n v="351.90000000000003"/>
    <s v="Low"/>
    <s v="Repeat"/>
    <s v="Below Avg"/>
    <s v="Profit"/>
    <n v="470"/>
  </r>
  <r>
    <n v="306"/>
    <d v="2024-11-01T00:00:00"/>
    <n v="1074"/>
    <s v="Customer_57"/>
    <x v="1"/>
    <x v="0"/>
    <s v="Electronics"/>
    <s v="Product_C"/>
    <n v="4005"/>
    <n v="3"/>
    <n v="0.18"/>
    <n v="940"/>
    <s v="COD"/>
    <n v="9852.2999999999993"/>
    <s v="Nov"/>
    <n v="2024"/>
    <s v="Q4"/>
    <n v="9.5409193792312469E-2"/>
    <n v="2162.6999999999998"/>
    <s v="High"/>
    <s v="Repeat"/>
    <s v="Below Avg"/>
    <s v="Profit"/>
    <n v="206"/>
  </r>
  <r>
    <n v="307"/>
    <d v="2024-11-02T00:00:00"/>
    <n v="1000"/>
    <s v="Customer_98"/>
    <x v="0"/>
    <x v="0"/>
    <s v="Electronics"/>
    <s v="Product_C"/>
    <n v="568"/>
    <n v="1"/>
    <n v="7.0000000000000007E-2"/>
    <n v="1894"/>
    <s v="UPI"/>
    <n v="528.24"/>
    <s v="Nov"/>
    <n v="2024"/>
    <s v="Q4"/>
    <n v="3.585491443283356"/>
    <n v="39.760000000000005"/>
    <s v="Low"/>
    <s v="Repeat"/>
    <s v="Below Avg"/>
    <s v="Profit"/>
    <n v="490"/>
  </r>
  <r>
    <n v="308"/>
    <d v="2024-11-03T00:00:00"/>
    <n v="1035"/>
    <s v="Customer_170"/>
    <x v="0"/>
    <x v="3"/>
    <s v="Clothing"/>
    <s v="Product_A"/>
    <n v="3660"/>
    <n v="3"/>
    <n v="0.24"/>
    <n v="1824"/>
    <s v="COD"/>
    <n v="8344.7999999999993"/>
    <s v="Nov"/>
    <n v="2024"/>
    <s v="Q4"/>
    <n v="0.21857923497267762"/>
    <n v="2635.2"/>
    <s v="High"/>
    <s v="Repeat"/>
    <s v="Below Avg"/>
    <s v="Profit"/>
    <n v="241"/>
  </r>
  <r>
    <n v="309"/>
    <d v="2024-11-04T00:00:00"/>
    <n v="1083"/>
    <s v="Customer_67"/>
    <x v="1"/>
    <x v="1"/>
    <s v="Furniture"/>
    <s v="Product_D"/>
    <n v="2023"/>
    <n v="3"/>
    <n v="0.01"/>
    <n v="356"/>
    <s v="Card"/>
    <n v="6008.31"/>
    <s v="Nov"/>
    <n v="2024"/>
    <s v="Q4"/>
    <n v="5.9251270323934679E-2"/>
    <n v="60.69"/>
    <s v="High"/>
    <s v="Repeat"/>
    <s v="Below Avg"/>
    <s v="Profit"/>
    <n v="297"/>
  </r>
  <r>
    <n v="310"/>
    <d v="2024-11-05T00:00:00"/>
    <n v="1094"/>
    <s v="Customer_140"/>
    <x v="0"/>
    <x v="3"/>
    <s v="Clothing"/>
    <s v="Product_B"/>
    <n v="3079"/>
    <n v="5"/>
    <n v="0.24"/>
    <n v="1522"/>
    <s v="UPI"/>
    <n v="11700.2"/>
    <s v="Nov"/>
    <n v="2024"/>
    <s v="Q4"/>
    <n v="0.13008324644023178"/>
    <n v="3694.7999999999997"/>
    <s v="High"/>
    <s v="Repeat"/>
    <s v="Above Avg"/>
    <s v="Profit"/>
    <n v="178"/>
  </r>
  <r>
    <n v="311"/>
    <d v="2024-11-06T00:00:00"/>
    <n v="1071"/>
    <s v="Customer_164"/>
    <x v="1"/>
    <x v="0"/>
    <s v="Furniture"/>
    <s v="Product_B"/>
    <n v="4122"/>
    <n v="9"/>
    <n v="0.2"/>
    <n v="-297"/>
    <s v="Card"/>
    <n v="29678.400000000001"/>
    <s v="Nov"/>
    <n v="2024"/>
    <s v="Q4"/>
    <n v="-1.0007278020378457E-2"/>
    <n v="7419.6"/>
    <s v="High"/>
    <s v="Repeat"/>
    <s v="Above Avg"/>
    <s v="Loss"/>
    <n v="25"/>
  </r>
  <r>
    <n v="312"/>
    <d v="2024-11-07T00:00:00"/>
    <n v="1039"/>
    <s v="Customer_69"/>
    <x v="1"/>
    <x v="3"/>
    <s v="Clothing"/>
    <s v="Product_A"/>
    <n v="4319"/>
    <n v="7"/>
    <n v="0.2"/>
    <n v="1668"/>
    <s v="UPI"/>
    <n v="24186.400000000001"/>
    <s v="Nov"/>
    <n v="2024"/>
    <s v="Q4"/>
    <n v="6.896437667449476E-2"/>
    <n v="6046.6"/>
    <s v="High"/>
    <s v="Repeat"/>
    <s v="Above Avg"/>
    <s v="Profit"/>
    <n v="50"/>
  </r>
  <r>
    <n v="313"/>
    <d v="2024-11-08T00:00:00"/>
    <n v="1087"/>
    <s v="Customer_83"/>
    <x v="0"/>
    <x v="2"/>
    <s v="Clothing"/>
    <s v="Product_D"/>
    <n v="4618"/>
    <n v="3"/>
    <n v="0.01"/>
    <n v="1802"/>
    <s v="COD"/>
    <n v="13715.46"/>
    <s v="Nov"/>
    <n v="2024"/>
    <s v="Q4"/>
    <n v="0.13138458352836874"/>
    <n v="138.54"/>
    <s v="High"/>
    <s v="Repeat"/>
    <s v="Above Avg"/>
    <s v="Profit"/>
    <n v="150"/>
  </r>
  <r>
    <n v="314"/>
    <d v="2024-11-09T00:00:00"/>
    <n v="1083"/>
    <s v="Customer_76"/>
    <x v="1"/>
    <x v="1"/>
    <s v="Furniture"/>
    <s v="Product_B"/>
    <n v="666"/>
    <n v="3"/>
    <n v="0.06"/>
    <n v="-107"/>
    <s v="UPI"/>
    <n v="1878.12"/>
    <s v="Nov"/>
    <n v="2024"/>
    <s v="Q4"/>
    <n v="-5.6971865482503783E-2"/>
    <n v="119.88"/>
    <s v="Low"/>
    <s v="Repeat"/>
    <s v="Below Avg"/>
    <s v="Loss"/>
    <n v="437"/>
  </r>
  <r>
    <n v="315"/>
    <d v="2024-11-10T00:00:00"/>
    <n v="1078"/>
    <s v="Customer_91"/>
    <x v="1"/>
    <x v="1"/>
    <s v="Electronics"/>
    <s v="Product_D"/>
    <n v="3227"/>
    <n v="4"/>
    <n v="0.15"/>
    <n v="200"/>
    <s v="COD"/>
    <n v="10971.8"/>
    <s v="Nov"/>
    <n v="2024"/>
    <s v="Q4"/>
    <n v="1.8228549554311965E-2"/>
    <n v="1936.1999999999998"/>
    <s v="High"/>
    <s v="Repeat"/>
    <s v="Above Avg"/>
    <s v="Profit"/>
    <n v="193"/>
  </r>
  <r>
    <n v="316"/>
    <d v="2024-11-11T00:00:00"/>
    <n v="1029"/>
    <s v="Customer_17"/>
    <x v="1"/>
    <x v="3"/>
    <s v="Electronics"/>
    <s v="Product_B"/>
    <n v="4116"/>
    <n v="7"/>
    <n v="0.13"/>
    <n v="1791"/>
    <s v="UPI"/>
    <n v="25066.44"/>
    <s v="Nov"/>
    <n v="2024"/>
    <s v="Q4"/>
    <n v="7.1450114176564369E-2"/>
    <n v="3745.56"/>
    <s v="High"/>
    <s v="Repeat"/>
    <s v="Above Avg"/>
    <s v="Profit"/>
    <n v="41"/>
  </r>
  <r>
    <n v="317"/>
    <d v="2024-11-12T00:00:00"/>
    <n v="1019"/>
    <s v="Customer_171"/>
    <x v="1"/>
    <x v="1"/>
    <s v="Electronics"/>
    <s v="Product_C"/>
    <n v="1265"/>
    <n v="4"/>
    <n v="0.01"/>
    <n v="458"/>
    <s v="Card"/>
    <n v="5009.3999999999996"/>
    <s v="Nov"/>
    <n v="2024"/>
    <s v="Q4"/>
    <n v="9.1428115143530164E-2"/>
    <n v="50.6"/>
    <s v="High"/>
    <s v="Repeat"/>
    <s v="Below Avg"/>
    <s v="Profit"/>
    <n v="322"/>
  </r>
  <r>
    <n v="318"/>
    <d v="2024-11-13T00:00:00"/>
    <n v="1037"/>
    <s v="Customer_92"/>
    <x v="1"/>
    <x v="1"/>
    <s v="Furniture"/>
    <s v="Product_D"/>
    <n v="4336"/>
    <n v="9"/>
    <n v="0.1"/>
    <n v="-99"/>
    <s v="COD"/>
    <n v="35121.599999999999"/>
    <s v="Nov"/>
    <n v="2024"/>
    <s v="Q4"/>
    <n v="-2.8187781877818778E-3"/>
    <n v="3902.4"/>
    <s v="High"/>
    <s v="Repeat"/>
    <s v="Above Avg"/>
    <s v="Loss"/>
    <n v="10"/>
  </r>
  <r>
    <n v="319"/>
    <d v="2024-11-14T00:00:00"/>
    <n v="1001"/>
    <s v="Customer_40"/>
    <x v="1"/>
    <x v="0"/>
    <s v="Clothing"/>
    <s v="Product_B"/>
    <n v="1915"/>
    <n v="3"/>
    <n v="0.28999999999999998"/>
    <n v="1599"/>
    <s v="Card"/>
    <n v="4078.95"/>
    <s v="Nov"/>
    <n v="2024"/>
    <s v="Q4"/>
    <n v="0.39201265031441918"/>
    <n v="1666.05"/>
    <s v="Medium"/>
    <s v="Repeat"/>
    <s v="Below Avg"/>
    <s v="Profit"/>
    <n v="349"/>
  </r>
  <r>
    <n v="320"/>
    <d v="2024-11-15T00:00:00"/>
    <n v="1005"/>
    <s v="Customer_22"/>
    <x v="1"/>
    <x v="0"/>
    <s v="Clothing"/>
    <s v="Product_A"/>
    <n v="4067"/>
    <n v="7"/>
    <n v="0.09"/>
    <n v="1720"/>
    <s v="UPI"/>
    <n v="25906.79"/>
    <s v="Nov"/>
    <n v="2024"/>
    <s v="Q4"/>
    <n v="6.6391860975443112E-2"/>
    <n v="2562.21"/>
    <s v="High"/>
    <s v="Repeat"/>
    <s v="Above Avg"/>
    <s v="Profit"/>
    <n v="40"/>
  </r>
  <r>
    <n v="321"/>
    <d v="2024-11-16T00:00:00"/>
    <n v="1081"/>
    <s v="Customer_192"/>
    <x v="1"/>
    <x v="1"/>
    <s v="Furniture"/>
    <s v="Product_D"/>
    <n v="240"/>
    <n v="9"/>
    <n v="0.19"/>
    <n v="271"/>
    <s v="Card"/>
    <n v="1749.6"/>
    <s v="Nov"/>
    <n v="2024"/>
    <s v="Q4"/>
    <n v="0.15489254686785553"/>
    <n v="410.4"/>
    <s v="Low"/>
    <s v="Repeat"/>
    <s v="Below Avg"/>
    <s v="Profit"/>
    <n v="443"/>
  </r>
  <r>
    <n v="322"/>
    <d v="2024-11-17T00:00:00"/>
    <n v="1035"/>
    <s v="Customer_138"/>
    <x v="0"/>
    <x v="3"/>
    <s v="Electronics"/>
    <s v="Product_D"/>
    <n v="3410"/>
    <n v="5"/>
    <n v="0.2"/>
    <n v="1549"/>
    <s v="Card"/>
    <n v="13640"/>
    <s v="Nov"/>
    <n v="2024"/>
    <s v="Q4"/>
    <n v="0.11356304985337243"/>
    <n v="3410"/>
    <s v="High"/>
    <s v="Repeat"/>
    <s v="Above Avg"/>
    <s v="Profit"/>
    <n v="151"/>
  </r>
  <r>
    <n v="323"/>
    <d v="2024-11-18T00:00:00"/>
    <n v="1077"/>
    <s v="Customer_105"/>
    <x v="0"/>
    <x v="1"/>
    <s v="Clothing"/>
    <s v="Product_D"/>
    <n v="601"/>
    <n v="4"/>
    <n v="0.19"/>
    <n v="-310"/>
    <s v="COD"/>
    <n v="1947.24"/>
    <s v="Nov"/>
    <n v="2024"/>
    <s v="Q4"/>
    <n v="-0.15919968776319304"/>
    <n v="456.76"/>
    <s v="Low"/>
    <s v="Repeat"/>
    <s v="Below Avg"/>
    <s v="Loss"/>
    <n v="433"/>
  </r>
  <r>
    <n v="324"/>
    <d v="2024-11-19T00:00:00"/>
    <n v="1025"/>
    <s v="Customer_134"/>
    <x v="1"/>
    <x v="0"/>
    <s v="Furniture"/>
    <s v="Product_B"/>
    <n v="1554"/>
    <n v="2"/>
    <n v="0.09"/>
    <n v="1816"/>
    <s v="COD"/>
    <n v="2828.28"/>
    <s v="Nov"/>
    <n v="2024"/>
    <s v="Q4"/>
    <n v="0.64208635637207057"/>
    <n v="279.71999999999997"/>
    <s v="Medium"/>
    <s v="Repeat"/>
    <s v="Below Avg"/>
    <s v="Profit"/>
    <n v="398"/>
  </r>
  <r>
    <n v="325"/>
    <d v="2024-11-20T00:00:00"/>
    <n v="1097"/>
    <s v="Customer_17"/>
    <x v="0"/>
    <x v="0"/>
    <s v="Furniture"/>
    <s v="Product_C"/>
    <n v="4379"/>
    <n v="5"/>
    <n v="0.17"/>
    <n v="884"/>
    <s v="UPI"/>
    <n v="18172.849999999999"/>
    <s v="Nov"/>
    <n v="2024"/>
    <s v="Q4"/>
    <n v="4.8643993649867802E-2"/>
    <n v="3722.15"/>
    <s v="High"/>
    <s v="Repeat"/>
    <s v="Above Avg"/>
    <s v="Profit"/>
    <n v="90"/>
  </r>
  <r>
    <n v="326"/>
    <d v="2024-11-21T00:00:00"/>
    <n v="1093"/>
    <s v="Customer_76"/>
    <x v="1"/>
    <x v="1"/>
    <s v="Clothing"/>
    <s v="Product_C"/>
    <n v="635"/>
    <n v="3"/>
    <n v="0.21"/>
    <n v="895"/>
    <s v="Card"/>
    <n v="1504.95"/>
    <s v="Nov"/>
    <n v="2024"/>
    <s v="Q4"/>
    <n v="0.59470414299478391"/>
    <n v="400.05"/>
    <s v="Low"/>
    <s v="Repeat"/>
    <s v="Below Avg"/>
    <s v="Profit"/>
    <n v="457"/>
  </r>
  <r>
    <n v="327"/>
    <d v="2024-11-22T00:00:00"/>
    <n v="1070"/>
    <s v="Customer_191"/>
    <x v="0"/>
    <x v="1"/>
    <s v="Furniture"/>
    <s v="Product_B"/>
    <n v="2260"/>
    <n v="3"/>
    <n v="0.11"/>
    <n v="1691"/>
    <s v="UPI"/>
    <n v="6034.2"/>
    <s v="Nov"/>
    <n v="2024"/>
    <s v="Q4"/>
    <n v="0.28023598820058998"/>
    <n v="745.8"/>
    <s v="High"/>
    <s v="Repeat"/>
    <s v="Below Avg"/>
    <s v="Profit"/>
    <n v="295"/>
  </r>
  <r>
    <n v="328"/>
    <d v="2024-11-23T00:00:00"/>
    <n v="1058"/>
    <s v="Customer_198"/>
    <x v="0"/>
    <x v="2"/>
    <s v="Furniture"/>
    <s v="Product_C"/>
    <n v="4341"/>
    <n v="7"/>
    <n v="0.08"/>
    <n v="-164"/>
    <s v="COD"/>
    <n v="27956.04"/>
    <s v="Nov"/>
    <n v="2024"/>
    <s v="Q4"/>
    <n v="-5.8663530314021581E-3"/>
    <n v="2430.96"/>
    <s v="High"/>
    <s v="Repeat"/>
    <s v="Above Avg"/>
    <s v="Loss"/>
    <n v="32"/>
  </r>
  <r>
    <n v="329"/>
    <d v="2024-11-24T00:00:00"/>
    <n v="1029"/>
    <s v="Customer_178"/>
    <x v="0"/>
    <x v="2"/>
    <s v="Electronics"/>
    <s v="Product_C"/>
    <n v="2929"/>
    <n v="6"/>
    <n v="0.08"/>
    <n v="122"/>
    <s v="COD"/>
    <n v="16168.08"/>
    <s v="Nov"/>
    <n v="2024"/>
    <s v="Q4"/>
    <n v="7.5457320844528235E-3"/>
    <n v="1405.92"/>
    <s v="High"/>
    <s v="Repeat"/>
    <s v="Above Avg"/>
    <s v="Profit"/>
    <n v="123"/>
  </r>
  <r>
    <n v="330"/>
    <d v="2024-11-25T00:00:00"/>
    <n v="1081"/>
    <s v="Customer_80"/>
    <x v="1"/>
    <x v="3"/>
    <s v="Furniture"/>
    <s v="Product_A"/>
    <n v="4483"/>
    <n v="3"/>
    <n v="0.28000000000000003"/>
    <n v="1527"/>
    <s v="Card"/>
    <n v="9683.2799999999897"/>
    <s v="Nov"/>
    <n v="2024"/>
    <s v="Q4"/>
    <n v="0.15769450021067258"/>
    <n v="3765.7200000000003"/>
    <s v="High"/>
    <s v="Repeat"/>
    <s v="Below Avg"/>
    <s v="Profit"/>
    <n v="209"/>
  </r>
  <r>
    <n v="331"/>
    <d v="2024-11-26T00:00:00"/>
    <n v="1021"/>
    <s v="Customer_196"/>
    <x v="1"/>
    <x v="0"/>
    <s v="Electronics"/>
    <s v="Product_C"/>
    <n v="1725"/>
    <n v="9"/>
    <n v="0.19"/>
    <n v="508"/>
    <s v="COD"/>
    <n v="12575.25"/>
    <s v="Nov"/>
    <n v="2024"/>
    <s v="Q4"/>
    <n v="4.0396811196596487E-2"/>
    <n v="2949.75"/>
    <s v="High"/>
    <s v="Repeat"/>
    <s v="Above Avg"/>
    <s v="Profit"/>
    <n v="162"/>
  </r>
  <r>
    <n v="332"/>
    <d v="2024-11-27T00:00:00"/>
    <n v="1016"/>
    <s v="Customer_153"/>
    <x v="0"/>
    <x v="0"/>
    <s v="Furniture"/>
    <s v="Product_B"/>
    <n v="4547"/>
    <n v="7"/>
    <n v="0.23"/>
    <n v="695"/>
    <s v="UPI"/>
    <n v="24508.33"/>
    <s v="Nov"/>
    <n v="2024"/>
    <s v="Q4"/>
    <n v="2.8357705318967058E-2"/>
    <n v="7320.67"/>
    <s v="High"/>
    <s v="Repeat"/>
    <s v="Above Avg"/>
    <s v="Profit"/>
    <n v="47"/>
  </r>
  <r>
    <n v="333"/>
    <d v="2024-11-28T00:00:00"/>
    <n v="1030"/>
    <s v="Customer_33"/>
    <x v="0"/>
    <x v="0"/>
    <s v="Electronics"/>
    <s v="Product_B"/>
    <n v="2252"/>
    <n v="8"/>
    <n v="0.17"/>
    <n v="1739"/>
    <s v="Card"/>
    <n v="14953.279999999901"/>
    <s v="Nov"/>
    <n v="2024"/>
    <s v="Q4"/>
    <n v="0.11629555522266764"/>
    <n v="3062.7200000000003"/>
    <s v="High"/>
    <s v="Repeat"/>
    <s v="Above Avg"/>
    <s v="Profit"/>
    <n v="140"/>
  </r>
  <r>
    <n v="334"/>
    <d v="2024-11-29T00:00:00"/>
    <n v="1055"/>
    <s v="Customer_1"/>
    <x v="1"/>
    <x v="2"/>
    <s v="Clothing"/>
    <s v="Product_B"/>
    <n v="3427"/>
    <n v="4"/>
    <n v="0.19"/>
    <n v="922"/>
    <s v="Card"/>
    <n v="11103.48"/>
    <s v="Nov"/>
    <n v="2024"/>
    <s v="Q4"/>
    <n v="8.3037029832088688E-2"/>
    <n v="2604.52"/>
    <s v="High"/>
    <s v="Repeat"/>
    <s v="Above Avg"/>
    <s v="Profit"/>
    <n v="188"/>
  </r>
  <r>
    <n v="335"/>
    <d v="2024-11-30T00:00:00"/>
    <n v="1080"/>
    <s v="Customer_79"/>
    <x v="0"/>
    <x v="3"/>
    <s v="Clothing"/>
    <s v="Product_A"/>
    <n v="370"/>
    <n v="7"/>
    <n v="0.08"/>
    <n v="1381"/>
    <s v="Card"/>
    <n v="2382.8000000000002"/>
    <s v="Nov"/>
    <n v="2024"/>
    <s v="Q4"/>
    <n v="0.57957025348329694"/>
    <n v="207.20000000000002"/>
    <s v="Medium"/>
    <s v="Repeat"/>
    <s v="Below Avg"/>
    <s v="Profit"/>
    <n v="413"/>
  </r>
  <r>
    <n v="336"/>
    <d v="2024-12-01T00:00:00"/>
    <n v="1030"/>
    <s v="Customer_128"/>
    <x v="0"/>
    <x v="0"/>
    <s v="Electronics"/>
    <s v="Product_D"/>
    <n v="4426"/>
    <n v="9"/>
    <n v="0.27"/>
    <n v="-447"/>
    <s v="Card"/>
    <n v="29078.82"/>
    <s v="Dec"/>
    <n v="2024"/>
    <s v="Q4"/>
    <n v="-1.537201303216568E-2"/>
    <n v="10755.18"/>
    <s v="High"/>
    <s v="Repeat"/>
    <s v="Above Avg"/>
    <s v="Loss"/>
    <n v="26"/>
  </r>
  <r>
    <n v="337"/>
    <d v="2024-12-02T00:00:00"/>
    <n v="1012"/>
    <s v="Customer_145"/>
    <x v="1"/>
    <x v="2"/>
    <s v="Clothing"/>
    <s v="Product_C"/>
    <n v="3915"/>
    <n v="8"/>
    <n v="0.15"/>
    <n v="-47"/>
    <s v="Card"/>
    <n v="26622"/>
    <s v="Dec"/>
    <n v="2024"/>
    <s v="Q4"/>
    <n v="-1.7654571407106905E-3"/>
    <n v="4698"/>
    <s v="High"/>
    <s v="Repeat"/>
    <s v="Above Avg"/>
    <s v="Loss"/>
    <n v="36"/>
  </r>
  <r>
    <n v="338"/>
    <d v="2024-12-03T00:00:00"/>
    <n v="1090"/>
    <s v="Customer_171"/>
    <x v="0"/>
    <x v="3"/>
    <s v="Furniture"/>
    <s v="Product_B"/>
    <n v="1456"/>
    <n v="7"/>
    <n v="0.24"/>
    <n v="-31"/>
    <s v="Card"/>
    <n v="7745.92"/>
    <s v="Dec"/>
    <n v="2024"/>
    <s v="Q4"/>
    <n v="-4.0021069156407499E-3"/>
    <n v="2446.08"/>
    <s v="High"/>
    <s v="Repeat"/>
    <s v="Below Avg"/>
    <s v="Loss"/>
    <n v="258"/>
  </r>
  <r>
    <n v="339"/>
    <d v="2024-12-04T00:00:00"/>
    <n v="1083"/>
    <s v="Customer_186"/>
    <x v="1"/>
    <x v="1"/>
    <s v="Electronics"/>
    <s v="Product_A"/>
    <n v="4189"/>
    <n v="5"/>
    <n v="0.16"/>
    <n v="798"/>
    <s v="Card"/>
    <n v="17593.8"/>
    <s v="Dec"/>
    <n v="2024"/>
    <s v="Q4"/>
    <n v="4.5356887085223209E-2"/>
    <n v="3351.2000000000003"/>
    <s v="High"/>
    <s v="Repeat"/>
    <s v="Above Avg"/>
    <s v="Profit"/>
    <n v="95"/>
  </r>
  <r>
    <n v="340"/>
    <d v="2024-12-05T00:00:00"/>
    <n v="1016"/>
    <s v="Customer_147"/>
    <x v="0"/>
    <x v="1"/>
    <s v="Electronics"/>
    <s v="Product_C"/>
    <n v="190"/>
    <n v="8"/>
    <n v="0.03"/>
    <n v="728"/>
    <s v="Card"/>
    <n v="1474.3999999999901"/>
    <s v="Dec"/>
    <n v="2024"/>
    <s v="Q4"/>
    <n v="0.4937601736299545"/>
    <n v="45.6"/>
    <s v="Low"/>
    <s v="Repeat"/>
    <s v="Below Avg"/>
    <s v="Profit"/>
    <n v="458"/>
  </r>
  <r>
    <n v="341"/>
    <d v="2024-12-06T00:00:00"/>
    <n v="1092"/>
    <s v="Customer_54"/>
    <x v="1"/>
    <x v="1"/>
    <s v="Clothing"/>
    <s v="Product_D"/>
    <n v="2277"/>
    <n v="8"/>
    <n v="0.03"/>
    <n v="297"/>
    <s v="UPI"/>
    <n v="17669.52"/>
    <s v="Dec"/>
    <n v="2024"/>
    <s v="Q4"/>
    <n v="1.6808606006275213E-2"/>
    <n v="546.48"/>
    <s v="High"/>
    <s v="Repeat"/>
    <s v="Above Avg"/>
    <s v="Profit"/>
    <n v="94"/>
  </r>
  <r>
    <n v="342"/>
    <d v="2024-12-07T00:00:00"/>
    <n v="1038"/>
    <s v="Customer_114"/>
    <x v="1"/>
    <x v="2"/>
    <s v="Electronics"/>
    <s v="Product_A"/>
    <n v="1830"/>
    <n v="4"/>
    <n v="0.14000000000000001"/>
    <n v="898"/>
    <s v="COD"/>
    <n v="6295.2"/>
    <s v="Dec"/>
    <n v="2024"/>
    <s v="Q4"/>
    <n v="0.14264836700978523"/>
    <n v="1024.8000000000002"/>
    <s v="High"/>
    <s v="Repeat"/>
    <s v="Below Avg"/>
    <s v="Profit"/>
    <n v="291"/>
  </r>
  <r>
    <n v="343"/>
    <d v="2024-12-08T00:00:00"/>
    <n v="1098"/>
    <s v="Customer_83"/>
    <x v="1"/>
    <x v="1"/>
    <s v="Clothing"/>
    <s v="Product_B"/>
    <n v="2458"/>
    <n v="9"/>
    <n v="0.13"/>
    <n v="-443"/>
    <s v="COD"/>
    <n v="19246.14"/>
    <s v="Dec"/>
    <n v="2024"/>
    <s v="Q4"/>
    <n v="-2.3017602490681251E-2"/>
    <n v="2875.86"/>
    <s v="High"/>
    <s v="Repeat"/>
    <s v="Above Avg"/>
    <s v="Loss"/>
    <n v="83"/>
  </r>
  <r>
    <n v="344"/>
    <d v="2024-12-09T00:00:00"/>
    <n v="1007"/>
    <s v="Customer_84"/>
    <x v="0"/>
    <x v="1"/>
    <s v="Electronics"/>
    <s v="Product_B"/>
    <n v="2809"/>
    <n v="1"/>
    <n v="0.27"/>
    <n v="-352"/>
    <s v="COD"/>
    <n v="2050.5700000000002"/>
    <s v="Dec"/>
    <n v="2024"/>
    <s v="Q4"/>
    <n v="-0.17165958733425338"/>
    <n v="758.43000000000006"/>
    <s v="Medium"/>
    <s v="Repeat"/>
    <s v="Below Avg"/>
    <s v="Loss"/>
    <n v="426"/>
  </r>
  <r>
    <n v="345"/>
    <d v="2024-12-10T00:00:00"/>
    <n v="1037"/>
    <s v="Customer_1"/>
    <x v="0"/>
    <x v="3"/>
    <s v="Clothing"/>
    <s v="Product_D"/>
    <n v="448"/>
    <n v="9"/>
    <n v="0.04"/>
    <n v="1096"/>
    <s v="COD"/>
    <n v="3870.72"/>
    <s v="Dec"/>
    <n v="2024"/>
    <s v="Q4"/>
    <n v="0.28315145502645506"/>
    <n v="161.28"/>
    <s v="Medium"/>
    <s v="Repeat"/>
    <s v="Below Avg"/>
    <s v="Profit"/>
    <n v="358"/>
  </r>
  <r>
    <n v="346"/>
    <d v="2024-12-11T00:00:00"/>
    <n v="1014"/>
    <s v="Customer_144"/>
    <x v="0"/>
    <x v="1"/>
    <s v="Clothing"/>
    <s v="Product_C"/>
    <n v="4977"/>
    <n v="1"/>
    <n v="0.21"/>
    <n v="294"/>
    <s v="Card"/>
    <n v="3931.83"/>
    <s v="Dec"/>
    <n v="2024"/>
    <s v="Q4"/>
    <n v="7.4774341718741658E-2"/>
    <n v="1045.17"/>
    <s v="Medium"/>
    <s v="Repeat"/>
    <s v="Below Avg"/>
    <s v="Profit"/>
    <n v="357"/>
  </r>
  <r>
    <n v="347"/>
    <d v="2024-12-12T00:00:00"/>
    <n v="1000"/>
    <s v="Customer_152"/>
    <x v="0"/>
    <x v="1"/>
    <s v="Furniture"/>
    <s v="Product_A"/>
    <n v="4432"/>
    <n v="5"/>
    <n v="0.28000000000000003"/>
    <n v="1809"/>
    <s v="UPI"/>
    <n v="15955.199999999901"/>
    <s v="Dec"/>
    <n v="2024"/>
    <s v="Q4"/>
    <n v="0.11337996389891768"/>
    <n v="6204.8"/>
    <s v="High"/>
    <s v="Repeat"/>
    <s v="Above Avg"/>
    <s v="Profit"/>
    <n v="130"/>
  </r>
  <r>
    <n v="348"/>
    <d v="2024-12-13T00:00:00"/>
    <n v="1096"/>
    <s v="Customer_192"/>
    <x v="1"/>
    <x v="2"/>
    <s v="Furniture"/>
    <s v="Product_A"/>
    <n v="1393"/>
    <n v="6"/>
    <n v="0.12"/>
    <n v="1693"/>
    <s v="Card"/>
    <n v="7355.04"/>
    <s v="Dec"/>
    <n v="2024"/>
    <s v="Q4"/>
    <n v="0.23018229676521135"/>
    <n v="1002.9599999999999"/>
    <s v="High"/>
    <s v="Repeat"/>
    <s v="Below Avg"/>
    <s v="Profit"/>
    <n v="266"/>
  </r>
  <r>
    <n v="349"/>
    <d v="2024-12-14T00:00:00"/>
    <n v="1002"/>
    <s v="Customer_186"/>
    <x v="0"/>
    <x v="2"/>
    <s v="Electronics"/>
    <s v="Product_C"/>
    <n v="4564"/>
    <n v="5"/>
    <n v="0.27"/>
    <n v="710"/>
    <s v="UPI"/>
    <n v="16658.599999999999"/>
    <s v="Dec"/>
    <n v="2024"/>
    <s v="Q4"/>
    <n v="4.2620628384137924E-2"/>
    <n v="6161.4000000000005"/>
    <s v="High"/>
    <s v="Repeat"/>
    <s v="Above Avg"/>
    <s v="Profit"/>
    <n v="111"/>
  </r>
  <r>
    <n v="350"/>
    <d v="2024-12-15T00:00:00"/>
    <n v="1037"/>
    <s v="Customer_152"/>
    <x v="0"/>
    <x v="2"/>
    <s v="Clothing"/>
    <s v="Product_B"/>
    <n v="2447"/>
    <n v="4"/>
    <n v="0.04"/>
    <n v="-339"/>
    <s v="UPI"/>
    <n v="9396.48"/>
    <s v="Dec"/>
    <n v="2024"/>
    <s v="Q4"/>
    <n v="-3.6077339599509609E-2"/>
    <n v="391.52"/>
    <s v="High"/>
    <s v="Repeat"/>
    <s v="Below Avg"/>
    <s v="Loss"/>
    <n v="221"/>
  </r>
  <r>
    <n v="351"/>
    <d v="2024-12-16T00:00:00"/>
    <n v="1047"/>
    <s v="Customer_186"/>
    <x v="0"/>
    <x v="1"/>
    <s v="Furniture"/>
    <s v="Product_C"/>
    <n v="3091"/>
    <n v="5"/>
    <n v="0.03"/>
    <n v="644"/>
    <s v="UPI"/>
    <n v="14991.35"/>
    <s v="Dec"/>
    <n v="2024"/>
    <s v="Q4"/>
    <n v="4.2958105841034995E-2"/>
    <n v="463.65"/>
    <s v="High"/>
    <s v="Repeat"/>
    <s v="Above Avg"/>
    <s v="Profit"/>
    <n v="139"/>
  </r>
  <r>
    <n v="352"/>
    <d v="2024-12-17T00:00:00"/>
    <n v="1062"/>
    <s v="Customer_101"/>
    <x v="0"/>
    <x v="3"/>
    <s v="Electronics"/>
    <s v="Product_C"/>
    <n v="2900"/>
    <n v="7"/>
    <n v="7.0000000000000007E-2"/>
    <n v="1932"/>
    <s v="UPI"/>
    <n v="18879"/>
    <s v="Dec"/>
    <n v="2024"/>
    <s v="Q4"/>
    <n v="0.10233592880978866"/>
    <n v="1421.0000000000002"/>
    <s v="High"/>
    <s v="Repeat"/>
    <s v="Above Avg"/>
    <s v="Profit"/>
    <n v="85"/>
  </r>
  <r>
    <n v="353"/>
    <d v="2024-12-18T00:00:00"/>
    <n v="1061"/>
    <s v="Customer_192"/>
    <x v="0"/>
    <x v="0"/>
    <s v="Clothing"/>
    <s v="Product_C"/>
    <n v="4356"/>
    <n v="2"/>
    <n v="0.16"/>
    <n v="332"/>
    <s v="COD"/>
    <n v="7318.08"/>
    <s v="Dec"/>
    <n v="2024"/>
    <s v="Q4"/>
    <n v="4.5367090821636279E-2"/>
    <n v="1393.92"/>
    <s v="High"/>
    <s v="Repeat"/>
    <s v="Below Avg"/>
    <s v="Profit"/>
    <n v="268"/>
  </r>
  <r>
    <n v="354"/>
    <d v="2024-12-19T00:00:00"/>
    <n v="1014"/>
    <s v="Customer_169"/>
    <x v="1"/>
    <x v="2"/>
    <s v="Furniture"/>
    <s v="Product_B"/>
    <n v="1224"/>
    <n v="7"/>
    <n v="0.19"/>
    <n v="210"/>
    <s v="COD"/>
    <n v="6940.08"/>
    <s v="Dec"/>
    <n v="2024"/>
    <s v="Q4"/>
    <n v="3.0259017187121762E-2"/>
    <n v="1627.92"/>
    <s v="High"/>
    <s v="Repeat"/>
    <s v="Below Avg"/>
    <s v="Profit"/>
    <n v="275"/>
  </r>
  <r>
    <n v="355"/>
    <d v="2024-12-20T00:00:00"/>
    <n v="1061"/>
    <s v="Customer_161"/>
    <x v="0"/>
    <x v="3"/>
    <s v="Clothing"/>
    <s v="Product_B"/>
    <n v="673"/>
    <n v="9"/>
    <n v="0.23"/>
    <n v="944"/>
    <s v="UPI"/>
    <n v="4663.8900000000003"/>
    <s v="Dec"/>
    <n v="2024"/>
    <s v="Q4"/>
    <n v="0.20240614594255008"/>
    <n v="1393.1100000000001"/>
    <s v="Medium"/>
    <s v="Repeat"/>
    <s v="Below Avg"/>
    <s v="Profit"/>
    <n v="332"/>
  </r>
  <r>
    <n v="356"/>
    <d v="2024-12-21T00:00:00"/>
    <n v="1081"/>
    <s v="Customer_186"/>
    <x v="1"/>
    <x v="1"/>
    <s v="Furniture"/>
    <s v="Product_A"/>
    <n v="4179"/>
    <n v="7"/>
    <n v="0.23"/>
    <n v="-144"/>
    <s v="UPI"/>
    <n v="22524.81"/>
    <s v="Dec"/>
    <n v="2024"/>
    <s v="Q4"/>
    <n v="-6.3929507063544598E-3"/>
    <n v="6728.1900000000005"/>
    <s v="High"/>
    <s v="Repeat"/>
    <s v="Above Avg"/>
    <s v="Loss"/>
    <n v="62"/>
  </r>
  <r>
    <n v="357"/>
    <d v="2024-12-22T00:00:00"/>
    <n v="1037"/>
    <s v="Customer_125"/>
    <x v="0"/>
    <x v="2"/>
    <s v="Clothing"/>
    <s v="Product_C"/>
    <n v="928"/>
    <n v="4"/>
    <n v="0.03"/>
    <n v="182"/>
    <s v="Card"/>
    <n v="3600.64"/>
    <s v="Dec"/>
    <n v="2024"/>
    <s v="Q4"/>
    <n v="5.0546569498755779E-2"/>
    <n v="111.36"/>
    <s v="Medium"/>
    <s v="Repeat"/>
    <s v="Below Avg"/>
    <s v="Profit"/>
    <n v="368"/>
  </r>
  <r>
    <n v="358"/>
    <d v="2024-12-23T00:00:00"/>
    <n v="1094"/>
    <s v="Customer_184"/>
    <x v="0"/>
    <x v="3"/>
    <s v="Electronics"/>
    <s v="Product_C"/>
    <n v="570"/>
    <n v="8"/>
    <n v="0.26"/>
    <n v="1134"/>
    <s v="UPI"/>
    <n v="3374.4"/>
    <s v="Dec"/>
    <n v="2024"/>
    <s v="Q4"/>
    <n v="0.33605974395448079"/>
    <n v="1185.6000000000001"/>
    <s v="Medium"/>
    <s v="Repeat"/>
    <s v="Below Avg"/>
    <s v="Profit"/>
    <n v="382"/>
  </r>
  <r>
    <n v="359"/>
    <d v="2024-12-24T00:00:00"/>
    <n v="1019"/>
    <s v="Customer_95"/>
    <x v="1"/>
    <x v="0"/>
    <s v="Furniture"/>
    <s v="Product_B"/>
    <n v="4250"/>
    <n v="8"/>
    <n v="0.03"/>
    <n v="335"/>
    <s v="Card"/>
    <n v="32980"/>
    <s v="Dec"/>
    <n v="2024"/>
    <s v="Q4"/>
    <n v="1.015767131594906E-2"/>
    <n v="1020"/>
    <s v="High"/>
    <s v="Repeat"/>
    <s v="Above Avg"/>
    <s v="Profit"/>
    <n v="17"/>
  </r>
  <r>
    <n v="360"/>
    <d v="2024-12-25T00:00:00"/>
    <n v="1058"/>
    <s v="Customer_15"/>
    <x v="1"/>
    <x v="3"/>
    <s v="Clothing"/>
    <s v="Product_B"/>
    <n v="2351"/>
    <n v="9"/>
    <n v="0.27"/>
    <n v="28"/>
    <s v="COD"/>
    <n v="15446.07"/>
    <s v="Dec"/>
    <n v="2024"/>
    <s v="Q4"/>
    <n v="1.8127588441590645E-3"/>
    <n v="5712.93"/>
    <s v="High"/>
    <s v="Repeat"/>
    <s v="Above Avg"/>
    <s v="Profit"/>
    <n v="135"/>
  </r>
  <r>
    <n v="361"/>
    <d v="2024-12-26T00:00:00"/>
    <n v="1006"/>
    <s v="Customer_65"/>
    <x v="1"/>
    <x v="1"/>
    <s v="Furniture"/>
    <s v="Product_C"/>
    <n v="4067"/>
    <n v="6"/>
    <n v="0.28999999999999998"/>
    <n v="1213"/>
    <s v="UPI"/>
    <n v="17325.419999999998"/>
    <s v="Dec"/>
    <n v="2024"/>
    <s v="Q4"/>
    <n v="7.0012732736060665E-2"/>
    <n v="7076.58"/>
    <s v="High"/>
    <s v="Repeat"/>
    <s v="Above Avg"/>
    <s v="Profit"/>
    <n v="102"/>
  </r>
  <r>
    <n v="362"/>
    <d v="2024-12-27T00:00:00"/>
    <n v="1090"/>
    <s v="Customer_113"/>
    <x v="1"/>
    <x v="2"/>
    <s v="Furniture"/>
    <s v="Product_D"/>
    <n v="2732"/>
    <n v="1"/>
    <n v="0.18"/>
    <n v="547"/>
    <s v="COD"/>
    <n v="2240.2399999999998"/>
    <s v="Dec"/>
    <n v="2024"/>
    <s v="Q4"/>
    <n v="0.24417026747134238"/>
    <n v="491.76"/>
    <s v="Medium"/>
    <s v="Repeat"/>
    <s v="Below Avg"/>
    <s v="Profit"/>
    <n v="418"/>
  </r>
  <r>
    <n v="363"/>
    <d v="2024-12-28T00:00:00"/>
    <n v="1071"/>
    <s v="Customer_140"/>
    <x v="0"/>
    <x v="3"/>
    <s v="Clothing"/>
    <s v="Product_B"/>
    <n v="4332"/>
    <n v="9"/>
    <n v="0.21"/>
    <n v="1493"/>
    <s v="COD"/>
    <n v="30800.52"/>
    <s v="Dec"/>
    <n v="2024"/>
    <s v="Q4"/>
    <n v="4.8473207595196445E-2"/>
    <n v="8187.48"/>
    <s v="High"/>
    <s v="Repeat"/>
    <s v="Above Avg"/>
    <s v="Profit"/>
    <n v="22"/>
  </r>
  <r>
    <n v="364"/>
    <d v="2024-12-29T00:00:00"/>
    <n v="1077"/>
    <s v="Customer_163"/>
    <x v="0"/>
    <x v="3"/>
    <s v="Electronics"/>
    <s v="Product_D"/>
    <n v="1198"/>
    <n v="9"/>
    <n v="0.11"/>
    <n v="-189"/>
    <s v="UPI"/>
    <n v="9595.98"/>
    <s v="Dec"/>
    <n v="2024"/>
    <s v="Q4"/>
    <n v="-1.9695747594305115E-2"/>
    <n v="1186.02"/>
    <s v="High"/>
    <s v="Repeat"/>
    <s v="Below Avg"/>
    <s v="Loss"/>
    <n v="212"/>
  </r>
  <r>
    <n v="365"/>
    <d v="2024-12-30T00:00:00"/>
    <n v="1078"/>
    <s v="Customer_37"/>
    <x v="0"/>
    <x v="3"/>
    <s v="Furniture"/>
    <s v="Product_C"/>
    <n v="3189"/>
    <n v="1"/>
    <n v="0.17"/>
    <n v="159"/>
    <s v="UPI"/>
    <n v="2646.87"/>
    <s v="Dec"/>
    <n v="2024"/>
    <s v="Q4"/>
    <n v="6.0070951727889926E-2"/>
    <n v="542.13"/>
    <s v="Medium"/>
    <s v="Repeat"/>
    <s v="Below Avg"/>
    <s v="Profit"/>
    <n v="407"/>
  </r>
  <r>
    <n v="366"/>
    <d v="2024-12-31T00:00:00"/>
    <n v="1070"/>
    <s v="Customer_30"/>
    <x v="1"/>
    <x v="2"/>
    <s v="Clothing"/>
    <s v="Product_C"/>
    <n v="531"/>
    <n v="9"/>
    <n v="0.25"/>
    <n v="1369"/>
    <s v="COD"/>
    <n v="3584.25"/>
    <s v="Dec"/>
    <n v="2024"/>
    <s v="Q4"/>
    <n v="0.38194880379437818"/>
    <n v="1194.75"/>
    <s v="Medium"/>
    <s v="Repeat"/>
    <s v="Below Avg"/>
    <s v="Profit"/>
    <n v="371"/>
  </r>
  <r>
    <n v="367"/>
    <d v="2025-01-01T00:00:00"/>
    <n v="1096"/>
    <s v="Customer_11"/>
    <x v="1"/>
    <x v="3"/>
    <s v="Electronics"/>
    <s v="Product_D"/>
    <n v="1333"/>
    <n v="1"/>
    <n v="0.05"/>
    <n v="-123"/>
    <s v="UPI"/>
    <n v="1266.3499999999999"/>
    <s v="Jan"/>
    <n v="2025"/>
    <s v="Q1"/>
    <n v="-9.7129545544280813E-2"/>
    <n v="66.650000000000006"/>
    <s v="Low"/>
    <s v="Repeat"/>
    <s v="Below Avg"/>
    <s v="Loss"/>
    <n v="466"/>
  </r>
  <r>
    <n v="368"/>
    <d v="2025-01-02T00:00:00"/>
    <n v="1051"/>
    <s v="Customer_188"/>
    <x v="0"/>
    <x v="1"/>
    <s v="Clothing"/>
    <s v="Product_D"/>
    <n v="1629"/>
    <n v="2"/>
    <n v="0.15"/>
    <n v="-281"/>
    <s v="Card"/>
    <n v="2769.2999999999902"/>
    <s v="Jan"/>
    <n v="2025"/>
    <s v="Q1"/>
    <n v="-0.10146968548008559"/>
    <n v="488.7"/>
    <s v="Medium"/>
    <s v="Repeat"/>
    <s v="Below Avg"/>
    <s v="Loss"/>
    <n v="400"/>
  </r>
  <r>
    <n v="369"/>
    <d v="2025-01-03T00:00:00"/>
    <n v="1097"/>
    <s v="Customer_32"/>
    <x v="1"/>
    <x v="1"/>
    <s v="Clothing"/>
    <s v="Product_C"/>
    <n v="4451"/>
    <n v="6"/>
    <n v="0.12"/>
    <n v="978"/>
    <s v="UPI"/>
    <n v="23501.279999999999"/>
    <s v="Jan"/>
    <n v="2025"/>
    <s v="Q1"/>
    <n v="4.1614754600600483E-2"/>
    <n v="3204.72"/>
    <s v="High"/>
    <s v="Repeat"/>
    <s v="Above Avg"/>
    <s v="Profit"/>
    <n v="57"/>
  </r>
  <r>
    <n v="370"/>
    <d v="2025-01-04T00:00:00"/>
    <n v="1003"/>
    <s v="Customer_2"/>
    <x v="0"/>
    <x v="0"/>
    <s v="Furniture"/>
    <s v="Product_D"/>
    <n v="1480"/>
    <n v="7"/>
    <n v="0.26"/>
    <n v="1989"/>
    <s v="UPI"/>
    <n v="7666.4"/>
    <s v="Jan"/>
    <n v="2025"/>
    <s v="Q1"/>
    <n v="0.25944380674110407"/>
    <n v="2693.6"/>
    <s v="High"/>
    <s v="Repeat"/>
    <s v="Below Avg"/>
    <s v="Profit"/>
    <n v="261"/>
  </r>
  <r>
    <n v="371"/>
    <d v="2025-01-05T00:00:00"/>
    <n v="1000"/>
    <s v="Customer_138"/>
    <x v="1"/>
    <x v="0"/>
    <s v="Clothing"/>
    <s v="Product_C"/>
    <n v="241"/>
    <n v="7"/>
    <n v="0.04"/>
    <n v="967"/>
    <s v="COD"/>
    <n v="1619.52"/>
    <s v="Jan"/>
    <n v="2025"/>
    <s v="Q1"/>
    <n v="0.5970904959494171"/>
    <n v="67.48"/>
    <s v="Low"/>
    <s v="Repeat"/>
    <s v="Below Avg"/>
    <s v="Profit"/>
    <n v="452"/>
  </r>
  <r>
    <n v="372"/>
    <d v="2025-01-06T00:00:00"/>
    <n v="1077"/>
    <s v="Customer_124"/>
    <x v="1"/>
    <x v="0"/>
    <s v="Clothing"/>
    <s v="Product_D"/>
    <n v="1316"/>
    <n v="6"/>
    <n v="0.27"/>
    <n v="-31"/>
    <s v="COD"/>
    <n v="5764.08"/>
    <s v="Jan"/>
    <n v="2025"/>
    <s v="Q1"/>
    <n v="-5.3781349322008024E-3"/>
    <n v="2131.92"/>
    <s v="High"/>
    <s v="Repeat"/>
    <s v="Below Avg"/>
    <s v="Loss"/>
    <n v="302"/>
  </r>
  <r>
    <n v="373"/>
    <d v="2025-01-07T00:00:00"/>
    <n v="1094"/>
    <s v="Customer_174"/>
    <x v="0"/>
    <x v="2"/>
    <s v="Electronics"/>
    <s v="Product_C"/>
    <n v="3947"/>
    <n v="8"/>
    <n v="0.08"/>
    <n v="655"/>
    <s v="COD"/>
    <n v="29049.919999999998"/>
    <s v="Jan"/>
    <n v="2025"/>
    <s v="Q1"/>
    <n v="2.2547394278538462E-2"/>
    <n v="2526.08"/>
    <s v="High"/>
    <s v="Repeat"/>
    <s v="Above Avg"/>
    <s v="Profit"/>
    <n v="27"/>
  </r>
  <r>
    <n v="374"/>
    <d v="2025-01-08T00:00:00"/>
    <n v="1037"/>
    <s v="Customer_22"/>
    <x v="0"/>
    <x v="1"/>
    <s v="Furniture"/>
    <s v="Product_B"/>
    <n v="4287"/>
    <n v="8"/>
    <n v="0.18"/>
    <n v="312"/>
    <s v="UPI"/>
    <n v="28122.720000000001"/>
    <s v="Jan"/>
    <n v="2025"/>
    <s v="Q1"/>
    <n v="1.1094232705798016E-2"/>
    <n v="6173.28"/>
    <s v="High"/>
    <s v="Repeat"/>
    <s v="Above Avg"/>
    <s v="Profit"/>
    <n v="30"/>
  </r>
  <r>
    <n v="375"/>
    <d v="2025-01-09T00:00:00"/>
    <n v="1052"/>
    <s v="Customer_73"/>
    <x v="1"/>
    <x v="1"/>
    <s v="Clothing"/>
    <s v="Product_C"/>
    <n v="1876"/>
    <n v="1"/>
    <n v="0.11"/>
    <n v="486"/>
    <s v="Card"/>
    <n v="1669.64"/>
    <s v="Jan"/>
    <n v="2025"/>
    <s v="Q1"/>
    <n v="0.29108071200977453"/>
    <n v="206.36"/>
    <s v="Low"/>
    <s v="Repeat"/>
    <s v="Below Avg"/>
    <s v="Profit"/>
    <n v="448"/>
  </r>
  <r>
    <n v="376"/>
    <d v="2025-01-10T00:00:00"/>
    <n v="1083"/>
    <s v="Customer_118"/>
    <x v="1"/>
    <x v="0"/>
    <s v="Furniture"/>
    <s v="Product_C"/>
    <n v="3751"/>
    <n v="9"/>
    <n v="0.28000000000000003"/>
    <n v="339"/>
    <s v="COD"/>
    <n v="24306.48"/>
    <s v="Jan"/>
    <n v="2025"/>
    <s v="Q1"/>
    <n v="1.3946898111120985E-2"/>
    <n v="9452.52"/>
    <s v="High"/>
    <s v="Repeat"/>
    <s v="Above Avg"/>
    <s v="Profit"/>
    <n v="49"/>
  </r>
  <r>
    <n v="377"/>
    <d v="2025-01-11T00:00:00"/>
    <n v="1002"/>
    <s v="Customer_55"/>
    <x v="0"/>
    <x v="0"/>
    <s v="Electronics"/>
    <s v="Product_B"/>
    <n v="2552"/>
    <n v="4"/>
    <n v="0.06"/>
    <n v="-131"/>
    <s v="UPI"/>
    <n v="9595.5199999999895"/>
    <s v="Jan"/>
    <n v="2025"/>
    <s v="Q1"/>
    <n v="-1.3652204362035632E-2"/>
    <n v="612.48"/>
    <s v="High"/>
    <s v="Repeat"/>
    <s v="Below Avg"/>
    <s v="Loss"/>
    <n v="213"/>
  </r>
  <r>
    <n v="378"/>
    <d v="2025-01-12T00:00:00"/>
    <n v="1098"/>
    <s v="Customer_187"/>
    <x v="1"/>
    <x v="3"/>
    <s v="Electronics"/>
    <s v="Product_C"/>
    <n v="817"/>
    <n v="4"/>
    <n v="0.15"/>
    <n v="514"/>
    <s v="UPI"/>
    <n v="2777.7999999999902"/>
    <s v="Jan"/>
    <n v="2025"/>
    <s v="Q1"/>
    <n v="0.18503851969184312"/>
    <n v="490.2"/>
    <s v="Medium"/>
    <s v="Repeat"/>
    <s v="Below Avg"/>
    <s v="Profit"/>
    <n v="399"/>
  </r>
  <r>
    <n v="379"/>
    <d v="2025-01-13T00:00:00"/>
    <n v="1096"/>
    <s v="Customer_30"/>
    <x v="1"/>
    <x v="0"/>
    <s v="Clothing"/>
    <s v="Product_B"/>
    <n v="660"/>
    <n v="9"/>
    <n v="7.0000000000000007E-2"/>
    <n v="-250"/>
    <s v="UPI"/>
    <n v="5524.2"/>
    <s v="Jan"/>
    <n v="2025"/>
    <s v="Q1"/>
    <n v="-4.5255421599507621E-2"/>
    <n v="415.8"/>
    <s v="High"/>
    <s v="Repeat"/>
    <s v="Below Avg"/>
    <s v="Loss"/>
    <n v="308"/>
  </r>
  <r>
    <n v="380"/>
    <d v="2025-01-14T00:00:00"/>
    <n v="1014"/>
    <s v="Customer_181"/>
    <x v="0"/>
    <x v="2"/>
    <s v="Furniture"/>
    <s v="Product_B"/>
    <n v="1004"/>
    <n v="2"/>
    <n v="0.24"/>
    <n v="-339"/>
    <s v="UPI"/>
    <n v="1526.08"/>
    <s v="Jan"/>
    <n v="2025"/>
    <s v="Q1"/>
    <n v="-0.2221377647305515"/>
    <n v="481.91999999999996"/>
    <s v="Low"/>
    <s v="Repeat"/>
    <s v="Below Avg"/>
    <s v="Loss"/>
    <n v="456"/>
  </r>
  <r>
    <n v="381"/>
    <d v="2025-01-15T00:00:00"/>
    <n v="1002"/>
    <s v="Customer_89"/>
    <x v="0"/>
    <x v="0"/>
    <s v="Clothing"/>
    <s v="Product_D"/>
    <n v="1036"/>
    <n v="6"/>
    <n v="0.08"/>
    <n v="162"/>
    <s v="COD"/>
    <n v="5718.72"/>
    <s v="Jan"/>
    <n v="2025"/>
    <s v="Q1"/>
    <n v="2.8328017458452238E-2"/>
    <n v="497.28000000000003"/>
    <s v="High"/>
    <s v="Repeat"/>
    <s v="Below Avg"/>
    <s v="Profit"/>
    <n v="303"/>
  </r>
  <r>
    <n v="382"/>
    <d v="2025-01-16T00:00:00"/>
    <n v="1091"/>
    <s v="Customer_21"/>
    <x v="0"/>
    <x v="1"/>
    <s v="Furniture"/>
    <s v="Product_C"/>
    <n v="396"/>
    <n v="2"/>
    <n v="0.28999999999999998"/>
    <n v="1960"/>
    <s v="Card"/>
    <n v="562.31999999999903"/>
    <s v="Jan"/>
    <n v="2025"/>
    <s v="Q1"/>
    <n v="3.4855598235879985"/>
    <n v="229.67999999999998"/>
    <s v="Low"/>
    <s v="Repeat"/>
    <s v="Below Avg"/>
    <s v="Profit"/>
    <n v="488"/>
  </r>
  <r>
    <n v="383"/>
    <d v="2025-01-17T00:00:00"/>
    <n v="1090"/>
    <s v="Customer_82"/>
    <x v="0"/>
    <x v="2"/>
    <s v="Furniture"/>
    <s v="Product_B"/>
    <n v="4994"/>
    <n v="9"/>
    <n v="0.28000000000000003"/>
    <n v="992"/>
    <s v="COD"/>
    <n v="32361.119999999999"/>
    <s v="Jan"/>
    <n v="2025"/>
    <s v="Q1"/>
    <n v="3.0654068833217144E-2"/>
    <n v="12584.880000000001"/>
    <s v="High"/>
    <s v="Repeat"/>
    <s v="Above Avg"/>
    <s v="Profit"/>
    <n v="20"/>
  </r>
  <r>
    <n v="384"/>
    <d v="2025-01-18T00:00:00"/>
    <n v="1032"/>
    <s v="Customer_20"/>
    <x v="1"/>
    <x v="3"/>
    <s v="Electronics"/>
    <s v="Product_A"/>
    <n v="1860"/>
    <n v="3"/>
    <n v="0.14000000000000001"/>
    <n v="1994"/>
    <s v="Card"/>
    <n v="4798.8"/>
    <s v="Jan"/>
    <n v="2025"/>
    <s v="Q1"/>
    <n v="0.41552054680336747"/>
    <n v="781.2"/>
    <s v="Medium"/>
    <s v="Repeat"/>
    <s v="Below Avg"/>
    <s v="Profit"/>
    <n v="330"/>
  </r>
  <r>
    <n v="385"/>
    <d v="2025-01-19T00:00:00"/>
    <n v="1082"/>
    <s v="Customer_113"/>
    <x v="1"/>
    <x v="2"/>
    <s v="Clothing"/>
    <s v="Product_C"/>
    <n v="1299"/>
    <n v="6"/>
    <n v="0"/>
    <n v="92"/>
    <s v="UPI"/>
    <n v="7794"/>
    <s v="Jan"/>
    <n v="2025"/>
    <s v="Q1"/>
    <n v="1.1803951757762381E-2"/>
    <n v="0"/>
    <s v="High"/>
    <s v="Repeat"/>
    <s v="Below Avg"/>
    <s v="Profit"/>
    <n v="256"/>
  </r>
  <r>
    <n v="386"/>
    <d v="2025-01-20T00:00:00"/>
    <n v="1055"/>
    <s v="Customer_167"/>
    <x v="0"/>
    <x v="3"/>
    <s v="Furniture"/>
    <s v="Product_C"/>
    <n v="4386"/>
    <n v="3"/>
    <n v="0.28999999999999998"/>
    <n v="838"/>
    <s v="COD"/>
    <n v="9342.18"/>
    <s v="Jan"/>
    <n v="2025"/>
    <s v="Q1"/>
    <n v="8.9700690845177455E-2"/>
    <n v="3815.8199999999997"/>
    <s v="High"/>
    <s v="Repeat"/>
    <s v="Below Avg"/>
    <s v="Profit"/>
    <n v="224"/>
  </r>
  <r>
    <n v="387"/>
    <d v="2025-01-21T00:00:00"/>
    <n v="1032"/>
    <s v="Customer_35"/>
    <x v="0"/>
    <x v="3"/>
    <s v="Electronics"/>
    <s v="Product_A"/>
    <n v="3993"/>
    <n v="5"/>
    <n v="0.21"/>
    <n v="1730"/>
    <s v="COD"/>
    <n v="15772.35"/>
    <s v="Jan"/>
    <n v="2025"/>
    <s v="Q1"/>
    <n v="0.10968562072234005"/>
    <n v="4192.6499999999996"/>
    <s v="High"/>
    <s v="Repeat"/>
    <s v="Above Avg"/>
    <s v="Profit"/>
    <n v="132"/>
  </r>
  <r>
    <n v="388"/>
    <d v="2025-01-22T00:00:00"/>
    <n v="1030"/>
    <s v="Customer_29"/>
    <x v="0"/>
    <x v="1"/>
    <s v="Electronics"/>
    <s v="Product_B"/>
    <n v="1045"/>
    <n v="3"/>
    <n v="0.15"/>
    <n v="1869"/>
    <s v="Card"/>
    <n v="2664.75"/>
    <s v="Jan"/>
    <n v="2025"/>
    <s v="Q1"/>
    <n v="0.70137911623979732"/>
    <n v="470.25"/>
    <s v="Medium"/>
    <s v="Repeat"/>
    <s v="Below Avg"/>
    <s v="Profit"/>
    <n v="405"/>
  </r>
  <r>
    <n v="389"/>
    <d v="2025-01-23T00:00:00"/>
    <n v="1003"/>
    <s v="Customer_110"/>
    <x v="1"/>
    <x v="2"/>
    <s v="Furniture"/>
    <s v="Product_C"/>
    <n v="1736"/>
    <n v="8"/>
    <n v="0.18"/>
    <n v="492"/>
    <s v="COD"/>
    <n v="11388.16"/>
    <s v="Jan"/>
    <n v="2025"/>
    <s v="Q1"/>
    <n v="4.3202764976958526E-2"/>
    <n v="2499.8399999999997"/>
    <s v="High"/>
    <s v="Repeat"/>
    <s v="Above Avg"/>
    <s v="Profit"/>
    <n v="183"/>
  </r>
  <r>
    <n v="390"/>
    <d v="2025-01-24T00:00:00"/>
    <n v="1095"/>
    <s v="Customer_56"/>
    <x v="0"/>
    <x v="3"/>
    <s v="Clothing"/>
    <s v="Product_A"/>
    <n v="2341"/>
    <n v="4"/>
    <n v="0.03"/>
    <n v="1730"/>
    <s v="Card"/>
    <n v="9083.08"/>
    <s v="Jan"/>
    <n v="2025"/>
    <s v="Q1"/>
    <n v="0.19046402762058684"/>
    <n v="280.92"/>
    <s v="High"/>
    <s v="Repeat"/>
    <s v="Below Avg"/>
    <s v="Profit"/>
    <n v="229"/>
  </r>
  <r>
    <n v="391"/>
    <d v="2025-01-25T00:00:00"/>
    <n v="1091"/>
    <s v="Customer_116"/>
    <x v="0"/>
    <x v="2"/>
    <s v="Clothing"/>
    <s v="Product_C"/>
    <n v="3013"/>
    <n v="3"/>
    <n v="0.05"/>
    <n v="1502"/>
    <s v="COD"/>
    <n v="8587.0499999999993"/>
    <s v="Jan"/>
    <n v="2025"/>
    <s v="Q1"/>
    <n v="0.17491455156310959"/>
    <n v="451.95000000000005"/>
    <s v="High"/>
    <s v="Repeat"/>
    <s v="Below Avg"/>
    <s v="Profit"/>
    <n v="237"/>
  </r>
  <r>
    <n v="392"/>
    <d v="2025-01-26T00:00:00"/>
    <n v="1079"/>
    <s v="Customer_183"/>
    <x v="1"/>
    <x v="3"/>
    <s v="Clothing"/>
    <s v="Product_D"/>
    <n v="3266"/>
    <n v="8"/>
    <n v="0.19"/>
    <n v="658"/>
    <s v="UPI"/>
    <n v="21163.68"/>
    <s v="Jan"/>
    <n v="2025"/>
    <s v="Q1"/>
    <n v="3.1091001186939134E-2"/>
    <n v="4964.32"/>
    <s v="High"/>
    <s v="Repeat"/>
    <s v="Above Avg"/>
    <s v="Profit"/>
    <n v="73"/>
  </r>
  <r>
    <n v="393"/>
    <d v="2025-01-27T00:00:00"/>
    <n v="1091"/>
    <s v="Customer_181"/>
    <x v="0"/>
    <x v="0"/>
    <s v="Clothing"/>
    <s v="Product_C"/>
    <n v="4888"/>
    <n v="7"/>
    <n v="0.01"/>
    <n v="249"/>
    <s v="COD"/>
    <n v="33873.839999999997"/>
    <s v="Jan"/>
    <n v="2025"/>
    <s v="Q1"/>
    <n v="7.3508052231456497E-3"/>
    <n v="342.16"/>
    <s v="High"/>
    <s v="Repeat"/>
    <s v="Above Avg"/>
    <s v="Profit"/>
    <n v="15"/>
  </r>
  <r>
    <n v="394"/>
    <d v="2025-01-28T00:00:00"/>
    <n v="1078"/>
    <s v="Customer_176"/>
    <x v="1"/>
    <x v="0"/>
    <s v="Electronics"/>
    <s v="Product_B"/>
    <n v="4543"/>
    <n v="1"/>
    <n v="0.21"/>
    <n v="62"/>
    <s v="UPI"/>
    <n v="3588.97"/>
    <s v="Jan"/>
    <n v="2025"/>
    <s v="Q1"/>
    <n v="1.7275151366548065E-2"/>
    <n v="954.03"/>
    <s v="Medium"/>
    <s v="Repeat"/>
    <s v="Below Avg"/>
    <s v="Profit"/>
    <n v="370"/>
  </r>
  <r>
    <n v="395"/>
    <d v="2025-01-29T00:00:00"/>
    <n v="1021"/>
    <s v="Customer_67"/>
    <x v="1"/>
    <x v="2"/>
    <s v="Clothing"/>
    <s v="Product_B"/>
    <n v="2496"/>
    <n v="3"/>
    <n v="0.28000000000000003"/>
    <n v="455"/>
    <s v="Card"/>
    <n v="5391.36"/>
    <s v="Jan"/>
    <n v="2025"/>
    <s v="Q1"/>
    <n v="8.4394290123456797E-2"/>
    <n v="2096.6400000000003"/>
    <s v="High"/>
    <s v="Repeat"/>
    <s v="Below Avg"/>
    <s v="Profit"/>
    <n v="313"/>
  </r>
  <r>
    <n v="396"/>
    <d v="2025-01-30T00:00:00"/>
    <n v="1030"/>
    <s v="Customer_183"/>
    <x v="0"/>
    <x v="2"/>
    <s v="Clothing"/>
    <s v="Product_C"/>
    <n v="1506"/>
    <n v="3"/>
    <n v="0.21"/>
    <n v="-309"/>
    <s v="UPI"/>
    <n v="3569.22"/>
    <s v="Jan"/>
    <n v="2025"/>
    <s v="Q1"/>
    <n v="-8.6573537075327389E-2"/>
    <n v="948.78"/>
    <s v="Medium"/>
    <s v="Repeat"/>
    <s v="Below Avg"/>
    <s v="Loss"/>
    <n v="373"/>
  </r>
  <r>
    <n v="397"/>
    <d v="2025-01-31T00:00:00"/>
    <n v="1059"/>
    <s v="Customer_32"/>
    <x v="1"/>
    <x v="3"/>
    <s v="Furniture"/>
    <s v="Product_A"/>
    <n v="593"/>
    <n v="4"/>
    <n v="0.17"/>
    <n v="1059"/>
    <s v="Card"/>
    <n v="1968.76"/>
    <s v="Jan"/>
    <n v="2025"/>
    <s v="Q1"/>
    <n v="0.53790202970397616"/>
    <n v="403.24"/>
    <s v="Low"/>
    <s v="Repeat"/>
    <s v="Below Avg"/>
    <s v="Profit"/>
    <n v="432"/>
  </r>
  <r>
    <n v="398"/>
    <d v="2025-02-01T00:00:00"/>
    <n v="1084"/>
    <s v="Customer_58"/>
    <x v="1"/>
    <x v="3"/>
    <s v="Furniture"/>
    <s v="Product_A"/>
    <n v="2132"/>
    <n v="1"/>
    <n v="0.24"/>
    <n v="1264"/>
    <s v="COD"/>
    <n v="1620.32"/>
    <s v="Feb"/>
    <n v="2025"/>
    <s v="Q1"/>
    <n v="0.78009282117112677"/>
    <n v="511.68"/>
    <s v="Low"/>
    <s v="Repeat"/>
    <s v="Below Avg"/>
    <s v="Profit"/>
    <n v="451"/>
  </r>
  <r>
    <n v="399"/>
    <d v="2025-02-02T00:00:00"/>
    <n v="1031"/>
    <s v="Customer_78"/>
    <x v="0"/>
    <x v="3"/>
    <s v="Furniture"/>
    <s v="Product_A"/>
    <n v="160"/>
    <n v="9"/>
    <n v="0.22"/>
    <n v="121"/>
    <s v="UPI"/>
    <n v="1123.2"/>
    <s v="Feb"/>
    <n v="2025"/>
    <s v="Q1"/>
    <n v="0.10772792022792023"/>
    <n v="316.8"/>
    <s v="Low"/>
    <s v="New"/>
    <s v="Below Avg"/>
    <s v="Profit"/>
    <n v="473"/>
  </r>
  <r>
    <n v="400"/>
    <d v="2025-02-03T00:00:00"/>
    <n v="1070"/>
    <s v="Customer_69"/>
    <x v="0"/>
    <x v="1"/>
    <s v="Furniture"/>
    <s v="Product_B"/>
    <n v="1845"/>
    <n v="2"/>
    <n v="0.18"/>
    <n v="-188"/>
    <s v="COD"/>
    <n v="3025.8"/>
    <s v="Feb"/>
    <n v="2025"/>
    <s v="Q1"/>
    <n v="-6.2132328640359571E-2"/>
    <n v="664.19999999999993"/>
    <s v="Medium"/>
    <s v="Repeat"/>
    <s v="Below Avg"/>
    <s v="Loss"/>
    <n v="391"/>
  </r>
  <r>
    <n v="401"/>
    <d v="2025-02-04T00:00:00"/>
    <n v="1096"/>
    <s v="Customer_28"/>
    <x v="0"/>
    <x v="1"/>
    <s v="Electronics"/>
    <s v="Product_C"/>
    <n v="3601"/>
    <n v="7"/>
    <n v="0.06"/>
    <n v="774"/>
    <s v="Card"/>
    <n v="23694.5799999999"/>
    <s v="Feb"/>
    <n v="2025"/>
    <s v="Q1"/>
    <n v="3.2665698231410023E-2"/>
    <n v="1512.4199999999998"/>
    <s v="High"/>
    <s v="Repeat"/>
    <s v="Above Avg"/>
    <s v="Profit"/>
    <n v="54"/>
  </r>
  <r>
    <n v="402"/>
    <d v="2025-02-05T00:00:00"/>
    <n v="1007"/>
    <s v="Customer_72"/>
    <x v="0"/>
    <x v="2"/>
    <s v="Clothing"/>
    <s v="Product_D"/>
    <n v="1056"/>
    <n v="2"/>
    <n v="0"/>
    <n v="1283"/>
    <s v="UPI"/>
    <n v="2112"/>
    <s v="Feb"/>
    <n v="2025"/>
    <s v="Q1"/>
    <n v="0.60748106060606055"/>
    <n v="0"/>
    <s v="Medium"/>
    <s v="Repeat"/>
    <s v="Below Avg"/>
    <s v="Profit"/>
    <n v="422"/>
  </r>
  <r>
    <n v="403"/>
    <d v="2025-02-06T00:00:00"/>
    <n v="1077"/>
    <s v="Customer_109"/>
    <x v="0"/>
    <x v="2"/>
    <s v="Clothing"/>
    <s v="Product_D"/>
    <n v="4889"/>
    <n v="8"/>
    <n v="0.14000000000000001"/>
    <n v="517"/>
    <s v="UPI"/>
    <n v="33636.32"/>
    <s v="Feb"/>
    <n v="2025"/>
    <s v="Q1"/>
    <n v="1.5370290210106219E-2"/>
    <n v="5475.68"/>
    <s v="High"/>
    <s v="Repeat"/>
    <s v="Above Avg"/>
    <s v="Profit"/>
    <n v="16"/>
  </r>
  <r>
    <n v="404"/>
    <d v="2025-02-07T00:00:00"/>
    <n v="1061"/>
    <s v="Customer_60"/>
    <x v="0"/>
    <x v="0"/>
    <s v="Electronics"/>
    <s v="Product_D"/>
    <n v="4231"/>
    <n v="3"/>
    <n v="7.0000000000000007E-2"/>
    <n v="-225"/>
    <s v="UPI"/>
    <n v="11804.49"/>
    <s v="Feb"/>
    <n v="2025"/>
    <s v="Q1"/>
    <n v="-1.9060543911681063E-2"/>
    <n v="888.5100000000001"/>
    <s v="High"/>
    <s v="Repeat"/>
    <s v="Above Avg"/>
    <s v="Loss"/>
    <n v="172"/>
  </r>
  <r>
    <n v="405"/>
    <d v="2025-02-08T00:00:00"/>
    <n v="1088"/>
    <s v="Customer_13"/>
    <x v="1"/>
    <x v="0"/>
    <s v="Electronics"/>
    <s v="Product_B"/>
    <n v="2954"/>
    <n v="6"/>
    <n v="7.0000000000000007E-2"/>
    <n v="-111"/>
    <s v="COD"/>
    <n v="16483.32"/>
    <s v="Feb"/>
    <n v="2025"/>
    <s v="Q1"/>
    <n v="-6.7340802702368216E-3"/>
    <n v="1240.68"/>
    <s v="High"/>
    <s v="Repeat"/>
    <s v="Above Avg"/>
    <s v="Loss"/>
    <n v="115"/>
  </r>
  <r>
    <n v="406"/>
    <d v="2025-02-09T00:00:00"/>
    <n v="1095"/>
    <s v="Customer_18"/>
    <x v="1"/>
    <x v="2"/>
    <s v="Electronics"/>
    <s v="Product_D"/>
    <n v="3263"/>
    <n v="8"/>
    <n v="0.15"/>
    <n v="562"/>
    <s v="COD"/>
    <n v="22188.3999999999"/>
    <s v="Feb"/>
    <n v="2025"/>
    <s v="Q1"/>
    <n v="2.5328550053181055E-2"/>
    <n v="3915.6"/>
    <s v="High"/>
    <s v="Repeat"/>
    <s v="Above Avg"/>
    <s v="Profit"/>
    <n v="65"/>
  </r>
  <r>
    <n v="407"/>
    <d v="2025-02-10T00:00:00"/>
    <n v="1027"/>
    <s v="Customer_179"/>
    <x v="1"/>
    <x v="3"/>
    <s v="Electronics"/>
    <s v="Product_D"/>
    <n v="1024"/>
    <n v="5"/>
    <n v="0.11"/>
    <n v="538"/>
    <s v="COD"/>
    <n v="4556.8"/>
    <s v="Feb"/>
    <n v="2025"/>
    <s v="Q1"/>
    <n v="0.11806530898876404"/>
    <n v="563.20000000000005"/>
    <s v="Medium"/>
    <s v="Repeat"/>
    <s v="Below Avg"/>
    <s v="Profit"/>
    <n v="337"/>
  </r>
  <r>
    <n v="408"/>
    <d v="2025-02-11T00:00:00"/>
    <n v="1065"/>
    <s v="Customer_50"/>
    <x v="0"/>
    <x v="1"/>
    <s v="Clothing"/>
    <s v="Product_A"/>
    <n v="2288"/>
    <n v="7"/>
    <n v="0.15"/>
    <n v="634"/>
    <s v="Card"/>
    <n v="13613.6"/>
    <s v="Feb"/>
    <n v="2025"/>
    <s v="Q1"/>
    <n v="4.6571075982840687E-2"/>
    <n v="2402.4"/>
    <s v="High"/>
    <s v="Repeat"/>
    <s v="Above Avg"/>
    <s v="Profit"/>
    <n v="152"/>
  </r>
  <r>
    <n v="409"/>
    <d v="2025-02-12T00:00:00"/>
    <n v="1016"/>
    <s v="Customer_43"/>
    <x v="0"/>
    <x v="2"/>
    <s v="Electronics"/>
    <s v="Product_A"/>
    <n v="4617"/>
    <n v="9"/>
    <n v="0.08"/>
    <n v="1491"/>
    <s v="Card"/>
    <n v="38228.76"/>
    <s v="Feb"/>
    <n v="2025"/>
    <s v="Q1"/>
    <n v="3.9002049765673799E-2"/>
    <n v="3324.2400000000002"/>
    <s v="High"/>
    <s v="Repeat"/>
    <s v="Above Avg"/>
    <s v="Profit"/>
    <n v="5"/>
  </r>
  <r>
    <n v="410"/>
    <d v="2025-02-13T00:00:00"/>
    <n v="1090"/>
    <s v="Customer_85"/>
    <x v="0"/>
    <x v="2"/>
    <s v="Clothing"/>
    <s v="Product_D"/>
    <n v="1303"/>
    <n v="5"/>
    <n v="0.18"/>
    <n v="826"/>
    <s v="Card"/>
    <n v="5342.3"/>
    <s v="Feb"/>
    <n v="2025"/>
    <s v="Q1"/>
    <n v="0.15461505344140164"/>
    <n v="1172.7"/>
    <s v="High"/>
    <s v="Repeat"/>
    <s v="Below Avg"/>
    <s v="Profit"/>
    <n v="315"/>
  </r>
  <r>
    <n v="411"/>
    <d v="2025-02-14T00:00:00"/>
    <n v="1001"/>
    <s v="Customer_46"/>
    <x v="0"/>
    <x v="0"/>
    <s v="Furniture"/>
    <s v="Product_A"/>
    <n v="2942"/>
    <n v="7"/>
    <n v="0.19"/>
    <n v="90"/>
    <s v="UPI"/>
    <n v="16681.14"/>
    <s v="Feb"/>
    <n v="2025"/>
    <s v="Q1"/>
    <n v="5.3953147087069595E-3"/>
    <n v="3912.86"/>
    <s v="High"/>
    <s v="Repeat"/>
    <s v="Above Avg"/>
    <s v="Profit"/>
    <n v="109"/>
  </r>
  <r>
    <n v="412"/>
    <d v="2025-02-15T00:00:00"/>
    <n v="1007"/>
    <s v="Customer_24"/>
    <x v="0"/>
    <x v="2"/>
    <s v="Furniture"/>
    <s v="Product_C"/>
    <n v="3138"/>
    <n v="8"/>
    <n v="0.06"/>
    <n v="281"/>
    <s v="COD"/>
    <n v="23597.759999999998"/>
    <s v="Feb"/>
    <n v="2025"/>
    <s v="Q1"/>
    <n v="1.1907909903312858E-2"/>
    <n v="1506.24"/>
    <s v="High"/>
    <s v="Repeat"/>
    <s v="Above Avg"/>
    <s v="Profit"/>
    <n v="55"/>
  </r>
  <r>
    <n v="413"/>
    <d v="2025-02-16T00:00:00"/>
    <n v="1037"/>
    <s v="Customer_5"/>
    <x v="1"/>
    <x v="0"/>
    <s v="Electronics"/>
    <s v="Product_C"/>
    <n v="2851"/>
    <n v="4"/>
    <n v="0.17"/>
    <n v="385"/>
    <s v="Card"/>
    <n v="9465.32"/>
    <s v="Feb"/>
    <n v="2025"/>
    <s v="Q1"/>
    <n v="4.0674800218059193E-2"/>
    <n v="1938.68"/>
    <s v="High"/>
    <s v="Repeat"/>
    <s v="Below Avg"/>
    <s v="Profit"/>
    <n v="219"/>
  </r>
  <r>
    <n v="414"/>
    <d v="2025-02-17T00:00:00"/>
    <n v="1019"/>
    <s v="Customer_158"/>
    <x v="0"/>
    <x v="1"/>
    <s v="Clothing"/>
    <s v="Product_A"/>
    <n v="1181"/>
    <n v="8"/>
    <n v="0.13"/>
    <n v="-134"/>
    <s v="COD"/>
    <n v="8219.76"/>
    <s v="Feb"/>
    <n v="2025"/>
    <s v="Q1"/>
    <n v="-1.6302179139050289E-2"/>
    <n v="1228.24"/>
    <s v="High"/>
    <s v="Repeat"/>
    <s v="Below Avg"/>
    <s v="Loss"/>
    <n v="243"/>
  </r>
  <r>
    <n v="415"/>
    <d v="2025-02-18T00:00:00"/>
    <n v="1063"/>
    <s v="Customer_43"/>
    <x v="1"/>
    <x v="2"/>
    <s v="Furniture"/>
    <s v="Product_A"/>
    <n v="4382"/>
    <n v="8"/>
    <n v="0.28999999999999998"/>
    <n v="420"/>
    <s v="UPI"/>
    <n v="24889.759999999998"/>
    <s v="Feb"/>
    <n v="2025"/>
    <s v="Q1"/>
    <n v="1.6874409395671152E-2"/>
    <n v="10166.24"/>
    <s v="High"/>
    <s v="Repeat"/>
    <s v="Above Avg"/>
    <s v="Profit"/>
    <n v="43"/>
  </r>
  <r>
    <n v="416"/>
    <d v="2025-02-19T00:00:00"/>
    <n v="1020"/>
    <s v="Customer_53"/>
    <x v="0"/>
    <x v="1"/>
    <s v="Furniture"/>
    <s v="Product_C"/>
    <n v="346"/>
    <n v="1"/>
    <n v="0.22"/>
    <n v="1283"/>
    <s v="COD"/>
    <n v="269.88"/>
    <s v="Feb"/>
    <n v="2025"/>
    <s v="Q1"/>
    <n v="4.7539647250629908"/>
    <n v="76.12"/>
    <s v="Low"/>
    <s v="Repeat"/>
    <s v="Below Avg"/>
    <s v="Profit"/>
    <n v="497"/>
  </r>
  <r>
    <n v="417"/>
    <d v="2025-02-20T00:00:00"/>
    <n v="1089"/>
    <s v="Customer_152"/>
    <x v="0"/>
    <x v="0"/>
    <s v="Electronics"/>
    <s v="Product_B"/>
    <n v="895"/>
    <n v="7"/>
    <n v="0.05"/>
    <n v="305"/>
    <s v="Card"/>
    <n v="5951.75"/>
    <s v="Feb"/>
    <n v="2025"/>
    <s v="Q1"/>
    <n v="5.1245432015793672E-2"/>
    <n v="313.25"/>
    <s v="High"/>
    <s v="Repeat"/>
    <s v="Below Avg"/>
    <s v="Profit"/>
    <n v="299"/>
  </r>
  <r>
    <n v="418"/>
    <d v="2025-02-21T00:00:00"/>
    <n v="1030"/>
    <s v="Customer_103"/>
    <x v="0"/>
    <x v="3"/>
    <s v="Clothing"/>
    <s v="Product_D"/>
    <n v="3786"/>
    <n v="6"/>
    <n v="0.26"/>
    <n v="1046"/>
    <s v="UPI"/>
    <n v="16809.84"/>
    <s v="Feb"/>
    <n v="2025"/>
    <s v="Q1"/>
    <n v="6.2225458421971892E-2"/>
    <n v="5906.16"/>
    <s v="High"/>
    <s v="Repeat"/>
    <s v="Above Avg"/>
    <s v="Profit"/>
    <n v="106"/>
  </r>
  <r>
    <n v="419"/>
    <d v="2025-02-22T00:00:00"/>
    <n v="1083"/>
    <s v="Customer_142"/>
    <x v="1"/>
    <x v="3"/>
    <s v="Electronics"/>
    <s v="Product_A"/>
    <n v="1037"/>
    <n v="9"/>
    <n v="0.14000000000000001"/>
    <n v="1107"/>
    <s v="Card"/>
    <n v="8026.38"/>
    <s v="Feb"/>
    <n v="2025"/>
    <s v="Q1"/>
    <n v="0.13792020811374492"/>
    <n v="1306.6200000000001"/>
    <s v="High"/>
    <s v="Repeat"/>
    <s v="Below Avg"/>
    <s v="Profit"/>
    <n v="253"/>
  </r>
  <r>
    <n v="420"/>
    <d v="2025-02-23T00:00:00"/>
    <n v="1069"/>
    <s v="Customer_164"/>
    <x v="1"/>
    <x v="1"/>
    <s v="Clothing"/>
    <s v="Product_B"/>
    <n v="2011"/>
    <n v="8"/>
    <n v="0.25"/>
    <n v="1506"/>
    <s v="Card"/>
    <n v="12066"/>
    <s v="Feb"/>
    <n v="2025"/>
    <s v="Q1"/>
    <n v="0.12481352560914968"/>
    <n v="4022"/>
    <s v="High"/>
    <s v="Repeat"/>
    <s v="Above Avg"/>
    <s v="Profit"/>
    <n v="166"/>
  </r>
  <r>
    <n v="421"/>
    <d v="2025-02-24T00:00:00"/>
    <n v="1014"/>
    <s v="Customer_154"/>
    <x v="0"/>
    <x v="3"/>
    <s v="Clothing"/>
    <s v="Product_D"/>
    <n v="1278"/>
    <n v="4"/>
    <n v="0.25"/>
    <n v="-41"/>
    <s v="Card"/>
    <n v="3834"/>
    <s v="Feb"/>
    <n v="2025"/>
    <s v="Q1"/>
    <n v="-1.069379238393323E-2"/>
    <n v="1278"/>
    <s v="Medium"/>
    <s v="Repeat"/>
    <s v="Below Avg"/>
    <s v="Loss"/>
    <n v="362"/>
  </r>
  <r>
    <n v="422"/>
    <d v="2025-02-25T00:00:00"/>
    <n v="1056"/>
    <s v="Customer_13"/>
    <x v="1"/>
    <x v="1"/>
    <s v="Clothing"/>
    <s v="Product_A"/>
    <n v="837"/>
    <n v="2"/>
    <n v="0.01"/>
    <n v="1937"/>
    <s v="COD"/>
    <n v="1657.26"/>
    <s v="Feb"/>
    <n v="2025"/>
    <s v="Q1"/>
    <n v="1.1687966885099501"/>
    <n v="16.740000000000002"/>
    <s v="Low"/>
    <s v="Repeat"/>
    <s v="Below Avg"/>
    <s v="Profit"/>
    <n v="449"/>
  </r>
  <r>
    <n v="423"/>
    <d v="2025-02-26T00:00:00"/>
    <n v="1000"/>
    <s v="Customer_21"/>
    <x v="0"/>
    <x v="3"/>
    <s v="Clothing"/>
    <s v="Product_A"/>
    <n v="734"/>
    <n v="3"/>
    <n v="7.0000000000000007E-2"/>
    <n v="1682"/>
    <s v="UPI"/>
    <n v="2047.86"/>
    <s v="Feb"/>
    <n v="2025"/>
    <s v="Q1"/>
    <n v="0.82134520914515641"/>
    <n v="154.14000000000001"/>
    <s v="Medium"/>
    <s v="Repeat"/>
    <s v="Below Avg"/>
    <s v="Profit"/>
    <n v="427"/>
  </r>
  <r>
    <n v="424"/>
    <d v="2025-02-27T00:00:00"/>
    <n v="1089"/>
    <s v="Customer_90"/>
    <x v="1"/>
    <x v="2"/>
    <s v="Electronics"/>
    <s v="Product_B"/>
    <n v="316"/>
    <n v="7"/>
    <n v="0.27"/>
    <n v="1139"/>
    <s v="Card"/>
    <n v="1614.76"/>
    <s v="Feb"/>
    <n v="2025"/>
    <s v="Q1"/>
    <n v="0.70536798038098536"/>
    <n v="597.24"/>
    <s v="Low"/>
    <s v="Repeat"/>
    <s v="Below Avg"/>
    <s v="Profit"/>
    <n v="453"/>
  </r>
  <r>
    <n v="425"/>
    <d v="2025-02-28T00:00:00"/>
    <n v="1028"/>
    <s v="Customer_98"/>
    <x v="0"/>
    <x v="0"/>
    <s v="Furniture"/>
    <s v="Product_D"/>
    <n v="519"/>
    <n v="9"/>
    <n v="0.23"/>
    <n v="411"/>
    <s v="Card"/>
    <n v="3596.67"/>
    <s v="Feb"/>
    <n v="2025"/>
    <s v="Q1"/>
    <n v="0.11427236860762872"/>
    <n v="1074.3300000000002"/>
    <s v="Medium"/>
    <s v="Repeat"/>
    <s v="Below Avg"/>
    <s v="Profit"/>
    <n v="369"/>
  </r>
  <r>
    <n v="426"/>
    <d v="2025-03-01T00:00:00"/>
    <n v="1065"/>
    <s v="Customer_40"/>
    <x v="0"/>
    <x v="3"/>
    <s v="Clothing"/>
    <s v="Product_A"/>
    <n v="2662"/>
    <n v="3"/>
    <n v="0.04"/>
    <n v="1264"/>
    <s v="UPI"/>
    <n v="7666.5599999999904"/>
    <s v="Mar"/>
    <n v="2025"/>
    <s v="Q1"/>
    <n v="0.16487185908673532"/>
    <n v="319.44"/>
    <s v="High"/>
    <s v="Repeat"/>
    <s v="Below Avg"/>
    <s v="Profit"/>
    <n v="260"/>
  </r>
  <r>
    <n v="427"/>
    <d v="2025-03-02T00:00:00"/>
    <n v="1021"/>
    <s v="Customer_43"/>
    <x v="0"/>
    <x v="1"/>
    <s v="Clothing"/>
    <s v="Product_D"/>
    <n v="408"/>
    <n v="7"/>
    <n v="0.06"/>
    <n v="1876"/>
    <s v="Card"/>
    <n v="2684.64"/>
    <s v="Mar"/>
    <n v="2025"/>
    <s v="Q1"/>
    <n v="0.69879015435961622"/>
    <n v="171.35999999999999"/>
    <s v="Medium"/>
    <s v="Repeat"/>
    <s v="Below Avg"/>
    <s v="Profit"/>
    <n v="402"/>
  </r>
  <r>
    <n v="428"/>
    <d v="2025-03-03T00:00:00"/>
    <n v="1060"/>
    <s v="Customer_59"/>
    <x v="0"/>
    <x v="0"/>
    <s v="Clothing"/>
    <s v="Product_D"/>
    <n v="4903"/>
    <n v="1"/>
    <n v="0.19"/>
    <n v="1541"/>
    <s v="UPI"/>
    <n v="3971.43"/>
    <s v="Mar"/>
    <n v="2025"/>
    <s v="Q1"/>
    <n v="0.38802144315775428"/>
    <n v="931.57"/>
    <s v="Medium"/>
    <s v="Repeat"/>
    <s v="Below Avg"/>
    <s v="Profit"/>
    <n v="355"/>
  </r>
  <r>
    <n v="429"/>
    <d v="2025-03-04T00:00:00"/>
    <n v="1028"/>
    <s v="Customer_49"/>
    <x v="1"/>
    <x v="2"/>
    <s v="Electronics"/>
    <s v="Product_D"/>
    <n v="1966"/>
    <n v="3"/>
    <n v="0.08"/>
    <n v="919"/>
    <s v="Card"/>
    <n v="5426.16"/>
    <s v="Mar"/>
    <n v="2025"/>
    <s v="Q1"/>
    <n v="0.16936470726996625"/>
    <n v="471.84000000000003"/>
    <s v="High"/>
    <s v="Repeat"/>
    <s v="Below Avg"/>
    <s v="Profit"/>
    <n v="311"/>
  </r>
  <r>
    <n v="430"/>
    <d v="2025-03-05T00:00:00"/>
    <n v="1008"/>
    <s v="Customer_175"/>
    <x v="1"/>
    <x v="2"/>
    <s v="Clothing"/>
    <s v="Product_B"/>
    <n v="1083"/>
    <n v="2"/>
    <n v="0.06"/>
    <n v="25"/>
    <s v="Card"/>
    <n v="2036.04"/>
    <s v="Mar"/>
    <n v="2025"/>
    <s v="Q1"/>
    <n v="1.2278737156440934E-2"/>
    <n v="129.96"/>
    <s v="Medium"/>
    <s v="Repeat"/>
    <s v="Below Avg"/>
    <s v="Profit"/>
    <n v="429"/>
  </r>
  <r>
    <n v="431"/>
    <d v="2025-03-06T00:00:00"/>
    <n v="1040"/>
    <s v="Customer_147"/>
    <x v="1"/>
    <x v="1"/>
    <s v="Furniture"/>
    <s v="Product_D"/>
    <n v="3878"/>
    <n v="6"/>
    <n v="0.3"/>
    <n v="227"/>
    <s v="Card"/>
    <n v="16287.5999999999"/>
    <s v="Mar"/>
    <n v="2025"/>
    <s v="Q1"/>
    <n v="1.3936982735332485E-2"/>
    <n v="6980.4"/>
    <s v="High"/>
    <s v="Repeat"/>
    <s v="Above Avg"/>
    <s v="Profit"/>
    <n v="120"/>
  </r>
  <r>
    <n v="432"/>
    <d v="2025-03-07T00:00:00"/>
    <n v="1020"/>
    <s v="Customer_140"/>
    <x v="0"/>
    <x v="3"/>
    <s v="Clothing"/>
    <s v="Product_C"/>
    <n v="2387"/>
    <n v="9"/>
    <n v="0.14000000000000001"/>
    <n v="-68"/>
    <s v="COD"/>
    <n v="18475.38"/>
    <s v="Mar"/>
    <n v="2025"/>
    <s v="Q1"/>
    <n v="-3.6805738231094568E-3"/>
    <n v="3007.6200000000003"/>
    <s v="High"/>
    <s v="Repeat"/>
    <s v="Above Avg"/>
    <s v="Loss"/>
    <n v="88"/>
  </r>
  <r>
    <n v="433"/>
    <d v="2025-03-08T00:00:00"/>
    <n v="1054"/>
    <s v="Customer_36"/>
    <x v="0"/>
    <x v="3"/>
    <s v="Furniture"/>
    <s v="Product_A"/>
    <n v="3414"/>
    <n v="3"/>
    <n v="0.16"/>
    <n v="1361"/>
    <s v="UPI"/>
    <n v="8603.2799999999897"/>
    <s v="Mar"/>
    <n v="2025"/>
    <s v="Q1"/>
    <n v="0.15819547893361621"/>
    <n v="1638.72"/>
    <s v="High"/>
    <s v="Repeat"/>
    <s v="Below Avg"/>
    <s v="Profit"/>
    <n v="236"/>
  </r>
  <r>
    <n v="434"/>
    <d v="2025-03-09T00:00:00"/>
    <n v="1095"/>
    <s v="Customer_122"/>
    <x v="0"/>
    <x v="0"/>
    <s v="Furniture"/>
    <s v="Product_D"/>
    <n v="661"/>
    <n v="8"/>
    <n v="0.2"/>
    <n v="31"/>
    <s v="COD"/>
    <n v="4230.3999999999996"/>
    <s v="Mar"/>
    <n v="2025"/>
    <s v="Q1"/>
    <n v="7.3279122541603636E-3"/>
    <n v="1057.6000000000001"/>
    <s v="Medium"/>
    <s v="Repeat"/>
    <s v="Below Avg"/>
    <s v="Profit"/>
    <n v="345"/>
  </r>
  <r>
    <n v="435"/>
    <d v="2025-03-10T00:00:00"/>
    <n v="1095"/>
    <s v="Customer_94"/>
    <x v="0"/>
    <x v="1"/>
    <s v="Electronics"/>
    <s v="Product_A"/>
    <n v="3695"/>
    <n v="9"/>
    <n v="0.02"/>
    <n v="1064"/>
    <s v="COD"/>
    <n v="32589.8999999999"/>
    <s v="Mar"/>
    <n v="2025"/>
    <s v="Q1"/>
    <n v="3.2648151727989447E-2"/>
    <n v="665.1"/>
    <s v="High"/>
    <s v="Repeat"/>
    <s v="Above Avg"/>
    <s v="Profit"/>
    <n v="19"/>
  </r>
  <r>
    <n v="436"/>
    <d v="2025-03-11T00:00:00"/>
    <n v="1039"/>
    <s v="Customer_108"/>
    <x v="1"/>
    <x v="1"/>
    <s v="Furniture"/>
    <s v="Product_C"/>
    <n v="4987"/>
    <n v="8"/>
    <n v="0.12"/>
    <n v="1901"/>
    <s v="UPI"/>
    <n v="35108.480000000003"/>
    <s v="Mar"/>
    <n v="2025"/>
    <s v="Q1"/>
    <n v="5.4146462620996406E-2"/>
    <n v="4787.5199999999995"/>
    <s v="High"/>
    <s v="Repeat"/>
    <s v="Above Avg"/>
    <s v="Profit"/>
    <n v="11"/>
  </r>
  <r>
    <n v="437"/>
    <d v="2025-03-12T00:00:00"/>
    <n v="1025"/>
    <s v="Customer_33"/>
    <x v="1"/>
    <x v="0"/>
    <s v="Clothing"/>
    <s v="Product_C"/>
    <n v="1502"/>
    <n v="9"/>
    <n v="0.27"/>
    <n v="407"/>
    <s v="UPI"/>
    <n v="9868.14"/>
    <s v="Mar"/>
    <n v="2025"/>
    <s v="Q1"/>
    <n v="4.1243841291266646E-2"/>
    <n v="3649.86"/>
    <s v="High"/>
    <s v="Repeat"/>
    <s v="Below Avg"/>
    <s v="Profit"/>
    <n v="205"/>
  </r>
  <r>
    <n v="438"/>
    <d v="2025-03-13T00:00:00"/>
    <n v="1047"/>
    <s v="Customer_108"/>
    <x v="1"/>
    <x v="0"/>
    <s v="Furniture"/>
    <s v="Product_C"/>
    <n v="2678"/>
    <n v="9"/>
    <n v="0.28000000000000003"/>
    <n v="-115"/>
    <s v="UPI"/>
    <n v="17353.439999999999"/>
    <s v="Mar"/>
    <n v="2025"/>
    <s v="Q1"/>
    <n v="-6.626928147963747E-3"/>
    <n v="6748.56"/>
    <s v="High"/>
    <s v="Repeat"/>
    <s v="Above Avg"/>
    <s v="Loss"/>
    <n v="100"/>
  </r>
  <r>
    <n v="439"/>
    <d v="2025-03-14T00:00:00"/>
    <n v="1076"/>
    <s v="Customer_127"/>
    <x v="1"/>
    <x v="3"/>
    <s v="Clothing"/>
    <s v="Product_C"/>
    <n v="3044"/>
    <n v="3"/>
    <n v="0.15"/>
    <n v="151"/>
    <s v="UPI"/>
    <n v="7762.2"/>
    <s v="Mar"/>
    <n v="2025"/>
    <s v="Q1"/>
    <n v="1.9453247790574838E-2"/>
    <n v="1369.8"/>
    <s v="High"/>
    <s v="Repeat"/>
    <s v="Below Avg"/>
    <s v="Profit"/>
    <n v="257"/>
  </r>
  <r>
    <n v="440"/>
    <d v="2025-03-15T00:00:00"/>
    <n v="1002"/>
    <s v="Customer_87"/>
    <x v="0"/>
    <x v="0"/>
    <s v="Furniture"/>
    <s v="Product_A"/>
    <n v="670"/>
    <n v="9"/>
    <n v="0.27"/>
    <n v="-290"/>
    <s v="Card"/>
    <n v="4401.8999999999996"/>
    <s v="Mar"/>
    <n v="2025"/>
    <s v="Q1"/>
    <n v="-6.5880642449851201E-2"/>
    <n v="1628.1000000000001"/>
    <s v="Medium"/>
    <s v="Repeat"/>
    <s v="Below Avg"/>
    <s v="Loss"/>
    <n v="340"/>
  </r>
  <r>
    <n v="441"/>
    <d v="2025-03-16T00:00:00"/>
    <n v="1095"/>
    <s v="Customer_62"/>
    <x v="0"/>
    <x v="1"/>
    <s v="Clothing"/>
    <s v="Product_D"/>
    <n v="2551"/>
    <n v="1"/>
    <n v="0.15"/>
    <n v="453"/>
    <s v="COD"/>
    <n v="2168.35"/>
    <s v="Mar"/>
    <n v="2025"/>
    <s v="Q1"/>
    <n v="0.20891461249337054"/>
    <n v="382.65"/>
    <s v="Medium"/>
    <s v="Repeat"/>
    <s v="Below Avg"/>
    <s v="Profit"/>
    <n v="420"/>
  </r>
  <r>
    <n v="442"/>
    <d v="2025-03-17T00:00:00"/>
    <n v="1032"/>
    <s v="Customer_169"/>
    <x v="1"/>
    <x v="2"/>
    <s v="Electronics"/>
    <s v="Product_B"/>
    <n v="1755"/>
    <n v="4"/>
    <n v="0.3"/>
    <n v="678"/>
    <s v="COD"/>
    <n v="4914"/>
    <s v="Mar"/>
    <n v="2025"/>
    <s v="Q1"/>
    <n v="0.13797313797313798"/>
    <n v="2106"/>
    <s v="Medium"/>
    <s v="Repeat"/>
    <s v="Below Avg"/>
    <s v="Profit"/>
    <n v="327"/>
  </r>
  <r>
    <n v="443"/>
    <d v="2025-03-18T00:00:00"/>
    <n v="1096"/>
    <s v="Customer_19"/>
    <x v="1"/>
    <x v="2"/>
    <s v="Clothing"/>
    <s v="Product_D"/>
    <n v="4413"/>
    <n v="1"/>
    <n v="0.24"/>
    <n v="-325"/>
    <s v="Card"/>
    <n v="3353.88"/>
    <s v="Mar"/>
    <n v="2025"/>
    <s v="Q1"/>
    <n v="-9.6902691807697353E-2"/>
    <n v="1059.1199999999999"/>
    <s v="Medium"/>
    <s v="Repeat"/>
    <s v="Below Avg"/>
    <s v="Loss"/>
    <n v="383"/>
  </r>
  <r>
    <n v="444"/>
    <d v="2025-03-19T00:00:00"/>
    <n v="1041"/>
    <s v="Customer_101"/>
    <x v="0"/>
    <x v="2"/>
    <s v="Electronics"/>
    <s v="Product_D"/>
    <n v="4983"/>
    <n v="2"/>
    <n v="0.25"/>
    <n v="159"/>
    <s v="COD"/>
    <n v="7474.5"/>
    <s v="Mar"/>
    <n v="2025"/>
    <s v="Q1"/>
    <n v="2.1272325908087499E-2"/>
    <n v="2491.5"/>
    <s v="High"/>
    <s v="Repeat"/>
    <s v="Below Avg"/>
    <s v="Profit"/>
    <n v="265"/>
  </r>
  <r>
    <n v="445"/>
    <d v="2025-03-20T00:00:00"/>
    <n v="1076"/>
    <s v="Customer_31"/>
    <x v="0"/>
    <x v="2"/>
    <s v="Clothing"/>
    <s v="Product_A"/>
    <n v="2328"/>
    <n v="4"/>
    <n v="0.06"/>
    <n v="878"/>
    <s v="COD"/>
    <n v="8753.2799999999897"/>
    <s v="Mar"/>
    <n v="2025"/>
    <s v="Q1"/>
    <n v="0.10030525700080439"/>
    <n v="558.72"/>
    <s v="High"/>
    <s v="Repeat"/>
    <s v="Below Avg"/>
    <s v="Profit"/>
    <n v="234"/>
  </r>
  <r>
    <n v="446"/>
    <d v="2025-03-21T00:00:00"/>
    <n v="1042"/>
    <s v="Customer_50"/>
    <x v="0"/>
    <x v="1"/>
    <s v="Furniture"/>
    <s v="Product_D"/>
    <n v="4886"/>
    <n v="8"/>
    <n v="0"/>
    <n v="-420"/>
    <s v="UPI"/>
    <n v="39088"/>
    <s v="Mar"/>
    <n v="2025"/>
    <s v="Q1"/>
    <n v="-1.0744985673352435E-2"/>
    <n v="0"/>
    <s v="High"/>
    <s v="New"/>
    <s v="Above Avg"/>
    <s v="Loss"/>
    <n v="4"/>
  </r>
  <r>
    <n v="447"/>
    <d v="2025-03-22T00:00:00"/>
    <n v="1069"/>
    <s v="Customer_170"/>
    <x v="0"/>
    <x v="2"/>
    <s v="Clothing"/>
    <s v="Product_C"/>
    <n v="2947"/>
    <n v="6"/>
    <n v="0.15"/>
    <n v="963"/>
    <s v="Card"/>
    <n v="15029.699999999901"/>
    <s v="Mar"/>
    <n v="2025"/>
    <s v="Q1"/>
    <n v="6.4073135192319636E-2"/>
    <n v="2652.2999999999997"/>
    <s v="High"/>
    <s v="Repeat"/>
    <s v="Above Avg"/>
    <s v="Profit"/>
    <n v="137"/>
  </r>
  <r>
    <n v="448"/>
    <d v="2025-03-23T00:00:00"/>
    <n v="1003"/>
    <s v="Customer_103"/>
    <x v="1"/>
    <x v="1"/>
    <s v="Furniture"/>
    <s v="Product_A"/>
    <n v="3985"/>
    <n v="4"/>
    <n v="0.28999999999999998"/>
    <n v="735"/>
    <s v="Card"/>
    <n v="11317.4"/>
    <s v="Mar"/>
    <n v="2025"/>
    <s v="Q1"/>
    <n v="6.494424514464453E-2"/>
    <n v="4622.5999999999995"/>
    <s v="High"/>
    <s v="Repeat"/>
    <s v="Above Avg"/>
    <s v="Profit"/>
    <n v="185"/>
  </r>
  <r>
    <n v="449"/>
    <d v="2025-03-24T00:00:00"/>
    <n v="1063"/>
    <s v="Customer_17"/>
    <x v="0"/>
    <x v="3"/>
    <s v="Clothing"/>
    <s v="Product_B"/>
    <n v="444"/>
    <n v="4"/>
    <n v="0.28999999999999998"/>
    <n v="1226"/>
    <s v="Card"/>
    <n v="1260.96"/>
    <s v="Mar"/>
    <n v="2025"/>
    <s v="Q1"/>
    <n v="0.97227509199340179"/>
    <n v="515.04"/>
    <s v="Low"/>
    <s v="Repeat"/>
    <s v="Below Avg"/>
    <s v="Profit"/>
    <n v="467"/>
  </r>
  <r>
    <n v="450"/>
    <d v="2025-03-25T00:00:00"/>
    <n v="1069"/>
    <s v="Customer_196"/>
    <x v="0"/>
    <x v="2"/>
    <s v="Clothing"/>
    <s v="Product_A"/>
    <n v="3283"/>
    <n v="6"/>
    <n v="0.18"/>
    <n v="-475"/>
    <s v="Card"/>
    <n v="16152.36"/>
    <s v="Mar"/>
    <n v="2025"/>
    <s v="Q1"/>
    <n v="-2.9407467391761945E-2"/>
    <n v="3545.64"/>
    <s v="High"/>
    <s v="Repeat"/>
    <s v="Above Avg"/>
    <s v="Loss"/>
    <n v="124"/>
  </r>
  <r>
    <n v="451"/>
    <d v="2025-03-26T00:00:00"/>
    <n v="1050"/>
    <s v="Customer_6"/>
    <x v="0"/>
    <x v="1"/>
    <s v="Clothing"/>
    <s v="Product_A"/>
    <n v="3777"/>
    <n v="1"/>
    <n v="0.06"/>
    <n v="658"/>
    <s v="UPI"/>
    <n v="3550.3799999999901"/>
    <s v="Mar"/>
    <n v="2025"/>
    <s v="Q1"/>
    <n v="0.18533227429176646"/>
    <n v="226.62"/>
    <s v="Medium"/>
    <s v="Repeat"/>
    <s v="Below Avg"/>
    <s v="Profit"/>
    <n v="375"/>
  </r>
  <r>
    <n v="452"/>
    <d v="2025-03-27T00:00:00"/>
    <n v="1066"/>
    <s v="Customer_60"/>
    <x v="1"/>
    <x v="3"/>
    <s v="Electronics"/>
    <s v="Product_B"/>
    <n v="4411"/>
    <n v="5"/>
    <n v="0"/>
    <n v="1052"/>
    <s v="COD"/>
    <n v="22055"/>
    <s v="Mar"/>
    <n v="2025"/>
    <s v="Q1"/>
    <n v="4.7698934481976873E-2"/>
    <n v="0"/>
    <s v="High"/>
    <s v="Repeat"/>
    <s v="Above Avg"/>
    <s v="Profit"/>
    <n v="66"/>
  </r>
  <r>
    <n v="453"/>
    <d v="2025-03-28T00:00:00"/>
    <n v="1090"/>
    <s v="Customer_19"/>
    <x v="1"/>
    <x v="3"/>
    <s v="Furniture"/>
    <s v="Product_A"/>
    <n v="2976"/>
    <n v="4"/>
    <n v="0.15"/>
    <n v="1151"/>
    <s v="Card"/>
    <n v="10118.4"/>
    <s v="Mar"/>
    <n v="2025"/>
    <s v="Q1"/>
    <n v="0.11375316255534472"/>
    <n v="1785.6"/>
    <s v="High"/>
    <s v="Repeat"/>
    <s v="Below Avg"/>
    <s v="Profit"/>
    <n v="199"/>
  </r>
  <r>
    <n v="454"/>
    <d v="2025-03-29T00:00:00"/>
    <n v="1083"/>
    <s v="Customer_186"/>
    <x v="1"/>
    <x v="3"/>
    <s v="Electronics"/>
    <s v="Product_C"/>
    <n v="504"/>
    <n v="8"/>
    <n v="0.09"/>
    <n v="1073"/>
    <s v="UPI"/>
    <n v="3669.12"/>
    <s v="Mar"/>
    <n v="2025"/>
    <s v="Q1"/>
    <n v="0.2924406942264085"/>
    <n v="362.88"/>
    <s v="Medium"/>
    <s v="Repeat"/>
    <s v="Below Avg"/>
    <s v="Profit"/>
    <n v="367"/>
  </r>
  <r>
    <n v="455"/>
    <d v="2025-03-30T00:00:00"/>
    <n v="1017"/>
    <s v="Customer_40"/>
    <x v="1"/>
    <x v="2"/>
    <s v="Electronics"/>
    <s v="Product_D"/>
    <n v="2002"/>
    <n v="9"/>
    <n v="0.1"/>
    <n v="-460"/>
    <s v="UPI"/>
    <n v="16216.2"/>
    <s v="Mar"/>
    <n v="2025"/>
    <s v="Q1"/>
    <n v="-2.83666950333617E-2"/>
    <n v="1801.8000000000002"/>
    <s v="High"/>
    <s v="Repeat"/>
    <s v="Above Avg"/>
    <s v="Loss"/>
    <n v="121"/>
  </r>
  <r>
    <n v="456"/>
    <d v="2025-03-31T00:00:00"/>
    <n v="1019"/>
    <s v="Customer_124"/>
    <x v="0"/>
    <x v="0"/>
    <s v="Electronics"/>
    <s v="Product_A"/>
    <n v="272"/>
    <n v="2"/>
    <n v="0.25"/>
    <n v="237"/>
    <s v="COD"/>
    <n v="408"/>
    <s v="Mar"/>
    <n v="2025"/>
    <s v="Q1"/>
    <n v="0.58088235294117652"/>
    <n v="136"/>
    <s v="Low"/>
    <s v="Repeat"/>
    <s v="Below Avg"/>
    <s v="Profit"/>
    <n v="495"/>
  </r>
  <r>
    <n v="457"/>
    <d v="2025-04-01T00:00:00"/>
    <n v="1029"/>
    <s v="Customer_45"/>
    <x v="0"/>
    <x v="1"/>
    <s v="Electronics"/>
    <s v="Product_B"/>
    <n v="1217"/>
    <n v="2"/>
    <n v="0.03"/>
    <n v="1969"/>
    <s v="COD"/>
    <n v="2360.98"/>
    <s v="Apr"/>
    <n v="2025"/>
    <s v="Q2"/>
    <n v="0.83397572194597158"/>
    <n v="73.02"/>
    <s v="Medium"/>
    <s v="Repeat"/>
    <s v="Below Avg"/>
    <s v="Profit"/>
    <n v="414"/>
  </r>
  <r>
    <n v="458"/>
    <d v="2025-04-02T00:00:00"/>
    <n v="1073"/>
    <s v="Customer_42"/>
    <x v="1"/>
    <x v="2"/>
    <s v="Clothing"/>
    <s v="Product_D"/>
    <n v="1801"/>
    <n v="8"/>
    <n v="0.03"/>
    <n v="1897"/>
    <s v="Card"/>
    <n v="13975.76"/>
    <s v="Apr"/>
    <n v="2025"/>
    <s v="Q2"/>
    <n v="0.13573501548395223"/>
    <n v="432.24"/>
    <s v="High"/>
    <s v="Repeat"/>
    <s v="Above Avg"/>
    <s v="Profit"/>
    <n v="148"/>
  </r>
  <r>
    <n v="459"/>
    <d v="2025-04-03T00:00:00"/>
    <n v="1051"/>
    <s v="Customer_70"/>
    <x v="1"/>
    <x v="1"/>
    <s v="Clothing"/>
    <s v="Product_C"/>
    <n v="4044"/>
    <n v="6"/>
    <n v="0.13"/>
    <n v="-422"/>
    <s v="Card"/>
    <n v="21109.68"/>
    <s v="Apr"/>
    <n v="2025"/>
    <s v="Q2"/>
    <n v="-1.9990828851976911E-2"/>
    <n v="3154.32"/>
    <s v="High"/>
    <s v="Repeat"/>
    <s v="Above Avg"/>
    <s v="Loss"/>
    <n v="75"/>
  </r>
  <r>
    <n v="460"/>
    <d v="2025-04-04T00:00:00"/>
    <n v="1022"/>
    <s v="Customer_152"/>
    <x v="1"/>
    <x v="1"/>
    <s v="Electronics"/>
    <s v="Product_D"/>
    <n v="1017"/>
    <n v="8"/>
    <n v="0.12"/>
    <n v="622"/>
    <s v="COD"/>
    <n v="7159.68"/>
    <s v="Apr"/>
    <n v="2025"/>
    <s v="Q2"/>
    <n v="8.68753910789309E-2"/>
    <n v="976.31999999999994"/>
    <s v="High"/>
    <s v="Repeat"/>
    <s v="Below Avg"/>
    <s v="Profit"/>
    <n v="272"/>
  </r>
  <r>
    <n v="461"/>
    <d v="2025-04-05T00:00:00"/>
    <n v="1046"/>
    <s v="Customer_150"/>
    <x v="0"/>
    <x v="0"/>
    <s v="Electronics"/>
    <s v="Product_C"/>
    <n v="3058"/>
    <n v="1"/>
    <n v="0.02"/>
    <n v="1633"/>
    <s v="Card"/>
    <n v="2996.84"/>
    <s v="Apr"/>
    <n v="2025"/>
    <s v="Q2"/>
    <n v="0.54490730235848428"/>
    <n v="61.160000000000004"/>
    <s v="Medium"/>
    <s v="Repeat"/>
    <s v="Below Avg"/>
    <s v="Profit"/>
    <n v="393"/>
  </r>
  <r>
    <n v="462"/>
    <d v="2025-04-06T00:00:00"/>
    <n v="1002"/>
    <s v="Customer_53"/>
    <x v="0"/>
    <x v="2"/>
    <s v="Electronics"/>
    <s v="Product_C"/>
    <n v="3212"/>
    <n v="3"/>
    <n v="0.16"/>
    <n v="-72"/>
    <s v="COD"/>
    <n v="8094.24"/>
    <s v="Apr"/>
    <n v="2025"/>
    <s v="Q2"/>
    <n v="-8.8952143746664301E-3"/>
    <n v="1541.76"/>
    <s v="High"/>
    <s v="Repeat"/>
    <s v="Below Avg"/>
    <s v="Loss"/>
    <n v="249"/>
  </r>
  <r>
    <n v="463"/>
    <d v="2025-04-07T00:00:00"/>
    <n v="1049"/>
    <s v="Customer_78"/>
    <x v="0"/>
    <x v="0"/>
    <s v="Furniture"/>
    <s v="Product_C"/>
    <n v="1965"/>
    <n v="7"/>
    <n v="0.13"/>
    <n v="510"/>
    <s v="COD"/>
    <n v="11966.85"/>
    <s v="Apr"/>
    <n v="2025"/>
    <s v="Q2"/>
    <n v="4.2617731483222399E-2"/>
    <n v="1788.15"/>
    <s v="High"/>
    <s v="Repeat"/>
    <s v="Above Avg"/>
    <s v="Profit"/>
    <n v="168"/>
  </r>
  <r>
    <n v="464"/>
    <d v="2025-04-08T00:00:00"/>
    <n v="1008"/>
    <s v="Customer_152"/>
    <x v="0"/>
    <x v="3"/>
    <s v="Furniture"/>
    <s v="Product_A"/>
    <n v="406"/>
    <n v="7"/>
    <n v="0.3"/>
    <n v="648"/>
    <s v="COD"/>
    <n v="1989.3999999999901"/>
    <s v="Apr"/>
    <n v="2025"/>
    <s v="Q2"/>
    <n v="0.32572634965316338"/>
    <n v="852.6"/>
    <s v="Low"/>
    <s v="Repeat"/>
    <s v="Below Avg"/>
    <s v="Profit"/>
    <n v="431"/>
  </r>
  <r>
    <n v="465"/>
    <d v="2025-04-09T00:00:00"/>
    <n v="1018"/>
    <s v="Customer_153"/>
    <x v="0"/>
    <x v="2"/>
    <s v="Clothing"/>
    <s v="Product_C"/>
    <n v="1951"/>
    <n v="5"/>
    <n v="0.02"/>
    <n v="575"/>
    <s v="Card"/>
    <n v="9559.9"/>
    <s v="Apr"/>
    <n v="2025"/>
    <s v="Q2"/>
    <n v="6.0147072668124149E-2"/>
    <n v="195.1"/>
    <s v="High"/>
    <s v="Repeat"/>
    <s v="Below Avg"/>
    <s v="Profit"/>
    <n v="214"/>
  </r>
  <r>
    <n v="466"/>
    <d v="2025-04-10T00:00:00"/>
    <n v="1035"/>
    <s v="Customer_145"/>
    <x v="0"/>
    <x v="3"/>
    <s v="Furniture"/>
    <s v="Product_D"/>
    <n v="930"/>
    <n v="9"/>
    <n v="0.04"/>
    <n v="-226"/>
    <s v="Card"/>
    <n v="8035.2"/>
    <s v="Apr"/>
    <n v="2025"/>
    <s v="Q2"/>
    <n v="-2.8126244524093989E-2"/>
    <n v="334.8"/>
    <s v="High"/>
    <s v="Repeat"/>
    <s v="Below Avg"/>
    <s v="Loss"/>
    <n v="252"/>
  </r>
  <r>
    <n v="467"/>
    <d v="2025-04-11T00:00:00"/>
    <n v="1039"/>
    <s v="Customer_123"/>
    <x v="0"/>
    <x v="0"/>
    <s v="Electronics"/>
    <s v="Product_A"/>
    <n v="524"/>
    <n v="2"/>
    <n v="0.05"/>
    <n v="563"/>
    <s v="Card"/>
    <n v="995.599999999999"/>
    <s v="Apr"/>
    <n v="2025"/>
    <s v="Q2"/>
    <n v="0.56548814785054291"/>
    <n v="52.400000000000006"/>
    <s v="Low"/>
    <s v="Repeat"/>
    <s v="Below Avg"/>
    <s v="Profit"/>
    <n v="480"/>
  </r>
  <r>
    <n v="468"/>
    <d v="2025-04-12T00:00:00"/>
    <n v="1026"/>
    <s v="Customer_115"/>
    <x v="1"/>
    <x v="3"/>
    <s v="Furniture"/>
    <s v="Product_B"/>
    <n v="3851"/>
    <n v="1"/>
    <n v="0.1"/>
    <n v="1436"/>
    <s v="UPI"/>
    <n v="3465.9"/>
    <s v="Apr"/>
    <n v="2025"/>
    <s v="Q2"/>
    <n v="0.41432239822268385"/>
    <n v="385.1"/>
    <s v="Medium"/>
    <s v="Repeat"/>
    <s v="Below Avg"/>
    <s v="Profit"/>
    <n v="377"/>
  </r>
  <r>
    <n v="469"/>
    <d v="2025-04-13T00:00:00"/>
    <n v="1091"/>
    <s v="Customer_110"/>
    <x v="1"/>
    <x v="1"/>
    <s v="Electronics"/>
    <s v="Product_A"/>
    <n v="4972"/>
    <n v="3"/>
    <n v="0.2"/>
    <n v="1594"/>
    <s v="COD"/>
    <n v="11932.8"/>
    <s v="Apr"/>
    <n v="2025"/>
    <s v="Q2"/>
    <n v="0.13358138911236256"/>
    <n v="2983.2000000000003"/>
    <s v="High"/>
    <s v="Repeat"/>
    <s v="Above Avg"/>
    <s v="Profit"/>
    <n v="169"/>
  </r>
  <r>
    <n v="470"/>
    <d v="2025-04-14T00:00:00"/>
    <n v="1071"/>
    <s v="Customer_163"/>
    <x v="0"/>
    <x v="0"/>
    <s v="Furniture"/>
    <s v="Product_C"/>
    <n v="1905"/>
    <n v="7"/>
    <n v="0.28999999999999998"/>
    <n v="-284"/>
    <s v="UPI"/>
    <n v="9467.85"/>
    <s v="Apr"/>
    <n v="2025"/>
    <s v="Q2"/>
    <n v="-2.9996250468691414E-2"/>
    <n v="3867.1499999999996"/>
    <s v="High"/>
    <s v="Repeat"/>
    <s v="Below Avg"/>
    <s v="Loss"/>
    <n v="218"/>
  </r>
  <r>
    <n v="471"/>
    <d v="2025-04-15T00:00:00"/>
    <n v="1071"/>
    <s v="Customer_56"/>
    <x v="1"/>
    <x v="3"/>
    <s v="Furniture"/>
    <s v="Product_B"/>
    <n v="4820"/>
    <n v="8"/>
    <n v="0.27"/>
    <n v="148"/>
    <s v="COD"/>
    <n v="28148.799999999999"/>
    <s v="Apr"/>
    <n v="2025"/>
    <s v="Q2"/>
    <n v="5.257772977888933E-3"/>
    <n v="10411.200000000001"/>
    <s v="High"/>
    <s v="Repeat"/>
    <s v="Above Avg"/>
    <s v="Profit"/>
    <n v="28"/>
  </r>
  <r>
    <n v="472"/>
    <d v="2025-04-16T00:00:00"/>
    <n v="1081"/>
    <s v="Customer_28"/>
    <x v="1"/>
    <x v="3"/>
    <s v="Furniture"/>
    <s v="Product_C"/>
    <n v="2519"/>
    <n v="8"/>
    <n v="0.13"/>
    <n v="1049"/>
    <s v="COD"/>
    <n v="17532.240000000002"/>
    <s v="Apr"/>
    <n v="2025"/>
    <s v="Q2"/>
    <n v="5.9832628346406388E-2"/>
    <n v="2619.7600000000002"/>
    <s v="High"/>
    <s v="Repeat"/>
    <s v="Above Avg"/>
    <s v="Profit"/>
    <n v="96"/>
  </r>
  <r>
    <n v="473"/>
    <d v="2025-04-17T00:00:00"/>
    <n v="1020"/>
    <s v="Customer_194"/>
    <x v="1"/>
    <x v="3"/>
    <s v="Clothing"/>
    <s v="Product_B"/>
    <n v="191"/>
    <n v="2"/>
    <n v="0.02"/>
    <n v="453"/>
    <s v="Card"/>
    <n v="374.36"/>
    <s v="Apr"/>
    <n v="2025"/>
    <s v="Q2"/>
    <n v="1.2100651779036222"/>
    <n v="7.6400000000000006"/>
    <s v="Low"/>
    <s v="Repeat"/>
    <s v="Below Avg"/>
    <s v="Profit"/>
    <n v="496"/>
  </r>
  <r>
    <n v="474"/>
    <d v="2025-04-18T00:00:00"/>
    <n v="1012"/>
    <s v="Customer_34"/>
    <x v="1"/>
    <x v="3"/>
    <s v="Furniture"/>
    <s v="Product_A"/>
    <n v="958"/>
    <n v="6"/>
    <n v="0.19"/>
    <n v="1374"/>
    <s v="Card"/>
    <n v="4655.88"/>
    <s v="Apr"/>
    <n v="2025"/>
    <s v="Q2"/>
    <n v="0.2951106987293487"/>
    <n v="1092.1200000000001"/>
    <s v="Medium"/>
    <s v="Repeat"/>
    <s v="Below Avg"/>
    <s v="Profit"/>
    <n v="333"/>
  </r>
  <r>
    <n v="475"/>
    <d v="2025-04-19T00:00:00"/>
    <n v="1026"/>
    <s v="Customer_65"/>
    <x v="1"/>
    <x v="2"/>
    <s v="Clothing"/>
    <s v="Product_D"/>
    <n v="4109"/>
    <n v="5"/>
    <n v="0.13"/>
    <n v="630"/>
    <s v="UPI"/>
    <n v="17874.150000000001"/>
    <s v="Apr"/>
    <n v="2025"/>
    <s v="Q2"/>
    <n v="3.5246431298830989E-2"/>
    <n v="2670.85"/>
    <s v="High"/>
    <s v="Repeat"/>
    <s v="Above Avg"/>
    <s v="Profit"/>
    <n v="92"/>
  </r>
  <r>
    <n v="476"/>
    <d v="2025-04-20T00:00:00"/>
    <n v="1061"/>
    <s v="Customer_111"/>
    <x v="1"/>
    <x v="3"/>
    <s v="Clothing"/>
    <s v="Product_A"/>
    <n v="911"/>
    <n v="2"/>
    <n v="0.01"/>
    <n v="61"/>
    <s v="UPI"/>
    <n v="1803.78"/>
    <s v="Apr"/>
    <n v="2025"/>
    <s v="Q2"/>
    <n v="3.3817871359034919E-2"/>
    <n v="18.22"/>
    <s v="Low"/>
    <s v="Repeat"/>
    <s v="Below Avg"/>
    <s v="Profit"/>
    <n v="440"/>
  </r>
  <r>
    <n v="477"/>
    <d v="2025-04-21T00:00:00"/>
    <n v="1039"/>
    <s v="Customer_128"/>
    <x v="0"/>
    <x v="3"/>
    <s v="Furniture"/>
    <s v="Product_D"/>
    <n v="1853"/>
    <n v="1"/>
    <n v="0.25"/>
    <n v="1755"/>
    <s v="COD"/>
    <n v="1389.75"/>
    <s v="Apr"/>
    <n v="2025"/>
    <s v="Q2"/>
    <n v="1.2628170534268754"/>
    <n v="463.25"/>
    <s v="Low"/>
    <s v="Repeat"/>
    <s v="Below Avg"/>
    <s v="Profit"/>
    <n v="461"/>
  </r>
  <r>
    <n v="478"/>
    <d v="2025-04-22T00:00:00"/>
    <n v="1052"/>
    <s v="Customer_131"/>
    <x v="1"/>
    <x v="2"/>
    <s v="Electronics"/>
    <s v="Product_C"/>
    <n v="3861"/>
    <n v="4"/>
    <n v="0.16"/>
    <n v="1739"/>
    <s v="Card"/>
    <n v="12972.96"/>
    <s v="Apr"/>
    <n v="2025"/>
    <s v="Q2"/>
    <n v="0.1340480507147174"/>
    <n v="2471.04"/>
    <s v="High"/>
    <s v="Repeat"/>
    <s v="Above Avg"/>
    <s v="Profit"/>
    <n v="159"/>
  </r>
  <r>
    <n v="479"/>
    <d v="2025-04-23T00:00:00"/>
    <n v="1079"/>
    <s v="Customer_187"/>
    <x v="1"/>
    <x v="3"/>
    <s v="Electronics"/>
    <s v="Product_C"/>
    <n v="3679"/>
    <n v="6"/>
    <n v="0.13"/>
    <n v="1506"/>
    <s v="COD"/>
    <n v="19204.38"/>
    <s v="Apr"/>
    <n v="2025"/>
    <s v="Q2"/>
    <n v="7.8419610526348674E-2"/>
    <n v="2869.62"/>
    <s v="High"/>
    <s v="Repeat"/>
    <s v="Above Avg"/>
    <s v="Profit"/>
    <n v="84"/>
  </r>
  <r>
    <n v="480"/>
    <d v="2025-04-24T00:00:00"/>
    <n v="1039"/>
    <s v="Customer_56"/>
    <x v="0"/>
    <x v="3"/>
    <s v="Electronics"/>
    <s v="Product_A"/>
    <n v="1431"/>
    <n v="9"/>
    <n v="0.22"/>
    <n v="822"/>
    <s v="UPI"/>
    <n v="10045.620000000001"/>
    <s v="Apr"/>
    <n v="2025"/>
    <s v="Q2"/>
    <n v="8.1826706564652046E-2"/>
    <n v="2833.38"/>
    <s v="High"/>
    <s v="Repeat"/>
    <s v="Below Avg"/>
    <s v="Profit"/>
    <n v="200"/>
  </r>
  <r>
    <n v="481"/>
    <d v="2025-04-25T00:00:00"/>
    <n v="1008"/>
    <s v="Customer_22"/>
    <x v="0"/>
    <x v="3"/>
    <s v="Furniture"/>
    <s v="Product_C"/>
    <n v="2112"/>
    <n v="9"/>
    <n v="0.26"/>
    <n v="645"/>
    <s v="UPI"/>
    <n v="14065.92"/>
    <s v="Apr"/>
    <n v="2025"/>
    <s v="Q2"/>
    <n v="4.5855514605514604E-2"/>
    <n v="4942.08"/>
    <s v="High"/>
    <s v="Repeat"/>
    <s v="Above Avg"/>
    <s v="Profit"/>
    <n v="146"/>
  </r>
  <r>
    <n v="482"/>
    <d v="2025-04-26T00:00:00"/>
    <n v="1026"/>
    <s v="Customer_170"/>
    <x v="0"/>
    <x v="2"/>
    <s v="Clothing"/>
    <s v="Product_D"/>
    <n v="3792"/>
    <n v="3"/>
    <n v="0.28000000000000003"/>
    <n v="1742"/>
    <s v="Card"/>
    <n v="8190.7199999999903"/>
    <s v="Apr"/>
    <n v="2025"/>
    <s v="Q2"/>
    <n v="0.2126797155805597"/>
    <n v="3185.28"/>
    <s v="High"/>
    <s v="Repeat"/>
    <s v="Below Avg"/>
    <s v="Profit"/>
    <n v="244"/>
  </r>
  <r>
    <n v="483"/>
    <d v="2025-04-27T00:00:00"/>
    <n v="1080"/>
    <s v="Customer_132"/>
    <x v="0"/>
    <x v="1"/>
    <s v="Furniture"/>
    <s v="Product_C"/>
    <n v="2486"/>
    <n v="9"/>
    <n v="0.1"/>
    <n v="-143"/>
    <s v="UPI"/>
    <n v="20136.599999999999"/>
    <s v="Apr"/>
    <n v="2025"/>
    <s v="Q2"/>
    <n v="-7.1014967770130014E-3"/>
    <n v="2237.4"/>
    <s v="High"/>
    <s v="Repeat"/>
    <s v="Above Avg"/>
    <s v="Loss"/>
    <n v="78"/>
  </r>
  <r>
    <n v="484"/>
    <d v="2025-04-28T00:00:00"/>
    <n v="1002"/>
    <s v="Customer_100"/>
    <x v="1"/>
    <x v="1"/>
    <s v="Clothing"/>
    <s v="Product_D"/>
    <n v="306"/>
    <n v="6"/>
    <n v="0.06"/>
    <n v="-483"/>
    <s v="Card"/>
    <n v="1725.84"/>
    <s v="Apr"/>
    <n v="2025"/>
    <s v="Q2"/>
    <n v="-0.27986371853706021"/>
    <n v="110.16"/>
    <s v="Low"/>
    <s v="Repeat"/>
    <s v="Below Avg"/>
    <s v="Loss"/>
    <n v="445"/>
  </r>
  <r>
    <n v="485"/>
    <d v="2025-04-29T00:00:00"/>
    <n v="1055"/>
    <s v="Customer_118"/>
    <x v="0"/>
    <x v="2"/>
    <s v="Electronics"/>
    <s v="Product_B"/>
    <n v="3682"/>
    <n v="8"/>
    <n v="0.1"/>
    <n v="1715"/>
    <s v="Card"/>
    <n v="26510.400000000001"/>
    <s v="Apr"/>
    <n v="2025"/>
    <s v="Q2"/>
    <n v="6.4691592733417819E-2"/>
    <n v="2945.6000000000004"/>
    <s v="High"/>
    <s v="Repeat"/>
    <s v="Above Avg"/>
    <s v="Profit"/>
    <n v="37"/>
  </r>
  <r>
    <n v="486"/>
    <d v="2025-04-30T00:00:00"/>
    <n v="1052"/>
    <s v="Customer_12"/>
    <x v="0"/>
    <x v="1"/>
    <s v="Furniture"/>
    <s v="Product_C"/>
    <n v="4317"/>
    <n v="8"/>
    <n v="0.28999999999999998"/>
    <n v="227"/>
    <s v="UPI"/>
    <n v="24520.559999999899"/>
    <s v="Apr"/>
    <n v="2025"/>
    <s v="Q2"/>
    <n v="9.2575373482498332E-3"/>
    <n v="10015.439999999999"/>
    <s v="High"/>
    <s v="Repeat"/>
    <s v="Above Avg"/>
    <s v="Profit"/>
    <n v="46"/>
  </r>
  <r>
    <n v="487"/>
    <d v="2025-05-01T00:00:00"/>
    <n v="1003"/>
    <s v="Customer_37"/>
    <x v="1"/>
    <x v="1"/>
    <s v="Electronics"/>
    <s v="Product_D"/>
    <n v="1839"/>
    <n v="3"/>
    <n v="0.03"/>
    <n v="1247"/>
    <s v="UPI"/>
    <n v="5351.49"/>
    <s v="May"/>
    <n v="2025"/>
    <s v="Q2"/>
    <n v="0.23301921520922211"/>
    <n v="165.51"/>
    <s v="High"/>
    <s v="Repeat"/>
    <s v="Below Avg"/>
    <s v="Profit"/>
    <n v="314"/>
  </r>
  <r>
    <n v="488"/>
    <d v="2025-05-02T00:00:00"/>
    <n v="1039"/>
    <s v="Customer_41"/>
    <x v="0"/>
    <x v="2"/>
    <s v="Furniture"/>
    <s v="Product_A"/>
    <n v="3996"/>
    <n v="3"/>
    <n v="0.28999999999999998"/>
    <n v="56"/>
    <s v="Card"/>
    <n v="8511.48"/>
    <s v="May"/>
    <n v="2025"/>
    <s v="Q2"/>
    <n v="6.5793493023539977E-3"/>
    <n v="3476.52"/>
    <s v="High"/>
    <s v="Repeat"/>
    <s v="Below Avg"/>
    <s v="Profit"/>
    <n v="238"/>
  </r>
  <r>
    <n v="489"/>
    <d v="2025-05-03T00:00:00"/>
    <n v="1051"/>
    <s v="Customer_58"/>
    <x v="1"/>
    <x v="0"/>
    <s v="Electronics"/>
    <s v="Product_C"/>
    <n v="3116"/>
    <n v="9"/>
    <n v="0.19"/>
    <n v="942"/>
    <s v="COD"/>
    <n v="22715.64"/>
    <s v="May"/>
    <n v="2025"/>
    <s v="Q2"/>
    <n v="4.1469225608435425E-2"/>
    <n v="5328.36"/>
    <s v="High"/>
    <s v="Repeat"/>
    <s v="Above Avg"/>
    <s v="Profit"/>
    <n v="61"/>
  </r>
  <r>
    <n v="490"/>
    <d v="2025-05-04T00:00:00"/>
    <n v="1055"/>
    <s v="Customer_63"/>
    <x v="0"/>
    <x v="2"/>
    <s v="Furniture"/>
    <s v="Product_D"/>
    <n v="2104"/>
    <n v="3"/>
    <n v="0"/>
    <n v="1145"/>
    <s v="UPI"/>
    <n v="6312"/>
    <s v="May"/>
    <n v="2025"/>
    <s v="Q2"/>
    <n v="0.18140050697084917"/>
    <n v="0"/>
    <s v="High"/>
    <s v="Repeat"/>
    <s v="Below Avg"/>
    <s v="Profit"/>
    <n v="289"/>
  </r>
  <r>
    <n v="491"/>
    <d v="2025-05-05T00:00:00"/>
    <n v="1064"/>
    <s v="Customer_71"/>
    <x v="1"/>
    <x v="1"/>
    <s v="Clothing"/>
    <s v="Product_B"/>
    <n v="1692"/>
    <n v="4"/>
    <n v="0.26"/>
    <n v="-81"/>
    <s v="COD"/>
    <n v="5008.32"/>
    <s v="May"/>
    <n v="2025"/>
    <s v="Q2"/>
    <n v="-1.6173087981598621E-2"/>
    <n v="1759.68"/>
    <s v="High"/>
    <s v="Repeat"/>
    <s v="Below Avg"/>
    <s v="Loss"/>
    <n v="323"/>
  </r>
  <r>
    <n v="492"/>
    <d v="2025-05-06T00:00:00"/>
    <n v="1077"/>
    <s v="Customer_133"/>
    <x v="0"/>
    <x v="1"/>
    <s v="Clothing"/>
    <s v="Product_B"/>
    <n v="2103"/>
    <n v="7"/>
    <n v="0.2"/>
    <n v="439"/>
    <s v="COD"/>
    <n v="11776.8"/>
    <s v="May"/>
    <n v="2025"/>
    <s v="Q2"/>
    <n v="3.7276679573398551E-2"/>
    <n v="2944.2000000000003"/>
    <s v="High"/>
    <s v="Repeat"/>
    <s v="Above Avg"/>
    <s v="Profit"/>
    <n v="173"/>
  </r>
  <r>
    <n v="493"/>
    <d v="2025-05-07T00:00:00"/>
    <n v="1071"/>
    <s v="Customer_91"/>
    <x v="1"/>
    <x v="3"/>
    <s v="Electronics"/>
    <s v="Product_C"/>
    <n v="3019"/>
    <n v="9"/>
    <n v="0.04"/>
    <n v="660"/>
    <s v="COD"/>
    <n v="26084.16"/>
    <s v="May"/>
    <n v="2025"/>
    <s v="Q2"/>
    <n v="2.5302712450774725E-2"/>
    <n v="1086.8399999999999"/>
    <s v="High"/>
    <s v="Repeat"/>
    <s v="Above Avg"/>
    <s v="Profit"/>
    <n v="39"/>
  </r>
  <r>
    <n v="494"/>
    <d v="2025-05-08T00:00:00"/>
    <n v="1070"/>
    <s v="Customer_89"/>
    <x v="0"/>
    <x v="0"/>
    <s v="Clothing"/>
    <s v="Product_D"/>
    <n v="208"/>
    <n v="3"/>
    <n v="0.1"/>
    <n v="1549"/>
    <s v="Card"/>
    <n v="561.6"/>
    <s v="May"/>
    <n v="2025"/>
    <s v="Q2"/>
    <n v="2.758190883190883"/>
    <n v="62.400000000000006"/>
    <s v="Low"/>
    <s v="Repeat"/>
    <s v="Below Avg"/>
    <s v="Profit"/>
    <n v="489"/>
  </r>
  <r>
    <n v="495"/>
    <d v="2025-05-09T00:00:00"/>
    <n v="1029"/>
    <s v="Customer_17"/>
    <x v="1"/>
    <x v="1"/>
    <s v="Furniture"/>
    <s v="Product_B"/>
    <n v="3081"/>
    <n v="1"/>
    <n v="0.26"/>
    <n v="606"/>
    <s v="Card"/>
    <n v="2279.94"/>
    <s v="May"/>
    <n v="2025"/>
    <s v="Q2"/>
    <n v="0.26579646832811388"/>
    <n v="801.06000000000006"/>
    <s v="Medium"/>
    <s v="Repeat"/>
    <s v="Below Avg"/>
    <s v="Profit"/>
    <n v="416"/>
  </r>
  <r>
    <n v="496"/>
    <d v="2025-05-10T00:00:00"/>
    <n v="1024"/>
    <s v="Customer_156"/>
    <x v="0"/>
    <x v="3"/>
    <s v="Clothing"/>
    <s v="Product_A"/>
    <n v="2595"/>
    <n v="2"/>
    <n v="0.22"/>
    <n v="1965"/>
    <s v="Card"/>
    <n v="4048.2"/>
    <s v="May"/>
    <n v="2025"/>
    <s v="Q2"/>
    <n v="0.48540091892693049"/>
    <n v="1141.8"/>
    <s v="Medium"/>
    <s v="Repeat"/>
    <s v="Below Avg"/>
    <s v="Profit"/>
    <n v="352"/>
  </r>
  <r>
    <n v="497"/>
    <d v="2025-05-11T00:00:00"/>
    <n v="1038"/>
    <s v="Customer_119"/>
    <x v="1"/>
    <x v="0"/>
    <s v="Electronics"/>
    <s v="Product_A"/>
    <n v="1791"/>
    <n v="4"/>
    <n v="0.1"/>
    <n v="-437"/>
    <s v="UPI"/>
    <n v="6447.6"/>
    <s v="May"/>
    <n v="2025"/>
    <s v="Q2"/>
    <n v="-6.7777157391897755E-2"/>
    <n v="716.40000000000009"/>
    <s v="High"/>
    <s v="Repeat"/>
    <s v="Below Avg"/>
    <s v="Loss"/>
    <n v="286"/>
  </r>
  <r>
    <n v="498"/>
    <d v="2025-05-12T00:00:00"/>
    <n v="1079"/>
    <s v="Customer_155"/>
    <x v="0"/>
    <x v="1"/>
    <s v="Electronics"/>
    <s v="Product_D"/>
    <n v="4085"/>
    <n v="7"/>
    <n v="0.24"/>
    <n v="1108"/>
    <s v="UPI"/>
    <n v="21732.2"/>
    <s v="May"/>
    <n v="2025"/>
    <s v="Q2"/>
    <n v="5.0984253780105099E-2"/>
    <n v="6862.8"/>
    <s v="High"/>
    <s v="Repeat"/>
    <s v="Above Avg"/>
    <s v="Profit"/>
    <n v="70"/>
  </r>
  <r>
    <n v="499"/>
    <d v="2025-05-13T00:00:00"/>
    <n v="1074"/>
    <s v="Customer_181"/>
    <x v="1"/>
    <x v="0"/>
    <s v="Electronics"/>
    <s v="Product_A"/>
    <n v="4431"/>
    <n v="1"/>
    <n v="0.08"/>
    <n v="394"/>
    <s v="Card"/>
    <n v="4076.52"/>
    <s v="May"/>
    <n v="2025"/>
    <s v="Q2"/>
    <n v="9.665106512417454E-2"/>
    <n v="354.48"/>
    <s v="Medium"/>
    <s v="Repeat"/>
    <s v="Below Avg"/>
    <s v="Profit"/>
    <n v="350"/>
  </r>
  <r>
    <n v="500"/>
    <d v="2025-05-14T00:00:00"/>
    <n v="1024"/>
    <s v="Customer_26"/>
    <x v="0"/>
    <x v="3"/>
    <s v="Furniture"/>
    <s v="Product_B"/>
    <n v="1822"/>
    <n v="4"/>
    <n v="0.16"/>
    <n v="1668"/>
    <s v="Card"/>
    <n v="6121.92"/>
    <s v="May"/>
    <n v="2025"/>
    <s v="Q2"/>
    <n v="0.27246354084992941"/>
    <n v="1166.08"/>
    <s v="High"/>
    <s v="Repeat"/>
    <s v="Below Avg"/>
    <s v="Profit"/>
    <n v="29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n v="1066"/>
    <s v="Customer_33"/>
    <s v="Consumer"/>
    <s v="South"/>
    <s v="Electronics"/>
    <x v="0"/>
    <n v="2755"/>
    <n v="3"/>
    <n v="0.25"/>
    <n v="559"/>
    <s v="UPI"/>
    <n v="6198.75"/>
    <s v="Jan"/>
    <n v="2024"/>
    <s v="Q1"/>
    <n v="9.017947166767494E-2"/>
    <n v="2066.25"/>
    <s v="High"/>
    <s v="Repeat"/>
    <s v="Below Avg"/>
    <s v="Profit"/>
    <n v="293"/>
  </r>
  <r>
    <n v="2"/>
    <x v="1"/>
    <n v="1092"/>
    <s v="Customer_191"/>
    <s v="Consumer"/>
    <s v="East"/>
    <s v="Clothing"/>
    <x v="0"/>
    <n v="1709"/>
    <n v="3"/>
    <n v="0.04"/>
    <n v="1735"/>
    <s v="UPI"/>
    <n v="4921.92"/>
    <s v="Jan"/>
    <n v="2024"/>
    <s v="Q1"/>
    <n v="0.35250471360769781"/>
    <n v="205.08"/>
    <s v="Medium"/>
    <s v="Repeat"/>
    <s v="Below Avg"/>
    <s v="Profit"/>
    <n v="326"/>
  </r>
  <r>
    <n v="3"/>
    <x v="2"/>
    <n v="1098"/>
    <s v="Customer_54"/>
    <s v="Corporate"/>
    <s v="East"/>
    <s v="Clothing"/>
    <x v="1"/>
    <n v="3914"/>
    <n v="7"/>
    <n v="0.16"/>
    <n v="-225"/>
    <s v="Card"/>
    <n v="23014.32"/>
    <s v="Jan"/>
    <n v="2024"/>
    <s v="Q1"/>
    <n v="-9.7765217481985134E-3"/>
    <n v="4383.68"/>
    <s v="High"/>
    <s v="Repeat"/>
    <s v="Above Avg"/>
    <s v="Loss"/>
    <n v="59"/>
  </r>
  <r>
    <n v="4"/>
    <x v="3"/>
    <n v="1017"/>
    <s v="Customer_116"/>
    <s v="Consumer"/>
    <s v="West"/>
    <s v="Electronics"/>
    <x v="2"/>
    <n v="759"/>
    <n v="5"/>
    <n v="0.01"/>
    <n v="-75"/>
    <s v="UPI"/>
    <n v="3757.05"/>
    <s v="Jan"/>
    <n v="2024"/>
    <s v="Q1"/>
    <n v="-1.9962470555355931E-2"/>
    <n v="37.950000000000003"/>
    <s v="Medium"/>
    <s v="Repeat"/>
    <s v="Below Avg"/>
    <s v="Loss"/>
    <n v="365"/>
  </r>
  <r>
    <n v="5"/>
    <x v="4"/>
    <n v="1083"/>
    <s v="Customer_179"/>
    <s v="Consumer"/>
    <s v="West"/>
    <s v="Electronics"/>
    <x v="2"/>
    <n v="243"/>
    <n v="1"/>
    <n v="0.17"/>
    <n v="-482"/>
    <s v="COD"/>
    <n v="201.69"/>
    <s v="Jan"/>
    <n v="2024"/>
    <s v="Q1"/>
    <n v="-2.3898061381327782"/>
    <n v="41.31"/>
    <s v="Low"/>
    <s v="Repeat"/>
    <s v="Below Avg"/>
    <s v="Loss"/>
    <n v="499"/>
  </r>
  <r>
    <n v="6"/>
    <x v="5"/>
    <n v="1057"/>
    <s v="Customer_112"/>
    <s v="Consumer"/>
    <s v="North"/>
    <s v="Furniture"/>
    <x v="1"/>
    <n v="2090"/>
    <n v="8"/>
    <n v="0.04"/>
    <n v="1271"/>
    <s v="UPI"/>
    <n v="16051.199999999901"/>
    <s v="Jan"/>
    <n v="2024"/>
    <s v="Q1"/>
    <n v="7.9184110845295544E-2"/>
    <n v="668.80000000000007"/>
    <s v="High"/>
    <s v="Repeat"/>
    <s v="Above Avg"/>
    <s v="Profit"/>
    <n v="127"/>
  </r>
  <r>
    <n v="7"/>
    <x v="6"/>
    <n v="1086"/>
    <s v="Customer_180"/>
    <s v="Corporate"/>
    <s v="North"/>
    <s v="Furniture"/>
    <x v="1"/>
    <n v="550"/>
    <n v="5"/>
    <n v="0.24"/>
    <n v="1300"/>
    <s v="COD"/>
    <n v="2090"/>
    <s v="Jan"/>
    <n v="2024"/>
    <s v="Q1"/>
    <n v="0.62200956937799046"/>
    <n v="660"/>
    <s v="Medium"/>
    <s v="Repeat"/>
    <s v="Below Avg"/>
    <s v="Profit"/>
    <n v="423"/>
  </r>
  <r>
    <n v="8"/>
    <x v="7"/>
    <n v="1097"/>
    <s v="Customer_180"/>
    <s v="Corporate"/>
    <s v="South"/>
    <s v="Furniture"/>
    <x v="0"/>
    <n v="1291"/>
    <n v="4"/>
    <n v="7.0000000000000007E-2"/>
    <n v="829"/>
    <s v="COD"/>
    <n v="4802.5199999999904"/>
    <s v="Jan"/>
    <n v="2024"/>
    <s v="Q1"/>
    <n v="0.17261770903608972"/>
    <n v="361.48"/>
    <s v="Medium"/>
    <s v="Repeat"/>
    <s v="Below Avg"/>
    <s v="Profit"/>
    <n v="329"/>
  </r>
  <r>
    <n v="9"/>
    <x v="8"/>
    <n v="1096"/>
    <s v="Customer_184"/>
    <s v="Consumer"/>
    <s v="West"/>
    <s v="Electronics"/>
    <x v="3"/>
    <n v="4121"/>
    <n v="4"/>
    <n v="0.03"/>
    <n v="-169"/>
    <s v="Card"/>
    <n v="15989.48"/>
    <s v="Jan"/>
    <n v="2024"/>
    <s v="Q1"/>
    <n v="-1.056944941298904E-2"/>
    <n v="494.52"/>
    <s v="High"/>
    <s v="Repeat"/>
    <s v="Above Avg"/>
    <s v="Loss"/>
    <n v="128"/>
  </r>
  <r>
    <n v="10"/>
    <x v="9"/>
    <n v="1047"/>
    <s v="Customer_114"/>
    <s v="Corporate"/>
    <s v="West"/>
    <s v="Electronics"/>
    <x v="2"/>
    <n v="735"/>
    <n v="2"/>
    <n v="0.01"/>
    <n v="-250"/>
    <s v="COD"/>
    <n v="1455.3"/>
    <s v="Jan"/>
    <n v="2024"/>
    <s v="Q1"/>
    <n v="-0.17178588607160036"/>
    <n v="14.700000000000001"/>
    <s v="Low"/>
    <s v="Repeat"/>
    <s v="Below Avg"/>
    <s v="Loss"/>
    <n v="460"/>
  </r>
  <r>
    <n v="11"/>
    <x v="10"/>
    <n v="1073"/>
    <s v="Customer_73"/>
    <s v="Consumer"/>
    <s v="West"/>
    <s v="Clothing"/>
    <x v="0"/>
    <n v="2257"/>
    <n v="1"/>
    <n v="0.17"/>
    <n v="960"/>
    <s v="Card"/>
    <n v="1873.31"/>
    <s v="Jan"/>
    <n v="2024"/>
    <s v="Q1"/>
    <n v="0.51246189899162442"/>
    <n v="383.69000000000005"/>
    <s v="Low"/>
    <s v="Repeat"/>
    <s v="Below Avg"/>
    <s v="Profit"/>
    <n v="438"/>
  </r>
  <r>
    <n v="12"/>
    <x v="11"/>
    <n v="1032"/>
    <s v="Customer_1"/>
    <s v="Consumer"/>
    <s v="West"/>
    <s v="Electronics"/>
    <x v="3"/>
    <n v="3851"/>
    <n v="6"/>
    <n v="0.2"/>
    <n v="-7"/>
    <s v="UPI"/>
    <n v="18484.8"/>
    <s v="Jan"/>
    <n v="2024"/>
    <s v="Q1"/>
    <n v="-3.7868951787414524E-4"/>
    <n v="4621.2"/>
    <s v="High"/>
    <s v="Repeat"/>
    <s v="Above Avg"/>
    <s v="Loss"/>
    <n v="87"/>
  </r>
  <r>
    <n v="13"/>
    <x v="12"/>
    <n v="1046"/>
    <s v="Customer_31"/>
    <s v="Corporate"/>
    <s v="East"/>
    <s v="Clothing"/>
    <x v="2"/>
    <n v="999"/>
    <n v="3"/>
    <n v="0.27"/>
    <n v="-134"/>
    <s v="Card"/>
    <n v="2187.81"/>
    <s v="Jan"/>
    <n v="2024"/>
    <s v="Q1"/>
    <n v="-6.1248463074947093E-2"/>
    <n v="809.19"/>
    <s v="Medium"/>
    <s v="Repeat"/>
    <s v="Below Avg"/>
    <s v="Loss"/>
    <n v="419"/>
  </r>
  <r>
    <n v="14"/>
    <x v="13"/>
    <n v="1096"/>
    <s v="Customer_21"/>
    <s v="Consumer"/>
    <s v="North"/>
    <s v="Clothing"/>
    <x v="0"/>
    <n v="4554"/>
    <n v="9"/>
    <n v="0.02"/>
    <n v="1529"/>
    <s v="Card"/>
    <n v="40166.28"/>
    <s v="Jan"/>
    <n v="2024"/>
    <s v="Q1"/>
    <n v="3.8066756493257532E-2"/>
    <n v="819.72"/>
    <s v="High"/>
    <s v="Repeat"/>
    <s v="Above Avg"/>
    <s v="Profit"/>
    <n v="2"/>
  </r>
  <r>
    <n v="15"/>
    <x v="14"/>
    <n v="1025"/>
    <s v="Customer_24"/>
    <s v="Corporate"/>
    <s v="South"/>
    <s v="Clothing"/>
    <x v="0"/>
    <n v="2930"/>
    <n v="4"/>
    <n v="0.12"/>
    <n v="1243"/>
    <s v="Card"/>
    <n v="10313.6"/>
    <s v="Jan"/>
    <n v="2024"/>
    <s v="Q1"/>
    <n v="0.12052047781569965"/>
    <n v="1406.3999999999999"/>
    <s v="High"/>
    <s v="Repeat"/>
    <s v="Below Avg"/>
    <s v="Profit"/>
    <n v="198"/>
  </r>
  <r>
    <n v="16"/>
    <x v="15"/>
    <n v="1083"/>
    <s v="Customer_19"/>
    <s v="Consumer"/>
    <s v="North"/>
    <s v="Furniture"/>
    <x v="1"/>
    <n v="2870"/>
    <n v="2"/>
    <n v="0.05"/>
    <n v="1714"/>
    <s v="Card"/>
    <n v="5453"/>
    <s v="Jan"/>
    <n v="2024"/>
    <s v="Q1"/>
    <n v="0.31432239134421419"/>
    <n v="287"/>
    <s v="High"/>
    <s v="Repeat"/>
    <s v="Below Avg"/>
    <s v="Profit"/>
    <n v="310"/>
  </r>
  <r>
    <n v="17"/>
    <x v="16"/>
    <n v="1078"/>
    <s v="Customer_61"/>
    <s v="Corporate"/>
    <s v="North"/>
    <s v="Clothing"/>
    <x v="3"/>
    <n v="1320"/>
    <n v="4"/>
    <n v="0.15"/>
    <n v="644"/>
    <s v="UPI"/>
    <n v="4488"/>
    <s v="Jan"/>
    <n v="2024"/>
    <s v="Q1"/>
    <n v="0.14349376114081996"/>
    <n v="792"/>
    <s v="Medium"/>
    <s v="Repeat"/>
    <s v="Below Avg"/>
    <s v="Profit"/>
    <n v="338"/>
  </r>
  <r>
    <n v="18"/>
    <x v="17"/>
    <n v="1036"/>
    <s v="Customer_112"/>
    <s v="Consumer"/>
    <s v="North"/>
    <s v="Furniture"/>
    <x v="0"/>
    <n v="4545"/>
    <n v="4"/>
    <n v="7.0000000000000007E-2"/>
    <n v="1171"/>
    <s v="UPI"/>
    <n v="16907.3999999999"/>
    <s v="Jan"/>
    <n v="2024"/>
    <s v="Q1"/>
    <n v="6.9259614133456771E-2"/>
    <n v="1272.6000000000001"/>
    <s v="High"/>
    <s v="Repeat"/>
    <s v="Above Avg"/>
    <s v="Profit"/>
    <n v="105"/>
  </r>
  <r>
    <n v="19"/>
    <x v="18"/>
    <n v="1096"/>
    <s v="Customer_188"/>
    <s v="Consumer"/>
    <s v="North"/>
    <s v="Electronics"/>
    <x v="0"/>
    <n v="4690"/>
    <n v="1"/>
    <n v="0.12"/>
    <n v="-18"/>
    <s v="COD"/>
    <n v="4127.2"/>
    <s v="Jan"/>
    <n v="2024"/>
    <s v="Q1"/>
    <n v="-4.3613103314595857E-3"/>
    <n v="562.79999999999995"/>
    <s v="Medium"/>
    <s v="Repeat"/>
    <s v="Below Avg"/>
    <s v="Loss"/>
    <n v="348"/>
  </r>
  <r>
    <n v="20"/>
    <x v="19"/>
    <n v="1080"/>
    <s v="Customer_124"/>
    <s v="Corporate"/>
    <s v="East"/>
    <s v="Furniture"/>
    <x v="0"/>
    <n v="1487"/>
    <n v="8"/>
    <n v="0.11"/>
    <n v="992"/>
    <s v="Card"/>
    <n v="10587.44"/>
    <s v="Jan"/>
    <n v="2024"/>
    <s v="Q1"/>
    <n v="9.3695926494034437E-2"/>
    <n v="1308.56"/>
    <s v="High"/>
    <s v="Repeat"/>
    <s v="Below Avg"/>
    <s v="Profit"/>
    <n v="196"/>
  </r>
  <r>
    <n v="21"/>
    <x v="20"/>
    <n v="1068"/>
    <s v="Customer_153"/>
    <s v="Consumer"/>
    <s v="South"/>
    <s v="Clothing"/>
    <x v="2"/>
    <n v="2066"/>
    <n v="4"/>
    <n v="0.21"/>
    <n v="-488"/>
    <s v="UPI"/>
    <n v="6528.56"/>
    <s v="Jan"/>
    <n v="2024"/>
    <s v="Q1"/>
    <n v="-7.4748489712892274E-2"/>
    <n v="1735.4399999999998"/>
    <s v="High"/>
    <s v="Repeat"/>
    <s v="Below Avg"/>
    <s v="Loss"/>
    <n v="285"/>
  </r>
  <r>
    <n v="22"/>
    <x v="21"/>
    <n v="1049"/>
    <s v="Customer_20"/>
    <s v="Corporate"/>
    <s v="East"/>
    <s v="Clothing"/>
    <x v="1"/>
    <n v="4415"/>
    <n v="4"/>
    <n v="0.22"/>
    <n v="316"/>
    <s v="COD"/>
    <n v="13774.8"/>
    <s v="Jan"/>
    <n v="2024"/>
    <s v="Q1"/>
    <n v="2.2940441966489533E-2"/>
    <n v="3885.2"/>
    <s v="High"/>
    <s v="Repeat"/>
    <s v="Above Avg"/>
    <s v="Profit"/>
    <n v="149"/>
  </r>
  <r>
    <n v="23"/>
    <x v="22"/>
    <n v="1055"/>
    <s v="Customer_117"/>
    <s v="Consumer"/>
    <s v="West"/>
    <s v="Furniture"/>
    <x v="0"/>
    <n v="790"/>
    <n v="7"/>
    <n v="0.13"/>
    <n v="1889"/>
    <s v="COD"/>
    <n v="4811.1000000000004"/>
    <s v="Jan"/>
    <n v="2024"/>
    <s v="Q1"/>
    <n v="0.3926337012325663"/>
    <n v="718.9"/>
    <s v="Medium"/>
    <s v="Repeat"/>
    <s v="Below Avg"/>
    <s v="Profit"/>
    <n v="328"/>
  </r>
  <r>
    <n v="24"/>
    <x v="23"/>
    <n v="1067"/>
    <s v="Customer_154"/>
    <s v="Corporate"/>
    <s v="North"/>
    <s v="Clothing"/>
    <x v="0"/>
    <n v="4346"/>
    <n v="2"/>
    <n v="7.0000000000000007E-2"/>
    <n v="-8"/>
    <s v="Card"/>
    <n v="8083.5599999999904"/>
    <s v="Jan"/>
    <n v="2024"/>
    <s v="Q1"/>
    <n v="-9.8966297027547378E-4"/>
    <n v="608.44000000000005"/>
    <s v="High"/>
    <s v="Repeat"/>
    <s v="Below Avg"/>
    <s v="Loss"/>
    <n v="250"/>
  </r>
  <r>
    <n v="25"/>
    <x v="24"/>
    <n v="1002"/>
    <s v="Customer_127"/>
    <s v="Consumer"/>
    <s v="South"/>
    <s v="Furniture"/>
    <x v="1"/>
    <n v="2176"/>
    <n v="6"/>
    <n v="0.24"/>
    <n v="337"/>
    <s v="UPI"/>
    <n v="9922.56"/>
    <s v="Jan"/>
    <n v="2024"/>
    <s v="Q1"/>
    <n v="3.3963009545923635E-2"/>
    <n v="3133.44"/>
    <s v="High"/>
    <s v="Repeat"/>
    <s v="Below Avg"/>
    <s v="Profit"/>
    <n v="201"/>
  </r>
  <r>
    <n v="26"/>
    <x v="25"/>
    <n v="1084"/>
    <s v="Customer_7"/>
    <s v="Corporate"/>
    <s v="North"/>
    <s v="Clothing"/>
    <x v="3"/>
    <n v="1857"/>
    <n v="6"/>
    <n v="0.25"/>
    <n v="1296"/>
    <s v="Card"/>
    <n v="8356.5"/>
    <s v="Jan"/>
    <n v="2024"/>
    <s v="Q1"/>
    <n v="0.15508885298869143"/>
    <n v="2785.5"/>
    <s v="High"/>
    <s v="Repeat"/>
    <s v="Below Avg"/>
    <s v="Profit"/>
    <n v="240"/>
  </r>
  <r>
    <n v="27"/>
    <x v="26"/>
    <n v="1039"/>
    <s v="Customer_195"/>
    <s v="Consumer"/>
    <s v="East"/>
    <s v="Furniture"/>
    <x v="1"/>
    <n v="4258"/>
    <n v="7"/>
    <n v="0.16"/>
    <n v="1331"/>
    <s v="COD"/>
    <n v="25037.040000000001"/>
    <s v="Jan"/>
    <n v="2024"/>
    <s v="Q1"/>
    <n v="5.3161236312279724E-2"/>
    <n v="4768.96"/>
    <s v="High"/>
    <s v="Repeat"/>
    <s v="Above Avg"/>
    <s v="Profit"/>
    <n v="42"/>
  </r>
  <r>
    <n v="28"/>
    <x v="27"/>
    <n v="1066"/>
    <s v="Customer_56"/>
    <s v="Consumer"/>
    <s v="South"/>
    <s v="Furniture"/>
    <x v="1"/>
    <n v="270"/>
    <n v="2"/>
    <n v="7.0000000000000007E-2"/>
    <n v="1695"/>
    <s v="Card"/>
    <n v="502.2"/>
    <s v="Jan"/>
    <n v="2024"/>
    <s v="Q1"/>
    <n v="3.3751493428912784"/>
    <n v="37.800000000000004"/>
    <s v="Low"/>
    <s v="Repeat"/>
    <s v="Below Avg"/>
    <s v="Profit"/>
    <n v="491"/>
  </r>
  <r>
    <n v="29"/>
    <x v="28"/>
    <n v="1084"/>
    <s v="Customer_72"/>
    <s v="Corporate"/>
    <s v="North"/>
    <s v="Furniture"/>
    <x v="0"/>
    <n v="1757"/>
    <n v="7"/>
    <n v="0.24"/>
    <n v="1198"/>
    <s v="Card"/>
    <n v="9347.24"/>
    <s v="Jan"/>
    <n v="2024"/>
    <s v="Q1"/>
    <n v="0.1281661752560114"/>
    <n v="2951.7599999999998"/>
    <s v="High"/>
    <s v="Repeat"/>
    <s v="Below Avg"/>
    <s v="Profit"/>
    <n v="223"/>
  </r>
  <r>
    <n v="30"/>
    <x v="29"/>
    <n v="1047"/>
    <s v="Customer_94"/>
    <s v="Corporate"/>
    <s v="West"/>
    <s v="Electronics"/>
    <x v="0"/>
    <n v="2171"/>
    <n v="2"/>
    <n v="0.11"/>
    <n v="1464"/>
    <s v="UPI"/>
    <n v="3864.38"/>
    <s v="Jan"/>
    <n v="2024"/>
    <s v="Q1"/>
    <n v="0.37884473059067691"/>
    <n v="477.62"/>
    <s v="Medium"/>
    <s v="Repeat"/>
    <s v="Below Avg"/>
    <s v="Profit"/>
    <n v="359"/>
  </r>
  <r>
    <n v="31"/>
    <x v="30"/>
    <n v="1061"/>
    <s v="Customer_11"/>
    <s v="Consumer"/>
    <s v="North"/>
    <s v="Furniture"/>
    <x v="1"/>
    <n v="4589"/>
    <n v="2"/>
    <n v="0.28000000000000003"/>
    <n v="1849"/>
    <s v="COD"/>
    <n v="6608.16"/>
    <s v="Jan"/>
    <n v="2024"/>
    <s v="Q1"/>
    <n v="0.27980557371492215"/>
    <n v="2569.84"/>
    <s v="High"/>
    <s v="Repeat"/>
    <s v="Below Avg"/>
    <s v="Profit"/>
    <n v="284"/>
  </r>
  <r>
    <n v="32"/>
    <x v="31"/>
    <n v="1048"/>
    <s v="Customer_145"/>
    <s v="Consumer"/>
    <s v="North"/>
    <s v="Furniture"/>
    <x v="0"/>
    <n v="1491"/>
    <n v="1"/>
    <n v="0.08"/>
    <n v="-440"/>
    <s v="UPI"/>
    <n v="1371.72"/>
    <s v="Feb"/>
    <n v="2024"/>
    <s v="Q1"/>
    <n v="-0.32076517073455224"/>
    <n v="119.28"/>
    <s v="Low"/>
    <s v="Repeat"/>
    <s v="Below Avg"/>
    <s v="Loss"/>
    <n v="464"/>
  </r>
  <r>
    <n v="33"/>
    <x v="32"/>
    <n v="1007"/>
    <s v="Customer_72"/>
    <s v="Corporate"/>
    <s v="North"/>
    <s v="Electronics"/>
    <x v="1"/>
    <n v="4961"/>
    <n v="9"/>
    <n v="0.28000000000000003"/>
    <n v="1103"/>
    <s v="Card"/>
    <n v="32147.279999999999"/>
    <s v="Feb"/>
    <n v="2024"/>
    <s v="Q1"/>
    <n v="3.4310834384744214E-2"/>
    <n v="12501.720000000001"/>
    <s v="High"/>
    <s v="Repeat"/>
    <s v="Above Avg"/>
    <s v="Profit"/>
    <n v="21"/>
  </r>
  <r>
    <n v="34"/>
    <x v="33"/>
    <n v="1099"/>
    <s v="Customer_175"/>
    <s v="Consumer"/>
    <s v="West"/>
    <s v="Electronics"/>
    <x v="0"/>
    <n v="2141"/>
    <n v="9"/>
    <n v="0.13"/>
    <n v="191"/>
    <s v="COD"/>
    <n v="16764.03"/>
    <s v="Feb"/>
    <n v="2024"/>
    <s v="Q1"/>
    <n v="1.1393441791741009E-2"/>
    <n v="2504.9700000000003"/>
    <s v="High"/>
    <s v="Repeat"/>
    <s v="Above Avg"/>
    <s v="Profit"/>
    <n v="108"/>
  </r>
  <r>
    <n v="35"/>
    <x v="34"/>
    <n v="1092"/>
    <s v="Customer_172"/>
    <s v="Consumer"/>
    <s v="West"/>
    <s v="Furniture"/>
    <x v="2"/>
    <n v="4536"/>
    <n v="5"/>
    <n v="0.23"/>
    <n v="954"/>
    <s v="UPI"/>
    <n v="17463.599999999999"/>
    <s v="Feb"/>
    <n v="2024"/>
    <s v="Q1"/>
    <n v="5.4627911770768915E-2"/>
    <n v="5216.4000000000005"/>
    <s v="High"/>
    <s v="Repeat"/>
    <s v="Above Avg"/>
    <s v="Profit"/>
    <n v="98"/>
  </r>
  <r>
    <n v="36"/>
    <x v="35"/>
    <n v="1052"/>
    <s v="Customer_192"/>
    <s v="Corporate"/>
    <s v="South"/>
    <s v="Electronics"/>
    <x v="0"/>
    <n v="2529"/>
    <n v="7"/>
    <n v="0.06"/>
    <n v="-454"/>
    <s v="Card"/>
    <n v="16640.82"/>
    <s v="Feb"/>
    <n v="2024"/>
    <s v="Q1"/>
    <n v="-2.7282309405425934E-2"/>
    <n v="1062.18"/>
    <s v="High"/>
    <s v="Repeat"/>
    <s v="Above Avg"/>
    <s v="Loss"/>
    <n v="112"/>
  </r>
  <r>
    <n v="37"/>
    <x v="36"/>
    <n v="1097"/>
    <s v="Customer_158"/>
    <s v="Consumer"/>
    <s v="East"/>
    <s v="Clothing"/>
    <x v="3"/>
    <n v="3484"/>
    <n v="7"/>
    <n v="0.19"/>
    <n v="-398"/>
    <s v="UPI"/>
    <n v="19754.28"/>
    <s v="Feb"/>
    <n v="2024"/>
    <s v="Q1"/>
    <n v="-2.0147532585343533E-2"/>
    <n v="4633.72"/>
    <s v="High"/>
    <s v="Repeat"/>
    <s v="Above Avg"/>
    <s v="Loss"/>
    <n v="81"/>
  </r>
  <r>
    <n v="38"/>
    <x v="37"/>
    <n v="1085"/>
    <s v="Customer_43"/>
    <s v="Consumer"/>
    <s v="North"/>
    <s v="Furniture"/>
    <x v="2"/>
    <n v="100"/>
    <n v="3"/>
    <n v="0.17"/>
    <n v="-325"/>
    <s v="COD"/>
    <n v="249"/>
    <s v="Feb"/>
    <n v="2024"/>
    <s v="Q1"/>
    <n v="-1.3052208835341366"/>
    <n v="51.000000000000007"/>
    <s v="Low"/>
    <s v="Repeat"/>
    <s v="Below Avg"/>
    <s v="Loss"/>
    <n v="498"/>
  </r>
  <r>
    <n v="39"/>
    <x v="38"/>
    <n v="1094"/>
    <s v="Customer_16"/>
    <s v="Consumer"/>
    <s v="East"/>
    <s v="Electronics"/>
    <x v="1"/>
    <n v="1152"/>
    <n v="2"/>
    <n v="0.13"/>
    <n v="-297"/>
    <s v="UPI"/>
    <n v="2004.48"/>
    <s v="Feb"/>
    <n v="2024"/>
    <s v="Q1"/>
    <n v="-0.14816810344827586"/>
    <n v="299.52"/>
    <s v="Medium"/>
    <s v="Repeat"/>
    <s v="Below Avg"/>
    <s v="Loss"/>
    <n v="430"/>
  </r>
  <r>
    <n v="40"/>
    <x v="39"/>
    <n v="1027"/>
    <s v="Customer_119"/>
    <s v="Corporate"/>
    <s v="South"/>
    <s v="Electronics"/>
    <x v="0"/>
    <n v="1345"/>
    <n v="4"/>
    <n v="0.22"/>
    <n v="1624"/>
    <s v="COD"/>
    <n v="4196.3999999999996"/>
    <s v="Feb"/>
    <n v="2024"/>
    <s v="Q1"/>
    <n v="0.38699837956343536"/>
    <n v="1183.5999999999999"/>
    <s v="Medium"/>
    <s v="Repeat"/>
    <s v="Below Avg"/>
    <s v="Profit"/>
    <n v="346"/>
  </r>
  <r>
    <n v="41"/>
    <x v="40"/>
    <n v="1034"/>
    <s v="Customer_4"/>
    <s v="Corporate"/>
    <s v="West"/>
    <s v="Furniture"/>
    <x v="1"/>
    <n v="3274"/>
    <n v="8"/>
    <n v="0.25"/>
    <n v="578"/>
    <s v="Card"/>
    <n v="19644"/>
    <s v="Feb"/>
    <n v="2024"/>
    <s v="Q1"/>
    <n v="2.942374261861128E-2"/>
    <n v="6548"/>
    <s v="High"/>
    <s v="Repeat"/>
    <s v="Above Avg"/>
    <s v="Profit"/>
    <n v="82"/>
  </r>
  <r>
    <n v="42"/>
    <x v="41"/>
    <n v="1097"/>
    <s v="Customer_85"/>
    <s v="Corporate"/>
    <s v="South"/>
    <s v="Furniture"/>
    <x v="3"/>
    <n v="2350"/>
    <n v="1"/>
    <n v="0.22"/>
    <n v="1840"/>
    <s v="UPI"/>
    <n v="1833"/>
    <s v="Feb"/>
    <n v="2024"/>
    <s v="Q1"/>
    <n v="1.0038188761593017"/>
    <n v="517"/>
    <s v="Low"/>
    <s v="Repeat"/>
    <s v="Below Avg"/>
    <s v="Profit"/>
    <n v="439"/>
  </r>
  <r>
    <n v="43"/>
    <x v="42"/>
    <n v="1076"/>
    <s v="Customer_50"/>
    <s v="Consumer"/>
    <s v="West"/>
    <s v="Electronics"/>
    <x v="1"/>
    <n v="1934"/>
    <n v="8"/>
    <n v="0.24"/>
    <n v="1168"/>
    <s v="Card"/>
    <n v="11758.72"/>
    <s v="Feb"/>
    <n v="2024"/>
    <s v="Q1"/>
    <n v="9.933053937843575E-2"/>
    <n v="3713.2799999999997"/>
    <s v="High"/>
    <s v="Repeat"/>
    <s v="Above Avg"/>
    <s v="Profit"/>
    <n v="175"/>
  </r>
  <r>
    <n v="44"/>
    <x v="43"/>
    <n v="1040"/>
    <s v="Customer_34"/>
    <s v="Corporate"/>
    <s v="North"/>
    <s v="Electronics"/>
    <x v="3"/>
    <n v="3605"/>
    <n v="2"/>
    <n v="0.22"/>
    <n v="1510"/>
    <s v="Card"/>
    <n v="5623.8"/>
    <s v="Feb"/>
    <n v="2024"/>
    <s v="Q1"/>
    <n v="0.26850172481240442"/>
    <n v="1586.2"/>
    <s v="High"/>
    <s v="Repeat"/>
    <s v="Below Avg"/>
    <s v="Profit"/>
    <n v="305"/>
  </r>
  <r>
    <n v="45"/>
    <x v="44"/>
    <n v="1003"/>
    <s v="Customer_35"/>
    <s v="Corporate"/>
    <s v="East"/>
    <s v="Furniture"/>
    <x v="2"/>
    <n v="4693"/>
    <n v="8"/>
    <n v="0.04"/>
    <n v="1809"/>
    <s v="UPI"/>
    <n v="36042.239999999998"/>
    <s v="Feb"/>
    <n v="2024"/>
    <s v="Q1"/>
    <n v="5.019110909865758E-2"/>
    <n v="1501.76"/>
    <s v="High"/>
    <s v="Repeat"/>
    <s v="Above Avg"/>
    <s v="Profit"/>
    <n v="7"/>
  </r>
  <r>
    <n v="46"/>
    <x v="45"/>
    <n v="1069"/>
    <s v="Customer_64"/>
    <s v="Consumer"/>
    <s v="South"/>
    <s v="Furniture"/>
    <x v="3"/>
    <n v="4092"/>
    <n v="2"/>
    <n v="0.23"/>
    <n v="779"/>
    <s v="Card"/>
    <n v="6301.68"/>
    <s v="Feb"/>
    <n v="2024"/>
    <s v="Q1"/>
    <n v="0.12361782889642127"/>
    <n v="1882.3200000000002"/>
    <s v="High"/>
    <s v="Repeat"/>
    <s v="Below Avg"/>
    <s v="Profit"/>
    <n v="290"/>
  </r>
  <r>
    <n v="47"/>
    <x v="46"/>
    <n v="1064"/>
    <s v="Customer_13"/>
    <s v="Corporate"/>
    <s v="West"/>
    <s v="Electronics"/>
    <x v="2"/>
    <n v="1788"/>
    <n v="7"/>
    <n v="0.06"/>
    <n v="-196"/>
    <s v="Card"/>
    <n v="11765.039999999901"/>
    <s v="Feb"/>
    <n v="2024"/>
    <s v="Q1"/>
    <n v="-1.6659526869437048E-2"/>
    <n v="750.95999999999992"/>
    <s v="High"/>
    <s v="Repeat"/>
    <s v="Above Avg"/>
    <s v="Loss"/>
    <n v="174"/>
  </r>
  <r>
    <n v="48"/>
    <x v="47"/>
    <n v="1075"/>
    <s v="Customer_107"/>
    <s v="Corporate"/>
    <s v="West"/>
    <s v="Clothing"/>
    <x v="3"/>
    <n v="343"/>
    <n v="3"/>
    <n v="0.03"/>
    <n v="1062"/>
    <s v="UPI"/>
    <n v="998.13"/>
    <s v="Feb"/>
    <n v="2024"/>
    <s v="Q1"/>
    <n v="1.0639896606654444"/>
    <n v="30.869999999999997"/>
    <s v="Low"/>
    <s v="Repeat"/>
    <s v="Below Avg"/>
    <s v="Profit"/>
    <n v="479"/>
  </r>
  <r>
    <n v="49"/>
    <x v="48"/>
    <n v="1034"/>
    <s v="Customer_27"/>
    <s v="Consumer"/>
    <s v="South"/>
    <s v="Electronics"/>
    <x v="2"/>
    <n v="1734"/>
    <n v="6"/>
    <n v="0.27"/>
    <n v="318"/>
    <s v="UPI"/>
    <n v="7594.92"/>
    <s v="Feb"/>
    <n v="2024"/>
    <s v="Q1"/>
    <n v="4.1870092114202652E-2"/>
    <n v="2809.0800000000004"/>
    <s v="High"/>
    <s v="Repeat"/>
    <s v="Below Avg"/>
    <s v="Profit"/>
    <n v="263"/>
  </r>
  <r>
    <n v="50"/>
    <x v="49"/>
    <n v="1058"/>
    <s v="Customer_169"/>
    <s v="Consumer"/>
    <s v="East"/>
    <s v="Furniture"/>
    <x v="3"/>
    <n v="2310"/>
    <n v="7"/>
    <n v="0.18"/>
    <n v="-22"/>
    <s v="COD"/>
    <n v="13259.4"/>
    <s v="Feb"/>
    <n v="2024"/>
    <s v="Q1"/>
    <n v="-1.6592002654720426E-3"/>
    <n v="2910.6"/>
    <s v="High"/>
    <s v="Repeat"/>
    <s v="Above Avg"/>
    <s v="Loss"/>
    <n v="157"/>
  </r>
  <r>
    <n v="51"/>
    <x v="50"/>
    <n v="1010"/>
    <s v="Customer_42"/>
    <s v="Consumer"/>
    <s v="East"/>
    <s v="Clothing"/>
    <x v="2"/>
    <n v="274"/>
    <n v="6"/>
    <n v="0.05"/>
    <n v="-327"/>
    <s v="COD"/>
    <n v="1561.8"/>
    <s v="Feb"/>
    <n v="2024"/>
    <s v="Q1"/>
    <n v="-0.20937379946215906"/>
    <n v="82.2"/>
    <s v="Low"/>
    <s v="Repeat"/>
    <s v="Below Avg"/>
    <s v="Loss"/>
    <n v="455"/>
  </r>
  <r>
    <n v="52"/>
    <x v="51"/>
    <n v="1022"/>
    <s v="Customer_157"/>
    <s v="Corporate"/>
    <s v="West"/>
    <s v="Clothing"/>
    <x v="0"/>
    <n v="2319"/>
    <n v="5"/>
    <n v="0.19"/>
    <n v="51"/>
    <s v="COD"/>
    <n v="9391.9500000000007"/>
    <s v="Feb"/>
    <n v="2024"/>
    <s v="Q1"/>
    <n v="5.4301822305272062E-3"/>
    <n v="2203.0500000000002"/>
    <s v="High"/>
    <s v="Repeat"/>
    <s v="Below Avg"/>
    <s v="Profit"/>
    <n v="222"/>
  </r>
  <r>
    <n v="53"/>
    <x v="52"/>
    <n v="1077"/>
    <s v="Customer_144"/>
    <s v="Corporate"/>
    <s v="North"/>
    <s v="Electronics"/>
    <x v="2"/>
    <n v="3756"/>
    <n v="9"/>
    <n v="0.1"/>
    <n v="1822"/>
    <s v="Card"/>
    <n v="30423.599999999999"/>
    <s v="Feb"/>
    <n v="2024"/>
    <s v="Q1"/>
    <n v="5.9887718744658758E-2"/>
    <n v="3380.4"/>
    <s v="High"/>
    <s v="Repeat"/>
    <s v="Above Avg"/>
    <s v="Profit"/>
    <n v="23"/>
  </r>
  <r>
    <n v="54"/>
    <x v="53"/>
    <n v="1018"/>
    <s v="Customer_181"/>
    <s v="Corporate"/>
    <s v="North"/>
    <s v="Furniture"/>
    <x v="1"/>
    <n v="366"/>
    <n v="9"/>
    <n v="0.04"/>
    <n v="-461"/>
    <s v="UPI"/>
    <n v="3162.24"/>
    <s v="Feb"/>
    <n v="2024"/>
    <s v="Q1"/>
    <n v="-0.14578273628820079"/>
    <n v="131.76"/>
    <s v="Medium"/>
    <s v="Repeat"/>
    <s v="Below Avg"/>
    <s v="Loss"/>
    <n v="388"/>
  </r>
  <r>
    <n v="55"/>
    <x v="54"/>
    <n v="1015"/>
    <s v="Customer_46"/>
    <s v="Corporate"/>
    <s v="North"/>
    <s v="Clothing"/>
    <x v="0"/>
    <n v="1482"/>
    <n v="3"/>
    <n v="0.24"/>
    <n v="1102"/>
    <s v="COD"/>
    <n v="3378.96"/>
    <s v="Feb"/>
    <n v="2024"/>
    <s v="Q1"/>
    <n v="0.32613585245164189"/>
    <n v="1067.04"/>
    <s v="Medium"/>
    <s v="Repeat"/>
    <s v="Below Avg"/>
    <s v="Profit"/>
    <n v="381"/>
  </r>
  <r>
    <n v="56"/>
    <x v="55"/>
    <n v="1027"/>
    <s v="Customer_197"/>
    <s v="Corporate"/>
    <s v="North"/>
    <s v="Electronics"/>
    <x v="3"/>
    <n v="879"/>
    <n v="7"/>
    <n v="0.03"/>
    <n v="1934"/>
    <s v="Card"/>
    <n v="5968.41"/>
    <s v="Feb"/>
    <n v="2024"/>
    <s v="Q1"/>
    <n v="0.3240394007784318"/>
    <n v="184.59"/>
    <s v="High"/>
    <s v="Repeat"/>
    <s v="Below Avg"/>
    <s v="Profit"/>
    <n v="298"/>
  </r>
  <r>
    <n v="57"/>
    <x v="56"/>
    <n v="1030"/>
    <s v="Customer_37"/>
    <s v="Corporate"/>
    <s v="East"/>
    <s v="Furniture"/>
    <x v="2"/>
    <n v="4731"/>
    <n v="2"/>
    <n v="0.28999999999999998"/>
    <n v="1177"/>
    <s v="COD"/>
    <n v="6718.0199999999904"/>
    <s v="Feb"/>
    <n v="2024"/>
    <s v="Q1"/>
    <n v="0.17520043107939567"/>
    <n v="2743.98"/>
    <s v="High"/>
    <s v="Repeat"/>
    <s v="Below Avg"/>
    <s v="Profit"/>
    <n v="282"/>
  </r>
  <r>
    <n v="58"/>
    <x v="57"/>
    <n v="1052"/>
    <s v="Customer_104"/>
    <s v="Consumer"/>
    <s v="West"/>
    <s v="Furniture"/>
    <x v="2"/>
    <n v="766"/>
    <n v="1"/>
    <n v="0.23"/>
    <n v="993"/>
    <s v="COD"/>
    <n v="589.82000000000005"/>
    <s v="Feb"/>
    <n v="2024"/>
    <s v="Q1"/>
    <n v="1.6835644772981586"/>
    <n v="176.18"/>
    <s v="Low"/>
    <s v="Repeat"/>
    <s v="Below Avg"/>
    <s v="Profit"/>
    <n v="487"/>
  </r>
  <r>
    <n v="59"/>
    <x v="58"/>
    <n v="1070"/>
    <s v="Customer_188"/>
    <s v="Consumer"/>
    <s v="West"/>
    <s v="Furniture"/>
    <x v="2"/>
    <n v="1257"/>
    <n v="4"/>
    <n v="0.21"/>
    <n v="-182"/>
    <s v="UPI"/>
    <n v="3972.12"/>
    <s v="Feb"/>
    <n v="2024"/>
    <s v="Q1"/>
    <n v="-4.581936094579217E-2"/>
    <n v="1055.8799999999999"/>
    <s v="Medium"/>
    <s v="Repeat"/>
    <s v="Below Avg"/>
    <s v="Loss"/>
    <n v="354"/>
  </r>
  <r>
    <n v="60"/>
    <x v="59"/>
    <n v="1026"/>
    <s v="Customer_143"/>
    <s v="Consumer"/>
    <s v="North"/>
    <s v="Electronics"/>
    <x v="3"/>
    <n v="4776"/>
    <n v="3"/>
    <n v="7.0000000000000007E-2"/>
    <n v="1297"/>
    <s v="UPI"/>
    <n v="13325.039999999901"/>
    <s v="Feb"/>
    <n v="2024"/>
    <s v="Q1"/>
    <n v="9.7335542707564823E-2"/>
    <n v="1002.9600000000002"/>
    <s v="High"/>
    <s v="Repeat"/>
    <s v="Above Avg"/>
    <s v="Profit"/>
    <n v="156"/>
  </r>
  <r>
    <n v="61"/>
    <x v="60"/>
    <n v="1080"/>
    <s v="Customer_149"/>
    <s v="Consumer"/>
    <s v="West"/>
    <s v="Furniture"/>
    <x v="1"/>
    <n v="963"/>
    <n v="4"/>
    <n v="0.23"/>
    <n v="-271"/>
    <s v="Card"/>
    <n v="2966.04"/>
    <s v="Mar"/>
    <n v="2024"/>
    <s v="Q1"/>
    <n v="-9.1367614732100713E-2"/>
    <n v="885.96"/>
    <s v="Medium"/>
    <s v="Repeat"/>
    <s v="Below Avg"/>
    <s v="Loss"/>
    <n v="395"/>
  </r>
  <r>
    <n v="62"/>
    <x v="61"/>
    <n v="1006"/>
    <s v="Customer_34"/>
    <s v="Corporate"/>
    <s v="East"/>
    <s v="Clothing"/>
    <x v="3"/>
    <n v="4000"/>
    <n v="3"/>
    <n v="0.01"/>
    <n v="1902"/>
    <s v="COD"/>
    <n v="11880"/>
    <s v="Mar"/>
    <n v="2024"/>
    <s v="Q1"/>
    <n v="0.1601010101010101"/>
    <n v="120"/>
    <s v="High"/>
    <s v="Repeat"/>
    <s v="Above Avg"/>
    <s v="Profit"/>
    <n v="171"/>
  </r>
  <r>
    <n v="63"/>
    <x v="62"/>
    <n v="1014"/>
    <s v="Customer_9"/>
    <s v="Consumer"/>
    <s v="South"/>
    <s v="Electronics"/>
    <x v="2"/>
    <n v="156"/>
    <n v="9"/>
    <n v="0.17"/>
    <n v="325"/>
    <s v="COD"/>
    <n v="1165.32"/>
    <s v="Mar"/>
    <n v="2024"/>
    <s v="Q1"/>
    <n v="0.2788933511825078"/>
    <n v="238.68"/>
    <s v="Low"/>
    <s v="Repeat"/>
    <s v="Below Avg"/>
    <s v="Profit"/>
    <n v="472"/>
  </r>
  <r>
    <n v="64"/>
    <x v="63"/>
    <n v="1075"/>
    <s v="Customer_154"/>
    <s v="Consumer"/>
    <s v="South"/>
    <s v="Electronics"/>
    <x v="0"/>
    <n v="3350"/>
    <n v="4"/>
    <n v="0.09"/>
    <n v="1332"/>
    <s v="COD"/>
    <n v="12194"/>
    <s v="Mar"/>
    <n v="2024"/>
    <s v="Q1"/>
    <n v="0.109234049532557"/>
    <n v="1206"/>
    <s v="High"/>
    <s v="Repeat"/>
    <s v="Above Avg"/>
    <s v="Profit"/>
    <n v="165"/>
  </r>
  <r>
    <n v="65"/>
    <x v="64"/>
    <n v="1054"/>
    <s v="Customer_77"/>
    <s v="Consumer"/>
    <s v="West"/>
    <s v="Electronics"/>
    <x v="2"/>
    <n v="642"/>
    <n v="4"/>
    <n v="0.25"/>
    <n v="30"/>
    <s v="UPI"/>
    <n v="1926"/>
    <s v="Mar"/>
    <n v="2024"/>
    <s v="Q1"/>
    <n v="1.5576323987538941E-2"/>
    <n v="642"/>
    <s v="Low"/>
    <s v="Repeat"/>
    <s v="Below Avg"/>
    <s v="Profit"/>
    <n v="434"/>
  </r>
  <r>
    <n v="66"/>
    <x v="65"/>
    <n v="1071"/>
    <s v="Customer_146"/>
    <s v="Corporate"/>
    <s v="West"/>
    <s v="Electronics"/>
    <x v="0"/>
    <n v="1032"/>
    <n v="7"/>
    <n v="0.23"/>
    <n v="-33"/>
    <s v="UPI"/>
    <n v="5562.48"/>
    <s v="Mar"/>
    <n v="2024"/>
    <s v="Q1"/>
    <n v="-5.9326056003796875E-3"/>
    <n v="1661.52"/>
    <s v="High"/>
    <s v="Repeat"/>
    <s v="Below Avg"/>
    <s v="Loss"/>
    <n v="307"/>
  </r>
  <r>
    <n v="67"/>
    <x v="66"/>
    <n v="1001"/>
    <s v="Customer_1"/>
    <s v="Consumer"/>
    <s v="West"/>
    <s v="Furniture"/>
    <x v="2"/>
    <n v="950"/>
    <n v="4"/>
    <n v="0.15"/>
    <n v="1734"/>
    <s v="COD"/>
    <n v="3230"/>
    <s v="Mar"/>
    <n v="2024"/>
    <s v="Q1"/>
    <n v="0.5368421052631579"/>
    <n v="570"/>
    <s v="Medium"/>
    <s v="Repeat"/>
    <s v="Below Avg"/>
    <s v="Profit"/>
    <n v="387"/>
  </r>
  <r>
    <n v="68"/>
    <x v="67"/>
    <n v="1043"/>
    <s v="Customer_23"/>
    <s v="Corporate"/>
    <s v="North"/>
    <s v="Electronics"/>
    <x v="1"/>
    <n v="1275"/>
    <n v="9"/>
    <n v="0.14000000000000001"/>
    <n v="1604"/>
    <s v="Card"/>
    <n v="9868.5"/>
    <s v="Mar"/>
    <n v="2024"/>
    <s v="Q1"/>
    <n v="0.16253736636773572"/>
    <n v="1606.5000000000002"/>
    <s v="High"/>
    <s v="New"/>
    <s v="Below Avg"/>
    <s v="Profit"/>
    <n v="204"/>
  </r>
  <r>
    <n v="69"/>
    <x v="68"/>
    <n v="1058"/>
    <s v="Customer_33"/>
    <s v="Consumer"/>
    <s v="North"/>
    <s v="Clothing"/>
    <x v="1"/>
    <n v="622"/>
    <n v="9"/>
    <n v="0.02"/>
    <n v="442"/>
    <s v="Card"/>
    <n v="5486.04"/>
    <s v="Mar"/>
    <n v="2024"/>
    <s v="Q1"/>
    <n v="8.0568132933773726E-2"/>
    <n v="111.96000000000001"/>
    <s v="High"/>
    <s v="Repeat"/>
    <s v="Below Avg"/>
    <s v="Profit"/>
    <n v="309"/>
  </r>
  <r>
    <n v="70"/>
    <x v="69"/>
    <n v="1055"/>
    <s v="Customer_175"/>
    <s v="Consumer"/>
    <s v="West"/>
    <s v="Clothing"/>
    <x v="3"/>
    <n v="209"/>
    <n v="9"/>
    <n v="7.0000000000000007E-2"/>
    <n v="79"/>
    <s v="Card"/>
    <n v="1749.33"/>
    <s v="Mar"/>
    <n v="2024"/>
    <s v="Q1"/>
    <n v="4.5160147027719186E-2"/>
    <n v="131.67000000000002"/>
    <s v="Low"/>
    <s v="Repeat"/>
    <s v="Below Avg"/>
    <s v="Profit"/>
    <n v="444"/>
  </r>
  <r>
    <n v="71"/>
    <x v="70"/>
    <n v="1025"/>
    <s v="Customer_95"/>
    <s v="Consumer"/>
    <s v="South"/>
    <s v="Clothing"/>
    <x v="1"/>
    <n v="3545"/>
    <n v="6"/>
    <n v="0.21"/>
    <n v="706"/>
    <s v="Card"/>
    <n v="16803.3"/>
    <s v="Mar"/>
    <n v="2024"/>
    <s v="Q1"/>
    <n v="4.2015556468074727E-2"/>
    <n v="4466.7"/>
    <s v="High"/>
    <s v="Repeat"/>
    <s v="Above Avg"/>
    <s v="Profit"/>
    <n v="107"/>
  </r>
  <r>
    <n v="72"/>
    <x v="71"/>
    <n v="1050"/>
    <s v="Customer_122"/>
    <s v="Corporate"/>
    <s v="East"/>
    <s v="Clothing"/>
    <x v="0"/>
    <n v="156"/>
    <n v="9"/>
    <n v="0.02"/>
    <n v="56"/>
    <s v="COD"/>
    <n v="1375.92"/>
    <s v="Mar"/>
    <n v="2024"/>
    <s v="Q1"/>
    <n v="4.0700040700040699E-2"/>
    <n v="28.080000000000002"/>
    <s v="Low"/>
    <s v="Repeat"/>
    <s v="Below Avg"/>
    <s v="Profit"/>
    <n v="463"/>
  </r>
  <r>
    <n v="73"/>
    <x v="72"/>
    <n v="1084"/>
    <s v="Customer_21"/>
    <s v="Consumer"/>
    <s v="West"/>
    <s v="Clothing"/>
    <x v="3"/>
    <n v="3923"/>
    <n v="3"/>
    <n v="0.24"/>
    <n v="1141"/>
    <s v="UPI"/>
    <n v="8944.44"/>
    <s v="Mar"/>
    <n v="2024"/>
    <s v="Q1"/>
    <n v="0.12756528077777926"/>
    <n v="2824.56"/>
    <s v="High"/>
    <s v="Repeat"/>
    <s v="Below Avg"/>
    <s v="Profit"/>
    <n v="232"/>
  </r>
  <r>
    <n v="74"/>
    <x v="73"/>
    <n v="1056"/>
    <s v="Customer_61"/>
    <s v="Corporate"/>
    <s v="East"/>
    <s v="Electronics"/>
    <x v="1"/>
    <n v="1766"/>
    <n v="2"/>
    <n v="0.28999999999999998"/>
    <n v="620"/>
    <s v="Card"/>
    <n v="2507.7199999999998"/>
    <s v="Mar"/>
    <n v="2024"/>
    <s v="Q1"/>
    <n v="0.24723653358429173"/>
    <n v="1024.28"/>
    <s v="Medium"/>
    <s v="Repeat"/>
    <s v="Below Avg"/>
    <s v="Profit"/>
    <n v="410"/>
  </r>
  <r>
    <n v="75"/>
    <x v="74"/>
    <n v="1049"/>
    <s v="Customer_27"/>
    <s v="Consumer"/>
    <s v="East"/>
    <s v="Furniture"/>
    <x v="2"/>
    <n v="4017"/>
    <n v="2"/>
    <n v="0.02"/>
    <n v="755"/>
    <s v="COD"/>
    <n v="7873.32"/>
    <s v="Mar"/>
    <n v="2024"/>
    <s v="Q1"/>
    <n v="9.58934731472873E-2"/>
    <n v="160.68"/>
    <s v="High"/>
    <s v="Repeat"/>
    <s v="Below Avg"/>
    <s v="Profit"/>
    <n v="255"/>
  </r>
  <r>
    <n v="76"/>
    <x v="75"/>
    <n v="1012"/>
    <s v="Customer_191"/>
    <s v="Consumer"/>
    <s v="East"/>
    <s v="Clothing"/>
    <x v="1"/>
    <n v="1527"/>
    <n v="7"/>
    <n v="0.14000000000000001"/>
    <n v="-113"/>
    <s v="COD"/>
    <n v="9192.53999999999"/>
    <s v="Mar"/>
    <n v="2024"/>
    <s v="Q1"/>
    <n v="-1.2292576371710117E-2"/>
    <n v="1496.46"/>
    <s v="High"/>
    <s v="Repeat"/>
    <s v="Below Avg"/>
    <s v="Loss"/>
    <n v="227"/>
  </r>
  <r>
    <n v="77"/>
    <x v="76"/>
    <n v="1018"/>
    <s v="Customer_102"/>
    <s v="Consumer"/>
    <s v="East"/>
    <s v="Furniture"/>
    <x v="3"/>
    <n v="604"/>
    <n v="5"/>
    <n v="0.17"/>
    <n v="213"/>
    <s v="COD"/>
    <n v="2506.6"/>
    <s v="Mar"/>
    <n v="2024"/>
    <s v="Q1"/>
    <n v="8.497566424638954E-2"/>
    <n v="513.40000000000009"/>
    <s v="Medium"/>
    <s v="Repeat"/>
    <s v="Below Avg"/>
    <s v="Profit"/>
    <n v="411"/>
  </r>
  <r>
    <n v="78"/>
    <x v="77"/>
    <n v="1081"/>
    <s v="Customer_180"/>
    <s v="Consumer"/>
    <s v="North"/>
    <s v="Clothing"/>
    <x v="1"/>
    <n v="3795"/>
    <n v="4"/>
    <n v="0.24"/>
    <n v="842"/>
    <s v="UPI"/>
    <n v="11536.8"/>
    <s v="Mar"/>
    <n v="2024"/>
    <s v="Q1"/>
    <n v="7.2983843006726307E-2"/>
    <n v="3643.2"/>
    <s v="High"/>
    <s v="Repeat"/>
    <s v="Above Avg"/>
    <s v="Profit"/>
    <n v="181"/>
  </r>
  <r>
    <n v="79"/>
    <x v="78"/>
    <n v="1001"/>
    <s v="Customer_192"/>
    <s v="Consumer"/>
    <s v="West"/>
    <s v="Clothing"/>
    <x v="0"/>
    <n v="4704"/>
    <n v="2"/>
    <n v="0.05"/>
    <n v="-31"/>
    <s v="Card"/>
    <n v="8937.6"/>
    <s v="Mar"/>
    <n v="2024"/>
    <s v="Q1"/>
    <n v="-3.4684926602219835E-3"/>
    <n v="470.40000000000003"/>
    <s v="High"/>
    <s v="Repeat"/>
    <s v="Below Avg"/>
    <s v="Loss"/>
    <n v="233"/>
  </r>
  <r>
    <n v="80"/>
    <x v="79"/>
    <n v="1051"/>
    <s v="Customer_142"/>
    <s v="Corporate"/>
    <s v="East"/>
    <s v="Clothing"/>
    <x v="0"/>
    <n v="1428"/>
    <n v="4"/>
    <n v="0.11"/>
    <n v="361"/>
    <s v="UPI"/>
    <n v="5083.68"/>
    <s v="Mar"/>
    <n v="2024"/>
    <s v="Q1"/>
    <n v="7.10115506876908E-2"/>
    <n v="628.32000000000005"/>
    <s v="High"/>
    <s v="Repeat"/>
    <s v="Below Avg"/>
    <s v="Profit"/>
    <n v="320"/>
  </r>
  <r>
    <n v="81"/>
    <x v="80"/>
    <n v="1044"/>
    <s v="Customer_101"/>
    <s v="Corporate"/>
    <s v="East"/>
    <s v="Furniture"/>
    <x v="0"/>
    <n v="783"/>
    <n v="6"/>
    <n v="0.25"/>
    <n v="-54"/>
    <s v="COD"/>
    <n v="3523.5"/>
    <s v="Mar"/>
    <n v="2024"/>
    <s v="Q1"/>
    <n v="-1.532567049808429E-2"/>
    <n v="1174.5"/>
    <s v="Medium"/>
    <s v="Repeat"/>
    <s v="Below Avg"/>
    <s v="Loss"/>
    <n v="376"/>
  </r>
  <r>
    <n v="82"/>
    <x v="81"/>
    <n v="1048"/>
    <s v="Customer_175"/>
    <s v="Consumer"/>
    <s v="South"/>
    <s v="Electronics"/>
    <x v="0"/>
    <n v="222"/>
    <n v="6"/>
    <n v="0.16"/>
    <n v="9"/>
    <s v="UPI"/>
    <n v="1118.8799999999901"/>
    <s v="Mar"/>
    <n v="2024"/>
    <s v="Q1"/>
    <n v="8.043758043758115E-3"/>
    <n v="213.12"/>
    <s v="Low"/>
    <s v="Repeat"/>
    <s v="Below Avg"/>
    <s v="Profit"/>
    <n v="474"/>
  </r>
  <r>
    <n v="83"/>
    <x v="82"/>
    <n v="1056"/>
    <s v="Customer_7"/>
    <s v="Corporate"/>
    <s v="West"/>
    <s v="Clothing"/>
    <x v="0"/>
    <n v="1447"/>
    <n v="8"/>
    <n v="0.05"/>
    <n v="1686"/>
    <s v="UPI"/>
    <n v="10997.199999999901"/>
    <s v="Mar"/>
    <n v="2024"/>
    <s v="Q1"/>
    <n v="0.15331175208234962"/>
    <n v="578.80000000000007"/>
    <s v="High"/>
    <s v="Repeat"/>
    <s v="Above Avg"/>
    <s v="Profit"/>
    <n v="191"/>
  </r>
  <r>
    <n v="84"/>
    <x v="83"/>
    <n v="1091"/>
    <s v="Customer_76"/>
    <s v="Corporate"/>
    <s v="East"/>
    <s v="Electronics"/>
    <x v="3"/>
    <n v="4171"/>
    <n v="6"/>
    <n v="0.26"/>
    <n v="1941"/>
    <s v="UPI"/>
    <n v="18519.2399999999"/>
    <s v="Mar"/>
    <n v="2024"/>
    <s v="Q1"/>
    <n v="0.10480991660564962"/>
    <n v="6506.76"/>
    <s v="High"/>
    <s v="Repeat"/>
    <s v="Above Avg"/>
    <s v="Profit"/>
    <n v="86"/>
  </r>
  <r>
    <n v="85"/>
    <x v="84"/>
    <n v="1049"/>
    <s v="Customer_156"/>
    <s v="Corporate"/>
    <s v="North"/>
    <s v="Clothing"/>
    <x v="1"/>
    <n v="2001"/>
    <n v="5"/>
    <n v="0.28000000000000003"/>
    <n v="832"/>
    <s v="UPI"/>
    <n v="7203.5999999999904"/>
    <s v="Mar"/>
    <n v="2024"/>
    <s v="Q1"/>
    <n v="0.1154978066522296"/>
    <n v="2801.4"/>
    <s v="High"/>
    <s v="Repeat"/>
    <s v="Below Avg"/>
    <s v="Profit"/>
    <n v="271"/>
  </r>
  <r>
    <n v="86"/>
    <x v="85"/>
    <n v="1086"/>
    <s v="Customer_131"/>
    <s v="Consumer"/>
    <s v="South"/>
    <s v="Electronics"/>
    <x v="3"/>
    <n v="1745"/>
    <n v="7"/>
    <n v="0.22"/>
    <n v="1411"/>
    <s v="UPI"/>
    <n v="9527.7000000000007"/>
    <s v="Mar"/>
    <n v="2024"/>
    <s v="Q1"/>
    <n v="0.14809450339536298"/>
    <n v="2687.3"/>
    <s v="High"/>
    <s v="Repeat"/>
    <s v="Below Avg"/>
    <s v="Profit"/>
    <n v="215"/>
  </r>
  <r>
    <n v="87"/>
    <x v="86"/>
    <n v="1003"/>
    <s v="Customer_150"/>
    <s v="Corporate"/>
    <s v="South"/>
    <s v="Electronics"/>
    <x v="1"/>
    <n v="2969"/>
    <n v="3"/>
    <n v="0.28999999999999998"/>
    <n v="735"/>
    <s v="UPI"/>
    <n v="6323.9699999999903"/>
    <s v="Mar"/>
    <n v="2024"/>
    <s v="Q1"/>
    <n v="0.11622446026783827"/>
    <n v="2583.0299999999997"/>
    <s v="High"/>
    <s v="Repeat"/>
    <s v="Below Avg"/>
    <s v="Profit"/>
    <n v="288"/>
  </r>
  <r>
    <n v="88"/>
    <x v="87"/>
    <n v="1067"/>
    <s v="Customer_85"/>
    <s v="Corporate"/>
    <s v="South"/>
    <s v="Clothing"/>
    <x v="0"/>
    <n v="1478"/>
    <n v="4"/>
    <n v="0.28000000000000003"/>
    <n v="-370"/>
    <s v="COD"/>
    <n v="4256.6399999999903"/>
    <s v="Mar"/>
    <n v="2024"/>
    <s v="Q1"/>
    <n v="-8.6923019094873155E-2"/>
    <n v="1655.3600000000001"/>
    <s v="Medium"/>
    <s v="Repeat"/>
    <s v="Below Avg"/>
    <s v="Loss"/>
    <n v="343"/>
  </r>
  <r>
    <n v="89"/>
    <x v="88"/>
    <n v="1011"/>
    <s v="Customer_191"/>
    <s v="Corporate"/>
    <s v="South"/>
    <s v="Electronics"/>
    <x v="2"/>
    <n v="2972"/>
    <n v="6"/>
    <n v="0.04"/>
    <n v="64"/>
    <s v="UPI"/>
    <n v="17118.72"/>
    <s v="Mar"/>
    <n v="2024"/>
    <s v="Q1"/>
    <n v="3.7385972783011813E-3"/>
    <n v="713.28"/>
    <s v="High"/>
    <s v="Repeat"/>
    <s v="Above Avg"/>
    <s v="Profit"/>
    <n v="104"/>
  </r>
  <r>
    <n v="90"/>
    <x v="89"/>
    <n v="1021"/>
    <s v="Customer_29"/>
    <s v="Consumer"/>
    <s v="East"/>
    <s v="Furniture"/>
    <x v="2"/>
    <n v="1596"/>
    <n v="9"/>
    <n v="0.12"/>
    <n v="1887"/>
    <s v="UPI"/>
    <n v="12640.32"/>
    <s v="Mar"/>
    <n v="2024"/>
    <s v="Q1"/>
    <n v="0.14928419533682691"/>
    <n v="1723.6799999999998"/>
    <s v="High"/>
    <s v="Repeat"/>
    <s v="Above Avg"/>
    <s v="Profit"/>
    <n v="161"/>
  </r>
  <r>
    <n v="91"/>
    <x v="90"/>
    <n v="1089"/>
    <s v="Customer_148"/>
    <s v="Corporate"/>
    <s v="North"/>
    <s v="Electronics"/>
    <x v="2"/>
    <n v="775"/>
    <n v="6"/>
    <n v="0.18"/>
    <n v="1459"/>
    <s v="UPI"/>
    <n v="3813"/>
    <s v="Mar"/>
    <n v="2024"/>
    <s v="Q1"/>
    <n v="0.38263834251245737"/>
    <n v="837"/>
    <s v="Medium"/>
    <s v="Repeat"/>
    <s v="Below Avg"/>
    <s v="Profit"/>
    <n v="364"/>
  </r>
  <r>
    <n v="92"/>
    <x v="91"/>
    <n v="1098"/>
    <s v="Customer_67"/>
    <s v="Corporate"/>
    <s v="South"/>
    <s v="Furniture"/>
    <x v="1"/>
    <n v="2608"/>
    <n v="4"/>
    <n v="0.22"/>
    <n v="1774"/>
    <s v="UPI"/>
    <n v="8136.96"/>
    <s v="Apr"/>
    <n v="2024"/>
    <s v="Q2"/>
    <n v="0.21801753971999371"/>
    <n v="2295.04"/>
    <s v="High"/>
    <s v="Repeat"/>
    <s v="Below Avg"/>
    <s v="Profit"/>
    <n v="246"/>
  </r>
  <r>
    <n v="93"/>
    <x v="92"/>
    <n v="1003"/>
    <s v="Customer_105"/>
    <s v="Corporate"/>
    <s v="North"/>
    <s v="Electronics"/>
    <x v="1"/>
    <n v="2396"/>
    <n v="8"/>
    <n v="0.16"/>
    <n v="943"/>
    <s v="Card"/>
    <n v="16101.119999999901"/>
    <s v="Apr"/>
    <n v="2024"/>
    <s v="Q2"/>
    <n v="5.8567354320693578E-2"/>
    <n v="3066.88"/>
    <s v="High"/>
    <s v="Repeat"/>
    <s v="Above Avg"/>
    <s v="Profit"/>
    <n v="126"/>
  </r>
  <r>
    <n v="94"/>
    <x v="93"/>
    <n v="1011"/>
    <s v="Customer_161"/>
    <s v="Consumer"/>
    <s v="East"/>
    <s v="Furniture"/>
    <x v="3"/>
    <n v="662"/>
    <n v="5"/>
    <n v="0.19"/>
    <n v="-45"/>
    <s v="COD"/>
    <n v="2681.1"/>
    <s v="Apr"/>
    <n v="2024"/>
    <s v="Q2"/>
    <n v="-1.6784155756965426E-2"/>
    <n v="628.9"/>
    <s v="Medium"/>
    <s v="Repeat"/>
    <s v="Below Avg"/>
    <s v="Loss"/>
    <n v="403"/>
  </r>
  <r>
    <n v="95"/>
    <x v="94"/>
    <n v="1003"/>
    <s v="Customer_94"/>
    <s v="Consumer"/>
    <s v="West"/>
    <s v="Clothing"/>
    <x v="3"/>
    <n v="4372"/>
    <n v="5"/>
    <n v="0.04"/>
    <n v="1771"/>
    <s v="UPI"/>
    <n v="20985.599999999999"/>
    <s v="Apr"/>
    <n v="2024"/>
    <s v="Q2"/>
    <n v="8.4391201585849354E-2"/>
    <n v="874.4"/>
    <s v="High"/>
    <s v="Repeat"/>
    <s v="Above Avg"/>
    <s v="Profit"/>
    <n v="77"/>
  </r>
  <r>
    <n v="96"/>
    <x v="95"/>
    <n v="1094"/>
    <s v="Customer_48"/>
    <s v="Consumer"/>
    <s v="North"/>
    <s v="Furniture"/>
    <x v="1"/>
    <n v="301"/>
    <n v="8"/>
    <n v="0.12"/>
    <n v="1297"/>
    <s v="UPI"/>
    <n v="2119.04"/>
    <s v="Apr"/>
    <n v="2024"/>
    <s v="Q2"/>
    <n v="0.61206961643008151"/>
    <n v="288.95999999999998"/>
    <s v="Medium"/>
    <s v="Repeat"/>
    <s v="Below Avg"/>
    <s v="Profit"/>
    <n v="421"/>
  </r>
  <r>
    <n v="97"/>
    <x v="96"/>
    <n v="1006"/>
    <s v="Customer_103"/>
    <s v="Corporate"/>
    <s v="East"/>
    <s v="Furniture"/>
    <x v="0"/>
    <n v="4572"/>
    <n v="9"/>
    <n v="0"/>
    <n v="519"/>
    <s v="UPI"/>
    <n v="41148"/>
    <s v="Apr"/>
    <n v="2024"/>
    <s v="Q2"/>
    <n v="1.2613006707494897E-2"/>
    <n v="0"/>
    <s v="High"/>
    <s v="Repeat"/>
    <s v="Above Avg"/>
    <s v="Profit"/>
    <n v="1"/>
  </r>
  <r>
    <n v="98"/>
    <x v="97"/>
    <n v="1009"/>
    <s v="Customer_41"/>
    <s v="Consumer"/>
    <s v="South"/>
    <s v="Electronics"/>
    <x v="0"/>
    <n v="3094"/>
    <n v="4"/>
    <n v="0.2"/>
    <n v="236"/>
    <s v="Card"/>
    <n v="9900.7999999999993"/>
    <s v="Apr"/>
    <n v="2024"/>
    <s v="Q2"/>
    <n v="2.3836457659987074E-2"/>
    <n v="2475.2000000000003"/>
    <s v="High"/>
    <s v="Repeat"/>
    <s v="Below Avg"/>
    <s v="Profit"/>
    <n v="203"/>
  </r>
  <r>
    <n v="99"/>
    <x v="98"/>
    <n v="1087"/>
    <s v="Customer_123"/>
    <s v="Consumer"/>
    <s v="West"/>
    <s v="Electronics"/>
    <x v="0"/>
    <n v="4656"/>
    <n v="8"/>
    <n v="0.05"/>
    <n v="115"/>
    <s v="Card"/>
    <n v="35385.599999999999"/>
    <s v="Apr"/>
    <n v="2024"/>
    <s v="Q2"/>
    <n v="3.2499095677337676E-3"/>
    <n v="1862.4"/>
    <s v="High"/>
    <s v="Repeat"/>
    <s v="Above Avg"/>
    <s v="Profit"/>
    <n v="9"/>
  </r>
  <r>
    <n v="100"/>
    <x v="99"/>
    <n v="1014"/>
    <s v="Customer_137"/>
    <s v="Corporate"/>
    <s v="North"/>
    <s v="Clothing"/>
    <x v="2"/>
    <n v="4815"/>
    <n v="8"/>
    <n v="0.12"/>
    <n v="271"/>
    <s v="UPI"/>
    <n v="33897.599999999999"/>
    <s v="Apr"/>
    <n v="2024"/>
    <s v="Q2"/>
    <n v="7.9946662890588126E-3"/>
    <n v="4622.3999999999996"/>
    <s v="High"/>
    <s v="Repeat"/>
    <s v="Above Avg"/>
    <s v="Profit"/>
    <n v="14"/>
  </r>
  <r>
    <n v="101"/>
    <x v="100"/>
    <n v="1083"/>
    <s v="Customer_176"/>
    <s v="Consumer"/>
    <s v="South"/>
    <s v="Furniture"/>
    <x v="3"/>
    <n v="4598"/>
    <n v="3"/>
    <n v="0.15"/>
    <n v="93"/>
    <s v="Card"/>
    <n v="11724.9"/>
    <s v="Apr"/>
    <n v="2024"/>
    <s v="Q2"/>
    <n v="7.9318373717473072E-3"/>
    <n v="2069.1"/>
    <s v="High"/>
    <s v="Repeat"/>
    <s v="Above Avg"/>
    <s v="Profit"/>
    <n v="177"/>
  </r>
  <r>
    <n v="102"/>
    <x v="101"/>
    <n v="1070"/>
    <s v="Customer_182"/>
    <s v="Consumer"/>
    <s v="East"/>
    <s v="Electronics"/>
    <x v="2"/>
    <n v="4505"/>
    <n v="4"/>
    <n v="0.2"/>
    <n v="-150"/>
    <s v="UPI"/>
    <n v="14416"/>
    <s v="Apr"/>
    <n v="2024"/>
    <s v="Q2"/>
    <n v="-1.0405105438401776E-2"/>
    <n v="3604"/>
    <s v="High"/>
    <s v="Repeat"/>
    <s v="Above Avg"/>
    <s v="Loss"/>
    <n v="144"/>
  </r>
  <r>
    <n v="103"/>
    <x v="102"/>
    <n v="1012"/>
    <s v="Customer_23"/>
    <s v="Consumer"/>
    <s v="East"/>
    <s v="Electronics"/>
    <x v="3"/>
    <n v="3765"/>
    <n v="2"/>
    <n v="0.23"/>
    <n v="820"/>
    <s v="COD"/>
    <n v="5798.1"/>
    <s v="Apr"/>
    <n v="2024"/>
    <s v="Q2"/>
    <n v="0.14142563943360756"/>
    <n v="1731.9"/>
    <s v="High"/>
    <s v="Repeat"/>
    <s v="Below Avg"/>
    <s v="Profit"/>
    <n v="301"/>
  </r>
  <r>
    <n v="104"/>
    <x v="103"/>
    <n v="1054"/>
    <s v="Customer_193"/>
    <s v="Corporate"/>
    <s v="East"/>
    <s v="Furniture"/>
    <x v="0"/>
    <n v="4195"/>
    <n v="5"/>
    <n v="0.21"/>
    <n v="-479"/>
    <s v="Card"/>
    <n v="16570.25"/>
    <s v="Apr"/>
    <n v="2024"/>
    <s v="Q2"/>
    <n v="-2.8907228315806943E-2"/>
    <n v="4404.75"/>
    <s v="High"/>
    <s v="Repeat"/>
    <s v="Above Avg"/>
    <s v="Loss"/>
    <n v="114"/>
  </r>
  <r>
    <n v="105"/>
    <x v="104"/>
    <n v="1027"/>
    <s v="Customer_149"/>
    <s v="Corporate"/>
    <s v="South"/>
    <s v="Furniture"/>
    <x v="0"/>
    <n v="1628"/>
    <n v="6"/>
    <n v="0.17"/>
    <n v="1224"/>
    <s v="Card"/>
    <n v="8107.44"/>
    <s v="Apr"/>
    <n v="2024"/>
    <s v="Q2"/>
    <n v="0.15097244012906663"/>
    <n v="1660.5600000000002"/>
    <s v="High"/>
    <s v="Repeat"/>
    <s v="Below Avg"/>
    <s v="Profit"/>
    <n v="248"/>
  </r>
  <r>
    <n v="106"/>
    <x v="105"/>
    <n v="1038"/>
    <s v="Customer_160"/>
    <s v="Corporate"/>
    <s v="North"/>
    <s v="Clothing"/>
    <x v="0"/>
    <n v="759"/>
    <n v="6"/>
    <n v="0.16"/>
    <n v="879"/>
    <s v="UPI"/>
    <n v="3825.3599999999901"/>
    <s v="Apr"/>
    <n v="2024"/>
    <s v="Q2"/>
    <n v="0.22978229499968689"/>
    <n v="728.64"/>
    <s v="Medium"/>
    <s v="Repeat"/>
    <s v="Below Avg"/>
    <s v="Profit"/>
    <n v="363"/>
  </r>
  <r>
    <n v="107"/>
    <x v="106"/>
    <n v="1017"/>
    <s v="Customer_109"/>
    <s v="Consumer"/>
    <s v="East"/>
    <s v="Electronics"/>
    <x v="2"/>
    <n v="101"/>
    <n v="2"/>
    <n v="0.26"/>
    <n v="1747"/>
    <s v="COD"/>
    <n v="149.47999999999999"/>
    <s v="Apr"/>
    <n v="2024"/>
    <s v="Q2"/>
    <n v="11.687182231736688"/>
    <n v="52.52"/>
    <s v="Low"/>
    <s v="Repeat"/>
    <s v="Below Avg"/>
    <s v="Profit"/>
    <n v="500"/>
  </r>
  <r>
    <n v="108"/>
    <x v="107"/>
    <n v="1061"/>
    <s v="Customer_154"/>
    <s v="Corporate"/>
    <s v="East"/>
    <s v="Furniture"/>
    <x v="0"/>
    <n v="608"/>
    <n v="4"/>
    <n v="0.26"/>
    <n v="1152"/>
    <s v="UPI"/>
    <n v="1799.68"/>
    <s v="Apr"/>
    <n v="2024"/>
    <s v="Q2"/>
    <n v="0.64011379800853485"/>
    <n v="632.32000000000005"/>
    <s v="Low"/>
    <s v="Repeat"/>
    <s v="Below Avg"/>
    <s v="Profit"/>
    <n v="441"/>
  </r>
  <r>
    <n v="109"/>
    <x v="108"/>
    <n v="1074"/>
    <s v="Customer_33"/>
    <s v="Consumer"/>
    <s v="West"/>
    <s v="Clothing"/>
    <x v="0"/>
    <n v="239"/>
    <n v="2"/>
    <n v="0.02"/>
    <n v="1292"/>
    <s v="COD"/>
    <n v="468.44"/>
    <s v="Apr"/>
    <n v="2024"/>
    <s v="Q2"/>
    <n v="2.7580906839723336"/>
    <n v="9.56"/>
    <s v="Low"/>
    <s v="Repeat"/>
    <s v="Below Avg"/>
    <s v="Profit"/>
    <n v="492"/>
  </r>
  <r>
    <n v="110"/>
    <x v="109"/>
    <n v="1099"/>
    <s v="Customer_188"/>
    <s v="Corporate"/>
    <s v="North"/>
    <s v="Furniture"/>
    <x v="2"/>
    <n v="3354"/>
    <n v="5"/>
    <n v="0.08"/>
    <n v="556"/>
    <s v="Card"/>
    <n v="15428.4"/>
    <s v="Apr"/>
    <n v="2024"/>
    <s v="Q2"/>
    <n v="3.603743745300874E-2"/>
    <n v="1341.6000000000001"/>
    <s v="High"/>
    <s v="Repeat"/>
    <s v="Above Avg"/>
    <s v="Profit"/>
    <n v="136"/>
  </r>
  <r>
    <n v="111"/>
    <x v="110"/>
    <n v="1099"/>
    <s v="Customer_137"/>
    <s v="Corporate"/>
    <s v="East"/>
    <s v="Furniture"/>
    <x v="0"/>
    <n v="3754"/>
    <n v="2"/>
    <n v="0.28000000000000003"/>
    <n v="853"/>
    <s v="Card"/>
    <n v="5405.76"/>
    <s v="Apr"/>
    <n v="2024"/>
    <s v="Q2"/>
    <n v="0.15779464867104717"/>
    <n v="2102.2400000000002"/>
    <s v="High"/>
    <s v="Repeat"/>
    <s v="Below Avg"/>
    <s v="Profit"/>
    <n v="312"/>
  </r>
  <r>
    <n v="112"/>
    <x v="111"/>
    <n v="1065"/>
    <s v="Customer_81"/>
    <s v="Consumer"/>
    <s v="North"/>
    <s v="Clothing"/>
    <x v="0"/>
    <n v="1685"/>
    <n v="9"/>
    <n v="0.18"/>
    <n v="1489"/>
    <s v="COD"/>
    <n v="12435.3"/>
    <s v="Apr"/>
    <n v="2024"/>
    <s v="Q2"/>
    <n v="0.11973977306538645"/>
    <n v="2729.7"/>
    <s v="High"/>
    <s v="Repeat"/>
    <s v="Above Avg"/>
    <s v="Profit"/>
    <n v="163"/>
  </r>
  <r>
    <n v="113"/>
    <x v="112"/>
    <n v="1047"/>
    <s v="Customer_70"/>
    <s v="Corporate"/>
    <s v="East"/>
    <s v="Furniture"/>
    <x v="2"/>
    <n v="4837"/>
    <n v="1"/>
    <n v="0.04"/>
    <n v="216"/>
    <s v="Card"/>
    <n v="4643.5199999999904"/>
    <s v="Apr"/>
    <n v="2024"/>
    <s v="Q2"/>
    <n v="4.6516435807318679E-2"/>
    <n v="193.48000000000002"/>
    <s v="Medium"/>
    <s v="Repeat"/>
    <s v="Below Avg"/>
    <s v="Profit"/>
    <n v="334"/>
  </r>
  <r>
    <n v="114"/>
    <x v="113"/>
    <n v="1016"/>
    <s v="Customer_174"/>
    <s v="Corporate"/>
    <s v="South"/>
    <s v="Electronics"/>
    <x v="1"/>
    <n v="327"/>
    <n v="6"/>
    <n v="0.02"/>
    <n v="-476"/>
    <s v="UPI"/>
    <n v="1922.76"/>
    <s v="Apr"/>
    <n v="2024"/>
    <s v="Q2"/>
    <n v="-0.24756079801951361"/>
    <n v="39.24"/>
    <s v="Low"/>
    <s v="Repeat"/>
    <s v="Below Avg"/>
    <s v="Loss"/>
    <n v="435"/>
  </r>
  <r>
    <n v="115"/>
    <x v="114"/>
    <n v="1005"/>
    <s v="Customer_7"/>
    <s v="Corporate"/>
    <s v="East"/>
    <s v="Clothing"/>
    <x v="3"/>
    <n v="2697"/>
    <n v="9"/>
    <n v="0.03"/>
    <n v="196"/>
    <s v="Card"/>
    <n v="23544.809999999899"/>
    <s v="Apr"/>
    <n v="2024"/>
    <s v="Q2"/>
    <n v="8.324552204923329E-3"/>
    <n v="728.18999999999994"/>
    <s v="High"/>
    <s v="Repeat"/>
    <s v="Above Avg"/>
    <s v="Profit"/>
    <n v="56"/>
  </r>
  <r>
    <n v="116"/>
    <x v="115"/>
    <n v="1086"/>
    <s v="Customer_128"/>
    <s v="Consumer"/>
    <s v="West"/>
    <s v="Clothing"/>
    <x v="0"/>
    <n v="2905"/>
    <n v="3"/>
    <n v="0.23"/>
    <n v="1412"/>
    <s v="Card"/>
    <n v="6710.55"/>
    <s v="Apr"/>
    <n v="2024"/>
    <s v="Q2"/>
    <n v="0.21041494363353228"/>
    <n v="2004.45"/>
    <s v="High"/>
    <s v="Repeat"/>
    <s v="Below Avg"/>
    <s v="Profit"/>
    <n v="283"/>
  </r>
  <r>
    <n v="117"/>
    <x v="116"/>
    <n v="1046"/>
    <s v="Customer_7"/>
    <s v="Corporate"/>
    <s v="East"/>
    <s v="Furniture"/>
    <x v="0"/>
    <n v="4460"/>
    <n v="9"/>
    <n v="7.0000000000000007E-2"/>
    <n v="683"/>
    <s v="UPI"/>
    <n v="37330.199999999997"/>
    <s v="Apr"/>
    <n v="2024"/>
    <s v="Q2"/>
    <n v="1.8296178429261029E-2"/>
    <n v="2809.8"/>
    <s v="High"/>
    <s v="Repeat"/>
    <s v="Above Avg"/>
    <s v="Profit"/>
    <n v="6"/>
  </r>
  <r>
    <n v="118"/>
    <x v="117"/>
    <n v="1015"/>
    <s v="Customer_121"/>
    <s v="Consumer"/>
    <s v="East"/>
    <s v="Clothing"/>
    <x v="2"/>
    <n v="3646"/>
    <n v="2"/>
    <n v="7.0000000000000007E-2"/>
    <n v="1559"/>
    <s v="COD"/>
    <n v="6781.5599999999904"/>
    <s v="Apr"/>
    <n v="2024"/>
    <s v="Q2"/>
    <n v="0.22988810834085405"/>
    <n v="510.44000000000005"/>
    <s v="High"/>
    <s v="Repeat"/>
    <s v="Below Avg"/>
    <s v="Profit"/>
    <n v="278"/>
  </r>
  <r>
    <n v="119"/>
    <x v="118"/>
    <n v="1059"/>
    <s v="Customer_197"/>
    <s v="Corporate"/>
    <s v="West"/>
    <s v="Furniture"/>
    <x v="1"/>
    <n v="3772"/>
    <n v="2"/>
    <n v="0.04"/>
    <n v="189"/>
    <s v="Card"/>
    <n v="7242.24"/>
    <s v="Apr"/>
    <n v="2024"/>
    <s v="Q2"/>
    <n v="2.6096898197242844E-2"/>
    <n v="301.76"/>
    <s v="High"/>
    <s v="Repeat"/>
    <s v="Below Avg"/>
    <s v="Profit"/>
    <n v="270"/>
  </r>
  <r>
    <n v="120"/>
    <x v="119"/>
    <n v="1040"/>
    <s v="Customer_161"/>
    <s v="Corporate"/>
    <s v="East"/>
    <s v="Clothing"/>
    <x v="2"/>
    <n v="4990"/>
    <n v="2"/>
    <n v="0.18"/>
    <n v="829"/>
    <s v="UPI"/>
    <n v="8183.6"/>
    <s v="Apr"/>
    <n v="2024"/>
    <s v="Q2"/>
    <n v="0.10130016129820617"/>
    <n v="1796.3999999999999"/>
    <s v="High"/>
    <s v="Repeat"/>
    <s v="Below Avg"/>
    <s v="Profit"/>
    <n v="245"/>
  </r>
  <r>
    <n v="121"/>
    <x v="120"/>
    <n v="1025"/>
    <s v="Customer_114"/>
    <s v="Corporate"/>
    <s v="South"/>
    <s v="Clothing"/>
    <x v="1"/>
    <n v="4660"/>
    <n v="3"/>
    <n v="0.15"/>
    <n v="697"/>
    <s v="UPI"/>
    <n v="11883"/>
    <s v="Apr"/>
    <n v="2024"/>
    <s v="Q2"/>
    <n v="5.8655221745350504E-2"/>
    <n v="2097"/>
    <s v="High"/>
    <s v="Repeat"/>
    <s v="Above Avg"/>
    <s v="Profit"/>
    <n v="170"/>
  </r>
  <r>
    <n v="122"/>
    <x v="121"/>
    <n v="1045"/>
    <s v="Customer_138"/>
    <s v="Corporate"/>
    <s v="East"/>
    <s v="Furniture"/>
    <x v="2"/>
    <n v="2622"/>
    <n v="4"/>
    <n v="0.08"/>
    <n v="-69"/>
    <s v="COD"/>
    <n v="9648.9599999999991"/>
    <s v="May"/>
    <n v="2024"/>
    <s v="Q2"/>
    <n v="-7.1510297482837533E-3"/>
    <n v="839.04"/>
    <s v="High"/>
    <s v="Repeat"/>
    <s v="Below Avg"/>
    <s v="Loss"/>
    <n v="210"/>
  </r>
  <r>
    <n v="123"/>
    <x v="122"/>
    <n v="1049"/>
    <s v="Customer_104"/>
    <s v="Consumer"/>
    <s v="West"/>
    <s v="Furniture"/>
    <x v="2"/>
    <n v="438"/>
    <n v="3"/>
    <n v="0.2"/>
    <n v="1254"/>
    <s v="UPI"/>
    <n v="1051.2"/>
    <s v="May"/>
    <n v="2024"/>
    <s v="Q2"/>
    <n v="1.1929223744292237"/>
    <n v="262.8"/>
    <s v="Low"/>
    <s v="Repeat"/>
    <s v="Below Avg"/>
    <s v="Profit"/>
    <n v="478"/>
  </r>
  <r>
    <n v="124"/>
    <x v="123"/>
    <n v="1000"/>
    <s v="Customer_28"/>
    <s v="Consumer"/>
    <s v="East"/>
    <s v="Clothing"/>
    <x v="1"/>
    <n v="918"/>
    <n v="6"/>
    <n v="0.23"/>
    <n v="-299"/>
    <s v="UPI"/>
    <n v="4241.16"/>
    <s v="May"/>
    <n v="2024"/>
    <s v="Q2"/>
    <n v="-7.0499580303501869E-2"/>
    <n v="1266.8400000000001"/>
    <s v="Medium"/>
    <s v="Repeat"/>
    <s v="Below Avg"/>
    <s v="Loss"/>
    <n v="344"/>
  </r>
  <r>
    <n v="125"/>
    <x v="124"/>
    <n v="1035"/>
    <s v="Customer_175"/>
    <s v="Corporate"/>
    <s v="West"/>
    <s v="Furniture"/>
    <x v="1"/>
    <n v="2666"/>
    <n v="6"/>
    <n v="0.28999999999999998"/>
    <n v="1830"/>
    <s v="Card"/>
    <n v="11357.16"/>
    <s v="May"/>
    <n v="2024"/>
    <s v="Q2"/>
    <n v="0.16113183225383812"/>
    <n v="4638.8399999999992"/>
    <s v="High"/>
    <s v="Repeat"/>
    <s v="Above Avg"/>
    <s v="Profit"/>
    <n v="184"/>
  </r>
  <r>
    <n v="126"/>
    <x v="125"/>
    <n v="1029"/>
    <s v="Customer_46"/>
    <s v="Consumer"/>
    <s v="North"/>
    <s v="Electronics"/>
    <x v="3"/>
    <n v="3817"/>
    <n v="5"/>
    <n v="0.14000000000000001"/>
    <n v="381"/>
    <s v="COD"/>
    <n v="16413.099999999999"/>
    <s v="May"/>
    <n v="2024"/>
    <s v="Q2"/>
    <n v="2.3213165093736103E-2"/>
    <n v="2671.9"/>
    <s v="High"/>
    <s v="Repeat"/>
    <s v="Above Avg"/>
    <s v="Profit"/>
    <n v="117"/>
  </r>
  <r>
    <n v="127"/>
    <x v="126"/>
    <n v="1001"/>
    <s v="Customer_22"/>
    <s v="Consumer"/>
    <s v="West"/>
    <s v="Furniture"/>
    <x v="2"/>
    <n v="3162"/>
    <n v="2"/>
    <n v="0.12"/>
    <n v="1730"/>
    <s v="UPI"/>
    <n v="5565.12"/>
    <s v="May"/>
    <n v="2024"/>
    <s v="Q2"/>
    <n v="0.31086481513426484"/>
    <n v="758.88"/>
    <s v="High"/>
    <s v="Repeat"/>
    <s v="Below Avg"/>
    <s v="Profit"/>
    <n v="306"/>
  </r>
  <r>
    <n v="128"/>
    <x v="127"/>
    <n v="1083"/>
    <s v="Customer_21"/>
    <s v="Corporate"/>
    <s v="West"/>
    <s v="Furniture"/>
    <x v="0"/>
    <n v="1353"/>
    <n v="4"/>
    <n v="0.09"/>
    <n v="558"/>
    <s v="Card"/>
    <n v="4924.92"/>
    <s v="May"/>
    <n v="2024"/>
    <s v="Q2"/>
    <n v="0.11330133281352793"/>
    <n v="487.08"/>
    <s v="Medium"/>
    <s v="Repeat"/>
    <s v="Below Avg"/>
    <s v="Profit"/>
    <n v="325"/>
  </r>
  <r>
    <n v="129"/>
    <x v="128"/>
    <n v="1068"/>
    <s v="Customer_111"/>
    <s v="Consumer"/>
    <s v="South"/>
    <s v="Electronics"/>
    <x v="0"/>
    <n v="3250"/>
    <n v="7"/>
    <n v="0.24"/>
    <n v="170"/>
    <s v="COD"/>
    <n v="17290"/>
    <s v="May"/>
    <n v="2024"/>
    <s v="Q2"/>
    <n v="9.8322729901677269E-3"/>
    <n v="5460"/>
    <s v="High"/>
    <s v="Repeat"/>
    <s v="Above Avg"/>
    <s v="Profit"/>
    <n v="103"/>
  </r>
  <r>
    <n v="130"/>
    <x v="129"/>
    <n v="1030"/>
    <s v="Customer_184"/>
    <s v="Corporate"/>
    <s v="East"/>
    <s v="Furniture"/>
    <x v="1"/>
    <n v="2350"/>
    <n v="8"/>
    <n v="0.28999999999999998"/>
    <n v="188"/>
    <s v="Card"/>
    <n v="13348"/>
    <s v="May"/>
    <n v="2024"/>
    <s v="Q2"/>
    <n v="1.4084507042253521E-2"/>
    <n v="5452"/>
    <s v="High"/>
    <s v="Repeat"/>
    <s v="Above Avg"/>
    <s v="Profit"/>
    <n v="155"/>
  </r>
  <r>
    <n v="131"/>
    <x v="130"/>
    <n v="1007"/>
    <s v="Customer_32"/>
    <s v="Consumer"/>
    <s v="South"/>
    <s v="Electronics"/>
    <x v="3"/>
    <n v="4420"/>
    <n v="9"/>
    <n v="0.18"/>
    <n v="-333"/>
    <s v="UPI"/>
    <n v="32619.599999999999"/>
    <s v="May"/>
    <n v="2024"/>
    <s v="Q2"/>
    <n v="-1.0208586248758415E-2"/>
    <n v="7160.4"/>
    <s v="High"/>
    <s v="Repeat"/>
    <s v="Above Avg"/>
    <s v="Loss"/>
    <n v="18"/>
  </r>
  <r>
    <n v="132"/>
    <x v="131"/>
    <n v="1093"/>
    <s v="Customer_160"/>
    <s v="Consumer"/>
    <s v="North"/>
    <s v="Furniture"/>
    <x v="2"/>
    <n v="3715"/>
    <n v="2"/>
    <n v="0.19"/>
    <n v="931"/>
    <s v="COD"/>
    <n v="6018.3"/>
    <s v="May"/>
    <n v="2024"/>
    <s v="Q2"/>
    <n v="0.15469484738215111"/>
    <n v="1411.7"/>
    <s v="High"/>
    <s v="Repeat"/>
    <s v="Below Avg"/>
    <s v="Profit"/>
    <n v="296"/>
  </r>
  <r>
    <n v="133"/>
    <x v="132"/>
    <n v="1060"/>
    <s v="Customer_115"/>
    <s v="Corporate"/>
    <s v="East"/>
    <s v="Clothing"/>
    <x v="3"/>
    <n v="1879"/>
    <n v="9"/>
    <n v="0.21"/>
    <n v="738"/>
    <s v="UPI"/>
    <n v="13359.69"/>
    <s v="May"/>
    <n v="2024"/>
    <s v="Q2"/>
    <n v="5.5240802743177421E-2"/>
    <n v="3551.31"/>
    <s v="High"/>
    <s v="Repeat"/>
    <s v="Above Avg"/>
    <s v="Profit"/>
    <n v="154"/>
  </r>
  <r>
    <n v="134"/>
    <x v="133"/>
    <n v="1065"/>
    <s v="Customer_164"/>
    <s v="Consumer"/>
    <s v="South"/>
    <s v="Electronics"/>
    <x v="1"/>
    <n v="1391"/>
    <n v="7"/>
    <n v="0.13"/>
    <n v="1496"/>
    <s v="COD"/>
    <n v="8471.19"/>
    <s v="May"/>
    <n v="2024"/>
    <s v="Q2"/>
    <n v="0.17659856525470446"/>
    <n v="1265.81"/>
    <s v="High"/>
    <s v="Repeat"/>
    <s v="Below Avg"/>
    <s v="Profit"/>
    <n v="239"/>
  </r>
  <r>
    <n v="135"/>
    <x v="134"/>
    <n v="1076"/>
    <s v="Customer_159"/>
    <s v="Consumer"/>
    <s v="East"/>
    <s v="Furniture"/>
    <x v="1"/>
    <n v="778"/>
    <n v="7"/>
    <n v="7.0000000000000007E-2"/>
    <n v="1345"/>
    <s v="UPI"/>
    <n v="5064.78"/>
    <s v="May"/>
    <n v="2024"/>
    <s v="Q2"/>
    <n v="0.26555941225482649"/>
    <n v="381.22"/>
    <s v="High"/>
    <s v="Repeat"/>
    <s v="Below Avg"/>
    <s v="Profit"/>
    <n v="321"/>
  </r>
  <r>
    <n v="136"/>
    <x v="135"/>
    <n v="1067"/>
    <s v="Customer_70"/>
    <s v="Consumer"/>
    <s v="East"/>
    <s v="Electronics"/>
    <x v="1"/>
    <n v="2652"/>
    <n v="1"/>
    <n v="0.08"/>
    <n v="-241"/>
    <s v="Card"/>
    <n v="2439.84"/>
    <s v="May"/>
    <n v="2024"/>
    <s v="Q2"/>
    <n v="-9.8776968981572552E-2"/>
    <n v="212.16"/>
    <s v="Medium"/>
    <s v="Repeat"/>
    <s v="Below Avg"/>
    <s v="Loss"/>
    <n v="412"/>
  </r>
  <r>
    <n v="137"/>
    <x v="136"/>
    <n v="1044"/>
    <s v="Customer_54"/>
    <s v="Corporate"/>
    <s v="East"/>
    <s v="Clothing"/>
    <x v="3"/>
    <n v="3324"/>
    <n v="8"/>
    <n v="0.19"/>
    <n v="1450"/>
    <s v="UPI"/>
    <n v="21539.52"/>
    <s v="May"/>
    <n v="2024"/>
    <s v="Q2"/>
    <n v="6.731812036665627E-2"/>
    <n v="5052.4800000000005"/>
    <s v="High"/>
    <s v="Repeat"/>
    <s v="Above Avg"/>
    <s v="Profit"/>
    <n v="71"/>
  </r>
  <r>
    <n v="138"/>
    <x v="137"/>
    <n v="1051"/>
    <s v="Customer_21"/>
    <s v="Corporate"/>
    <s v="South"/>
    <s v="Electronics"/>
    <x v="0"/>
    <n v="314"/>
    <n v="3"/>
    <n v="0.19"/>
    <n v="1084"/>
    <s v="COD"/>
    <n v="763.02"/>
    <s v="May"/>
    <n v="2024"/>
    <s v="Q2"/>
    <n v="1.4206704935650443"/>
    <n v="178.98"/>
    <s v="Low"/>
    <s v="Repeat"/>
    <s v="Below Avg"/>
    <s v="Profit"/>
    <n v="482"/>
  </r>
  <r>
    <n v="139"/>
    <x v="138"/>
    <n v="1007"/>
    <s v="Customer_35"/>
    <s v="Consumer"/>
    <s v="East"/>
    <s v="Clothing"/>
    <x v="0"/>
    <n v="1085"/>
    <n v="4"/>
    <n v="0.14000000000000001"/>
    <n v="1745"/>
    <s v="Card"/>
    <n v="3732.4"/>
    <s v="May"/>
    <n v="2024"/>
    <s v="Q2"/>
    <n v="0.46752759618476047"/>
    <n v="607.6"/>
    <s v="Medium"/>
    <s v="Repeat"/>
    <s v="Below Avg"/>
    <s v="Profit"/>
    <n v="366"/>
  </r>
  <r>
    <n v="140"/>
    <x v="139"/>
    <n v="1088"/>
    <s v="Customer_23"/>
    <s v="Corporate"/>
    <s v="North"/>
    <s v="Furniture"/>
    <x v="0"/>
    <n v="3383"/>
    <n v="4"/>
    <n v="0.01"/>
    <n v="1826"/>
    <s v="COD"/>
    <n v="13396.68"/>
    <s v="May"/>
    <n v="2024"/>
    <s v="Q2"/>
    <n v="0.13630242716852234"/>
    <n v="135.32"/>
    <s v="High"/>
    <s v="Repeat"/>
    <s v="Above Avg"/>
    <s v="Profit"/>
    <n v="153"/>
  </r>
  <r>
    <n v="141"/>
    <x v="140"/>
    <n v="1070"/>
    <s v="Customer_170"/>
    <s v="Consumer"/>
    <s v="South"/>
    <s v="Clothing"/>
    <x v="3"/>
    <n v="4806"/>
    <n v="2"/>
    <n v="0.26"/>
    <n v="126"/>
    <s v="UPI"/>
    <n v="7112.88"/>
    <s v="May"/>
    <n v="2024"/>
    <s v="Q2"/>
    <n v="1.7714343557040185E-2"/>
    <n v="2499.12"/>
    <s v="High"/>
    <s v="Repeat"/>
    <s v="Below Avg"/>
    <s v="Profit"/>
    <n v="273"/>
  </r>
  <r>
    <n v="142"/>
    <x v="141"/>
    <n v="1013"/>
    <s v="Customer_24"/>
    <s v="Corporate"/>
    <s v="West"/>
    <s v="Electronics"/>
    <x v="2"/>
    <n v="2445"/>
    <n v="3"/>
    <n v="7.0000000000000007E-2"/>
    <n v="834"/>
    <s v="COD"/>
    <n v="6821.5499999999902"/>
    <s v="May"/>
    <n v="2024"/>
    <s v="Q2"/>
    <n v="0.12225960375574484"/>
    <n v="513.45000000000005"/>
    <s v="High"/>
    <s v="Repeat"/>
    <s v="Below Avg"/>
    <s v="Profit"/>
    <n v="277"/>
  </r>
  <r>
    <n v="143"/>
    <x v="142"/>
    <n v="1028"/>
    <s v="Customer_94"/>
    <s v="Consumer"/>
    <s v="North"/>
    <s v="Furniture"/>
    <x v="3"/>
    <n v="4838"/>
    <n v="5"/>
    <n v="0.17"/>
    <n v="-431"/>
    <s v="UPI"/>
    <n v="20077.7"/>
    <s v="May"/>
    <n v="2024"/>
    <s v="Q2"/>
    <n v="-2.1466602250257746E-2"/>
    <n v="4112.3"/>
    <s v="High"/>
    <s v="Repeat"/>
    <s v="Above Avg"/>
    <s v="Loss"/>
    <n v="79"/>
  </r>
  <r>
    <n v="144"/>
    <x v="143"/>
    <n v="1063"/>
    <s v="Customer_74"/>
    <s v="Consumer"/>
    <s v="West"/>
    <s v="Furniture"/>
    <x v="0"/>
    <n v="3533"/>
    <n v="3"/>
    <n v="0.22"/>
    <n v="1071"/>
    <s v="UPI"/>
    <n v="8267.2199999999993"/>
    <s v="May"/>
    <n v="2024"/>
    <s v="Q2"/>
    <n v="0.1295477802695465"/>
    <n v="2331.7800000000002"/>
    <s v="High"/>
    <s v="Repeat"/>
    <s v="Below Avg"/>
    <s v="Profit"/>
    <n v="242"/>
  </r>
  <r>
    <n v="145"/>
    <x v="144"/>
    <n v="1084"/>
    <s v="Customer_69"/>
    <s v="Corporate"/>
    <s v="West"/>
    <s v="Furniture"/>
    <x v="1"/>
    <n v="3727"/>
    <n v="5"/>
    <n v="0.06"/>
    <n v="1304"/>
    <s v="COD"/>
    <n v="17516.8999999999"/>
    <s v="May"/>
    <n v="2024"/>
    <s v="Q2"/>
    <n v="7.4442395629364069E-2"/>
    <n v="1118.0999999999999"/>
    <s v="High"/>
    <s v="Repeat"/>
    <s v="Above Avg"/>
    <s v="Profit"/>
    <n v="97"/>
  </r>
  <r>
    <n v="146"/>
    <x v="145"/>
    <n v="1036"/>
    <s v="Customer_127"/>
    <s v="Consumer"/>
    <s v="North"/>
    <s v="Clothing"/>
    <x v="1"/>
    <n v="3173"/>
    <n v="8"/>
    <n v="0.14000000000000001"/>
    <n v="1176"/>
    <s v="Card"/>
    <n v="21830.2399999999"/>
    <s v="May"/>
    <n v="2024"/>
    <s v="Q2"/>
    <n v="5.3870227720813214E-2"/>
    <n v="3553.76"/>
    <s v="High"/>
    <s v="Repeat"/>
    <s v="Above Avg"/>
    <s v="Profit"/>
    <n v="69"/>
  </r>
  <r>
    <n v="147"/>
    <x v="146"/>
    <n v="1096"/>
    <s v="Customer_125"/>
    <s v="Consumer"/>
    <s v="East"/>
    <s v="Furniture"/>
    <x v="0"/>
    <n v="4473"/>
    <n v="8"/>
    <n v="0"/>
    <n v="126"/>
    <s v="Card"/>
    <n v="35784"/>
    <s v="May"/>
    <n v="2024"/>
    <s v="Q2"/>
    <n v="3.5211267605633804E-3"/>
    <n v="0"/>
    <s v="High"/>
    <s v="Repeat"/>
    <s v="Above Avg"/>
    <s v="Profit"/>
    <n v="8"/>
  </r>
  <r>
    <n v="148"/>
    <x v="147"/>
    <n v="1040"/>
    <s v="Customer_170"/>
    <s v="Consumer"/>
    <s v="North"/>
    <s v="Clothing"/>
    <x v="2"/>
    <n v="3339"/>
    <n v="3"/>
    <n v="0.01"/>
    <n v="-386"/>
    <s v="Card"/>
    <n v="9916.83"/>
    <s v="May"/>
    <n v="2024"/>
    <s v="Q2"/>
    <n v="-3.8923728651191966E-2"/>
    <n v="100.17"/>
    <s v="High"/>
    <s v="Repeat"/>
    <s v="Below Avg"/>
    <s v="Loss"/>
    <n v="202"/>
  </r>
  <r>
    <n v="149"/>
    <x v="148"/>
    <n v="1088"/>
    <s v="Customer_158"/>
    <s v="Corporate"/>
    <s v="South"/>
    <s v="Clothing"/>
    <x v="1"/>
    <n v="1472"/>
    <n v="5"/>
    <n v="0.08"/>
    <n v="788"/>
    <s v="UPI"/>
    <n v="6771.2"/>
    <s v="May"/>
    <n v="2024"/>
    <s v="Q2"/>
    <n v="0.11637523629489603"/>
    <n v="588.80000000000007"/>
    <s v="High"/>
    <s v="Repeat"/>
    <s v="Below Avg"/>
    <s v="Profit"/>
    <n v="279"/>
  </r>
  <r>
    <n v="150"/>
    <x v="149"/>
    <n v="1063"/>
    <s v="Customer_199"/>
    <s v="Corporate"/>
    <s v="East"/>
    <s v="Clothing"/>
    <x v="2"/>
    <n v="2138"/>
    <n v="1"/>
    <n v="0.2"/>
    <n v="725"/>
    <s v="Card"/>
    <n v="1710.4"/>
    <s v="May"/>
    <n v="2024"/>
    <s v="Q2"/>
    <n v="0.42387745556594947"/>
    <n v="427.6"/>
    <s v="Low"/>
    <s v="Repeat"/>
    <s v="Below Avg"/>
    <s v="Profit"/>
    <n v="446"/>
  </r>
  <r>
    <n v="151"/>
    <x v="150"/>
    <n v="1058"/>
    <s v="Customer_134"/>
    <s v="Consumer"/>
    <s v="East"/>
    <s v="Furniture"/>
    <x v="1"/>
    <n v="4818"/>
    <n v="7"/>
    <n v="0.27"/>
    <n v="841"/>
    <s v="Card"/>
    <n v="24619.98"/>
    <s v="May"/>
    <n v="2024"/>
    <s v="Q2"/>
    <n v="3.4159247895408529E-2"/>
    <n v="9106.02"/>
    <s v="High"/>
    <s v="Repeat"/>
    <s v="Above Avg"/>
    <s v="Profit"/>
    <n v="44"/>
  </r>
  <r>
    <n v="152"/>
    <x v="151"/>
    <n v="1077"/>
    <s v="Customer_52"/>
    <s v="Consumer"/>
    <s v="West"/>
    <s v="Electronics"/>
    <x v="0"/>
    <n v="3953"/>
    <n v="3"/>
    <n v="0.13"/>
    <n v="1405"/>
    <s v="COD"/>
    <n v="10317.33"/>
    <s v="May"/>
    <n v="2024"/>
    <s v="Q2"/>
    <n v="0.13617864311793845"/>
    <n v="1541.67"/>
    <s v="High"/>
    <s v="Repeat"/>
    <s v="Below Avg"/>
    <s v="Profit"/>
    <n v="197"/>
  </r>
  <r>
    <n v="153"/>
    <x v="152"/>
    <n v="1008"/>
    <s v="Customer_82"/>
    <s v="Corporate"/>
    <s v="North"/>
    <s v="Furniture"/>
    <x v="3"/>
    <n v="3443"/>
    <n v="7"/>
    <n v="0.01"/>
    <n v="1505"/>
    <s v="Card"/>
    <n v="23859.99"/>
    <s v="Jun"/>
    <n v="2024"/>
    <s v="Q2"/>
    <n v="6.3076304726028806E-2"/>
    <n v="241.01"/>
    <s v="High"/>
    <s v="Repeat"/>
    <s v="Above Avg"/>
    <s v="Profit"/>
    <n v="52"/>
  </r>
  <r>
    <n v="154"/>
    <x v="153"/>
    <n v="1078"/>
    <s v="Customer_154"/>
    <s v="Consumer"/>
    <s v="East"/>
    <s v="Furniture"/>
    <x v="3"/>
    <n v="4783"/>
    <n v="8"/>
    <n v="0.09"/>
    <n v="605"/>
    <s v="COD"/>
    <n v="34820.239999999998"/>
    <s v="Jun"/>
    <n v="2024"/>
    <s v="Q2"/>
    <n v="1.7374952039388585E-2"/>
    <n v="3443.7599999999998"/>
    <s v="High"/>
    <s v="Repeat"/>
    <s v="Above Avg"/>
    <s v="Profit"/>
    <n v="12"/>
  </r>
  <r>
    <n v="155"/>
    <x v="154"/>
    <n v="1006"/>
    <s v="Customer_100"/>
    <s v="Consumer"/>
    <s v="South"/>
    <s v="Furniture"/>
    <x v="2"/>
    <n v="4252"/>
    <n v="7"/>
    <n v="0.28999999999999998"/>
    <n v="-483"/>
    <s v="Card"/>
    <n v="21132.44"/>
    <s v="Jun"/>
    <n v="2024"/>
    <s v="Q2"/>
    <n v="-2.2855855736488549E-2"/>
    <n v="8631.56"/>
    <s v="High"/>
    <s v="Repeat"/>
    <s v="Above Avg"/>
    <s v="Loss"/>
    <n v="74"/>
  </r>
  <r>
    <n v="156"/>
    <x v="155"/>
    <n v="1065"/>
    <s v="Customer_41"/>
    <s v="Corporate"/>
    <s v="South"/>
    <s v="Furniture"/>
    <x v="0"/>
    <n v="1868"/>
    <n v="5"/>
    <n v="0.03"/>
    <n v="200"/>
    <s v="Card"/>
    <n v="9059.7999999999993"/>
    <s v="Jun"/>
    <n v="2024"/>
    <s v="Q2"/>
    <n v="2.2075542506457099E-2"/>
    <n v="280.2"/>
    <s v="High"/>
    <s v="Repeat"/>
    <s v="Below Avg"/>
    <s v="Profit"/>
    <n v="230"/>
  </r>
  <r>
    <n v="157"/>
    <x v="156"/>
    <n v="1094"/>
    <s v="Customer_196"/>
    <s v="Consumer"/>
    <s v="East"/>
    <s v="Clothing"/>
    <x v="1"/>
    <n v="138"/>
    <n v="9"/>
    <n v="0.23"/>
    <n v="486"/>
    <s v="COD"/>
    <n v="956.34"/>
    <s v="Jun"/>
    <n v="2024"/>
    <s v="Q2"/>
    <n v="0.50818746470920384"/>
    <n v="285.66000000000003"/>
    <s v="Low"/>
    <s v="Repeat"/>
    <s v="Below Avg"/>
    <s v="Profit"/>
    <n v="481"/>
  </r>
  <r>
    <n v="158"/>
    <x v="157"/>
    <n v="1070"/>
    <s v="Customer_182"/>
    <s v="Consumer"/>
    <s v="South"/>
    <s v="Electronics"/>
    <x v="2"/>
    <n v="3662"/>
    <n v="1"/>
    <n v="0.22"/>
    <n v="-184"/>
    <s v="Card"/>
    <n v="2856.36"/>
    <s v="Jun"/>
    <n v="2024"/>
    <s v="Q2"/>
    <n v="-6.4417650436219526E-2"/>
    <n v="805.64"/>
    <s v="Medium"/>
    <s v="Repeat"/>
    <s v="Below Avg"/>
    <s v="Loss"/>
    <n v="397"/>
  </r>
  <r>
    <n v="159"/>
    <x v="158"/>
    <n v="1040"/>
    <s v="Customer_60"/>
    <s v="Corporate"/>
    <s v="North"/>
    <s v="Furniture"/>
    <x v="0"/>
    <n v="1929"/>
    <n v="6"/>
    <n v="0.18"/>
    <n v="1743"/>
    <s v="COD"/>
    <n v="9490.68"/>
    <s v="Jun"/>
    <n v="2024"/>
    <s v="Q2"/>
    <n v="0.18365385831152245"/>
    <n v="2083.3199999999997"/>
    <s v="High"/>
    <s v="Repeat"/>
    <s v="Below Avg"/>
    <s v="Profit"/>
    <n v="217"/>
  </r>
  <r>
    <n v="160"/>
    <x v="159"/>
    <n v="1074"/>
    <s v="Customer_77"/>
    <s v="Consumer"/>
    <s v="South"/>
    <s v="Furniture"/>
    <x v="3"/>
    <n v="2271"/>
    <n v="6"/>
    <n v="0.28000000000000003"/>
    <n v="1840"/>
    <s v="COD"/>
    <n v="9810.7199999999993"/>
    <s v="Jun"/>
    <n v="2024"/>
    <s v="Q2"/>
    <n v="0.18754994536588548"/>
    <n v="3815.28"/>
    <s v="High"/>
    <s v="Repeat"/>
    <s v="Below Avg"/>
    <s v="Profit"/>
    <n v="207"/>
  </r>
  <r>
    <n v="161"/>
    <x v="160"/>
    <n v="1076"/>
    <s v="Customer_183"/>
    <s v="Consumer"/>
    <s v="East"/>
    <s v="Clothing"/>
    <x v="3"/>
    <n v="208"/>
    <n v="7"/>
    <n v="0.19"/>
    <n v="1079"/>
    <s v="Card"/>
    <n v="1179.3599999999999"/>
    <s v="Jun"/>
    <n v="2024"/>
    <s v="Q2"/>
    <n v="0.9149029982363317"/>
    <n v="276.64"/>
    <s v="Low"/>
    <s v="Repeat"/>
    <s v="Below Avg"/>
    <s v="Profit"/>
    <n v="469"/>
  </r>
  <r>
    <n v="162"/>
    <x v="161"/>
    <n v="1076"/>
    <s v="Customer_152"/>
    <s v="Consumer"/>
    <s v="South"/>
    <s v="Clothing"/>
    <x v="3"/>
    <n v="4940"/>
    <n v="7"/>
    <n v="0.28999999999999998"/>
    <n v="-154"/>
    <s v="Card"/>
    <n v="24551.8"/>
    <s v="Jun"/>
    <n v="2024"/>
    <s v="Q2"/>
    <n v="-6.272452528938815E-3"/>
    <n v="10028.199999999999"/>
    <s v="High"/>
    <s v="Repeat"/>
    <s v="Above Avg"/>
    <s v="Loss"/>
    <n v="45"/>
  </r>
  <r>
    <n v="163"/>
    <x v="162"/>
    <n v="1025"/>
    <s v="Customer_119"/>
    <s v="Consumer"/>
    <s v="West"/>
    <s v="Clothing"/>
    <x v="2"/>
    <n v="4228"/>
    <n v="2"/>
    <n v="0.25"/>
    <n v="115"/>
    <s v="Card"/>
    <n v="6342"/>
    <s v="Jun"/>
    <n v="2024"/>
    <s v="Q2"/>
    <n v="1.8133081046988332E-2"/>
    <n v="2114"/>
    <s v="High"/>
    <s v="Repeat"/>
    <s v="Below Avg"/>
    <s v="Profit"/>
    <n v="287"/>
  </r>
  <r>
    <n v="164"/>
    <x v="163"/>
    <n v="1007"/>
    <s v="Customer_95"/>
    <s v="Consumer"/>
    <s v="South"/>
    <s v="Electronics"/>
    <x v="3"/>
    <n v="4335"/>
    <n v="5"/>
    <n v="0.24"/>
    <n v="1958"/>
    <s v="UPI"/>
    <n v="16473"/>
    <s v="Jun"/>
    <n v="2024"/>
    <s v="Q2"/>
    <n v="0.11886116675772476"/>
    <n v="5202"/>
    <s v="High"/>
    <s v="Repeat"/>
    <s v="Above Avg"/>
    <s v="Profit"/>
    <n v="116"/>
  </r>
  <r>
    <n v="165"/>
    <x v="164"/>
    <n v="1013"/>
    <s v="Customer_127"/>
    <s v="Consumer"/>
    <s v="West"/>
    <s v="Clothing"/>
    <x v="2"/>
    <n v="4277"/>
    <n v="6"/>
    <n v="0.28999999999999998"/>
    <n v="-94"/>
    <s v="COD"/>
    <n v="18220.02"/>
    <s v="Jun"/>
    <n v="2024"/>
    <s v="Q2"/>
    <n v="-5.1591600887375532E-3"/>
    <n v="7441.98"/>
    <s v="High"/>
    <s v="Repeat"/>
    <s v="Above Avg"/>
    <s v="Loss"/>
    <n v="89"/>
  </r>
  <r>
    <n v="166"/>
    <x v="165"/>
    <n v="1044"/>
    <s v="Customer_168"/>
    <s v="Corporate"/>
    <s v="North"/>
    <s v="Electronics"/>
    <x v="1"/>
    <n v="3206"/>
    <n v="2"/>
    <n v="0.19"/>
    <n v="1742"/>
    <s v="COD"/>
    <n v="5193.72"/>
    <s v="Jun"/>
    <n v="2024"/>
    <s v="Q2"/>
    <n v="0.33540506611831211"/>
    <n v="1218.28"/>
    <s v="High"/>
    <s v="Repeat"/>
    <s v="Below Avg"/>
    <s v="Profit"/>
    <n v="319"/>
  </r>
  <r>
    <n v="167"/>
    <x v="166"/>
    <n v="1001"/>
    <s v="Customer_192"/>
    <s v="Consumer"/>
    <s v="North"/>
    <s v="Furniture"/>
    <x v="3"/>
    <n v="236"/>
    <n v="9"/>
    <n v="0.1"/>
    <n v="-188"/>
    <s v="COD"/>
    <n v="1911.6"/>
    <s v="Jun"/>
    <n v="2024"/>
    <s v="Q2"/>
    <n v="-9.8346934505126604E-2"/>
    <n v="212.4"/>
    <s v="Low"/>
    <s v="Repeat"/>
    <s v="Below Avg"/>
    <s v="Loss"/>
    <n v="436"/>
  </r>
  <r>
    <n v="168"/>
    <x v="167"/>
    <n v="1041"/>
    <s v="Customer_162"/>
    <s v="Corporate"/>
    <s v="North"/>
    <s v="Clothing"/>
    <x v="3"/>
    <n v="3837"/>
    <n v="6"/>
    <n v="0.03"/>
    <n v="-151"/>
    <s v="COD"/>
    <n v="22331.34"/>
    <s v="Jun"/>
    <n v="2024"/>
    <s v="Q2"/>
    <n v="-6.7617975455122707E-3"/>
    <n v="690.66"/>
    <s v="High"/>
    <s v="Repeat"/>
    <s v="Above Avg"/>
    <s v="Loss"/>
    <n v="64"/>
  </r>
  <r>
    <n v="169"/>
    <x v="168"/>
    <n v="1078"/>
    <s v="Customer_39"/>
    <s v="Consumer"/>
    <s v="North"/>
    <s v="Furniture"/>
    <x v="3"/>
    <n v="3951"/>
    <n v="5"/>
    <n v="0.21"/>
    <n v="1112"/>
    <s v="COD"/>
    <n v="15606.45"/>
    <s v="Jun"/>
    <n v="2024"/>
    <s v="Q2"/>
    <n v="7.1252591076125568E-2"/>
    <n v="4148.55"/>
    <s v="High"/>
    <s v="Repeat"/>
    <s v="Above Avg"/>
    <s v="Profit"/>
    <n v="134"/>
  </r>
  <r>
    <n v="170"/>
    <x v="169"/>
    <n v="1056"/>
    <s v="Customer_122"/>
    <s v="Corporate"/>
    <s v="West"/>
    <s v="Furniture"/>
    <x v="3"/>
    <n v="430"/>
    <n v="8"/>
    <n v="0.16"/>
    <n v="403"/>
    <s v="Card"/>
    <n v="2889.6"/>
    <s v="Jun"/>
    <n v="2024"/>
    <s v="Q2"/>
    <n v="0.13946566998892582"/>
    <n v="550.4"/>
    <s v="Medium"/>
    <s v="Repeat"/>
    <s v="Below Avg"/>
    <s v="Profit"/>
    <n v="396"/>
  </r>
  <r>
    <n v="171"/>
    <x v="170"/>
    <n v="1087"/>
    <s v="Customer_1"/>
    <s v="Consumer"/>
    <s v="West"/>
    <s v="Furniture"/>
    <x v="1"/>
    <n v="296"/>
    <n v="8"/>
    <n v="0.12"/>
    <n v="-8"/>
    <s v="Card"/>
    <n v="2083.84"/>
    <s v="Jun"/>
    <n v="2024"/>
    <s v="Q2"/>
    <n v="-3.8390663390663387E-3"/>
    <n v="284.15999999999997"/>
    <s v="Medium"/>
    <s v="Repeat"/>
    <s v="Below Avg"/>
    <s v="Loss"/>
    <n v="424"/>
  </r>
  <r>
    <n v="172"/>
    <x v="171"/>
    <n v="1063"/>
    <s v="Customer_123"/>
    <s v="Corporate"/>
    <s v="West"/>
    <s v="Furniture"/>
    <x v="2"/>
    <n v="1515"/>
    <n v="1"/>
    <n v="0.28000000000000003"/>
    <n v="1470"/>
    <s v="UPI"/>
    <n v="1090.8"/>
    <s v="Jun"/>
    <n v="2024"/>
    <s v="Q2"/>
    <n v="1.3476347634763477"/>
    <n v="424.20000000000005"/>
    <s v="Low"/>
    <s v="Repeat"/>
    <s v="Below Avg"/>
    <s v="Profit"/>
    <n v="477"/>
  </r>
  <r>
    <n v="173"/>
    <x v="172"/>
    <n v="1097"/>
    <s v="Customer_20"/>
    <s v="Consumer"/>
    <s v="South"/>
    <s v="Clothing"/>
    <x v="1"/>
    <n v="3396"/>
    <n v="7"/>
    <n v="0.27"/>
    <n v="1252"/>
    <s v="COD"/>
    <n v="17353.560000000001"/>
    <s v="Jun"/>
    <n v="2024"/>
    <s v="Q2"/>
    <n v="7.2146579721970583E-2"/>
    <n v="6418.4400000000005"/>
    <s v="High"/>
    <s v="Repeat"/>
    <s v="Above Avg"/>
    <s v="Profit"/>
    <n v="99"/>
  </r>
  <r>
    <n v="174"/>
    <x v="173"/>
    <n v="1003"/>
    <s v="Customer_111"/>
    <s v="Consumer"/>
    <s v="East"/>
    <s v="Electronics"/>
    <x v="0"/>
    <n v="3120"/>
    <n v="6"/>
    <n v="0.11"/>
    <n v="-429"/>
    <s v="UPI"/>
    <n v="16660.8"/>
    <s v="Jun"/>
    <n v="2024"/>
    <s v="Q2"/>
    <n v="-2.5749063670411985E-2"/>
    <n v="2059.1999999999998"/>
    <s v="High"/>
    <s v="Repeat"/>
    <s v="Above Avg"/>
    <s v="Loss"/>
    <n v="110"/>
  </r>
  <r>
    <n v="175"/>
    <x v="174"/>
    <n v="1017"/>
    <s v="Customer_153"/>
    <s v="Corporate"/>
    <s v="East"/>
    <s v="Clothing"/>
    <x v="1"/>
    <n v="3469"/>
    <n v="3"/>
    <n v="0.28000000000000003"/>
    <n v="431"/>
    <s v="UPI"/>
    <n v="7493.04"/>
    <s v="Jun"/>
    <n v="2024"/>
    <s v="Q2"/>
    <n v="5.7520045268675997E-2"/>
    <n v="2913.9600000000005"/>
    <s v="High"/>
    <s v="Repeat"/>
    <s v="Below Avg"/>
    <s v="Profit"/>
    <n v="264"/>
  </r>
  <r>
    <n v="176"/>
    <x v="175"/>
    <n v="1088"/>
    <s v="Customer_134"/>
    <s v="Corporate"/>
    <s v="East"/>
    <s v="Clothing"/>
    <x v="2"/>
    <n v="4955"/>
    <n v="1"/>
    <n v="0.13"/>
    <n v="-182"/>
    <s v="Card"/>
    <n v="4310.8500000000004"/>
    <s v="Jun"/>
    <n v="2024"/>
    <s v="Q2"/>
    <n v="-4.2219051927114136E-2"/>
    <n v="644.15"/>
    <s v="Medium"/>
    <s v="Repeat"/>
    <s v="Below Avg"/>
    <s v="Loss"/>
    <n v="341"/>
  </r>
  <r>
    <n v="177"/>
    <x v="176"/>
    <n v="1087"/>
    <s v="Customer_116"/>
    <s v="Corporate"/>
    <s v="South"/>
    <s v="Clothing"/>
    <x v="0"/>
    <n v="940"/>
    <n v="2"/>
    <n v="0.06"/>
    <n v="1960"/>
    <s v="Card"/>
    <n v="1767.19999999999"/>
    <s v="Jun"/>
    <n v="2024"/>
    <s v="Q2"/>
    <n v="1.109099139882306"/>
    <n v="112.8"/>
    <s v="Low"/>
    <s v="Repeat"/>
    <s v="Below Avg"/>
    <s v="Profit"/>
    <n v="442"/>
  </r>
  <r>
    <n v="178"/>
    <x v="177"/>
    <n v="1069"/>
    <s v="Customer_94"/>
    <s v="Consumer"/>
    <s v="West"/>
    <s v="Furniture"/>
    <x v="3"/>
    <n v="3742"/>
    <n v="1"/>
    <n v="0.19"/>
    <n v="1388"/>
    <s v="Card"/>
    <n v="3031.02"/>
    <s v="Jun"/>
    <n v="2024"/>
    <s v="Q2"/>
    <n v="0.45793165337081249"/>
    <n v="710.98"/>
    <s v="Medium"/>
    <s v="Repeat"/>
    <s v="Below Avg"/>
    <s v="Profit"/>
    <n v="390"/>
  </r>
  <r>
    <n v="179"/>
    <x v="178"/>
    <n v="1097"/>
    <s v="Customer_120"/>
    <s v="Corporate"/>
    <s v="South"/>
    <s v="Clothing"/>
    <x v="3"/>
    <n v="2769"/>
    <n v="3"/>
    <n v="0.03"/>
    <n v="-283"/>
    <s v="Card"/>
    <n v="8057.79"/>
    <s v="Jun"/>
    <n v="2024"/>
    <s v="Q2"/>
    <n v="-3.512129256284912E-2"/>
    <n v="249.20999999999998"/>
    <s v="High"/>
    <s v="Repeat"/>
    <s v="Below Avg"/>
    <s v="Loss"/>
    <n v="251"/>
  </r>
  <r>
    <n v="180"/>
    <x v="179"/>
    <n v="1050"/>
    <s v="Customer_113"/>
    <s v="Consumer"/>
    <s v="North"/>
    <s v="Furniture"/>
    <x v="3"/>
    <n v="1277"/>
    <n v="6"/>
    <n v="0.05"/>
    <n v="-393"/>
    <s v="Card"/>
    <n v="7278.9"/>
    <s v="Jun"/>
    <n v="2024"/>
    <s v="Q2"/>
    <n v="-5.3991674566211928E-2"/>
    <n v="383.1"/>
    <s v="High"/>
    <s v="Repeat"/>
    <s v="Below Avg"/>
    <s v="Loss"/>
    <n v="269"/>
  </r>
  <r>
    <n v="181"/>
    <x v="180"/>
    <n v="1002"/>
    <s v="Customer_3"/>
    <s v="Consumer"/>
    <s v="South"/>
    <s v="Furniture"/>
    <x v="0"/>
    <n v="1043"/>
    <n v="2"/>
    <n v="0.24"/>
    <n v="1350"/>
    <s v="Card"/>
    <n v="1585.36"/>
    <s v="Jun"/>
    <n v="2024"/>
    <s v="Q2"/>
    <n v="0.85154160569208259"/>
    <n v="500.64"/>
    <s v="Low"/>
    <s v="Repeat"/>
    <s v="Below Avg"/>
    <s v="Profit"/>
    <n v="454"/>
  </r>
  <r>
    <n v="182"/>
    <x v="181"/>
    <n v="1018"/>
    <s v="Customer_164"/>
    <s v="Consumer"/>
    <s v="South"/>
    <s v="Electronics"/>
    <x v="2"/>
    <n v="3546"/>
    <n v="6"/>
    <n v="0.25"/>
    <n v="1825"/>
    <s v="UPI"/>
    <n v="15957"/>
    <s v="Jun"/>
    <n v="2024"/>
    <s v="Q2"/>
    <n v="0.11436986902299931"/>
    <n v="5319"/>
    <s v="High"/>
    <s v="Repeat"/>
    <s v="Above Avg"/>
    <s v="Profit"/>
    <n v="129"/>
  </r>
  <r>
    <n v="183"/>
    <x v="182"/>
    <n v="1046"/>
    <s v="Customer_70"/>
    <s v="Corporate"/>
    <s v="South"/>
    <s v="Furniture"/>
    <x v="0"/>
    <n v="951"/>
    <n v="8"/>
    <n v="7.0000000000000007E-2"/>
    <n v="1104"/>
    <s v="COD"/>
    <n v="7075.44"/>
    <s v="Jul"/>
    <n v="2024"/>
    <s v="Q3"/>
    <n v="0.15603269902649164"/>
    <n v="532.56000000000006"/>
    <s v="High"/>
    <s v="Repeat"/>
    <s v="Below Avg"/>
    <s v="Profit"/>
    <n v="274"/>
  </r>
  <r>
    <n v="184"/>
    <x v="183"/>
    <n v="1045"/>
    <s v="Customer_166"/>
    <s v="Corporate"/>
    <s v="North"/>
    <s v="Furniture"/>
    <x v="3"/>
    <n v="4700"/>
    <n v="3"/>
    <n v="0.22"/>
    <n v="140"/>
    <s v="COD"/>
    <n v="10998"/>
    <s v="Jul"/>
    <n v="2024"/>
    <s v="Q3"/>
    <n v="1.2729587197672304E-2"/>
    <n v="3102"/>
    <s v="High"/>
    <s v="Repeat"/>
    <s v="Above Avg"/>
    <s v="Profit"/>
    <n v="190"/>
  </r>
  <r>
    <n v="185"/>
    <x v="184"/>
    <n v="1057"/>
    <s v="Customer_65"/>
    <s v="Consumer"/>
    <s v="East"/>
    <s v="Electronics"/>
    <x v="3"/>
    <n v="1851"/>
    <n v="3"/>
    <n v="0.28999999999999998"/>
    <n v="589"/>
    <s v="Card"/>
    <n v="3942.6299999999901"/>
    <s v="Jul"/>
    <n v="2024"/>
    <s v="Q3"/>
    <n v="0.14939266428754447"/>
    <n v="1610.37"/>
    <s v="Medium"/>
    <s v="Repeat"/>
    <s v="Below Avg"/>
    <s v="Profit"/>
    <n v="356"/>
  </r>
  <r>
    <n v="186"/>
    <x v="185"/>
    <n v="1035"/>
    <s v="Customer_83"/>
    <s v="Corporate"/>
    <s v="East"/>
    <s v="Furniture"/>
    <x v="3"/>
    <n v="1945"/>
    <n v="1"/>
    <n v="0.28999999999999998"/>
    <n v="7"/>
    <s v="Card"/>
    <n v="1380.94999999999"/>
    <s v="Jul"/>
    <n v="2024"/>
    <s v="Q3"/>
    <n v="5.068974256852204E-3"/>
    <n v="564.04999999999995"/>
    <s v="Low"/>
    <s v="Repeat"/>
    <s v="Below Avg"/>
    <s v="Profit"/>
    <n v="462"/>
  </r>
  <r>
    <n v="187"/>
    <x v="186"/>
    <n v="1018"/>
    <s v="Customer_38"/>
    <s v="Corporate"/>
    <s v="North"/>
    <s v="Clothing"/>
    <x v="0"/>
    <n v="4924"/>
    <n v="3"/>
    <n v="0.13"/>
    <n v="1357"/>
    <s v="UPI"/>
    <n v="12851.64"/>
    <s v="Jul"/>
    <n v="2024"/>
    <s v="Q3"/>
    <n v="0.1055896368089987"/>
    <n v="1920.3600000000001"/>
    <s v="High"/>
    <s v="Repeat"/>
    <s v="Above Avg"/>
    <s v="Profit"/>
    <n v="160"/>
  </r>
  <r>
    <n v="188"/>
    <x v="187"/>
    <n v="1091"/>
    <s v="Customer_28"/>
    <s v="Corporate"/>
    <s v="East"/>
    <s v="Furniture"/>
    <x v="0"/>
    <n v="1821"/>
    <n v="7"/>
    <n v="0.26"/>
    <n v="-309"/>
    <s v="Card"/>
    <n v="9432.7800000000007"/>
    <s v="Jul"/>
    <n v="2024"/>
    <s v="Q3"/>
    <n v="-3.2758105245749396E-2"/>
    <n v="3314.2200000000003"/>
    <s v="High"/>
    <s v="Repeat"/>
    <s v="Below Avg"/>
    <s v="Loss"/>
    <n v="220"/>
  </r>
  <r>
    <n v="189"/>
    <x v="188"/>
    <n v="1046"/>
    <s v="Customer_175"/>
    <s v="Corporate"/>
    <s v="East"/>
    <s v="Clothing"/>
    <x v="2"/>
    <n v="1873"/>
    <n v="9"/>
    <n v="0.17"/>
    <n v="-234"/>
    <s v="UPI"/>
    <n v="13991.31"/>
    <s v="Jul"/>
    <n v="2024"/>
    <s v="Q3"/>
    <n v="-1.672466695398787E-2"/>
    <n v="2865.69"/>
    <s v="High"/>
    <s v="Repeat"/>
    <s v="Above Avg"/>
    <s v="Loss"/>
    <n v="147"/>
  </r>
  <r>
    <n v="190"/>
    <x v="189"/>
    <n v="1054"/>
    <s v="Customer_47"/>
    <s v="Consumer"/>
    <s v="West"/>
    <s v="Furniture"/>
    <x v="3"/>
    <n v="750"/>
    <n v="8"/>
    <n v="0.17"/>
    <n v="-108"/>
    <s v="Card"/>
    <n v="4980"/>
    <s v="Jul"/>
    <n v="2024"/>
    <s v="Q3"/>
    <n v="-2.1686746987951807E-2"/>
    <n v="1020.0000000000001"/>
    <s v="Medium"/>
    <s v="Repeat"/>
    <s v="Below Avg"/>
    <s v="Loss"/>
    <n v="324"/>
  </r>
  <r>
    <n v="191"/>
    <x v="190"/>
    <n v="1073"/>
    <s v="Customer_10"/>
    <s v="Consumer"/>
    <s v="East"/>
    <s v="Furniture"/>
    <x v="0"/>
    <n v="1461"/>
    <n v="3"/>
    <n v="7.0000000000000007E-2"/>
    <n v="-371"/>
    <s v="COD"/>
    <n v="4076.1899999999901"/>
    <s v="Jul"/>
    <n v="2024"/>
    <s v="Q3"/>
    <n v="-9.1016365772940144E-2"/>
    <n v="306.81"/>
    <s v="Medium"/>
    <s v="Repeat"/>
    <s v="Below Avg"/>
    <s v="Loss"/>
    <n v="351"/>
  </r>
  <r>
    <n v="192"/>
    <x v="191"/>
    <n v="1081"/>
    <s v="Customer_88"/>
    <s v="Corporate"/>
    <s v="South"/>
    <s v="Clothing"/>
    <x v="0"/>
    <n v="3609"/>
    <n v="5"/>
    <n v="0.12"/>
    <n v="514"/>
    <s v="COD"/>
    <n v="15879.6"/>
    <s v="Jul"/>
    <n v="2024"/>
    <s v="Q3"/>
    <n v="3.2368573515705684E-2"/>
    <n v="2165.4"/>
    <s v="High"/>
    <s v="Repeat"/>
    <s v="Above Avg"/>
    <s v="Profit"/>
    <n v="131"/>
  </r>
  <r>
    <n v="193"/>
    <x v="192"/>
    <n v="1062"/>
    <s v="Customer_133"/>
    <s v="Corporate"/>
    <s v="South"/>
    <s v="Electronics"/>
    <x v="1"/>
    <n v="1568"/>
    <n v="1"/>
    <n v="0.06"/>
    <n v="1807"/>
    <s v="UPI"/>
    <n v="1473.9199999999901"/>
    <s v="Jul"/>
    <n v="2024"/>
    <s v="Q3"/>
    <n v="1.225982414242301"/>
    <n v="94.08"/>
    <s v="Low"/>
    <s v="Repeat"/>
    <s v="Below Avg"/>
    <s v="Profit"/>
    <n v="459"/>
  </r>
  <r>
    <n v="194"/>
    <x v="193"/>
    <n v="1067"/>
    <s v="Customer_141"/>
    <s v="Consumer"/>
    <s v="West"/>
    <s v="Furniture"/>
    <x v="3"/>
    <n v="584"/>
    <n v="1"/>
    <n v="0.22"/>
    <n v="858"/>
    <s v="Card"/>
    <n v="455.52"/>
    <s v="Jul"/>
    <n v="2024"/>
    <s v="Q3"/>
    <n v="1.8835616438356164"/>
    <n v="128.47999999999999"/>
    <s v="Low"/>
    <s v="Repeat"/>
    <s v="Below Avg"/>
    <s v="Profit"/>
    <n v="494"/>
  </r>
  <r>
    <n v="195"/>
    <x v="194"/>
    <n v="1011"/>
    <s v="Customer_86"/>
    <s v="Corporate"/>
    <s v="South"/>
    <s v="Furniture"/>
    <x v="3"/>
    <n v="851"/>
    <n v="9"/>
    <n v="0.19"/>
    <n v="1126"/>
    <s v="Card"/>
    <n v="6203.79"/>
    <s v="Jul"/>
    <n v="2024"/>
    <s v="Q3"/>
    <n v="0.18150195283850679"/>
    <n v="1455.21"/>
    <s v="High"/>
    <s v="Repeat"/>
    <s v="Below Avg"/>
    <s v="Profit"/>
    <n v="292"/>
  </r>
  <r>
    <n v="196"/>
    <x v="195"/>
    <n v="1026"/>
    <s v="Customer_34"/>
    <s v="Corporate"/>
    <s v="West"/>
    <s v="Electronics"/>
    <x v="0"/>
    <n v="209"/>
    <n v="7"/>
    <n v="0.24"/>
    <n v="-125"/>
    <s v="UPI"/>
    <n v="1111.8800000000001"/>
    <s v="Jul"/>
    <n v="2024"/>
    <s v="Q3"/>
    <n v="-0.11242220383494621"/>
    <n v="351.12"/>
    <s v="Low"/>
    <s v="Repeat"/>
    <s v="Below Avg"/>
    <s v="Loss"/>
    <n v="476"/>
  </r>
  <r>
    <n v="197"/>
    <x v="196"/>
    <n v="1092"/>
    <s v="Customer_153"/>
    <s v="Corporate"/>
    <s v="South"/>
    <s v="Electronics"/>
    <x v="1"/>
    <n v="2452"/>
    <n v="4"/>
    <n v="0.19"/>
    <n v="1641"/>
    <s v="Card"/>
    <n v="7944.48"/>
    <s v="Jul"/>
    <n v="2024"/>
    <s v="Q3"/>
    <n v="0.20655851610174614"/>
    <n v="1863.52"/>
    <s v="High"/>
    <s v="Repeat"/>
    <s v="Below Avg"/>
    <s v="Profit"/>
    <n v="254"/>
  </r>
  <r>
    <n v="198"/>
    <x v="197"/>
    <n v="1075"/>
    <s v="Customer_151"/>
    <s v="Consumer"/>
    <s v="East"/>
    <s v="Electronics"/>
    <x v="3"/>
    <n v="4378"/>
    <n v="4"/>
    <n v="0.08"/>
    <n v="-266"/>
    <s v="COD"/>
    <n v="16111.04"/>
    <s v="Jul"/>
    <n v="2024"/>
    <s v="Q3"/>
    <n v="-1.6510417701153992E-2"/>
    <n v="1400.96"/>
    <s v="High"/>
    <s v="Repeat"/>
    <s v="Above Avg"/>
    <s v="Loss"/>
    <n v="125"/>
  </r>
  <r>
    <n v="199"/>
    <x v="198"/>
    <n v="1010"/>
    <s v="Customer_112"/>
    <s v="Corporate"/>
    <s v="South"/>
    <s v="Furniture"/>
    <x v="3"/>
    <n v="3624"/>
    <n v="3"/>
    <n v="0.28999999999999998"/>
    <n v="-429"/>
    <s v="COD"/>
    <n v="7719.12"/>
    <s v="Jul"/>
    <n v="2024"/>
    <s v="Q3"/>
    <n v="-5.557628330690545E-2"/>
    <n v="3152.8799999999997"/>
    <s v="High"/>
    <s v="Repeat"/>
    <s v="Below Avg"/>
    <s v="Loss"/>
    <n v="259"/>
  </r>
  <r>
    <n v="200"/>
    <x v="199"/>
    <n v="1003"/>
    <s v="Customer_85"/>
    <s v="Corporate"/>
    <s v="South"/>
    <s v="Clothing"/>
    <x v="3"/>
    <n v="1158"/>
    <n v="5"/>
    <n v="0.2"/>
    <n v="1597"/>
    <s v="COD"/>
    <n v="4632"/>
    <s v="Jul"/>
    <n v="2024"/>
    <s v="Q3"/>
    <n v="0.34477547495682209"/>
    <n v="1158"/>
    <s v="Medium"/>
    <s v="Repeat"/>
    <s v="Below Avg"/>
    <s v="Profit"/>
    <n v="335"/>
  </r>
  <r>
    <n v="201"/>
    <x v="200"/>
    <n v="1045"/>
    <s v="Customer_3"/>
    <s v="Corporate"/>
    <s v="West"/>
    <s v="Furniture"/>
    <x v="0"/>
    <n v="300"/>
    <n v="8"/>
    <n v="0.14000000000000001"/>
    <n v="1580"/>
    <s v="UPI"/>
    <n v="2064"/>
    <s v="Jul"/>
    <n v="2024"/>
    <s v="Q3"/>
    <n v="0.76550387596899228"/>
    <n v="336.00000000000006"/>
    <s v="Medium"/>
    <s v="Repeat"/>
    <s v="Below Avg"/>
    <s v="Profit"/>
    <n v="425"/>
  </r>
  <r>
    <n v="202"/>
    <x v="201"/>
    <n v="1058"/>
    <s v="Customer_8"/>
    <s v="Consumer"/>
    <s v="West"/>
    <s v="Clothing"/>
    <x v="0"/>
    <n v="4590"/>
    <n v="3"/>
    <n v="0.23"/>
    <n v="458"/>
    <s v="Card"/>
    <n v="10602.9"/>
    <s v="Jul"/>
    <n v="2024"/>
    <s v="Q3"/>
    <n v="4.3195729470239273E-2"/>
    <n v="3167.1000000000004"/>
    <s v="High"/>
    <s v="Repeat"/>
    <s v="Below Avg"/>
    <s v="Profit"/>
    <n v="195"/>
  </r>
  <r>
    <n v="203"/>
    <x v="202"/>
    <n v="1059"/>
    <s v="Customer_174"/>
    <s v="Consumer"/>
    <s v="West"/>
    <s v="Electronics"/>
    <x v="2"/>
    <n v="3815"/>
    <n v="6"/>
    <n v="0.08"/>
    <n v="971"/>
    <s v="Card"/>
    <n v="21058.799999999999"/>
    <s v="Jul"/>
    <n v="2024"/>
    <s v="Q3"/>
    <n v="4.6108990065910689E-2"/>
    <n v="1831.2"/>
    <s v="High"/>
    <s v="Repeat"/>
    <s v="Above Avg"/>
    <s v="Profit"/>
    <n v="76"/>
  </r>
  <r>
    <n v="204"/>
    <x v="203"/>
    <n v="1023"/>
    <s v="Customer_190"/>
    <s v="Consumer"/>
    <s v="North"/>
    <s v="Furniture"/>
    <x v="2"/>
    <n v="1315"/>
    <n v="4"/>
    <n v="0.24"/>
    <n v="-35"/>
    <s v="COD"/>
    <n v="3997.6"/>
    <s v="Jul"/>
    <n v="2024"/>
    <s v="Q3"/>
    <n v="-8.7552531518911344E-3"/>
    <n v="1262.3999999999999"/>
    <s v="Medium"/>
    <s v="Repeat"/>
    <s v="Below Avg"/>
    <s v="Loss"/>
    <n v="353"/>
  </r>
  <r>
    <n v="205"/>
    <x v="204"/>
    <n v="1025"/>
    <s v="Customer_167"/>
    <s v="Consumer"/>
    <s v="East"/>
    <s v="Furniture"/>
    <x v="3"/>
    <n v="831"/>
    <n v="3"/>
    <n v="0.1"/>
    <n v="1324"/>
    <s v="UPI"/>
    <n v="2243.6999999999998"/>
    <s v="Jul"/>
    <n v="2024"/>
    <s v="Q3"/>
    <n v="0.59009671524713647"/>
    <n v="249.3"/>
    <s v="Medium"/>
    <s v="Repeat"/>
    <s v="Below Avg"/>
    <s v="Profit"/>
    <n v="417"/>
  </r>
  <r>
    <n v="206"/>
    <x v="205"/>
    <n v="1027"/>
    <s v="Customer_51"/>
    <s v="Consumer"/>
    <s v="North"/>
    <s v="Furniture"/>
    <x v="1"/>
    <n v="473"/>
    <n v="1"/>
    <n v="0.02"/>
    <n v="-233"/>
    <s v="UPI"/>
    <n v="463.539999999999"/>
    <s v="Jul"/>
    <n v="2024"/>
    <s v="Q3"/>
    <n v="-0.50265349268671633"/>
    <n v="9.4600000000000009"/>
    <s v="Low"/>
    <s v="Repeat"/>
    <s v="Below Avg"/>
    <s v="Loss"/>
    <n v="493"/>
  </r>
  <r>
    <n v="207"/>
    <x v="206"/>
    <n v="1057"/>
    <s v="Customer_22"/>
    <s v="Consumer"/>
    <s v="South"/>
    <s v="Furniture"/>
    <x v="3"/>
    <n v="3249"/>
    <n v="8"/>
    <n v="0.23"/>
    <n v="1197"/>
    <s v="UPI"/>
    <n v="20013.84"/>
    <s v="Jul"/>
    <n v="2024"/>
    <s v="Q3"/>
    <n v="5.9808612440191387E-2"/>
    <n v="5978.16"/>
    <s v="High"/>
    <s v="Repeat"/>
    <s v="Above Avg"/>
    <s v="Profit"/>
    <n v="80"/>
  </r>
  <r>
    <n v="208"/>
    <x v="207"/>
    <n v="1003"/>
    <s v="Customer_45"/>
    <s v="Corporate"/>
    <s v="South"/>
    <s v="Electronics"/>
    <x v="1"/>
    <n v="3344"/>
    <n v="7"/>
    <n v="0.06"/>
    <n v="581"/>
    <s v="COD"/>
    <n v="22003.52"/>
    <s v="Jul"/>
    <n v="2024"/>
    <s v="Q3"/>
    <n v="2.6404866130510025E-2"/>
    <n v="1404.48"/>
    <s v="High"/>
    <s v="Repeat"/>
    <s v="Above Avg"/>
    <s v="Profit"/>
    <n v="67"/>
  </r>
  <r>
    <n v="209"/>
    <x v="208"/>
    <n v="1099"/>
    <s v="Customer_151"/>
    <s v="Corporate"/>
    <s v="West"/>
    <s v="Electronics"/>
    <x v="0"/>
    <n v="4041"/>
    <n v="7"/>
    <n v="0.19"/>
    <n v="1642"/>
    <s v="UPI"/>
    <n v="22912.47"/>
    <s v="Jul"/>
    <n v="2024"/>
    <s v="Q3"/>
    <n v="7.1664032729775534E-2"/>
    <n v="5374.53"/>
    <s v="High"/>
    <s v="Repeat"/>
    <s v="Above Avg"/>
    <s v="Profit"/>
    <n v="60"/>
  </r>
  <r>
    <n v="210"/>
    <x v="209"/>
    <n v="1078"/>
    <s v="Customer_177"/>
    <s v="Consumer"/>
    <s v="West"/>
    <s v="Electronics"/>
    <x v="2"/>
    <n v="4048"/>
    <n v="8"/>
    <n v="0.08"/>
    <n v="-375"/>
    <s v="COD"/>
    <n v="29793.279999999999"/>
    <s v="Jul"/>
    <n v="2024"/>
    <s v="Q3"/>
    <n v="-1.2586730967520193E-2"/>
    <n v="2590.7200000000003"/>
    <s v="High"/>
    <s v="Repeat"/>
    <s v="Above Avg"/>
    <s v="Loss"/>
    <n v="24"/>
  </r>
  <r>
    <n v="211"/>
    <x v="210"/>
    <n v="1085"/>
    <s v="Customer_80"/>
    <s v="Consumer"/>
    <s v="South"/>
    <s v="Furniture"/>
    <x v="0"/>
    <n v="745"/>
    <n v="9"/>
    <n v="0.21"/>
    <n v="515"/>
    <s v="Card"/>
    <n v="5296.95"/>
    <s v="Jul"/>
    <n v="2024"/>
    <s v="Q3"/>
    <n v="9.7225761995110391E-2"/>
    <n v="1408.05"/>
    <s v="High"/>
    <s v="Repeat"/>
    <s v="Below Avg"/>
    <s v="Profit"/>
    <n v="316"/>
  </r>
  <r>
    <n v="212"/>
    <x v="211"/>
    <n v="1059"/>
    <s v="Customer_124"/>
    <s v="Consumer"/>
    <s v="North"/>
    <s v="Furniture"/>
    <x v="1"/>
    <n v="3695"/>
    <n v="3"/>
    <n v="0.04"/>
    <n v="333"/>
    <s v="Card"/>
    <n v="10641.6"/>
    <s v="Jul"/>
    <n v="2024"/>
    <s v="Q3"/>
    <n v="3.1292286874154258E-2"/>
    <n v="443.40000000000003"/>
    <s v="High"/>
    <s v="Repeat"/>
    <s v="Above Avg"/>
    <s v="Profit"/>
    <n v="194"/>
  </r>
  <r>
    <n v="213"/>
    <x v="212"/>
    <n v="1048"/>
    <s v="Customer_179"/>
    <s v="Corporate"/>
    <s v="West"/>
    <s v="Clothing"/>
    <x v="1"/>
    <n v="4178"/>
    <n v="2"/>
    <n v="0.19"/>
    <n v="1860"/>
    <s v="Card"/>
    <n v="6768.36"/>
    <s v="Jul"/>
    <n v="2024"/>
    <s v="Q3"/>
    <n v="0.27480807758452563"/>
    <n v="1587.64"/>
    <s v="High"/>
    <s v="Repeat"/>
    <s v="Below Avg"/>
    <s v="Profit"/>
    <n v="280"/>
  </r>
  <r>
    <n v="214"/>
    <x v="213"/>
    <n v="1056"/>
    <s v="Customer_28"/>
    <s v="Consumer"/>
    <s v="West"/>
    <s v="Clothing"/>
    <x v="2"/>
    <n v="2035"/>
    <n v="4"/>
    <n v="0.06"/>
    <n v="1215"/>
    <s v="UPI"/>
    <n v="7651.5999999999904"/>
    <s v="Aug"/>
    <n v="2024"/>
    <s v="Q3"/>
    <n v="0.15879031836478666"/>
    <n v="488.4"/>
    <s v="High"/>
    <s v="Repeat"/>
    <s v="Below Avg"/>
    <s v="Profit"/>
    <n v="262"/>
  </r>
  <r>
    <n v="215"/>
    <x v="214"/>
    <n v="1087"/>
    <s v="Customer_99"/>
    <s v="Consumer"/>
    <s v="South"/>
    <s v="Clothing"/>
    <x v="0"/>
    <n v="2833"/>
    <n v="4"/>
    <n v="0.15"/>
    <n v="-499"/>
    <s v="COD"/>
    <n v="9632.1999999999898"/>
    <s v="Aug"/>
    <n v="2024"/>
    <s v="Q3"/>
    <n v="-5.1805402711737766E-2"/>
    <n v="1699.8"/>
    <s v="High"/>
    <s v="Repeat"/>
    <s v="Below Avg"/>
    <s v="Loss"/>
    <n v="211"/>
  </r>
  <r>
    <n v="216"/>
    <x v="215"/>
    <n v="1087"/>
    <s v="Customer_106"/>
    <s v="Consumer"/>
    <s v="East"/>
    <s v="Furniture"/>
    <x v="3"/>
    <n v="2661"/>
    <n v="8"/>
    <n v="0.26"/>
    <n v="-152"/>
    <s v="COD"/>
    <n v="15753.119999999901"/>
    <s v="Aug"/>
    <n v="2024"/>
    <s v="Q3"/>
    <n v="-9.6488822531664176E-3"/>
    <n v="5534.88"/>
    <s v="High"/>
    <s v="Repeat"/>
    <s v="Above Avg"/>
    <s v="Loss"/>
    <n v="133"/>
  </r>
  <r>
    <n v="217"/>
    <x v="216"/>
    <n v="1004"/>
    <s v="Customer_29"/>
    <s v="Consumer"/>
    <s v="West"/>
    <s v="Furniture"/>
    <x v="0"/>
    <n v="2152"/>
    <n v="8"/>
    <n v="0.14000000000000001"/>
    <n v="925"/>
    <s v="COD"/>
    <n v="14805.76"/>
    <s v="Aug"/>
    <n v="2024"/>
    <s v="Q3"/>
    <n v="6.2475685138756808E-2"/>
    <n v="2410.2400000000002"/>
    <s v="High"/>
    <s v="Repeat"/>
    <s v="Above Avg"/>
    <s v="Profit"/>
    <n v="142"/>
  </r>
  <r>
    <n v="218"/>
    <x v="217"/>
    <n v="1069"/>
    <s v="Customer_187"/>
    <s v="Consumer"/>
    <s v="North"/>
    <s v="Clothing"/>
    <x v="1"/>
    <n v="2039"/>
    <n v="7"/>
    <n v="0.23"/>
    <n v="-462"/>
    <s v="UPI"/>
    <n v="10990.21"/>
    <s v="Aug"/>
    <n v="2024"/>
    <s v="Q3"/>
    <n v="-4.2037413297835079E-2"/>
    <n v="3282.79"/>
    <s v="High"/>
    <s v="Repeat"/>
    <s v="Above Avg"/>
    <s v="Loss"/>
    <n v="192"/>
  </r>
  <r>
    <n v="219"/>
    <x v="218"/>
    <n v="1056"/>
    <s v="Customer_102"/>
    <s v="Consumer"/>
    <s v="East"/>
    <s v="Clothing"/>
    <x v="0"/>
    <n v="802"/>
    <n v="5"/>
    <n v="0.04"/>
    <n v="1193"/>
    <s v="COD"/>
    <n v="3849.6"/>
    <s v="Aug"/>
    <n v="2024"/>
    <s v="Q3"/>
    <n v="0.30990232751454699"/>
    <n v="160.4"/>
    <s v="Medium"/>
    <s v="Repeat"/>
    <s v="Below Avg"/>
    <s v="Profit"/>
    <n v="361"/>
  </r>
  <r>
    <n v="220"/>
    <x v="219"/>
    <n v="1060"/>
    <s v="Customer_198"/>
    <s v="Corporate"/>
    <s v="South"/>
    <s v="Clothing"/>
    <x v="2"/>
    <n v="2899"/>
    <n v="1"/>
    <n v="0.2"/>
    <n v="569"/>
    <s v="COD"/>
    <n v="2319.1999999999998"/>
    <s v="Aug"/>
    <n v="2024"/>
    <s v="Q3"/>
    <n v="0.24534322180062093"/>
    <n v="579.80000000000007"/>
    <s v="Medium"/>
    <s v="Repeat"/>
    <s v="Below Avg"/>
    <s v="Profit"/>
    <n v="415"/>
  </r>
  <r>
    <n v="221"/>
    <x v="220"/>
    <n v="1009"/>
    <s v="Customer_78"/>
    <s v="Corporate"/>
    <s v="West"/>
    <s v="Electronics"/>
    <x v="0"/>
    <n v="607"/>
    <n v="6"/>
    <n v="0.05"/>
    <n v="1509"/>
    <s v="Card"/>
    <n v="3459.8999999999901"/>
    <s v="Aug"/>
    <n v="2024"/>
    <s v="Q3"/>
    <n v="0.43613977282580546"/>
    <n v="182.10000000000002"/>
    <s v="Medium"/>
    <s v="Repeat"/>
    <s v="Below Avg"/>
    <s v="Profit"/>
    <n v="378"/>
  </r>
  <r>
    <n v="222"/>
    <x v="221"/>
    <n v="1066"/>
    <s v="Customer_156"/>
    <s v="Corporate"/>
    <s v="East"/>
    <s v="Clothing"/>
    <x v="0"/>
    <n v="1523"/>
    <n v="1"/>
    <n v="0.23"/>
    <n v="1244"/>
    <s v="COD"/>
    <n v="1172.71"/>
    <s v="Aug"/>
    <n v="2024"/>
    <s v="Q3"/>
    <n v="1.0607908178492551"/>
    <n v="350.29"/>
    <s v="Low"/>
    <s v="Repeat"/>
    <s v="Below Avg"/>
    <s v="Profit"/>
    <n v="471"/>
  </r>
  <r>
    <n v="223"/>
    <x v="222"/>
    <n v="1033"/>
    <s v="Customer_110"/>
    <s v="Corporate"/>
    <s v="South"/>
    <s v="Furniture"/>
    <x v="1"/>
    <n v="2167"/>
    <n v="2"/>
    <n v="0.21"/>
    <n v="1682"/>
    <s v="Card"/>
    <n v="3423.86"/>
    <s v="Aug"/>
    <n v="2024"/>
    <s v="Q3"/>
    <n v="0.49125840425718337"/>
    <n v="910.14"/>
    <s v="Medium"/>
    <s v="New"/>
    <s v="Below Avg"/>
    <s v="Profit"/>
    <n v="379"/>
  </r>
  <r>
    <n v="224"/>
    <x v="223"/>
    <n v="1069"/>
    <s v="Customer_175"/>
    <s v="Corporate"/>
    <s v="North"/>
    <s v="Furniture"/>
    <x v="3"/>
    <n v="4265"/>
    <n v="6"/>
    <n v="0.12"/>
    <n v="490"/>
    <s v="COD"/>
    <n v="22519.200000000001"/>
    <s v="Aug"/>
    <n v="2024"/>
    <s v="Q3"/>
    <n v="2.1759209918647198E-2"/>
    <n v="3070.7999999999997"/>
    <s v="High"/>
    <s v="Repeat"/>
    <s v="Above Avg"/>
    <s v="Profit"/>
    <n v="63"/>
  </r>
  <r>
    <n v="225"/>
    <x v="224"/>
    <n v="1009"/>
    <s v="Customer_4"/>
    <s v="Consumer"/>
    <s v="West"/>
    <s v="Clothing"/>
    <x v="3"/>
    <n v="851"/>
    <n v="1"/>
    <n v="0.14000000000000001"/>
    <n v="1419"/>
    <s v="UPI"/>
    <n v="731.86"/>
    <s v="Aug"/>
    <n v="2024"/>
    <s v="Q3"/>
    <n v="1.9388954171562867"/>
    <n v="119.14000000000001"/>
    <s v="Low"/>
    <s v="Repeat"/>
    <s v="Below Avg"/>
    <s v="Profit"/>
    <n v="484"/>
  </r>
  <r>
    <n v="226"/>
    <x v="225"/>
    <n v="1079"/>
    <s v="Customer_130"/>
    <s v="Corporate"/>
    <s v="South"/>
    <s v="Furniture"/>
    <x v="2"/>
    <n v="2116"/>
    <n v="6"/>
    <n v="0.05"/>
    <n v="1516"/>
    <s v="UPI"/>
    <n v="12061.199999999901"/>
    <s v="Aug"/>
    <n v="2024"/>
    <s v="Q3"/>
    <n v="0.12569230259012473"/>
    <n v="634.80000000000007"/>
    <s v="High"/>
    <s v="Repeat"/>
    <s v="Above Avg"/>
    <s v="Profit"/>
    <n v="167"/>
  </r>
  <r>
    <n v="227"/>
    <x v="226"/>
    <n v="1028"/>
    <s v="Customer_110"/>
    <s v="Consumer"/>
    <s v="West"/>
    <s v="Furniture"/>
    <x v="2"/>
    <n v="648"/>
    <n v="9"/>
    <n v="0.19"/>
    <n v="730"/>
    <s v="Card"/>
    <n v="4723.92"/>
    <s v="Aug"/>
    <n v="2024"/>
    <s v="Q3"/>
    <n v="0.15453267625192638"/>
    <n v="1108.08"/>
    <s v="Medium"/>
    <s v="Repeat"/>
    <s v="Below Avg"/>
    <s v="Profit"/>
    <n v="331"/>
  </r>
  <r>
    <n v="228"/>
    <x v="227"/>
    <n v="1066"/>
    <s v="Customer_64"/>
    <s v="Consumer"/>
    <s v="West"/>
    <s v="Furniture"/>
    <x v="0"/>
    <n v="2655"/>
    <n v="6"/>
    <n v="0.27"/>
    <n v="1403"/>
    <s v="COD"/>
    <n v="11628.9"/>
    <s v="Aug"/>
    <n v="2024"/>
    <s v="Q3"/>
    <n v="0.12064769668670296"/>
    <n v="4301.1000000000004"/>
    <s v="High"/>
    <s v="Repeat"/>
    <s v="Above Avg"/>
    <s v="Profit"/>
    <n v="179"/>
  </r>
  <r>
    <n v="229"/>
    <x v="228"/>
    <n v="1010"/>
    <s v="Customer_29"/>
    <s v="Consumer"/>
    <s v="North"/>
    <s v="Clothing"/>
    <x v="3"/>
    <n v="738"/>
    <n v="1"/>
    <n v="0.17"/>
    <n v="1581"/>
    <s v="UPI"/>
    <n v="612.54"/>
    <s v="Aug"/>
    <n v="2024"/>
    <s v="Q3"/>
    <n v="2.5810559310412384"/>
    <n v="125.46000000000001"/>
    <s v="Low"/>
    <s v="Repeat"/>
    <s v="Below Avg"/>
    <s v="Profit"/>
    <n v="486"/>
  </r>
  <r>
    <n v="230"/>
    <x v="229"/>
    <n v="1003"/>
    <s v="Customer_89"/>
    <s v="Consumer"/>
    <s v="East"/>
    <s v="Furniture"/>
    <x v="2"/>
    <n v="1820"/>
    <n v="9"/>
    <n v="0.09"/>
    <n v="631"/>
    <s v="UPI"/>
    <n v="14905.8"/>
    <s v="Aug"/>
    <n v="2024"/>
    <s v="Q3"/>
    <n v="4.2332514859987389E-2"/>
    <n v="1474.2"/>
    <s v="High"/>
    <s v="Repeat"/>
    <s v="Above Avg"/>
    <s v="Profit"/>
    <n v="141"/>
  </r>
  <r>
    <n v="231"/>
    <x v="230"/>
    <n v="1048"/>
    <s v="Customer_95"/>
    <s v="Consumer"/>
    <s v="North"/>
    <s v="Electronics"/>
    <x v="3"/>
    <n v="3916"/>
    <n v="7"/>
    <n v="0.12"/>
    <n v="1533"/>
    <s v="UPI"/>
    <n v="24122.560000000001"/>
    <s v="Aug"/>
    <n v="2024"/>
    <s v="Q3"/>
    <n v="6.3550468938620111E-2"/>
    <n v="3289.44"/>
    <s v="High"/>
    <s v="Repeat"/>
    <s v="Above Avg"/>
    <s v="Profit"/>
    <n v="51"/>
  </r>
  <r>
    <n v="232"/>
    <x v="231"/>
    <n v="1003"/>
    <s v="Customer_175"/>
    <s v="Consumer"/>
    <s v="West"/>
    <s v="Clothing"/>
    <x v="1"/>
    <n v="3888"/>
    <n v="5"/>
    <n v="7.0000000000000007E-2"/>
    <n v="1032"/>
    <s v="Card"/>
    <n v="18079.199999999899"/>
    <s v="Aug"/>
    <n v="2024"/>
    <s v="Q3"/>
    <n v="5.7082171777512597E-2"/>
    <n v="1360.8000000000002"/>
    <s v="High"/>
    <s v="Repeat"/>
    <s v="Above Avg"/>
    <s v="Profit"/>
    <n v="91"/>
  </r>
  <r>
    <n v="233"/>
    <x v="232"/>
    <n v="1023"/>
    <s v="Customer_15"/>
    <s v="Consumer"/>
    <s v="North"/>
    <s v="Clothing"/>
    <x v="2"/>
    <n v="1813"/>
    <n v="7"/>
    <n v="0.13"/>
    <n v="937"/>
    <s v="COD"/>
    <n v="11041.17"/>
    <s v="Aug"/>
    <n v="2024"/>
    <s v="Q3"/>
    <n v="8.4864194646038421E-2"/>
    <n v="1649.8300000000002"/>
    <s v="High"/>
    <s v="Repeat"/>
    <s v="Above Avg"/>
    <s v="Profit"/>
    <n v="189"/>
  </r>
  <r>
    <n v="234"/>
    <x v="233"/>
    <n v="1091"/>
    <s v="Customer_166"/>
    <s v="Corporate"/>
    <s v="West"/>
    <s v="Furniture"/>
    <x v="3"/>
    <n v="4283"/>
    <n v="6"/>
    <n v="0.15"/>
    <n v="436"/>
    <s v="COD"/>
    <n v="21843.3"/>
    <s v="Aug"/>
    <n v="2024"/>
    <s v="Q3"/>
    <n v="1.9960353975818673E-2"/>
    <n v="3854.7"/>
    <s v="High"/>
    <s v="Repeat"/>
    <s v="Above Avg"/>
    <s v="Profit"/>
    <n v="68"/>
  </r>
  <r>
    <n v="235"/>
    <x v="234"/>
    <n v="1055"/>
    <s v="Customer_97"/>
    <s v="Corporate"/>
    <s v="North"/>
    <s v="Clothing"/>
    <x v="3"/>
    <n v="4730"/>
    <n v="8"/>
    <n v="0.28000000000000003"/>
    <n v="1356"/>
    <s v="Card"/>
    <n v="27244.799999999999"/>
    <s v="Aug"/>
    <n v="2024"/>
    <s v="Q3"/>
    <n v="4.9770965468639891E-2"/>
    <n v="10595.2"/>
    <s v="High"/>
    <s v="Repeat"/>
    <s v="Above Avg"/>
    <s v="Profit"/>
    <n v="34"/>
  </r>
  <r>
    <n v="236"/>
    <x v="235"/>
    <n v="1034"/>
    <s v="Customer_177"/>
    <s v="Consumer"/>
    <s v="West"/>
    <s v="Furniture"/>
    <x v="3"/>
    <n v="4044"/>
    <n v="8"/>
    <n v="0.13"/>
    <n v="-288"/>
    <s v="UPI"/>
    <n v="28146.240000000002"/>
    <s v="Aug"/>
    <n v="2024"/>
    <s v="Q3"/>
    <n v="-1.0232272587741736E-2"/>
    <n v="4205.76"/>
    <s v="High"/>
    <s v="Repeat"/>
    <s v="Above Avg"/>
    <s v="Loss"/>
    <n v="29"/>
  </r>
  <r>
    <n v="237"/>
    <x v="236"/>
    <n v="1037"/>
    <s v="Customer_40"/>
    <s v="Corporate"/>
    <s v="North"/>
    <s v="Electronics"/>
    <x v="1"/>
    <n v="1901"/>
    <n v="8"/>
    <n v="0.26"/>
    <n v="1933"/>
    <s v="UPI"/>
    <n v="11253.92"/>
    <s v="Aug"/>
    <n v="2024"/>
    <s v="Q3"/>
    <n v="0.17176237257773291"/>
    <n v="3954.08"/>
    <s v="High"/>
    <s v="Repeat"/>
    <s v="Above Avg"/>
    <s v="Profit"/>
    <n v="186"/>
  </r>
  <r>
    <n v="238"/>
    <x v="237"/>
    <n v="1049"/>
    <s v="Customer_144"/>
    <s v="Consumer"/>
    <s v="South"/>
    <s v="Electronics"/>
    <x v="0"/>
    <n v="4270"/>
    <n v="6"/>
    <n v="0.05"/>
    <n v="1845"/>
    <s v="Card"/>
    <n v="24339"/>
    <s v="Aug"/>
    <n v="2024"/>
    <s v="Q3"/>
    <n v="7.5804264760261308E-2"/>
    <n v="1281"/>
    <s v="High"/>
    <s v="Repeat"/>
    <s v="Above Avg"/>
    <s v="Profit"/>
    <n v="48"/>
  </r>
  <r>
    <n v="239"/>
    <x v="238"/>
    <n v="1087"/>
    <s v="Customer_102"/>
    <s v="Corporate"/>
    <s v="North"/>
    <s v="Furniture"/>
    <x v="2"/>
    <n v="3460"/>
    <n v="2"/>
    <n v="0.16"/>
    <n v="898"/>
    <s v="UPI"/>
    <n v="5812.8"/>
    <s v="Aug"/>
    <n v="2024"/>
    <s v="Q3"/>
    <n v="0.15448665015139004"/>
    <n v="1107.2"/>
    <s v="High"/>
    <s v="Repeat"/>
    <s v="Below Avg"/>
    <s v="Profit"/>
    <n v="300"/>
  </r>
  <r>
    <n v="240"/>
    <x v="239"/>
    <n v="1085"/>
    <s v="Customer_108"/>
    <s v="Consumer"/>
    <s v="East"/>
    <s v="Furniture"/>
    <x v="3"/>
    <n v="4062"/>
    <n v="1"/>
    <n v="0.18"/>
    <n v="630"/>
    <s v="Card"/>
    <n v="3330.84"/>
    <s v="Aug"/>
    <n v="2024"/>
    <s v="Q3"/>
    <n v="0.18914147782541341"/>
    <n v="731.16"/>
    <s v="Medium"/>
    <s v="Repeat"/>
    <s v="Below Avg"/>
    <s v="Profit"/>
    <n v="385"/>
  </r>
  <r>
    <n v="241"/>
    <x v="240"/>
    <n v="1025"/>
    <s v="Customer_34"/>
    <s v="Corporate"/>
    <s v="South"/>
    <s v="Furniture"/>
    <x v="3"/>
    <n v="3312"/>
    <n v="6"/>
    <n v="0.18"/>
    <n v="1603"/>
    <s v="UPI"/>
    <n v="16295.04"/>
    <s v="Aug"/>
    <n v="2024"/>
    <s v="Q3"/>
    <n v="9.8373492792898934E-2"/>
    <n v="3576.96"/>
    <s v="High"/>
    <s v="Repeat"/>
    <s v="Above Avg"/>
    <s v="Profit"/>
    <n v="119"/>
  </r>
  <r>
    <n v="242"/>
    <x v="241"/>
    <n v="1017"/>
    <s v="Customer_127"/>
    <s v="Corporate"/>
    <s v="South"/>
    <s v="Electronics"/>
    <x v="2"/>
    <n v="2687"/>
    <n v="2"/>
    <n v="0.15"/>
    <n v="564"/>
    <s v="UPI"/>
    <n v="4567.8999999999996"/>
    <s v="Aug"/>
    <n v="2024"/>
    <s v="Q3"/>
    <n v="0.12347030364062261"/>
    <n v="806.1"/>
    <s v="Medium"/>
    <s v="Repeat"/>
    <s v="Below Avg"/>
    <s v="Profit"/>
    <n v="336"/>
  </r>
  <r>
    <n v="243"/>
    <x v="242"/>
    <n v="1058"/>
    <s v="Customer_134"/>
    <s v="Corporate"/>
    <s v="North"/>
    <s v="Furniture"/>
    <x v="2"/>
    <n v="4904"/>
    <n v="7"/>
    <n v="0.23"/>
    <n v="984"/>
    <s v="Card"/>
    <n v="26432.560000000001"/>
    <s v="Aug"/>
    <n v="2024"/>
    <s v="Q3"/>
    <n v="3.7226814201878289E-2"/>
    <n v="7895.4400000000005"/>
    <s v="High"/>
    <s v="Repeat"/>
    <s v="Above Avg"/>
    <s v="Profit"/>
    <n v="38"/>
  </r>
  <r>
    <n v="244"/>
    <x v="243"/>
    <n v="1066"/>
    <s v="Customer_103"/>
    <s v="Consumer"/>
    <s v="North"/>
    <s v="Electronics"/>
    <x v="1"/>
    <n v="1799"/>
    <n v="2"/>
    <n v="0.05"/>
    <n v="241"/>
    <s v="Card"/>
    <n v="3418.1"/>
    <s v="Aug"/>
    <n v="2024"/>
    <s v="Q3"/>
    <n v="7.0507006816652534E-2"/>
    <n v="179.9"/>
    <s v="Medium"/>
    <s v="Repeat"/>
    <s v="Below Avg"/>
    <s v="Profit"/>
    <n v="380"/>
  </r>
  <r>
    <n v="245"/>
    <x v="244"/>
    <n v="1045"/>
    <s v="Customer_87"/>
    <s v="Consumer"/>
    <s v="West"/>
    <s v="Clothing"/>
    <x v="0"/>
    <n v="247"/>
    <n v="7"/>
    <n v="0.02"/>
    <n v="452"/>
    <s v="UPI"/>
    <n v="1694.42"/>
    <s v="Sep"/>
    <n v="2024"/>
    <s v="Q3"/>
    <n v="0.26675794667201758"/>
    <n v="34.58"/>
    <s v="Low"/>
    <s v="Repeat"/>
    <s v="Below Avg"/>
    <s v="Profit"/>
    <n v="447"/>
  </r>
  <r>
    <n v="246"/>
    <x v="245"/>
    <n v="1010"/>
    <s v="Customer_181"/>
    <s v="Corporate"/>
    <s v="East"/>
    <s v="Furniture"/>
    <x v="3"/>
    <n v="3111"/>
    <n v="1"/>
    <n v="0.04"/>
    <n v="120"/>
    <s v="Card"/>
    <n v="2986.56"/>
    <s v="Sep"/>
    <n v="2024"/>
    <s v="Q3"/>
    <n v="4.0180006428801027E-2"/>
    <n v="124.44"/>
    <s v="Medium"/>
    <s v="Repeat"/>
    <s v="Below Avg"/>
    <s v="Profit"/>
    <n v="394"/>
  </r>
  <r>
    <n v="247"/>
    <x v="246"/>
    <n v="1008"/>
    <s v="Customer_114"/>
    <s v="Corporate"/>
    <s v="North"/>
    <s v="Electronics"/>
    <x v="2"/>
    <n v="1629"/>
    <n v="6"/>
    <n v="0.17"/>
    <n v="1561"/>
    <s v="UPI"/>
    <n v="8112.4199999999901"/>
    <s v="Sep"/>
    <n v="2024"/>
    <s v="Q3"/>
    <n v="0.19242100384348959"/>
    <n v="1661.5800000000002"/>
    <s v="High"/>
    <s v="Repeat"/>
    <s v="Below Avg"/>
    <s v="Profit"/>
    <n v="247"/>
  </r>
  <r>
    <n v="248"/>
    <x v="247"/>
    <n v="1096"/>
    <s v="Customer_149"/>
    <s v="Corporate"/>
    <s v="East"/>
    <s v="Electronics"/>
    <x v="0"/>
    <n v="4607"/>
    <n v="8"/>
    <n v="7.0000000000000007E-2"/>
    <n v="746"/>
    <s v="UPI"/>
    <n v="34276.0799999999"/>
    <s v="Sep"/>
    <n v="2024"/>
    <s v="Q3"/>
    <n v="2.1764449143542731E-2"/>
    <n v="2579.92"/>
    <s v="High"/>
    <s v="Repeat"/>
    <s v="Above Avg"/>
    <s v="Profit"/>
    <n v="13"/>
  </r>
  <r>
    <n v="249"/>
    <x v="248"/>
    <n v="1025"/>
    <s v="Customer_99"/>
    <s v="Corporate"/>
    <s v="West"/>
    <s v="Clothing"/>
    <x v="0"/>
    <n v="217"/>
    <n v="4"/>
    <n v="0.22"/>
    <n v="-1"/>
    <s v="COD"/>
    <n v="677.04"/>
    <s v="Sep"/>
    <n v="2024"/>
    <s v="Q3"/>
    <n v="-1.4770176060498641E-3"/>
    <n v="190.96"/>
    <s v="Low"/>
    <s v="Repeat"/>
    <s v="Below Avg"/>
    <s v="Loss"/>
    <n v="485"/>
  </r>
  <r>
    <n v="250"/>
    <x v="249"/>
    <n v="1099"/>
    <s v="Customer_157"/>
    <s v="Corporate"/>
    <s v="East"/>
    <s v="Electronics"/>
    <x v="0"/>
    <n v="4979"/>
    <n v="2"/>
    <n v="0.02"/>
    <n v="1538"/>
    <s v="COD"/>
    <n v="9758.84"/>
    <s v="Sep"/>
    <n v="2024"/>
    <s v="Q3"/>
    <n v="0.15760069844366748"/>
    <n v="199.16"/>
    <s v="High"/>
    <s v="Repeat"/>
    <s v="Below Avg"/>
    <s v="Profit"/>
    <n v="208"/>
  </r>
  <r>
    <n v="251"/>
    <x v="250"/>
    <n v="1067"/>
    <s v="Customer_2"/>
    <s v="Consumer"/>
    <s v="South"/>
    <s v="Furniture"/>
    <x v="0"/>
    <n v="586"/>
    <n v="9"/>
    <n v="0.27"/>
    <n v="781"/>
    <s v="COD"/>
    <n v="3850.02"/>
    <s v="Sep"/>
    <n v="2024"/>
    <s v="Q3"/>
    <n v="0.20285608905927763"/>
    <n v="1423.98"/>
    <s v="Medium"/>
    <s v="Repeat"/>
    <s v="Below Avg"/>
    <s v="Profit"/>
    <n v="360"/>
  </r>
  <r>
    <n v="252"/>
    <x v="251"/>
    <n v="1065"/>
    <s v="Customer_97"/>
    <s v="Consumer"/>
    <s v="West"/>
    <s v="Furniture"/>
    <x v="3"/>
    <n v="1335"/>
    <n v="6"/>
    <n v="0.28999999999999998"/>
    <n v="598"/>
    <s v="Card"/>
    <n v="5687.0999999999904"/>
    <s v="Sep"/>
    <n v="2024"/>
    <s v="Q3"/>
    <n v="0.10515025232543845"/>
    <n v="2322.8999999999996"/>
    <s v="High"/>
    <s v="Repeat"/>
    <s v="Below Avg"/>
    <s v="Profit"/>
    <n v="304"/>
  </r>
  <r>
    <n v="253"/>
    <x v="252"/>
    <n v="1007"/>
    <s v="Customer_26"/>
    <s v="Consumer"/>
    <s v="South"/>
    <s v="Electronics"/>
    <x v="0"/>
    <n v="2947"/>
    <n v="2"/>
    <n v="0.24"/>
    <n v="48"/>
    <s v="COD"/>
    <n v="4479.4399999999996"/>
    <s v="Sep"/>
    <n v="2024"/>
    <s v="Q3"/>
    <n v="1.0715625167431644E-2"/>
    <n v="1414.56"/>
    <s v="Medium"/>
    <s v="Repeat"/>
    <s v="Below Avg"/>
    <s v="Profit"/>
    <n v="339"/>
  </r>
  <r>
    <n v="254"/>
    <x v="253"/>
    <n v="1070"/>
    <s v="Customer_44"/>
    <s v="Corporate"/>
    <s v="East"/>
    <s v="Electronics"/>
    <x v="3"/>
    <n v="1121"/>
    <n v="5"/>
    <n v="0.26"/>
    <n v="1771"/>
    <s v="COD"/>
    <n v="4147.7"/>
    <s v="Sep"/>
    <n v="2024"/>
    <s v="Q3"/>
    <n v="0.42698362948139934"/>
    <n v="1457.3"/>
    <s v="Medium"/>
    <s v="Repeat"/>
    <s v="Below Avg"/>
    <s v="Profit"/>
    <n v="347"/>
  </r>
  <r>
    <n v="255"/>
    <x v="254"/>
    <n v="1099"/>
    <s v="Customer_18"/>
    <s v="Consumer"/>
    <s v="South"/>
    <s v="Electronics"/>
    <x v="2"/>
    <n v="2319"/>
    <n v="7"/>
    <n v="0.11"/>
    <n v="-105"/>
    <s v="UPI"/>
    <n v="14447.37"/>
    <s v="Sep"/>
    <n v="2024"/>
    <s v="Q3"/>
    <n v="-7.2677587685509538E-3"/>
    <n v="1785.63"/>
    <s v="High"/>
    <s v="Repeat"/>
    <s v="Above Avg"/>
    <s v="Loss"/>
    <n v="143"/>
  </r>
  <r>
    <n v="256"/>
    <x v="255"/>
    <n v="1097"/>
    <s v="Customer_98"/>
    <s v="Corporate"/>
    <s v="South"/>
    <s v="Clothing"/>
    <x v="3"/>
    <n v="3265"/>
    <n v="3"/>
    <n v="0.05"/>
    <n v="1937"/>
    <s v="Card"/>
    <n v="9305.25"/>
    <s v="Sep"/>
    <n v="2024"/>
    <s v="Q3"/>
    <n v="0.20816205905268531"/>
    <n v="489.75"/>
    <s v="High"/>
    <s v="Repeat"/>
    <s v="Below Avg"/>
    <s v="Profit"/>
    <n v="225"/>
  </r>
  <r>
    <n v="257"/>
    <x v="256"/>
    <n v="1039"/>
    <s v="Customer_30"/>
    <s v="Corporate"/>
    <s v="West"/>
    <s v="Furniture"/>
    <x v="0"/>
    <n v="3199"/>
    <n v="1"/>
    <n v="0.06"/>
    <n v="1657"/>
    <s v="Card"/>
    <n v="3007.06"/>
    <s v="Sep"/>
    <n v="2024"/>
    <s v="Q3"/>
    <n v="0.55103656062732376"/>
    <n v="191.94"/>
    <s v="Medium"/>
    <s v="Repeat"/>
    <s v="Below Avg"/>
    <s v="Profit"/>
    <n v="392"/>
  </r>
  <r>
    <n v="258"/>
    <x v="257"/>
    <n v="1082"/>
    <s v="Customer_108"/>
    <s v="Corporate"/>
    <s v="South"/>
    <s v="Electronics"/>
    <x v="2"/>
    <n v="316"/>
    <n v="5"/>
    <n v="0.15"/>
    <n v="897"/>
    <s v="UPI"/>
    <n v="1343"/>
    <s v="Sep"/>
    <n v="2024"/>
    <s v="Q3"/>
    <n v="0.66790766939687263"/>
    <n v="237"/>
    <s v="Low"/>
    <s v="Repeat"/>
    <s v="Below Avg"/>
    <s v="Profit"/>
    <n v="465"/>
  </r>
  <r>
    <n v="259"/>
    <x v="258"/>
    <n v="1092"/>
    <s v="Customer_23"/>
    <s v="Consumer"/>
    <s v="South"/>
    <s v="Furniture"/>
    <x v="3"/>
    <n v="4046"/>
    <n v="5"/>
    <n v="0.2"/>
    <n v="-246"/>
    <s v="COD"/>
    <n v="16184"/>
    <s v="Sep"/>
    <n v="2024"/>
    <s v="Q3"/>
    <n v="-1.5200197726149283E-2"/>
    <n v="4046"/>
    <s v="High"/>
    <s v="Repeat"/>
    <s v="Above Avg"/>
    <s v="Loss"/>
    <n v="122"/>
  </r>
  <r>
    <n v="260"/>
    <x v="259"/>
    <n v="1038"/>
    <s v="Customer_48"/>
    <s v="Corporate"/>
    <s v="West"/>
    <s v="Clothing"/>
    <x v="3"/>
    <n v="2805"/>
    <n v="7"/>
    <n v="0.17"/>
    <n v="1777"/>
    <s v="Card"/>
    <n v="16297.05"/>
    <s v="Sep"/>
    <n v="2024"/>
    <s v="Q3"/>
    <n v="0.10903813880426212"/>
    <n v="3337.9500000000003"/>
    <s v="High"/>
    <s v="Repeat"/>
    <s v="Above Avg"/>
    <s v="Profit"/>
    <n v="118"/>
  </r>
  <r>
    <n v="261"/>
    <x v="260"/>
    <n v="1005"/>
    <s v="Customer_183"/>
    <s v="Corporate"/>
    <s v="South"/>
    <s v="Clothing"/>
    <x v="2"/>
    <n v="1983"/>
    <n v="6"/>
    <n v="0.03"/>
    <n v="722"/>
    <s v="UPI"/>
    <n v="11541.06"/>
    <s v="Sep"/>
    <n v="2024"/>
    <s v="Q3"/>
    <n v="6.2559244991361285E-2"/>
    <n v="356.94"/>
    <s v="High"/>
    <s v="Repeat"/>
    <s v="Above Avg"/>
    <s v="Profit"/>
    <n v="180"/>
  </r>
  <r>
    <n v="262"/>
    <x v="261"/>
    <n v="1009"/>
    <s v="Customer_127"/>
    <s v="Corporate"/>
    <s v="East"/>
    <s v="Furniture"/>
    <x v="3"/>
    <n v="1606"/>
    <n v="1"/>
    <n v="0.22"/>
    <n v="1195"/>
    <s v="COD"/>
    <n v="1252.68"/>
    <s v="Sep"/>
    <n v="2024"/>
    <s v="Q3"/>
    <n v="0.95395472107800872"/>
    <n v="353.32"/>
    <s v="Low"/>
    <s v="Repeat"/>
    <s v="Below Avg"/>
    <s v="Profit"/>
    <n v="468"/>
  </r>
  <r>
    <n v="263"/>
    <x v="262"/>
    <n v="1040"/>
    <s v="Customer_23"/>
    <s v="Corporate"/>
    <s v="South"/>
    <s v="Clothing"/>
    <x v="1"/>
    <n v="4264"/>
    <n v="1"/>
    <n v="0.24"/>
    <n v="-20"/>
    <s v="UPI"/>
    <n v="3240.64"/>
    <s v="Sep"/>
    <n v="2024"/>
    <s v="Q3"/>
    <n v="-6.1716204206576485E-3"/>
    <n v="1023.36"/>
    <s v="Medium"/>
    <s v="Repeat"/>
    <s v="Below Avg"/>
    <s v="Loss"/>
    <n v="386"/>
  </r>
  <r>
    <n v="264"/>
    <x v="263"/>
    <n v="1068"/>
    <s v="Customer_40"/>
    <s v="Corporate"/>
    <s v="East"/>
    <s v="Furniture"/>
    <x v="0"/>
    <n v="2397"/>
    <n v="7"/>
    <n v="0.01"/>
    <n v="-217"/>
    <s v="COD"/>
    <n v="16611.21"/>
    <s v="Sep"/>
    <n v="2024"/>
    <s v="Q3"/>
    <n v="-1.3063467381364754E-2"/>
    <n v="167.79"/>
    <s v="High"/>
    <s v="Repeat"/>
    <s v="Above Avg"/>
    <s v="Loss"/>
    <n v="113"/>
  </r>
  <r>
    <n v="265"/>
    <x v="264"/>
    <n v="1087"/>
    <s v="Customer_64"/>
    <s v="Corporate"/>
    <s v="West"/>
    <s v="Furniture"/>
    <x v="2"/>
    <n v="1811"/>
    <n v="2"/>
    <n v="0.14000000000000001"/>
    <n v="1730"/>
    <s v="UPI"/>
    <n v="3114.92"/>
    <s v="Sep"/>
    <n v="2024"/>
    <s v="Q3"/>
    <n v="0.55539147072798012"/>
    <n v="507.08000000000004"/>
    <s v="Medium"/>
    <s v="Repeat"/>
    <s v="Below Avg"/>
    <s v="Profit"/>
    <n v="389"/>
  </r>
  <r>
    <n v="266"/>
    <x v="265"/>
    <n v="1021"/>
    <s v="Customer_72"/>
    <s v="Corporate"/>
    <s v="West"/>
    <s v="Electronics"/>
    <x v="0"/>
    <n v="1107"/>
    <n v="9"/>
    <n v="0.13"/>
    <n v="655"/>
    <s v="Card"/>
    <n v="8667.81"/>
    <s v="Sep"/>
    <n v="2024"/>
    <s v="Q3"/>
    <n v="7.5566954051830865E-2"/>
    <n v="1295.19"/>
    <s v="High"/>
    <s v="Repeat"/>
    <s v="Below Avg"/>
    <s v="Profit"/>
    <n v="235"/>
  </r>
  <r>
    <n v="267"/>
    <x v="266"/>
    <n v="1089"/>
    <s v="Customer_142"/>
    <s v="Consumer"/>
    <s v="South"/>
    <s v="Electronics"/>
    <x v="1"/>
    <n v="2696"/>
    <n v="9"/>
    <n v="0.02"/>
    <n v="445"/>
    <s v="Card"/>
    <n v="23778.720000000001"/>
    <s v="Sep"/>
    <n v="2024"/>
    <s v="Q3"/>
    <n v="1.8714211698527085E-2"/>
    <n v="485.28000000000003"/>
    <s v="High"/>
    <s v="Repeat"/>
    <s v="Above Avg"/>
    <s v="Profit"/>
    <n v="53"/>
  </r>
  <r>
    <n v="268"/>
    <x v="267"/>
    <n v="1050"/>
    <s v="Customer_124"/>
    <s v="Corporate"/>
    <s v="West"/>
    <s v="Furniture"/>
    <x v="2"/>
    <n v="3486"/>
    <n v="4"/>
    <n v="0.05"/>
    <n v="1943"/>
    <s v="COD"/>
    <n v="13246.8"/>
    <s v="Sep"/>
    <n v="2024"/>
    <s v="Q3"/>
    <n v="0.14667693329709819"/>
    <n v="697.2"/>
    <s v="High"/>
    <s v="Repeat"/>
    <s v="Above Avg"/>
    <s v="Profit"/>
    <n v="158"/>
  </r>
  <r>
    <n v="269"/>
    <x v="268"/>
    <n v="1036"/>
    <s v="Customer_110"/>
    <s v="Corporate"/>
    <s v="West"/>
    <s v="Electronics"/>
    <x v="0"/>
    <n v="1882"/>
    <n v="3"/>
    <n v="0.24"/>
    <n v="1096"/>
    <s v="COD"/>
    <n v="4290.96"/>
    <s v="Sep"/>
    <n v="2024"/>
    <s v="Q3"/>
    <n v="0.25542069839849357"/>
    <n v="1355.04"/>
    <s v="Medium"/>
    <s v="Repeat"/>
    <s v="Below Avg"/>
    <s v="Profit"/>
    <n v="342"/>
  </r>
  <r>
    <n v="270"/>
    <x v="269"/>
    <n v="1044"/>
    <s v="Customer_78"/>
    <s v="Corporate"/>
    <s v="North"/>
    <s v="Furniture"/>
    <x v="3"/>
    <n v="4244"/>
    <n v="8"/>
    <n v="0.18"/>
    <n v="1997"/>
    <s v="UPI"/>
    <n v="27840.639999999999"/>
    <s v="Sep"/>
    <n v="2024"/>
    <s v="Q3"/>
    <n v="7.1729672881083201E-2"/>
    <n v="6111.36"/>
    <s v="High"/>
    <s v="Repeat"/>
    <s v="Above Avg"/>
    <s v="Profit"/>
    <n v="33"/>
  </r>
  <r>
    <n v="271"/>
    <x v="270"/>
    <n v="1092"/>
    <s v="Customer_2"/>
    <s v="Consumer"/>
    <s v="East"/>
    <s v="Clothing"/>
    <x v="1"/>
    <n v="2461"/>
    <n v="4"/>
    <n v="7.0000000000000007E-2"/>
    <n v="1327"/>
    <s v="Card"/>
    <n v="9154.92"/>
    <s v="Sep"/>
    <n v="2024"/>
    <s v="Q3"/>
    <n v="0.14494938240858468"/>
    <n v="689.08"/>
    <s v="High"/>
    <s v="Repeat"/>
    <s v="Below Avg"/>
    <s v="Profit"/>
    <n v="228"/>
  </r>
  <r>
    <n v="272"/>
    <x v="271"/>
    <n v="1099"/>
    <s v="Customer_122"/>
    <s v="Corporate"/>
    <s v="South"/>
    <s v="Electronics"/>
    <x v="2"/>
    <n v="4549"/>
    <n v="3"/>
    <n v="0.14000000000000001"/>
    <n v="1353"/>
    <s v="COD"/>
    <n v="11736.42"/>
    <s v="Sep"/>
    <n v="2024"/>
    <s v="Q3"/>
    <n v="0.11528217292837169"/>
    <n v="1910.5800000000002"/>
    <s v="High"/>
    <s v="Repeat"/>
    <s v="Above Avg"/>
    <s v="Profit"/>
    <n v="176"/>
  </r>
  <r>
    <n v="273"/>
    <x v="272"/>
    <n v="1083"/>
    <s v="Customer_4"/>
    <s v="Corporate"/>
    <s v="South"/>
    <s v="Furniture"/>
    <x v="1"/>
    <n v="1134"/>
    <n v="3"/>
    <n v="0.26"/>
    <n v="1911"/>
    <s v="UPI"/>
    <n v="2517.48"/>
    <s v="Sep"/>
    <n v="2024"/>
    <s v="Q3"/>
    <n v="0.75909242575909242"/>
    <n v="884.52"/>
    <s v="Medium"/>
    <s v="Repeat"/>
    <s v="Below Avg"/>
    <s v="Profit"/>
    <n v="409"/>
  </r>
  <r>
    <n v="274"/>
    <x v="273"/>
    <n v="1081"/>
    <s v="Customer_100"/>
    <s v="Consumer"/>
    <s v="West"/>
    <s v="Electronics"/>
    <x v="3"/>
    <n v="3921"/>
    <n v="3"/>
    <n v="0.03"/>
    <n v="-471"/>
    <s v="COD"/>
    <n v="11410.11"/>
    <s v="Sep"/>
    <n v="2024"/>
    <s v="Q3"/>
    <n v="-4.1279181357585508E-2"/>
    <n v="352.89"/>
    <s v="High"/>
    <s v="Repeat"/>
    <s v="Above Avg"/>
    <s v="Loss"/>
    <n v="182"/>
  </r>
  <r>
    <n v="275"/>
    <x v="274"/>
    <n v="1061"/>
    <s v="Customer_9"/>
    <s v="Consumer"/>
    <s v="North"/>
    <s v="Electronics"/>
    <x v="3"/>
    <n v="3876"/>
    <n v="1"/>
    <n v="0.28999999999999998"/>
    <n v="71"/>
    <s v="UPI"/>
    <n v="2751.96"/>
    <s v="Oct"/>
    <n v="2024"/>
    <s v="Q4"/>
    <n v="2.5799793601651185E-2"/>
    <n v="1124.04"/>
    <s v="Medium"/>
    <s v="Repeat"/>
    <s v="Below Avg"/>
    <s v="Profit"/>
    <n v="401"/>
  </r>
  <r>
    <n v="276"/>
    <x v="275"/>
    <n v="1014"/>
    <s v="Customer_16"/>
    <s v="Corporate"/>
    <s v="West"/>
    <s v="Furniture"/>
    <x v="2"/>
    <n v="4808"/>
    <n v="5"/>
    <n v="0.04"/>
    <n v="860"/>
    <s v="COD"/>
    <n v="23078.3999999999"/>
    <s v="Oct"/>
    <n v="2024"/>
    <s v="Q4"/>
    <n v="3.7264281752634659E-2"/>
    <n v="961.6"/>
    <s v="High"/>
    <s v="Repeat"/>
    <s v="Above Avg"/>
    <s v="Profit"/>
    <n v="58"/>
  </r>
  <r>
    <n v="277"/>
    <x v="276"/>
    <n v="1078"/>
    <s v="Customer_96"/>
    <s v="Consumer"/>
    <s v="South"/>
    <s v="Furniture"/>
    <x v="2"/>
    <n v="1839"/>
    <n v="2"/>
    <n v="0.09"/>
    <n v="1136"/>
    <s v="COD"/>
    <n v="3346.98"/>
    <s v="Oct"/>
    <n v="2024"/>
    <s v="Q4"/>
    <n v="0.33941045360294952"/>
    <n v="331.02"/>
    <s v="Medium"/>
    <s v="Repeat"/>
    <s v="Below Avg"/>
    <s v="Profit"/>
    <n v="384"/>
  </r>
  <r>
    <n v="278"/>
    <x v="277"/>
    <n v="1023"/>
    <s v="Customer_160"/>
    <s v="Consumer"/>
    <s v="West"/>
    <s v="Furniture"/>
    <x v="1"/>
    <n v="535"/>
    <n v="7"/>
    <n v="0.05"/>
    <n v="-213"/>
    <s v="COD"/>
    <n v="3557.75"/>
    <s v="Oct"/>
    <n v="2024"/>
    <s v="Q4"/>
    <n v="-5.9869299416766213E-2"/>
    <n v="187.25"/>
    <s v="Medium"/>
    <s v="Repeat"/>
    <s v="Below Avg"/>
    <s v="Loss"/>
    <n v="374"/>
  </r>
  <r>
    <n v="279"/>
    <x v="278"/>
    <n v="1062"/>
    <s v="Customer_27"/>
    <s v="Corporate"/>
    <s v="North"/>
    <s v="Electronics"/>
    <x v="2"/>
    <n v="592"/>
    <n v="4"/>
    <n v="0.14000000000000001"/>
    <n v="549"/>
    <s v="COD"/>
    <n v="2036.48"/>
    <s v="Oct"/>
    <n v="2024"/>
    <s v="Q4"/>
    <n v="0.26958280955373981"/>
    <n v="331.52000000000004"/>
    <s v="Medium"/>
    <s v="Repeat"/>
    <s v="Below Avg"/>
    <s v="Profit"/>
    <n v="428"/>
  </r>
  <r>
    <n v="280"/>
    <x v="279"/>
    <n v="1028"/>
    <s v="Customer_15"/>
    <s v="Consumer"/>
    <s v="West"/>
    <s v="Electronics"/>
    <x v="0"/>
    <n v="4041"/>
    <n v="2"/>
    <n v="0.09"/>
    <n v="-358"/>
    <s v="UPI"/>
    <n v="7354.62"/>
    <s v="Oct"/>
    <n v="2024"/>
    <s v="Q4"/>
    <n v="-4.8676886093367164E-2"/>
    <n v="727.38"/>
    <s v="High"/>
    <s v="Repeat"/>
    <s v="Below Avg"/>
    <s v="Loss"/>
    <n v="267"/>
  </r>
  <r>
    <n v="281"/>
    <x v="280"/>
    <n v="1080"/>
    <s v="Customer_68"/>
    <s v="Consumer"/>
    <s v="North"/>
    <s v="Furniture"/>
    <x v="1"/>
    <n v="2216"/>
    <n v="8"/>
    <n v="0.3"/>
    <n v="618"/>
    <s v="COD"/>
    <n v="12409.5999999999"/>
    <s v="Oct"/>
    <n v="2024"/>
    <s v="Q4"/>
    <n v="4.9800154718927681E-2"/>
    <n v="5318.4"/>
    <s v="High"/>
    <s v="Repeat"/>
    <s v="Above Avg"/>
    <s v="Profit"/>
    <n v="164"/>
  </r>
  <r>
    <n v="282"/>
    <x v="281"/>
    <n v="1024"/>
    <s v="Customer_25"/>
    <s v="Consumer"/>
    <s v="North"/>
    <s v="Furniture"/>
    <x v="0"/>
    <n v="2168"/>
    <n v="8"/>
    <n v="0"/>
    <n v="853"/>
    <s v="Card"/>
    <n v="17344"/>
    <s v="Oct"/>
    <n v="2024"/>
    <s v="Q4"/>
    <n v="4.9181273062730631E-2"/>
    <n v="0"/>
    <s v="High"/>
    <s v="Repeat"/>
    <s v="Above Avg"/>
    <s v="Profit"/>
    <n v="101"/>
  </r>
  <r>
    <n v="283"/>
    <x v="282"/>
    <n v="1015"/>
    <s v="Customer_15"/>
    <s v="Consumer"/>
    <s v="West"/>
    <s v="Clothing"/>
    <x v="1"/>
    <n v="1828"/>
    <n v="1"/>
    <n v="0.1"/>
    <n v="892"/>
    <s v="COD"/>
    <n v="1645.2"/>
    <s v="Oct"/>
    <n v="2024"/>
    <s v="Q4"/>
    <n v="0.54218332117675661"/>
    <n v="182.8"/>
    <s v="Low"/>
    <s v="Repeat"/>
    <s v="Below Avg"/>
    <s v="Profit"/>
    <n v="450"/>
  </r>
  <r>
    <n v="284"/>
    <x v="283"/>
    <n v="1049"/>
    <s v="Customer_12"/>
    <s v="Corporate"/>
    <s v="South"/>
    <s v="Electronics"/>
    <x v="2"/>
    <n v="2743"/>
    <n v="5"/>
    <n v="0.18"/>
    <n v="-288"/>
    <s v="COD"/>
    <n v="11246.3"/>
    <s v="Oct"/>
    <n v="2024"/>
    <s v="Q4"/>
    <n v="-2.5608422325564855E-2"/>
    <n v="2468.6999999999998"/>
    <s v="High"/>
    <s v="Repeat"/>
    <s v="Above Avg"/>
    <s v="Loss"/>
    <n v="187"/>
  </r>
  <r>
    <n v="285"/>
    <x v="284"/>
    <n v="1080"/>
    <s v="Customer_71"/>
    <s v="Corporate"/>
    <s v="North"/>
    <s v="Clothing"/>
    <x v="3"/>
    <n v="3747"/>
    <n v="2"/>
    <n v="0.1"/>
    <n v="-334"/>
    <s v="Card"/>
    <n v="6744.6"/>
    <s v="Oct"/>
    <n v="2024"/>
    <s v="Q4"/>
    <n v="-4.9521098360169616E-2"/>
    <n v="749.40000000000009"/>
    <s v="High"/>
    <s v="Repeat"/>
    <s v="Below Avg"/>
    <s v="Loss"/>
    <n v="281"/>
  </r>
  <r>
    <n v="286"/>
    <x v="285"/>
    <n v="1084"/>
    <s v="Customer_152"/>
    <s v="Corporate"/>
    <s v="South"/>
    <s v="Electronics"/>
    <x v="3"/>
    <n v="3612"/>
    <n v="9"/>
    <n v="0.14000000000000001"/>
    <n v="74"/>
    <s v="COD"/>
    <n v="27956.880000000001"/>
    <s v="Oct"/>
    <n v="2024"/>
    <s v="Q4"/>
    <n v="2.6469334203244425E-3"/>
    <n v="4551.1200000000008"/>
    <s v="High"/>
    <s v="Repeat"/>
    <s v="Above Avg"/>
    <s v="Profit"/>
    <n v="31"/>
  </r>
  <r>
    <n v="287"/>
    <x v="286"/>
    <n v="1090"/>
    <s v="Customer_70"/>
    <s v="Corporate"/>
    <s v="North"/>
    <s v="Electronics"/>
    <x v="1"/>
    <n v="1459"/>
    <n v="2"/>
    <n v="0.13"/>
    <n v="-190"/>
    <s v="UPI"/>
    <n v="2538.66"/>
    <s v="Oct"/>
    <n v="2024"/>
    <s v="Q4"/>
    <n v="-7.4842633515319112E-2"/>
    <n v="379.34000000000003"/>
    <s v="Medium"/>
    <s v="Repeat"/>
    <s v="Below Avg"/>
    <s v="Loss"/>
    <n v="408"/>
  </r>
  <r>
    <n v="288"/>
    <x v="287"/>
    <n v="1004"/>
    <s v="Customer_112"/>
    <s v="Corporate"/>
    <s v="South"/>
    <s v="Electronics"/>
    <x v="0"/>
    <n v="2607"/>
    <n v="7"/>
    <n v="0.03"/>
    <n v="431"/>
    <s v="UPI"/>
    <n v="17701.53"/>
    <s v="Oct"/>
    <n v="2024"/>
    <s v="Q4"/>
    <n v="2.4348177812878322E-2"/>
    <n v="547.47"/>
    <s v="High"/>
    <s v="Repeat"/>
    <s v="Above Avg"/>
    <s v="Profit"/>
    <n v="93"/>
  </r>
  <r>
    <n v="289"/>
    <x v="288"/>
    <n v="1021"/>
    <s v="Customer_169"/>
    <s v="Consumer"/>
    <s v="South"/>
    <s v="Furniture"/>
    <x v="3"/>
    <n v="3261"/>
    <n v="2"/>
    <n v="0.19"/>
    <n v="1891"/>
    <s v="COD"/>
    <n v="5282.82"/>
    <s v="Oct"/>
    <n v="2024"/>
    <s v="Q4"/>
    <n v="0.35795276007889726"/>
    <n v="1239.18"/>
    <s v="High"/>
    <s v="Repeat"/>
    <s v="Below Avg"/>
    <s v="Profit"/>
    <n v="317"/>
  </r>
  <r>
    <n v="290"/>
    <x v="289"/>
    <n v="1032"/>
    <s v="Customer_60"/>
    <s v="Corporate"/>
    <s v="West"/>
    <s v="Furniture"/>
    <x v="1"/>
    <n v="3495"/>
    <n v="2"/>
    <n v="0.25"/>
    <n v="1055"/>
    <s v="UPI"/>
    <n v="5242.5"/>
    <s v="Oct"/>
    <n v="2024"/>
    <s v="Q4"/>
    <n v="0.20123986647591799"/>
    <n v="1747.5"/>
    <s v="High"/>
    <s v="Repeat"/>
    <s v="Below Avg"/>
    <s v="Profit"/>
    <n v="318"/>
  </r>
  <r>
    <n v="291"/>
    <x v="290"/>
    <n v="1039"/>
    <s v="Customer_31"/>
    <s v="Consumer"/>
    <s v="West"/>
    <s v="Furniture"/>
    <x v="1"/>
    <n v="3159"/>
    <n v="1"/>
    <n v="0.16"/>
    <n v="528"/>
    <s v="COD"/>
    <n v="2653.56"/>
    <s v="Oct"/>
    <n v="2024"/>
    <s v="Q4"/>
    <n v="0.19897797675575454"/>
    <n v="505.44"/>
    <s v="Medium"/>
    <s v="Repeat"/>
    <s v="Below Avg"/>
    <s v="Profit"/>
    <n v="406"/>
  </r>
  <r>
    <n v="292"/>
    <x v="291"/>
    <n v="1001"/>
    <s v="Customer_149"/>
    <s v="Corporate"/>
    <s v="South"/>
    <s v="Furniture"/>
    <x v="3"/>
    <n v="2792"/>
    <n v="1"/>
    <n v="0.04"/>
    <n v="1424"/>
    <s v="Card"/>
    <n v="2680.3199999999902"/>
    <s v="Oct"/>
    <n v="2024"/>
    <s v="Q4"/>
    <n v="0.53127984718242793"/>
    <n v="111.68"/>
    <s v="Medium"/>
    <s v="Repeat"/>
    <s v="Below Avg"/>
    <s v="Profit"/>
    <n v="404"/>
  </r>
  <r>
    <n v="293"/>
    <x v="292"/>
    <n v="1098"/>
    <s v="Customer_60"/>
    <s v="Corporate"/>
    <s v="West"/>
    <s v="Furniture"/>
    <x v="3"/>
    <n v="462"/>
    <n v="9"/>
    <n v="0.14000000000000001"/>
    <n v="448"/>
    <s v="UPI"/>
    <n v="3575.88"/>
    <s v="Oct"/>
    <n v="2024"/>
    <s v="Q4"/>
    <n v="0.12528384621407876"/>
    <n v="582.12"/>
    <s v="Medium"/>
    <s v="Repeat"/>
    <s v="Below Avg"/>
    <s v="Profit"/>
    <n v="372"/>
  </r>
  <r>
    <n v="294"/>
    <x v="293"/>
    <n v="1082"/>
    <s v="Customer_75"/>
    <s v="Corporate"/>
    <s v="North"/>
    <s v="Electronics"/>
    <x v="0"/>
    <n v="373"/>
    <n v="2"/>
    <n v="0"/>
    <n v="509"/>
    <s v="COD"/>
    <n v="746"/>
    <s v="Oct"/>
    <n v="2024"/>
    <s v="Q4"/>
    <n v="0.68230563002680966"/>
    <n v="0"/>
    <s v="Low"/>
    <s v="Repeat"/>
    <s v="Below Avg"/>
    <s v="Profit"/>
    <n v="483"/>
  </r>
  <r>
    <n v="295"/>
    <x v="294"/>
    <n v="1090"/>
    <s v="Customer_14"/>
    <s v="Corporate"/>
    <s v="South"/>
    <s v="Clothing"/>
    <x v="2"/>
    <n v="4106"/>
    <n v="3"/>
    <n v="0.27"/>
    <n v="1883"/>
    <s v="UPI"/>
    <n v="8992.14"/>
    <s v="Oct"/>
    <n v="2024"/>
    <s v="Q4"/>
    <n v="0.20940510267856152"/>
    <n v="3325.86"/>
    <s v="High"/>
    <s v="Repeat"/>
    <s v="Below Avg"/>
    <s v="Profit"/>
    <n v="231"/>
  </r>
  <r>
    <n v="296"/>
    <x v="295"/>
    <n v="1035"/>
    <s v="Customer_102"/>
    <s v="Corporate"/>
    <s v="East"/>
    <s v="Clothing"/>
    <x v="0"/>
    <n v="3188"/>
    <n v="9"/>
    <n v="7.0000000000000007E-2"/>
    <n v="956"/>
    <s v="COD"/>
    <n v="26683.559999999899"/>
    <s v="Oct"/>
    <n v="2024"/>
    <s v="Q4"/>
    <n v="3.5827303403294146E-2"/>
    <n v="2008.4400000000003"/>
    <s v="High"/>
    <s v="Repeat"/>
    <s v="Above Avg"/>
    <s v="Profit"/>
    <n v="35"/>
  </r>
  <r>
    <n v="297"/>
    <x v="296"/>
    <n v="1058"/>
    <s v="Customer_82"/>
    <s v="Consumer"/>
    <s v="South"/>
    <s v="Clothing"/>
    <x v="1"/>
    <n v="3427"/>
    <n v="6"/>
    <n v="0.27"/>
    <n v="803"/>
    <s v="Card"/>
    <n v="15010.26"/>
    <s v="Oct"/>
    <n v="2024"/>
    <s v="Q4"/>
    <n v="5.3496741562104856E-2"/>
    <n v="5551.7400000000007"/>
    <s v="High"/>
    <s v="Repeat"/>
    <s v="Above Avg"/>
    <s v="Profit"/>
    <n v="138"/>
  </r>
  <r>
    <n v="298"/>
    <x v="297"/>
    <n v="1038"/>
    <s v="Customer_14"/>
    <s v="Consumer"/>
    <s v="North"/>
    <s v="Clothing"/>
    <x v="1"/>
    <n v="227"/>
    <n v="6"/>
    <n v="0.18"/>
    <n v="1807"/>
    <s v="COD"/>
    <n v="1116.8399999999999"/>
    <s v="Oct"/>
    <n v="2024"/>
    <s v="Q4"/>
    <n v="1.6179578095340426"/>
    <n v="245.16"/>
    <s v="Low"/>
    <s v="Repeat"/>
    <s v="Below Avg"/>
    <s v="Profit"/>
    <n v="475"/>
  </r>
  <r>
    <n v="299"/>
    <x v="298"/>
    <n v="1001"/>
    <s v="Customer_152"/>
    <s v="Corporate"/>
    <s v="North"/>
    <s v="Furniture"/>
    <x v="2"/>
    <n v="3346"/>
    <n v="9"/>
    <n v="0.28999999999999998"/>
    <n v="784"/>
    <s v="UPI"/>
    <n v="21380.94"/>
    <s v="Oct"/>
    <n v="2024"/>
    <s v="Q4"/>
    <n v="3.6668172680901778E-2"/>
    <n v="8733.06"/>
    <s v="High"/>
    <s v="Repeat"/>
    <s v="Above Avg"/>
    <s v="Profit"/>
    <n v="72"/>
  </r>
  <r>
    <n v="300"/>
    <x v="299"/>
    <n v="1052"/>
    <s v="Customer_25"/>
    <s v="Corporate"/>
    <s v="North"/>
    <s v="Clothing"/>
    <x v="0"/>
    <n v="1300"/>
    <n v="7"/>
    <n v="0.25"/>
    <n v="-190"/>
    <s v="UPI"/>
    <n v="6825"/>
    <s v="Oct"/>
    <n v="2024"/>
    <s v="Q4"/>
    <n v="-2.7838827838827841E-2"/>
    <n v="2275"/>
    <s v="High"/>
    <s v="Repeat"/>
    <s v="Below Avg"/>
    <s v="Loss"/>
    <n v="276"/>
  </r>
  <r>
    <n v="301"/>
    <x v="300"/>
    <n v="1017"/>
    <s v="Customer_109"/>
    <s v="Corporate"/>
    <s v="North"/>
    <s v="Clothing"/>
    <x v="0"/>
    <n v="3165"/>
    <n v="3"/>
    <n v="0"/>
    <n v="286"/>
    <s v="Card"/>
    <n v="9495"/>
    <s v="Oct"/>
    <n v="2024"/>
    <s v="Q4"/>
    <n v="3.0121116377040548E-2"/>
    <n v="0"/>
    <s v="High"/>
    <s v="Repeat"/>
    <s v="Below Avg"/>
    <s v="Profit"/>
    <n v="216"/>
  </r>
  <r>
    <n v="302"/>
    <x v="301"/>
    <n v="1045"/>
    <s v="Customer_108"/>
    <s v="Corporate"/>
    <s v="South"/>
    <s v="Clothing"/>
    <x v="0"/>
    <n v="4359"/>
    <n v="9"/>
    <n v="0"/>
    <n v="198"/>
    <s v="Card"/>
    <n v="39231"/>
    <s v="Oct"/>
    <n v="2024"/>
    <s v="Q4"/>
    <n v="5.0470291351227348E-3"/>
    <n v="0"/>
    <s v="High"/>
    <s v="Repeat"/>
    <s v="Above Avg"/>
    <s v="Profit"/>
    <n v="3"/>
  </r>
  <r>
    <n v="303"/>
    <x v="302"/>
    <n v="1022"/>
    <s v="Customer_156"/>
    <s v="Consumer"/>
    <s v="West"/>
    <s v="Electronics"/>
    <x v="3"/>
    <n v="4615"/>
    <n v="4"/>
    <n v="0.22"/>
    <n v="247"/>
    <s v="COD"/>
    <n v="14398.8"/>
    <s v="Oct"/>
    <n v="2024"/>
    <s v="Q4"/>
    <n v="1.7154207295052366E-2"/>
    <n v="4061.2"/>
    <s v="High"/>
    <s v="Repeat"/>
    <s v="Above Avg"/>
    <s v="Profit"/>
    <n v="145"/>
  </r>
  <r>
    <n v="304"/>
    <x v="303"/>
    <n v="1053"/>
    <s v="Customer_88"/>
    <s v="Consumer"/>
    <s v="North"/>
    <s v="Clothing"/>
    <x v="1"/>
    <n v="3662"/>
    <n v="3"/>
    <n v="0.16"/>
    <n v="1555"/>
    <s v="COD"/>
    <n v="9228.24"/>
    <s v="Oct"/>
    <n v="2024"/>
    <s v="Q4"/>
    <n v="0.16850450356731078"/>
    <n v="1757.76"/>
    <s v="High"/>
    <s v="New"/>
    <s v="Below Avg"/>
    <s v="Profit"/>
    <n v="226"/>
  </r>
  <r>
    <n v="305"/>
    <x v="304"/>
    <n v="1089"/>
    <s v="Customer_18"/>
    <s v="Corporate"/>
    <s v="South"/>
    <s v="Electronics"/>
    <x v="0"/>
    <n v="170"/>
    <n v="9"/>
    <n v="0.23"/>
    <n v="291"/>
    <s v="COD"/>
    <n v="1178.0999999999999"/>
    <s v="Oct"/>
    <n v="2024"/>
    <s v="Q4"/>
    <n v="0.24700789406671761"/>
    <n v="351.90000000000003"/>
    <s v="Low"/>
    <s v="Repeat"/>
    <s v="Below Avg"/>
    <s v="Profit"/>
    <n v="470"/>
  </r>
  <r>
    <n v="306"/>
    <x v="305"/>
    <n v="1074"/>
    <s v="Customer_57"/>
    <s v="Corporate"/>
    <s v="South"/>
    <s v="Electronics"/>
    <x v="3"/>
    <n v="4005"/>
    <n v="3"/>
    <n v="0.18"/>
    <n v="940"/>
    <s v="COD"/>
    <n v="9852.2999999999993"/>
    <s v="Nov"/>
    <n v="2024"/>
    <s v="Q4"/>
    <n v="9.5409193792312469E-2"/>
    <n v="2162.6999999999998"/>
    <s v="High"/>
    <s v="Repeat"/>
    <s v="Below Avg"/>
    <s v="Profit"/>
    <n v="206"/>
  </r>
  <r>
    <n v="307"/>
    <x v="306"/>
    <n v="1000"/>
    <s v="Customer_98"/>
    <s v="Consumer"/>
    <s v="South"/>
    <s v="Electronics"/>
    <x v="3"/>
    <n v="568"/>
    <n v="1"/>
    <n v="7.0000000000000007E-2"/>
    <n v="1894"/>
    <s v="UPI"/>
    <n v="528.24"/>
    <s v="Nov"/>
    <n v="2024"/>
    <s v="Q4"/>
    <n v="3.585491443283356"/>
    <n v="39.760000000000005"/>
    <s v="Low"/>
    <s v="Repeat"/>
    <s v="Below Avg"/>
    <s v="Profit"/>
    <n v="490"/>
  </r>
  <r>
    <n v="308"/>
    <x v="307"/>
    <n v="1035"/>
    <s v="Customer_170"/>
    <s v="Consumer"/>
    <s v="North"/>
    <s v="Clothing"/>
    <x v="0"/>
    <n v="3660"/>
    <n v="3"/>
    <n v="0.24"/>
    <n v="1824"/>
    <s v="COD"/>
    <n v="8344.7999999999993"/>
    <s v="Nov"/>
    <n v="2024"/>
    <s v="Q4"/>
    <n v="0.21857923497267762"/>
    <n v="2635.2"/>
    <s v="High"/>
    <s v="Repeat"/>
    <s v="Below Avg"/>
    <s v="Profit"/>
    <n v="241"/>
  </r>
  <r>
    <n v="309"/>
    <x v="308"/>
    <n v="1083"/>
    <s v="Customer_67"/>
    <s v="Corporate"/>
    <s v="East"/>
    <s v="Furniture"/>
    <x v="1"/>
    <n v="2023"/>
    <n v="3"/>
    <n v="0.01"/>
    <n v="356"/>
    <s v="Card"/>
    <n v="6008.31"/>
    <s v="Nov"/>
    <n v="2024"/>
    <s v="Q4"/>
    <n v="5.9251270323934679E-2"/>
    <n v="60.69"/>
    <s v="High"/>
    <s v="Repeat"/>
    <s v="Below Avg"/>
    <s v="Profit"/>
    <n v="297"/>
  </r>
  <r>
    <n v="310"/>
    <x v="309"/>
    <n v="1094"/>
    <s v="Customer_140"/>
    <s v="Consumer"/>
    <s v="North"/>
    <s v="Clothing"/>
    <x v="2"/>
    <n v="3079"/>
    <n v="5"/>
    <n v="0.24"/>
    <n v="1522"/>
    <s v="UPI"/>
    <n v="11700.2"/>
    <s v="Nov"/>
    <n v="2024"/>
    <s v="Q4"/>
    <n v="0.13008324644023178"/>
    <n v="3694.7999999999997"/>
    <s v="High"/>
    <s v="Repeat"/>
    <s v="Above Avg"/>
    <s v="Profit"/>
    <n v="178"/>
  </r>
  <r>
    <n v="311"/>
    <x v="310"/>
    <n v="1071"/>
    <s v="Customer_164"/>
    <s v="Corporate"/>
    <s v="South"/>
    <s v="Furniture"/>
    <x v="2"/>
    <n v="4122"/>
    <n v="9"/>
    <n v="0.2"/>
    <n v="-297"/>
    <s v="Card"/>
    <n v="29678.400000000001"/>
    <s v="Nov"/>
    <n v="2024"/>
    <s v="Q4"/>
    <n v="-1.0007278020378457E-2"/>
    <n v="7419.6"/>
    <s v="High"/>
    <s v="Repeat"/>
    <s v="Above Avg"/>
    <s v="Loss"/>
    <n v="25"/>
  </r>
  <r>
    <n v="312"/>
    <x v="311"/>
    <n v="1039"/>
    <s v="Customer_69"/>
    <s v="Corporate"/>
    <s v="North"/>
    <s v="Clothing"/>
    <x v="0"/>
    <n v="4319"/>
    <n v="7"/>
    <n v="0.2"/>
    <n v="1668"/>
    <s v="UPI"/>
    <n v="24186.400000000001"/>
    <s v="Nov"/>
    <n v="2024"/>
    <s v="Q4"/>
    <n v="6.896437667449476E-2"/>
    <n v="6046.6"/>
    <s v="High"/>
    <s v="Repeat"/>
    <s v="Above Avg"/>
    <s v="Profit"/>
    <n v="50"/>
  </r>
  <r>
    <n v="313"/>
    <x v="312"/>
    <n v="1087"/>
    <s v="Customer_83"/>
    <s v="Consumer"/>
    <s v="West"/>
    <s v="Clothing"/>
    <x v="1"/>
    <n v="4618"/>
    <n v="3"/>
    <n v="0.01"/>
    <n v="1802"/>
    <s v="COD"/>
    <n v="13715.46"/>
    <s v="Nov"/>
    <n v="2024"/>
    <s v="Q4"/>
    <n v="0.13138458352836874"/>
    <n v="138.54"/>
    <s v="High"/>
    <s v="Repeat"/>
    <s v="Above Avg"/>
    <s v="Profit"/>
    <n v="150"/>
  </r>
  <r>
    <n v="314"/>
    <x v="313"/>
    <n v="1083"/>
    <s v="Customer_76"/>
    <s v="Corporate"/>
    <s v="East"/>
    <s v="Furniture"/>
    <x v="2"/>
    <n v="666"/>
    <n v="3"/>
    <n v="0.06"/>
    <n v="-107"/>
    <s v="UPI"/>
    <n v="1878.12"/>
    <s v="Nov"/>
    <n v="2024"/>
    <s v="Q4"/>
    <n v="-5.6971865482503783E-2"/>
    <n v="119.88"/>
    <s v="Low"/>
    <s v="Repeat"/>
    <s v="Below Avg"/>
    <s v="Loss"/>
    <n v="437"/>
  </r>
  <r>
    <n v="315"/>
    <x v="314"/>
    <n v="1078"/>
    <s v="Customer_91"/>
    <s v="Corporate"/>
    <s v="East"/>
    <s v="Electronics"/>
    <x v="1"/>
    <n v="3227"/>
    <n v="4"/>
    <n v="0.15"/>
    <n v="200"/>
    <s v="COD"/>
    <n v="10971.8"/>
    <s v="Nov"/>
    <n v="2024"/>
    <s v="Q4"/>
    <n v="1.8228549554311965E-2"/>
    <n v="1936.1999999999998"/>
    <s v="High"/>
    <s v="Repeat"/>
    <s v="Above Avg"/>
    <s v="Profit"/>
    <n v="193"/>
  </r>
  <r>
    <n v="316"/>
    <x v="315"/>
    <n v="1029"/>
    <s v="Customer_17"/>
    <s v="Corporate"/>
    <s v="North"/>
    <s v="Electronics"/>
    <x v="2"/>
    <n v="4116"/>
    <n v="7"/>
    <n v="0.13"/>
    <n v="1791"/>
    <s v="UPI"/>
    <n v="25066.44"/>
    <s v="Nov"/>
    <n v="2024"/>
    <s v="Q4"/>
    <n v="7.1450114176564369E-2"/>
    <n v="3745.56"/>
    <s v="High"/>
    <s v="Repeat"/>
    <s v="Above Avg"/>
    <s v="Profit"/>
    <n v="41"/>
  </r>
  <r>
    <n v="317"/>
    <x v="316"/>
    <n v="1019"/>
    <s v="Customer_171"/>
    <s v="Corporate"/>
    <s v="East"/>
    <s v="Electronics"/>
    <x v="3"/>
    <n v="1265"/>
    <n v="4"/>
    <n v="0.01"/>
    <n v="458"/>
    <s v="Card"/>
    <n v="5009.3999999999996"/>
    <s v="Nov"/>
    <n v="2024"/>
    <s v="Q4"/>
    <n v="9.1428115143530164E-2"/>
    <n v="50.6"/>
    <s v="High"/>
    <s v="Repeat"/>
    <s v="Below Avg"/>
    <s v="Profit"/>
    <n v="322"/>
  </r>
  <r>
    <n v="318"/>
    <x v="317"/>
    <n v="1037"/>
    <s v="Customer_92"/>
    <s v="Corporate"/>
    <s v="East"/>
    <s v="Furniture"/>
    <x v="1"/>
    <n v="4336"/>
    <n v="9"/>
    <n v="0.1"/>
    <n v="-99"/>
    <s v="COD"/>
    <n v="35121.599999999999"/>
    <s v="Nov"/>
    <n v="2024"/>
    <s v="Q4"/>
    <n v="-2.8187781877818778E-3"/>
    <n v="3902.4"/>
    <s v="High"/>
    <s v="Repeat"/>
    <s v="Above Avg"/>
    <s v="Loss"/>
    <n v="10"/>
  </r>
  <r>
    <n v="319"/>
    <x v="318"/>
    <n v="1001"/>
    <s v="Customer_40"/>
    <s v="Corporate"/>
    <s v="South"/>
    <s v="Clothing"/>
    <x v="2"/>
    <n v="1915"/>
    <n v="3"/>
    <n v="0.28999999999999998"/>
    <n v="1599"/>
    <s v="Card"/>
    <n v="4078.95"/>
    <s v="Nov"/>
    <n v="2024"/>
    <s v="Q4"/>
    <n v="0.39201265031441918"/>
    <n v="1666.05"/>
    <s v="Medium"/>
    <s v="Repeat"/>
    <s v="Below Avg"/>
    <s v="Profit"/>
    <n v="349"/>
  </r>
  <r>
    <n v="320"/>
    <x v="319"/>
    <n v="1005"/>
    <s v="Customer_22"/>
    <s v="Corporate"/>
    <s v="South"/>
    <s v="Clothing"/>
    <x v="0"/>
    <n v="4067"/>
    <n v="7"/>
    <n v="0.09"/>
    <n v="1720"/>
    <s v="UPI"/>
    <n v="25906.79"/>
    <s v="Nov"/>
    <n v="2024"/>
    <s v="Q4"/>
    <n v="6.6391860975443112E-2"/>
    <n v="2562.21"/>
    <s v="High"/>
    <s v="Repeat"/>
    <s v="Above Avg"/>
    <s v="Profit"/>
    <n v="40"/>
  </r>
  <r>
    <n v="321"/>
    <x v="320"/>
    <n v="1081"/>
    <s v="Customer_192"/>
    <s v="Corporate"/>
    <s v="East"/>
    <s v="Furniture"/>
    <x v="1"/>
    <n v="240"/>
    <n v="9"/>
    <n v="0.19"/>
    <n v="271"/>
    <s v="Card"/>
    <n v="1749.6"/>
    <s v="Nov"/>
    <n v="2024"/>
    <s v="Q4"/>
    <n v="0.15489254686785553"/>
    <n v="410.4"/>
    <s v="Low"/>
    <s v="Repeat"/>
    <s v="Below Avg"/>
    <s v="Profit"/>
    <n v="443"/>
  </r>
  <r>
    <n v="322"/>
    <x v="321"/>
    <n v="1035"/>
    <s v="Customer_138"/>
    <s v="Consumer"/>
    <s v="North"/>
    <s v="Electronics"/>
    <x v="1"/>
    <n v="3410"/>
    <n v="5"/>
    <n v="0.2"/>
    <n v="1549"/>
    <s v="Card"/>
    <n v="13640"/>
    <s v="Nov"/>
    <n v="2024"/>
    <s v="Q4"/>
    <n v="0.11356304985337243"/>
    <n v="3410"/>
    <s v="High"/>
    <s v="Repeat"/>
    <s v="Above Avg"/>
    <s v="Profit"/>
    <n v="151"/>
  </r>
  <r>
    <n v="323"/>
    <x v="322"/>
    <n v="1077"/>
    <s v="Customer_105"/>
    <s v="Consumer"/>
    <s v="East"/>
    <s v="Clothing"/>
    <x v="1"/>
    <n v="601"/>
    <n v="4"/>
    <n v="0.19"/>
    <n v="-310"/>
    <s v="COD"/>
    <n v="1947.24"/>
    <s v="Nov"/>
    <n v="2024"/>
    <s v="Q4"/>
    <n v="-0.15919968776319304"/>
    <n v="456.76"/>
    <s v="Low"/>
    <s v="Repeat"/>
    <s v="Below Avg"/>
    <s v="Loss"/>
    <n v="433"/>
  </r>
  <r>
    <n v="324"/>
    <x v="323"/>
    <n v="1025"/>
    <s v="Customer_134"/>
    <s v="Corporate"/>
    <s v="South"/>
    <s v="Furniture"/>
    <x v="2"/>
    <n v="1554"/>
    <n v="2"/>
    <n v="0.09"/>
    <n v="1816"/>
    <s v="COD"/>
    <n v="2828.28"/>
    <s v="Nov"/>
    <n v="2024"/>
    <s v="Q4"/>
    <n v="0.64208635637207057"/>
    <n v="279.71999999999997"/>
    <s v="Medium"/>
    <s v="Repeat"/>
    <s v="Below Avg"/>
    <s v="Profit"/>
    <n v="398"/>
  </r>
  <r>
    <n v="325"/>
    <x v="324"/>
    <n v="1097"/>
    <s v="Customer_17"/>
    <s v="Consumer"/>
    <s v="South"/>
    <s v="Furniture"/>
    <x v="3"/>
    <n v="4379"/>
    <n v="5"/>
    <n v="0.17"/>
    <n v="884"/>
    <s v="UPI"/>
    <n v="18172.849999999999"/>
    <s v="Nov"/>
    <n v="2024"/>
    <s v="Q4"/>
    <n v="4.8643993649867802E-2"/>
    <n v="3722.15"/>
    <s v="High"/>
    <s v="Repeat"/>
    <s v="Above Avg"/>
    <s v="Profit"/>
    <n v="90"/>
  </r>
  <r>
    <n v="326"/>
    <x v="325"/>
    <n v="1093"/>
    <s v="Customer_76"/>
    <s v="Corporate"/>
    <s v="East"/>
    <s v="Clothing"/>
    <x v="3"/>
    <n v="635"/>
    <n v="3"/>
    <n v="0.21"/>
    <n v="895"/>
    <s v="Card"/>
    <n v="1504.95"/>
    <s v="Nov"/>
    <n v="2024"/>
    <s v="Q4"/>
    <n v="0.59470414299478391"/>
    <n v="400.05"/>
    <s v="Low"/>
    <s v="Repeat"/>
    <s v="Below Avg"/>
    <s v="Profit"/>
    <n v="457"/>
  </r>
  <r>
    <n v="327"/>
    <x v="326"/>
    <n v="1070"/>
    <s v="Customer_191"/>
    <s v="Consumer"/>
    <s v="East"/>
    <s v="Furniture"/>
    <x v="2"/>
    <n v="2260"/>
    <n v="3"/>
    <n v="0.11"/>
    <n v="1691"/>
    <s v="UPI"/>
    <n v="6034.2"/>
    <s v="Nov"/>
    <n v="2024"/>
    <s v="Q4"/>
    <n v="0.28023598820058998"/>
    <n v="745.8"/>
    <s v="High"/>
    <s v="Repeat"/>
    <s v="Below Avg"/>
    <s v="Profit"/>
    <n v="295"/>
  </r>
  <r>
    <n v="328"/>
    <x v="327"/>
    <n v="1058"/>
    <s v="Customer_198"/>
    <s v="Consumer"/>
    <s v="West"/>
    <s v="Furniture"/>
    <x v="3"/>
    <n v="4341"/>
    <n v="7"/>
    <n v="0.08"/>
    <n v="-164"/>
    <s v="COD"/>
    <n v="27956.04"/>
    <s v="Nov"/>
    <n v="2024"/>
    <s v="Q4"/>
    <n v="-5.8663530314021581E-3"/>
    <n v="2430.96"/>
    <s v="High"/>
    <s v="Repeat"/>
    <s v="Above Avg"/>
    <s v="Loss"/>
    <n v="32"/>
  </r>
  <r>
    <n v="329"/>
    <x v="328"/>
    <n v="1029"/>
    <s v="Customer_178"/>
    <s v="Consumer"/>
    <s v="West"/>
    <s v="Electronics"/>
    <x v="3"/>
    <n v="2929"/>
    <n v="6"/>
    <n v="0.08"/>
    <n v="122"/>
    <s v="COD"/>
    <n v="16168.08"/>
    <s v="Nov"/>
    <n v="2024"/>
    <s v="Q4"/>
    <n v="7.5457320844528235E-3"/>
    <n v="1405.92"/>
    <s v="High"/>
    <s v="Repeat"/>
    <s v="Above Avg"/>
    <s v="Profit"/>
    <n v="123"/>
  </r>
  <r>
    <n v="330"/>
    <x v="329"/>
    <n v="1081"/>
    <s v="Customer_80"/>
    <s v="Corporate"/>
    <s v="North"/>
    <s v="Furniture"/>
    <x v="0"/>
    <n v="4483"/>
    <n v="3"/>
    <n v="0.28000000000000003"/>
    <n v="1527"/>
    <s v="Card"/>
    <n v="9683.2799999999897"/>
    <s v="Nov"/>
    <n v="2024"/>
    <s v="Q4"/>
    <n v="0.15769450021067258"/>
    <n v="3765.7200000000003"/>
    <s v="High"/>
    <s v="Repeat"/>
    <s v="Below Avg"/>
    <s v="Profit"/>
    <n v="209"/>
  </r>
  <r>
    <n v="331"/>
    <x v="330"/>
    <n v="1021"/>
    <s v="Customer_196"/>
    <s v="Corporate"/>
    <s v="South"/>
    <s v="Electronics"/>
    <x v="3"/>
    <n v="1725"/>
    <n v="9"/>
    <n v="0.19"/>
    <n v="508"/>
    <s v="COD"/>
    <n v="12575.25"/>
    <s v="Nov"/>
    <n v="2024"/>
    <s v="Q4"/>
    <n v="4.0396811196596487E-2"/>
    <n v="2949.75"/>
    <s v="High"/>
    <s v="Repeat"/>
    <s v="Above Avg"/>
    <s v="Profit"/>
    <n v="162"/>
  </r>
  <r>
    <n v="332"/>
    <x v="331"/>
    <n v="1016"/>
    <s v="Customer_153"/>
    <s v="Consumer"/>
    <s v="South"/>
    <s v="Furniture"/>
    <x v="2"/>
    <n v="4547"/>
    <n v="7"/>
    <n v="0.23"/>
    <n v="695"/>
    <s v="UPI"/>
    <n v="24508.33"/>
    <s v="Nov"/>
    <n v="2024"/>
    <s v="Q4"/>
    <n v="2.8357705318967058E-2"/>
    <n v="7320.67"/>
    <s v="High"/>
    <s v="Repeat"/>
    <s v="Above Avg"/>
    <s v="Profit"/>
    <n v="47"/>
  </r>
  <r>
    <n v="333"/>
    <x v="332"/>
    <n v="1030"/>
    <s v="Customer_33"/>
    <s v="Consumer"/>
    <s v="South"/>
    <s v="Electronics"/>
    <x v="2"/>
    <n v="2252"/>
    <n v="8"/>
    <n v="0.17"/>
    <n v="1739"/>
    <s v="Card"/>
    <n v="14953.279999999901"/>
    <s v="Nov"/>
    <n v="2024"/>
    <s v="Q4"/>
    <n v="0.11629555522266764"/>
    <n v="3062.7200000000003"/>
    <s v="High"/>
    <s v="Repeat"/>
    <s v="Above Avg"/>
    <s v="Profit"/>
    <n v="140"/>
  </r>
  <r>
    <n v="334"/>
    <x v="333"/>
    <n v="1055"/>
    <s v="Customer_1"/>
    <s v="Corporate"/>
    <s v="West"/>
    <s v="Clothing"/>
    <x v="2"/>
    <n v="3427"/>
    <n v="4"/>
    <n v="0.19"/>
    <n v="922"/>
    <s v="Card"/>
    <n v="11103.48"/>
    <s v="Nov"/>
    <n v="2024"/>
    <s v="Q4"/>
    <n v="8.3037029832088688E-2"/>
    <n v="2604.52"/>
    <s v="High"/>
    <s v="Repeat"/>
    <s v="Above Avg"/>
    <s v="Profit"/>
    <n v="188"/>
  </r>
  <r>
    <n v="335"/>
    <x v="334"/>
    <n v="1080"/>
    <s v="Customer_79"/>
    <s v="Consumer"/>
    <s v="North"/>
    <s v="Clothing"/>
    <x v="0"/>
    <n v="370"/>
    <n v="7"/>
    <n v="0.08"/>
    <n v="1381"/>
    <s v="Card"/>
    <n v="2382.8000000000002"/>
    <s v="Nov"/>
    <n v="2024"/>
    <s v="Q4"/>
    <n v="0.57957025348329694"/>
    <n v="207.20000000000002"/>
    <s v="Medium"/>
    <s v="Repeat"/>
    <s v="Below Avg"/>
    <s v="Profit"/>
    <n v="413"/>
  </r>
  <r>
    <n v="336"/>
    <x v="335"/>
    <n v="1030"/>
    <s v="Customer_128"/>
    <s v="Consumer"/>
    <s v="South"/>
    <s v="Electronics"/>
    <x v="1"/>
    <n v="4426"/>
    <n v="9"/>
    <n v="0.27"/>
    <n v="-447"/>
    <s v="Card"/>
    <n v="29078.82"/>
    <s v="Dec"/>
    <n v="2024"/>
    <s v="Q4"/>
    <n v="-1.537201303216568E-2"/>
    <n v="10755.18"/>
    <s v="High"/>
    <s v="Repeat"/>
    <s v="Above Avg"/>
    <s v="Loss"/>
    <n v="26"/>
  </r>
  <r>
    <n v="337"/>
    <x v="336"/>
    <n v="1012"/>
    <s v="Customer_145"/>
    <s v="Corporate"/>
    <s v="West"/>
    <s v="Clothing"/>
    <x v="3"/>
    <n v="3915"/>
    <n v="8"/>
    <n v="0.15"/>
    <n v="-47"/>
    <s v="Card"/>
    <n v="26622"/>
    <s v="Dec"/>
    <n v="2024"/>
    <s v="Q4"/>
    <n v="-1.7654571407106905E-3"/>
    <n v="4698"/>
    <s v="High"/>
    <s v="Repeat"/>
    <s v="Above Avg"/>
    <s v="Loss"/>
    <n v="36"/>
  </r>
  <r>
    <n v="338"/>
    <x v="337"/>
    <n v="1090"/>
    <s v="Customer_171"/>
    <s v="Consumer"/>
    <s v="North"/>
    <s v="Furniture"/>
    <x v="2"/>
    <n v="1456"/>
    <n v="7"/>
    <n v="0.24"/>
    <n v="-31"/>
    <s v="Card"/>
    <n v="7745.92"/>
    <s v="Dec"/>
    <n v="2024"/>
    <s v="Q4"/>
    <n v="-4.0021069156407499E-3"/>
    <n v="2446.08"/>
    <s v="High"/>
    <s v="Repeat"/>
    <s v="Below Avg"/>
    <s v="Loss"/>
    <n v="258"/>
  </r>
  <r>
    <n v="339"/>
    <x v="338"/>
    <n v="1083"/>
    <s v="Customer_186"/>
    <s v="Corporate"/>
    <s v="East"/>
    <s v="Electronics"/>
    <x v="0"/>
    <n v="4189"/>
    <n v="5"/>
    <n v="0.16"/>
    <n v="798"/>
    <s v="Card"/>
    <n v="17593.8"/>
    <s v="Dec"/>
    <n v="2024"/>
    <s v="Q4"/>
    <n v="4.5356887085223209E-2"/>
    <n v="3351.2000000000003"/>
    <s v="High"/>
    <s v="Repeat"/>
    <s v="Above Avg"/>
    <s v="Profit"/>
    <n v="95"/>
  </r>
  <r>
    <n v="340"/>
    <x v="339"/>
    <n v="1016"/>
    <s v="Customer_147"/>
    <s v="Consumer"/>
    <s v="East"/>
    <s v="Electronics"/>
    <x v="3"/>
    <n v="190"/>
    <n v="8"/>
    <n v="0.03"/>
    <n v="728"/>
    <s v="Card"/>
    <n v="1474.3999999999901"/>
    <s v="Dec"/>
    <n v="2024"/>
    <s v="Q4"/>
    <n v="0.4937601736299545"/>
    <n v="45.6"/>
    <s v="Low"/>
    <s v="Repeat"/>
    <s v="Below Avg"/>
    <s v="Profit"/>
    <n v="458"/>
  </r>
  <r>
    <n v="341"/>
    <x v="340"/>
    <n v="1092"/>
    <s v="Customer_54"/>
    <s v="Corporate"/>
    <s v="East"/>
    <s v="Clothing"/>
    <x v="1"/>
    <n v="2277"/>
    <n v="8"/>
    <n v="0.03"/>
    <n v="297"/>
    <s v="UPI"/>
    <n v="17669.52"/>
    <s v="Dec"/>
    <n v="2024"/>
    <s v="Q4"/>
    <n v="1.6808606006275213E-2"/>
    <n v="546.48"/>
    <s v="High"/>
    <s v="Repeat"/>
    <s v="Above Avg"/>
    <s v="Profit"/>
    <n v="94"/>
  </r>
  <r>
    <n v="342"/>
    <x v="341"/>
    <n v="1038"/>
    <s v="Customer_114"/>
    <s v="Corporate"/>
    <s v="West"/>
    <s v="Electronics"/>
    <x v="0"/>
    <n v="1830"/>
    <n v="4"/>
    <n v="0.14000000000000001"/>
    <n v="898"/>
    <s v="COD"/>
    <n v="6295.2"/>
    <s v="Dec"/>
    <n v="2024"/>
    <s v="Q4"/>
    <n v="0.14264836700978523"/>
    <n v="1024.8000000000002"/>
    <s v="High"/>
    <s v="Repeat"/>
    <s v="Below Avg"/>
    <s v="Profit"/>
    <n v="291"/>
  </r>
  <r>
    <n v="343"/>
    <x v="342"/>
    <n v="1098"/>
    <s v="Customer_83"/>
    <s v="Corporate"/>
    <s v="East"/>
    <s v="Clothing"/>
    <x v="2"/>
    <n v="2458"/>
    <n v="9"/>
    <n v="0.13"/>
    <n v="-443"/>
    <s v="COD"/>
    <n v="19246.14"/>
    <s v="Dec"/>
    <n v="2024"/>
    <s v="Q4"/>
    <n v="-2.3017602490681251E-2"/>
    <n v="2875.86"/>
    <s v="High"/>
    <s v="Repeat"/>
    <s v="Above Avg"/>
    <s v="Loss"/>
    <n v="83"/>
  </r>
  <r>
    <n v="344"/>
    <x v="343"/>
    <n v="1007"/>
    <s v="Customer_84"/>
    <s v="Consumer"/>
    <s v="East"/>
    <s v="Electronics"/>
    <x v="2"/>
    <n v="2809"/>
    <n v="1"/>
    <n v="0.27"/>
    <n v="-352"/>
    <s v="COD"/>
    <n v="2050.5700000000002"/>
    <s v="Dec"/>
    <n v="2024"/>
    <s v="Q4"/>
    <n v="-0.17165958733425338"/>
    <n v="758.43000000000006"/>
    <s v="Medium"/>
    <s v="Repeat"/>
    <s v="Below Avg"/>
    <s v="Loss"/>
    <n v="426"/>
  </r>
  <r>
    <n v="345"/>
    <x v="344"/>
    <n v="1037"/>
    <s v="Customer_1"/>
    <s v="Consumer"/>
    <s v="North"/>
    <s v="Clothing"/>
    <x v="1"/>
    <n v="448"/>
    <n v="9"/>
    <n v="0.04"/>
    <n v="1096"/>
    <s v="COD"/>
    <n v="3870.72"/>
    <s v="Dec"/>
    <n v="2024"/>
    <s v="Q4"/>
    <n v="0.28315145502645506"/>
    <n v="161.28"/>
    <s v="Medium"/>
    <s v="Repeat"/>
    <s v="Below Avg"/>
    <s v="Profit"/>
    <n v="358"/>
  </r>
  <r>
    <n v="346"/>
    <x v="345"/>
    <n v="1014"/>
    <s v="Customer_144"/>
    <s v="Consumer"/>
    <s v="East"/>
    <s v="Clothing"/>
    <x v="3"/>
    <n v="4977"/>
    <n v="1"/>
    <n v="0.21"/>
    <n v="294"/>
    <s v="Card"/>
    <n v="3931.83"/>
    <s v="Dec"/>
    <n v="2024"/>
    <s v="Q4"/>
    <n v="7.4774341718741658E-2"/>
    <n v="1045.17"/>
    <s v="Medium"/>
    <s v="Repeat"/>
    <s v="Below Avg"/>
    <s v="Profit"/>
    <n v="357"/>
  </r>
  <r>
    <n v="347"/>
    <x v="346"/>
    <n v="1000"/>
    <s v="Customer_152"/>
    <s v="Consumer"/>
    <s v="East"/>
    <s v="Furniture"/>
    <x v="0"/>
    <n v="4432"/>
    <n v="5"/>
    <n v="0.28000000000000003"/>
    <n v="1809"/>
    <s v="UPI"/>
    <n v="15955.199999999901"/>
    <s v="Dec"/>
    <n v="2024"/>
    <s v="Q4"/>
    <n v="0.11337996389891768"/>
    <n v="6204.8"/>
    <s v="High"/>
    <s v="Repeat"/>
    <s v="Above Avg"/>
    <s v="Profit"/>
    <n v="130"/>
  </r>
  <r>
    <n v="348"/>
    <x v="347"/>
    <n v="1096"/>
    <s v="Customer_192"/>
    <s v="Corporate"/>
    <s v="West"/>
    <s v="Furniture"/>
    <x v="0"/>
    <n v="1393"/>
    <n v="6"/>
    <n v="0.12"/>
    <n v="1693"/>
    <s v="Card"/>
    <n v="7355.04"/>
    <s v="Dec"/>
    <n v="2024"/>
    <s v="Q4"/>
    <n v="0.23018229676521135"/>
    <n v="1002.9599999999999"/>
    <s v="High"/>
    <s v="Repeat"/>
    <s v="Below Avg"/>
    <s v="Profit"/>
    <n v="266"/>
  </r>
  <r>
    <n v="349"/>
    <x v="348"/>
    <n v="1002"/>
    <s v="Customer_186"/>
    <s v="Consumer"/>
    <s v="West"/>
    <s v="Electronics"/>
    <x v="3"/>
    <n v="4564"/>
    <n v="5"/>
    <n v="0.27"/>
    <n v="710"/>
    <s v="UPI"/>
    <n v="16658.599999999999"/>
    <s v="Dec"/>
    <n v="2024"/>
    <s v="Q4"/>
    <n v="4.2620628384137924E-2"/>
    <n v="6161.4000000000005"/>
    <s v="High"/>
    <s v="Repeat"/>
    <s v="Above Avg"/>
    <s v="Profit"/>
    <n v="111"/>
  </r>
  <r>
    <n v="350"/>
    <x v="349"/>
    <n v="1037"/>
    <s v="Customer_152"/>
    <s v="Consumer"/>
    <s v="West"/>
    <s v="Clothing"/>
    <x v="2"/>
    <n v="2447"/>
    <n v="4"/>
    <n v="0.04"/>
    <n v="-339"/>
    <s v="UPI"/>
    <n v="9396.48"/>
    <s v="Dec"/>
    <n v="2024"/>
    <s v="Q4"/>
    <n v="-3.6077339599509609E-2"/>
    <n v="391.52"/>
    <s v="High"/>
    <s v="Repeat"/>
    <s v="Below Avg"/>
    <s v="Loss"/>
    <n v="221"/>
  </r>
  <r>
    <n v="351"/>
    <x v="350"/>
    <n v="1047"/>
    <s v="Customer_186"/>
    <s v="Consumer"/>
    <s v="East"/>
    <s v="Furniture"/>
    <x v="3"/>
    <n v="3091"/>
    <n v="5"/>
    <n v="0.03"/>
    <n v="644"/>
    <s v="UPI"/>
    <n v="14991.35"/>
    <s v="Dec"/>
    <n v="2024"/>
    <s v="Q4"/>
    <n v="4.2958105841034995E-2"/>
    <n v="463.65"/>
    <s v="High"/>
    <s v="Repeat"/>
    <s v="Above Avg"/>
    <s v="Profit"/>
    <n v="139"/>
  </r>
  <r>
    <n v="352"/>
    <x v="351"/>
    <n v="1062"/>
    <s v="Customer_101"/>
    <s v="Consumer"/>
    <s v="North"/>
    <s v="Electronics"/>
    <x v="3"/>
    <n v="2900"/>
    <n v="7"/>
    <n v="7.0000000000000007E-2"/>
    <n v="1932"/>
    <s v="UPI"/>
    <n v="18879"/>
    <s v="Dec"/>
    <n v="2024"/>
    <s v="Q4"/>
    <n v="0.10233592880978866"/>
    <n v="1421.0000000000002"/>
    <s v="High"/>
    <s v="Repeat"/>
    <s v="Above Avg"/>
    <s v="Profit"/>
    <n v="85"/>
  </r>
  <r>
    <n v="353"/>
    <x v="352"/>
    <n v="1061"/>
    <s v="Customer_192"/>
    <s v="Consumer"/>
    <s v="South"/>
    <s v="Clothing"/>
    <x v="3"/>
    <n v="4356"/>
    <n v="2"/>
    <n v="0.16"/>
    <n v="332"/>
    <s v="COD"/>
    <n v="7318.08"/>
    <s v="Dec"/>
    <n v="2024"/>
    <s v="Q4"/>
    <n v="4.5367090821636279E-2"/>
    <n v="1393.92"/>
    <s v="High"/>
    <s v="Repeat"/>
    <s v="Below Avg"/>
    <s v="Profit"/>
    <n v="268"/>
  </r>
  <r>
    <n v="354"/>
    <x v="353"/>
    <n v="1014"/>
    <s v="Customer_169"/>
    <s v="Corporate"/>
    <s v="West"/>
    <s v="Furniture"/>
    <x v="2"/>
    <n v="1224"/>
    <n v="7"/>
    <n v="0.19"/>
    <n v="210"/>
    <s v="COD"/>
    <n v="6940.08"/>
    <s v="Dec"/>
    <n v="2024"/>
    <s v="Q4"/>
    <n v="3.0259017187121762E-2"/>
    <n v="1627.92"/>
    <s v="High"/>
    <s v="Repeat"/>
    <s v="Below Avg"/>
    <s v="Profit"/>
    <n v="275"/>
  </r>
  <r>
    <n v="355"/>
    <x v="354"/>
    <n v="1061"/>
    <s v="Customer_161"/>
    <s v="Consumer"/>
    <s v="North"/>
    <s v="Clothing"/>
    <x v="2"/>
    <n v="673"/>
    <n v="9"/>
    <n v="0.23"/>
    <n v="944"/>
    <s v="UPI"/>
    <n v="4663.8900000000003"/>
    <s v="Dec"/>
    <n v="2024"/>
    <s v="Q4"/>
    <n v="0.20240614594255008"/>
    <n v="1393.1100000000001"/>
    <s v="Medium"/>
    <s v="Repeat"/>
    <s v="Below Avg"/>
    <s v="Profit"/>
    <n v="332"/>
  </r>
  <r>
    <n v="356"/>
    <x v="355"/>
    <n v="1081"/>
    <s v="Customer_186"/>
    <s v="Corporate"/>
    <s v="East"/>
    <s v="Furniture"/>
    <x v="0"/>
    <n v="4179"/>
    <n v="7"/>
    <n v="0.23"/>
    <n v="-144"/>
    <s v="UPI"/>
    <n v="22524.81"/>
    <s v="Dec"/>
    <n v="2024"/>
    <s v="Q4"/>
    <n v="-6.3929507063544598E-3"/>
    <n v="6728.1900000000005"/>
    <s v="High"/>
    <s v="Repeat"/>
    <s v="Above Avg"/>
    <s v="Loss"/>
    <n v="62"/>
  </r>
  <r>
    <n v="357"/>
    <x v="356"/>
    <n v="1037"/>
    <s v="Customer_125"/>
    <s v="Consumer"/>
    <s v="West"/>
    <s v="Clothing"/>
    <x v="3"/>
    <n v="928"/>
    <n v="4"/>
    <n v="0.03"/>
    <n v="182"/>
    <s v="Card"/>
    <n v="3600.64"/>
    <s v="Dec"/>
    <n v="2024"/>
    <s v="Q4"/>
    <n v="5.0546569498755779E-2"/>
    <n v="111.36"/>
    <s v="Medium"/>
    <s v="Repeat"/>
    <s v="Below Avg"/>
    <s v="Profit"/>
    <n v="368"/>
  </r>
  <r>
    <n v="358"/>
    <x v="357"/>
    <n v="1094"/>
    <s v="Customer_184"/>
    <s v="Consumer"/>
    <s v="North"/>
    <s v="Electronics"/>
    <x v="3"/>
    <n v="570"/>
    <n v="8"/>
    <n v="0.26"/>
    <n v="1134"/>
    <s v="UPI"/>
    <n v="3374.4"/>
    <s v="Dec"/>
    <n v="2024"/>
    <s v="Q4"/>
    <n v="0.33605974395448079"/>
    <n v="1185.6000000000001"/>
    <s v="Medium"/>
    <s v="Repeat"/>
    <s v="Below Avg"/>
    <s v="Profit"/>
    <n v="382"/>
  </r>
  <r>
    <n v="359"/>
    <x v="358"/>
    <n v="1019"/>
    <s v="Customer_95"/>
    <s v="Corporate"/>
    <s v="South"/>
    <s v="Furniture"/>
    <x v="2"/>
    <n v="4250"/>
    <n v="8"/>
    <n v="0.03"/>
    <n v="335"/>
    <s v="Card"/>
    <n v="32980"/>
    <s v="Dec"/>
    <n v="2024"/>
    <s v="Q4"/>
    <n v="1.015767131594906E-2"/>
    <n v="1020"/>
    <s v="High"/>
    <s v="Repeat"/>
    <s v="Above Avg"/>
    <s v="Profit"/>
    <n v="17"/>
  </r>
  <r>
    <n v="360"/>
    <x v="359"/>
    <n v="1058"/>
    <s v="Customer_15"/>
    <s v="Corporate"/>
    <s v="North"/>
    <s v="Clothing"/>
    <x v="2"/>
    <n v="2351"/>
    <n v="9"/>
    <n v="0.27"/>
    <n v="28"/>
    <s v="COD"/>
    <n v="15446.07"/>
    <s v="Dec"/>
    <n v="2024"/>
    <s v="Q4"/>
    <n v="1.8127588441590645E-3"/>
    <n v="5712.93"/>
    <s v="High"/>
    <s v="Repeat"/>
    <s v="Above Avg"/>
    <s v="Profit"/>
    <n v="135"/>
  </r>
  <r>
    <n v="361"/>
    <x v="360"/>
    <n v="1006"/>
    <s v="Customer_65"/>
    <s v="Corporate"/>
    <s v="East"/>
    <s v="Furniture"/>
    <x v="3"/>
    <n v="4067"/>
    <n v="6"/>
    <n v="0.28999999999999998"/>
    <n v="1213"/>
    <s v="UPI"/>
    <n v="17325.419999999998"/>
    <s v="Dec"/>
    <n v="2024"/>
    <s v="Q4"/>
    <n v="7.0012732736060665E-2"/>
    <n v="7076.58"/>
    <s v="High"/>
    <s v="Repeat"/>
    <s v="Above Avg"/>
    <s v="Profit"/>
    <n v="102"/>
  </r>
  <r>
    <n v="362"/>
    <x v="361"/>
    <n v="1090"/>
    <s v="Customer_113"/>
    <s v="Corporate"/>
    <s v="West"/>
    <s v="Furniture"/>
    <x v="1"/>
    <n v="2732"/>
    <n v="1"/>
    <n v="0.18"/>
    <n v="547"/>
    <s v="COD"/>
    <n v="2240.2399999999998"/>
    <s v="Dec"/>
    <n v="2024"/>
    <s v="Q4"/>
    <n v="0.24417026747134238"/>
    <n v="491.76"/>
    <s v="Medium"/>
    <s v="Repeat"/>
    <s v="Below Avg"/>
    <s v="Profit"/>
    <n v="418"/>
  </r>
  <r>
    <n v="363"/>
    <x v="362"/>
    <n v="1071"/>
    <s v="Customer_140"/>
    <s v="Consumer"/>
    <s v="North"/>
    <s v="Clothing"/>
    <x v="2"/>
    <n v="4332"/>
    <n v="9"/>
    <n v="0.21"/>
    <n v="1493"/>
    <s v="COD"/>
    <n v="30800.52"/>
    <s v="Dec"/>
    <n v="2024"/>
    <s v="Q4"/>
    <n v="4.8473207595196445E-2"/>
    <n v="8187.48"/>
    <s v="High"/>
    <s v="Repeat"/>
    <s v="Above Avg"/>
    <s v="Profit"/>
    <n v="22"/>
  </r>
  <r>
    <n v="364"/>
    <x v="363"/>
    <n v="1077"/>
    <s v="Customer_163"/>
    <s v="Consumer"/>
    <s v="North"/>
    <s v="Electronics"/>
    <x v="1"/>
    <n v="1198"/>
    <n v="9"/>
    <n v="0.11"/>
    <n v="-189"/>
    <s v="UPI"/>
    <n v="9595.98"/>
    <s v="Dec"/>
    <n v="2024"/>
    <s v="Q4"/>
    <n v="-1.9695747594305115E-2"/>
    <n v="1186.02"/>
    <s v="High"/>
    <s v="Repeat"/>
    <s v="Below Avg"/>
    <s v="Loss"/>
    <n v="212"/>
  </r>
  <r>
    <n v="365"/>
    <x v="364"/>
    <n v="1078"/>
    <s v="Customer_37"/>
    <s v="Consumer"/>
    <s v="North"/>
    <s v="Furniture"/>
    <x v="3"/>
    <n v="3189"/>
    <n v="1"/>
    <n v="0.17"/>
    <n v="159"/>
    <s v="UPI"/>
    <n v="2646.87"/>
    <s v="Dec"/>
    <n v="2024"/>
    <s v="Q4"/>
    <n v="6.0070951727889926E-2"/>
    <n v="542.13"/>
    <s v="Medium"/>
    <s v="Repeat"/>
    <s v="Below Avg"/>
    <s v="Profit"/>
    <n v="407"/>
  </r>
  <r>
    <n v="366"/>
    <x v="365"/>
    <n v="1070"/>
    <s v="Customer_30"/>
    <s v="Corporate"/>
    <s v="West"/>
    <s v="Clothing"/>
    <x v="3"/>
    <n v="531"/>
    <n v="9"/>
    <n v="0.25"/>
    <n v="1369"/>
    <s v="COD"/>
    <n v="3584.25"/>
    <s v="Dec"/>
    <n v="2024"/>
    <s v="Q4"/>
    <n v="0.38194880379437818"/>
    <n v="1194.75"/>
    <s v="Medium"/>
    <s v="Repeat"/>
    <s v="Below Avg"/>
    <s v="Profit"/>
    <n v="371"/>
  </r>
  <r>
    <n v="367"/>
    <x v="366"/>
    <n v="1096"/>
    <s v="Customer_11"/>
    <s v="Corporate"/>
    <s v="North"/>
    <s v="Electronics"/>
    <x v="1"/>
    <n v="1333"/>
    <n v="1"/>
    <n v="0.05"/>
    <n v="-123"/>
    <s v="UPI"/>
    <n v="1266.3499999999999"/>
    <s v="Jan"/>
    <n v="2025"/>
    <s v="Q1"/>
    <n v="-9.7129545544280813E-2"/>
    <n v="66.650000000000006"/>
    <s v="Low"/>
    <s v="Repeat"/>
    <s v="Below Avg"/>
    <s v="Loss"/>
    <n v="466"/>
  </r>
  <r>
    <n v="368"/>
    <x v="367"/>
    <n v="1051"/>
    <s v="Customer_188"/>
    <s v="Consumer"/>
    <s v="East"/>
    <s v="Clothing"/>
    <x v="1"/>
    <n v="1629"/>
    <n v="2"/>
    <n v="0.15"/>
    <n v="-281"/>
    <s v="Card"/>
    <n v="2769.2999999999902"/>
    <s v="Jan"/>
    <n v="2025"/>
    <s v="Q1"/>
    <n v="-0.10146968548008559"/>
    <n v="488.7"/>
    <s v="Medium"/>
    <s v="Repeat"/>
    <s v="Below Avg"/>
    <s v="Loss"/>
    <n v="400"/>
  </r>
  <r>
    <n v="369"/>
    <x v="368"/>
    <n v="1097"/>
    <s v="Customer_32"/>
    <s v="Corporate"/>
    <s v="East"/>
    <s v="Clothing"/>
    <x v="3"/>
    <n v="4451"/>
    <n v="6"/>
    <n v="0.12"/>
    <n v="978"/>
    <s v="UPI"/>
    <n v="23501.279999999999"/>
    <s v="Jan"/>
    <n v="2025"/>
    <s v="Q1"/>
    <n v="4.1614754600600483E-2"/>
    <n v="3204.72"/>
    <s v="High"/>
    <s v="Repeat"/>
    <s v="Above Avg"/>
    <s v="Profit"/>
    <n v="57"/>
  </r>
  <r>
    <n v="370"/>
    <x v="369"/>
    <n v="1003"/>
    <s v="Customer_2"/>
    <s v="Consumer"/>
    <s v="South"/>
    <s v="Furniture"/>
    <x v="1"/>
    <n v="1480"/>
    <n v="7"/>
    <n v="0.26"/>
    <n v="1989"/>
    <s v="UPI"/>
    <n v="7666.4"/>
    <s v="Jan"/>
    <n v="2025"/>
    <s v="Q1"/>
    <n v="0.25944380674110407"/>
    <n v="2693.6"/>
    <s v="High"/>
    <s v="Repeat"/>
    <s v="Below Avg"/>
    <s v="Profit"/>
    <n v="261"/>
  </r>
  <r>
    <n v="371"/>
    <x v="370"/>
    <n v="1000"/>
    <s v="Customer_138"/>
    <s v="Corporate"/>
    <s v="South"/>
    <s v="Clothing"/>
    <x v="3"/>
    <n v="241"/>
    <n v="7"/>
    <n v="0.04"/>
    <n v="967"/>
    <s v="COD"/>
    <n v="1619.52"/>
    <s v="Jan"/>
    <n v="2025"/>
    <s v="Q1"/>
    <n v="0.5970904959494171"/>
    <n v="67.48"/>
    <s v="Low"/>
    <s v="Repeat"/>
    <s v="Below Avg"/>
    <s v="Profit"/>
    <n v="452"/>
  </r>
  <r>
    <n v="372"/>
    <x v="371"/>
    <n v="1077"/>
    <s v="Customer_124"/>
    <s v="Corporate"/>
    <s v="South"/>
    <s v="Clothing"/>
    <x v="1"/>
    <n v="1316"/>
    <n v="6"/>
    <n v="0.27"/>
    <n v="-31"/>
    <s v="COD"/>
    <n v="5764.08"/>
    <s v="Jan"/>
    <n v="2025"/>
    <s v="Q1"/>
    <n v="-5.3781349322008024E-3"/>
    <n v="2131.92"/>
    <s v="High"/>
    <s v="Repeat"/>
    <s v="Below Avg"/>
    <s v="Loss"/>
    <n v="302"/>
  </r>
  <r>
    <n v="373"/>
    <x v="372"/>
    <n v="1094"/>
    <s v="Customer_174"/>
    <s v="Consumer"/>
    <s v="West"/>
    <s v="Electronics"/>
    <x v="3"/>
    <n v="3947"/>
    <n v="8"/>
    <n v="0.08"/>
    <n v="655"/>
    <s v="COD"/>
    <n v="29049.919999999998"/>
    <s v="Jan"/>
    <n v="2025"/>
    <s v="Q1"/>
    <n v="2.2547394278538462E-2"/>
    <n v="2526.08"/>
    <s v="High"/>
    <s v="Repeat"/>
    <s v="Above Avg"/>
    <s v="Profit"/>
    <n v="27"/>
  </r>
  <r>
    <n v="374"/>
    <x v="373"/>
    <n v="1037"/>
    <s v="Customer_22"/>
    <s v="Consumer"/>
    <s v="East"/>
    <s v="Furniture"/>
    <x v="2"/>
    <n v="4287"/>
    <n v="8"/>
    <n v="0.18"/>
    <n v="312"/>
    <s v="UPI"/>
    <n v="28122.720000000001"/>
    <s v="Jan"/>
    <n v="2025"/>
    <s v="Q1"/>
    <n v="1.1094232705798016E-2"/>
    <n v="6173.28"/>
    <s v="High"/>
    <s v="Repeat"/>
    <s v="Above Avg"/>
    <s v="Profit"/>
    <n v="30"/>
  </r>
  <r>
    <n v="375"/>
    <x v="374"/>
    <n v="1052"/>
    <s v="Customer_73"/>
    <s v="Corporate"/>
    <s v="East"/>
    <s v="Clothing"/>
    <x v="3"/>
    <n v="1876"/>
    <n v="1"/>
    <n v="0.11"/>
    <n v="486"/>
    <s v="Card"/>
    <n v="1669.64"/>
    <s v="Jan"/>
    <n v="2025"/>
    <s v="Q1"/>
    <n v="0.29108071200977453"/>
    <n v="206.36"/>
    <s v="Low"/>
    <s v="Repeat"/>
    <s v="Below Avg"/>
    <s v="Profit"/>
    <n v="448"/>
  </r>
  <r>
    <n v="376"/>
    <x v="375"/>
    <n v="1083"/>
    <s v="Customer_118"/>
    <s v="Corporate"/>
    <s v="South"/>
    <s v="Furniture"/>
    <x v="3"/>
    <n v="3751"/>
    <n v="9"/>
    <n v="0.28000000000000003"/>
    <n v="339"/>
    <s v="COD"/>
    <n v="24306.48"/>
    <s v="Jan"/>
    <n v="2025"/>
    <s v="Q1"/>
    <n v="1.3946898111120985E-2"/>
    <n v="9452.52"/>
    <s v="High"/>
    <s v="Repeat"/>
    <s v="Above Avg"/>
    <s v="Profit"/>
    <n v="49"/>
  </r>
  <r>
    <n v="377"/>
    <x v="376"/>
    <n v="1002"/>
    <s v="Customer_55"/>
    <s v="Consumer"/>
    <s v="South"/>
    <s v="Electronics"/>
    <x v="2"/>
    <n v="2552"/>
    <n v="4"/>
    <n v="0.06"/>
    <n v="-131"/>
    <s v="UPI"/>
    <n v="9595.5199999999895"/>
    <s v="Jan"/>
    <n v="2025"/>
    <s v="Q1"/>
    <n v="-1.3652204362035632E-2"/>
    <n v="612.48"/>
    <s v="High"/>
    <s v="Repeat"/>
    <s v="Below Avg"/>
    <s v="Loss"/>
    <n v="213"/>
  </r>
  <r>
    <n v="378"/>
    <x v="377"/>
    <n v="1098"/>
    <s v="Customer_187"/>
    <s v="Corporate"/>
    <s v="North"/>
    <s v="Electronics"/>
    <x v="3"/>
    <n v="817"/>
    <n v="4"/>
    <n v="0.15"/>
    <n v="514"/>
    <s v="UPI"/>
    <n v="2777.7999999999902"/>
    <s v="Jan"/>
    <n v="2025"/>
    <s v="Q1"/>
    <n v="0.18503851969184312"/>
    <n v="490.2"/>
    <s v="Medium"/>
    <s v="Repeat"/>
    <s v="Below Avg"/>
    <s v="Profit"/>
    <n v="399"/>
  </r>
  <r>
    <n v="379"/>
    <x v="378"/>
    <n v="1096"/>
    <s v="Customer_30"/>
    <s v="Corporate"/>
    <s v="South"/>
    <s v="Clothing"/>
    <x v="2"/>
    <n v="660"/>
    <n v="9"/>
    <n v="7.0000000000000007E-2"/>
    <n v="-250"/>
    <s v="UPI"/>
    <n v="5524.2"/>
    <s v="Jan"/>
    <n v="2025"/>
    <s v="Q1"/>
    <n v="-4.5255421599507621E-2"/>
    <n v="415.8"/>
    <s v="High"/>
    <s v="Repeat"/>
    <s v="Below Avg"/>
    <s v="Loss"/>
    <n v="308"/>
  </r>
  <r>
    <n v="380"/>
    <x v="379"/>
    <n v="1014"/>
    <s v="Customer_181"/>
    <s v="Consumer"/>
    <s v="West"/>
    <s v="Furniture"/>
    <x v="2"/>
    <n v="1004"/>
    <n v="2"/>
    <n v="0.24"/>
    <n v="-339"/>
    <s v="UPI"/>
    <n v="1526.08"/>
    <s v="Jan"/>
    <n v="2025"/>
    <s v="Q1"/>
    <n v="-0.2221377647305515"/>
    <n v="481.91999999999996"/>
    <s v="Low"/>
    <s v="Repeat"/>
    <s v="Below Avg"/>
    <s v="Loss"/>
    <n v="456"/>
  </r>
  <r>
    <n v="381"/>
    <x v="380"/>
    <n v="1002"/>
    <s v="Customer_89"/>
    <s v="Consumer"/>
    <s v="South"/>
    <s v="Clothing"/>
    <x v="1"/>
    <n v="1036"/>
    <n v="6"/>
    <n v="0.08"/>
    <n v="162"/>
    <s v="COD"/>
    <n v="5718.72"/>
    <s v="Jan"/>
    <n v="2025"/>
    <s v="Q1"/>
    <n v="2.8328017458452238E-2"/>
    <n v="497.28000000000003"/>
    <s v="High"/>
    <s v="Repeat"/>
    <s v="Below Avg"/>
    <s v="Profit"/>
    <n v="303"/>
  </r>
  <r>
    <n v="382"/>
    <x v="381"/>
    <n v="1091"/>
    <s v="Customer_21"/>
    <s v="Consumer"/>
    <s v="East"/>
    <s v="Furniture"/>
    <x v="3"/>
    <n v="396"/>
    <n v="2"/>
    <n v="0.28999999999999998"/>
    <n v="1960"/>
    <s v="Card"/>
    <n v="562.31999999999903"/>
    <s v="Jan"/>
    <n v="2025"/>
    <s v="Q1"/>
    <n v="3.4855598235879985"/>
    <n v="229.67999999999998"/>
    <s v="Low"/>
    <s v="Repeat"/>
    <s v="Below Avg"/>
    <s v="Profit"/>
    <n v="488"/>
  </r>
  <r>
    <n v="383"/>
    <x v="382"/>
    <n v="1090"/>
    <s v="Customer_82"/>
    <s v="Consumer"/>
    <s v="West"/>
    <s v="Furniture"/>
    <x v="2"/>
    <n v="4994"/>
    <n v="9"/>
    <n v="0.28000000000000003"/>
    <n v="992"/>
    <s v="COD"/>
    <n v="32361.119999999999"/>
    <s v="Jan"/>
    <n v="2025"/>
    <s v="Q1"/>
    <n v="3.0654068833217144E-2"/>
    <n v="12584.880000000001"/>
    <s v="High"/>
    <s v="Repeat"/>
    <s v="Above Avg"/>
    <s v="Profit"/>
    <n v="20"/>
  </r>
  <r>
    <n v="384"/>
    <x v="383"/>
    <n v="1032"/>
    <s v="Customer_20"/>
    <s v="Corporate"/>
    <s v="North"/>
    <s v="Electronics"/>
    <x v="0"/>
    <n v="1860"/>
    <n v="3"/>
    <n v="0.14000000000000001"/>
    <n v="1994"/>
    <s v="Card"/>
    <n v="4798.8"/>
    <s v="Jan"/>
    <n v="2025"/>
    <s v="Q1"/>
    <n v="0.41552054680336747"/>
    <n v="781.2"/>
    <s v="Medium"/>
    <s v="Repeat"/>
    <s v="Below Avg"/>
    <s v="Profit"/>
    <n v="330"/>
  </r>
  <r>
    <n v="385"/>
    <x v="384"/>
    <n v="1082"/>
    <s v="Customer_113"/>
    <s v="Corporate"/>
    <s v="West"/>
    <s v="Clothing"/>
    <x v="3"/>
    <n v="1299"/>
    <n v="6"/>
    <n v="0"/>
    <n v="92"/>
    <s v="UPI"/>
    <n v="7794"/>
    <s v="Jan"/>
    <n v="2025"/>
    <s v="Q1"/>
    <n v="1.1803951757762381E-2"/>
    <n v="0"/>
    <s v="High"/>
    <s v="Repeat"/>
    <s v="Below Avg"/>
    <s v="Profit"/>
    <n v="256"/>
  </r>
  <r>
    <n v="386"/>
    <x v="385"/>
    <n v="1055"/>
    <s v="Customer_167"/>
    <s v="Consumer"/>
    <s v="North"/>
    <s v="Furniture"/>
    <x v="3"/>
    <n v="4386"/>
    <n v="3"/>
    <n v="0.28999999999999998"/>
    <n v="838"/>
    <s v="COD"/>
    <n v="9342.18"/>
    <s v="Jan"/>
    <n v="2025"/>
    <s v="Q1"/>
    <n v="8.9700690845177455E-2"/>
    <n v="3815.8199999999997"/>
    <s v="High"/>
    <s v="Repeat"/>
    <s v="Below Avg"/>
    <s v="Profit"/>
    <n v="224"/>
  </r>
  <r>
    <n v="387"/>
    <x v="386"/>
    <n v="1032"/>
    <s v="Customer_35"/>
    <s v="Consumer"/>
    <s v="North"/>
    <s v="Electronics"/>
    <x v="0"/>
    <n v="3993"/>
    <n v="5"/>
    <n v="0.21"/>
    <n v="1730"/>
    <s v="COD"/>
    <n v="15772.35"/>
    <s v="Jan"/>
    <n v="2025"/>
    <s v="Q1"/>
    <n v="0.10968562072234005"/>
    <n v="4192.6499999999996"/>
    <s v="High"/>
    <s v="Repeat"/>
    <s v="Above Avg"/>
    <s v="Profit"/>
    <n v="132"/>
  </r>
  <r>
    <n v="388"/>
    <x v="387"/>
    <n v="1030"/>
    <s v="Customer_29"/>
    <s v="Consumer"/>
    <s v="East"/>
    <s v="Electronics"/>
    <x v="2"/>
    <n v="1045"/>
    <n v="3"/>
    <n v="0.15"/>
    <n v="1869"/>
    <s v="Card"/>
    <n v="2664.75"/>
    <s v="Jan"/>
    <n v="2025"/>
    <s v="Q1"/>
    <n v="0.70137911623979732"/>
    <n v="470.25"/>
    <s v="Medium"/>
    <s v="Repeat"/>
    <s v="Below Avg"/>
    <s v="Profit"/>
    <n v="405"/>
  </r>
  <r>
    <n v="389"/>
    <x v="388"/>
    <n v="1003"/>
    <s v="Customer_110"/>
    <s v="Corporate"/>
    <s v="West"/>
    <s v="Furniture"/>
    <x v="3"/>
    <n v="1736"/>
    <n v="8"/>
    <n v="0.18"/>
    <n v="492"/>
    <s v="COD"/>
    <n v="11388.16"/>
    <s v="Jan"/>
    <n v="2025"/>
    <s v="Q1"/>
    <n v="4.3202764976958526E-2"/>
    <n v="2499.8399999999997"/>
    <s v="High"/>
    <s v="Repeat"/>
    <s v="Above Avg"/>
    <s v="Profit"/>
    <n v="183"/>
  </r>
  <r>
    <n v="390"/>
    <x v="389"/>
    <n v="1095"/>
    <s v="Customer_56"/>
    <s v="Consumer"/>
    <s v="North"/>
    <s v="Clothing"/>
    <x v="0"/>
    <n v="2341"/>
    <n v="4"/>
    <n v="0.03"/>
    <n v="1730"/>
    <s v="Card"/>
    <n v="9083.08"/>
    <s v="Jan"/>
    <n v="2025"/>
    <s v="Q1"/>
    <n v="0.19046402762058684"/>
    <n v="280.92"/>
    <s v="High"/>
    <s v="Repeat"/>
    <s v="Below Avg"/>
    <s v="Profit"/>
    <n v="229"/>
  </r>
  <r>
    <n v="391"/>
    <x v="390"/>
    <n v="1091"/>
    <s v="Customer_116"/>
    <s v="Consumer"/>
    <s v="West"/>
    <s v="Clothing"/>
    <x v="3"/>
    <n v="3013"/>
    <n v="3"/>
    <n v="0.05"/>
    <n v="1502"/>
    <s v="COD"/>
    <n v="8587.0499999999993"/>
    <s v="Jan"/>
    <n v="2025"/>
    <s v="Q1"/>
    <n v="0.17491455156310959"/>
    <n v="451.95000000000005"/>
    <s v="High"/>
    <s v="Repeat"/>
    <s v="Below Avg"/>
    <s v="Profit"/>
    <n v="237"/>
  </r>
  <r>
    <n v="392"/>
    <x v="391"/>
    <n v="1079"/>
    <s v="Customer_183"/>
    <s v="Corporate"/>
    <s v="North"/>
    <s v="Clothing"/>
    <x v="1"/>
    <n v="3266"/>
    <n v="8"/>
    <n v="0.19"/>
    <n v="658"/>
    <s v="UPI"/>
    <n v="21163.68"/>
    <s v="Jan"/>
    <n v="2025"/>
    <s v="Q1"/>
    <n v="3.1091001186939134E-2"/>
    <n v="4964.32"/>
    <s v="High"/>
    <s v="Repeat"/>
    <s v="Above Avg"/>
    <s v="Profit"/>
    <n v="73"/>
  </r>
  <r>
    <n v="393"/>
    <x v="392"/>
    <n v="1091"/>
    <s v="Customer_181"/>
    <s v="Consumer"/>
    <s v="South"/>
    <s v="Clothing"/>
    <x v="3"/>
    <n v="4888"/>
    <n v="7"/>
    <n v="0.01"/>
    <n v="249"/>
    <s v="COD"/>
    <n v="33873.839999999997"/>
    <s v="Jan"/>
    <n v="2025"/>
    <s v="Q1"/>
    <n v="7.3508052231456497E-3"/>
    <n v="342.16"/>
    <s v="High"/>
    <s v="Repeat"/>
    <s v="Above Avg"/>
    <s v="Profit"/>
    <n v="15"/>
  </r>
  <r>
    <n v="394"/>
    <x v="393"/>
    <n v="1078"/>
    <s v="Customer_176"/>
    <s v="Corporate"/>
    <s v="South"/>
    <s v="Electronics"/>
    <x v="2"/>
    <n v="4543"/>
    <n v="1"/>
    <n v="0.21"/>
    <n v="62"/>
    <s v="UPI"/>
    <n v="3588.97"/>
    <s v="Jan"/>
    <n v="2025"/>
    <s v="Q1"/>
    <n v="1.7275151366548065E-2"/>
    <n v="954.03"/>
    <s v="Medium"/>
    <s v="Repeat"/>
    <s v="Below Avg"/>
    <s v="Profit"/>
    <n v="370"/>
  </r>
  <r>
    <n v="395"/>
    <x v="394"/>
    <n v="1021"/>
    <s v="Customer_67"/>
    <s v="Corporate"/>
    <s v="West"/>
    <s v="Clothing"/>
    <x v="2"/>
    <n v="2496"/>
    <n v="3"/>
    <n v="0.28000000000000003"/>
    <n v="455"/>
    <s v="Card"/>
    <n v="5391.36"/>
    <s v="Jan"/>
    <n v="2025"/>
    <s v="Q1"/>
    <n v="8.4394290123456797E-2"/>
    <n v="2096.6400000000003"/>
    <s v="High"/>
    <s v="Repeat"/>
    <s v="Below Avg"/>
    <s v="Profit"/>
    <n v="313"/>
  </r>
  <r>
    <n v="396"/>
    <x v="395"/>
    <n v="1030"/>
    <s v="Customer_183"/>
    <s v="Consumer"/>
    <s v="West"/>
    <s v="Clothing"/>
    <x v="3"/>
    <n v="1506"/>
    <n v="3"/>
    <n v="0.21"/>
    <n v="-309"/>
    <s v="UPI"/>
    <n v="3569.22"/>
    <s v="Jan"/>
    <n v="2025"/>
    <s v="Q1"/>
    <n v="-8.6573537075327389E-2"/>
    <n v="948.78"/>
    <s v="Medium"/>
    <s v="Repeat"/>
    <s v="Below Avg"/>
    <s v="Loss"/>
    <n v="373"/>
  </r>
  <r>
    <n v="397"/>
    <x v="396"/>
    <n v="1059"/>
    <s v="Customer_32"/>
    <s v="Corporate"/>
    <s v="North"/>
    <s v="Furniture"/>
    <x v="0"/>
    <n v="593"/>
    <n v="4"/>
    <n v="0.17"/>
    <n v="1059"/>
    <s v="Card"/>
    <n v="1968.76"/>
    <s v="Jan"/>
    <n v="2025"/>
    <s v="Q1"/>
    <n v="0.53790202970397616"/>
    <n v="403.24"/>
    <s v="Low"/>
    <s v="Repeat"/>
    <s v="Below Avg"/>
    <s v="Profit"/>
    <n v="432"/>
  </r>
  <r>
    <n v="398"/>
    <x v="397"/>
    <n v="1084"/>
    <s v="Customer_58"/>
    <s v="Corporate"/>
    <s v="North"/>
    <s v="Furniture"/>
    <x v="0"/>
    <n v="2132"/>
    <n v="1"/>
    <n v="0.24"/>
    <n v="1264"/>
    <s v="COD"/>
    <n v="1620.32"/>
    <s v="Feb"/>
    <n v="2025"/>
    <s v="Q1"/>
    <n v="0.78009282117112677"/>
    <n v="511.68"/>
    <s v="Low"/>
    <s v="Repeat"/>
    <s v="Below Avg"/>
    <s v="Profit"/>
    <n v="451"/>
  </r>
  <r>
    <n v="399"/>
    <x v="398"/>
    <n v="1031"/>
    <s v="Customer_78"/>
    <s v="Consumer"/>
    <s v="North"/>
    <s v="Furniture"/>
    <x v="0"/>
    <n v="160"/>
    <n v="9"/>
    <n v="0.22"/>
    <n v="121"/>
    <s v="UPI"/>
    <n v="1123.2"/>
    <s v="Feb"/>
    <n v="2025"/>
    <s v="Q1"/>
    <n v="0.10772792022792023"/>
    <n v="316.8"/>
    <s v="Low"/>
    <s v="New"/>
    <s v="Below Avg"/>
    <s v="Profit"/>
    <n v="473"/>
  </r>
  <r>
    <n v="400"/>
    <x v="399"/>
    <n v="1070"/>
    <s v="Customer_69"/>
    <s v="Consumer"/>
    <s v="East"/>
    <s v="Furniture"/>
    <x v="2"/>
    <n v="1845"/>
    <n v="2"/>
    <n v="0.18"/>
    <n v="-188"/>
    <s v="COD"/>
    <n v="3025.8"/>
    <s v="Feb"/>
    <n v="2025"/>
    <s v="Q1"/>
    <n v="-6.2132328640359571E-2"/>
    <n v="664.19999999999993"/>
    <s v="Medium"/>
    <s v="Repeat"/>
    <s v="Below Avg"/>
    <s v="Loss"/>
    <n v="391"/>
  </r>
  <r>
    <n v="401"/>
    <x v="400"/>
    <n v="1096"/>
    <s v="Customer_28"/>
    <s v="Consumer"/>
    <s v="East"/>
    <s v="Electronics"/>
    <x v="3"/>
    <n v="3601"/>
    <n v="7"/>
    <n v="0.06"/>
    <n v="774"/>
    <s v="Card"/>
    <n v="23694.5799999999"/>
    <s v="Feb"/>
    <n v="2025"/>
    <s v="Q1"/>
    <n v="3.2665698231410023E-2"/>
    <n v="1512.4199999999998"/>
    <s v="High"/>
    <s v="Repeat"/>
    <s v="Above Avg"/>
    <s v="Profit"/>
    <n v="54"/>
  </r>
  <r>
    <n v="402"/>
    <x v="401"/>
    <n v="1007"/>
    <s v="Customer_72"/>
    <s v="Consumer"/>
    <s v="West"/>
    <s v="Clothing"/>
    <x v="1"/>
    <n v="1056"/>
    <n v="2"/>
    <n v="0"/>
    <n v="1283"/>
    <s v="UPI"/>
    <n v="2112"/>
    <s v="Feb"/>
    <n v="2025"/>
    <s v="Q1"/>
    <n v="0.60748106060606055"/>
    <n v="0"/>
    <s v="Medium"/>
    <s v="Repeat"/>
    <s v="Below Avg"/>
    <s v="Profit"/>
    <n v="422"/>
  </r>
  <r>
    <n v="403"/>
    <x v="402"/>
    <n v="1077"/>
    <s v="Customer_109"/>
    <s v="Consumer"/>
    <s v="West"/>
    <s v="Clothing"/>
    <x v="1"/>
    <n v="4889"/>
    <n v="8"/>
    <n v="0.14000000000000001"/>
    <n v="517"/>
    <s v="UPI"/>
    <n v="33636.32"/>
    <s v="Feb"/>
    <n v="2025"/>
    <s v="Q1"/>
    <n v="1.5370290210106219E-2"/>
    <n v="5475.68"/>
    <s v="High"/>
    <s v="Repeat"/>
    <s v="Above Avg"/>
    <s v="Profit"/>
    <n v="16"/>
  </r>
  <r>
    <n v="404"/>
    <x v="403"/>
    <n v="1061"/>
    <s v="Customer_60"/>
    <s v="Consumer"/>
    <s v="South"/>
    <s v="Electronics"/>
    <x v="1"/>
    <n v="4231"/>
    <n v="3"/>
    <n v="7.0000000000000007E-2"/>
    <n v="-225"/>
    <s v="UPI"/>
    <n v="11804.49"/>
    <s v="Feb"/>
    <n v="2025"/>
    <s v="Q1"/>
    <n v="-1.9060543911681063E-2"/>
    <n v="888.5100000000001"/>
    <s v="High"/>
    <s v="Repeat"/>
    <s v="Above Avg"/>
    <s v="Loss"/>
    <n v="172"/>
  </r>
  <r>
    <n v="405"/>
    <x v="404"/>
    <n v="1088"/>
    <s v="Customer_13"/>
    <s v="Corporate"/>
    <s v="South"/>
    <s v="Electronics"/>
    <x v="2"/>
    <n v="2954"/>
    <n v="6"/>
    <n v="7.0000000000000007E-2"/>
    <n v="-111"/>
    <s v="COD"/>
    <n v="16483.32"/>
    <s v="Feb"/>
    <n v="2025"/>
    <s v="Q1"/>
    <n v="-6.7340802702368216E-3"/>
    <n v="1240.68"/>
    <s v="High"/>
    <s v="Repeat"/>
    <s v="Above Avg"/>
    <s v="Loss"/>
    <n v="115"/>
  </r>
  <r>
    <n v="406"/>
    <x v="405"/>
    <n v="1095"/>
    <s v="Customer_18"/>
    <s v="Corporate"/>
    <s v="West"/>
    <s v="Electronics"/>
    <x v="1"/>
    <n v="3263"/>
    <n v="8"/>
    <n v="0.15"/>
    <n v="562"/>
    <s v="COD"/>
    <n v="22188.3999999999"/>
    <s v="Feb"/>
    <n v="2025"/>
    <s v="Q1"/>
    <n v="2.5328550053181055E-2"/>
    <n v="3915.6"/>
    <s v="High"/>
    <s v="Repeat"/>
    <s v="Above Avg"/>
    <s v="Profit"/>
    <n v="65"/>
  </r>
  <r>
    <n v="407"/>
    <x v="406"/>
    <n v="1027"/>
    <s v="Customer_179"/>
    <s v="Corporate"/>
    <s v="North"/>
    <s v="Electronics"/>
    <x v="1"/>
    <n v="1024"/>
    <n v="5"/>
    <n v="0.11"/>
    <n v="538"/>
    <s v="COD"/>
    <n v="4556.8"/>
    <s v="Feb"/>
    <n v="2025"/>
    <s v="Q1"/>
    <n v="0.11806530898876404"/>
    <n v="563.20000000000005"/>
    <s v="Medium"/>
    <s v="Repeat"/>
    <s v="Below Avg"/>
    <s v="Profit"/>
    <n v="337"/>
  </r>
  <r>
    <n v="408"/>
    <x v="407"/>
    <n v="1065"/>
    <s v="Customer_50"/>
    <s v="Consumer"/>
    <s v="East"/>
    <s v="Clothing"/>
    <x v="0"/>
    <n v="2288"/>
    <n v="7"/>
    <n v="0.15"/>
    <n v="634"/>
    <s v="Card"/>
    <n v="13613.6"/>
    <s v="Feb"/>
    <n v="2025"/>
    <s v="Q1"/>
    <n v="4.6571075982840687E-2"/>
    <n v="2402.4"/>
    <s v="High"/>
    <s v="Repeat"/>
    <s v="Above Avg"/>
    <s v="Profit"/>
    <n v="152"/>
  </r>
  <r>
    <n v="409"/>
    <x v="408"/>
    <n v="1016"/>
    <s v="Customer_43"/>
    <s v="Consumer"/>
    <s v="West"/>
    <s v="Electronics"/>
    <x v="0"/>
    <n v="4617"/>
    <n v="9"/>
    <n v="0.08"/>
    <n v="1491"/>
    <s v="Card"/>
    <n v="38228.76"/>
    <s v="Feb"/>
    <n v="2025"/>
    <s v="Q1"/>
    <n v="3.9002049765673799E-2"/>
    <n v="3324.2400000000002"/>
    <s v="High"/>
    <s v="Repeat"/>
    <s v="Above Avg"/>
    <s v="Profit"/>
    <n v="5"/>
  </r>
  <r>
    <n v="410"/>
    <x v="409"/>
    <n v="1090"/>
    <s v="Customer_85"/>
    <s v="Consumer"/>
    <s v="West"/>
    <s v="Clothing"/>
    <x v="1"/>
    <n v="1303"/>
    <n v="5"/>
    <n v="0.18"/>
    <n v="826"/>
    <s v="Card"/>
    <n v="5342.3"/>
    <s v="Feb"/>
    <n v="2025"/>
    <s v="Q1"/>
    <n v="0.15461505344140164"/>
    <n v="1172.7"/>
    <s v="High"/>
    <s v="Repeat"/>
    <s v="Below Avg"/>
    <s v="Profit"/>
    <n v="315"/>
  </r>
  <r>
    <n v="411"/>
    <x v="410"/>
    <n v="1001"/>
    <s v="Customer_46"/>
    <s v="Consumer"/>
    <s v="South"/>
    <s v="Furniture"/>
    <x v="0"/>
    <n v="2942"/>
    <n v="7"/>
    <n v="0.19"/>
    <n v="90"/>
    <s v="UPI"/>
    <n v="16681.14"/>
    <s v="Feb"/>
    <n v="2025"/>
    <s v="Q1"/>
    <n v="5.3953147087069595E-3"/>
    <n v="3912.86"/>
    <s v="High"/>
    <s v="Repeat"/>
    <s v="Above Avg"/>
    <s v="Profit"/>
    <n v="109"/>
  </r>
  <r>
    <n v="412"/>
    <x v="411"/>
    <n v="1007"/>
    <s v="Customer_24"/>
    <s v="Consumer"/>
    <s v="West"/>
    <s v="Furniture"/>
    <x v="3"/>
    <n v="3138"/>
    <n v="8"/>
    <n v="0.06"/>
    <n v="281"/>
    <s v="COD"/>
    <n v="23597.759999999998"/>
    <s v="Feb"/>
    <n v="2025"/>
    <s v="Q1"/>
    <n v="1.1907909903312858E-2"/>
    <n v="1506.24"/>
    <s v="High"/>
    <s v="Repeat"/>
    <s v="Above Avg"/>
    <s v="Profit"/>
    <n v="55"/>
  </r>
  <r>
    <n v="413"/>
    <x v="412"/>
    <n v="1037"/>
    <s v="Customer_5"/>
    <s v="Corporate"/>
    <s v="South"/>
    <s v="Electronics"/>
    <x v="3"/>
    <n v="2851"/>
    <n v="4"/>
    <n v="0.17"/>
    <n v="385"/>
    <s v="Card"/>
    <n v="9465.32"/>
    <s v="Feb"/>
    <n v="2025"/>
    <s v="Q1"/>
    <n v="4.0674800218059193E-2"/>
    <n v="1938.68"/>
    <s v="High"/>
    <s v="Repeat"/>
    <s v="Below Avg"/>
    <s v="Profit"/>
    <n v="219"/>
  </r>
  <r>
    <n v="414"/>
    <x v="413"/>
    <n v="1019"/>
    <s v="Customer_158"/>
    <s v="Consumer"/>
    <s v="East"/>
    <s v="Clothing"/>
    <x v="0"/>
    <n v="1181"/>
    <n v="8"/>
    <n v="0.13"/>
    <n v="-134"/>
    <s v="COD"/>
    <n v="8219.76"/>
    <s v="Feb"/>
    <n v="2025"/>
    <s v="Q1"/>
    <n v="-1.6302179139050289E-2"/>
    <n v="1228.24"/>
    <s v="High"/>
    <s v="Repeat"/>
    <s v="Below Avg"/>
    <s v="Loss"/>
    <n v="243"/>
  </r>
  <r>
    <n v="415"/>
    <x v="414"/>
    <n v="1063"/>
    <s v="Customer_43"/>
    <s v="Corporate"/>
    <s v="West"/>
    <s v="Furniture"/>
    <x v="0"/>
    <n v="4382"/>
    <n v="8"/>
    <n v="0.28999999999999998"/>
    <n v="420"/>
    <s v="UPI"/>
    <n v="24889.759999999998"/>
    <s v="Feb"/>
    <n v="2025"/>
    <s v="Q1"/>
    <n v="1.6874409395671152E-2"/>
    <n v="10166.24"/>
    <s v="High"/>
    <s v="Repeat"/>
    <s v="Above Avg"/>
    <s v="Profit"/>
    <n v="43"/>
  </r>
  <r>
    <n v="416"/>
    <x v="415"/>
    <n v="1020"/>
    <s v="Customer_53"/>
    <s v="Consumer"/>
    <s v="East"/>
    <s v="Furniture"/>
    <x v="3"/>
    <n v="346"/>
    <n v="1"/>
    <n v="0.22"/>
    <n v="1283"/>
    <s v="COD"/>
    <n v="269.88"/>
    <s v="Feb"/>
    <n v="2025"/>
    <s v="Q1"/>
    <n v="4.7539647250629908"/>
    <n v="76.12"/>
    <s v="Low"/>
    <s v="Repeat"/>
    <s v="Below Avg"/>
    <s v="Profit"/>
    <n v="497"/>
  </r>
  <r>
    <n v="417"/>
    <x v="416"/>
    <n v="1089"/>
    <s v="Customer_152"/>
    <s v="Consumer"/>
    <s v="South"/>
    <s v="Electronics"/>
    <x v="2"/>
    <n v="895"/>
    <n v="7"/>
    <n v="0.05"/>
    <n v="305"/>
    <s v="Card"/>
    <n v="5951.75"/>
    <s v="Feb"/>
    <n v="2025"/>
    <s v="Q1"/>
    <n v="5.1245432015793672E-2"/>
    <n v="313.25"/>
    <s v="High"/>
    <s v="Repeat"/>
    <s v="Below Avg"/>
    <s v="Profit"/>
    <n v="299"/>
  </r>
  <r>
    <n v="418"/>
    <x v="417"/>
    <n v="1030"/>
    <s v="Customer_103"/>
    <s v="Consumer"/>
    <s v="North"/>
    <s v="Clothing"/>
    <x v="1"/>
    <n v="3786"/>
    <n v="6"/>
    <n v="0.26"/>
    <n v="1046"/>
    <s v="UPI"/>
    <n v="16809.84"/>
    <s v="Feb"/>
    <n v="2025"/>
    <s v="Q1"/>
    <n v="6.2225458421971892E-2"/>
    <n v="5906.16"/>
    <s v="High"/>
    <s v="Repeat"/>
    <s v="Above Avg"/>
    <s v="Profit"/>
    <n v="106"/>
  </r>
  <r>
    <n v="419"/>
    <x v="418"/>
    <n v="1083"/>
    <s v="Customer_142"/>
    <s v="Corporate"/>
    <s v="North"/>
    <s v="Electronics"/>
    <x v="0"/>
    <n v="1037"/>
    <n v="9"/>
    <n v="0.14000000000000001"/>
    <n v="1107"/>
    <s v="Card"/>
    <n v="8026.38"/>
    <s v="Feb"/>
    <n v="2025"/>
    <s v="Q1"/>
    <n v="0.13792020811374492"/>
    <n v="1306.6200000000001"/>
    <s v="High"/>
    <s v="Repeat"/>
    <s v="Below Avg"/>
    <s v="Profit"/>
    <n v="253"/>
  </r>
  <r>
    <n v="420"/>
    <x v="419"/>
    <n v="1069"/>
    <s v="Customer_164"/>
    <s v="Corporate"/>
    <s v="East"/>
    <s v="Clothing"/>
    <x v="2"/>
    <n v="2011"/>
    <n v="8"/>
    <n v="0.25"/>
    <n v="1506"/>
    <s v="Card"/>
    <n v="12066"/>
    <s v="Feb"/>
    <n v="2025"/>
    <s v="Q1"/>
    <n v="0.12481352560914968"/>
    <n v="4022"/>
    <s v="High"/>
    <s v="Repeat"/>
    <s v="Above Avg"/>
    <s v="Profit"/>
    <n v="166"/>
  </r>
  <r>
    <n v="421"/>
    <x v="420"/>
    <n v="1014"/>
    <s v="Customer_154"/>
    <s v="Consumer"/>
    <s v="North"/>
    <s v="Clothing"/>
    <x v="1"/>
    <n v="1278"/>
    <n v="4"/>
    <n v="0.25"/>
    <n v="-41"/>
    <s v="Card"/>
    <n v="3834"/>
    <s v="Feb"/>
    <n v="2025"/>
    <s v="Q1"/>
    <n v="-1.069379238393323E-2"/>
    <n v="1278"/>
    <s v="Medium"/>
    <s v="Repeat"/>
    <s v="Below Avg"/>
    <s v="Loss"/>
    <n v="362"/>
  </r>
  <r>
    <n v="422"/>
    <x v="421"/>
    <n v="1056"/>
    <s v="Customer_13"/>
    <s v="Corporate"/>
    <s v="East"/>
    <s v="Clothing"/>
    <x v="0"/>
    <n v="837"/>
    <n v="2"/>
    <n v="0.01"/>
    <n v="1937"/>
    <s v="COD"/>
    <n v="1657.26"/>
    <s v="Feb"/>
    <n v="2025"/>
    <s v="Q1"/>
    <n v="1.1687966885099501"/>
    <n v="16.740000000000002"/>
    <s v="Low"/>
    <s v="Repeat"/>
    <s v="Below Avg"/>
    <s v="Profit"/>
    <n v="449"/>
  </r>
  <r>
    <n v="423"/>
    <x v="422"/>
    <n v="1000"/>
    <s v="Customer_21"/>
    <s v="Consumer"/>
    <s v="North"/>
    <s v="Clothing"/>
    <x v="0"/>
    <n v="734"/>
    <n v="3"/>
    <n v="7.0000000000000007E-2"/>
    <n v="1682"/>
    <s v="UPI"/>
    <n v="2047.86"/>
    <s v="Feb"/>
    <n v="2025"/>
    <s v="Q1"/>
    <n v="0.82134520914515641"/>
    <n v="154.14000000000001"/>
    <s v="Medium"/>
    <s v="Repeat"/>
    <s v="Below Avg"/>
    <s v="Profit"/>
    <n v="427"/>
  </r>
  <r>
    <n v="424"/>
    <x v="423"/>
    <n v="1089"/>
    <s v="Customer_90"/>
    <s v="Corporate"/>
    <s v="West"/>
    <s v="Electronics"/>
    <x v="2"/>
    <n v="316"/>
    <n v="7"/>
    <n v="0.27"/>
    <n v="1139"/>
    <s v="Card"/>
    <n v="1614.76"/>
    <s v="Feb"/>
    <n v="2025"/>
    <s v="Q1"/>
    <n v="0.70536798038098536"/>
    <n v="597.24"/>
    <s v="Low"/>
    <s v="Repeat"/>
    <s v="Below Avg"/>
    <s v="Profit"/>
    <n v="453"/>
  </r>
  <r>
    <n v="425"/>
    <x v="424"/>
    <n v="1028"/>
    <s v="Customer_98"/>
    <s v="Consumer"/>
    <s v="South"/>
    <s v="Furniture"/>
    <x v="1"/>
    <n v="519"/>
    <n v="9"/>
    <n v="0.23"/>
    <n v="411"/>
    <s v="Card"/>
    <n v="3596.67"/>
    <s v="Feb"/>
    <n v="2025"/>
    <s v="Q1"/>
    <n v="0.11427236860762872"/>
    <n v="1074.3300000000002"/>
    <s v="Medium"/>
    <s v="Repeat"/>
    <s v="Below Avg"/>
    <s v="Profit"/>
    <n v="369"/>
  </r>
  <r>
    <n v="426"/>
    <x v="425"/>
    <n v="1065"/>
    <s v="Customer_40"/>
    <s v="Consumer"/>
    <s v="North"/>
    <s v="Clothing"/>
    <x v="0"/>
    <n v="2662"/>
    <n v="3"/>
    <n v="0.04"/>
    <n v="1264"/>
    <s v="UPI"/>
    <n v="7666.5599999999904"/>
    <s v="Mar"/>
    <n v="2025"/>
    <s v="Q1"/>
    <n v="0.16487185908673532"/>
    <n v="319.44"/>
    <s v="High"/>
    <s v="Repeat"/>
    <s v="Below Avg"/>
    <s v="Profit"/>
    <n v="260"/>
  </r>
  <r>
    <n v="427"/>
    <x v="426"/>
    <n v="1021"/>
    <s v="Customer_43"/>
    <s v="Consumer"/>
    <s v="East"/>
    <s v="Clothing"/>
    <x v="1"/>
    <n v="408"/>
    <n v="7"/>
    <n v="0.06"/>
    <n v="1876"/>
    <s v="Card"/>
    <n v="2684.64"/>
    <s v="Mar"/>
    <n v="2025"/>
    <s v="Q1"/>
    <n v="0.69879015435961622"/>
    <n v="171.35999999999999"/>
    <s v="Medium"/>
    <s v="Repeat"/>
    <s v="Below Avg"/>
    <s v="Profit"/>
    <n v="402"/>
  </r>
  <r>
    <n v="428"/>
    <x v="427"/>
    <n v="1060"/>
    <s v="Customer_59"/>
    <s v="Consumer"/>
    <s v="South"/>
    <s v="Clothing"/>
    <x v="1"/>
    <n v="4903"/>
    <n v="1"/>
    <n v="0.19"/>
    <n v="1541"/>
    <s v="UPI"/>
    <n v="3971.43"/>
    <s v="Mar"/>
    <n v="2025"/>
    <s v="Q1"/>
    <n v="0.38802144315775428"/>
    <n v="931.57"/>
    <s v="Medium"/>
    <s v="Repeat"/>
    <s v="Below Avg"/>
    <s v="Profit"/>
    <n v="355"/>
  </r>
  <r>
    <n v="429"/>
    <x v="428"/>
    <n v="1028"/>
    <s v="Customer_49"/>
    <s v="Corporate"/>
    <s v="West"/>
    <s v="Electronics"/>
    <x v="1"/>
    <n v="1966"/>
    <n v="3"/>
    <n v="0.08"/>
    <n v="919"/>
    <s v="Card"/>
    <n v="5426.16"/>
    <s v="Mar"/>
    <n v="2025"/>
    <s v="Q1"/>
    <n v="0.16936470726996625"/>
    <n v="471.84000000000003"/>
    <s v="High"/>
    <s v="Repeat"/>
    <s v="Below Avg"/>
    <s v="Profit"/>
    <n v="311"/>
  </r>
  <r>
    <n v="430"/>
    <x v="429"/>
    <n v="1008"/>
    <s v="Customer_175"/>
    <s v="Corporate"/>
    <s v="West"/>
    <s v="Clothing"/>
    <x v="2"/>
    <n v="1083"/>
    <n v="2"/>
    <n v="0.06"/>
    <n v="25"/>
    <s v="Card"/>
    <n v="2036.04"/>
    <s v="Mar"/>
    <n v="2025"/>
    <s v="Q1"/>
    <n v="1.2278737156440934E-2"/>
    <n v="129.96"/>
    <s v="Medium"/>
    <s v="Repeat"/>
    <s v="Below Avg"/>
    <s v="Profit"/>
    <n v="429"/>
  </r>
  <r>
    <n v="431"/>
    <x v="430"/>
    <n v="1040"/>
    <s v="Customer_147"/>
    <s v="Corporate"/>
    <s v="East"/>
    <s v="Furniture"/>
    <x v="1"/>
    <n v="3878"/>
    <n v="6"/>
    <n v="0.3"/>
    <n v="227"/>
    <s v="Card"/>
    <n v="16287.5999999999"/>
    <s v="Mar"/>
    <n v="2025"/>
    <s v="Q1"/>
    <n v="1.3936982735332485E-2"/>
    <n v="6980.4"/>
    <s v="High"/>
    <s v="Repeat"/>
    <s v="Above Avg"/>
    <s v="Profit"/>
    <n v="120"/>
  </r>
  <r>
    <n v="432"/>
    <x v="431"/>
    <n v="1020"/>
    <s v="Customer_140"/>
    <s v="Consumer"/>
    <s v="North"/>
    <s v="Clothing"/>
    <x v="3"/>
    <n v="2387"/>
    <n v="9"/>
    <n v="0.14000000000000001"/>
    <n v="-68"/>
    <s v="COD"/>
    <n v="18475.38"/>
    <s v="Mar"/>
    <n v="2025"/>
    <s v="Q1"/>
    <n v="-3.6805738231094568E-3"/>
    <n v="3007.6200000000003"/>
    <s v="High"/>
    <s v="Repeat"/>
    <s v="Above Avg"/>
    <s v="Loss"/>
    <n v="88"/>
  </r>
  <r>
    <n v="433"/>
    <x v="432"/>
    <n v="1054"/>
    <s v="Customer_36"/>
    <s v="Consumer"/>
    <s v="North"/>
    <s v="Furniture"/>
    <x v="0"/>
    <n v="3414"/>
    <n v="3"/>
    <n v="0.16"/>
    <n v="1361"/>
    <s v="UPI"/>
    <n v="8603.2799999999897"/>
    <s v="Mar"/>
    <n v="2025"/>
    <s v="Q1"/>
    <n v="0.15819547893361621"/>
    <n v="1638.72"/>
    <s v="High"/>
    <s v="Repeat"/>
    <s v="Below Avg"/>
    <s v="Profit"/>
    <n v="236"/>
  </r>
  <r>
    <n v="434"/>
    <x v="433"/>
    <n v="1095"/>
    <s v="Customer_122"/>
    <s v="Consumer"/>
    <s v="South"/>
    <s v="Furniture"/>
    <x v="1"/>
    <n v="661"/>
    <n v="8"/>
    <n v="0.2"/>
    <n v="31"/>
    <s v="COD"/>
    <n v="4230.3999999999996"/>
    <s v="Mar"/>
    <n v="2025"/>
    <s v="Q1"/>
    <n v="7.3279122541603636E-3"/>
    <n v="1057.6000000000001"/>
    <s v="Medium"/>
    <s v="Repeat"/>
    <s v="Below Avg"/>
    <s v="Profit"/>
    <n v="345"/>
  </r>
  <r>
    <n v="435"/>
    <x v="434"/>
    <n v="1095"/>
    <s v="Customer_94"/>
    <s v="Consumer"/>
    <s v="East"/>
    <s v="Electronics"/>
    <x v="0"/>
    <n v="3695"/>
    <n v="9"/>
    <n v="0.02"/>
    <n v="1064"/>
    <s v="COD"/>
    <n v="32589.8999999999"/>
    <s v="Mar"/>
    <n v="2025"/>
    <s v="Q1"/>
    <n v="3.2648151727989447E-2"/>
    <n v="665.1"/>
    <s v="High"/>
    <s v="Repeat"/>
    <s v="Above Avg"/>
    <s v="Profit"/>
    <n v="19"/>
  </r>
  <r>
    <n v="436"/>
    <x v="435"/>
    <n v="1039"/>
    <s v="Customer_108"/>
    <s v="Corporate"/>
    <s v="East"/>
    <s v="Furniture"/>
    <x v="3"/>
    <n v="4987"/>
    <n v="8"/>
    <n v="0.12"/>
    <n v="1901"/>
    <s v="UPI"/>
    <n v="35108.480000000003"/>
    <s v="Mar"/>
    <n v="2025"/>
    <s v="Q1"/>
    <n v="5.4146462620996406E-2"/>
    <n v="4787.5199999999995"/>
    <s v="High"/>
    <s v="Repeat"/>
    <s v="Above Avg"/>
    <s v="Profit"/>
    <n v="11"/>
  </r>
  <r>
    <n v="437"/>
    <x v="436"/>
    <n v="1025"/>
    <s v="Customer_33"/>
    <s v="Corporate"/>
    <s v="South"/>
    <s v="Clothing"/>
    <x v="3"/>
    <n v="1502"/>
    <n v="9"/>
    <n v="0.27"/>
    <n v="407"/>
    <s v="UPI"/>
    <n v="9868.14"/>
    <s v="Mar"/>
    <n v="2025"/>
    <s v="Q1"/>
    <n v="4.1243841291266646E-2"/>
    <n v="3649.86"/>
    <s v="High"/>
    <s v="Repeat"/>
    <s v="Below Avg"/>
    <s v="Profit"/>
    <n v="205"/>
  </r>
  <r>
    <n v="438"/>
    <x v="437"/>
    <n v="1047"/>
    <s v="Customer_108"/>
    <s v="Corporate"/>
    <s v="South"/>
    <s v="Furniture"/>
    <x v="3"/>
    <n v="2678"/>
    <n v="9"/>
    <n v="0.28000000000000003"/>
    <n v="-115"/>
    <s v="UPI"/>
    <n v="17353.439999999999"/>
    <s v="Mar"/>
    <n v="2025"/>
    <s v="Q1"/>
    <n v="-6.626928147963747E-3"/>
    <n v="6748.56"/>
    <s v="High"/>
    <s v="Repeat"/>
    <s v="Above Avg"/>
    <s v="Loss"/>
    <n v="100"/>
  </r>
  <r>
    <n v="439"/>
    <x v="438"/>
    <n v="1076"/>
    <s v="Customer_127"/>
    <s v="Corporate"/>
    <s v="North"/>
    <s v="Clothing"/>
    <x v="3"/>
    <n v="3044"/>
    <n v="3"/>
    <n v="0.15"/>
    <n v="151"/>
    <s v="UPI"/>
    <n v="7762.2"/>
    <s v="Mar"/>
    <n v="2025"/>
    <s v="Q1"/>
    <n v="1.9453247790574838E-2"/>
    <n v="1369.8"/>
    <s v="High"/>
    <s v="Repeat"/>
    <s v="Below Avg"/>
    <s v="Profit"/>
    <n v="257"/>
  </r>
  <r>
    <n v="440"/>
    <x v="439"/>
    <n v="1002"/>
    <s v="Customer_87"/>
    <s v="Consumer"/>
    <s v="South"/>
    <s v="Furniture"/>
    <x v="0"/>
    <n v="670"/>
    <n v="9"/>
    <n v="0.27"/>
    <n v="-290"/>
    <s v="Card"/>
    <n v="4401.8999999999996"/>
    <s v="Mar"/>
    <n v="2025"/>
    <s v="Q1"/>
    <n v="-6.5880642449851201E-2"/>
    <n v="1628.1000000000001"/>
    <s v="Medium"/>
    <s v="Repeat"/>
    <s v="Below Avg"/>
    <s v="Loss"/>
    <n v="340"/>
  </r>
  <r>
    <n v="441"/>
    <x v="440"/>
    <n v="1095"/>
    <s v="Customer_62"/>
    <s v="Consumer"/>
    <s v="East"/>
    <s v="Clothing"/>
    <x v="1"/>
    <n v="2551"/>
    <n v="1"/>
    <n v="0.15"/>
    <n v="453"/>
    <s v="COD"/>
    <n v="2168.35"/>
    <s v="Mar"/>
    <n v="2025"/>
    <s v="Q1"/>
    <n v="0.20891461249337054"/>
    <n v="382.65"/>
    <s v="Medium"/>
    <s v="Repeat"/>
    <s v="Below Avg"/>
    <s v="Profit"/>
    <n v="420"/>
  </r>
  <r>
    <n v="442"/>
    <x v="441"/>
    <n v="1032"/>
    <s v="Customer_169"/>
    <s v="Corporate"/>
    <s v="West"/>
    <s v="Electronics"/>
    <x v="2"/>
    <n v="1755"/>
    <n v="4"/>
    <n v="0.3"/>
    <n v="678"/>
    <s v="COD"/>
    <n v="4914"/>
    <s v="Mar"/>
    <n v="2025"/>
    <s v="Q1"/>
    <n v="0.13797313797313798"/>
    <n v="2106"/>
    <s v="Medium"/>
    <s v="Repeat"/>
    <s v="Below Avg"/>
    <s v="Profit"/>
    <n v="327"/>
  </r>
  <r>
    <n v="443"/>
    <x v="442"/>
    <n v="1096"/>
    <s v="Customer_19"/>
    <s v="Corporate"/>
    <s v="West"/>
    <s v="Clothing"/>
    <x v="1"/>
    <n v="4413"/>
    <n v="1"/>
    <n v="0.24"/>
    <n v="-325"/>
    <s v="Card"/>
    <n v="3353.88"/>
    <s v="Mar"/>
    <n v="2025"/>
    <s v="Q1"/>
    <n v="-9.6902691807697353E-2"/>
    <n v="1059.1199999999999"/>
    <s v="Medium"/>
    <s v="Repeat"/>
    <s v="Below Avg"/>
    <s v="Loss"/>
    <n v="383"/>
  </r>
  <r>
    <n v="444"/>
    <x v="443"/>
    <n v="1041"/>
    <s v="Customer_101"/>
    <s v="Consumer"/>
    <s v="West"/>
    <s v="Electronics"/>
    <x v="1"/>
    <n v="4983"/>
    <n v="2"/>
    <n v="0.25"/>
    <n v="159"/>
    <s v="COD"/>
    <n v="7474.5"/>
    <s v="Mar"/>
    <n v="2025"/>
    <s v="Q1"/>
    <n v="2.1272325908087499E-2"/>
    <n v="2491.5"/>
    <s v="High"/>
    <s v="Repeat"/>
    <s v="Below Avg"/>
    <s v="Profit"/>
    <n v="265"/>
  </r>
  <r>
    <n v="445"/>
    <x v="444"/>
    <n v="1076"/>
    <s v="Customer_31"/>
    <s v="Consumer"/>
    <s v="West"/>
    <s v="Clothing"/>
    <x v="0"/>
    <n v="2328"/>
    <n v="4"/>
    <n v="0.06"/>
    <n v="878"/>
    <s v="COD"/>
    <n v="8753.2799999999897"/>
    <s v="Mar"/>
    <n v="2025"/>
    <s v="Q1"/>
    <n v="0.10030525700080439"/>
    <n v="558.72"/>
    <s v="High"/>
    <s v="Repeat"/>
    <s v="Below Avg"/>
    <s v="Profit"/>
    <n v="234"/>
  </r>
  <r>
    <n v="446"/>
    <x v="445"/>
    <n v="1042"/>
    <s v="Customer_50"/>
    <s v="Consumer"/>
    <s v="East"/>
    <s v="Furniture"/>
    <x v="1"/>
    <n v="4886"/>
    <n v="8"/>
    <n v="0"/>
    <n v="-420"/>
    <s v="UPI"/>
    <n v="39088"/>
    <s v="Mar"/>
    <n v="2025"/>
    <s v="Q1"/>
    <n v="-1.0744985673352435E-2"/>
    <n v="0"/>
    <s v="High"/>
    <s v="New"/>
    <s v="Above Avg"/>
    <s v="Loss"/>
    <n v="4"/>
  </r>
  <r>
    <n v="447"/>
    <x v="446"/>
    <n v="1069"/>
    <s v="Customer_170"/>
    <s v="Consumer"/>
    <s v="West"/>
    <s v="Clothing"/>
    <x v="3"/>
    <n v="2947"/>
    <n v="6"/>
    <n v="0.15"/>
    <n v="963"/>
    <s v="Card"/>
    <n v="15029.699999999901"/>
    <s v="Mar"/>
    <n v="2025"/>
    <s v="Q1"/>
    <n v="6.4073135192319636E-2"/>
    <n v="2652.2999999999997"/>
    <s v="High"/>
    <s v="Repeat"/>
    <s v="Above Avg"/>
    <s v="Profit"/>
    <n v="137"/>
  </r>
  <r>
    <n v="448"/>
    <x v="447"/>
    <n v="1003"/>
    <s v="Customer_103"/>
    <s v="Corporate"/>
    <s v="East"/>
    <s v="Furniture"/>
    <x v="0"/>
    <n v="3985"/>
    <n v="4"/>
    <n v="0.28999999999999998"/>
    <n v="735"/>
    <s v="Card"/>
    <n v="11317.4"/>
    <s v="Mar"/>
    <n v="2025"/>
    <s v="Q1"/>
    <n v="6.494424514464453E-2"/>
    <n v="4622.5999999999995"/>
    <s v="High"/>
    <s v="Repeat"/>
    <s v="Above Avg"/>
    <s v="Profit"/>
    <n v="185"/>
  </r>
  <r>
    <n v="449"/>
    <x v="448"/>
    <n v="1063"/>
    <s v="Customer_17"/>
    <s v="Consumer"/>
    <s v="North"/>
    <s v="Clothing"/>
    <x v="2"/>
    <n v="444"/>
    <n v="4"/>
    <n v="0.28999999999999998"/>
    <n v="1226"/>
    <s v="Card"/>
    <n v="1260.96"/>
    <s v="Mar"/>
    <n v="2025"/>
    <s v="Q1"/>
    <n v="0.97227509199340179"/>
    <n v="515.04"/>
    <s v="Low"/>
    <s v="Repeat"/>
    <s v="Below Avg"/>
    <s v="Profit"/>
    <n v="467"/>
  </r>
  <r>
    <n v="450"/>
    <x v="449"/>
    <n v="1069"/>
    <s v="Customer_196"/>
    <s v="Consumer"/>
    <s v="West"/>
    <s v="Clothing"/>
    <x v="0"/>
    <n v="3283"/>
    <n v="6"/>
    <n v="0.18"/>
    <n v="-475"/>
    <s v="Card"/>
    <n v="16152.36"/>
    <s v="Mar"/>
    <n v="2025"/>
    <s v="Q1"/>
    <n v="-2.9407467391761945E-2"/>
    <n v="3545.64"/>
    <s v="High"/>
    <s v="Repeat"/>
    <s v="Above Avg"/>
    <s v="Loss"/>
    <n v="124"/>
  </r>
  <r>
    <n v="451"/>
    <x v="450"/>
    <n v="1050"/>
    <s v="Customer_6"/>
    <s v="Consumer"/>
    <s v="East"/>
    <s v="Clothing"/>
    <x v="0"/>
    <n v="3777"/>
    <n v="1"/>
    <n v="0.06"/>
    <n v="658"/>
    <s v="UPI"/>
    <n v="3550.3799999999901"/>
    <s v="Mar"/>
    <n v="2025"/>
    <s v="Q1"/>
    <n v="0.18533227429176646"/>
    <n v="226.62"/>
    <s v="Medium"/>
    <s v="Repeat"/>
    <s v="Below Avg"/>
    <s v="Profit"/>
    <n v="375"/>
  </r>
  <r>
    <n v="452"/>
    <x v="451"/>
    <n v="1066"/>
    <s v="Customer_60"/>
    <s v="Corporate"/>
    <s v="North"/>
    <s v="Electronics"/>
    <x v="2"/>
    <n v="4411"/>
    <n v="5"/>
    <n v="0"/>
    <n v="1052"/>
    <s v="COD"/>
    <n v="22055"/>
    <s v="Mar"/>
    <n v="2025"/>
    <s v="Q1"/>
    <n v="4.7698934481976873E-2"/>
    <n v="0"/>
    <s v="High"/>
    <s v="Repeat"/>
    <s v="Above Avg"/>
    <s v="Profit"/>
    <n v="66"/>
  </r>
  <r>
    <n v="453"/>
    <x v="452"/>
    <n v="1090"/>
    <s v="Customer_19"/>
    <s v="Corporate"/>
    <s v="North"/>
    <s v="Furniture"/>
    <x v="0"/>
    <n v="2976"/>
    <n v="4"/>
    <n v="0.15"/>
    <n v="1151"/>
    <s v="Card"/>
    <n v="10118.4"/>
    <s v="Mar"/>
    <n v="2025"/>
    <s v="Q1"/>
    <n v="0.11375316255534472"/>
    <n v="1785.6"/>
    <s v="High"/>
    <s v="Repeat"/>
    <s v="Below Avg"/>
    <s v="Profit"/>
    <n v="199"/>
  </r>
  <r>
    <n v="454"/>
    <x v="453"/>
    <n v="1083"/>
    <s v="Customer_186"/>
    <s v="Corporate"/>
    <s v="North"/>
    <s v="Electronics"/>
    <x v="3"/>
    <n v="504"/>
    <n v="8"/>
    <n v="0.09"/>
    <n v="1073"/>
    <s v="UPI"/>
    <n v="3669.12"/>
    <s v="Mar"/>
    <n v="2025"/>
    <s v="Q1"/>
    <n v="0.2924406942264085"/>
    <n v="362.88"/>
    <s v="Medium"/>
    <s v="Repeat"/>
    <s v="Below Avg"/>
    <s v="Profit"/>
    <n v="367"/>
  </r>
  <r>
    <n v="455"/>
    <x v="454"/>
    <n v="1017"/>
    <s v="Customer_40"/>
    <s v="Corporate"/>
    <s v="West"/>
    <s v="Electronics"/>
    <x v="1"/>
    <n v="2002"/>
    <n v="9"/>
    <n v="0.1"/>
    <n v="-460"/>
    <s v="UPI"/>
    <n v="16216.2"/>
    <s v="Mar"/>
    <n v="2025"/>
    <s v="Q1"/>
    <n v="-2.83666950333617E-2"/>
    <n v="1801.8000000000002"/>
    <s v="High"/>
    <s v="Repeat"/>
    <s v="Above Avg"/>
    <s v="Loss"/>
    <n v="121"/>
  </r>
  <r>
    <n v="456"/>
    <x v="455"/>
    <n v="1019"/>
    <s v="Customer_124"/>
    <s v="Consumer"/>
    <s v="South"/>
    <s v="Electronics"/>
    <x v="0"/>
    <n v="272"/>
    <n v="2"/>
    <n v="0.25"/>
    <n v="237"/>
    <s v="COD"/>
    <n v="408"/>
    <s v="Mar"/>
    <n v="2025"/>
    <s v="Q1"/>
    <n v="0.58088235294117652"/>
    <n v="136"/>
    <s v="Low"/>
    <s v="Repeat"/>
    <s v="Below Avg"/>
    <s v="Profit"/>
    <n v="495"/>
  </r>
  <r>
    <n v="457"/>
    <x v="456"/>
    <n v="1029"/>
    <s v="Customer_45"/>
    <s v="Consumer"/>
    <s v="East"/>
    <s v="Electronics"/>
    <x v="2"/>
    <n v="1217"/>
    <n v="2"/>
    <n v="0.03"/>
    <n v="1969"/>
    <s v="COD"/>
    <n v="2360.98"/>
    <s v="Apr"/>
    <n v="2025"/>
    <s v="Q2"/>
    <n v="0.83397572194597158"/>
    <n v="73.02"/>
    <s v="Medium"/>
    <s v="Repeat"/>
    <s v="Below Avg"/>
    <s v="Profit"/>
    <n v="414"/>
  </r>
  <r>
    <n v="458"/>
    <x v="457"/>
    <n v="1073"/>
    <s v="Customer_42"/>
    <s v="Corporate"/>
    <s v="West"/>
    <s v="Clothing"/>
    <x v="1"/>
    <n v="1801"/>
    <n v="8"/>
    <n v="0.03"/>
    <n v="1897"/>
    <s v="Card"/>
    <n v="13975.76"/>
    <s v="Apr"/>
    <n v="2025"/>
    <s v="Q2"/>
    <n v="0.13573501548395223"/>
    <n v="432.24"/>
    <s v="High"/>
    <s v="Repeat"/>
    <s v="Above Avg"/>
    <s v="Profit"/>
    <n v="148"/>
  </r>
  <r>
    <n v="459"/>
    <x v="458"/>
    <n v="1051"/>
    <s v="Customer_70"/>
    <s v="Corporate"/>
    <s v="East"/>
    <s v="Clothing"/>
    <x v="3"/>
    <n v="4044"/>
    <n v="6"/>
    <n v="0.13"/>
    <n v="-422"/>
    <s v="Card"/>
    <n v="21109.68"/>
    <s v="Apr"/>
    <n v="2025"/>
    <s v="Q2"/>
    <n v="-1.9990828851976911E-2"/>
    <n v="3154.32"/>
    <s v="High"/>
    <s v="Repeat"/>
    <s v="Above Avg"/>
    <s v="Loss"/>
    <n v="75"/>
  </r>
  <r>
    <n v="460"/>
    <x v="459"/>
    <n v="1022"/>
    <s v="Customer_152"/>
    <s v="Corporate"/>
    <s v="East"/>
    <s v="Electronics"/>
    <x v="1"/>
    <n v="1017"/>
    <n v="8"/>
    <n v="0.12"/>
    <n v="622"/>
    <s v="COD"/>
    <n v="7159.68"/>
    <s v="Apr"/>
    <n v="2025"/>
    <s v="Q2"/>
    <n v="8.68753910789309E-2"/>
    <n v="976.31999999999994"/>
    <s v="High"/>
    <s v="Repeat"/>
    <s v="Below Avg"/>
    <s v="Profit"/>
    <n v="272"/>
  </r>
  <r>
    <n v="461"/>
    <x v="460"/>
    <n v="1046"/>
    <s v="Customer_150"/>
    <s v="Consumer"/>
    <s v="South"/>
    <s v="Electronics"/>
    <x v="3"/>
    <n v="3058"/>
    <n v="1"/>
    <n v="0.02"/>
    <n v="1633"/>
    <s v="Card"/>
    <n v="2996.84"/>
    <s v="Apr"/>
    <n v="2025"/>
    <s v="Q2"/>
    <n v="0.54490730235848428"/>
    <n v="61.160000000000004"/>
    <s v="Medium"/>
    <s v="Repeat"/>
    <s v="Below Avg"/>
    <s v="Profit"/>
    <n v="393"/>
  </r>
  <r>
    <n v="462"/>
    <x v="461"/>
    <n v="1002"/>
    <s v="Customer_53"/>
    <s v="Consumer"/>
    <s v="West"/>
    <s v="Electronics"/>
    <x v="3"/>
    <n v="3212"/>
    <n v="3"/>
    <n v="0.16"/>
    <n v="-72"/>
    <s v="COD"/>
    <n v="8094.24"/>
    <s v="Apr"/>
    <n v="2025"/>
    <s v="Q2"/>
    <n v="-8.8952143746664301E-3"/>
    <n v="1541.76"/>
    <s v="High"/>
    <s v="Repeat"/>
    <s v="Below Avg"/>
    <s v="Loss"/>
    <n v="249"/>
  </r>
  <r>
    <n v="463"/>
    <x v="462"/>
    <n v="1049"/>
    <s v="Customer_78"/>
    <s v="Consumer"/>
    <s v="South"/>
    <s v="Furniture"/>
    <x v="3"/>
    <n v="1965"/>
    <n v="7"/>
    <n v="0.13"/>
    <n v="510"/>
    <s v="COD"/>
    <n v="11966.85"/>
    <s v="Apr"/>
    <n v="2025"/>
    <s v="Q2"/>
    <n v="4.2617731483222399E-2"/>
    <n v="1788.15"/>
    <s v="High"/>
    <s v="Repeat"/>
    <s v="Above Avg"/>
    <s v="Profit"/>
    <n v="168"/>
  </r>
  <r>
    <n v="464"/>
    <x v="463"/>
    <n v="1008"/>
    <s v="Customer_152"/>
    <s v="Consumer"/>
    <s v="North"/>
    <s v="Furniture"/>
    <x v="0"/>
    <n v="406"/>
    <n v="7"/>
    <n v="0.3"/>
    <n v="648"/>
    <s v="COD"/>
    <n v="1989.3999999999901"/>
    <s v="Apr"/>
    <n v="2025"/>
    <s v="Q2"/>
    <n v="0.32572634965316338"/>
    <n v="852.6"/>
    <s v="Low"/>
    <s v="Repeat"/>
    <s v="Below Avg"/>
    <s v="Profit"/>
    <n v="431"/>
  </r>
  <r>
    <n v="465"/>
    <x v="464"/>
    <n v="1018"/>
    <s v="Customer_153"/>
    <s v="Consumer"/>
    <s v="West"/>
    <s v="Clothing"/>
    <x v="3"/>
    <n v="1951"/>
    <n v="5"/>
    <n v="0.02"/>
    <n v="575"/>
    <s v="Card"/>
    <n v="9559.9"/>
    <s v="Apr"/>
    <n v="2025"/>
    <s v="Q2"/>
    <n v="6.0147072668124149E-2"/>
    <n v="195.1"/>
    <s v="High"/>
    <s v="Repeat"/>
    <s v="Below Avg"/>
    <s v="Profit"/>
    <n v="214"/>
  </r>
  <r>
    <n v="466"/>
    <x v="465"/>
    <n v="1035"/>
    <s v="Customer_145"/>
    <s v="Consumer"/>
    <s v="North"/>
    <s v="Furniture"/>
    <x v="1"/>
    <n v="930"/>
    <n v="9"/>
    <n v="0.04"/>
    <n v="-226"/>
    <s v="Card"/>
    <n v="8035.2"/>
    <s v="Apr"/>
    <n v="2025"/>
    <s v="Q2"/>
    <n v="-2.8126244524093989E-2"/>
    <n v="334.8"/>
    <s v="High"/>
    <s v="Repeat"/>
    <s v="Below Avg"/>
    <s v="Loss"/>
    <n v="252"/>
  </r>
  <r>
    <n v="467"/>
    <x v="466"/>
    <n v="1039"/>
    <s v="Customer_123"/>
    <s v="Consumer"/>
    <s v="South"/>
    <s v="Electronics"/>
    <x v="0"/>
    <n v="524"/>
    <n v="2"/>
    <n v="0.05"/>
    <n v="563"/>
    <s v="Card"/>
    <n v="995.599999999999"/>
    <s v="Apr"/>
    <n v="2025"/>
    <s v="Q2"/>
    <n v="0.56548814785054291"/>
    <n v="52.400000000000006"/>
    <s v="Low"/>
    <s v="Repeat"/>
    <s v="Below Avg"/>
    <s v="Profit"/>
    <n v="480"/>
  </r>
  <r>
    <n v="468"/>
    <x v="467"/>
    <n v="1026"/>
    <s v="Customer_115"/>
    <s v="Corporate"/>
    <s v="North"/>
    <s v="Furniture"/>
    <x v="2"/>
    <n v="3851"/>
    <n v="1"/>
    <n v="0.1"/>
    <n v="1436"/>
    <s v="UPI"/>
    <n v="3465.9"/>
    <s v="Apr"/>
    <n v="2025"/>
    <s v="Q2"/>
    <n v="0.41432239822268385"/>
    <n v="385.1"/>
    <s v="Medium"/>
    <s v="Repeat"/>
    <s v="Below Avg"/>
    <s v="Profit"/>
    <n v="377"/>
  </r>
  <r>
    <n v="469"/>
    <x v="468"/>
    <n v="1091"/>
    <s v="Customer_110"/>
    <s v="Corporate"/>
    <s v="East"/>
    <s v="Electronics"/>
    <x v="0"/>
    <n v="4972"/>
    <n v="3"/>
    <n v="0.2"/>
    <n v="1594"/>
    <s v="COD"/>
    <n v="11932.8"/>
    <s v="Apr"/>
    <n v="2025"/>
    <s v="Q2"/>
    <n v="0.13358138911236256"/>
    <n v="2983.2000000000003"/>
    <s v="High"/>
    <s v="Repeat"/>
    <s v="Above Avg"/>
    <s v="Profit"/>
    <n v="169"/>
  </r>
  <r>
    <n v="470"/>
    <x v="469"/>
    <n v="1071"/>
    <s v="Customer_163"/>
    <s v="Consumer"/>
    <s v="South"/>
    <s v="Furniture"/>
    <x v="3"/>
    <n v="1905"/>
    <n v="7"/>
    <n v="0.28999999999999998"/>
    <n v="-284"/>
    <s v="UPI"/>
    <n v="9467.85"/>
    <s v="Apr"/>
    <n v="2025"/>
    <s v="Q2"/>
    <n v="-2.9996250468691414E-2"/>
    <n v="3867.1499999999996"/>
    <s v="High"/>
    <s v="Repeat"/>
    <s v="Below Avg"/>
    <s v="Loss"/>
    <n v="218"/>
  </r>
  <r>
    <n v="471"/>
    <x v="470"/>
    <n v="1071"/>
    <s v="Customer_56"/>
    <s v="Corporate"/>
    <s v="North"/>
    <s v="Furniture"/>
    <x v="2"/>
    <n v="4820"/>
    <n v="8"/>
    <n v="0.27"/>
    <n v="148"/>
    <s v="COD"/>
    <n v="28148.799999999999"/>
    <s v="Apr"/>
    <n v="2025"/>
    <s v="Q2"/>
    <n v="5.257772977888933E-3"/>
    <n v="10411.200000000001"/>
    <s v="High"/>
    <s v="Repeat"/>
    <s v="Above Avg"/>
    <s v="Profit"/>
    <n v="28"/>
  </r>
  <r>
    <n v="472"/>
    <x v="471"/>
    <n v="1081"/>
    <s v="Customer_28"/>
    <s v="Corporate"/>
    <s v="North"/>
    <s v="Furniture"/>
    <x v="3"/>
    <n v="2519"/>
    <n v="8"/>
    <n v="0.13"/>
    <n v="1049"/>
    <s v="COD"/>
    <n v="17532.240000000002"/>
    <s v="Apr"/>
    <n v="2025"/>
    <s v="Q2"/>
    <n v="5.9832628346406388E-2"/>
    <n v="2619.7600000000002"/>
    <s v="High"/>
    <s v="Repeat"/>
    <s v="Above Avg"/>
    <s v="Profit"/>
    <n v="96"/>
  </r>
  <r>
    <n v="473"/>
    <x v="472"/>
    <n v="1020"/>
    <s v="Customer_194"/>
    <s v="Corporate"/>
    <s v="North"/>
    <s v="Clothing"/>
    <x v="2"/>
    <n v="191"/>
    <n v="2"/>
    <n v="0.02"/>
    <n v="453"/>
    <s v="Card"/>
    <n v="374.36"/>
    <s v="Apr"/>
    <n v="2025"/>
    <s v="Q2"/>
    <n v="1.2100651779036222"/>
    <n v="7.6400000000000006"/>
    <s v="Low"/>
    <s v="Repeat"/>
    <s v="Below Avg"/>
    <s v="Profit"/>
    <n v="496"/>
  </r>
  <r>
    <n v="474"/>
    <x v="473"/>
    <n v="1012"/>
    <s v="Customer_34"/>
    <s v="Corporate"/>
    <s v="North"/>
    <s v="Furniture"/>
    <x v="0"/>
    <n v="958"/>
    <n v="6"/>
    <n v="0.19"/>
    <n v="1374"/>
    <s v="Card"/>
    <n v="4655.88"/>
    <s v="Apr"/>
    <n v="2025"/>
    <s v="Q2"/>
    <n v="0.2951106987293487"/>
    <n v="1092.1200000000001"/>
    <s v="Medium"/>
    <s v="Repeat"/>
    <s v="Below Avg"/>
    <s v="Profit"/>
    <n v="333"/>
  </r>
  <r>
    <n v="475"/>
    <x v="474"/>
    <n v="1026"/>
    <s v="Customer_65"/>
    <s v="Corporate"/>
    <s v="West"/>
    <s v="Clothing"/>
    <x v="1"/>
    <n v="4109"/>
    <n v="5"/>
    <n v="0.13"/>
    <n v="630"/>
    <s v="UPI"/>
    <n v="17874.150000000001"/>
    <s v="Apr"/>
    <n v="2025"/>
    <s v="Q2"/>
    <n v="3.5246431298830989E-2"/>
    <n v="2670.85"/>
    <s v="High"/>
    <s v="Repeat"/>
    <s v="Above Avg"/>
    <s v="Profit"/>
    <n v="92"/>
  </r>
  <r>
    <n v="476"/>
    <x v="475"/>
    <n v="1061"/>
    <s v="Customer_111"/>
    <s v="Corporate"/>
    <s v="North"/>
    <s v="Clothing"/>
    <x v="0"/>
    <n v="911"/>
    <n v="2"/>
    <n v="0.01"/>
    <n v="61"/>
    <s v="UPI"/>
    <n v="1803.78"/>
    <s v="Apr"/>
    <n v="2025"/>
    <s v="Q2"/>
    <n v="3.3817871359034919E-2"/>
    <n v="18.22"/>
    <s v="Low"/>
    <s v="Repeat"/>
    <s v="Below Avg"/>
    <s v="Profit"/>
    <n v="440"/>
  </r>
  <r>
    <n v="477"/>
    <x v="476"/>
    <n v="1039"/>
    <s v="Customer_128"/>
    <s v="Consumer"/>
    <s v="North"/>
    <s v="Furniture"/>
    <x v="1"/>
    <n v="1853"/>
    <n v="1"/>
    <n v="0.25"/>
    <n v="1755"/>
    <s v="COD"/>
    <n v="1389.75"/>
    <s v="Apr"/>
    <n v="2025"/>
    <s v="Q2"/>
    <n v="1.2628170534268754"/>
    <n v="463.25"/>
    <s v="Low"/>
    <s v="Repeat"/>
    <s v="Below Avg"/>
    <s v="Profit"/>
    <n v="461"/>
  </r>
  <r>
    <n v="478"/>
    <x v="477"/>
    <n v="1052"/>
    <s v="Customer_131"/>
    <s v="Corporate"/>
    <s v="West"/>
    <s v="Electronics"/>
    <x v="3"/>
    <n v="3861"/>
    <n v="4"/>
    <n v="0.16"/>
    <n v="1739"/>
    <s v="Card"/>
    <n v="12972.96"/>
    <s v="Apr"/>
    <n v="2025"/>
    <s v="Q2"/>
    <n v="0.1340480507147174"/>
    <n v="2471.04"/>
    <s v="High"/>
    <s v="Repeat"/>
    <s v="Above Avg"/>
    <s v="Profit"/>
    <n v="159"/>
  </r>
  <r>
    <n v="479"/>
    <x v="478"/>
    <n v="1079"/>
    <s v="Customer_187"/>
    <s v="Corporate"/>
    <s v="North"/>
    <s v="Electronics"/>
    <x v="3"/>
    <n v="3679"/>
    <n v="6"/>
    <n v="0.13"/>
    <n v="1506"/>
    <s v="COD"/>
    <n v="19204.38"/>
    <s v="Apr"/>
    <n v="2025"/>
    <s v="Q2"/>
    <n v="7.8419610526348674E-2"/>
    <n v="2869.62"/>
    <s v="High"/>
    <s v="Repeat"/>
    <s v="Above Avg"/>
    <s v="Profit"/>
    <n v="84"/>
  </r>
  <r>
    <n v="480"/>
    <x v="479"/>
    <n v="1039"/>
    <s v="Customer_56"/>
    <s v="Consumer"/>
    <s v="North"/>
    <s v="Electronics"/>
    <x v="0"/>
    <n v="1431"/>
    <n v="9"/>
    <n v="0.22"/>
    <n v="822"/>
    <s v="UPI"/>
    <n v="10045.620000000001"/>
    <s v="Apr"/>
    <n v="2025"/>
    <s v="Q2"/>
    <n v="8.1826706564652046E-2"/>
    <n v="2833.38"/>
    <s v="High"/>
    <s v="Repeat"/>
    <s v="Below Avg"/>
    <s v="Profit"/>
    <n v="200"/>
  </r>
  <r>
    <n v="481"/>
    <x v="480"/>
    <n v="1008"/>
    <s v="Customer_22"/>
    <s v="Consumer"/>
    <s v="North"/>
    <s v="Furniture"/>
    <x v="3"/>
    <n v="2112"/>
    <n v="9"/>
    <n v="0.26"/>
    <n v="645"/>
    <s v="UPI"/>
    <n v="14065.92"/>
    <s v="Apr"/>
    <n v="2025"/>
    <s v="Q2"/>
    <n v="4.5855514605514604E-2"/>
    <n v="4942.08"/>
    <s v="High"/>
    <s v="Repeat"/>
    <s v="Above Avg"/>
    <s v="Profit"/>
    <n v="146"/>
  </r>
  <r>
    <n v="482"/>
    <x v="481"/>
    <n v="1026"/>
    <s v="Customer_170"/>
    <s v="Consumer"/>
    <s v="West"/>
    <s v="Clothing"/>
    <x v="1"/>
    <n v="3792"/>
    <n v="3"/>
    <n v="0.28000000000000003"/>
    <n v="1742"/>
    <s v="Card"/>
    <n v="8190.7199999999903"/>
    <s v="Apr"/>
    <n v="2025"/>
    <s v="Q2"/>
    <n v="0.2126797155805597"/>
    <n v="3185.28"/>
    <s v="High"/>
    <s v="Repeat"/>
    <s v="Below Avg"/>
    <s v="Profit"/>
    <n v="244"/>
  </r>
  <r>
    <n v="483"/>
    <x v="482"/>
    <n v="1080"/>
    <s v="Customer_132"/>
    <s v="Consumer"/>
    <s v="East"/>
    <s v="Furniture"/>
    <x v="3"/>
    <n v="2486"/>
    <n v="9"/>
    <n v="0.1"/>
    <n v="-143"/>
    <s v="UPI"/>
    <n v="20136.599999999999"/>
    <s v="Apr"/>
    <n v="2025"/>
    <s v="Q2"/>
    <n v="-7.1014967770130014E-3"/>
    <n v="2237.4"/>
    <s v="High"/>
    <s v="Repeat"/>
    <s v="Above Avg"/>
    <s v="Loss"/>
    <n v="78"/>
  </r>
  <r>
    <n v="484"/>
    <x v="483"/>
    <n v="1002"/>
    <s v="Customer_100"/>
    <s v="Corporate"/>
    <s v="East"/>
    <s v="Clothing"/>
    <x v="1"/>
    <n v="306"/>
    <n v="6"/>
    <n v="0.06"/>
    <n v="-483"/>
    <s v="Card"/>
    <n v="1725.84"/>
    <s v="Apr"/>
    <n v="2025"/>
    <s v="Q2"/>
    <n v="-0.27986371853706021"/>
    <n v="110.16"/>
    <s v="Low"/>
    <s v="Repeat"/>
    <s v="Below Avg"/>
    <s v="Loss"/>
    <n v="445"/>
  </r>
  <r>
    <n v="485"/>
    <x v="484"/>
    <n v="1055"/>
    <s v="Customer_118"/>
    <s v="Consumer"/>
    <s v="West"/>
    <s v="Electronics"/>
    <x v="2"/>
    <n v="3682"/>
    <n v="8"/>
    <n v="0.1"/>
    <n v="1715"/>
    <s v="Card"/>
    <n v="26510.400000000001"/>
    <s v="Apr"/>
    <n v="2025"/>
    <s v="Q2"/>
    <n v="6.4691592733417819E-2"/>
    <n v="2945.6000000000004"/>
    <s v="High"/>
    <s v="Repeat"/>
    <s v="Above Avg"/>
    <s v="Profit"/>
    <n v="37"/>
  </r>
  <r>
    <n v="486"/>
    <x v="485"/>
    <n v="1052"/>
    <s v="Customer_12"/>
    <s v="Consumer"/>
    <s v="East"/>
    <s v="Furniture"/>
    <x v="3"/>
    <n v="4317"/>
    <n v="8"/>
    <n v="0.28999999999999998"/>
    <n v="227"/>
    <s v="UPI"/>
    <n v="24520.559999999899"/>
    <s v="Apr"/>
    <n v="2025"/>
    <s v="Q2"/>
    <n v="9.2575373482498332E-3"/>
    <n v="10015.439999999999"/>
    <s v="High"/>
    <s v="Repeat"/>
    <s v="Above Avg"/>
    <s v="Profit"/>
    <n v="46"/>
  </r>
  <r>
    <n v="487"/>
    <x v="486"/>
    <n v="1003"/>
    <s v="Customer_37"/>
    <s v="Corporate"/>
    <s v="East"/>
    <s v="Electronics"/>
    <x v="1"/>
    <n v="1839"/>
    <n v="3"/>
    <n v="0.03"/>
    <n v="1247"/>
    <s v="UPI"/>
    <n v="5351.49"/>
    <s v="May"/>
    <n v="2025"/>
    <s v="Q2"/>
    <n v="0.23301921520922211"/>
    <n v="165.51"/>
    <s v="High"/>
    <s v="Repeat"/>
    <s v="Below Avg"/>
    <s v="Profit"/>
    <n v="314"/>
  </r>
  <r>
    <n v="488"/>
    <x v="487"/>
    <n v="1039"/>
    <s v="Customer_41"/>
    <s v="Consumer"/>
    <s v="West"/>
    <s v="Furniture"/>
    <x v="0"/>
    <n v="3996"/>
    <n v="3"/>
    <n v="0.28999999999999998"/>
    <n v="56"/>
    <s v="Card"/>
    <n v="8511.48"/>
    <s v="May"/>
    <n v="2025"/>
    <s v="Q2"/>
    <n v="6.5793493023539977E-3"/>
    <n v="3476.52"/>
    <s v="High"/>
    <s v="Repeat"/>
    <s v="Below Avg"/>
    <s v="Profit"/>
    <n v="238"/>
  </r>
  <r>
    <n v="489"/>
    <x v="488"/>
    <n v="1051"/>
    <s v="Customer_58"/>
    <s v="Corporate"/>
    <s v="South"/>
    <s v="Electronics"/>
    <x v="3"/>
    <n v="3116"/>
    <n v="9"/>
    <n v="0.19"/>
    <n v="942"/>
    <s v="COD"/>
    <n v="22715.64"/>
    <s v="May"/>
    <n v="2025"/>
    <s v="Q2"/>
    <n v="4.1469225608435425E-2"/>
    <n v="5328.36"/>
    <s v="High"/>
    <s v="Repeat"/>
    <s v="Above Avg"/>
    <s v="Profit"/>
    <n v="61"/>
  </r>
  <r>
    <n v="490"/>
    <x v="489"/>
    <n v="1055"/>
    <s v="Customer_63"/>
    <s v="Consumer"/>
    <s v="West"/>
    <s v="Furniture"/>
    <x v="1"/>
    <n v="2104"/>
    <n v="3"/>
    <n v="0"/>
    <n v="1145"/>
    <s v="UPI"/>
    <n v="6312"/>
    <s v="May"/>
    <n v="2025"/>
    <s v="Q2"/>
    <n v="0.18140050697084917"/>
    <n v="0"/>
    <s v="High"/>
    <s v="Repeat"/>
    <s v="Below Avg"/>
    <s v="Profit"/>
    <n v="289"/>
  </r>
  <r>
    <n v="491"/>
    <x v="490"/>
    <n v="1064"/>
    <s v="Customer_71"/>
    <s v="Corporate"/>
    <s v="East"/>
    <s v="Clothing"/>
    <x v="2"/>
    <n v="1692"/>
    <n v="4"/>
    <n v="0.26"/>
    <n v="-81"/>
    <s v="COD"/>
    <n v="5008.32"/>
    <s v="May"/>
    <n v="2025"/>
    <s v="Q2"/>
    <n v="-1.6173087981598621E-2"/>
    <n v="1759.68"/>
    <s v="High"/>
    <s v="Repeat"/>
    <s v="Below Avg"/>
    <s v="Loss"/>
    <n v="323"/>
  </r>
  <r>
    <n v="492"/>
    <x v="491"/>
    <n v="1077"/>
    <s v="Customer_133"/>
    <s v="Consumer"/>
    <s v="East"/>
    <s v="Clothing"/>
    <x v="2"/>
    <n v="2103"/>
    <n v="7"/>
    <n v="0.2"/>
    <n v="439"/>
    <s v="COD"/>
    <n v="11776.8"/>
    <s v="May"/>
    <n v="2025"/>
    <s v="Q2"/>
    <n v="3.7276679573398551E-2"/>
    <n v="2944.2000000000003"/>
    <s v="High"/>
    <s v="Repeat"/>
    <s v="Above Avg"/>
    <s v="Profit"/>
    <n v="173"/>
  </r>
  <r>
    <n v="493"/>
    <x v="492"/>
    <n v="1071"/>
    <s v="Customer_91"/>
    <s v="Corporate"/>
    <s v="North"/>
    <s v="Electronics"/>
    <x v="3"/>
    <n v="3019"/>
    <n v="9"/>
    <n v="0.04"/>
    <n v="660"/>
    <s v="COD"/>
    <n v="26084.16"/>
    <s v="May"/>
    <n v="2025"/>
    <s v="Q2"/>
    <n v="2.5302712450774725E-2"/>
    <n v="1086.8399999999999"/>
    <s v="High"/>
    <s v="Repeat"/>
    <s v="Above Avg"/>
    <s v="Profit"/>
    <n v="39"/>
  </r>
  <r>
    <n v="494"/>
    <x v="493"/>
    <n v="1070"/>
    <s v="Customer_89"/>
    <s v="Consumer"/>
    <s v="South"/>
    <s v="Clothing"/>
    <x v="1"/>
    <n v="208"/>
    <n v="3"/>
    <n v="0.1"/>
    <n v="1549"/>
    <s v="Card"/>
    <n v="561.6"/>
    <s v="May"/>
    <n v="2025"/>
    <s v="Q2"/>
    <n v="2.758190883190883"/>
    <n v="62.400000000000006"/>
    <s v="Low"/>
    <s v="Repeat"/>
    <s v="Below Avg"/>
    <s v="Profit"/>
    <n v="489"/>
  </r>
  <r>
    <n v="495"/>
    <x v="494"/>
    <n v="1029"/>
    <s v="Customer_17"/>
    <s v="Corporate"/>
    <s v="East"/>
    <s v="Furniture"/>
    <x v="2"/>
    <n v="3081"/>
    <n v="1"/>
    <n v="0.26"/>
    <n v="606"/>
    <s v="Card"/>
    <n v="2279.94"/>
    <s v="May"/>
    <n v="2025"/>
    <s v="Q2"/>
    <n v="0.26579646832811388"/>
    <n v="801.06000000000006"/>
    <s v="Medium"/>
    <s v="Repeat"/>
    <s v="Below Avg"/>
    <s v="Profit"/>
    <n v="416"/>
  </r>
  <r>
    <n v="496"/>
    <x v="495"/>
    <n v="1024"/>
    <s v="Customer_156"/>
    <s v="Consumer"/>
    <s v="North"/>
    <s v="Clothing"/>
    <x v="0"/>
    <n v="2595"/>
    <n v="2"/>
    <n v="0.22"/>
    <n v="1965"/>
    <s v="Card"/>
    <n v="4048.2"/>
    <s v="May"/>
    <n v="2025"/>
    <s v="Q2"/>
    <n v="0.48540091892693049"/>
    <n v="1141.8"/>
    <s v="Medium"/>
    <s v="Repeat"/>
    <s v="Below Avg"/>
    <s v="Profit"/>
    <n v="352"/>
  </r>
  <r>
    <n v="497"/>
    <x v="496"/>
    <n v="1038"/>
    <s v="Customer_119"/>
    <s v="Corporate"/>
    <s v="South"/>
    <s v="Electronics"/>
    <x v="0"/>
    <n v="1791"/>
    <n v="4"/>
    <n v="0.1"/>
    <n v="-437"/>
    <s v="UPI"/>
    <n v="6447.6"/>
    <s v="May"/>
    <n v="2025"/>
    <s v="Q2"/>
    <n v="-6.7777157391897755E-2"/>
    <n v="716.40000000000009"/>
    <s v="High"/>
    <s v="Repeat"/>
    <s v="Below Avg"/>
    <s v="Loss"/>
    <n v="286"/>
  </r>
  <r>
    <n v="498"/>
    <x v="497"/>
    <n v="1079"/>
    <s v="Customer_155"/>
    <s v="Consumer"/>
    <s v="East"/>
    <s v="Electronics"/>
    <x v="1"/>
    <n v="4085"/>
    <n v="7"/>
    <n v="0.24"/>
    <n v="1108"/>
    <s v="UPI"/>
    <n v="21732.2"/>
    <s v="May"/>
    <n v="2025"/>
    <s v="Q2"/>
    <n v="5.0984253780105099E-2"/>
    <n v="6862.8"/>
    <s v="High"/>
    <s v="Repeat"/>
    <s v="Above Avg"/>
    <s v="Profit"/>
    <n v="70"/>
  </r>
  <r>
    <n v="499"/>
    <x v="498"/>
    <n v="1074"/>
    <s v="Customer_181"/>
    <s v="Corporate"/>
    <s v="South"/>
    <s v="Electronics"/>
    <x v="0"/>
    <n v="4431"/>
    <n v="1"/>
    <n v="0.08"/>
    <n v="394"/>
    <s v="Card"/>
    <n v="4076.52"/>
    <s v="May"/>
    <n v="2025"/>
    <s v="Q2"/>
    <n v="9.665106512417454E-2"/>
    <n v="354.48"/>
    <s v="Medium"/>
    <s v="Repeat"/>
    <s v="Below Avg"/>
    <s v="Profit"/>
    <n v="350"/>
  </r>
  <r>
    <n v="500"/>
    <x v="499"/>
    <n v="1024"/>
    <s v="Customer_26"/>
    <s v="Consumer"/>
    <s v="North"/>
    <s v="Furniture"/>
    <x v="2"/>
    <n v="1822"/>
    <n v="4"/>
    <n v="0.16"/>
    <n v="1668"/>
    <s v="Card"/>
    <n v="6121.92"/>
    <s v="May"/>
    <n v="2025"/>
    <s v="Q2"/>
    <n v="0.27246354084992941"/>
    <n v="1166.08"/>
    <s v="High"/>
    <s v="Repeat"/>
    <s v="Below Avg"/>
    <s v="Profit"/>
    <n v="29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n v="1066"/>
    <s v="Customer_33"/>
    <s v="Consumer"/>
    <s v="South"/>
    <s v="Electronics"/>
    <s v="Product_A"/>
    <n v="2755"/>
    <n v="3"/>
    <n v="0.25"/>
    <n v="559"/>
    <x v="0"/>
    <n v="6198.75"/>
    <s v="Jan"/>
    <n v="2024"/>
    <s v="Q1"/>
    <n v="9.017947166767494E-2"/>
    <n v="2066.25"/>
    <s v="High"/>
    <s v="Repeat"/>
    <s v="Below Avg"/>
    <s v="Profit"/>
    <n v="293"/>
  </r>
  <r>
    <n v="2"/>
    <x v="1"/>
    <n v="1092"/>
    <s v="Customer_191"/>
    <s v="Consumer"/>
    <s v="East"/>
    <s v="Clothing"/>
    <s v="Product_A"/>
    <n v="1709"/>
    <n v="3"/>
    <n v="0.04"/>
    <n v="1735"/>
    <x v="0"/>
    <n v="4921.92"/>
    <s v="Jan"/>
    <n v="2024"/>
    <s v="Q1"/>
    <n v="0.35250471360769781"/>
    <n v="205.08"/>
    <s v="Medium"/>
    <s v="Repeat"/>
    <s v="Below Avg"/>
    <s v="Profit"/>
    <n v="326"/>
  </r>
  <r>
    <n v="3"/>
    <x v="2"/>
    <n v="1098"/>
    <s v="Customer_54"/>
    <s v="Corporate"/>
    <s v="East"/>
    <s v="Clothing"/>
    <s v="Product_D"/>
    <n v="3914"/>
    <n v="7"/>
    <n v="0.16"/>
    <n v="-225"/>
    <x v="1"/>
    <n v="23014.32"/>
    <s v="Jan"/>
    <n v="2024"/>
    <s v="Q1"/>
    <n v="-9.7765217481985134E-3"/>
    <n v="4383.68"/>
    <s v="High"/>
    <s v="Repeat"/>
    <s v="Above Avg"/>
    <s v="Loss"/>
    <n v="59"/>
  </r>
  <r>
    <n v="4"/>
    <x v="3"/>
    <n v="1017"/>
    <s v="Customer_116"/>
    <s v="Consumer"/>
    <s v="West"/>
    <s v="Electronics"/>
    <s v="Product_B"/>
    <n v="759"/>
    <n v="5"/>
    <n v="0.01"/>
    <n v="-75"/>
    <x v="0"/>
    <n v="3757.05"/>
    <s v="Jan"/>
    <n v="2024"/>
    <s v="Q1"/>
    <n v="-1.9962470555355931E-2"/>
    <n v="37.950000000000003"/>
    <s v="Medium"/>
    <s v="Repeat"/>
    <s v="Below Avg"/>
    <s v="Loss"/>
    <n v="365"/>
  </r>
  <r>
    <n v="5"/>
    <x v="4"/>
    <n v="1083"/>
    <s v="Customer_179"/>
    <s v="Consumer"/>
    <s v="West"/>
    <s v="Electronics"/>
    <s v="Product_B"/>
    <n v="243"/>
    <n v="1"/>
    <n v="0.17"/>
    <n v="-482"/>
    <x v="2"/>
    <n v="201.69"/>
    <s v="Jan"/>
    <n v="2024"/>
    <s v="Q1"/>
    <n v="-2.3898061381327782"/>
    <n v="41.31"/>
    <s v="Low"/>
    <s v="Repeat"/>
    <s v="Below Avg"/>
    <s v="Loss"/>
    <n v="499"/>
  </r>
  <r>
    <n v="6"/>
    <x v="5"/>
    <n v="1057"/>
    <s v="Customer_112"/>
    <s v="Consumer"/>
    <s v="North"/>
    <s v="Furniture"/>
    <s v="Product_D"/>
    <n v="2090"/>
    <n v="8"/>
    <n v="0.04"/>
    <n v="1271"/>
    <x v="0"/>
    <n v="16051.199999999901"/>
    <s v="Jan"/>
    <n v="2024"/>
    <s v="Q1"/>
    <n v="7.9184110845295544E-2"/>
    <n v="668.80000000000007"/>
    <s v="High"/>
    <s v="Repeat"/>
    <s v="Above Avg"/>
    <s v="Profit"/>
    <n v="127"/>
  </r>
  <r>
    <n v="7"/>
    <x v="6"/>
    <n v="1086"/>
    <s v="Customer_180"/>
    <s v="Corporate"/>
    <s v="North"/>
    <s v="Furniture"/>
    <s v="Product_D"/>
    <n v="550"/>
    <n v="5"/>
    <n v="0.24"/>
    <n v="1300"/>
    <x v="2"/>
    <n v="2090"/>
    <s v="Jan"/>
    <n v="2024"/>
    <s v="Q1"/>
    <n v="0.62200956937799046"/>
    <n v="660"/>
    <s v="Medium"/>
    <s v="Repeat"/>
    <s v="Below Avg"/>
    <s v="Profit"/>
    <n v="423"/>
  </r>
  <r>
    <n v="8"/>
    <x v="7"/>
    <n v="1097"/>
    <s v="Customer_180"/>
    <s v="Corporate"/>
    <s v="South"/>
    <s v="Furniture"/>
    <s v="Product_A"/>
    <n v="1291"/>
    <n v="4"/>
    <n v="7.0000000000000007E-2"/>
    <n v="829"/>
    <x v="2"/>
    <n v="4802.5199999999904"/>
    <s v="Jan"/>
    <n v="2024"/>
    <s v="Q1"/>
    <n v="0.17261770903608972"/>
    <n v="361.48"/>
    <s v="Medium"/>
    <s v="Repeat"/>
    <s v="Below Avg"/>
    <s v="Profit"/>
    <n v="329"/>
  </r>
  <r>
    <n v="9"/>
    <x v="8"/>
    <n v="1096"/>
    <s v="Customer_184"/>
    <s v="Consumer"/>
    <s v="West"/>
    <s v="Electronics"/>
    <s v="Product_C"/>
    <n v="4121"/>
    <n v="4"/>
    <n v="0.03"/>
    <n v="-169"/>
    <x v="1"/>
    <n v="15989.48"/>
    <s v="Jan"/>
    <n v="2024"/>
    <s v="Q1"/>
    <n v="-1.056944941298904E-2"/>
    <n v="494.52"/>
    <s v="High"/>
    <s v="Repeat"/>
    <s v="Above Avg"/>
    <s v="Loss"/>
    <n v="128"/>
  </r>
  <r>
    <n v="10"/>
    <x v="9"/>
    <n v="1047"/>
    <s v="Customer_114"/>
    <s v="Corporate"/>
    <s v="West"/>
    <s v="Electronics"/>
    <s v="Product_B"/>
    <n v="735"/>
    <n v="2"/>
    <n v="0.01"/>
    <n v="-250"/>
    <x v="2"/>
    <n v="1455.3"/>
    <s v="Jan"/>
    <n v="2024"/>
    <s v="Q1"/>
    <n v="-0.17178588607160036"/>
    <n v="14.700000000000001"/>
    <s v="Low"/>
    <s v="Repeat"/>
    <s v="Below Avg"/>
    <s v="Loss"/>
    <n v="460"/>
  </r>
  <r>
    <n v="11"/>
    <x v="10"/>
    <n v="1073"/>
    <s v="Customer_73"/>
    <s v="Consumer"/>
    <s v="West"/>
    <s v="Clothing"/>
    <s v="Product_A"/>
    <n v="2257"/>
    <n v="1"/>
    <n v="0.17"/>
    <n v="960"/>
    <x v="1"/>
    <n v="1873.31"/>
    <s v="Jan"/>
    <n v="2024"/>
    <s v="Q1"/>
    <n v="0.51246189899162442"/>
    <n v="383.69000000000005"/>
    <s v="Low"/>
    <s v="Repeat"/>
    <s v="Below Avg"/>
    <s v="Profit"/>
    <n v="438"/>
  </r>
  <r>
    <n v="12"/>
    <x v="11"/>
    <n v="1032"/>
    <s v="Customer_1"/>
    <s v="Consumer"/>
    <s v="West"/>
    <s v="Electronics"/>
    <s v="Product_C"/>
    <n v="3851"/>
    <n v="6"/>
    <n v="0.2"/>
    <n v="-7"/>
    <x v="0"/>
    <n v="18484.8"/>
    <s v="Jan"/>
    <n v="2024"/>
    <s v="Q1"/>
    <n v="-3.7868951787414524E-4"/>
    <n v="4621.2"/>
    <s v="High"/>
    <s v="Repeat"/>
    <s v="Above Avg"/>
    <s v="Loss"/>
    <n v="87"/>
  </r>
  <r>
    <n v="13"/>
    <x v="12"/>
    <n v="1046"/>
    <s v="Customer_31"/>
    <s v="Corporate"/>
    <s v="East"/>
    <s v="Clothing"/>
    <s v="Product_B"/>
    <n v="999"/>
    <n v="3"/>
    <n v="0.27"/>
    <n v="-134"/>
    <x v="1"/>
    <n v="2187.81"/>
    <s v="Jan"/>
    <n v="2024"/>
    <s v="Q1"/>
    <n v="-6.1248463074947093E-2"/>
    <n v="809.19"/>
    <s v="Medium"/>
    <s v="Repeat"/>
    <s v="Below Avg"/>
    <s v="Loss"/>
    <n v="419"/>
  </r>
  <r>
    <n v="14"/>
    <x v="13"/>
    <n v="1096"/>
    <s v="Customer_21"/>
    <s v="Consumer"/>
    <s v="North"/>
    <s v="Clothing"/>
    <s v="Product_A"/>
    <n v="4554"/>
    <n v="9"/>
    <n v="0.02"/>
    <n v="1529"/>
    <x v="1"/>
    <n v="40166.28"/>
    <s v="Jan"/>
    <n v="2024"/>
    <s v="Q1"/>
    <n v="3.8066756493257532E-2"/>
    <n v="819.72"/>
    <s v="High"/>
    <s v="Repeat"/>
    <s v="Above Avg"/>
    <s v="Profit"/>
    <n v="2"/>
  </r>
  <r>
    <n v="15"/>
    <x v="14"/>
    <n v="1025"/>
    <s v="Customer_24"/>
    <s v="Corporate"/>
    <s v="South"/>
    <s v="Clothing"/>
    <s v="Product_A"/>
    <n v="2930"/>
    <n v="4"/>
    <n v="0.12"/>
    <n v="1243"/>
    <x v="1"/>
    <n v="10313.6"/>
    <s v="Jan"/>
    <n v="2024"/>
    <s v="Q1"/>
    <n v="0.12052047781569965"/>
    <n v="1406.3999999999999"/>
    <s v="High"/>
    <s v="Repeat"/>
    <s v="Below Avg"/>
    <s v="Profit"/>
    <n v="198"/>
  </r>
  <r>
    <n v="16"/>
    <x v="15"/>
    <n v="1083"/>
    <s v="Customer_19"/>
    <s v="Consumer"/>
    <s v="North"/>
    <s v="Furniture"/>
    <s v="Product_D"/>
    <n v="2870"/>
    <n v="2"/>
    <n v="0.05"/>
    <n v="1714"/>
    <x v="1"/>
    <n v="5453"/>
    <s v="Jan"/>
    <n v="2024"/>
    <s v="Q1"/>
    <n v="0.31432239134421419"/>
    <n v="287"/>
    <s v="High"/>
    <s v="Repeat"/>
    <s v="Below Avg"/>
    <s v="Profit"/>
    <n v="310"/>
  </r>
  <r>
    <n v="17"/>
    <x v="16"/>
    <n v="1078"/>
    <s v="Customer_61"/>
    <s v="Corporate"/>
    <s v="North"/>
    <s v="Clothing"/>
    <s v="Product_C"/>
    <n v="1320"/>
    <n v="4"/>
    <n v="0.15"/>
    <n v="644"/>
    <x v="0"/>
    <n v="4488"/>
    <s v="Jan"/>
    <n v="2024"/>
    <s v="Q1"/>
    <n v="0.14349376114081996"/>
    <n v="792"/>
    <s v="Medium"/>
    <s v="Repeat"/>
    <s v="Below Avg"/>
    <s v="Profit"/>
    <n v="338"/>
  </r>
  <r>
    <n v="18"/>
    <x v="17"/>
    <n v="1036"/>
    <s v="Customer_112"/>
    <s v="Consumer"/>
    <s v="North"/>
    <s v="Furniture"/>
    <s v="Product_A"/>
    <n v="4545"/>
    <n v="4"/>
    <n v="7.0000000000000007E-2"/>
    <n v="1171"/>
    <x v="0"/>
    <n v="16907.3999999999"/>
    <s v="Jan"/>
    <n v="2024"/>
    <s v="Q1"/>
    <n v="6.9259614133456771E-2"/>
    <n v="1272.6000000000001"/>
    <s v="High"/>
    <s v="Repeat"/>
    <s v="Above Avg"/>
    <s v="Profit"/>
    <n v="105"/>
  </r>
  <r>
    <n v="19"/>
    <x v="18"/>
    <n v="1096"/>
    <s v="Customer_188"/>
    <s v="Consumer"/>
    <s v="North"/>
    <s v="Electronics"/>
    <s v="Product_A"/>
    <n v="4690"/>
    <n v="1"/>
    <n v="0.12"/>
    <n v="-18"/>
    <x v="2"/>
    <n v="4127.2"/>
    <s v="Jan"/>
    <n v="2024"/>
    <s v="Q1"/>
    <n v="-4.3613103314595857E-3"/>
    <n v="562.79999999999995"/>
    <s v="Medium"/>
    <s v="Repeat"/>
    <s v="Below Avg"/>
    <s v="Loss"/>
    <n v="348"/>
  </r>
  <r>
    <n v="20"/>
    <x v="19"/>
    <n v="1080"/>
    <s v="Customer_124"/>
    <s v="Corporate"/>
    <s v="East"/>
    <s v="Furniture"/>
    <s v="Product_A"/>
    <n v="1487"/>
    <n v="8"/>
    <n v="0.11"/>
    <n v="992"/>
    <x v="1"/>
    <n v="10587.44"/>
    <s v="Jan"/>
    <n v="2024"/>
    <s v="Q1"/>
    <n v="9.3695926494034437E-2"/>
    <n v="1308.56"/>
    <s v="High"/>
    <s v="Repeat"/>
    <s v="Below Avg"/>
    <s v="Profit"/>
    <n v="196"/>
  </r>
  <r>
    <n v="21"/>
    <x v="20"/>
    <n v="1068"/>
    <s v="Customer_153"/>
    <s v="Consumer"/>
    <s v="South"/>
    <s v="Clothing"/>
    <s v="Product_B"/>
    <n v="2066"/>
    <n v="4"/>
    <n v="0.21"/>
    <n v="-488"/>
    <x v="0"/>
    <n v="6528.56"/>
    <s v="Jan"/>
    <n v="2024"/>
    <s v="Q1"/>
    <n v="-7.4748489712892274E-2"/>
    <n v="1735.4399999999998"/>
    <s v="High"/>
    <s v="Repeat"/>
    <s v="Below Avg"/>
    <s v="Loss"/>
    <n v="285"/>
  </r>
  <r>
    <n v="22"/>
    <x v="21"/>
    <n v="1049"/>
    <s v="Customer_20"/>
    <s v="Corporate"/>
    <s v="East"/>
    <s v="Clothing"/>
    <s v="Product_D"/>
    <n v="4415"/>
    <n v="4"/>
    <n v="0.22"/>
    <n v="316"/>
    <x v="2"/>
    <n v="13774.8"/>
    <s v="Jan"/>
    <n v="2024"/>
    <s v="Q1"/>
    <n v="2.2940441966489533E-2"/>
    <n v="3885.2"/>
    <s v="High"/>
    <s v="Repeat"/>
    <s v="Above Avg"/>
    <s v="Profit"/>
    <n v="149"/>
  </r>
  <r>
    <n v="23"/>
    <x v="22"/>
    <n v="1055"/>
    <s v="Customer_117"/>
    <s v="Consumer"/>
    <s v="West"/>
    <s v="Furniture"/>
    <s v="Product_A"/>
    <n v="790"/>
    <n v="7"/>
    <n v="0.13"/>
    <n v="1889"/>
    <x v="2"/>
    <n v="4811.1000000000004"/>
    <s v="Jan"/>
    <n v="2024"/>
    <s v="Q1"/>
    <n v="0.3926337012325663"/>
    <n v="718.9"/>
    <s v="Medium"/>
    <s v="Repeat"/>
    <s v="Below Avg"/>
    <s v="Profit"/>
    <n v="328"/>
  </r>
  <r>
    <n v="24"/>
    <x v="23"/>
    <n v="1067"/>
    <s v="Customer_154"/>
    <s v="Corporate"/>
    <s v="North"/>
    <s v="Clothing"/>
    <s v="Product_A"/>
    <n v="4346"/>
    <n v="2"/>
    <n v="7.0000000000000007E-2"/>
    <n v="-8"/>
    <x v="1"/>
    <n v="8083.5599999999904"/>
    <s v="Jan"/>
    <n v="2024"/>
    <s v="Q1"/>
    <n v="-9.8966297027547378E-4"/>
    <n v="608.44000000000005"/>
    <s v="High"/>
    <s v="Repeat"/>
    <s v="Below Avg"/>
    <s v="Loss"/>
    <n v="250"/>
  </r>
  <r>
    <n v="25"/>
    <x v="24"/>
    <n v="1002"/>
    <s v="Customer_127"/>
    <s v="Consumer"/>
    <s v="South"/>
    <s v="Furniture"/>
    <s v="Product_D"/>
    <n v="2176"/>
    <n v="6"/>
    <n v="0.24"/>
    <n v="337"/>
    <x v="0"/>
    <n v="9922.56"/>
    <s v="Jan"/>
    <n v="2024"/>
    <s v="Q1"/>
    <n v="3.3963009545923635E-2"/>
    <n v="3133.44"/>
    <s v="High"/>
    <s v="Repeat"/>
    <s v="Below Avg"/>
    <s v="Profit"/>
    <n v="201"/>
  </r>
  <r>
    <n v="26"/>
    <x v="25"/>
    <n v="1084"/>
    <s v="Customer_7"/>
    <s v="Corporate"/>
    <s v="North"/>
    <s v="Clothing"/>
    <s v="Product_C"/>
    <n v="1857"/>
    <n v="6"/>
    <n v="0.25"/>
    <n v="1296"/>
    <x v="1"/>
    <n v="8356.5"/>
    <s v="Jan"/>
    <n v="2024"/>
    <s v="Q1"/>
    <n v="0.15508885298869143"/>
    <n v="2785.5"/>
    <s v="High"/>
    <s v="Repeat"/>
    <s v="Below Avg"/>
    <s v="Profit"/>
    <n v="240"/>
  </r>
  <r>
    <n v="27"/>
    <x v="26"/>
    <n v="1039"/>
    <s v="Customer_195"/>
    <s v="Consumer"/>
    <s v="East"/>
    <s v="Furniture"/>
    <s v="Product_D"/>
    <n v="4258"/>
    <n v="7"/>
    <n v="0.16"/>
    <n v="1331"/>
    <x v="2"/>
    <n v="25037.040000000001"/>
    <s v="Jan"/>
    <n v="2024"/>
    <s v="Q1"/>
    <n v="5.3161236312279724E-2"/>
    <n v="4768.96"/>
    <s v="High"/>
    <s v="Repeat"/>
    <s v="Above Avg"/>
    <s v="Profit"/>
    <n v="42"/>
  </r>
  <r>
    <n v="28"/>
    <x v="27"/>
    <n v="1066"/>
    <s v="Customer_56"/>
    <s v="Consumer"/>
    <s v="South"/>
    <s v="Furniture"/>
    <s v="Product_D"/>
    <n v="270"/>
    <n v="2"/>
    <n v="7.0000000000000007E-2"/>
    <n v="1695"/>
    <x v="1"/>
    <n v="502.2"/>
    <s v="Jan"/>
    <n v="2024"/>
    <s v="Q1"/>
    <n v="3.3751493428912784"/>
    <n v="37.800000000000004"/>
    <s v="Low"/>
    <s v="Repeat"/>
    <s v="Below Avg"/>
    <s v="Profit"/>
    <n v="491"/>
  </r>
  <r>
    <n v="29"/>
    <x v="28"/>
    <n v="1084"/>
    <s v="Customer_72"/>
    <s v="Corporate"/>
    <s v="North"/>
    <s v="Furniture"/>
    <s v="Product_A"/>
    <n v="1757"/>
    <n v="7"/>
    <n v="0.24"/>
    <n v="1198"/>
    <x v="1"/>
    <n v="9347.24"/>
    <s v="Jan"/>
    <n v="2024"/>
    <s v="Q1"/>
    <n v="0.1281661752560114"/>
    <n v="2951.7599999999998"/>
    <s v="High"/>
    <s v="Repeat"/>
    <s v="Below Avg"/>
    <s v="Profit"/>
    <n v="223"/>
  </r>
  <r>
    <n v="30"/>
    <x v="29"/>
    <n v="1047"/>
    <s v="Customer_94"/>
    <s v="Corporate"/>
    <s v="West"/>
    <s v="Electronics"/>
    <s v="Product_A"/>
    <n v="2171"/>
    <n v="2"/>
    <n v="0.11"/>
    <n v="1464"/>
    <x v="0"/>
    <n v="3864.38"/>
    <s v="Jan"/>
    <n v="2024"/>
    <s v="Q1"/>
    <n v="0.37884473059067691"/>
    <n v="477.62"/>
    <s v="Medium"/>
    <s v="Repeat"/>
    <s v="Below Avg"/>
    <s v="Profit"/>
    <n v="359"/>
  </r>
  <r>
    <n v="31"/>
    <x v="30"/>
    <n v="1061"/>
    <s v="Customer_11"/>
    <s v="Consumer"/>
    <s v="North"/>
    <s v="Furniture"/>
    <s v="Product_D"/>
    <n v="4589"/>
    <n v="2"/>
    <n v="0.28000000000000003"/>
    <n v="1849"/>
    <x v="2"/>
    <n v="6608.16"/>
    <s v="Jan"/>
    <n v="2024"/>
    <s v="Q1"/>
    <n v="0.27980557371492215"/>
    <n v="2569.84"/>
    <s v="High"/>
    <s v="Repeat"/>
    <s v="Below Avg"/>
    <s v="Profit"/>
    <n v="284"/>
  </r>
  <r>
    <n v="32"/>
    <x v="31"/>
    <n v="1048"/>
    <s v="Customer_145"/>
    <s v="Consumer"/>
    <s v="North"/>
    <s v="Furniture"/>
    <s v="Product_A"/>
    <n v="1491"/>
    <n v="1"/>
    <n v="0.08"/>
    <n v="-440"/>
    <x v="0"/>
    <n v="1371.72"/>
    <s v="Feb"/>
    <n v="2024"/>
    <s v="Q1"/>
    <n v="-0.32076517073455224"/>
    <n v="119.28"/>
    <s v="Low"/>
    <s v="Repeat"/>
    <s v="Below Avg"/>
    <s v="Loss"/>
    <n v="464"/>
  </r>
  <r>
    <n v="33"/>
    <x v="32"/>
    <n v="1007"/>
    <s v="Customer_72"/>
    <s v="Corporate"/>
    <s v="North"/>
    <s v="Electronics"/>
    <s v="Product_D"/>
    <n v="4961"/>
    <n v="9"/>
    <n v="0.28000000000000003"/>
    <n v="1103"/>
    <x v="1"/>
    <n v="32147.279999999999"/>
    <s v="Feb"/>
    <n v="2024"/>
    <s v="Q1"/>
    <n v="3.4310834384744214E-2"/>
    <n v="12501.720000000001"/>
    <s v="High"/>
    <s v="Repeat"/>
    <s v="Above Avg"/>
    <s v="Profit"/>
    <n v="21"/>
  </r>
  <r>
    <n v="34"/>
    <x v="33"/>
    <n v="1099"/>
    <s v="Customer_175"/>
    <s v="Consumer"/>
    <s v="West"/>
    <s v="Electronics"/>
    <s v="Product_A"/>
    <n v="2141"/>
    <n v="9"/>
    <n v="0.13"/>
    <n v="191"/>
    <x v="2"/>
    <n v="16764.03"/>
    <s v="Feb"/>
    <n v="2024"/>
    <s v="Q1"/>
    <n v="1.1393441791741009E-2"/>
    <n v="2504.9700000000003"/>
    <s v="High"/>
    <s v="Repeat"/>
    <s v="Above Avg"/>
    <s v="Profit"/>
    <n v="108"/>
  </r>
  <r>
    <n v="35"/>
    <x v="34"/>
    <n v="1092"/>
    <s v="Customer_172"/>
    <s v="Consumer"/>
    <s v="West"/>
    <s v="Furniture"/>
    <s v="Product_B"/>
    <n v="4536"/>
    <n v="5"/>
    <n v="0.23"/>
    <n v="954"/>
    <x v="0"/>
    <n v="17463.599999999999"/>
    <s v="Feb"/>
    <n v="2024"/>
    <s v="Q1"/>
    <n v="5.4627911770768915E-2"/>
    <n v="5216.4000000000005"/>
    <s v="High"/>
    <s v="Repeat"/>
    <s v="Above Avg"/>
    <s v="Profit"/>
    <n v="98"/>
  </r>
  <r>
    <n v="36"/>
    <x v="35"/>
    <n v="1052"/>
    <s v="Customer_192"/>
    <s v="Corporate"/>
    <s v="South"/>
    <s v="Electronics"/>
    <s v="Product_A"/>
    <n v="2529"/>
    <n v="7"/>
    <n v="0.06"/>
    <n v="-454"/>
    <x v="1"/>
    <n v="16640.82"/>
    <s v="Feb"/>
    <n v="2024"/>
    <s v="Q1"/>
    <n v="-2.7282309405425934E-2"/>
    <n v="1062.18"/>
    <s v="High"/>
    <s v="Repeat"/>
    <s v="Above Avg"/>
    <s v="Loss"/>
    <n v="112"/>
  </r>
  <r>
    <n v="37"/>
    <x v="36"/>
    <n v="1097"/>
    <s v="Customer_158"/>
    <s v="Consumer"/>
    <s v="East"/>
    <s v="Clothing"/>
    <s v="Product_C"/>
    <n v="3484"/>
    <n v="7"/>
    <n v="0.19"/>
    <n v="-398"/>
    <x v="0"/>
    <n v="19754.28"/>
    <s v="Feb"/>
    <n v="2024"/>
    <s v="Q1"/>
    <n v="-2.0147532585343533E-2"/>
    <n v="4633.72"/>
    <s v="High"/>
    <s v="Repeat"/>
    <s v="Above Avg"/>
    <s v="Loss"/>
    <n v="81"/>
  </r>
  <r>
    <n v="38"/>
    <x v="37"/>
    <n v="1085"/>
    <s v="Customer_43"/>
    <s v="Consumer"/>
    <s v="North"/>
    <s v="Furniture"/>
    <s v="Product_B"/>
    <n v="100"/>
    <n v="3"/>
    <n v="0.17"/>
    <n v="-325"/>
    <x v="2"/>
    <n v="249"/>
    <s v="Feb"/>
    <n v="2024"/>
    <s v="Q1"/>
    <n v="-1.3052208835341366"/>
    <n v="51.000000000000007"/>
    <s v="Low"/>
    <s v="Repeat"/>
    <s v="Below Avg"/>
    <s v="Loss"/>
    <n v="498"/>
  </r>
  <r>
    <n v="39"/>
    <x v="38"/>
    <n v="1094"/>
    <s v="Customer_16"/>
    <s v="Consumer"/>
    <s v="East"/>
    <s v="Electronics"/>
    <s v="Product_D"/>
    <n v="1152"/>
    <n v="2"/>
    <n v="0.13"/>
    <n v="-297"/>
    <x v="0"/>
    <n v="2004.48"/>
    <s v="Feb"/>
    <n v="2024"/>
    <s v="Q1"/>
    <n v="-0.14816810344827586"/>
    <n v="299.52"/>
    <s v="Medium"/>
    <s v="Repeat"/>
    <s v="Below Avg"/>
    <s v="Loss"/>
    <n v="430"/>
  </r>
  <r>
    <n v="40"/>
    <x v="39"/>
    <n v="1027"/>
    <s v="Customer_119"/>
    <s v="Corporate"/>
    <s v="South"/>
    <s v="Electronics"/>
    <s v="Product_A"/>
    <n v="1345"/>
    <n v="4"/>
    <n v="0.22"/>
    <n v="1624"/>
    <x v="2"/>
    <n v="4196.3999999999996"/>
    <s v="Feb"/>
    <n v="2024"/>
    <s v="Q1"/>
    <n v="0.38699837956343536"/>
    <n v="1183.5999999999999"/>
    <s v="Medium"/>
    <s v="Repeat"/>
    <s v="Below Avg"/>
    <s v="Profit"/>
    <n v="346"/>
  </r>
  <r>
    <n v="41"/>
    <x v="40"/>
    <n v="1034"/>
    <s v="Customer_4"/>
    <s v="Corporate"/>
    <s v="West"/>
    <s v="Furniture"/>
    <s v="Product_D"/>
    <n v="3274"/>
    <n v="8"/>
    <n v="0.25"/>
    <n v="578"/>
    <x v="1"/>
    <n v="19644"/>
    <s v="Feb"/>
    <n v="2024"/>
    <s v="Q1"/>
    <n v="2.942374261861128E-2"/>
    <n v="6548"/>
    <s v="High"/>
    <s v="Repeat"/>
    <s v="Above Avg"/>
    <s v="Profit"/>
    <n v="82"/>
  </r>
  <r>
    <n v="42"/>
    <x v="41"/>
    <n v="1097"/>
    <s v="Customer_85"/>
    <s v="Corporate"/>
    <s v="South"/>
    <s v="Furniture"/>
    <s v="Product_C"/>
    <n v="2350"/>
    <n v="1"/>
    <n v="0.22"/>
    <n v="1840"/>
    <x v="0"/>
    <n v="1833"/>
    <s v="Feb"/>
    <n v="2024"/>
    <s v="Q1"/>
    <n v="1.0038188761593017"/>
    <n v="517"/>
    <s v="Low"/>
    <s v="Repeat"/>
    <s v="Below Avg"/>
    <s v="Profit"/>
    <n v="439"/>
  </r>
  <r>
    <n v="43"/>
    <x v="42"/>
    <n v="1076"/>
    <s v="Customer_50"/>
    <s v="Consumer"/>
    <s v="West"/>
    <s v="Electronics"/>
    <s v="Product_D"/>
    <n v="1934"/>
    <n v="8"/>
    <n v="0.24"/>
    <n v="1168"/>
    <x v="1"/>
    <n v="11758.72"/>
    <s v="Feb"/>
    <n v="2024"/>
    <s v="Q1"/>
    <n v="9.933053937843575E-2"/>
    <n v="3713.2799999999997"/>
    <s v="High"/>
    <s v="Repeat"/>
    <s v="Above Avg"/>
    <s v="Profit"/>
    <n v="175"/>
  </r>
  <r>
    <n v="44"/>
    <x v="43"/>
    <n v="1040"/>
    <s v="Customer_34"/>
    <s v="Corporate"/>
    <s v="North"/>
    <s v="Electronics"/>
    <s v="Product_C"/>
    <n v="3605"/>
    <n v="2"/>
    <n v="0.22"/>
    <n v="1510"/>
    <x v="1"/>
    <n v="5623.8"/>
    <s v="Feb"/>
    <n v="2024"/>
    <s v="Q1"/>
    <n v="0.26850172481240442"/>
    <n v="1586.2"/>
    <s v="High"/>
    <s v="Repeat"/>
    <s v="Below Avg"/>
    <s v="Profit"/>
    <n v="305"/>
  </r>
  <r>
    <n v="45"/>
    <x v="44"/>
    <n v="1003"/>
    <s v="Customer_35"/>
    <s v="Corporate"/>
    <s v="East"/>
    <s v="Furniture"/>
    <s v="Product_B"/>
    <n v="4693"/>
    <n v="8"/>
    <n v="0.04"/>
    <n v="1809"/>
    <x v="0"/>
    <n v="36042.239999999998"/>
    <s v="Feb"/>
    <n v="2024"/>
    <s v="Q1"/>
    <n v="5.019110909865758E-2"/>
    <n v="1501.76"/>
    <s v="High"/>
    <s v="Repeat"/>
    <s v="Above Avg"/>
    <s v="Profit"/>
    <n v="7"/>
  </r>
  <r>
    <n v="46"/>
    <x v="45"/>
    <n v="1069"/>
    <s v="Customer_64"/>
    <s v="Consumer"/>
    <s v="South"/>
    <s v="Furniture"/>
    <s v="Product_C"/>
    <n v="4092"/>
    <n v="2"/>
    <n v="0.23"/>
    <n v="779"/>
    <x v="1"/>
    <n v="6301.68"/>
    <s v="Feb"/>
    <n v="2024"/>
    <s v="Q1"/>
    <n v="0.12361782889642127"/>
    <n v="1882.3200000000002"/>
    <s v="High"/>
    <s v="Repeat"/>
    <s v="Below Avg"/>
    <s v="Profit"/>
    <n v="290"/>
  </r>
  <r>
    <n v="47"/>
    <x v="46"/>
    <n v="1064"/>
    <s v="Customer_13"/>
    <s v="Corporate"/>
    <s v="West"/>
    <s v="Electronics"/>
    <s v="Product_B"/>
    <n v="1788"/>
    <n v="7"/>
    <n v="0.06"/>
    <n v="-196"/>
    <x v="1"/>
    <n v="11765.039999999901"/>
    <s v="Feb"/>
    <n v="2024"/>
    <s v="Q1"/>
    <n v="-1.6659526869437048E-2"/>
    <n v="750.95999999999992"/>
    <s v="High"/>
    <s v="Repeat"/>
    <s v="Above Avg"/>
    <s v="Loss"/>
    <n v="174"/>
  </r>
  <r>
    <n v="48"/>
    <x v="47"/>
    <n v="1075"/>
    <s v="Customer_107"/>
    <s v="Corporate"/>
    <s v="West"/>
    <s v="Clothing"/>
    <s v="Product_C"/>
    <n v="343"/>
    <n v="3"/>
    <n v="0.03"/>
    <n v="1062"/>
    <x v="0"/>
    <n v="998.13"/>
    <s v="Feb"/>
    <n v="2024"/>
    <s v="Q1"/>
    <n v="1.0639896606654444"/>
    <n v="30.869999999999997"/>
    <s v="Low"/>
    <s v="Repeat"/>
    <s v="Below Avg"/>
    <s v="Profit"/>
    <n v="479"/>
  </r>
  <r>
    <n v="49"/>
    <x v="48"/>
    <n v="1034"/>
    <s v="Customer_27"/>
    <s v="Consumer"/>
    <s v="South"/>
    <s v="Electronics"/>
    <s v="Product_B"/>
    <n v="1734"/>
    <n v="6"/>
    <n v="0.27"/>
    <n v="318"/>
    <x v="0"/>
    <n v="7594.92"/>
    <s v="Feb"/>
    <n v="2024"/>
    <s v="Q1"/>
    <n v="4.1870092114202652E-2"/>
    <n v="2809.0800000000004"/>
    <s v="High"/>
    <s v="Repeat"/>
    <s v="Below Avg"/>
    <s v="Profit"/>
    <n v="263"/>
  </r>
  <r>
    <n v="50"/>
    <x v="49"/>
    <n v="1058"/>
    <s v="Customer_169"/>
    <s v="Consumer"/>
    <s v="East"/>
    <s v="Furniture"/>
    <s v="Product_C"/>
    <n v="2310"/>
    <n v="7"/>
    <n v="0.18"/>
    <n v="-22"/>
    <x v="2"/>
    <n v="13259.4"/>
    <s v="Feb"/>
    <n v="2024"/>
    <s v="Q1"/>
    <n v="-1.6592002654720426E-3"/>
    <n v="2910.6"/>
    <s v="High"/>
    <s v="Repeat"/>
    <s v="Above Avg"/>
    <s v="Loss"/>
    <n v="157"/>
  </r>
  <r>
    <n v="51"/>
    <x v="50"/>
    <n v="1010"/>
    <s v="Customer_42"/>
    <s v="Consumer"/>
    <s v="East"/>
    <s v="Clothing"/>
    <s v="Product_B"/>
    <n v="274"/>
    <n v="6"/>
    <n v="0.05"/>
    <n v="-327"/>
    <x v="2"/>
    <n v="1561.8"/>
    <s v="Feb"/>
    <n v="2024"/>
    <s v="Q1"/>
    <n v="-0.20937379946215906"/>
    <n v="82.2"/>
    <s v="Low"/>
    <s v="Repeat"/>
    <s v="Below Avg"/>
    <s v="Loss"/>
    <n v="455"/>
  </r>
  <r>
    <n v="52"/>
    <x v="51"/>
    <n v="1022"/>
    <s v="Customer_157"/>
    <s v="Corporate"/>
    <s v="West"/>
    <s v="Clothing"/>
    <s v="Product_A"/>
    <n v="2319"/>
    <n v="5"/>
    <n v="0.19"/>
    <n v="51"/>
    <x v="2"/>
    <n v="9391.9500000000007"/>
    <s v="Feb"/>
    <n v="2024"/>
    <s v="Q1"/>
    <n v="5.4301822305272062E-3"/>
    <n v="2203.0500000000002"/>
    <s v="High"/>
    <s v="Repeat"/>
    <s v="Below Avg"/>
    <s v="Profit"/>
    <n v="222"/>
  </r>
  <r>
    <n v="53"/>
    <x v="52"/>
    <n v="1077"/>
    <s v="Customer_144"/>
    <s v="Corporate"/>
    <s v="North"/>
    <s v="Electronics"/>
    <s v="Product_B"/>
    <n v="3756"/>
    <n v="9"/>
    <n v="0.1"/>
    <n v="1822"/>
    <x v="1"/>
    <n v="30423.599999999999"/>
    <s v="Feb"/>
    <n v="2024"/>
    <s v="Q1"/>
    <n v="5.9887718744658758E-2"/>
    <n v="3380.4"/>
    <s v="High"/>
    <s v="Repeat"/>
    <s v="Above Avg"/>
    <s v="Profit"/>
    <n v="23"/>
  </r>
  <r>
    <n v="54"/>
    <x v="53"/>
    <n v="1018"/>
    <s v="Customer_181"/>
    <s v="Corporate"/>
    <s v="North"/>
    <s v="Furniture"/>
    <s v="Product_D"/>
    <n v="366"/>
    <n v="9"/>
    <n v="0.04"/>
    <n v="-461"/>
    <x v="0"/>
    <n v="3162.24"/>
    <s v="Feb"/>
    <n v="2024"/>
    <s v="Q1"/>
    <n v="-0.14578273628820079"/>
    <n v="131.76"/>
    <s v="Medium"/>
    <s v="Repeat"/>
    <s v="Below Avg"/>
    <s v="Loss"/>
    <n v="388"/>
  </r>
  <r>
    <n v="55"/>
    <x v="54"/>
    <n v="1015"/>
    <s v="Customer_46"/>
    <s v="Corporate"/>
    <s v="North"/>
    <s v="Clothing"/>
    <s v="Product_A"/>
    <n v="1482"/>
    <n v="3"/>
    <n v="0.24"/>
    <n v="1102"/>
    <x v="2"/>
    <n v="3378.96"/>
    <s v="Feb"/>
    <n v="2024"/>
    <s v="Q1"/>
    <n v="0.32613585245164189"/>
    <n v="1067.04"/>
    <s v="Medium"/>
    <s v="Repeat"/>
    <s v="Below Avg"/>
    <s v="Profit"/>
    <n v="381"/>
  </r>
  <r>
    <n v="56"/>
    <x v="55"/>
    <n v="1027"/>
    <s v="Customer_197"/>
    <s v="Corporate"/>
    <s v="North"/>
    <s v="Electronics"/>
    <s v="Product_C"/>
    <n v="879"/>
    <n v="7"/>
    <n v="0.03"/>
    <n v="1934"/>
    <x v="1"/>
    <n v="5968.41"/>
    <s v="Feb"/>
    <n v="2024"/>
    <s v="Q1"/>
    <n v="0.3240394007784318"/>
    <n v="184.59"/>
    <s v="High"/>
    <s v="Repeat"/>
    <s v="Below Avg"/>
    <s v="Profit"/>
    <n v="298"/>
  </r>
  <r>
    <n v="57"/>
    <x v="56"/>
    <n v="1030"/>
    <s v="Customer_37"/>
    <s v="Corporate"/>
    <s v="East"/>
    <s v="Furniture"/>
    <s v="Product_B"/>
    <n v="4731"/>
    <n v="2"/>
    <n v="0.28999999999999998"/>
    <n v="1177"/>
    <x v="2"/>
    <n v="6718.0199999999904"/>
    <s v="Feb"/>
    <n v="2024"/>
    <s v="Q1"/>
    <n v="0.17520043107939567"/>
    <n v="2743.98"/>
    <s v="High"/>
    <s v="Repeat"/>
    <s v="Below Avg"/>
    <s v="Profit"/>
    <n v="282"/>
  </r>
  <r>
    <n v="58"/>
    <x v="57"/>
    <n v="1052"/>
    <s v="Customer_104"/>
    <s v="Consumer"/>
    <s v="West"/>
    <s v="Furniture"/>
    <s v="Product_B"/>
    <n v="766"/>
    <n v="1"/>
    <n v="0.23"/>
    <n v="993"/>
    <x v="2"/>
    <n v="589.82000000000005"/>
    <s v="Feb"/>
    <n v="2024"/>
    <s v="Q1"/>
    <n v="1.6835644772981586"/>
    <n v="176.18"/>
    <s v="Low"/>
    <s v="Repeat"/>
    <s v="Below Avg"/>
    <s v="Profit"/>
    <n v="487"/>
  </r>
  <r>
    <n v="59"/>
    <x v="58"/>
    <n v="1070"/>
    <s v="Customer_188"/>
    <s v="Consumer"/>
    <s v="West"/>
    <s v="Furniture"/>
    <s v="Product_B"/>
    <n v="1257"/>
    <n v="4"/>
    <n v="0.21"/>
    <n v="-182"/>
    <x v="0"/>
    <n v="3972.12"/>
    <s v="Feb"/>
    <n v="2024"/>
    <s v="Q1"/>
    <n v="-4.581936094579217E-2"/>
    <n v="1055.8799999999999"/>
    <s v="Medium"/>
    <s v="Repeat"/>
    <s v="Below Avg"/>
    <s v="Loss"/>
    <n v="354"/>
  </r>
  <r>
    <n v="60"/>
    <x v="59"/>
    <n v="1026"/>
    <s v="Customer_143"/>
    <s v="Consumer"/>
    <s v="North"/>
    <s v="Electronics"/>
    <s v="Product_C"/>
    <n v="4776"/>
    <n v="3"/>
    <n v="7.0000000000000007E-2"/>
    <n v="1297"/>
    <x v="0"/>
    <n v="13325.039999999901"/>
    <s v="Feb"/>
    <n v="2024"/>
    <s v="Q1"/>
    <n v="9.7335542707564823E-2"/>
    <n v="1002.9600000000002"/>
    <s v="High"/>
    <s v="Repeat"/>
    <s v="Above Avg"/>
    <s v="Profit"/>
    <n v="156"/>
  </r>
  <r>
    <n v="61"/>
    <x v="60"/>
    <n v="1080"/>
    <s v="Customer_149"/>
    <s v="Consumer"/>
    <s v="West"/>
    <s v="Furniture"/>
    <s v="Product_D"/>
    <n v="963"/>
    <n v="4"/>
    <n v="0.23"/>
    <n v="-271"/>
    <x v="1"/>
    <n v="2966.04"/>
    <s v="Mar"/>
    <n v="2024"/>
    <s v="Q1"/>
    <n v="-9.1367614732100713E-2"/>
    <n v="885.96"/>
    <s v="Medium"/>
    <s v="Repeat"/>
    <s v="Below Avg"/>
    <s v="Loss"/>
    <n v="395"/>
  </r>
  <r>
    <n v="62"/>
    <x v="61"/>
    <n v="1006"/>
    <s v="Customer_34"/>
    <s v="Corporate"/>
    <s v="East"/>
    <s v="Clothing"/>
    <s v="Product_C"/>
    <n v="4000"/>
    <n v="3"/>
    <n v="0.01"/>
    <n v="1902"/>
    <x v="2"/>
    <n v="11880"/>
    <s v="Mar"/>
    <n v="2024"/>
    <s v="Q1"/>
    <n v="0.1601010101010101"/>
    <n v="120"/>
    <s v="High"/>
    <s v="Repeat"/>
    <s v="Above Avg"/>
    <s v="Profit"/>
    <n v="171"/>
  </r>
  <r>
    <n v="63"/>
    <x v="62"/>
    <n v="1014"/>
    <s v="Customer_9"/>
    <s v="Consumer"/>
    <s v="South"/>
    <s v="Electronics"/>
    <s v="Product_B"/>
    <n v="156"/>
    <n v="9"/>
    <n v="0.17"/>
    <n v="325"/>
    <x v="2"/>
    <n v="1165.32"/>
    <s v="Mar"/>
    <n v="2024"/>
    <s v="Q1"/>
    <n v="0.2788933511825078"/>
    <n v="238.68"/>
    <s v="Low"/>
    <s v="Repeat"/>
    <s v="Below Avg"/>
    <s v="Profit"/>
    <n v="472"/>
  </r>
  <r>
    <n v="64"/>
    <x v="63"/>
    <n v="1075"/>
    <s v="Customer_154"/>
    <s v="Consumer"/>
    <s v="South"/>
    <s v="Electronics"/>
    <s v="Product_A"/>
    <n v="3350"/>
    <n v="4"/>
    <n v="0.09"/>
    <n v="1332"/>
    <x v="2"/>
    <n v="12194"/>
    <s v="Mar"/>
    <n v="2024"/>
    <s v="Q1"/>
    <n v="0.109234049532557"/>
    <n v="1206"/>
    <s v="High"/>
    <s v="Repeat"/>
    <s v="Above Avg"/>
    <s v="Profit"/>
    <n v="165"/>
  </r>
  <r>
    <n v="65"/>
    <x v="64"/>
    <n v="1054"/>
    <s v="Customer_77"/>
    <s v="Consumer"/>
    <s v="West"/>
    <s v="Electronics"/>
    <s v="Product_B"/>
    <n v="642"/>
    <n v="4"/>
    <n v="0.25"/>
    <n v="30"/>
    <x v="0"/>
    <n v="1926"/>
    <s v="Mar"/>
    <n v="2024"/>
    <s v="Q1"/>
    <n v="1.5576323987538941E-2"/>
    <n v="642"/>
    <s v="Low"/>
    <s v="Repeat"/>
    <s v="Below Avg"/>
    <s v="Profit"/>
    <n v="434"/>
  </r>
  <r>
    <n v="66"/>
    <x v="65"/>
    <n v="1071"/>
    <s v="Customer_146"/>
    <s v="Corporate"/>
    <s v="West"/>
    <s v="Electronics"/>
    <s v="Product_A"/>
    <n v="1032"/>
    <n v="7"/>
    <n v="0.23"/>
    <n v="-33"/>
    <x v="0"/>
    <n v="5562.48"/>
    <s v="Mar"/>
    <n v="2024"/>
    <s v="Q1"/>
    <n v="-5.9326056003796875E-3"/>
    <n v="1661.52"/>
    <s v="High"/>
    <s v="Repeat"/>
    <s v="Below Avg"/>
    <s v="Loss"/>
    <n v="307"/>
  </r>
  <r>
    <n v="67"/>
    <x v="66"/>
    <n v="1001"/>
    <s v="Customer_1"/>
    <s v="Consumer"/>
    <s v="West"/>
    <s v="Furniture"/>
    <s v="Product_B"/>
    <n v="950"/>
    <n v="4"/>
    <n v="0.15"/>
    <n v="1734"/>
    <x v="2"/>
    <n v="3230"/>
    <s v="Mar"/>
    <n v="2024"/>
    <s v="Q1"/>
    <n v="0.5368421052631579"/>
    <n v="570"/>
    <s v="Medium"/>
    <s v="Repeat"/>
    <s v="Below Avg"/>
    <s v="Profit"/>
    <n v="387"/>
  </r>
  <r>
    <n v="68"/>
    <x v="67"/>
    <n v="1043"/>
    <s v="Customer_23"/>
    <s v="Corporate"/>
    <s v="North"/>
    <s v="Electronics"/>
    <s v="Product_D"/>
    <n v="1275"/>
    <n v="9"/>
    <n v="0.14000000000000001"/>
    <n v="1604"/>
    <x v="1"/>
    <n v="9868.5"/>
    <s v="Mar"/>
    <n v="2024"/>
    <s v="Q1"/>
    <n v="0.16253736636773572"/>
    <n v="1606.5000000000002"/>
    <s v="High"/>
    <s v="New"/>
    <s v="Below Avg"/>
    <s v="Profit"/>
    <n v="204"/>
  </r>
  <r>
    <n v="69"/>
    <x v="68"/>
    <n v="1058"/>
    <s v="Customer_33"/>
    <s v="Consumer"/>
    <s v="North"/>
    <s v="Clothing"/>
    <s v="Product_D"/>
    <n v="622"/>
    <n v="9"/>
    <n v="0.02"/>
    <n v="442"/>
    <x v="1"/>
    <n v="5486.04"/>
    <s v="Mar"/>
    <n v="2024"/>
    <s v="Q1"/>
    <n v="8.0568132933773726E-2"/>
    <n v="111.96000000000001"/>
    <s v="High"/>
    <s v="Repeat"/>
    <s v="Below Avg"/>
    <s v="Profit"/>
    <n v="309"/>
  </r>
  <r>
    <n v="70"/>
    <x v="69"/>
    <n v="1055"/>
    <s v="Customer_175"/>
    <s v="Consumer"/>
    <s v="West"/>
    <s v="Clothing"/>
    <s v="Product_C"/>
    <n v="209"/>
    <n v="9"/>
    <n v="7.0000000000000007E-2"/>
    <n v="79"/>
    <x v="1"/>
    <n v="1749.33"/>
    <s v="Mar"/>
    <n v="2024"/>
    <s v="Q1"/>
    <n v="4.5160147027719186E-2"/>
    <n v="131.67000000000002"/>
    <s v="Low"/>
    <s v="Repeat"/>
    <s v="Below Avg"/>
    <s v="Profit"/>
    <n v="444"/>
  </r>
  <r>
    <n v="71"/>
    <x v="70"/>
    <n v="1025"/>
    <s v="Customer_95"/>
    <s v="Consumer"/>
    <s v="South"/>
    <s v="Clothing"/>
    <s v="Product_D"/>
    <n v="3545"/>
    <n v="6"/>
    <n v="0.21"/>
    <n v="706"/>
    <x v="1"/>
    <n v="16803.3"/>
    <s v="Mar"/>
    <n v="2024"/>
    <s v="Q1"/>
    <n v="4.2015556468074727E-2"/>
    <n v="4466.7"/>
    <s v="High"/>
    <s v="Repeat"/>
    <s v="Above Avg"/>
    <s v="Profit"/>
    <n v="107"/>
  </r>
  <r>
    <n v="72"/>
    <x v="71"/>
    <n v="1050"/>
    <s v="Customer_122"/>
    <s v="Corporate"/>
    <s v="East"/>
    <s v="Clothing"/>
    <s v="Product_A"/>
    <n v="156"/>
    <n v="9"/>
    <n v="0.02"/>
    <n v="56"/>
    <x v="2"/>
    <n v="1375.92"/>
    <s v="Mar"/>
    <n v="2024"/>
    <s v="Q1"/>
    <n v="4.0700040700040699E-2"/>
    <n v="28.080000000000002"/>
    <s v="Low"/>
    <s v="Repeat"/>
    <s v="Below Avg"/>
    <s v="Profit"/>
    <n v="463"/>
  </r>
  <r>
    <n v="73"/>
    <x v="72"/>
    <n v="1084"/>
    <s v="Customer_21"/>
    <s v="Consumer"/>
    <s v="West"/>
    <s v="Clothing"/>
    <s v="Product_C"/>
    <n v="3923"/>
    <n v="3"/>
    <n v="0.24"/>
    <n v="1141"/>
    <x v="0"/>
    <n v="8944.44"/>
    <s v="Mar"/>
    <n v="2024"/>
    <s v="Q1"/>
    <n v="0.12756528077777926"/>
    <n v="2824.56"/>
    <s v="High"/>
    <s v="Repeat"/>
    <s v="Below Avg"/>
    <s v="Profit"/>
    <n v="232"/>
  </r>
  <r>
    <n v="74"/>
    <x v="73"/>
    <n v="1056"/>
    <s v="Customer_61"/>
    <s v="Corporate"/>
    <s v="East"/>
    <s v="Electronics"/>
    <s v="Product_D"/>
    <n v="1766"/>
    <n v="2"/>
    <n v="0.28999999999999998"/>
    <n v="620"/>
    <x v="1"/>
    <n v="2507.7199999999998"/>
    <s v="Mar"/>
    <n v="2024"/>
    <s v="Q1"/>
    <n v="0.24723653358429173"/>
    <n v="1024.28"/>
    <s v="Medium"/>
    <s v="Repeat"/>
    <s v="Below Avg"/>
    <s v="Profit"/>
    <n v="410"/>
  </r>
  <r>
    <n v="75"/>
    <x v="74"/>
    <n v="1049"/>
    <s v="Customer_27"/>
    <s v="Consumer"/>
    <s v="East"/>
    <s v="Furniture"/>
    <s v="Product_B"/>
    <n v="4017"/>
    <n v="2"/>
    <n v="0.02"/>
    <n v="755"/>
    <x v="2"/>
    <n v="7873.32"/>
    <s v="Mar"/>
    <n v="2024"/>
    <s v="Q1"/>
    <n v="9.58934731472873E-2"/>
    <n v="160.68"/>
    <s v="High"/>
    <s v="Repeat"/>
    <s v="Below Avg"/>
    <s v="Profit"/>
    <n v="255"/>
  </r>
  <r>
    <n v="76"/>
    <x v="75"/>
    <n v="1012"/>
    <s v="Customer_191"/>
    <s v="Consumer"/>
    <s v="East"/>
    <s v="Clothing"/>
    <s v="Product_D"/>
    <n v="1527"/>
    <n v="7"/>
    <n v="0.14000000000000001"/>
    <n v="-113"/>
    <x v="2"/>
    <n v="9192.53999999999"/>
    <s v="Mar"/>
    <n v="2024"/>
    <s v="Q1"/>
    <n v="-1.2292576371710117E-2"/>
    <n v="1496.46"/>
    <s v="High"/>
    <s v="Repeat"/>
    <s v="Below Avg"/>
    <s v="Loss"/>
    <n v="227"/>
  </r>
  <r>
    <n v="77"/>
    <x v="76"/>
    <n v="1018"/>
    <s v="Customer_102"/>
    <s v="Consumer"/>
    <s v="East"/>
    <s v="Furniture"/>
    <s v="Product_C"/>
    <n v="604"/>
    <n v="5"/>
    <n v="0.17"/>
    <n v="213"/>
    <x v="2"/>
    <n v="2506.6"/>
    <s v="Mar"/>
    <n v="2024"/>
    <s v="Q1"/>
    <n v="8.497566424638954E-2"/>
    <n v="513.40000000000009"/>
    <s v="Medium"/>
    <s v="Repeat"/>
    <s v="Below Avg"/>
    <s v="Profit"/>
    <n v="411"/>
  </r>
  <r>
    <n v="78"/>
    <x v="77"/>
    <n v="1081"/>
    <s v="Customer_180"/>
    <s v="Consumer"/>
    <s v="North"/>
    <s v="Clothing"/>
    <s v="Product_D"/>
    <n v="3795"/>
    <n v="4"/>
    <n v="0.24"/>
    <n v="842"/>
    <x v="0"/>
    <n v="11536.8"/>
    <s v="Mar"/>
    <n v="2024"/>
    <s v="Q1"/>
    <n v="7.2983843006726307E-2"/>
    <n v="3643.2"/>
    <s v="High"/>
    <s v="Repeat"/>
    <s v="Above Avg"/>
    <s v="Profit"/>
    <n v="181"/>
  </r>
  <r>
    <n v="79"/>
    <x v="78"/>
    <n v="1001"/>
    <s v="Customer_192"/>
    <s v="Consumer"/>
    <s v="West"/>
    <s v="Clothing"/>
    <s v="Product_A"/>
    <n v="4704"/>
    <n v="2"/>
    <n v="0.05"/>
    <n v="-31"/>
    <x v="1"/>
    <n v="8937.6"/>
    <s v="Mar"/>
    <n v="2024"/>
    <s v="Q1"/>
    <n v="-3.4684926602219835E-3"/>
    <n v="470.40000000000003"/>
    <s v="High"/>
    <s v="Repeat"/>
    <s v="Below Avg"/>
    <s v="Loss"/>
    <n v="233"/>
  </r>
  <r>
    <n v="80"/>
    <x v="79"/>
    <n v="1051"/>
    <s v="Customer_142"/>
    <s v="Corporate"/>
    <s v="East"/>
    <s v="Clothing"/>
    <s v="Product_A"/>
    <n v="1428"/>
    <n v="4"/>
    <n v="0.11"/>
    <n v="361"/>
    <x v="0"/>
    <n v="5083.68"/>
    <s v="Mar"/>
    <n v="2024"/>
    <s v="Q1"/>
    <n v="7.10115506876908E-2"/>
    <n v="628.32000000000005"/>
    <s v="High"/>
    <s v="Repeat"/>
    <s v="Below Avg"/>
    <s v="Profit"/>
    <n v="320"/>
  </r>
  <r>
    <n v="81"/>
    <x v="80"/>
    <n v="1044"/>
    <s v="Customer_101"/>
    <s v="Corporate"/>
    <s v="East"/>
    <s v="Furniture"/>
    <s v="Product_A"/>
    <n v="783"/>
    <n v="6"/>
    <n v="0.25"/>
    <n v="-54"/>
    <x v="2"/>
    <n v="3523.5"/>
    <s v="Mar"/>
    <n v="2024"/>
    <s v="Q1"/>
    <n v="-1.532567049808429E-2"/>
    <n v="1174.5"/>
    <s v="Medium"/>
    <s v="Repeat"/>
    <s v="Below Avg"/>
    <s v="Loss"/>
    <n v="376"/>
  </r>
  <r>
    <n v="82"/>
    <x v="81"/>
    <n v="1048"/>
    <s v="Customer_175"/>
    <s v="Consumer"/>
    <s v="South"/>
    <s v="Electronics"/>
    <s v="Product_A"/>
    <n v="222"/>
    <n v="6"/>
    <n v="0.16"/>
    <n v="9"/>
    <x v="0"/>
    <n v="1118.8799999999901"/>
    <s v="Mar"/>
    <n v="2024"/>
    <s v="Q1"/>
    <n v="8.043758043758115E-3"/>
    <n v="213.12"/>
    <s v="Low"/>
    <s v="Repeat"/>
    <s v="Below Avg"/>
    <s v="Profit"/>
    <n v="474"/>
  </r>
  <r>
    <n v="83"/>
    <x v="82"/>
    <n v="1056"/>
    <s v="Customer_7"/>
    <s v="Corporate"/>
    <s v="West"/>
    <s v="Clothing"/>
    <s v="Product_A"/>
    <n v="1447"/>
    <n v="8"/>
    <n v="0.05"/>
    <n v="1686"/>
    <x v="0"/>
    <n v="10997.199999999901"/>
    <s v="Mar"/>
    <n v="2024"/>
    <s v="Q1"/>
    <n v="0.15331175208234962"/>
    <n v="578.80000000000007"/>
    <s v="High"/>
    <s v="Repeat"/>
    <s v="Above Avg"/>
    <s v="Profit"/>
    <n v="191"/>
  </r>
  <r>
    <n v="84"/>
    <x v="83"/>
    <n v="1091"/>
    <s v="Customer_76"/>
    <s v="Corporate"/>
    <s v="East"/>
    <s v="Electronics"/>
    <s v="Product_C"/>
    <n v="4171"/>
    <n v="6"/>
    <n v="0.26"/>
    <n v="1941"/>
    <x v="0"/>
    <n v="18519.2399999999"/>
    <s v="Mar"/>
    <n v="2024"/>
    <s v="Q1"/>
    <n v="0.10480991660564962"/>
    <n v="6506.76"/>
    <s v="High"/>
    <s v="Repeat"/>
    <s v="Above Avg"/>
    <s v="Profit"/>
    <n v="86"/>
  </r>
  <r>
    <n v="85"/>
    <x v="84"/>
    <n v="1049"/>
    <s v="Customer_156"/>
    <s v="Corporate"/>
    <s v="North"/>
    <s v="Clothing"/>
    <s v="Product_D"/>
    <n v="2001"/>
    <n v="5"/>
    <n v="0.28000000000000003"/>
    <n v="832"/>
    <x v="0"/>
    <n v="7203.5999999999904"/>
    <s v="Mar"/>
    <n v="2024"/>
    <s v="Q1"/>
    <n v="0.1154978066522296"/>
    <n v="2801.4"/>
    <s v="High"/>
    <s v="Repeat"/>
    <s v="Below Avg"/>
    <s v="Profit"/>
    <n v="271"/>
  </r>
  <r>
    <n v="86"/>
    <x v="85"/>
    <n v="1086"/>
    <s v="Customer_131"/>
    <s v="Consumer"/>
    <s v="South"/>
    <s v="Electronics"/>
    <s v="Product_C"/>
    <n v="1745"/>
    <n v="7"/>
    <n v="0.22"/>
    <n v="1411"/>
    <x v="0"/>
    <n v="9527.7000000000007"/>
    <s v="Mar"/>
    <n v="2024"/>
    <s v="Q1"/>
    <n v="0.14809450339536298"/>
    <n v="2687.3"/>
    <s v="High"/>
    <s v="Repeat"/>
    <s v="Below Avg"/>
    <s v="Profit"/>
    <n v="215"/>
  </r>
  <r>
    <n v="87"/>
    <x v="86"/>
    <n v="1003"/>
    <s v="Customer_150"/>
    <s v="Corporate"/>
    <s v="South"/>
    <s v="Electronics"/>
    <s v="Product_D"/>
    <n v="2969"/>
    <n v="3"/>
    <n v="0.28999999999999998"/>
    <n v="735"/>
    <x v="0"/>
    <n v="6323.9699999999903"/>
    <s v="Mar"/>
    <n v="2024"/>
    <s v="Q1"/>
    <n v="0.11622446026783827"/>
    <n v="2583.0299999999997"/>
    <s v="High"/>
    <s v="Repeat"/>
    <s v="Below Avg"/>
    <s v="Profit"/>
    <n v="288"/>
  </r>
  <r>
    <n v="88"/>
    <x v="87"/>
    <n v="1067"/>
    <s v="Customer_85"/>
    <s v="Corporate"/>
    <s v="South"/>
    <s v="Clothing"/>
    <s v="Product_A"/>
    <n v="1478"/>
    <n v="4"/>
    <n v="0.28000000000000003"/>
    <n v="-370"/>
    <x v="2"/>
    <n v="4256.6399999999903"/>
    <s v="Mar"/>
    <n v="2024"/>
    <s v="Q1"/>
    <n v="-8.6923019094873155E-2"/>
    <n v="1655.3600000000001"/>
    <s v="Medium"/>
    <s v="Repeat"/>
    <s v="Below Avg"/>
    <s v="Loss"/>
    <n v="343"/>
  </r>
  <r>
    <n v="89"/>
    <x v="88"/>
    <n v="1011"/>
    <s v="Customer_191"/>
    <s v="Corporate"/>
    <s v="South"/>
    <s v="Electronics"/>
    <s v="Product_B"/>
    <n v="2972"/>
    <n v="6"/>
    <n v="0.04"/>
    <n v="64"/>
    <x v="0"/>
    <n v="17118.72"/>
    <s v="Mar"/>
    <n v="2024"/>
    <s v="Q1"/>
    <n v="3.7385972783011813E-3"/>
    <n v="713.28"/>
    <s v="High"/>
    <s v="Repeat"/>
    <s v="Above Avg"/>
    <s v="Profit"/>
    <n v="104"/>
  </r>
  <r>
    <n v="90"/>
    <x v="89"/>
    <n v="1021"/>
    <s v="Customer_29"/>
    <s v="Consumer"/>
    <s v="East"/>
    <s v="Furniture"/>
    <s v="Product_B"/>
    <n v="1596"/>
    <n v="9"/>
    <n v="0.12"/>
    <n v="1887"/>
    <x v="0"/>
    <n v="12640.32"/>
    <s v="Mar"/>
    <n v="2024"/>
    <s v="Q1"/>
    <n v="0.14928419533682691"/>
    <n v="1723.6799999999998"/>
    <s v="High"/>
    <s v="Repeat"/>
    <s v="Above Avg"/>
    <s v="Profit"/>
    <n v="161"/>
  </r>
  <r>
    <n v="91"/>
    <x v="90"/>
    <n v="1089"/>
    <s v="Customer_148"/>
    <s v="Corporate"/>
    <s v="North"/>
    <s v="Electronics"/>
    <s v="Product_B"/>
    <n v="775"/>
    <n v="6"/>
    <n v="0.18"/>
    <n v="1459"/>
    <x v="0"/>
    <n v="3813"/>
    <s v="Mar"/>
    <n v="2024"/>
    <s v="Q1"/>
    <n v="0.38263834251245737"/>
    <n v="837"/>
    <s v="Medium"/>
    <s v="Repeat"/>
    <s v="Below Avg"/>
    <s v="Profit"/>
    <n v="364"/>
  </r>
  <r>
    <n v="92"/>
    <x v="91"/>
    <n v="1098"/>
    <s v="Customer_67"/>
    <s v="Corporate"/>
    <s v="South"/>
    <s v="Furniture"/>
    <s v="Product_D"/>
    <n v="2608"/>
    <n v="4"/>
    <n v="0.22"/>
    <n v="1774"/>
    <x v="0"/>
    <n v="8136.96"/>
    <s v="Apr"/>
    <n v="2024"/>
    <s v="Q2"/>
    <n v="0.21801753971999371"/>
    <n v="2295.04"/>
    <s v="High"/>
    <s v="Repeat"/>
    <s v="Below Avg"/>
    <s v="Profit"/>
    <n v="246"/>
  </r>
  <r>
    <n v="93"/>
    <x v="92"/>
    <n v="1003"/>
    <s v="Customer_105"/>
    <s v="Corporate"/>
    <s v="North"/>
    <s v="Electronics"/>
    <s v="Product_D"/>
    <n v="2396"/>
    <n v="8"/>
    <n v="0.16"/>
    <n v="943"/>
    <x v="1"/>
    <n v="16101.119999999901"/>
    <s v="Apr"/>
    <n v="2024"/>
    <s v="Q2"/>
    <n v="5.8567354320693578E-2"/>
    <n v="3066.88"/>
    <s v="High"/>
    <s v="Repeat"/>
    <s v="Above Avg"/>
    <s v="Profit"/>
    <n v="126"/>
  </r>
  <r>
    <n v="94"/>
    <x v="93"/>
    <n v="1011"/>
    <s v="Customer_161"/>
    <s v="Consumer"/>
    <s v="East"/>
    <s v="Furniture"/>
    <s v="Product_C"/>
    <n v="662"/>
    <n v="5"/>
    <n v="0.19"/>
    <n v="-45"/>
    <x v="2"/>
    <n v="2681.1"/>
    <s v="Apr"/>
    <n v="2024"/>
    <s v="Q2"/>
    <n v="-1.6784155756965426E-2"/>
    <n v="628.9"/>
    <s v="Medium"/>
    <s v="Repeat"/>
    <s v="Below Avg"/>
    <s v="Loss"/>
    <n v="403"/>
  </r>
  <r>
    <n v="95"/>
    <x v="94"/>
    <n v="1003"/>
    <s v="Customer_94"/>
    <s v="Consumer"/>
    <s v="West"/>
    <s v="Clothing"/>
    <s v="Product_C"/>
    <n v="4372"/>
    <n v="5"/>
    <n v="0.04"/>
    <n v="1771"/>
    <x v="0"/>
    <n v="20985.599999999999"/>
    <s v="Apr"/>
    <n v="2024"/>
    <s v="Q2"/>
    <n v="8.4391201585849354E-2"/>
    <n v="874.4"/>
    <s v="High"/>
    <s v="Repeat"/>
    <s v="Above Avg"/>
    <s v="Profit"/>
    <n v="77"/>
  </r>
  <r>
    <n v="96"/>
    <x v="95"/>
    <n v="1094"/>
    <s v="Customer_48"/>
    <s v="Consumer"/>
    <s v="North"/>
    <s v="Furniture"/>
    <s v="Product_D"/>
    <n v="301"/>
    <n v="8"/>
    <n v="0.12"/>
    <n v="1297"/>
    <x v="0"/>
    <n v="2119.04"/>
    <s v="Apr"/>
    <n v="2024"/>
    <s v="Q2"/>
    <n v="0.61206961643008151"/>
    <n v="288.95999999999998"/>
    <s v="Medium"/>
    <s v="Repeat"/>
    <s v="Below Avg"/>
    <s v="Profit"/>
    <n v="421"/>
  </r>
  <r>
    <n v="97"/>
    <x v="96"/>
    <n v="1006"/>
    <s v="Customer_103"/>
    <s v="Corporate"/>
    <s v="East"/>
    <s v="Furniture"/>
    <s v="Product_A"/>
    <n v="4572"/>
    <n v="9"/>
    <n v="0"/>
    <n v="519"/>
    <x v="0"/>
    <n v="41148"/>
    <s v="Apr"/>
    <n v="2024"/>
    <s v="Q2"/>
    <n v="1.2613006707494897E-2"/>
    <n v="0"/>
    <s v="High"/>
    <s v="Repeat"/>
    <s v="Above Avg"/>
    <s v="Profit"/>
    <n v="1"/>
  </r>
  <r>
    <n v="98"/>
    <x v="97"/>
    <n v="1009"/>
    <s v="Customer_41"/>
    <s v="Consumer"/>
    <s v="South"/>
    <s v="Electronics"/>
    <s v="Product_A"/>
    <n v="3094"/>
    <n v="4"/>
    <n v="0.2"/>
    <n v="236"/>
    <x v="1"/>
    <n v="9900.7999999999993"/>
    <s v="Apr"/>
    <n v="2024"/>
    <s v="Q2"/>
    <n v="2.3836457659987074E-2"/>
    <n v="2475.2000000000003"/>
    <s v="High"/>
    <s v="Repeat"/>
    <s v="Below Avg"/>
    <s v="Profit"/>
    <n v="203"/>
  </r>
  <r>
    <n v="99"/>
    <x v="98"/>
    <n v="1087"/>
    <s v="Customer_123"/>
    <s v="Consumer"/>
    <s v="West"/>
    <s v="Electronics"/>
    <s v="Product_A"/>
    <n v="4656"/>
    <n v="8"/>
    <n v="0.05"/>
    <n v="115"/>
    <x v="1"/>
    <n v="35385.599999999999"/>
    <s v="Apr"/>
    <n v="2024"/>
    <s v="Q2"/>
    <n v="3.2499095677337676E-3"/>
    <n v="1862.4"/>
    <s v="High"/>
    <s v="Repeat"/>
    <s v="Above Avg"/>
    <s v="Profit"/>
    <n v="9"/>
  </r>
  <r>
    <n v="100"/>
    <x v="99"/>
    <n v="1014"/>
    <s v="Customer_137"/>
    <s v="Corporate"/>
    <s v="North"/>
    <s v="Clothing"/>
    <s v="Product_B"/>
    <n v="4815"/>
    <n v="8"/>
    <n v="0.12"/>
    <n v="271"/>
    <x v="0"/>
    <n v="33897.599999999999"/>
    <s v="Apr"/>
    <n v="2024"/>
    <s v="Q2"/>
    <n v="7.9946662890588126E-3"/>
    <n v="4622.3999999999996"/>
    <s v="High"/>
    <s v="Repeat"/>
    <s v="Above Avg"/>
    <s v="Profit"/>
    <n v="14"/>
  </r>
  <r>
    <n v="101"/>
    <x v="100"/>
    <n v="1083"/>
    <s v="Customer_176"/>
    <s v="Consumer"/>
    <s v="South"/>
    <s v="Furniture"/>
    <s v="Product_C"/>
    <n v="4598"/>
    <n v="3"/>
    <n v="0.15"/>
    <n v="93"/>
    <x v="1"/>
    <n v="11724.9"/>
    <s v="Apr"/>
    <n v="2024"/>
    <s v="Q2"/>
    <n v="7.9318373717473072E-3"/>
    <n v="2069.1"/>
    <s v="High"/>
    <s v="Repeat"/>
    <s v="Above Avg"/>
    <s v="Profit"/>
    <n v="177"/>
  </r>
  <r>
    <n v="102"/>
    <x v="101"/>
    <n v="1070"/>
    <s v="Customer_182"/>
    <s v="Consumer"/>
    <s v="East"/>
    <s v="Electronics"/>
    <s v="Product_B"/>
    <n v="4505"/>
    <n v="4"/>
    <n v="0.2"/>
    <n v="-150"/>
    <x v="0"/>
    <n v="14416"/>
    <s v="Apr"/>
    <n v="2024"/>
    <s v="Q2"/>
    <n v="-1.0405105438401776E-2"/>
    <n v="3604"/>
    <s v="High"/>
    <s v="Repeat"/>
    <s v="Above Avg"/>
    <s v="Loss"/>
    <n v="144"/>
  </r>
  <r>
    <n v="103"/>
    <x v="102"/>
    <n v="1012"/>
    <s v="Customer_23"/>
    <s v="Consumer"/>
    <s v="East"/>
    <s v="Electronics"/>
    <s v="Product_C"/>
    <n v="3765"/>
    <n v="2"/>
    <n v="0.23"/>
    <n v="820"/>
    <x v="2"/>
    <n v="5798.1"/>
    <s v="Apr"/>
    <n v="2024"/>
    <s v="Q2"/>
    <n v="0.14142563943360756"/>
    <n v="1731.9"/>
    <s v="High"/>
    <s v="Repeat"/>
    <s v="Below Avg"/>
    <s v="Profit"/>
    <n v="301"/>
  </r>
  <r>
    <n v="104"/>
    <x v="103"/>
    <n v="1054"/>
    <s v="Customer_193"/>
    <s v="Corporate"/>
    <s v="East"/>
    <s v="Furniture"/>
    <s v="Product_A"/>
    <n v="4195"/>
    <n v="5"/>
    <n v="0.21"/>
    <n v="-479"/>
    <x v="1"/>
    <n v="16570.25"/>
    <s v="Apr"/>
    <n v="2024"/>
    <s v="Q2"/>
    <n v="-2.8907228315806943E-2"/>
    <n v="4404.75"/>
    <s v="High"/>
    <s v="Repeat"/>
    <s v="Above Avg"/>
    <s v="Loss"/>
    <n v="114"/>
  </r>
  <r>
    <n v="105"/>
    <x v="104"/>
    <n v="1027"/>
    <s v="Customer_149"/>
    <s v="Corporate"/>
    <s v="South"/>
    <s v="Furniture"/>
    <s v="Product_A"/>
    <n v="1628"/>
    <n v="6"/>
    <n v="0.17"/>
    <n v="1224"/>
    <x v="1"/>
    <n v="8107.44"/>
    <s v="Apr"/>
    <n v="2024"/>
    <s v="Q2"/>
    <n v="0.15097244012906663"/>
    <n v="1660.5600000000002"/>
    <s v="High"/>
    <s v="Repeat"/>
    <s v="Below Avg"/>
    <s v="Profit"/>
    <n v="248"/>
  </r>
  <r>
    <n v="106"/>
    <x v="105"/>
    <n v="1038"/>
    <s v="Customer_160"/>
    <s v="Corporate"/>
    <s v="North"/>
    <s v="Clothing"/>
    <s v="Product_A"/>
    <n v="759"/>
    <n v="6"/>
    <n v="0.16"/>
    <n v="879"/>
    <x v="0"/>
    <n v="3825.3599999999901"/>
    <s v="Apr"/>
    <n v="2024"/>
    <s v="Q2"/>
    <n v="0.22978229499968689"/>
    <n v="728.64"/>
    <s v="Medium"/>
    <s v="Repeat"/>
    <s v="Below Avg"/>
    <s v="Profit"/>
    <n v="363"/>
  </r>
  <r>
    <n v="107"/>
    <x v="106"/>
    <n v="1017"/>
    <s v="Customer_109"/>
    <s v="Consumer"/>
    <s v="East"/>
    <s v="Electronics"/>
    <s v="Product_B"/>
    <n v="101"/>
    <n v="2"/>
    <n v="0.26"/>
    <n v="1747"/>
    <x v="2"/>
    <n v="149.47999999999999"/>
    <s v="Apr"/>
    <n v="2024"/>
    <s v="Q2"/>
    <n v="11.687182231736688"/>
    <n v="52.52"/>
    <s v="Low"/>
    <s v="Repeat"/>
    <s v="Below Avg"/>
    <s v="Profit"/>
    <n v="500"/>
  </r>
  <r>
    <n v="108"/>
    <x v="107"/>
    <n v="1061"/>
    <s v="Customer_154"/>
    <s v="Corporate"/>
    <s v="East"/>
    <s v="Furniture"/>
    <s v="Product_A"/>
    <n v="608"/>
    <n v="4"/>
    <n v="0.26"/>
    <n v="1152"/>
    <x v="0"/>
    <n v="1799.68"/>
    <s v="Apr"/>
    <n v="2024"/>
    <s v="Q2"/>
    <n v="0.64011379800853485"/>
    <n v="632.32000000000005"/>
    <s v="Low"/>
    <s v="Repeat"/>
    <s v="Below Avg"/>
    <s v="Profit"/>
    <n v="441"/>
  </r>
  <r>
    <n v="109"/>
    <x v="108"/>
    <n v="1074"/>
    <s v="Customer_33"/>
    <s v="Consumer"/>
    <s v="West"/>
    <s v="Clothing"/>
    <s v="Product_A"/>
    <n v="239"/>
    <n v="2"/>
    <n v="0.02"/>
    <n v="1292"/>
    <x v="2"/>
    <n v="468.44"/>
    <s v="Apr"/>
    <n v="2024"/>
    <s v="Q2"/>
    <n v="2.7580906839723336"/>
    <n v="9.56"/>
    <s v="Low"/>
    <s v="Repeat"/>
    <s v="Below Avg"/>
    <s v="Profit"/>
    <n v="492"/>
  </r>
  <r>
    <n v="110"/>
    <x v="109"/>
    <n v="1099"/>
    <s v="Customer_188"/>
    <s v="Corporate"/>
    <s v="North"/>
    <s v="Furniture"/>
    <s v="Product_B"/>
    <n v="3354"/>
    <n v="5"/>
    <n v="0.08"/>
    <n v="556"/>
    <x v="1"/>
    <n v="15428.4"/>
    <s v="Apr"/>
    <n v="2024"/>
    <s v="Q2"/>
    <n v="3.603743745300874E-2"/>
    <n v="1341.6000000000001"/>
    <s v="High"/>
    <s v="Repeat"/>
    <s v="Above Avg"/>
    <s v="Profit"/>
    <n v="136"/>
  </r>
  <r>
    <n v="111"/>
    <x v="110"/>
    <n v="1099"/>
    <s v="Customer_137"/>
    <s v="Corporate"/>
    <s v="East"/>
    <s v="Furniture"/>
    <s v="Product_A"/>
    <n v="3754"/>
    <n v="2"/>
    <n v="0.28000000000000003"/>
    <n v="853"/>
    <x v="1"/>
    <n v="5405.76"/>
    <s v="Apr"/>
    <n v="2024"/>
    <s v="Q2"/>
    <n v="0.15779464867104717"/>
    <n v="2102.2400000000002"/>
    <s v="High"/>
    <s v="Repeat"/>
    <s v="Below Avg"/>
    <s v="Profit"/>
    <n v="312"/>
  </r>
  <r>
    <n v="112"/>
    <x v="111"/>
    <n v="1065"/>
    <s v="Customer_81"/>
    <s v="Consumer"/>
    <s v="North"/>
    <s v="Clothing"/>
    <s v="Product_A"/>
    <n v="1685"/>
    <n v="9"/>
    <n v="0.18"/>
    <n v="1489"/>
    <x v="2"/>
    <n v="12435.3"/>
    <s v="Apr"/>
    <n v="2024"/>
    <s v="Q2"/>
    <n v="0.11973977306538645"/>
    <n v="2729.7"/>
    <s v="High"/>
    <s v="Repeat"/>
    <s v="Above Avg"/>
    <s v="Profit"/>
    <n v="163"/>
  </r>
  <r>
    <n v="113"/>
    <x v="112"/>
    <n v="1047"/>
    <s v="Customer_70"/>
    <s v="Corporate"/>
    <s v="East"/>
    <s v="Furniture"/>
    <s v="Product_B"/>
    <n v="4837"/>
    <n v="1"/>
    <n v="0.04"/>
    <n v="216"/>
    <x v="1"/>
    <n v="4643.5199999999904"/>
    <s v="Apr"/>
    <n v="2024"/>
    <s v="Q2"/>
    <n v="4.6516435807318679E-2"/>
    <n v="193.48000000000002"/>
    <s v="Medium"/>
    <s v="Repeat"/>
    <s v="Below Avg"/>
    <s v="Profit"/>
    <n v="334"/>
  </r>
  <r>
    <n v="114"/>
    <x v="113"/>
    <n v="1016"/>
    <s v="Customer_174"/>
    <s v="Corporate"/>
    <s v="South"/>
    <s v="Electronics"/>
    <s v="Product_D"/>
    <n v="327"/>
    <n v="6"/>
    <n v="0.02"/>
    <n v="-476"/>
    <x v="0"/>
    <n v="1922.76"/>
    <s v="Apr"/>
    <n v="2024"/>
    <s v="Q2"/>
    <n v="-0.24756079801951361"/>
    <n v="39.24"/>
    <s v="Low"/>
    <s v="Repeat"/>
    <s v="Below Avg"/>
    <s v="Loss"/>
    <n v="435"/>
  </r>
  <r>
    <n v="115"/>
    <x v="114"/>
    <n v="1005"/>
    <s v="Customer_7"/>
    <s v="Corporate"/>
    <s v="East"/>
    <s v="Clothing"/>
    <s v="Product_C"/>
    <n v="2697"/>
    <n v="9"/>
    <n v="0.03"/>
    <n v="196"/>
    <x v="1"/>
    <n v="23544.809999999899"/>
    <s v="Apr"/>
    <n v="2024"/>
    <s v="Q2"/>
    <n v="8.324552204923329E-3"/>
    <n v="728.18999999999994"/>
    <s v="High"/>
    <s v="Repeat"/>
    <s v="Above Avg"/>
    <s v="Profit"/>
    <n v="56"/>
  </r>
  <r>
    <n v="116"/>
    <x v="115"/>
    <n v="1086"/>
    <s v="Customer_128"/>
    <s v="Consumer"/>
    <s v="West"/>
    <s v="Clothing"/>
    <s v="Product_A"/>
    <n v="2905"/>
    <n v="3"/>
    <n v="0.23"/>
    <n v="1412"/>
    <x v="1"/>
    <n v="6710.55"/>
    <s v="Apr"/>
    <n v="2024"/>
    <s v="Q2"/>
    <n v="0.21041494363353228"/>
    <n v="2004.45"/>
    <s v="High"/>
    <s v="Repeat"/>
    <s v="Below Avg"/>
    <s v="Profit"/>
    <n v="283"/>
  </r>
  <r>
    <n v="117"/>
    <x v="116"/>
    <n v="1046"/>
    <s v="Customer_7"/>
    <s v="Corporate"/>
    <s v="East"/>
    <s v="Furniture"/>
    <s v="Product_A"/>
    <n v="4460"/>
    <n v="9"/>
    <n v="7.0000000000000007E-2"/>
    <n v="683"/>
    <x v="0"/>
    <n v="37330.199999999997"/>
    <s v="Apr"/>
    <n v="2024"/>
    <s v="Q2"/>
    <n v="1.8296178429261029E-2"/>
    <n v="2809.8"/>
    <s v="High"/>
    <s v="Repeat"/>
    <s v="Above Avg"/>
    <s v="Profit"/>
    <n v="6"/>
  </r>
  <r>
    <n v="118"/>
    <x v="117"/>
    <n v="1015"/>
    <s v="Customer_121"/>
    <s v="Consumer"/>
    <s v="East"/>
    <s v="Clothing"/>
    <s v="Product_B"/>
    <n v="3646"/>
    <n v="2"/>
    <n v="7.0000000000000007E-2"/>
    <n v="1559"/>
    <x v="2"/>
    <n v="6781.5599999999904"/>
    <s v="Apr"/>
    <n v="2024"/>
    <s v="Q2"/>
    <n v="0.22988810834085405"/>
    <n v="510.44000000000005"/>
    <s v="High"/>
    <s v="Repeat"/>
    <s v="Below Avg"/>
    <s v="Profit"/>
    <n v="278"/>
  </r>
  <r>
    <n v="119"/>
    <x v="118"/>
    <n v="1059"/>
    <s v="Customer_197"/>
    <s v="Corporate"/>
    <s v="West"/>
    <s v="Furniture"/>
    <s v="Product_D"/>
    <n v="3772"/>
    <n v="2"/>
    <n v="0.04"/>
    <n v="189"/>
    <x v="1"/>
    <n v="7242.24"/>
    <s v="Apr"/>
    <n v="2024"/>
    <s v="Q2"/>
    <n v="2.6096898197242844E-2"/>
    <n v="301.76"/>
    <s v="High"/>
    <s v="Repeat"/>
    <s v="Below Avg"/>
    <s v="Profit"/>
    <n v="270"/>
  </r>
  <r>
    <n v="120"/>
    <x v="119"/>
    <n v="1040"/>
    <s v="Customer_161"/>
    <s v="Corporate"/>
    <s v="East"/>
    <s v="Clothing"/>
    <s v="Product_B"/>
    <n v="4990"/>
    <n v="2"/>
    <n v="0.18"/>
    <n v="829"/>
    <x v="0"/>
    <n v="8183.6"/>
    <s v="Apr"/>
    <n v="2024"/>
    <s v="Q2"/>
    <n v="0.10130016129820617"/>
    <n v="1796.3999999999999"/>
    <s v="High"/>
    <s v="Repeat"/>
    <s v="Below Avg"/>
    <s v="Profit"/>
    <n v="245"/>
  </r>
  <r>
    <n v="121"/>
    <x v="120"/>
    <n v="1025"/>
    <s v="Customer_114"/>
    <s v="Corporate"/>
    <s v="South"/>
    <s v="Clothing"/>
    <s v="Product_D"/>
    <n v="4660"/>
    <n v="3"/>
    <n v="0.15"/>
    <n v="697"/>
    <x v="0"/>
    <n v="11883"/>
    <s v="Apr"/>
    <n v="2024"/>
    <s v="Q2"/>
    <n v="5.8655221745350504E-2"/>
    <n v="2097"/>
    <s v="High"/>
    <s v="Repeat"/>
    <s v="Above Avg"/>
    <s v="Profit"/>
    <n v="170"/>
  </r>
  <r>
    <n v="122"/>
    <x v="121"/>
    <n v="1045"/>
    <s v="Customer_138"/>
    <s v="Corporate"/>
    <s v="East"/>
    <s v="Furniture"/>
    <s v="Product_B"/>
    <n v="2622"/>
    <n v="4"/>
    <n v="0.08"/>
    <n v="-69"/>
    <x v="2"/>
    <n v="9648.9599999999991"/>
    <s v="May"/>
    <n v="2024"/>
    <s v="Q2"/>
    <n v="-7.1510297482837533E-3"/>
    <n v="839.04"/>
    <s v="High"/>
    <s v="Repeat"/>
    <s v="Below Avg"/>
    <s v="Loss"/>
    <n v="210"/>
  </r>
  <r>
    <n v="123"/>
    <x v="122"/>
    <n v="1049"/>
    <s v="Customer_104"/>
    <s v="Consumer"/>
    <s v="West"/>
    <s v="Furniture"/>
    <s v="Product_B"/>
    <n v="438"/>
    <n v="3"/>
    <n v="0.2"/>
    <n v="1254"/>
    <x v="0"/>
    <n v="1051.2"/>
    <s v="May"/>
    <n v="2024"/>
    <s v="Q2"/>
    <n v="1.1929223744292237"/>
    <n v="262.8"/>
    <s v="Low"/>
    <s v="Repeat"/>
    <s v="Below Avg"/>
    <s v="Profit"/>
    <n v="478"/>
  </r>
  <r>
    <n v="124"/>
    <x v="123"/>
    <n v="1000"/>
    <s v="Customer_28"/>
    <s v="Consumer"/>
    <s v="East"/>
    <s v="Clothing"/>
    <s v="Product_D"/>
    <n v="918"/>
    <n v="6"/>
    <n v="0.23"/>
    <n v="-299"/>
    <x v="0"/>
    <n v="4241.16"/>
    <s v="May"/>
    <n v="2024"/>
    <s v="Q2"/>
    <n v="-7.0499580303501869E-2"/>
    <n v="1266.8400000000001"/>
    <s v="Medium"/>
    <s v="Repeat"/>
    <s v="Below Avg"/>
    <s v="Loss"/>
    <n v="344"/>
  </r>
  <r>
    <n v="125"/>
    <x v="124"/>
    <n v="1035"/>
    <s v="Customer_175"/>
    <s v="Corporate"/>
    <s v="West"/>
    <s v="Furniture"/>
    <s v="Product_D"/>
    <n v="2666"/>
    <n v="6"/>
    <n v="0.28999999999999998"/>
    <n v="1830"/>
    <x v="1"/>
    <n v="11357.16"/>
    <s v="May"/>
    <n v="2024"/>
    <s v="Q2"/>
    <n v="0.16113183225383812"/>
    <n v="4638.8399999999992"/>
    <s v="High"/>
    <s v="Repeat"/>
    <s v="Above Avg"/>
    <s v="Profit"/>
    <n v="184"/>
  </r>
  <r>
    <n v="126"/>
    <x v="125"/>
    <n v="1029"/>
    <s v="Customer_46"/>
    <s v="Consumer"/>
    <s v="North"/>
    <s v="Electronics"/>
    <s v="Product_C"/>
    <n v="3817"/>
    <n v="5"/>
    <n v="0.14000000000000001"/>
    <n v="381"/>
    <x v="2"/>
    <n v="16413.099999999999"/>
    <s v="May"/>
    <n v="2024"/>
    <s v="Q2"/>
    <n v="2.3213165093736103E-2"/>
    <n v="2671.9"/>
    <s v="High"/>
    <s v="Repeat"/>
    <s v="Above Avg"/>
    <s v="Profit"/>
    <n v="117"/>
  </r>
  <r>
    <n v="127"/>
    <x v="126"/>
    <n v="1001"/>
    <s v="Customer_22"/>
    <s v="Consumer"/>
    <s v="West"/>
    <s v="Furniture"/>
    <s v="Product_B"/>
    <n v="3162"/>
    <n v="2"/>
    <n v="0.12"/>
    <n v="1730"/>
    <x v="0"/>
    <n v="5565.12"/>
    <s v="May"/>
    <n v="2024"/>
    <s v="Q2"/>
    <n v="0.31086481513426484"/>
    <n v="758.88"/>
    <s v="High"/>
    <s v="Repeat"/>
    <s v="Below Avg"/>
    <s v="Profit"/>
    <n v="306"/>
  </r>
  <r>
    <n v="128"/>
    <x v="127"/>
    <n v="1083"/>
    <s v="Customer_21"/>
    <s v="Corporate"/>
    <s v="West"/>
    <s v="Furniture"/>
    <s v="Product_A"/>
    <n v="1353"/>
    <n v="4"/>
    <n v="0.09"/>
    <n v="558"/>
    <x v="1"/>
    <n v="4924.92"/>
    <s v="May"/>
    <n v="2024"/>
    <s v="Q2"/>
    <n v="0.11330133281352793"/>
    <n v="487.08"/>
    <s v="Medium"/>
    <s v="Repeat"/>
    <s v="Below Avg"/>
    <s v="Profit"/>
    <n v="325"/>
  </r>
  <r>
    <n v="129"/>
    <x v="128"/>
    <n v="1068"/>
    <s v="Customer_111"/>
    <s v="Consumer"/>
    <s v="South"/>
    <s v="Electronics"/>
    <s v="Product_A"/>
    <n v="3250"/>
    <n v="7"/>
    <n v="0.24"/>
    <n v="170"/>
    <x v="2"/>
    <n v="17290"/>
    <s v="May"/>
    <n v="2024"/>
    <s v="Q2"/>
    <n v="9.8322729901677269E-3"/>
    <n v="5460"/>
    <s v="High"/>
    <s v="Repeat"/>
    <s v="Above Avg"/>
    <s v="Profit"/>
    <n v="103"/>
  </r>
  <r>
    <n v="130"/>
    <x v="129"/>
    <n v="1030"/>
    <s v="Customer_184"/>
    <s v="Corporate"/>
    <s v="East"/>
    <s v="Furniture"/>
    <s v="Product_D"/>
    <n v="2350"/>
    <n v="8"/>
    <n v="0.28999999999999998"/>
    <n v="188"/>
    <x v="1"/>
    <n v="13348"/>
    <s v="May"/>
    <n v="2024"/>
    <s v="Q2"/>
    <n v="1.4084507042253521E-2"/>
    <n v="5452"/>
    <s v="High"/>
    <s v="Repeat"/>
    <s v="Above Avg"/>
    <s v="Profit"/>
    <n v="155"/>
  </r>
  <r>
    <n v="131"/>
    <x v="130"/>
    <n v="1007"/>
    <s v="Customer_32"/>
    <s v="Consumer"/>
    <s v="South"/>
    <s v="Electronics"/>
    <s v="Product_C"/>
    <n v="4420"/>
    <n v="9"/>
    <n v="0.18"/>
    <n v="-333"/>
    <x v="0"/>
    <n v="32619.599999999999"/>
    <s v="May"/>
    <n v="2024"/>
    <s v="Q2"/>
    <n v="-1.0208586248758415E-2"/>
    <n v="7160.4"/>
    <s v="High"/>
    <s v="Repeat"/>
    <s v="Above Avg"/>
    <s v="Loss"/>
    <n v="18"/>
  </r>
  <r>
    <n v="132"/>
    <x v="131"/>
    <n v="1093"/>
    <s v="Customer_160"/>
    <s v="Consumer"/>
    <s v="North"/>
    <s v="Furniture"/>
    <s v="Product_B"/>
    <n v="3715"/>
    <n v="2"/>
    <n v="0.19"/>
    <n v="931"/>
    <x v="2"/>
    <n v="6018.3"/>
    <s v="May"/>
    <n v="2024"/>
    <s v="Q2"/>
    <n v="0.15469484738215111"/>
    <n v="1411.7"/>
    <s v="High"/>
    <s v="Repeat"/>
    <s v="Below Avg"/>
    <s v="Profit"/>
    <n v="296"/>
  </r>
  <r>
    <n v="133"/>
    <x v="132"/>
    <n v="1060"/>
    <s v="Customer_115"/>
    <s v="Corporate"/>
    <s v="East"/>
    <s v="Clothing"/>
    <s v="Product_C"/>
    <n v="1879"/>
    <n v="9"/>
    <n v="0.21"/>
    <n v="738"/>
    <x v="0"/>
    <n v="13359.69"/>
    <s v="May"/>
    <n v="2024"/>
    <s v="Q2"/>
    <n v="5.5240802743177421E-2"/>
    <n v="3551.31"/>
    <s v="High"/>
    <s v="Repeat"/>
    <s v="Above Avg"/>
    <s v="Profit"/>
    <n v="154"/>
  </r>
  <r>
    <n v="134"/>
    <x v="133"/>
    <n v="1065"/>
    <s v="Customer_164"/>
    <s v="Consumer"/>
    <s v="South"/>
    <s v="Electronics"/>
    <s v="Product_D"/>
    <n v="1391"/>
    <n v="7"/>
    <n v="0.13"/>
    <n v="1496"/>
    <x v="2"/>
    <n v="8471.19"/>
    <s v="May"/>
    <n v="2024"/>
    <s v="Q2"/>
    <n v="0.17659856525470446"/>
    <n v="1265.81"/>
    <s v="High"/>
    <s v="Repeat"/>
    <s v="Below Avg"/>
    <s v="Profit"/>
    <n v="239"/>
  </r>
  <r>
    <n v="135"/>
    <x v="134"/>
    <n v="1076"/>
    <s v="Customer_159"/>
    <s v="Consumer"/>
    <s v="East"/>
    <s v="Furniture"/>
    <s v="Product_D"/>
    <n v="778"/>
    <n v="7"/>
    <n v="7.0000000000000007E-2"/>
    <n v="1345"/>
    <x v="0"/>
    <n v="5064.78"/>
    <s v="May"/>
    <n v="2024"/>
    <s v="Q2"/>
    <n v="0.26555941225482649"/>
    <n v="381.22"/>
    <s v="High"/>
    <s v="Repeat"/>
    <s v="Below Avg"/>
    <s v="Profit"/>
    <n v="321"/>
  </r>
  <r>
    <n v="136"/>
    <x v="135"/>
    <n v="1067"/>
    <s v="Customer_70"/>
    <s v="Consumer"/>
    <s v="East"/>
    <s v="Electronics"/>
    <s v="Product_D"/>
    <n v="2652"/>
    <n v="1"/>
    <n v="0.08"/>
    <n v="-241"/>
    <x v="1"/>
    <n v="2439.84"/>
    <s v="May"/>
    <n v="2024"/>
    <s v="Q2"/>
    <n v="-9.8776968981572552E-2"/>
    <n v="212.16"/>
    <s v="Medium"/>
    <s v="Repeat"/>
    <s v="Below Avg"/>
    <s v="Loss"/>
    <n v="412"/>
  </r>
  <r>
    <n v="137"/>
    <x v="136"/>
    <n v="1044"/>
    <s v="Customer_54"/>
    <s v="Corporate"/>
    <s v="East"/>
    <s v="Clothing"/>
    <s v="Product_C"/>
    <n v="3324"/>
    <n v="8"/>
    <n v="0.19"/>
    <n v="1450"/>
    <x v="0"/>
    <n v="21539.52"/>
    <s v="May"/>
    <n v="2024"/>
    <s v="Q2"/>
    <n v="6.731812036665627E-2"/>
    <n v="5052.4800000000005"/>
    <s v="High"/>
    <s v="Repeat"/>
    <s v="Above Avg"/>
    <s v="Profit"/>
    <n v="71"/>
  </r>
  <r>
    <n v="138"/>
    <x v="137"/>
    <n v="1051"/>
    <s v="Customer_21"/>
    <s v="Corporate"/>
    <s v="South"/>
    <s v="Electronics"/>
    <s v="Product_A"/>
    <n v="314"/>
    <n v="3"/>
    <n v="0.19"/>
    <n v="1084"/>
    <x v="2"/>
    <n v="763.02"/>
    <s v="May"/>
    <n v="2024"/>
    <s v="Q2"/>
    <n v="1.4206704935650443"/>
    <n v="178.98"/>
    <s v="Low"/>
    <s v="Repeat"/>
    <s v="Below Avg"/>
    <s v="Profit"/>
    <n v="482"/>
  </r>
  <r>
    <n v="139"/>
    <x v="138"/>
    <n v="1007"/>
    <s v="Customer_35"/>
    <s v="Consumer"/>
    <s v="East"/>
    <s v="Clothing"/>
    <s v="Product_A"/>
    <n v="1085"/>
    <n v="4"/>
    <n v="0.14000000000000001"/>
    <n v="1745"/>
    <x v="1"/>
    <n v="3732.4"/>
    <s v="May"/>
    <n v="2024"/>
    <s v="Q2"/>
    <n v="0.46752759618476047"/>
    <n v="607.6"/>
    <s v="Medium"/>
    <s v="Repeat"/>
    <s v="Below Avg"/>
    <s v="Profit"/>
    <n v="366"/>
  </r>
  <r>
    <n v="140"/>
    <x v="139"/>
    <n v="1088"/>
    <s v="Customer_23"/>
    <s v="Corporate"/>
    <s v="North"/>
    <s v="Furniture"/>
    <s v="Product_A"/>
    <n v="3383"/>
    <n v="4"/>
    <n v="0.01"/>
    <n v="1826"/>
    <x v="2"/>
    <n v="13396.68"/>
    <s v="May"/>
    <n v="2024"/>
    <s v="Q2"/>
    <n v="0.13630242716852234"/>
    <n v="135.32"/>
    <s v="High"/>
    <s v="Repeat"/>
    <s v="Above Avg"/>
    <s v="Profit"/>
    <n v="153"/>
  </r>
  <r>
    <n v="141"/>
    <x v="140"/>
    <n v="1070"/>
    <s v="Customer_170"/>
    <s v="Consumer"/>
    <s v="South"/>
    <s v="Clothing"/>
    <s v="Product_C"/>
    <n v="4806"/>
    <n v="2"/>
    <n v="0.26"/>
    <n v="126"/>
    <x v="0"/>
    <n v="7112.88"/>
    <s v="May"/>
    <n v="2024"/>
    <s v="Q2"/>
    <n v="1.7714343557040185E-2"/>
    <n v="2499.12"/>
    <s v="High"/>
    <s v="Repeat"/>
    <s v="Below Avg"/>
    <s v="Profit"/>
    <n v="273"/>
  </r>
  <r>
    <n v="142"/>
    <x v="141"/>
    <n v="1013"/>
    <s v="Customer_24"/>
    <s v="Corporate"/>
    <s v="West"/>
    <s v="Electronics"/>
    <s v="Product_B"/>
    <n v="2445"/>
    <n v="3"/>
    <n v="7.0000000000000007E-2"/>
    <n v="834"/>
    <x v="2"/>
    <n v="6821.5499999999902"/>
    <s v="May"/>
    <n v="2024"/>
    <s v="Q2"/>
    <n v="0.12225960375574484"/>
    <n v="513.45000000000005"/>
    <s v="High"/>
    <s v="Repeat"/>
    <s v="Below Avg"/>
    <s v="Profit"/>
    <n v="277"/>
  </r>
  <r>
    <n v="143"/>
    <x v="142"/>
    <n v="1028"/>
    <s v="Customer_94"/>
    <s v="Consumer"/>
    <s v="North"/>
    <s v="Furniture"/>
    <s v="Product_C"/>
    <n v="4838"/>
    <n v="5"/>
    <n v="0.17"/>
    <n v="-431"/>
    <x v="0"/>
    <n v="20077.7"/>
    <s v="May"/>
    <n v="2024"/>
    <s v="Q2"/>
    <n v="-2.1466602250257746E-2"/>
    <n v="4112.3"/>
    <s v="High"/>
    <s v="Repeat"/>
    <s v="Above Avg"/>
    <s v="Loss"/>
    <n v="79"/>
  </r>
  <r>
    <n v="144"/>
    <x v="143"/>
    <n v="1063"/>
    <s v="Customer_74"/>
    <s v="Consumer"/>
    <s v="West"/>
    <s v="Furniture"/>
    <s v="Product_A"/>
    <n v="3533"/>
    <n v="3"/>
    <n v="0.22"/>
    <n v="1071"/>
    <x v="0"/>
    <n v="8267.2199999999993"/>
    <s v="May"/>
    <n v="2024"/>
    <s v="Q2"/>
    <n v="0.1295477802695465"/>
    <n v="2331.7800000000002"/>
    <s v="High"/>
    <s v="Repeat"/>
    <s v="Below Avg"/>
    <s v="Profit"/>
    <n v="242"/>
  </r>
  <r>
    <n v="145"/>
    <x v="144"/>
    <n v="1084"/>
    <s v="Customer_69"/>
    <s v="Corporate"/>
    <s v="West"/>
    <s v="Furniture"/>
    <s v="Product_D"/>
    <n v="3727"/>
    <n v="5"/>
    <n v="0.06"/>
    <n v="1304"/>
    <x v="2"/>
    <n v="17516.8999999999"/>
    <s v="May"/>
    <n v="2024"/>
    <s v="Q2"/>
    <n v="7.4442395629364069E-2"/>
    <n v="1118.0999999999999"/>
    <s v="High"/>
    <s v="Repeat"/>
    <s v="Above Avg"/>
    <s v="Profit"/>
    <n v="97"/>
  </r>
  <r>
    <n v="146"/>
    <x v="145"/>
    <n v="1036"/>
    <s v="Customer_127"/>
    <s v="Consumer"/>
    <s v="North"/>
    <s v="Clothing"/>
    <s v="Product_D"/>
    <n v="3173"/>
    <n v="8"/>
    <n v="0.14000000000000001"/>
    <n v="1176"/>
    <x v="1"/>
    <n v="21830.2399999999"/>
    <s v="May"/>
    <n v="2024"/>
    <s v="Q2"/>
    <n v="5.3870227720813214E-2"/>
    <n v="3553.76"/>
    <s v="High"/>
    <s v="Repeat"/>
    <s v="Above Avg"/>
    <s v="Profit"/>
    <n v="69"/>
  </r>
  <r>
    <n v="147"/>
    <x v="146"/>
    <n v="1096"/>
    <s v="Customer_125"/>
    <s v="Consumer"/>
    <s v="East"/>
    <s v="Furniture"/>
    <s v="Product_A"/>
    <n v="4473"/>
    <n v="8"/>
    <n v="0"/>
    <n v="126"/>
    <x v="1"/>
    <n v="35784"/>
    <s v="May"/>
    <n v="2024"/>
    <s v="Q2"/>
    <n v="3.5211267605633804E-3"/>
    <n v="0"/>
    <s v="High"/>
    <s v="Repeat"/>
    <s v="Above Avg"/>
    <s v="Profit"/>
    <n v="8"/>
  </r>
  <r>
    <n v="148"/>
    <x v="147"/>
    <n v="1040"/>
    <s v="Customer_170"/>
    <s v="Consumer"/>
    <s v="North"/>
    <s v="Clothing"/>
    <s v="Product_B"/>
    <n v="3339"/>
    <n v="3"/>
    <n v="0.01"/>
    <n v="-386"/>
    <x v="1"/>
    <n v="9916.83"/>
    <s v="May"/>
    <n v="2024"/>
    <s v="Q2"/>
    <n v="-3.8923728651191966E-2"/>
    <n v="100.17"/>
    <s v="High"/>
    <s v="Repeat"/>
    <s v="Below Avg"/>
    <s v="Loss"/>
    <n v="202"/>
  </r>
  <r>
    <n v="149"/>
    <x v="148"/>
    <n v="1088"/>
    <s v="Customer_158"/>
    <s v="Corporate"/>
    <s v="South"/>
    <s v="Clothing"/>
    <s v="Product_D"/>
    <n v="1472"/>
    <n v="5"/>
    <n v="0.08"/>
    <n v="788"/>
    <x v="0"/>
    <n v="6771.2"/>
    <s v="May"/>
    <n v="2024"/>
    <s v="Q2"/>
    <n v="0.11637523629489603"/>
    <n v="588.80000000000007"/>
    <s v="High"/>
    <s v="Repeat"/>
    <s v="Below Avg"/>
    <s v="Profit"/>
    <n v="279"/>
  </r>
  <r>
    <n v="150"/>
    <x v="149"/>
    <n v="1063"/>
    <s v="Customer_199"/>
    <s v="Corporate"/>
    <s v="East"/>
    <s v="Clothing"/>
    <s v="Product_B"/>
    <n v="2138"/>
    <n v="1"/>
    <n v="0.2"/>
    <n v="725"/>
    <x v="1"/>
    <n v="1710.4"/>
    <s v="May"/>
    <n v="2024"/>
    <s v="Q2"/>
    <n v="0.42387745556594947"/>
    <n v="427.6"/>
    <s v="Low"/>
    <s v="Repeat"/>
    <s v="Below Avg"/>
    <s v="Profit"/>
    <n v="446"/>
  </r>
  <r>
    <n v="151"/>
    <x v="150"/>
    <n v="1058"/>
    <s v="Customer_134"/>
    <s v="Consumer"/>
    <s v="East"/>
    <s v="Furniture"/>
    <s v="Product_D"/>
    <n v="4818"/>
    <n v="7"/>
    <n v="0.27"/>
    <n v="841"/>
    <x v="1"/>
    <n v="24619.98"/>
    <s v="May"/>
    <n v="2024"/>
    <s v="Q2"/>
    <n v="3.4159247895408529E-2"/>
    <n v="9106.02"/>
    <s v="High"/>
    <s v="Repeat"/>
    <s v="Above Avg"/>
    <s v="Profit"/>
    <n v="44"/>
  </r>
  <r>
    <n v="152"/>
    <x v="151"/>
    <n v="1077"/>
    <s v="Customer_52"/>
    <s v="Consumer"/>
    <s v="West"/>
    <s v="Electronics"/>
    <s v="Product_A"/>
    <n v="3953"/>
    <n v="3"/>
    <n v="0.13"/>
    <n v="1405"/>
    <x v="2"/>
    <n v="10317.33"/>
    <s v="May"/>
    <n v="2024"/>
    <s v="Q2"/>
    <n v="0.13617864311793845"/>
    <n v="1541.67"/>
    <s v="High"/>
    <s v="Repeat"/>
    <s v="Below Avg"/>
    <s v="Profit"/>
    <n v="197"/>
  </r>
  <r>
    <n v="153"/>
    <x v="152"/>
    <n v="1008"/>
    <s v="Customer_82"/>
    <s v="Corporate"/>
    <s v="North"/>
    <s v="Furniture"/>
    <s v="Product_C"/>
    <n v="3443"/>
    <n v="7"/>
    <n v="0.01"/>
    <n v="1505"/>
    <x v="1"/>
    <n v="23859.99"/>
    <s v="Jun"/>
    <n v="2024"/>
    <s v="Q2"/>
    <n v="6.3076304726028806E-2"/>
    <n v="241.01"/>
    <s v="High"/>
    <s v="Repeat"/>
    <s v="Above Avg"/>
    <s v="Profit"/>
    <n v="52"/>
  </r>
  <r>
    <n v="154"/>
    <x v="153"/>
    <n v="1078"/>
    <s v="Customer_154"/>
    <s v="Consumer"/>
    <s v="East"/>
    <s v="Furniture"/>
    <s v="Product_C"/>
    <n v="4783"/>
    <n v="8"/>
    <n v="0.09"/>
    <n v="605"/>
    <x v="2"/>
    <n v="34820.239999999998"/>
    <s v="Jun"/>
    <n v="2024"/>
    <s v="Q2"/>
    <n v="1.7374952039388585E-2"/>
    <n v="3443.7599999999998"/>
    <s v="High"/>
    <s v="Repeat"/>
    <s v="Above Avg"/>
    <s v="Profit"/>
    <n v="12"/>
  </r>
  <r>
    <n v="155"/>
    <x v="154"/>
    <n v="1006"/>
    <s v="Customer_100"/>
    <s v="Consumer"/>
    <s v="South"/>
    <s v="Furniture"/>
    <s v="Product_B"/>
    <n v="4252"/>
    <n v="7"/>
    <n v="0.28999999999999998"/>
    <n v="-483"/>
    <x v="1"/>
    <n v="21132.44"/>
    <s v="Jun"/>
    <n v="2024"/>
    <s v="Q2"/>
    <n v="-2.2855855736488549E-2"/>
    <n v="8631.56"/>
    <s v="High"/>
    <s v="Repeat"/>
    <s v="Above Avg"/>
    <s v="Loss"/>
    <n v="74"/>
  </r>
  <r>
    <n v="156"/>
    <x v="155"/>
    <n v="1065"/>
    <s v="Customer_41"/>
    <s v="Corporate"/>
    <s v="South"/>
    <s v="Furniture"/>
    <s v="Product_A"/>
    <n v="1868"/>
    <n v="5"/>
    <n v="0.03"/>
    <n v="200"/>
    <x v="1"/>
    <n v="9059.7999999999993"/>
    <s v="Jun"/>
    <n v="2024"/>
    <s v="Q2"/>
    <n v="2.2075542506457099E-2"/>
    <n v="280.2"/>
    <s v="High"/>
    <s v="Repeat"/>
    <s v="Below Avg"/>
    <s v="Profit"/>
    <n v="230"/>
  </r>
  <r>
    <n v="157"/>
    <x v="156"/>
    <n v="1094"/>
    <s v="Customer_196"/>
    <s v="Consumer"/>
    <s v="East"/>
    <s v="Clothing"/>
    <s v="Product_D"/>
    <n v="138"/>
    <n v="9"/>
    <n v="0.23"/>
    <n v="486"/>
    <x v="2"/>
    <n v="956.34"/>
    <s v="Jun"/>
    <n v="2024"/>
    <s v="Q2"/>
    <n v="0.50818746470920384"/>
    <n v="285.66000000000003"/>
    <s v="Low"/>
    <s v="Repeat"/>
    <s v="Below Avg"/>
    <s v="Profit"/>
    <n v="481"/>
  </r>
  <r>
    <n v="158"/>
    <x v="157"/>
    <n v="1070"/>
    <s v="Customer_182"/>
    <s v="Consumer"/>
    <s v="South"/>
    <s v="Electronics"/>
    <s v="Product_B"/>
    <n v="3662"/>
    <n v="1"/>
    <n v="0.22"/>
    <n v="-184"/>
    <x v="1"/>
    <n v="2856.36"/>
    <s v="Jun"/>
    <n v="2024"/>
    <s v="Q2"/>
    <n v="-6.4417650436219526E-2"/>
    <n v="805.64"/>
    <s v="Medium"/>
    <s v="Repeat"/>
    <s v="Below Avg"/>
    <s v="Loss"/>
    <n v="397"/>
  </r>
  <r>
    <n v="159"/>
    <x v="158"/>
    <n v="1040"/>
    <s v="Customer_60"/>
    <s v="Corporate"/>
    <s v="North"/>
    <s v="Furniture"/>
    <s v="Product_A"/>
    <n v="1929"/>
    <n v="6"/>
    <n v="0.18"/>
    <n v="1743"/>
    <x v="2"/>
    <n v="9490.68"/>
    <s v="Jun"/>
    <n v="2024"/>
    <s v="Q2"/>
    <n v="0.18365385831152245"/>
    <n v="2083.3199999999997"/>
    <s v="High"/>
    <s v="Repeat"/>
    <s v="Below Avg"/>
    <s v="Profit"/>
    <n v="217"/>
  </r>
  <r>
    <n v="160"/>
    <x v="159"/>
    <n v="1074"/>
    <s v="Customer_77"/>
    <s v="Consumer"/>
    <s v="South"/>
    <s v="Furniture"/>
    <s v="Product_C"/>
    <n v="2271"/>
    <n v="6"/>
    <n v="0.28000000000000003"/>
    <n v="1840"/>
    <x v="2"/>
    <n v="9810.7199999999993"/>
    <s v="Jun"/>
    <n v="2024"/>
    <s v="Q2"/>
    <n v="0.18754994536588548"/>
    <n v="3815.28"/>
    <s v="High"/>
    <s v="Repeat"/>
    <s v="Below Avg"/>
    <s v="Profit"/>
    <n v="207"/>
  </r>
  <r>
    <n v="161"/>
    <x v="160"/>
    <n v="1076"/>
    <s v="Customer_183"/>
    <s v="Consumer"/>
    <s v="East"/>
    <s v="Clothing"/>
    <s v="Product_C"/>
    <n v="208"/>
    <n v="7"/>
    <n v="0.19"/>
    <n v="1079"/>
    <x v="1"/>
    <n v="1179.3599999999999"/>
    <s v="Jun"/>
    <n v="2024"/>
    <s v="Q2"/>
    <n v="0.9149029982363317"/>
    <n v="276.64"/>
    <s v="Low"/>
    <s v="Repeat"/>
    <s v="Below Avg"/>
    <s v="Profit"/>
    <n v="469"/>
  </r>
  <r>
    <n v="162"/>
    <x v="161"/>
    <n v="1076"/>
    <s v="Customer_152"/>
    <s v="Consumer"/>
    <s v="South"/>
    <s v="Clothing"/>
    <s v="Product_C"/>
    <n v="4940"/>
    <n v="7"/>
    <n v="0.28999999999999998"/>
    <n v="-154"/>
    <x v="1"/>
    <n v="24551.8"/>
    <s v="Jun"/>
    <n v="2024"/>
    <s v="Q2"/>
    <n v="-6.272452528938815E-3"/>
    <n v="10028.199999999999"/>
    <s v="High"/>
    <s v="Repeat"/>
    <s v="Above Avg"/>
    <s v="Loss"/>
    <n v="45"/>
  </r>
  <r>
    <n v="163"/>
    <x v="162"/>
    <n v="1025"/>
    <s v="Customer_119"/>
    <s v="Consumer"/>
    <s v="West"/>
    <s v="Clothing"/>
    <s v="Product_B"/>
    <n v="4228"/>
    <n v="2"/>
    <n v="0.25"/>
    <n v="115"/>
    <x v="1"/>
    <n v="6342"/>
    <s v="Jun"/>
    <n v="2024"/>
    <s v="Q2"/>
    <n v="1.8133081046988332E-2"/>
    <n v="2114"/>
    <s v="High"/>
    <s v="Repeat"/>
    <s v="Below Avg"/>
    <s v="Profit"/>
    <n v="287"/>
  </r>
  <r>
    <n v="164"/>
    <x v="163"/>
    <n v="1007"/>
    <s v="Customer_95"/>
    <s v="Consumer"/>
    <s v="South"/>
    <s v="Electronics"/>
    <s v="Product_C"/>
    <n v="4335"/>
    <n v="5"/>
    <n v="0.24"/>
    <n v="1958"/>
    <x v="0"/>
    <n v="16473"/>
    <s v="Jun"/>
    <n v="2024"/>
    <s v="Q2"/>
    <n v="0.11886116675772476"/>
    <n v="5202"/>
    <s v="High"/>
    <s v="Repeat"/>
    <s v="Above Avg"/>
    <s v="Profit"/>
    <n v="116"/>
  </r>
  <r>
    <n v="165"/>
    <x v="164"/>
    <n v="1013"/>
    <s v="Customer_127"/>
    <s v="Consumer"/>
    <s v="West"/>
    <s v="Clothing"/>
    <s v="Product_B"/>
    <n v="4277"/>
    <n v="6"/>
    <n v="0.28999999999999998"/>
    <n v="-94"/>
    <x v="2"/>
    <n v="18220.02"/>
    <s v="Jun"/>
    <n v="2024"/>
    <s v="Q2"/>
    <n v="-5.1591600887375532E-3"/>
    <n v="7441.98"/>
    <s v="High"/>
    <s v="Repeat"/>
    <s v="Above Avg"/>
    <s v="Loss"/>
    <n v="89"/>
  </r>
  <r>
    <n v="166"/>
    <x v="165"/>
    <n v="1044"/>
    <s v="Customer_168"/>
    <s v="Corporate"/>
    <s v="North"/>
    <s v="Electronics"/>
    <s v="Product_D"/>
    <n v="3206"/>
    <n v="2"/>
    <n v="0.19"/>
    <n v="1742"/>
    <x v="2"/>
    <n v="5193.72"/>
    <s v="Jun"/>
    <n v="2024"/>
    <s v="Q2"/>
    <n v="0.33540506611831211"/>
    <n v="1218.28"/>
    <s v="High"/>
    <s v="Repeat"/>
    <s v="Below Avg"/>
    <s v="Profit"/>
    <n v="319"/>
  </r>
  <r>
    <n v="167"/>
    <x v="166"/>
    <n v="1001"/>
    <s v="Customer_192"/>
    <s v="Consumer"/>
    <s v="North"/>
    <s v="Furniture"/>
    <s v="Product_C"/>
    <n v="236"/>
    <n v="9"/>
    <n v="0.1"/>
    <n v="-188"/>
    <x v="2"/>
    <n v="1911.6"/>
    <s v="Jun"/>
    <n v="2024"/>
    <s v="Q2"/>
    <n v="-9.8346934505126604E-2"/>
    <n v="212.4"/>
    <s v="Low"/>
    <s v="Repeat"/>
    <s v="Below Avg"/>
    <s v="Loss"/>
    <n v="436"/>
  </r>
  <r>
    <n v="168"/>
    <x v="167"/>
    <n v="1041"/>
    <s v="Customer_162"/>
    <s v="Corporate"/>
    <s v="North"/>
    <s v="Clothing"/>
    <s v="Product_C"/>
    <n v="3837"/>
    <n v="6"/>
    <n v="0.03"/>
    <n v="-151"/>
    <x v="2"/>
    <n v="22331.34"/>
    <s v="Jun"/>
    <n v="2024"/>
    <s v="Q2"/>
    <n v="-6.7617975455122707E-3"/>
    <n v="690.66"/>
    <s v="High"/>
    <s v="Repeat"/>
    <s v="Above Avg"/>
    <s v="Loss"/>
    <n v="64"/>
  </r>
  <r>
    <n v="169"/>
    <x v="168"/>
    <n v="1078"/>
    <s v="Customer_39"/>
    <s v="Consumer"/>
    <s v="North"/>
    <s v="Furniture"/>
    <s v="Product_C"/>
    <n v="3951"/>
    <n v="5"/>
    <n v="0.21"/>
    <n v="1112"/>
    <x v="2"/>
    <n v="15606.45"/>
    <s v="Jun"/>
    <n v="2024"/>
    <s v="Q2"/>
    <n v="7.1252591076125568E-2"/>
    <n v="4148.55"/>
    <s v="High"/>
    <s v="Repeat"/>
    <s v="Above Avg"/>
    <s v="Profit"/>
    <n v="134"/>
  </r>
  <r>
    <n v="170"/>
    <x v="169"/>
    <n v="1056"/>
    <s v="Customer_122"/>
    <s v="Corporate"/>
    <s v="West"/>
    <s v="Furniture"/>
    <s v="Product_C"/>
    <n v="430"/>
    <n v="8"/>
    <n v="0.16"/>
    <n v="403"/>
    <x v="1"/>
    <n v="2889.6"/>
    <s v="Jun"/>
    <n v="2024"/>
    <s v="Q2"/>
    <n v="0.13946566998892582"/>
    <n v="550.4"/>
    <s v="Medium"/>
    <s v="Repeat"/>
    <s v="Below Avg"/>
    <s v="Profit"/>
    <n v="396"/>
  </r>
  <r>
    <n v="171"/>
    <x v="170"/>
    <n v="1087"/>
    <s v="Customer_1"/>
    <s v="Consumer"/>
    <s v="West"/>
    <s v="Furniture"/>
    <s v="Product_D"/>
    <n v="296"/>
    <n v="8"/>
    <n v="0.12"/>
    <n v="-8"/>
    <x v="1"/>
    <n v="2083.84"/>
    <s v="Jun"/>
    <n v="2024"/>
    <s v="Q2"/>
    <n v="-3.8390663390663387E-3"/>
    <n v="284.15999999999997"/>
    <s v="Medium"/>
    <s v="Repeat"/>
    <s v="Below Avg"/>
    <s v="Loss"/>
    <n v="424"/>
  </r>
  <r>
    <n v="172"/>
    <x v="171"/>
    <n v="1063"/>
    <s v="Customer_123"/>
    <s v="Corporate"/>
    <s v="West"/>
    <s v="Furniture"/>
    <s v="Product_B"/>
    <n v="1515"/>
    <n v="1"/>
    <n v="0.28000000000000003"/>
    <n v="1470"/>
    <x v="0"/>
    <n v="1090.8"/>
    <s v="Jun"/>
    <n v="2024"/>
    <s v="Q2"/>
    <n v="1.3476347634763477"/>
    <n v="424.20000000000005"/>
    <s v="Low"/>
    <s v="Repeat"/>
    <s v="Below Avg"/>
    <s v="Profit"/>
    <n v="477"/>
  </r>
  <r>
    <n v="173"/>
    <x v="172"/>
    <n v="1097"/>
    <s v="Customer_20"/>
    <s v="Consumer"/>
    <s v="South"/>
    <s v="Clothing"/>
    <s v="Product_D"/>
    <n v="3396"/>
    <n v="7"/>
    <n v="0.27"/>
    <n v="1252"/>
    <x v="2"/>
    <n v="17353.560000000001"/>
    <s v="Jun"/>
    <n v="2024"/>
    <s v="Q2"/>
    <n v="7.2146579721970583E-2"/>
    <n v="6418.4400000000005"/>
    <s v="High"/>
    <s v="Repeat"/>
    <s v="Above Avg"/>
    <s v="Profit"/>
    <n v="99"/>
  </r>
  <r>
    <n v="174"/>
    <x v="173"/>
    <n v="1003"/>
    <s v="Customer_111"/>
    <s v="Consumer"/>
    <s v="East"/>
    <s v="Electronics"/>
    <s v="Product_A"/>
    <n v="3120"/>
    <n v="6"/>
    <n v="0.11"/>
    <n v="-429"/>
    <x v="0"/>
    <n v="16660.8"/>
    <s v="Jun"/>
    <n v="2024"/>
    <s v="Q2"/>
    <n v="-2.5749063670411985E-2"/>
    <n v="2059.1999999999998"/>
    <s v="High"/>
    <s v="Repeat"/>
    <s v="Above Avg"/>
    <s v="Loss"/>
    <n v="110"/>
  </r>
  <r>
    <n v="175"/>
    <x v="174"/>
    <n v="1017"/>
    <s v="Customer_153"/>
    <s v="Corporate"/>
    <s v="East"/>
    <s v="Clothing"/>
    <s v="Product_D"/>
    <n v="3469"/>
    <n v="3"/>
    <n v="0.28000000000000003"/>
    <n v="431"/>
    <x v="0"/>
    <n v="7493.04"/>
    <s v="Jun"/>
    <n v="2024"/>
    <s v="Q2"/>
    <n v="5.7520045268675997E-2"/>
    <n v="2913.9600000000005"/>
    <s v="High"/>
    <s v="Repeat"/>
    <s v="Below Avg"/>
    <s v="Profit"/>
    <n v="264"/>
  </r>
  <r>
    <n v="176"/>
    <x v="175"/>
    <n v="1088"/>
    <s v="Customer_134"/>
    <s v="Corporate"/>
    <s v="East"/>
    <s v="Clothing"/>
    <s v="Product_B"/>
    <n v="4955"/>
    <n v="1"/>
    <n v="0.13"/>
    <n v="-182"/>
    <x v="1"/>
    <n v="4310.8500000000004"/>
    <s v="Jun"/>
    <n v="2024"/>
    <s v="Q2"/>
    <n v="-4.2219051927114136E-2"/>
    <n v="644.15"/>
    <s v="Medium"/>
    <s v="Repeat"/>
    <s v="Below Avg"/>
    <s v="Loss"/>
    <n v="341"/>
  </r>
  <r>
    <n v="177"/>
    <x v="176"/>
    <n v="1087"/>
    <s v="Customer_116"/>
    <s v="Corporate"/>
    <s v="South"/>
    <s v="Clothing"/>
    <s v="Product_A"/>
    <n v="940"/>
    <n v="2"/>
    <n v="0.06"/>
    <n v="1960"/>
    <x v="1"/>
    <n v="1767.19999999999"/>
    <s v="Jun"/>
    <n v="2024"/>
    <s v="Q2"/>
    <n v="1.109099139882306"/>
    <n v="112.8"/>
    <s v="Low"/>
    <s v="Repeat"/>
    <s v="Below Avg"/>
    <s v="Profit"/>
    <n v="442"/>
  </r>
  <r>
    <n v="178"/>
    <x v="177"/>
    <n v="1069"/>
    <s v="Customer_94"/>
    <s v="Consumer"/>
    <s v="West"/>
    <s v="Furniture"/>
    <s v="Product_C"/>
    <n v="3742"/>
    <n v="1"/>
    <n v="0.19"/>
    <n v="1388"/>
    <x v="1"/>
    <n v="3031.02"/>
    <s v="Jun"/>
    <n v="2024"/>
    <s v="Q2"/>
    <n v="0.45793165337081249"/>
    <n v="710.98"/>
    <s v="Medium"/>
    <s v="Repeat"/>
    <s v="Below Avg"/>
    <s v="Profit"/>
    <n v="390"/>
  </r>
  <r>
    <n v="179"/>
    <x v="178"/>
    <n v="1097"/>
    <s v="Customer_120"/>
    <s v="Corporate"/>
    <s v="South"/>
    <s v="Clothing"/>
    <s v="Product_C"/>
    <n v="2769"/>
    <n v="3"/>
    <n v="0.03"/>
    <n v="-283"/>
    <x v="1"/>
    <n v="8057.79"/>
    <s v="Jun"/>
    <n v="2024"/>
    <s v="Q2"/>
    <n v="-3.512129256284912E-2"/>
    <n v="249.20999999999998"/>
    <s v="High"/>
    <s v="Repeat"/>
    <s v="Below Avg"/>
    <s v="Loss"/>
    <n v="251"/>
  </r>
  <r>
    <n v="180"/>
    <x v="179"/>
    <n v="1050"/>
    <s v="Customer_113"/>
    <s v="Consumer"/>
    <s v="North"/>
    <s v="Furniture"/>
    <s v="Product_C"/>
    <n v="1277"/>
    <n v="6"/>
    <n v="0.05"/>
    <n v="-393"/>
    <x v="1"/>
    <n v="7278.9"/>
    <s v="Jun"/>
    <n v="2024"/>
    <s v="Q2"/>
    <n v="-5.3991674566211928E-2"/>
    <n v="383.1"/>
    <s v="High"/>
    <s v="Repeat"/>
    <s v="Below Avg"/>
    <s v="Loss"/>
    <n v="269"/>
  </r>
  <r>
    <n v="181"/>
    <x v="180"/>
    <n v="1002"/>
    <s v="Customer_3"/>
    <s v="Consumer"/>
    <s v="South"/>
    <s v="Furniture"/>
    <s v="Product_A"/>
    <n v="1043"/>
    <n v="2"/>
    <n v="0.24"/>
    <n v="1350"/>
    <x v="1"/>
    <n v="1585.36"/>
    <s v="Jun"/>
    <n v="2024"/>
    <s v="Q2"/>
    <n v="0.85154160569208259"/>
    <n v="500.64"/>
    <s v="Low"/>
    <s v="Repeat"/>
    <s v="Below Avg"/>
    <s v="Profit"/>
    <n v="454"/>
  </r>
  <r>
    <n v="182"/>
    <x v="181"/>
    <n v="1018"/>
    <s v="Customer_164"/>
    <s v="Consumer"/>
    <s v="South"/>
    <s v="Electronics"/>
    <s v="Product_B"/>
    <n v="3546"/>
    <n v="6"/>
    <n v="0.25"/>
    <n v="1825"/>
    <x v="0"/>
    <n v="15957"/>
    <s v="Jun"/>
    <n v="2024"/>
    <s v="Q2"/>
    <n v="0.11436986902299931"/>
    <n v="5319"/>
    <s v="High"/>
    <s v="Repeat"/>
    <s v="Above Avg"/>
    <s v="Profit"/>
    <n v="129"/>
  </r>
  <r>
    <n v="183"/>
    <x v="182"/>
    <n v="1046"/>
    <s v="Customer_70"/>
    <s v="Corporate"/>
    <s v="South"/>
    <s v="Furniture"/>
    <s v="Product_A"/>
    <n v="951"/>
    <n v="8"/>
    <n v="7.0000000000000007E-2"/>
    <n v="1104"/>
    <x v="2"/>
    <n v="7075.44"/>
    <s v="Jul"/>
    <n v="2024"/>
    <s v="Q3"/>
    <n v="0.15603269902649164"/>
    <n v="532.56000000000006"/>
    <s v="High"/>
    <s v="Repeat"/>
    <s v="Below Avg"/>
    <s v="Profit"/>
    <n v="274"/>
  </r>
  <r>
    <n v="184"/>
    <x v="183"/>
    <n v="1045"/>
    <s v="Customer_166"/>
    <s v="Corporate"/>
    <s v="North"/>
    <s v="Furniture"/>
    <s v="Product_C"/>
    <n v="4700"/>
    <n v="3"/>
    <n v="0.22"/>
    <n v="140"/>
    <x v="2"/>
    <n v="10998"/>
    <s v="Jul"/>
    <n v="2024"/>
    <s v="Q3"/>
    <n v="1.2729587197672304E-2"/>
    <n v="3102"/>
    <s v="High"/>
    <s v="Repeat"/>
    <s v="Above Avg"/>
    <s v="Profit"/>
    <n v="190"/>
  </r>
  <r>
    <n v="185"/>
    <x v="184"/>
    <n v="1057"/>
    <s v="Customer_65"/>
    <s v="Consumer"/>
    <s v="East"/>
    <s v="Electronics"/>
    <s v="Product_C"/>
    <n v="1851"/>
    <n v="3"/>
    <n v="0.28999999999999998"/>
    <n v="589"/>
    <x v="1"/>
    <n v="3942.6299999999901"/>
    <s v="Jul"/>
    <n v="2024"/>
    <s v="Q3"/>
    <n v="0.14939266428754447"/>
    <n v="1610.37"/>
    <s v="Medium"/>
    <s v="Repeat"/>
    <s v="Below Avg"/>
    <s v="Profit"/>
    <n v="356"/>
  </r>
  <r>
    <n v="186"/>
    <x v="185"/>
    <n v="1035"/>
    <s v="Customer_83"/>
    <s v="Corporate"/>
    <s v="East"/>
    <s v="Furniture"/>
    <s v="Product_C"/>
    <n v="1945"/>
    <n v="1"/>
    <n v="0.28999999999999998"/>
    <n v="7"/>
    <x v="1"/>
    <n v="1380.94999999999"/>
    <s v="Jul"/>
    <n v="2024"/>
    <s v="Q3"/>
    <n v="5.068974256852204E-3"/>
    <n v="564.04999999999995"/>
    <s v="Low"/>
    <s v="Repeat"/>
    <s v="Below Avg"/>
    <s v="Profit"/>
    <n v="462"/>
  </r>
  <r>
    <n v="187"/>
    <x v="186"/>
    <n v="1018"/>
    <s v="Customer_38"/>
    <s v="Corporate"/>
    <s v="North"/>
    <s v="Clothing"/>
    <s v="Product_A"/>
    <n v="4924"/>
    <n v="3"/>
    <n v="0.13"/>
    <n v="1357"/>
    <x v="0"/>
    <n v="12851.64"/>
    <s v="Jul"/>
    <n v="2024"/>
    <s v="Q3"/>
    <n v="0.1055896368089987"/>
    <n v="1920.3600000000001"/>
    <s v="High"/>
    <s v="Repeat"/>
    <s v="Above Avg"/>
    <s v="Profit"/>
    <n v="160"/>
  </r>
  <r>
    <n v="188"/>
    <x v="187"/>
    <n v="1091"/>
    <s v="Customer_28"/>
    <s v="Corporate"/>
    <s v="East"/>
    <s v="Furniture"/>
    <s v="Product_A"/>
    <n v="1821"/>
    <n v="7"/>
    <n v="0.26"/>
    <n v="-309"/>
    <x v="1"/>
    <n v="9432.7800000000007"/>
    <s v="Jul"/>
    <n v="2024"/>
    <s v="Q3"/>
    <n v="-3.2758105245749396E-2"/>
    <n v="3314.2200000000003"/>
    <s v="High"/>
    <s v="Repeat"/>
    <s v="Below Avg"/>
    <s v="Loss"/>
    <n v="220"/>
  </r>
  <r>
    <n v="189"/>
    <x v="188"/>
    <n v="1046"/>
    <s v="Customer_175"/>
    <s v="Corporate"/>
    <s v="East"/>
    <s v="Clothing"/>
    <s v="Product_B"/>
    <n v="1873"/>
    <n v="9"/>
    <n v="0.17"/>
    <n v="-234"/>
    <x v="0"/>
    <n v="13991.31"/>
    <s v="Jul"/>
    <n v="2024"/>
    <s v="Q3"/>
    <n v="-1.672466695398787E-2"/>
    <n v="2865.69"/>
    <s v="High"/>
    <s v="Repeat"/>
    <s v="Above Avg"/>
    <s v="Loss"/>
    <n v="147"/>
  </r>
  <r>
    <n v="190"/>
    <x v="189"/>
    <n v="1054"/>
    <s v="Customer_47"/>
    <s v="Consumer"/>
    <s v="West"/>
    <s v="Furniture"/>
    <s v="Product_C"/>
    <n v="750"/>
    <n v="8"/>
    <n v="0.17"/>
    <n v="-108"/>
    <x v="1"/>
    <n v="4980"/>
    <s v="Jul"/>
    <n v="2024"/>
    <s v="Q3"/>
    <n v="-2.1686746987951807E-2"/>
    <n v="1020.0000000000001"/>
    <s v="Medium"/>
    <s v="Repeat"/>
    <s v="Below Avg"/>
    <s v="Loss"/>
    <n v="324"/>
  </r>
  <r>
    <n v="191"/>
    <x v="190"/>
    <n v="1073"/>
    <s v="Customer_10"/>
    <s v="Consumer"/>
    <s v="East"/>
    <s v="Furniture"/>
    <s v="Product_A"/>
    <n v="1461"/>
    <n v="3"/>
    <n v="7.0000000000000007E-2"/>
    <n v="-371"/>
    <x v="2"/>
    <n v="4076.1899999999901"/>
    <s v="Jul"/>
    <n v="2024"/>
    <s v="Q3"/>
    <n v="-9.1016365772940144E-2"/>
    <n v="306.81"/>
    <s v="Medium"/>
    <s v="Repeat"/>
    <s v="Below Avg"/>
    <s v="Loss"/>
    <n v="351"/>
  </r>
  <r>
    <n v="192"/>
    <x v="191"/>
    <n v="1081"/>
    <s v="Customer_88"/>
    <s v="Corporate"/>
    <s v="South"/>
    <s v="Clothing"/>
    <s v="Product_A"/>
    <n v="3609"/>
    <n v="5"/>
    <n v="0.12"/>
    <n v="514"/>
    <x v="2"/>
    <n v="15879.6"/>
    <s v="Jul"/>
    <n v="2024"/>
    <s v="Q3"/>
    <n v="3.2368573515705684E-2"/>
    <n v="2165.4"/>
    <s v="High"/>
    <s v="Repeat"/>
    <s v="Above Avg"/>
    <s v="Profit"/>
    <n v="131"/>
  </r>
  <r>
    <n v="193"/>
    <x v="192"/>
    <n v="1062"/>
    <s v="Customer_133"/>
    <s v="Corporate"/>
    <s v="South"/>
    <s v="Electronics"/>
    <s v="Product_D"/>
    <n v="1568"/>
    <n v="1"/>
    <n v="0.06"/>
    <n v="1807"/>
    <x v="0"/>
    <n v="1473.9199999999901"/>
    <s v="Jul"/>
    <n v="2024"/>
    <s v="Q3"/>
    <n v="1.225982414242301"/>
    <n v="94.08"/>
    <s v="Low"/>
    <s v="Repeat"/>
    <s v="Below Avg"/>
    <s v="Profit"/>
    <n v="459"/>
  </r>
  <r>
    <n v="194"/>
    <x v="193"/>
    <n v="1067"/>
    <s v="Customer_141"/>
    <s v="Consumer"/>
    <s v="West"/>
    <s v="Furniture"/>
    <s v="Product_C"/>
    <n v="584"/>
    <n v="1"/>
    <n v="0.22"/>
    <n v="858"/>
    <x v="1"/>
    <n v="455.52"/>
    <s v="Jul"/>
    <n v="2024"/>
    <s v="Q3"/>
    <n v="1.8835616438356164"/>
    <n v="128.47999999999999"/>
    <s v="Low"/>
    <s v="Repeat"/>
    <s v="Below Avg"/>
    <s v="Profit"/>
    <n v="494"/>
  </r>
  <r>
    <n v="195"/>
    <x v="194"/>
    <n v="1011"/>
    <s v="Customer_86"/>
    <s v="Corporate"/>
    <s v="South"/>
    <s v="Furniture"/>
    <s v="Product_C"/>
    <n v="851"/>
    <n v="9"/>
    <n v="0.19"/>
    <n v="1126"/>
    <x v="1"/>
    <n v="6203.79"/>
    <s v="Jul"/>
    <n v="2024"/>
    <s v="Q3"/>
    <n v="0.18150195283850679"/>
    <n v="1455.21"/>
    <s v="High"/>
    <s v="Repeat"/>
    <s v="Below Avg"/>
    <s v="Profit"/>
    <n v="292"/>
  </r>
  <r>
    <n v="196"/>
    <x v="195"/>
    <n v="1026"/>
    <s v="Customer_34"/>
    <s v="Corporate"/>
    <s v="West"/>
    <s v="Electronics"/>
    <s v="Product_A"/>
    <n v="209"/>
    <n v="7"/>
    <n v="0.24"/>
    <n v="-125"/>
    <x v="0"/>
    <n v="1111.8800000000001"/>
    <s v="Jul"/>
    <n v="2024"/>
    <s v="Q3"/>
    <n v="-0.11242220383494621"/>
    <n v="351.12"/>
    <s v="Low"/>
    <s v="Repeat"/>
    <s v="Below Avg"/>
    <s v="Loss"/>
    <n v="476"/>
  </r>
  <r>
    <n v="197"/>
    <x v="196"/>
    <n v="1092"/>
    <s v="Customer_153"/>
    <s v="Corporate"/>
    <s v="South"/>
    <s v="Electronics"/>
    <s v="Product_D"/>
    <n v="2452"/>
    <n v="4"/>
    <n v="0.19"/>
    <n v="1641"/>
    <x v="1"/>
    <n v="7944.48"/>
    <s v="Jul"/>
    <n v="2024"/>
    <s v="Q3"/>
    <n v="0.20655851610174614"/>
    <n v="1863.52"/>
    <s v="High"/>
    <s v="Repeat"/>
    <s v="Below Avg"/>
    <s v="Profit"/>
    <n v="254"/>
  </r>
  <r>
    <n v="198"/>
    <x v="197"/>
    <n v="1075"/>
    <s v="Customer_151"/>
    <s v="Consumer"/>
    <s v="East"/>
    <s v="Electronics"/>
    <s v="Product_C"/>
    <n v="4378"/>
    <n v="4"/>
    <n v="0.08"/>
    <n v="-266"/>
    <x v="2"/>
    <n v="16111.04"/>
    <s v="Jul"/>
    <n v="2024"/>
    <s v="Q3"/>
    <n v="-1.6510417701153992E-2"/>
    <n v="1400.96"/>
    <s v="High"/>
    <s v="Repeat"/>
    <s v="Above Avg"/>
    <s v="Loss"/>
    <n v="125"/>
  </r>
  <r>
    <n v="199"/>
    <x v="198"/>
    <n v="1010"/>
    <s v="Customer_112"/>
    <s v="Corporate"/>
    <s v="South"/>
    <s v="Furniture"/>
    <s v="Product_C"/>
    <n v="3624"/>
    <n v="3"/>
    <n v="0.28999999999999998"/>
    <n v="-429"/>
    <x v="2"/>
    <n v="7719.12"/>
    <s v="Jul"/>
    <n v="2024"/>
    <s v="Q3"/>
    <n v="-5.557628330690545E-2"/>
    <n v="3152.8799999999997"/>
    <s v="High"/>
    <s v="Repeat"/>
    <s v="Below Avg"/>
    <s v="Loss"/>
    <n v="259"/>
  </r>
  <r>
    <n v="200"/>
    <x v="199"/>
    <n v="1003"/>
    <s v="Customer_85"/>
    <s v="Corporate"/>
    <s v="South"/>
    <s v="Clothing"/>
    <s v="Product_C"/>
    <n v="1158"/>
    <n v="5"/>
    <n v="0.2"/>
    <n v="1597"/>
    <x v="2"/>
    <n v="4632"/>
    <s v="Jul"/>
    <n v="2024"/>
    <s v="Q3"/>
    <n v="0.34477547495682209"/>
    <n v="1158"/>
    <s v="Medium"/>
    <s v="Repeat"/>
    <s v="Below Avg"/>
    <s v="Profit"/>
    <n v="335"/>
  </r>
  <r>
    <n v="201"/>
    <x v="200"/>
    <n v="1045"/>
    <s v="Customer_3"/>
    <s v="Corporate"/>
    <s v="West"/>
    <s v="Furniture"/>
    <s v="Product_A"/>
    <n v="300"/>
    <n v="8"/>
    <n v="0.14000000000000001"/>
    <n v="1580"/>
    <x v="0"/>
    <n v="2064"/>
    <s v="Jul"/>
    <n v="2024"/>
    <s v="Q3"/>
    <n v="0.76550387596899228"/>
    <n v="336.00000000000006"/>
    <s v="Medium"/>
    <s v="Repeat"/>
    <s v="Below Avg"/>
    <s v="Profit"/>
    <n v="425"/>
  </r>
  <r>
    <n v="202"/>
    <x v="201"/>
    <n v="1058"/>
    <s v="Customer_8"/>
    <s v="Consumer"/>
    <s v="West"/>
    <s v="Clothing"/>
    <s v="Product_A"/>
    <n v="4590"/>
    <n v="3"/>
    <n v="0.23"/>
    <n v="458"/>
    <x v="1"/>
    <n v="10602.9"/>
    <s v="Jul"/>
    <n v="2024"/>
    <s v="Q3"/>
    <n v="4.3195729470239273E-2"/>
    <n v="3167.1000000000004"/>
    <s v="High"/>
    <s v="Repeat"/>
    <s v="Below Avg"/>
    <s v="Profit"/>
    <n v="195"/>
  </r>
  <r>
    <n v="203"/>
    <x v="202"/>
    <n v="1059"/>
    <s v="Customer_174"/>
    <s v="Consumer"/>
    <s v="West"/>
    <s v="Electronics"/>
    <s v="Product_B"/>
    <n v="3815"/>
    <n v="6"/>
    <n v="0.08"/>
    <n v="971"/>
    <x v="1"/>
    <n v="21058.799999999999"/>
    <s v="Jul"/>
    <n v="2024"/>
    <s v="Q3"/>
    <n v="4.6108990065910689E-2"/>
    <n v="1831.2"/>
    <s v="High"/>
    <s v="Repeat"/>
    <s v="Above Avg"/>
    <s v="Profit"/>
    <n v="76"/>
  </r>
  <r>
    <n v="204"/>
    <x v="203"/>
    <n v="1023"/>
    <s v="Customer_190"/>
    <s v="Consumer"/>
    <s v="North"/>
    <s v="Furniture"/>
    <s v="Product_B"/>
    <n v="1315"/>
    <n v="4"/>
    <n v="0.24"/>
    <n v="-35"/>
    <x v="2"/>
    <n v="3997.6"/>
    <s v="Jul"/>
    <n v="2024"/>
    <s v="Q3"/>
    <n v="-8.7552531518911344E-3"/>
    <n v="1262.3999999999999"/>
    <s v="Medium"/>
    <s v="Repeat"/>
    <s v="Below Avg"/>
    <s v="Loss"/>
    <n v="353"/>
  </r>
  <r>
    <n v="205"/>
    <x v="204"/>
    <n v="1025"/>
    <s v="Customer_167"/>
    <s v="Consumer"/>
    <s v="East"/>
    <s v="Furniture"/>
    <s v="Product_C"/>
    <n v="831"/>
    <n v="3"/>
    <n v="0.1"/>
    <n v="1324"/>
    <x v="0"/>
    <n v="2243.6999999999998"/>
    <s v="Jul"/>
    <n v="2024"/>
    <s v="Q3"/>
    <n v="0.59009671524713647"/>
    <n v="249.3"/>
    <s v="Medium"/>
    <s v="Repeat"/>
    <s v="Below Avg"/>
    <s v="Profit"/>
    <n v="417"/>
  </r>
  <r>
    <n v="206"/>
    <x v="205"/>
    <n v="1027"/>
    <s v="Customer_51"/>
    <s v="Consumer"/>
    <s v="North"/>
    <s v="Furniture"/>
    <s v="Product_D"/>
    <n v="473"/>
    <n v="1"/>
    <n v="0.02"/>
    <n v="-233"/>
    <x v="0"/>
    <n v="463.539999999999"/>
    <s v="Jul"/>
    <n v="2024"/>
    <s v="Q3"/>
    <n v="-0.50265349268671633"/>
    <n v="9.4600000000000009"/>
    <s v="Low"/>
    <s v="Repeat"/>
    <s v="Below Avg"/>
    <s v="Loss"/>
    <n v="493"/>
  </r>
  <r>
    <n v="207"/>
    <x v="206"/>
    <n v="1057"/>
    <s v="Customer_22"/>
    <s v="Consumer"/>
    <s v="South"/>
    <s v="Furniture"/>
    <s v="Product_C"/>
    <n v="3249"/>
    <n v="8"/>
    <n v="0.23"/>
    <n v="1197"/>
    <x v="0"/>
    <n v="20013.84"/>
    <s v="Jul"/>
    <n v="2024"/>
    <s v="Q3"/>
    <n v="5.9808612440191387E-2"/>
    <n v="5978.16"/>
    <s v="High"/>
    <s v="Repeat"/>
    <s v="Above Avg"/>
    <s v="Profit"/>
    <n v="80"/>
  </r>
  <r>
    <n v="208"/>
    <x v="207"/>
    <n v="1003"/>
    <s v="Customer_45"/>
    <s v="Corporate"/>
    <s v="South"/>
    <s v="Electronics"/>
    <s v="Product_D"/>
    <n v="3344"/>
    <n v="7"/>
    <n v="0.06"/>
    <n v="581"/>
    <x v="2"/>
    <n v="22003.52"/>
    <s v="Jul"/>
    <n v="2024"/>
    <s v="Q3"/>
    <n v="2.6404866130510025E-2"/>
    <n v="1404.48"/>
    <s v="High"/>
    <s v="Repeat"/>
    <s v="Above Avg"/>
    <s v="Profit"/>
    <n v="67"/>
  </r>
  <r>
    <n v="209"/>
    <x v="208"/>
    <n v="1099"/>
    <s v="Customer_151"/>
    <s v="Corporate"/>
    <s v="West"/>
    <s v="Electronics"/>
    <s v="Product_A"/>
    <n v="4041"/>
    <n v="7"/>
    <n v="0.19"/>
    <n v="1642"/>
    <x v="0"/>
    <n v="22912.47"/>
    <s v="Jul"/>
    <n v="2024"/>
    <s v="Q3"/>
    <n v="7.1664032729775534E-2"/>
    <n v="5374.53"/>
    <s v="High"/>
    <s v="Repeat"/>
    <s v="Above Avg"/>
    <s v="Profit"/>
    <n v="60"/>
  </r>
  <r>
    <n v="210"/>
    <x v="209"/>
    <n v="1078"/>
    <s v="Customer_177"/>
    <s v="Consumer"/>
    <s v="West"/>
    <s v="Electronics"/>
    <s v="Product_B"/>
    <n v="4048"/>
    <n v="8"/>
    <n v="0.08"/>
    <n v="-375"/>
    <x v="2"/>
    <n v="29793.279999999999"/>
    <s v="Jul"/>
    <n v="2024"/>
    <s v="Q3"/>
    <n v="-1.2586730967520193E-2"/>
    <n v="2590.7200000000003"/>
    <s v="High"/>
    <s v="Repeat"/>
    <s v="Above Avg"/>
    <s v="Loss"/>
    <n v="24"/>
  </r>
  <r>
    <n v="211"/>
    <x v="210"/>
    <n v="1085"/>
    <s v="Customer_80"/>
    <s v="Consumer"/>
    <s v="South"/>
    <s v="Furniture"/>
    <s v="Product_A"/>
    <n v="745"/>
    <n v="9"/>
    <n v="0.21"/>
    <n v="515"/>
    <x v="1"/>
    <n v="5296.95"/>
    <s v="Jul"/>
    <n v="2024"/>
    <s v="Q3"/>
    <n v="9.7225761995110391E-2"/>
    <n v="1408.05"/>
    <s v="High"/>
    <s v="Repeat"/>
    <s v="Below Avg"/>
    <s v="Profit"/>
    <n v="316"/>
  </r>
  <r>
    <n v="212"/>
    <x v="211"/>
    <n v="1059"/>
    <s v="Customer_124"/>
    <s v="Consumer"/>
    <s v="North"/>
    <s v="Furniture"/>
    <s v="Product_D"/>
    <n v="3695"/>
    <n v="3"/>
    <n v="0.04"/>
    <n v="333"/>
    <x v="1"/>
    <n v="10641.6"/>
    <s v="Jul"/>
    <n v="2024"/>
    <s v="Q3"/>
    <n v="3.1292286874154258E-2"/>
    <n v="443.40000000000003"/>
    <s v="High"/>
    <s v="Repeat"/>
    <s v="Above Avg"/>
    <s v="Profit"/>
    <n v="194"/>
  </r>
  <r>
    <n v="213"/>
    <x v="212"/>
    <n v="1048"/>
    <s v="Customer_179"/>
    <s v="Corporate"/>
    <s v="West"/>
    <s v="Clothing"/>
    <s v="Product_D"/>
    <n v="4178"/>
    <n v="2"/>
    <n v="0.19"/>
    <n v="1860"/>
    <x v="1"/>
    <n v="6768.36"/>
    <s v="Jul"/>
    <n v="2024"/>
    <s v="Q3"/>
    <n v="0.27480807758452563"/>
    <n v="1587.64"/>
    <s v="High"/>
    <s v="Repeat"/>
    <s v="Below Avg"/>
    <s v="Profit"/>
    <n v="280"/>
  </r>
  <r>
    <n v="214"/>
    <x v="213"/>
    <n v="1056"/>
    <s v="Customer_28"/>
    <s v="Consumer"/>
    <s v="West"/>
    <s v="Clothing"/>
    <s v="Product_B"/>
    <n v="2035"/>
    <n v="4"/>
    <n v="0.06"/>
    <n v="1215"/>
    <x v="0"/>
    <n v="7651.5999999999904"/>
    <s v="Aug"/>
    <n v="2024"/>
    <s v="Q3"/>
    <n v="0.15879031836478666"/>
    <n v="488.4"/>
    <s v="High"/>
    <s v="Repeat"/>
    <s v="Below Avg"/>
    <s v="Profit"/>
    <n v="262"/>
  </r>
  <r>
    <n v="215"/>
    <x v="214"/>
    <n v="1087"/>
    <s v="Customer_99"/>
    <s v="Consumer"/>
    <s v="South"/>
    <s v="Clothing"/>
    <s v="Product_A"/>
    <n v="2833"/>
    <n v="4"/>
    <n v="0.15"/>
    <n v="-499"/>
    <x v="2"/>
    <n v="9632.1999999999898"/>
    <s v="Aug"/>
    <n v="2024"/>
    <s v="Q3"/>
    <n v="-5.1805402711737766E-2"/>
    <n v="1699.8"/>
    <s v="High"/>
    <s v="Repeat"/>
    <s v="Below Avg"/>
    <s v="Loss"/>
    <n v="211"/>
  </r>
  <r>
    <n v="216"/>
    <x v="215"/>
    <n v="1087"/>
    <s v="Customer_106"/>
    <s v="Consumer"/>
    <s v="East"/>
    <s v="Furniture"/>
    <s v="Product_C"/>
    <n v="2661"/>
    <n v="8"/>
    <n v="0.26"/>
    <n v="-152"/>
    <x v="2"/>
    <n v="15753.119999999901"/>
    <s v="Aug"/>
    <n v="2024"/>
    <s v="Q3"/>
    <n v="-9.6488822531664176E-3"/>
    <n v="5534.88"/>
    <s v="High"/>
    <s v="Repeat"/>
    <s v="Above Avg"/>
    <s v="Loss"/>
    <n v="133"/>
  </r>
  <r>
    <n v="217"/>
    <x v="216"/>
    <n v="1004"/>
    <s v="Customer_29"/>
    <s v="Consumer"/>
    <s v="West"/>
    <s v="Furniture"/>
    <s v="Product_A"/>
    <n v="2152"/>
    <n v="8"/>
    <n v="0.14000000000000001"/>
    <n v="925"/>
    <x v="2"/>
    <n v="14805.76"/>
    <s v="Aug"/>
    <n v="2024"/>
    <s v="Q3"/>
    <n v="6.2475685138756808E-2"/>
    <n v="2410.2400000000002"/>
    <s v="High"/>
    <s v="Repeat"/>
    <s v="Above Avg"/>
    <s v="Profit"/>
    <n v="142"/>
  </r>
  <r>
    <n v="218"/>
    <x v="217"/>
    <n v="1069"/>
    <s v="Customer_187"/>
    <s v="Consumer"/>
    <s v="North"/>
    <s v="Clothing"/>
    <s v="Product_D"/>
    <n v="2039"/>
    <n v="7"/>
    <n v="0.23"/>
    <n v="-462"/>
    <x v="0"/>
    <n v="10990.21"/>
    <s v="Aug"/>
    <n v="2024"/>
    <s v="Q3"/>
    <n v="-4.2037413297835079E-2"/>
    <n v="3282.79"/>
    <s v="High"/>
    <s v="Repeat"/>
    <s v="Above Avg"/>
    <s v="Loss"/>
    <n v="192"/>
  </r>
  <r>
    <n v="219"/>
    <x v="218"/>
    <n v="1056"/>
    <s v="Customer_102"/>
    <s v="Consumer"/>
    <s v="East"/>
    <s v="Clothing"/>
    <s v="Product_A"/>
    <n v="802"/>
    <n v="5"/>
    <n v="0.04"/>
    <n v="1193"/>
    <x v="2"/>
    <n v="3849.6"/>
    <s v="Aug"/>
    <n v="2024"/>
    <s v="Q3"/>
    <n v="0.30990232751454699"/>
    <n v="160.4"/>
    <s v="Medium"/>
    <s v="Repeat"/>
    <s v="Below Avg"/>
    <s v="Profit"/>
    <n v="361"/>
  </r>
  <r>
    <n v="220"/>
    <x v="219"/>
    <n v="1060"/>
    <s v="Customer_198"/>
    <s v="Corporate"/>
    <s v="South"/>
    <s v="Clothing"/>
    <s v="Product_B"/>
    <n v="2899"/>
    <n v="1"/>
    <n v="0.2"/>
    <n v="569"/>
    <x v="2"/>
    <n v="2319.1999999999998"/>
    <s v="Aug"/>
    <n v="2024"/>
    <s v="Q3"/>
    <n v="0.24534322180062093"/>
    <n v="579.80000000000007"/>
    <s v="Medium"/>
    <s v="Repeat"/>
    <s v="Below Avg"/>
    <s v="Profit"/>
    <n v="415"/>
  </r>
  <r>
    <n v="221"/>
    <x v="220"/>
    <n v="1009"/>
    <s v="Customer_78"/>
    <s v="Corporate"/>
    <s v="West"/>
    <s v="Electronics"/>
    <s v="Product_A"/>
    <n v="607"/>
    <n v="6"/>
    <n v="0.05"/>
    <n v="1509"/>
    <x v="1"/>
    <n v="3459.8999999999901"/>
    <s v="Aug"/>
    <n v="2024"/>
    <s v="Q3"/>
    <n v="0.43613977282580546"/>
    <n v="182.10000000000002"/>
    <s v="Medium"/>
    <s v="Repeat"/>
    <s v="Below Avg"/>
    <s v="Profit"/>
    <n v="378"/>
  </r>
  <r>
    <n v="222"/>
    <x v="221"/>
    <n v="1066"/>
    <s v="Customer_156"/>
    <s v="Corporate"/>
    <s v="East"/>
    <s v="Clothing"/>
    <s v="Product_A"/>
    <n v="1523"/>
    <n v="1"/>
    <n v="0.23"/>
    <n v="1244"/>
    <x v="2"/>
    <n v="1172.71"/>
    <s v="Aug"/>
    <n v="2024"/>
    <s v="Q3"/>
    <n v="1.0607908178492551"/>
    <n v="350.29"/>
    <s v="Low"/>
    <s v="Repeat"/>
    <s v="Below Avg"/>
    <s v="Profit"/>
    <n v="471"/>
  </r>
  <r>
    <n v="223"/>
    <x v="222"/>
    <n v="1033"/>
    <s v="Customer_110"/>
    <s v="Corporate"/>
    <s v="South"/>
    <s v="Furniture"/>
    <s v="Product_D"/>
    <n v="2167"/>
    <n v="2"/>
    <n v="0.21"/>
    <n v="1682"/>
    <x v="1"/>
    <n v="3423.86"/>
    <s v="Aug"/>
    <n v="2024"/>
    <s v="Q3"/>
    <n v="0.49125840425718337"/>
    <n v="910.14"/>
    <s v="Medium"/>
    <s v="New"/>
    <s v="Below Avg"/>
    <s v="Profit"/>
    <n v="379"/>
  </r>
  <r>
    <n v="224"/>
    <x v="223"/>
    <n v="1069"/>
    <s v="Customer_175"/>
    <s v="Corporate"/>
    <s v="North"/>
    <s v="Furniture"/>
    <s v="Product_C"/>
    <n v="4265"/>
    <n v="6"/>
    <n v="0.12"/>
    <n v="490"/>
    <x v="2"/>
    <n v="22519.200000000001"/>
    <s v="Aug"/>
    <n v="2024"/>
    <s v="Q3"/>
    <n v="2.1759209918647198E-2"/>
    <n v="3070.7999999999997"/>
    <s v="High"/>
    <s v="Repeat"/>
    <s v="Above Avg"/>
    <s v="Profit"/>
    <n v="63"/>
  </r>
  <r>
    <n v="225"/>
    <x v="224"/>
    <n v="1009"/>
    <s v="Customer_4"/>
    <s v="Consumer"/>
    <s v="West"/>
    <s v="Clothing"/>
    <s v="Product_C"/>
    <n v="851"/>
    <n v="1"/>
    <n v="0.14000000000000001"/>
    <n v="1419"/>
    <x v="0"/>
    <n v="731.86"/>
    <s v="Aug"/>
    <n v="2024"/>
    <s v="Q3"/>
    <n v="1.9388954171562867"/>
    <n v="119.14000000000001"/>
    <s v="Low"/>
    <s v="Repeat"/>
    <s v="Below Avg"/>
    <s v="Profit"/>
    <n v="484"/>
  </r>
  <r>
    <n v="226"/>
    <x v="225"/>
    <n v="1079"/>
    <s v="Customer_130"/>
    <s v="Corporate"/>
    <s v="South"/>
    <s v="Furniture"/>
    <s v="Product_B"/>
    <n v="2116"/>
    <n v="6"/>
    <n v="0.05"/>
    <n v="1516"/>
    <x v="0"/>
    <n v="12061.199999999901"/>
    <s v="Aug"/>
    <n v="2024"/>
    <s v="Q3"/>
    <n v="0.12569230259012473"/>
    <n v="634.80000000000007"/>
    <s v="High"/>
    <s v="Repeat"/>
    <s v="Above Avg"/>
    <s v="Profit"/>
    <n v="167"/>
  </r>
  <r>
    <n v="227"/>
    <x v="226"/>
    <n v="1028"/>
    <s v="Customer_110"/>
    <s v="Consumer"/>
    <s v="West"/>
    <s v="Furniture"/>
    <s v="Product_B"/>
    <n v="648"/>
    <n v="9"/>
    <n v="0.19"/>
    <n v="730"/>
    <x v="1"/>
    <n v="4723.92"/>
    <s v="Aug"/>
    <n v="2024"/>
    <s v="Q3"/>
    <n v="0.15453267625192638"/>
    <n v="1108.08"/>
    <s v="Medium"/>
    <s v="Repeat"/>
    <s v="Below Avg"/>
    <s v="Profit"/>
    <n v="331"/>
  </r>
  <r>
    <n v="228"/>
    <x v="227"/>
    <n v="1066"/>
    <s v="Customer_64"/>
    <s v="Consumer"/>
    <s v="West"/>
    <s v="Furniture"/>
    <s v="Product_A"/>
    <n v="2655"/>
    <n v="6"/>
    <n v="0.27"/>
    <n v="1403"/>
    <x v="2"/>
    <n v="11628.9"/>
    <s v="Aug"/>
    <n v="2024"/>
    <s v="Q3"/>
    <n v="0.12064769668670296"/>
    <n v="4301.1000000000004"/>
    <s v="High"/>
    <s v="Repeat"/>
    <s v="Above Avg"/>
    <s v="Profit"/>
    <n v="179"/>
  </r>
  <r>
    <n v="229"/>
    <x v="228"/>
    <n v="1010"/>
    <s v="Customer_29"/>
    <s v="Consumer"/>
    <s v="North"/>
    <s v="Clothing"/>
    <s v="Product_C"/>
    <n v="738"/>
    <n v="1"/>
    <n v="0.17"/>
    <n v="1581"/>
    <x v="0"/>
    <n v="612.54"/>
    <s v="Aug"/>
    <n v="2024"/>
    <s v="Q3"/>
    <n v="2.5810559310412384"/>
    <n v="125.46000000000001"/>
    <s v="Low"/>
    <s v="Repeat"/>
    <s v="Below Avg"/>
    <s v="Profit"/>
    <n v="486"/>
  </r>
  <r>
    <n v="230"/>
    <x v="229"/>
    <n v="1003"/>
    <s v="Customer_89"/>
    <s v="Consumer"/>
    <s v="East"/>
    <s v="Furniture"/>
    <s v="Product_B"/>
    <n v="1820"/>
    <n v="9"/>
    <n v="0.09"/>
    <n v="631"/>
    <x v="0"/>
    <n v="14905.8"/>
    <s v="Aug"/>
    <n v="2024"/>
    <s v="Q3"/>
    <n v="4.2332514859987389E-2"/>
    <n v="1474.2"/>
    <s v="High"/>
    <s v="Repeat"/>
    <s v="Above Avg"/>
    <s v="Profit"/>
    <n v="141"/>
  </r>
  <r>
    <n v="231"/>
    <x v="230"/>
    <n v="1048"/>
    <s v="Customer_95"/>
    <s v="Consumer"/>
    <s v="North"/>
    <s v="Electronics"/>
    <s v="Product_C"/>
    <n v="3916"/>
    <n v="7"/>
    <n v="0.12"/>
    <n v="1533"/>
    <x v="0"/>
    <n v="24122.560000000001"/>
    <s v="Aug"/>
    <n v="2024"/>
    <s v="Q3"/>
    <n v="6.3550468938620111E-2"/>
    <n v="3289.44"/>
    <s v="High"/>
    <s v="Repeat"/>
    <s v="Above Avg"/>
    <s v="Profit"/>
    <n v="51"/>
  </r>
  <r>
    <n v="232"/>
    <x v="231"/>
    <n v="1003"/>
    <s v="Customer_175"/>
    <s v="Consumer"/>
    <s v="West"/>
    <s v="Clothing"/>
    <s v="Product_D"/>
    <n v="3888"/>
    <n v="5"/>
    <n v="7.0000000000000007E-2"/>
    <n v="1032"/>
    <x v="1"/>
    <n v="18079.199999999899"/>
    <s v="Aug"/>
    <n v="2024"/>
    <s v="Q3"/>
    <n v="5.7082171777512597E-2"/>
    <n v="1360.8000000000002"/>
    <s v="High"/>
    <s v="Repeat"/>
    <s v="Above Avg"/>
    <s v="Profit"/>
    <n v="91"/>
  </r>
  <r>
    <n v="233"/>
    <x v="232"/>
    <n v="1023"/>
    <s v="Customer_15"/>
    <s v="Consumer"/>
    <s v="North"/>
    <s v="Clothing"/>
    <s v="Product_B"/>
    <n v="1813"/>
    <n v="7"/>
    <n v="0.13"/>
    <n v="937"/>
    <x v="2"/>
    <n v="11041.17"/>
    <s v="Aug"/>
    <n v="2024"/>
    <s v="Q3"/>
    <n v="8.4864194646038421E-2"/>
    <n v="1649.8300000000002"/>
    <s v="High"/>
    <s v="Repeat"/>
    <s v="Above Avg"/>
    <s v="Profit"/>
    <n v="189"/>
  </r>
  <r>
    <n v="234"/>
    <x v="233"/>
    <n v="1091"/>
    <s v="Customer_166"/>
    <s v="Corporate"/>
    <s v="West"/>
    <s v="Furniture"/>
    <s v="Product_C"/>
    <n v="4283"/>
    <n v="6"/>
    <n v="0.15"/>
    <n v="436"/>
    <x v="2"/>
    <n v="21843.3"/>
    <s v="Aug"/>
    <n v="2024"/>
    <s v="Q3"/>
    <n v="1.9960353975818673E-2"/>
    <n v="3854.7"/>
    <s v="High"/>
    <s v="Repeat"/>
    <s v="Above Avg"/>
    <s v="Profit"/>
    <n v="68"/>
  </r>
  <r>
    <n v="235"/>
    <x v="234"/>
    <n v="1055"/>
    <s v="Customer_97"/>
    <s v="Corporate"/>
    <s v="North"/>
    <s v="Clothing"/>
    <s v="Product_C"/>
    <n v="4730"/>
    <n v="8"/>
    <n v="0.28000000000000003"/>
    <n v="1356"/>
    <x v="1"/>
    <n v="27244.799999999999"/>
    <s v="Aug"/>
    <n v="2024"/>
    <s v="Q3"/>
    <n v="4.9770965468639891E-2"/>
    <n v="10595.2"/>
    <s v="High"/>
    <s v="Repeat"/>
    <s v="Above Avg"/>
    <s v="Profit"/>
    <n v="34"/>
  </r>
  <r>
    <n v="236"/>
    <x v="235"/>
    <n v="1034"/>
    <s v="Customer_177"/>
    <s v="Consumer"/>
    <s v="West"/>
    <s v="Furniture"/>
    <s v="Product_C"/>
    <n v="4044"/>
    <n v="8"/>
    <n v="0.13"/>
    <n v="-288"/>
    <x v="0"/>
    <n v="28146.240000000002"/>
    <s v="Aug"/>
    <n v="2024"/>
    <s v="Q3"/>
    <n v="-1.0232272587741736E-2"/>
    <n v="4205.76"/>
    <s v="High"/>
    <s v="Repeat"/>
    <s v="Above Avg"/>
    <s v="Loss"/>
    <n v="29"/>
  </r>
  <r>
    <n v="237"/>
    <x v="236"/>
    <n v="1037"/>
    <s v="Customer_40"/>
    <s v="Corporate"/>
    <s v="North"/>
    <s v="Electronics"/>
    <s v="Product_D"/>
    <n v="1901"/>
    <n v="8"/>
    <n v="0.26"/>
    <n v="1933"/>
    <x v="0"/>
    <n v="11253.92"/>
    <s v="Aug"/>
    <n v="2024"/>
    <s v="Q3"/>
    <n v="0.17176237257773291"/>
    <n v="3954.08"/>
    <s v="High"/>
    <s v="Repeat"/>
    <s v="Above Avg"/>
    <s v="Profit"/>
    <n v="186"/>
  </r>
  <r>
    <n v="238"/>
    <x v="237"/>
    <n v="1049"/>
    <s v="Customer_144"/>
    <s v="Consumer"/>
    <s v="South"/>
    <s v="Electronics"/>
    <s v="Product_A"/>
    <n v="4270"/>
    <n v="6"/>
    <n v="0.05"/>
    <n v="1845"/>
    <x v="1"/>
    <n v="24339"/>
    <s v="Aug"/>
    <n v="2024"/>
    <s v="Q3"/>
    <n v="7.5804264760261308E-2"/>
    <n v="1281"/>
    <s v="High"/>
    <s v="Repeat"/>
    <s v="Above Avg"/>
    <s v="Profit"/>
    <n v="48"/>
  </r>
  <r>
    <n v="239"/>
    <x v="238"/>
    <n v="1087"/>
    <s v="Customer_102"/>
    <s v="Corporate"/>
    <s v="North"/>
    <s v="Furniture"/>
    <s v="Product_B"/>
    <n v="3460"/>
    <n v="2"/>
    <n v="0.16"/>
    <n v="898"/>
    <x v="0"/>
    <n v="5812.8"/>
    <s v="Aug"/>
    <n v="2024"/>
    <s v="Q3"/>
    <n v="0.15448665015139004"/>
    <n v="1107.2"/>
    <s v="High"/>
    <s v="Repeat"/>
    <s v="Below Avg"/>
    <s v="Profit"/>
    <n v="300"/>
  </r>
  <r>
    <n v="240"/>
    <x v="239"/>
    <n v="1085"/>
    <s v="Customer_108"/>
    <s v="Consumer"/>
    <s v="East"/>
    <s v="Furniture"/>
    <s v="Product_C"/>
    <n v="4062"/>
    <n v="1"/>
    <n v="0.18"/>
    <n v="630"/>
    <x v="1"/>
    <n v="3330.84"/>
    <s v="Aug"/>
    <n v="2024"/>
    <s v="Q3"/>
    <n v="0.18914147782541341"/>
    <n v="731.16"/>
    <s v="Medium"/>
    <s v="Repeat"/>
    <s v="Below Avg"/>
    <s v="Profit"/>
    <n v="385"/>
  </r>
  <r>
    <n v="241"/>
    <x v="240"/>
    <n v="1025"/>
    <s v="Customer_34"/>
    <s v="Corporate"/>
    <s v="South"/>
    <s v="Furniture"/>
    <s v="Product_C"/>
    <n v="3312"/>
    <n v="6"/>
    <n v="0.18"/>
    <n v="1603"/>
    <x v="0"/>
    <n v="16295.04"/>
    <s v="Aug"/>
    <n v="2024"/>
    <s v="Q3"/>
    <n v="9.8373492792898934E-2"/>
    <n v="3576.96"/>
    <s v="High"/>
    <s v="Repeat"/>
    <s v="Above Avg"/>
    <s v="Profit"/>
    <n v="119"/>
  </r>
  <r>
    <n v="242"/>
    <x v="241"/>
    <n v="1017"/>
    <s v="Customer_127"/>
    <s v="Corporate"/>
    <s v="South"/>
    <s v="Electronics"/>
    <s v="Product_B"/>
    <n v="2687"/>
    <n v="2"/>
    <n v="0.15"/>
    <n v="564"/>
    <x v="0"/>
    <n v="4567.8999999999996"/>
    <s v="Aug"/>
    <n v="2024"/>
    <s v="Q3"/>
    <n v="0.12347030364062261"/>
    <n v="806.1"/>
    <s v="Medium"/>
    <s v="Repeat"/>
    <s v="Below Avg"/>
    <s v="Profit"/>
    <n v="336"/>
  </r>
  <r>
    <n v="243"/>
    <x v="242"/>
    <n v="1058"/>
    <s v="Customer_134"/>
    <s v="Corporate"/>
    <s v="North"/>
    <s v="Furniture"/>
    <s v="Product_B"/>
    <n v="4904"/>
    <n v="7"/>
    <n v="0.23"/>
    <n v="984"/>
    <x v="1"/>
    <n v="26432.560000000001"/>
    <s v="Aug"/>
    <n v="2024"/>
    <s v="Q3"/>
    <n v="3.7226814201878289E-2"/>
    <n v="7895.4400000000005"/>
    <s v="High"/>
    <s v="Repeat"/>
    <s v="Above Avg"/>
    <s v="Profit"/>
    <n v="38"/>
  </r>
  <r>
    <n v="244"/>
    <x v="243"/>
    <n v="1066"/>
    <s v="Customer_103"/>
    <s v="Consumer"/>
    <s v="North"/>
    <s v="Electronics"/>
    <s v="Product_D"/>
    <n v="1799"/>
    <n v="2"/>
    <n v="0.05"/>
    <n v="241"/>
    <x v="1"/>
    <n v="3418.1"/>
    <s v="Aug"/>
    <n v="2024"/>
    <s v="Q3"/>
    <n v="7.0507006816652534E-2"/>
    <n v="179.9"/>
    <s v="Medium"/>
    <s v="Repeat"/>
    <s v="Below Avg"/>
    <s v="Profit"/>
    <n v="380"/>
  </r>
  <r>
    <n v="245"/>
    <x v="244"/>
    <n v="1045"/>
    <s v="Customer_87"/>
    <s v="Consumer"/>
    <s v="West"/>
    <s v="Clothing"/>
    <s v="Product_A"/>
    <n v="247"/>
    <n v="7"/>
    <n v="0.02"/>
    <n v="452"/>
    <x v="0"/>
    <n v="1694.42"/>
    <s v="Sep"/>
    <n v="2024"/>
    <s v="Q3"/>
    <n v="0.26675794667201758"/>
    <n v="34.58"/>
    <s v="Low"/>
    <s v="Repeat"/>
    <s v="Below Avg"/>
    <s v="Profit"/>
    <n v="447"/>
  </r>
  <r>
    <n v="246"/>
    <x v="245"/>
    <n v="1010"/>
    <s v="Customer_181"/>
    <s v="Corporate"/>
    <s v="East"/>
    <s v="Furniture"/>
    <s v="Product_C"/>
    <n v="3111"/>
    <n v="1"/>
    <n v="0.04"/>
    <n v="120"/>
    <x v="1"/>
    <n v="2986.56"/>
    <s v="Sep"/>
    <n v="2024"/>
    <s v="Q3"/>
    <n v="4.0180006428801027E-2"/>
    <n v="124.44"/>
    <s v="Medium"/>
    <s v="Repeat"/>
    <s v="Below Avg"/>
    <s v="Profit"/>
    <n v="394"/>
  </r>
  <r>
    <n v="247"/>
    <x v="246"/>
    <n v="1008"/>
    <s v="Customer_114"/>
    <s v="Corporate"/>
    <s v="North"/>
    <s v="Electronics"/>
    <s v="Product_B"/>
    <n v="1629"/>
    <n v="6"/>
    <n v="0.17"/>
    <n v="1561"/>
    <x v="0"/>
    <n v="8112.4199999999901"/>
    <s v="Sep"/>
    <n v="2024"/>
    <s v="Q3"/>
    <n v="0.19242100384348959"/>
    <n v="1661.5800000000002"/>
    <s v="High"/>
    <s v="Repeat"/>
    <s v="Below Avg"/>
    <s v="Profit"/>
    <n v="247"/>
  </r>
  <r>
    <n v="248"/>
    <x v="247"/>
    <n v="1096"/>
    <s v="Customer_149"/>
    <s v="Corporate"/>
    <s v="East"/>
    <s v="Electronics"/>
    <s v="Product_A"/>
    <n v="4607"/>
    <n v="8"/>
    <n v="7.0000000000000007E-2"/>
    <n v="746"/>
    <x v="0"/>
    <n v="34276.0799999999"/>
    <s v="Sep"/>
    <n v="2024"/>
    <s v="Q3"/>
    <n v="2.1764449143542731E-2"/>
    <n v="2579.92"/>
    <s v="High"/>
    <s v="Repeat"/>
    <s v="Above Avg"/>
    <s v="Profit"/>
    <n v="13"/>
  </r>
  <r>
    <n v="249"/>
    <x v="248"/>
    <n v="1025"/>
    <s v="Customer_99"/>
    <s v="Corporate"/>
    <s v="West"/>
    <s v="Clothing"/>
    <s v="Product_A"/>
    <n v="217"/>
    <n v="4"/>
    <n v="0.22"/>
    <n v="-1"/>
    <x v="2"/>
    <n v="677.04"/>
    <s v="Sep"/>
    <n v="2024"/>
    <s v="Q3"/>
    <n v="-1.4770176060498641E-3"/>
    <n v="190.96"/>
    <s v="Low"/>
    <s v="Repeat"/>
    <s v="Below Avg"/>
    <s v="Loss"/>
    <n v="485"/>
  </r>
  <r>
    <n v="250"/>
    <x v="249"/>
    <n v="1099"/>
    <s v="Customer_157"/>
    <s v="Corporate"/>
    <s v="East"/>
    <s v="Electronics"/>
    <s v="Product_A"/>
    <n v="4979"/>
    <n v="2"/>
    <n v="0.02"/>
    <n v="1538"/>
    <x v="2"/>
    <n v="9758.84"/>
    <s v="Sep"/>
    <n v="2024"/>
    <s v="Q3"/>
    <n v="0.15760069844366748"/>
    <n v="199.16"/>
    <s v="High"/>
    <s v="Repeat"/>
    <s v="Below Avg"/>
    <s v="Profit"/>
    <n v="208"/>
  </r>
  <r>
    <n v="251"/>
    <x v="250"/>
    <n v="1067"/>
    <s v="Customer_2"/>
    <s v="Consumer"/>
    <s v="South"/>
    <s v="Furniture"/>
    <s v="Product_A"/>
    <n v="586"/>
    <n v="9"/>
    <n v="0.27"/>
    <n v="781"/>
    <x v="2"/>
    <n v="3850.02"/>
    <s v="Sep"/>
    <n v="2024"/>
    <s v="Q3"/>
    <n v="0.20285608905927763"/>
    <n v="1423.98"/>
    <s v="Medium"/>
    <s v="Repeat"/>
    <s v="Below Avg"/>
    <s v="Profit"/>
    <n v="360"/>
  </r>
  <r>
    <n v="252"/>
    <x v="251"/>
    <n v="1065"/>
    <s v="Customer_97"/>
    <s v="Consumer"/>
    <s v="West"/>
    <s v="Furniture"/>
    <s v="Product_C"/>
    <n v="1335"/>
    <n v="6"/>
    <n v="0.28999999999999998"/>
    <n v="598"/>
    <x v="1"/>
    <n v="5687.0999999999904"/>
    <s v="Sep"/>
    <n v="2024"/>
    <s v="Q3"/>
    <n v="0.10515025232543845"/>
    <n v="2322.8999999999996"/>
    <s v="High"/>
    <s v="Repeat"/>
    <s v="Below Avg"/>
    <s v="Profit"/>
    <n v="304"/>
  </r>
  <r>
    <n v="253"/>
    <x v="252"/>
    <n v="1007"/>
    <s v="Customer_26"/>
    <s v="Consumer"/>
    <s v="South"/>
    <s v="Electronics"/>
    <s v="Product_A"/>
    <n v="2947"/>
    <n v="2"/>
    <n v="0.24"/>
    <n v="48"/>
    <x v="2"/>
    <n v="4479.4399999999996"/>
    <s v="Sep"/>
    <n v="2024"/>
    <s v="Q3"/>
    <n v="1.0715625167431644E-2"/>
    <n v="1414.56"/>
    <s v="Medium"/>
    <s v="Repeat"/>
    <s v="Below Avg"/>
    <s v="Profit"/>
    <n v="339"/>
  </r>
  <r>
    <n v="254"/>
    <x v="253"/>
    <n v="1070"/>
    <s v="Customer_44"/>
    <s v="Corporate"/>
    <s v="East"/>
    <s v="Electronics"/>
    <s v="Product_C"/>
    <n v="1121"/>
    <n v="5"/>
    <n v="0.26"/>
    <n v="1771"/>
    <x v="2"/>
    <n v="4147.7"/>
    <s v="Sep"/>
    <n v="2024"/>
    <s v="Q3"/>
    <n v="0.42698362948139934"/>
    <n v="1457.3"/>
    <s v="Medium"/>
    <s v="Repeat"/>
    <s v="Below Avg"/>
    <s v="Profit"/>
    <n v="347"/>
  </r>
  <r>
    <n v="255"/>
    <x v="254"/>
    <n v="1099"/>
    <s v="Customer_18"/>
    <s v="Consumer"/>
    <s v="South"/>
    <s v="Electronics"/>
    <s v="Product_B"/>
    <n v="2319"/>
    <n v="7"/>
    <n v="0.11"/>
    <n v="-105"/>
    <x v="0"/>
    <n v="14447.37"/>
    <s v="Sep"/>
    <n v="2024"/>
    <s v="Q3"/>
    <n v="-7.2677587685509538E-3"/>
    <n v="1785.63"/>
    <s v="High"/>
    <s v="Repeat"/>
    <s v="Above Avg"/>
    <s v="Loss"/>
    <n v="143"/>
  </r>
  <r>
    <n v="256"/>
    <x v="255"/>
    <n v="1097"/>
    <s v="Customer_98"/>
    <s v="Corporate"/>
    <s v="South"/>
    <s v="Clothing"/>
    <s v="Product_C"/>
    <n v="3265"/>
    <n v="3"/>
    <n v="0.05"/>
    <n v="1937"/>
    <x v="1"/>
    <n v="9305.25"/>
    <s v="Sep"/>
    <n v="2024"/>
    <s v="Q3"/>
    <n v="0.20816205905268531"/>
    <n v="489.75"/>
    <s v="High"/>
    <s v="Repeat"/>
    <s v="Below Avg"/>
    <s v="Profit"/>
    <n v="225"/>
  </r>
  <r>
    <n v="257"/>
    <x v="256"/>
    <n v="1039"/>
    <s v="Customer_30"/>
    <s v="Corporate"/>
    <s v="West"/>
    <s v="Furniture"/>
    <s v="Product_A"/>
    <n v="3199"/>
    <n v="1"/>
    <n v="0.06"/>
    <n v="1657"/>
    <x v="1"/>
    <n v="3007.06"/>
    <s v="Sep"/>
    <n v="2024"/>
    <s v="Q3"/>
    <n v="0.55103656062732376"/>
    <n v="191.94"/>
    <s v="Medium"/>
    <s v="Repeat"/>
    <s v="Below Avg"/>
    <s v="Profit"/>
    <n v="392"/>
  </r>
  <r>
    <n v="258"/>
    <x v="257"/>
    <n v="1082"/>
    <s v="Customer_108"/>
    <s v="Corporate"/>
    <s v="South"/>
    <s v="Electronics"/>
    <s v="Product_B"/>
    <n v="316"/>
    <n v="5"/>
    <n v="0.15"/>
    <n v="897"/>
    <x v="0"/>
    <n v="1343"/>
    <s v="Sep"/>
    <n v="2024"/>
    <s v="Q3"/>
    <n v="0.66790766939687263"/>
    <n v="237"/>
    <s v="Low"/>
    <s v="Repeat"/>
    <s v="Below Avg"/>
    <s v="Profit"/>
    <n v="465"/>
  </r>
  <r>
    <n v="259"/>
    <x v="258"/>
    <n v="1092"/>
    <s v="Customer_23"/>
    <s v="Consumer"/>
    <s v="South"/>
    <s v="Furniture"/>
    <s v="Product_C"/>
    <n v="4046"/>
    <n v="5"/>
    <n v="0.2"/>
    <n v="-246"/>
    <x v="2"/>
    <n v="16184"/>
    <s v="Sep"/>
    <n v="2024"/>
    <s v="Q3"/>
    <n v="-1.5200197726149283E-2"/>
    <n v="4046"/>
    <s v="High"/>
    <s v="Repeat"/>
    <s v="Above Avg"/>
    <s v="Loss"/>
    <n v="122"/>
  </r>
  <r>
    <n v="260"/>
    <x v="259"/>
    <n v="1038"/>
    <s v="Customer_48"/>
    <s v="Corporate"/>
    <s v="West"/>
    <s v="Clothing"/>
    <s v="Product_C"/>
    <n v="2805"/>
    <n v="7"/>
    <n v="0.17"/>
    <n v="1777"/>
    <x v="1"/>
    <n v="16297.05"/>
    <s v="Sep"/>
    <n v="2024"/>
    <s v="Q3"/>
    <n v="0.10903813880426212"/>
    <n v="3337.9500000000003"/>
    <s v="High"/>
    <s v="Repeat"/>
    <s v="Above Avg"/>
    <s v="Profit"/>
    <n v="118"/>
  </r>
  <r>
    <n v="261"/>
    <x v="260"/>
    <n v="1005"/>
    <s v="Customer_183"/>
    <s v="Corporate"/>
    <s v="South"/>
    <s v="Clothing"/>
    <s v="Product_B"/>
    <n v="1983"/>
    <n v="6"/>
    <n v="0.03"/>
    <n v="722"/>
    <x v="0"/>
    <n v="11541.06"/>
    <s v="Sep"/>
    <n v="2024"/>
    <s v="Q3"/>
    <n v="6.2559244991361285E-2"/>
    <n v="356.94"/>
    <s v="High"/>
    <s v="Repeat"/>
    <s v="Above Avg"/>
    <s v="Profit"/>
    <n v="180"/>
  </r>
  <r>
    <n v="262"/>
    <x v="261"/>
    <n v="1009"/>
    <s v="Customer_127"/>
    <s v="Corporate"/>
    <s v="East"/>
    <s v="Furniture"/>
    <s v="Product_C"/>
    <n v="1606"/>
    <n v="1"/>
    <n v="0.22"/>
    <n v="1195"/>
    <x v="2"/>
    <n v="1252.68"/>
    <s v="Sep"/>
    <n v="2024"/>
    <s v="Q3"/>
    <n v="0.95395472107800872"/>
    <n v="353.32"/>
    <s v="Low"/>
    <s v="Repeat"/>
    <s v="Below Avg"/>
    <s v="Profit"/>
    <n v="468"/>
  </r>
  <r>
    <n v="263"/>
    <x v="262"/>
    <n v="1040"/>
    <s v="Customer_23"/>
    <s v="Corporate"/>
    <s v="South"/>
    <s v="Clothing"/>
    <s v="Product_D"/>
    <n v="4264"/>
    <n v="1"/>
    <n v="0.24"/>
    <n v="-20"/>
    <x v="0"/>
    <n v="3240.64"/>
    <s v="Sep"/>
    <n v="2024"/>
    <s v="Q3"/>
    <n v="-6.1716204206576485E-3"/>
    <n v="1023.36"/>
    <s v="Medium"/>
    <s v="Repeat"/>
    <s v="Below Avg"/>
    <s v="Loss"/>
    <n v="386"/>
  </r>
  <r>
    <n v="264"/>
    <x v="263"/>
    <n v="1068"/>
    <s v="Customer_40"/>
    <s v="Corporate"/>
    <s v="East"/>
    <s v="Furniture"/>
    <s v="Product_A"/>
    <n v="2397"/>
    <n v="7"/>
    <n v="0.01"/>
    <n v="-217"/>
    <x v="2"/>
    <n v="16611.21"/>
    <s v="Sep"/>
    <n v="2024"/>
    <s v="Q3"/>
    <n v="-1.3063467381364754E-2"/>
    <n v="167.79"/>
    <s v="High"/>
    <s v="Repeat"/>
    <s v="Above Avg"/>
    <s v="Loss"/>
    <n v="113"/>
  </r>
  <r>
    <n v="265"/>
    <x v="264"/>
    <n v="1087"/>
    <s v="Customer_64"/>
    <s v="Corporate"/>
    <s v="West"/>
    <s v="Furniture"/>
    <s v="Product_B"/>
    <n v="1811"/>
    <n v="2"/>
    <n v="0.14000000000000001"/>
    <n v="1730"/>
    <x v="0"/>
    <n v="3114.92"/>
    <s v="Sep"/>
    <n v="2024"/>
    <s v="Q3"/>
    <n v="0.55539147072798012"/>
    <n v="507.08000000000004"/>
    <s v="Medium"/>
    <s v="Repeat"/>
    <s v="Below Avg"/>
    <s v="Profit"/>
    <n v="389"/>
  </r>
  <r>
    <n v="266"/>
    <x v="265"/>
    <n v="1021"/>
    <s v="Customer_72"/>
    <s v="Corporate"/>
    <s v="West"/>
    <s v="Electronics"/>
    <s v="Product_A"/>
    <n v="1107"/>
    <n v="9"/>
    <n v="0.13"/>
    <n v="655"/>
    <x v="1"/>
    <n v="8667.81"/>
    <s v="Sep"/>
    <n v="2024"/>
    <s v="Q3"/>
    <n v="7.5566954051830865E-2"/>
    <n v="1295.19"/>
    <s v="High"/>
    <s v="Repeat"/>
    <s v="Below Avg"/>
    <s v="Profit"/>
    <n v="235"/>
  </r>
  <r>
    <n v="267"/>
    <x v="266"/>
    <n v="1089"/>
    <s v="Customer_142"/>
    <s v="Consumer"/>
    <s v="South"/>
    <s v="Electronics"/>
    <s v="Product_D"/>
    <n v="2696"/>
    <n v="9"/>
    <n v="0.02"/>
    <n v="445"/>
    <x v="1"/>
    <n v="23778.720000000001"/>
    <s v="Sep"/>
    <n v="2024"/>
    <s v="Q3"/>
    <n v="1.8714211698527085E-2"/>
    <n v="485.28000000000003"/>
    <s v="High"/>
    <s v="Repeat"/>
    <s v="Above Avg"/>
    <s v="Profit"/>
    <n v="53"/>
  </r>
  <r>
    <n v="268"/>
    <x v="267"/>
    <n v="1050"/>
    <s v="Customer_124"/>
    <s v="Corporate"/>
    <s v="West"/>
    <s v="Furniture"/>
    <s v="Product_B"/>
    <n v="3486"/>
    <n v="4"/>
    <n v="0.05"/>
    <n v="1943"/>
    <x v="2"/>
    <n v="13246.8"/>
    <s v="Sep"/>
    <n v="2024"/>
    <s v="Q3"/>
    <n v="0.14667693329709819"/>
    <n v="697.2"/>
    <s v="High"/>
    <s v="Repeat"/>
    <s v="Above Avg"/>
    <s v="Profit"/>
    <n v="158"/>
  </r>
  <r>
    <n v="269"/>
    <x v="268"/>
    <n v="1036"/>
    <s v="Customer_110"/>
    <s v="Corporate"/>
    <s v="West"/>
    <s v="Electronics"/>
    <s v="Product_A"/>
    <n v="1882"/>
    <n v="3"/>
    <n v="0.24"/>
    <n v="1096"/>
    <x v="2"/>
    <n v="4290.96"/>
    <s v="Sep"/>
    <n v="2024"/>
    <s v="Q3"/>
    <n v="0.25542069839849357"/>
    <n v="1355.04"/>
    <s v="Medium"/>
    <s v="Repeat"/>
    <s v="Below Avg"/>
    <s v="Profit"/>
    <n v="342"/>
  </r>
  <r>
    <n v="270"/>
    <x v="269"/>
    <n v="1044"/>
    <s v="Customer_78"/>
    <s v="Corporate"/>
    <s v="North"/>
    <s v="Furniture"/>
    <s v="Product_C"/>
    <n v="4244"/>
    <n v="8"/>
    <n v="0.18"/>
    <n v="1997"/>
    <x v="0"/>
    <n v="27840.639999999999"/>
    <s v="Sep"/>
    <n v="2024"/>
    <s v="Q3"/>
    <n v="7.1729672881083201E-2"/>
    <n v="6111.36"/>
    <s v="High"/>
    <s v="Repeat"/>
    <s v="Above Avg"/>
    <s v="Profit"/>
    <n v="33"/>
  </r>
  <r>
    <n v="271"/>
    <x v="270"/>
    <n v="1092"/>
    <s v="Customer_2"/>
    <s v="Consumer"/>
    <s v="East"/>
    <s v="Clothing"/>
    <s v="Product_D"/>
    <n v="2461"/>
    <n v="4"/>
    <n v="7.0000000000000007E-2"/>
    <n v="1327"/>
    <x v="1"/>
    <n v="9154.92"/>
    <s v="Sep"/>
    <n v="2024"/>
    <s v="Q3"/>
    <n v="0.14494938240858468"/>
    <n v="689.08"/>
    <s v="High"/>
    <s v="Repeat"/>
    <s v="Below Avg"/>
    <s v="Profit"/>
    <n v="228"/>
  </r>
  <r>
    <n v="272"/>
    <x v="271"/>
    <n v="1099"/>
    <s v="Customer_122"/>
    <s v="Corporate"/>
    <s v="South"/>
    <s v="Electronics"/>
    <s v="Product_B"/>
    <n v="4549"/>
    <n v="3"/>
    <n v="0.14000000000000001"/>
    <n v="1353"/>
    <x v="2"/>
    <n v="11736.42"/>
    <s v="Sep"/>
    <n v="2024"/>
    <s v="Q3"/>
    <n v="0.11528217292837169"/>
    <n v="1910.5800000000002"/>
    <s v="High"/>
    <s v="Repeat"/>
    <s v="Above Avg"/>
    <s v="Profit"/>
    <n v="176"/>
  </r>
  <r>
    <n v="273"/>
    <x v="272"/>
    <n v="1083"/>
    <s v="Customer_4"/>
    <s v="Corporate"/>
    <s v="South"/>
    <s v="Furniture"/>
    <s v="Product_D"/>
    <n v="1134"/>
    <n v="3"/>
    <n v="0.26"/>
    <n v="1911"/>
    <x v="0"/>
    <n v="2517.48"/>
    <s v="Sep"/>
    <n v="2024"/>
    <s v="Q3"/>
    <n v="0.75909242575909242"/>
    <n v="884.52"/>
    <s v="Medium"/>
    <s v="Repeat"/>
    <s v="Below Avg"/>
    <s v="Profit"/>
    <n v="409"/>
  </r>
  <r>
    <n v="274"/>
    <x v="273"/>
    <n v="1081"/>
    <s v="Customer_100"/>
    <s v="Consumer"/>
    <s v="West"/>
    <s v="Electronics"/>
    <s v="Product_C"/>
    <n v="3921"/>
    <n v="3"/>
    <n v="0.03"/>
    <n v="-471"/>
    <x v="2"/>
    <n v="11410.11"/>
    <s v="Sep"/>
    <n v="2024"/>
    <s v="Q3"/>
    <n v="-4.1279181357585508E-2"/>
    <n v="352.89"/>
    <s v="High"/>
    <s v="Repeat"/>
    <s v="Above Avg"/>
    <s v="Loss"/>
    <n v="182"/>
  </r>
  <r>
    <n v="275"/>
    <x v="274"/>
    <n v="1061"/>
    <s v="Customer_9"/>
    <s v="Consumer"/>
    <s v="North"/>
    <s v="Electronics"/>
    <s v="Product_C"/>
    <n v="3876"/>
    <n v="1"/>
    <n v="0.28999999999999998"/>
    <n v="71"/>
    <x v="0"/>
    <n v="2751.96"/>
    <s v="Oct"/>
    <n v="2024"/>
    <s v="Q4"/>
    <n v="2.5799793601651185E-2"/>
    <n v="1124.04"/>
    <s v="Medium"/>
    <s v="Repeat"/>
    <s v="Below Avg"/>
    <s v="Profit"/>
    <n v="401"/>
  </r>
  <r>
    <n v="276"/>
    <x v="275"/>
    <n v="1014"/>
    <s v="Customer_16"/>
    <s v="Corporate"/>
    <s v="West"/>
    <s v="Furniture"/>
    <s v="Product_B"/>
    <n v="4808"/>
    <n v="5"/>
    <n v="0.04"/>
    <n v="860"/>
    <x v="2"/>
    <n v="23078.3999999999"/>
    <s v="Oct"/>
    <n v="2024"/>
    <s v="Q4"/>
    <n v="3.7264281752634659E-2"/>
    <n v="961.6"/>
    <s v="High"/>
    <s v="Repeat"/>
    <s v="Above Avg"/>
    <s v="Profit"/>
    <n v="58"/>
  </r>
  <r>
    <n v="277"/>
    <x v="276"/>
    <n v="1078"/>
    <s v="Customer_96"/>
    <s v="Consumer"/>
    <s v="South"/>
    <s v="Furniture"/>
    <s v="Product_B"/>
    <n v="1839"/>
    <n v="2"/>
    <n v="0.09"/>
    <n v="1136"/>
    <x v="2"/>
    <n v="3346.98"/>
    <s v="Oct"/>
    <n v="2024"/>
    <s v="Q4"/>
    <n v="0.33941045360294952"/>
    <n v="331.02"/>
    <s v="Medium"/>
    <s v="Repeat"/>
    <s v="Below Avg"/>
    <s v="Profit"/>
    <n v="384"/>
  </r>
  <r>
    <n v="278"/>
    <x v="277"/>
    <n v="1023"/>
    <s v="Customer_160"/>
    <s v="Consumer"/>
    <s v="West"/>
    <s v="Furniture"/>
    <s v="Product_D"/>
    <n v="535"/>
    <n v="7"/>
    <n v="0.05"/>
    <n v="-213"/>
    <x v="2"/>
    <n v="3557.75"/>
    <s v="Oct"/>
    <n v="2024"/>
    <s v="Q4"/>
    <n v="-5.9869299416766213E-2"/>
    <n v="187.25"/>
    <s v="Medium"/>
    <s v="Repeat"/>
    <s v="Below Avg"/>
    <s v="Loss"/>
    <n v="374"/>
  </r>
  <r>
    <n v="279"/>
    <x v="278"/>
    <n v="1062"/>
    <s v="Customer_27"/>
    <s v="Corporate"/>
    <s v="North"/>
    <s v="Electronics"/>
    <s v="Product_B"/>
    <n v="592"/>
    <n v="4"/>
    <n v="0.14000000000000001"/>
    <n v="549"/>
    <x v="2"/>
    <n v="2036.48"/>
    <s v="Oct"/>
    <n v="2024"/>
    <s v="Q4"/>
    <n v="0.26958280955373981"/>
    <n v="331.52000000000004"/>
    <s v="Medium"/>
    <s v="Repeat"/>
    <s v="Below Avg"/>
    <s v="Profit"/>
    <n v="428"/>
  </r>
  <r>
    <n v="280"/>
    <x v="279"/>
    <n v="1028"/>
    <s v="Customer_15"/>
    <s v="Consumer"/>
    <s v="West"/>
    <s v="Electronics"/>
    <s v="Product_A"/>
    <n v="4041"/>
    <n v="2"/>
    <n v="0.09"/>
    <n v="-358"/>
    <x v="0"/>
    <n v="7354.62"/>
    <s v="Oct"/>
    <n v="2024"/>
    <s v="Q4"/>
    <n v="-4.8676886093367164E-2"/>
    <n v="727.38"/>
    <s v="High"/>
    <s v="Repeat"/>
    <s v="Below Avg"/>
    <s v="Loss"/>
    <n v="267"/>
  </r>
  <r>
    <n v="281"/>
    <x v="280"/>
    <n v="1080"/>
    <s v="Customer_68"/>
    <s v="Consumer"/>
    <s v="North"/>
    <s v="Furniture"/>
    <s v="Product_D"/>
    <n v="2216"/>
    <n v="8"/>
    <n v="0.3"/>
    <n v="618"/>
    <x v="2"/>
    <n v="12409.5999999999"/>
    <s v="Oct"/>
    <n v="2024"/>
    <s v="Q4"/>
    <n v="4.9800154718927681E-2"/>
    <n v="5318.4"/>
    <s v="High"/>
    <s v="Repeat"/>
    <s v="Above Avg"/>
    <s v="Profit"/>
    <n v="164"/>
  </r>
  <r>
    <n v="282"/>
    <x v="281"/>
    <n v="1024"/>
    <s v="Customer_25"/>
    <s v="Consumer"/>
    <s v="North"/>
    <s v="Furniture"/>
    <s v="Product_A"/>
    <n v="2168"/>
    <n v="8"/>
    <n v="0"/>
    <n v="853"/>
    <x v="1"/>
    <n v="17344"/>
    <s v="Oct"/>
    <n v="2024"/>
    <s v="Q4"/>
    <n v="4.9181273062730631E-2"/>
    <n v="0"/>
    <s v="High"/>
    <s v="Repeat"/>
    <s v="Above Avg"/>
    <s v="Profit"/>
    <n v="101"/>
  </r>
  <r>
    <n v="283"/>
    <x v="282"/>
    <n v="1015"/>
    <s v="Customer_15"/>
    <s v="Consumer"/>
    <s v="West"/>
    <s v="Clothing"/>
    <s v="Product_D"/>
    <n v="1828"/>
    <n v="1"/>
    <n v="0.1"/>
    <n v="892"/>
    <x v="2"/>
    <n v="1645.2"/>
    <s v="Oct"/>
    <n v="2024"/>
    <s v="Q4"/>
    <n v="0.54218332117675661"/>
    <n v="182.8"/>
    <s v="Low"/>
    <s v="Repeat"/>
    <s v="Below Avg"/>
    <s v="Profit"/>
    <n v="450"/>
  </r>
  <r>
    <n v="284"/>
    <x v="283"/>
    <n v="1049"/>
    <s v="Customer_12"/>
    <s v="Corporate"/>
    <s v="South"/>
    <s v="Electronics"/>
    <s v="Product_B"/>
    <n v="2743"/>
    <n v="5"/>
    <n v="0.18"/>
    <n v="-288"/>
    <x v="2"/>
    <n v="11246.3"/>
    <s v="Oct"/>
    <n v="2024"/>
    <s v="Q4"/>
    <n v="-2.5608422325564855E-2"/>
    <n v="2468.6999999999998"/>
    <s v="High"/>
    <s v="Repeat"/>
    <s v="Above Avg"/>
    <s v="Loss"/>
    <n v="187"/>
  </r>
  <r>
    <n v="285"/>
    <x v="284"/>
    <n v="1080"/>
    <s v="Customer_71"/>
    <s v="Corporate"/>
    <s v="North"/>
    <s v="Clothing"/>
    <s v="Product_C"/>
    <n v="3747"/>
    <n v="2"/>
    <n v="0.1"/>
    <n v="-334"/>
    <x v="1"/>
    <n v="6744.6"/>
    <s v="Oct"/>
    <n v="2024"/>
    <s v="Q4"/>
    <n v="-4.9521098360169616E-2"/>
    <n v="749.40000000000009"/>
    <s v="High"/>
    <s v="Repeat"/>
    <s v="Below Avg"/>
    <s v="Loss"/>
    <n v="281"/>
  </r>
  <r>
    <n v="286"/>
    <x v="285"/>
    <n v="1084"/>
    <s v="Customer_152"/>
    <s v="Corporate"/>
    <s v="South"/>
    <s v="Electronics"/>
    <s v="Product_C"/>
    <n v="3612"/>
    <n v="9"/>
    <n v="0.14000000000000001"/>
    <n v="74"/>
    <x v="2"/>
    <n v="27956.880000000001"/>
    <s v="Oct"/>
    <n v="2024"/>
    <s v="Q4"/>
    <n v="2.6469334203244425E-3"/>
    <n v="4551.1200000000008"/>
    <s v="High"/>
    <s v="Repeat"/>
    <s v="Above Avg"/>
    <s v="Profit"/>
    <n v="31"/>
  </r>
  <r>
    <n v="287"/>
    <x v="286"/>
    <n v="1090"/>
    <s v="Customer_70"/>
    <s v="Corporate"/>
    <s v="North"/>
    <s v="Electronics"/>
    <s v="Product_D"/>
    <n v="1459"/>
    <n v="2"/>
    <n v="0.13"/>
    <n v="-190"/>
    <x v="0"/>
    <n v="2538.66"/>
    <s v="Oct"/>
    <n v="2024"/>
    <s v="Q4"/>
    <n v="-7.4842633515319112E-2"/>
    <n v="379.34000000000003"/>
    <s v="Medium"/>
    <s v="Repeat"/>
    <s v="Below Avg"/>
    <s v="Loss"/>
    <n v="408"/>
  </r>
  <r>
    <n v="288"/>
    <x v="287"/>
    <n v="1004"/>
    <s v="Customer_112"/>
    <s v="Corporate"/>
    <s v="South"/>
    <s v="Electronics"/>
    <s v="Product_A"/>
    <n v="2607"/>
    <n v="7"/>
    <n v="0.03"/>
    <n v="431"/>
    <x v="0"/>
    <n v="17701.53"/>
    <s v="Oct"/>
    <n v="2024"/>
    <s v="Q4"/>
    <n v="2.4348177812878322E-2"/>
    <n v="547.47"/>
    <s v="High"/>
    <s v="Repeat"/>
    <s v="Above Avg"/>
    <s v="Profit"/>
    <n v="93"/>
  </r>
  <r>
    <n v="289"/>
    <x v="288"/>
    <n v="1021"/>
    <s v="Customer_169"/>
    <s v="Consumer"/>
    <s v="South"/>
    <s v="Furniture"/>
    <s v="Product_C"/>
    <n v="3261"/>
    <n v="2"/>
    <n v="0.19"/>
    <n v="1891"/>
    <x v="2"/>
    <n v="5282.82"/>
    <s v="Oct"/>
    <n v="2024"/>
    <s v="Q4"/>
    <n v="0.35795276007889726"/>
    <n v="1239.18"/>
    <s v="High"/>
    <s v="Repeat"/>
    <s v="Below Avg"/>
    <s v="Profit"/>
    <n v="317"/>
  </r>
  <r>
    <n v="290"/>
    <x v="289"/>
    <n v="1032"/>
    <s v="Customer_60"/>
    <s v="Corporate"/>
    <s v="West"/>
    <s v="Furniture"/>
    <s v="Product_D"/>
    <n v="3495"/>
    <n v="2"/>
    <n v="0.25"/>
    <n v="1055"/>
    <x v="0"/>
    <n v="5242.5"/>
    <s v="Oct"/>
    <n v="2024"/>
    <s v="Q4"/>
    <n v="0.20123986647591799"/>
    <n v="1747.5"/>
    <s v="High"/>
    <s v="Repeat"/>
    <s v="Below Avg"/>
    <s v="Profit"/>
    <n v="318"/>
  </r>
  <r>
    <n v="291"/>
    <x v="290"/>
    <n v="1039"/>
    <s v="Customer_31"/>
    <s v="Consumer"/>
    <s v="West"/>
    <s v="Furniture"/>
    <s v="Product_D"/>
    <n v="3159"/>
    <n v="1"/>
    <n v="0.16"/>
    <n v="528"/>
    <x v="2"/>
    <n v="2653.56"/>
    <s v="Oct"/>
    <n v="2024"/>
    <s v="Q4"/>
    <n v="0.19897797675575454"/>
    <n v="505.44"/>
    <s v="Medium"/>
    <s v="Repeat"/>
    <s v="Below Avg"/>
    <s v="Profit"/>
    <n v="406"/>
  </r>
  <r>
    <n v="292"/>
    <x v="291"/>
    <n v="1001"/>
    <s v="Customer_149"/>
    <s v="Corporate"/>
    <s v="South"/>
    <s v="Furniture"/>
    <s v="Product_C"/>
    <n v="2792"/>
    <n v="1"/>
    <n v="0.04"/>
    <n v="1424"/>
    <x v="1"/>
    <n v="2680.3199999999902"/>
    <s v="Oct"/>
    <n v="2024"/>
    <s v="Q4"/>
    <n v="0.53127984718242793"/>
    <n v="111.68"/>
    <s v="Medium"/>
    <s v="Repeat"/>
    <s v="Below Avg"/>
    <s v="Profit"/>
    <n v="404"/>
  </r>
  <r>
    <n v="293"/>
    <x v="292"/>
    <n v="1098"/>
    <s v="Customer_60"/>
    <s v="Corporate"/>
    <s v="West"/>
    <s v="Furniture"/>
    <s v="Product_C"/>
    <n v="462"/>
    <n v="9"/>
    <n v="0.14000000000000001"/>
    <n v="448"/>
    <x v="0"/>
    <n v="3575.88"/>
    <s v="Oct"/>
    <n v="2024"/>
    <s v="Q4"/>
    <n v="0.12528384621407876"/>
    <n v="582.12"/>
    <s v="Medium"/>
    <s v="Repeat"/>
    <s v="Below Avg"/>
    <s v="Profit"/>
    <n v="372"/>
  </r>
  <r>
    <n v="294"/>
    <x v="293"/>
    <n v="1082"/>
    <s v="Customer_75"/>
    <s v="Corporate"/>
    <s v="North"/>
    <s v="Electronics"/>
    <s v="Product_A"/>
    <n v="373"/>
    <n v="2"/>
    <n v="0"/>
    <n v="509"/>
    <x v="2"/>
    <n v="746"/>
    <s v="Oct"/>
    <n v="2024"/>
    <s v="Q4"/>
    <n v="0.68230563002680966"/>
    <n v="0"/>
    <s v="Low"/>
    <s v="Repeat"/>
    <s v="Below Avg"/>
    <s v="Profit"/>
    <n v="483"/>
  </r>
  <r>
    <n v="295"/>
    <x v="294"/>
    <n v="1090"/>
    <s v="Customer_14"/>
    <s v="Corporate"/>
    <s v="South"/>
    <s v="Clothing"/>
    <s v="Product_B"/>
    <n v="4106"/>
    <n v="3"/>
    <n v="0.27"/>
    <n v="1883"/>
    <x v="0"/>
    <n v="8992.14"/>
    <s v="Oct"/>
    <n v="2024"/>
    <s v="Q4"/>
    <n v="0.20940510267856152"/>
    <n v="3325.86"/>
    <s v="High"/>
    <s v="Repeat"/>
    <s v="Below Avg"/>
    <s v="Profit"/>
    <n v="231"/>
  </r>
  <r>
    <n v="296"/>
    <x v="295"/>
    <n v="1035"/>
    <s v="Customer_102"/>
    <s v="Corporate"/>
    <s v="East"/>
    <s v="Clothing"/>
    <s v="Product_A"/>
    <n v="3188"/>
    <n v="9"/>
    <n v="7.0000000000000007E-2"/>
    <n v="956"/>
    <x v="2"/>
    <n v="26683.559999999899"/>
    <s v="Oct"/>
    <n v="2024"/>
    <s v="Q4"/>
    <n v="3.5827303403294146E-2"/>
    <n v="2008.4400000000003"/>
    <s v="High"/>
    <s v="Repeat"/>
    <s v="Above Avg"/>
    <s v="Profit"/>
    <n v="35"/>
  </r>
  <r>
    <n v="297"/>
    <x v="296"/>
    <n v="1058"/>
    <s v="Customer_82"/>
    <s v="Consumer"/>
    <s v="South"/>
    <s v="Clothing"/>
    <s v="Product_D"/>
    <n v="3427"/>
    <n v="6"/>
    <n v="0.27"/>
    <n v="803"/>
    <x v="1"/>
    <n v="15010.26"/>
    <s v="Oct"/>
    <n v="2024"/>
    <s v="Q4"/>
    <n v="5.3496741562104856E-2"/>
    <n v="5551.7400000000007"/>
    <s v="High"/>
    <s v="Repeat"/>
    <s v="Above Avg"/>
    <s v="Profit"/>
    <n v="138"/>
  </r>
  <r>
    <n v="298"/>
    <x v="297"/>
    <n v="1038"/>
    <s v="Customer_14"/>
    <s v="Consumer"/>
    <s v="North"/>
    <s v="Clothing"/>
    <s v="Product_D"/>
    <n v="227"/>
    <n v="6"/>
    <n v="0.18"/>
    <n v="1807"/>
    <x v="2"/>
    <n v="1116.8399999999999"/>
    <s v="Oct"/>
    <n v="2024"/>
    <s v="Q4"/>
    <n v="1.6179578095340426"/>
    <n v="245.16"/>
    <s v="Low"/>
    <s v="Repeat"/>
    <s v="Below Avg"/>
    <s v="Profit"/>
    <n v="475"/>
  </r>
  <r>
    <n v="299"/>
    <x v="298"/>
    <n v="1001"/>
    <s v="Customer_152"/>
    <s v="Corporate"/>
    <s v="North"/>
    <s v="Furniture"/>
    <s v="Product_B"/>
    <n v="3346"/>
    <n v="9"/>
    <n v="0.28999999999999998"/>
    <n v="784"/>
    <x v="0"/>
    <n v="21380.94"/>
    <s v="Oct"/>
    <n v="2024"/>
    <s v="Q4"/>
    <n v="3.6668172680901778E-2"/>
    <n v="8733.06"/>
    <s v="High"/>
    <s v="Repeat"/>
    <s v="Above Avg"/>
    <s v="Profit"/>
    <n v="72"/>
  </r>
  <r>
    <n v="300"/>
    <x v="299"/>
    <n v="1052"/>
    <s v="Customer_25"/>
    <s v="Corporate"/>
    <s v="North"/>
    <s v="Clothing"/>
    <s v="Product_A"/>
    <n v="1300"/>
    <n v="7"/>
    <n v="0.25"/>
    <n v="-190"/>
    <x v="0"/>
    <n v="6825"/>
    <s v="Oct"/>
    <n v="2024"/>
    <s v="Q4"/>
    <n v="-2.7838827838827841E-2"/>
    <n v="2275"/>
    <s v="High"/>
    <s v="Repeat"/>
    <s v="Below Avg"/>
    <s v="Loss"/>
    <n v="276"/>
  </r>
  <r>
    <n v="301"/>
    <x v="300"/>
    <n v="1017"/>
    <s v="Customer_109"/>
    <s v="Corporate"/>
    <s v="North"/>
    <s v="Clothing"/>
    <s v="Product_A"/>
    <n v="3165"/>
    <n v="3"/>
    <n v="0"/>
    <n v="286"/>
    <x v="1"/>
    <n v="9495"/>
    <s v="Oct"/>
    <n v="2024"/>
    <s v="Q4"/>
    <n v="3.0121116377040548E-2"/>
    <n v="0"/>
    <s v="High"/>
    <s v="Repeat"/>
    <s v="Below Avg"/>
    <s v="Profit"/>
    <n v="216"/>
  </r>
  <r>
    <n v="302"/>
    <x v="301"/>
    <n v="1045"/>
    <s v="Customer_108"/>
    <s v="Corporate"/>
    <s v="South"/>
    <s v="Clothing"/>
    <s v="Product_A"/>
    <n v="4359"/>
    <n v="9"/>
    <n v="0"/>
    <n v="198"/>
    <x v="1"/>
    <n v="39231"/>
    <s v="Oct"/>
    <n v="2024"/>
    <s v="Q4"/>
    <n v="5.0470291351227348E-3"/>
    <n v="0"/>
    <s v="High"/>
    <s v="Repeat"/>
    <s v="Above Avg"/>
    <s v="Profit"/>
    <n v="3"/>
  </r>
  <r>
    <n v="303"/>
    <x v="302"/>
    <n v="1022"/>
    <s v="Customer_156"/>
    <s v="Consumer"/>
    <s v="West"/>
    <s v="Electronics"/>
    <s v="Product_C"/>
    <n v="4615"/>
    <n v="4"/>
    <n v="0.22"/>
    <n v="247"/>
    <x v="2"/>
    <n v="14398.8"/>
    <s v="Oct"/>
    <n v="2024"/>
    <s v="Q4"/>
    <n v="1.7154207295052366E-2"/>
    <n v="4061.2"/>
    <s v="High"/>
    <s v="Repeat"/>
    <s v="Above Avg"/>
    <s v="Profit"/>
    <n v="145"/>
  </r>
  <r>
    <n v="304"/>
    <x v="303"/>
    <n v="1053"/>
    <s v="Customer_88"/>
    <s v="Consumer"/>
    <s v="North"/>
    <s v="Clothing"/>
    <s v="Product_D"/>
    <n v="3662"/>
    <n v="3"/>
    <n v="0.16"/>
    <n v="1555"/>
    <x v="2"/>
    <n v="9228.24"/>
    <s v="Oct"/>
    <n v="2024"/>
    <s v="Q4"/>
    <n v="0.16850450356731078"/>
    <n v="1757.76"/>
    <s v="High"/>
    <s v="New"/>
    <s v="Below Avg"/>
    <s v="Profit"/>
    <n v="226"/>
  </r>
  <r>
    <n v="305"/>
    <x v="304"/>
    <n v="1089"/>
    <s v="Customer_18"/>
    <s v="Corporate"/>
    <s v="South"/>
    <s v="Electronics"/>
    <s v="Product_A"/>
    <n v="170"/>
    <n v="9"/>
    <n v="0.23"/>
    <n v="291"/>
    <x v="2"/>
    <n v="1178.0999999999999"/>
    <s v="Oct"/>
    <n v="2024"/>
    <s v="Q4"/>
    <n v="0.24700789406671761"/>
    <n v="351.90000000000003"/>
    <s v="Low"/>
    <s v="Repeat"/>
    <s v="Below Avg"/>
    <s v="Profit"/>
    <n v="470"/>
  </r>
  <r>
    <n v="306"/>
    <x v="305"/>
    <n v="1074"/>
    <s v="Customer_57"/>
    <s v="Corporate"/>
    <s v="South"/>
    <s v="Electronics"/>
    <s v="Product_C"/>
    <n v="4005"/>
    <n v="3"/>
    <n v="0.18"/>
    <n v="940"/>
    <x v="2"/>
    <n v="9852.2999999999993"/>
    <s v="Nov"/>
    <n v="2024"/>
    <s v="Q4"/>
    <n v="9.5409193792312469E-2"/>
    <n v="2162.6999999999998"/>
    <s v="High"/>
    <s v="Repeat"/>
    <s v="Below Avg"/>
    <s v="Profit"/>
    <n v="206"/>
  </r>
  <r>
    <n v="307"/>
    <x v="306"/>
    <n v="1000"/>
    <s v="Customer_98"/>
    <s v="Consumer"/>
    <s v="South"/>
    <s v="Electronics"/>
    <s v="Product_C"/>
    <n v="568"/>
    <n v="1"/>
    <n v="7.0000000000000007E-2"/>
    <n v="1894"/>
    <x v="0"/>
    <n v="528.24"/>
    <s v="Nov"/>
    <n v="2024"/>
    <s v="Q4"/>
    <n v="3.585491443283356"/>
    <n v="39.760000000000005"/>
    <s v="Low"/>
    <s v="Repeat"/>
    <s v="Below Avg"/>
    <s v="Profit"/>
    <n v="490"/>
  </r>
  <r>
    <n v="308"/>
    <x v="307"/>
    <n v="1035"/>
    <s v="Customer_170"/>
    <s v="Consumer"/>
    <s v="North"/>
    <s v="Clothing"/>
    <s v="Product_A"/>
    <n v="3660"/>
    <n v="3"/>
    <n v="0.24"/>
    <n v="1824"/>
    <x v="2"/>
    <n v="8344.7999999999993"/>
    <s v="Nov"/>
    <n v="2024"/>
    <s v="Q4"/>
    <n v="0.21857923497267762"/>
    <n v="2635.2"/>
    <s v="High"/>
    <s v="Repeat"/>
    <s v="Below Avg"/>
    <s v="Profit"/>
    <n v="241"/>
  </r>
  <r>
    <n v="309"/>
    <x v="308"/>
    <n v="1083"/>
    <s v="Customer_67"/>
    <s v="Corporate"/>
    <s v="East"/>
    <s v="Furniture"/>
    <s v="Product_D"/>
    <n v="2023"/>
    <n v="3"/>
    <n v="0.01"/>
    <n v="356"/>
    <x v="1"/>
    <n v="6008.31"/>
    <s v="Nov"/>
    <n v="2024"/>
    <s v="Q4"/>
    <n v="5.9251270323934679E-2"/>
    <n v="60.69"/>
    <s v="High"/>
    <s v="Repeat"/>
    <s v="Below Avg"/>
    <s v="Profit"/>
    <n v="297"/>
  </r>
  <r>
    <n v="310"/>
    <x v="309"/>
    <n v="1094"/>
    <s v="Customer_140"/>
    <s v="Consumer"/>
    <s v="North"/>
    <s v="Clothing"/>
    <s v="Product_B"/>
    <n v="3079"/>
    <n v="5"/>
    <n v="0.24"/>
    <n v="1522"/>
    <x v="0"/>
    <n v="11700.2"/>
    <s v="Nov"/>
    <n v="2024"/>
    <s v="Q4"/>
    <n v="0.13008324644023178"/>
    <n v="3694.7999999999997"/>
    <s v="High"/>
    <s v="Repeat"/>
    <s v="Above Avg"/>
    <s v="Profit"/>
    <n v="178"/>
  </r>
  <r>
    <n v="311"/>
    <x v="310"/>
    <n v="1071"/>
    <s v="Customer_164"/>
    <s v="Corporate"/>
    <s v="South"/>
    <s v="Furniture"/>
    <s v="Product_B"/>
    <n v="4122"/>
    <n v="9"/>
    <n v="0.2"/>
    <n v="-297"/>
    <x v="1"/>
    <n v="29678.400000000001"/>
    <s v="Nov"/>
    <n v="2024"/>
    <s v="Q4"/>
    <n v="-1.0007278020378457E-2"/>
    <n v="7419.6"/>
    <s v="High"/>
    <s v="Repeat"/>
    <s v="Above Avg"/>
    <s v="Loss"/>
    <n v="25"/>
  </r>
  <r>
    <n v="312"/>
    <x v="311"/>
    <n v="1039"/>
    <s v="Customer_69"/>
    <s v="Corporate"/>
    <s v="North"/>
    <s v="Clothing"/>
    <s v="Product_A"/>
    <n v="4319"/>
    <n v="7"/>
    <n v="0.2"/>
    <n v="1668"/>
    <x v="0"/>
    <n v="24186.400000000001"/>
    <s v="Nov"/>
    <n v="2024"/>
    <s v="Q4"/>
    <n v="6.896437667449476E-2"/>
    <n v="6046.6"/>
    <s v="High"/>
    <s v="Repeat"/>
    <s v="Above Avg"/>
    <s v="Profit"/>
    <n v="50"/>
  </r>
  <r>
    <n v="313"/>
    <x v="312"/>
    <n v="1087"/>
    <s v="Customer_83"/>
    <s v="Consumer"/>
    <s v="West"/>
    <s v="Clothing"/>
    <s v="Product_D"/>
    <n v="4618"/>
    <n v="3"/>
    <n v="0.01"/>
    <n v="1802"/>
    <x v="2"/>
    <n v="13715.46"/>
    <s v="Nov"/>
    <n v="2024"/>
    <s v="Q4"/>
    <n v="0.13138458352836874"/>
    <n v="138.54"/>
    <s v="High"/>
    <s v="Repeat"/>
    <s v="Above Avg"/>
    <s v="Profit"/>
    <n v="150"/>
  </r>
  <r>
    <n v="314"/>
    <x v="313"/>
    <n v="1083"/>
    <s v="Customer_76"/>
    <s v="Corporate"/>
    <s v="East"/>
    <s v="Furniture"/>
    <s v="Product_B"/>
    <n v="666"/>
    <n v="3"/>
    <n v="0.06"/>
    <n v="-107"/>
    <x v="0"/>
    <n v="1878.12"/>
    <s v="Nov"/>
    <n v="2024"/>
    <s v="Q4"/>
    <n v="-5.6971865482503783E-2"/>
    <n v="119.88"/>
    <s v="Low"/>
    <s v="Repeat"/>
    <s v="Below Avg"/>
    <s v="Loss"/>
    <n v="437"/>
  </r>
  <r>
    <n v="315"/>
    <x v="314"/>
    <n v="1078"/>
    <s v="Customer_91"/>
    <s v="Corporate"/>
    <s v="East"/>
    <s v="Electronics"/>
    <s v="Product_D"/>
    <n v="3227"/>
    <n v="4"/>
    <n v="0.15"/>
    <n v="200"/>
    <x v="2"/>
    <n v="10971.8"/>
    <s v="Nov"/>
    <n v="2024"/>
    <s v="Q4"/>
    <n v="1.8228549554311965E-2"/>
    <n v="1936.1999999999998"/>
    <s v="High"/>
    <s v="Repeat"/>
    <s v="Above Avg"/>
    <s v="Profit"/>
    <n v="193"/>
  </r>
  <r>
    <n v="316"/>
    <x v="315"/>
    <n v="1029"/>
    <s v="Customer_17"/>
    <s v="Corporate"/>
    <s v="North"/>
    <s v="Electronics"/>
    <s v="Product_B"/>
    <n v="4116"/>
    <n v="7"/>
    <n v="0.13"/>
    <n v="1791"/>
    <x v="0"/>
    <n v="25066.44"/>
    <s v="Nov"/>
    <n v="2024"/>
    <s v="Q4"/>
    <n v="7.1450114176564369E-2"/>
    <n v="3745.56"/>
    <s v="High"/>
    <s v="Repeat"/>
    <s v="Above Avg"/>
    <s v="Profit"/>
    <n v="41"/>
  </r>
  <r>
    <n v="317"/>
    <x v="316"/>
    <n v="1019"/>
    <s v="Customer_171"/>
    <s v="Corporate"/>
    <s v="East"/>
    <s v="Electronics"/>
    <s v="Product_C"/>
    <n v="1265"/>
    <n v="4"/>
    <n v="0.01"/>
    <n v="458"/>
    <x v="1"/>
    <n v="5009.3999999999996"/>
    <s v="Nov"/>
    <n v="2024"/>
    <s v="Q4"/>
    <n v="9.1428115143530164E-2"/>
    <n v="50.6"/>
    <s v="High"/>
    <s v="Repeat"/>
    <s v="Below Avg"/>
    <s v="Profit"/>
    <n v="322"/>
  </r>
  <r>
    <n v="318"/>
    <x v="317"/>
    <n v="1037"/>
    <s v="Customer_92"/>
    <s v="Corporate"/>
    <s v="East"/>
    <s v="Furniture"/>
    <s v="Product_D"/>
    <n v="4336"/>
    <n v="9"/>
    <n v="0.1"/>
    <n v="-99"/>
    <x v="2"/>
    <n v="35121.599999999999"/>
    <s v="Nov"/>
    <n v="2024"/>
    <s v="Q4"/>
    <n v="-2.8187781877818778E-3"/>
    <n v="3902.4"/>
    <s v="High"/>
    <s v="Repeat"/>
    <s v="Above Avg"/>
    <s v="Loss"/>
    <n v="10"/>
  </r>
  <r>
    <n v="319"/>
    <x v="318"/>
    <n v="1001"/>
    <s v="Customer_40"/>
    <s v="Corporate"/>
    <s v="South"/>
    <s v="Clothing"/>
    <s v="Product_B"/>
    <n v="1915"/>
    <n v="3"/>
    <n v="0.28999999999999998"/>
    <n v="1599"/>
    <x v="1"/>
    <n v="4078.95"/>
    <s v="Nov"/>
    <n v="2024"/>
    <s v="Q4"/>
    <n v="0.39201265031441918"/>
    <n v="1666.05"/>
    <s v="Medium"/>
    <s v="Repeat"/>
    <s v="Below Avg"/>
    <s v="Profit"/>
    <n v="349"/>
  </r>
  <r>
    <n v="320"/>
    <x v="319"/>
    <n v="1005"/>
    <s v="Customer_22"/>
    <s v="Corporate"/>
    <s v="South"/>
    <s v="Clothing"/>
    <s v="Product_A"/>
    <n v="4067"/>
    <n v="7"/>
    <n v="0.09"/>
    <n v="1720"/>
    <x v="0"/>
    <n v="25906.79"/>
    <s v="Nov"/>
    <n v="2024"/>
    <s v="Q4"/>
    <n v="6.6391860975443112E-2"/>
    <n v="2562.21"/>
    <s v="High"/>
    <s v="Repeat"/>
    <s v="Above Avg"/>
    <s v="Profit"/>
    <n v="40"/>
  </r>
  <r>
    <n v="321"/>
    <x v="320"/>
    <n v="1081"/>
    <s v="Customer_192"/>
    <s v="Corporate"/>
    <s v="East"/>
    <s v="Furniture"/>
    <s v="Product_D"/>
    <n v="240"/>
    <n v="9"/>
    <n v="0.19"/>
    <n v="271"/>
    <x v="1"/>
    <n v="1749.6"/>
    <s v="Nov"/>
    <n v="2024"/>
    <s v="Q4"/>
    <n v="0.15489254686785553"/>
    <n v="410.4"/>
    <s v="Low"/>
    <s v="Repeat"/>
    <s v="Below Avg"/>
    <s v="Profit"/>
    <n v="443"/>
  </r>
  <r>
    <n v="322"/>
    <x v="321"/>
    <n v="1035"/>
    <s v="Customer_138"/>
    <s v="Consumer"/>
    <s v="North"/>
    <s v="Electronics"/>
    <s v="Product_D"/>
    <n v="3410"/>
    <n v="5"/>
    <n v="0.2"/>
    <n v="1549"/>
    <x v="1"/>
    <n v="13640"/>
    <s v="Nov"/>
    <n v="2024"/>
    <s v="Q4"/>
    <n v="0.11356304985337243"/>
    <n v="3410"/>
    <s v="High"/>
    <s v="Repeat"/>
    <s v="Above Avg"/>
    <s v="Profit"/>
    <n v="151"/>
  </r>
  <r>
    <n v="323"/>
    <x v="322"/>
    <n v="1077"/>
    <s v="Customer_105"/>
    <s v="Consumer"/>
    <s v="East"/>
    <s v="Clothing"/>
    <s v="Product_D"/>
    <n v="601"/>
    <n v="4"/>
    <n v="0.19"/>
    <n v="-310"/>
    <x v="2"/>
    <n v="1947.24"/>
    <s v="Nov"/>
    <n v="2024"/>
    <s v="Q4"/>
    <n v="-0.15919968776319304"/>
    <n v="456.76"/>
    <s v="Low"/>
    <s v="Repeat"/>
    <s v="Below Avg"/>
    <s v="Loss"/>
    <n v="433"/>
  </r>
  <r>
    <n v="324"/>
    <x v="323"/>
    <n v="1025"/>
    <s v="Customer_134"/>
    <s v="Corporate"/>
    <s v="South"/>
    <s v="Furniture"/>
    <s v="Product_B"/>
    <n v="1554"/>
    <n v="2"/>
    <n v="0.09"/>
    <n v="1816"/>
    <x v="2"/>
    <n v="2828.28"/>
    <s v="Nov"/>
    <n v="2024"/>
    <s v="Q4"/>
    <n v="0.64208635637207057"/>
    <n v="279.71999999999997"/>
    <s v="Medium"/>
    <s v="Repeat"/>
    <s v="Below Avg"/>
    <s v="Profit"/>
    <n v="398"/>
  </r>
  <r>
    <n v="325"/>
    <x v="324"/>
    <n v="1097"/>
    <s v="Customer_17"/>
    <s v="Consumer"/>
    <s v="South"/>
    <s v="Furniture"/>
    <s v="Product_C"/>
    <n v="4379"/>
    <n v="5"/>
    <n v="0.17"/>
    <n v="884"/>
    <x v="0"/>
    <n v="18172.849999999999"/>
    <s v="Nov"/>
    <n v="2024"/>
    <s v="Q4"/>
    <n v="4.8643993649867802E-2"/>
    <n v="3722.15"/>
    <s v="High"/>
    <s v="Repeat"/>
    <s v="Above Avg"/>
    <s v="Profit"/>
    <n v="90"/>
  </r>
  <r>
    <n v="326"/>
    <x v="325"/>
    <n v="1093"/>
    <s v="Customer_76"/>
    <s v="Corporate"/>
    <s v="East"/>
    <s v="Clothing"/>
    <s v="Product_C"/>
    <n v="635"/>
    <n v="3"/>
    <n v="0.21"/>
    <n v="895"/>
    <x v="1"/>
    <n v="1504.95"/>
    <s v="Nov"/>
    <n v="2024"/>
    <s v="Q4"/>
    <n v="0.59470414299478391"/>
    <n v="400.05"/>
    <s v="Low"/>
    <s v="Repeat"/>
    <s v="Below Avg"/>
    <s v="Profit"/>
    <n v="457"/>
  </r>
  <r>
    <n v="327"/>
    <x v="326"/>
    <n v="1070"/>
    <s v="Customer_191"/>
    <s v="Consumer"/>
    <s v="East"/>
    <s v="Furniture"/>
    <s v="Product_B"/>
    <n v="2260"/>
    <n v="3"/>
    <n v="0.11"/>
    <n v="1691"/>
    <x v="0"/>
    <n v="6034.2"/>
    <s v="Nov"/>
    <n v="2024"/>
    <s v="Q4"/>
    <n v="0.28023598820058998"/>
    <n v="745.8"/>
    <s v="High"/>
    <s v="Repeat"/>
    <s v="Below Avg"/>
    <s v="Profit"/>
    <n v="295"/>
  </r>
  <r>
    <n v="328"/>
    <x v="327"/>
    <n v="1058"/>
    <s v="Customer_198"/>
    <s v="Consumer"/>
    <s v="West"/>
    <s v="Furniture"/>
    <s v="Product_C"/>
    <n v="4341"/>
    <n v="7"/>
    <n v="0.08"/>
    <n v="-164"/>
    <x v="2"/>
    <n v="27956.04"/>
    <s v="Nov"/>
    <n v="2024"/>
    <s v="Q4"/>
    <n v="-5.8663530314021581E-3"/>
    <n v="2430.96"/>
    <s v="High"/>
    <s v="Repeat"/>
    <s v="Above Avg"/>
    <s v="Loss"/>
    <n v="32"/>
  </r>
  <r>
    <n v="329"/>
    <x v="328"/>
    <n v="1029"/>
    <s v="Customer_178"/>
    <s v="Consumer"/>
    <s v="West"/>
    <s v="Electronics"/>
    <s v="Product_C"/>
    <n v="2929"/>
    <n v="6"/>
    <n v="0.08"/>
    <n v="122"/>
    <x v="2"/>
    <n v="16168.08"/>
    <s v="Nov"/>
    <n v="2024"/>
    <s v="Q4"/>
    <n v="7.5457320844528235E-3"/>
    <n v="1405.92"/>
    <s v="High"/>
    <s v="Repeat"/>
    <s v="Above Avg"/>
    <s v="Profit"/>
    <n v="123"/>
  </r>
  <r>
    <n v="330"/>
    <x v="329"/>
    <n v="1081"/>
    <s v="Customer_80"/>
    <s v="Corporate"/>
    <s v="North"/>
    <s v="Furniture"/>
    <s v="Product_A"/>
    <n v="4483"/>
    <n v="3"/>
    <n v="0.28000000000000003"/>
    <n v="1527"/>
    <x v="1"/>
    <n v="9683.2799999999897"/>
    <s v="Nov"/>
    <n v="2024"/>
    <s v="Q4"/>
    <n v="0.15769450021067258"/>
    <n v="3765.7200000000003"/>
    <s v="High"/>
    <s v="Repeat"/>
    <s v="Below Avg"/>
    <s v="Profit"/>
    <n v="209"/>
  </r>
  <r>
    <n v="331"/>
    <x v="330"/>
    <n v="1021"/>
    <s v="Customer_196"/>
    <s v="Corporate"/>
    <s v="South"/>
    <s v="Electronics"/>
    <s v="Product_C"/>
    <n v="1725"/>
    <n v="9"/>
    <n v="0.19"/>
    <n v="508"/>
    <x v="2"/>
    <n v="12575.25"/>
    <s v="Nov"/>
    <n v="2024"/>
    <s v="Q4"/>
    <n v="4.0396811196596487E-2"/>
    <n v="2949.75"/>
    <s v="High"/>
    <s v="Repeat"/>
    <s v="Above Avg"/>
    <s v="Profit"/>
    <n v="162"/>
  </r>
  <r>
    <n v="332"/>
    <x v="331"/>
    <n v="1016"/>
    <s v="Customer_153"/>
    <s v="Consumer"/>
    <s v="South"/>
    <s v="Furniture"/>
    <s v="Product_B"/>
    <n v="4547"/>
    <n v="7"/>
    <n v="0.23"/>
    <n v="695"/>
    <x v="0"/>
    <n v="24508.33"/>
    <s v="Nov"/>
    <n v="2024"/>
    <s v="Q4"/>
    <n v="2.8357705318967058E-2"/>
    <n v="7320.67"/>
    <s v="High"/>
    <s v="Repeat"/>
    <s v="Above Avg"/>
    <s v="Profit"/>
    <n v="47"/>
  </r>
  <r>
    <n v="333"/>
    <x v="332"/>
    <n v="1030"/>
    <s v="Customer_33"/>
    <s v="Consumer"/>
    <s v="South"/>
    <s v="Electronics"/>
    <s v="Product_B"/>
    <n v="2252"/>
    <n v="8"/>
    <n v="0.17"/>
    <n v="1739"/>
    <x v="1"/>
    <n v="14953.279999999901"/>
    <s v="Nov"/>
    <n v="2024"/>
    <s v="Q4"/>
    <n v="0.11629555522266764"/>
    <n v="3062.7200000000003"/>
    <s v="High"/>
    <s v="Repeat"/>
    <s v="Above Avg"/>
    <s v="Profit"/>
    <n v="140"/>
  </r>
  <r>
    <n v="334"/>
    <x v="333"/>
    <n v="1055"/>
    <s v="Customer_1"/>
    <s v="Corporate"/>
    <s v="West"/>
    <s v="Clothing"/>
    <s v="Product_B"/>
    <n v="3427"/>
    <n v="4"/>
    <n v="0.19"/>
    <n v="922"/>
    <x v="1"/>
    <n v="11103.48"/>
    <s v="Nov"/>
    <n v="2024"/>
    <s v="Q4"/>
    <n v="8.3037029832088688E-2"/>
    <n v="2604.52"/>
    <s v="High"/>
    <s v="Repeat"/>
    <s v="Above Avg"/>
    <s v="Profit"/>
    <n v="188"/>
  </r>
  <r>
    <n v="335"/>
    <x v="334"/>
    <n v="1080"/>
    <s v="Customer_79"/>
    <s v="Consumer"/>
    <s v="North"/>
    <s v="Clothing"/>
    <s v="Product_A"/>
    <n v="370"/>
    <n v="7"/>
    <n v="0.08"/>
    <n v="1381"/>
    <x v="1"/>
    <n v="2382.8000000000002"/>
    <s v="Nov"/>
    <n v="2024"/>
    <s v="Q4"/>
    <n v="0.57957025348329694"/>
    <n v="207.20000000000002"/>
    <s v="Medium"/>
    <s v="Repeat"/>
    <s v="Below Avg"/>
    <s v="Profit"/>
    <n v="413"/>
  </r>
  <r>
    <n v="336"/>
    <x v="335"/>
    <n v="1030"/>
    <s v="Customer_128"/>
    <s v="Consumer"/>
    <s v="South"/>
    <s v="Electronics"/>
    <s v="Product_D"/>
    <n v="4426"/>
    <n v="9"/>
    <n v="0.27"/>
    <n v="-447"/>
    <x v="1"/>
    <n v="29078.82"/>
    <s v="Dec"/>
    <n v="2024"/>
    <s v="Q4"/>
    <n v="-1.537201303216568E-2"/>
    <n v="10755.18"/>
    <s v="High"/>
    <s v="Repeat"/>
    <s v="Above Avg"/>
    <s v="Loss"/>
    <n v="26"/>
  </r>
  <r>
    <n v="337"/>
    <x v="336"/>
    <n v="1012"/>
    <s v="Customer_145"/>
    <s v="Corporate"/>
    <s v="West"/>
    <s v="Clothing"/>
    <s v="Product_C"/>
    <n v="3915"/>
    <n v="8"/>
    <n v="0.15"/>
    <n v="-47"/>
    <x v="1"/>
    <n v="26622"/>
    <s v="Dec"/>
    <n v="2024"/>
    <s v="Q4"/>
    <n v="-1.7654571407106905E-3"/>
    <n v="4698"/>
    <s v="High"/>
    <s v="Repeat"/>
    <s v="Above Avg"/>
    <s v="Loss"/>
    <n v="36"/>
  </r>
  <r>
    <n v="338"/>
    <x v="337"/>
    <n v="1090"/>
    <s v="Customer_171"/>
    <s v="Consumer"/>
    <s v="North"/>
    <s v="Furniture"/>
    <s v="Product_B"/>
    <n v="1456"/>
    <n v="7"/>
    <n v="0.24"/>
    <n v="-31"/>
    <x v="1"/>
    <n v="7745.92"/>
    <s v="Dec"/>
    <n v="2024"/>
    <s v="Q4"/>
    <n v="-4.0021069156407499E-3"/>
    <n v="2446.08"/>
    <s v="High"/>
    <s v="Repeat"/>
    <s v="Below Avg"/>
    <s v="Loss"/>
    <n v="258"/>
  </r>
  <r>
    <n v="339"/>
    <x v="338"/>
    <n v="1083"/>
    <s v="Customer_186"/>
    <s v="Corporate"/>
    <s v="East"/>
    <s v="Electronics"/>
    <s v="Product_A"/>
    <n v="4189"/>
    <n v="5"/>
    <n v="0.16"/>
    <n v="798"/>
    <x v="1"/>
    <n v="17593.8"/>
    <s v="Dec"/>
    <n v="2024"/>
    <s v="Q4"/>
    <n v="4.5356887085223209E-2"/>
    <n v="3351.2000000000003"/>
    <s v="High"/>
    <s v="Repeat"/>
    <s v="Above Avg"/>
    <s v="Profit"/>
    <n v="95"/>
  </r>
  <r>
    <n v="340"/>
    <x v="339"/>
    <n v="1016"/>
    <s v="Customer_147"/>
    <s v="Consumer"/>
    <s v="East"/>
    <s v="Electronics"/>
    <s v="Product_C"/>
    <n v="190"/>
    <n v="8"/>
    <n v="0.03"/>
    <n v="728"/>
    <x v="1"/>
    <n v="1474.3999999999901"/>
    <s v="Dec"/>
    <n v="2024"/>
    <s v="Q4"/>
    <n v="0.4937601736299545"/>
    <n v="45.6"/>
    <s v="Low"/>
    <s v="Repeat"/>
    <s v="Below Avg"/>
    <s v="Profit"/>
    <n v="458"/>
  </r>
  <r>
    <n v="341"/>
    <x v="340"/>
    <n v="1092"/>
    <s v="Customer_54"/>
    <s v="Corporate"/>
    <s v="East"/>
    <s v="Clothing"/>
    <s v="Product_D"/>
    <n v="2277"/>
    <n v="8"/>
    <n v="0.03"/>
    <n v="297"/>
    <x v="0"/>
    <n v="17669.52"/>
    <s v="Dec"/>
    <n v="2024"/>
    <s v="Q4"/>
    <n v="1.6808606006275213E-2"/>
    <n v="546.48"/>
    <s v="High"/>
    <s v="Repeat"/>
    <s v="Above Avg"/>
    <s v="Profit"/>
    <n v="94"/>
  </r>
  <r>
    <n v="342"/>
    <x v="341"/>
    <n v="1038"/>
    <s v="Customer_114"/>
    <s v="Corporate"/>
    <s v="West"/>
    <s v="Electronics"/>
    <s v="Product_A"/>
    <n v="1830"/>
    <n v="4"/>
    <n v="0.14000000000000001"/>
    <n v="898"/>
    <x v="2"/>
    <n v="6295.2"/>
    <s v="Dec"/>
    <n v="2024"/>
    <s v="Q4"/>
    <n v="0.14264836700978523"/>
    <n v="1024.8000000000002"/>
    <s v="High"/>
    <s v="Repeat"/>
    <s v="Below Avg"/>
    <s v="Profit"/>
    <n v="291"/>
  </r>
  <r>
    <n v="343"/>
    <x v="342"/>
    <n v="1098"/>
    <s v="Customer_83"/>
    <s v="Corporate"/>
    <s v="East"/>
    <s v="Clothing"/>
    <s v="Product_B"/>
    <n v="2458"/>
    <n v="9"/>
    <n v="0.13"/>
    <n v="-443"/>
    <x v="2"/>
    <n v="19246.14"/>
    <s v="Dec"/>
    <n v="2024"/>
    <s v="Q4"/>
    <n v="-2.3017602490681251E-2"/>
    <n v="2875.86"/>
    <s v="High"/>
    <s v="Repeat"/>
    <s v="Above Avg"/>
    <s v="Loss"/>
    <n v="83"/>
  </r>
  <r>
    <n v="344"/>
    <x v="343"/>
    <n v="1007"/>
    <s v="Customer_84"/>
    <s v="Consumer"/>
    <s v="East"/>
    <s v="Electronics"/>
    <s v="Product_B"/>
    <n v="2809"/>
    <n v="1"/>
    <n v="0.27"/>
    <n v="-352"/>
    <x v="2"/>
    <n v="2050.5700000000002"/>
    <s v="Dec"/>
    <n v="2024"/>
    <s v="Q4"/>
    <n v="-0.17165958733425338"/>
    <n v="758.43000000000006"/>
    <s v="Medium"/>
    <s v="Repeat"/>
    <s v="Below Avg"/>
    <s v="Loss"/>
    <n v="426"/>
  </r>
  <r>
    <n v="345"/>
    <x v="344"/>
    <n v="1037"/>
    <s v="Customer_1"/>
    <s v="Consumer"/>
    <s v="North"/>
    <s v="Clothing"/>
    <s v="Product_D"/>
    <n v="448"/>
    <n v="9"/>
    <n v="0.04"/>
    <n v="1096"/>
    <x v="2"/>
    <n v="3870.72"/>
    <s v="Dec"/>
    <n v="2024"/>
    <s v="Q4"/>
    <n v="0.28315145502645506"/>
    <n v="161.28"/>
    <s v="Medium"/>
    <s v="Repeat"/>
    <s v="Below Avg"/>
    <s v="Profit"/>
    <n v="358"/>
  </r>
  <r>
    <n v="346"/>
    <x v="345"/>
    <n v="1014"/>
    <s v="Customer_144"/>
    <s v="Consumer"/>
    <s v="East"/>
    <s v="Clothing"/>
    <s v="Product_C"/>
    <n v="4977"/>
    <n v="1"/>
    <n v="0.21"/>
    <n v="294"/>
    <x v="1"/>
    <n v="3931.83"/>
    <s v="Dec"/>
    <n v="2024"/>
    <s v="Q4"/>
    <n v="7.4774341718741658E-2"/>
    <n v="1045.17"/>
    <s v="Medium"/>
    <s v="Repeat"/>
    <s v="Below Avg"/>
    <s v="Profit"/>
    <n v="357"/>
  </r>
  <r>
    <n v="347"/>
    <x v="346"/>
    <n v="1000"/>
    <s v="Customer_152"/>
    <s v="Consumer"/>
    <s v="East"/>
    <s v="Furniture"/>
    <s v="Product_A"/>
    <n v="4432"/>
    <n v="5"/>
    <n v="0.28000000000000003"/>
    <n v="1809"/>
    <x v="0"/>
    <n v="15955.199999999901"/>
    <s v="Dec"/>
    <n v="2024"/>
    <s v="Q4"/>
    <n v="0.11337996389891768"/>
    <n v="6204.8"/>
    <s v="High"/>
    <s v="Repeat"/>
    <s v="Above Avg"/>
    <s v="Profit"/>
    <n v="130"/>
  </r>
  <r>
    <n v="348"/>
    <x v="347"/>
    <n v="1096"/>
    <s v="Customer_192"/>
    <s v="Corporate"/>
    <s v="West"/>
    <s v="Furniture"/>
    <s v="Product_A"/>
    <n v="1393"/>
    <n v="6"/>
    <n v="0.12"/>
    <n v="1693"/>
    <x v="1"/>
    <n v="7355.04"/>
    <s v="Dec"/>
    <n v="2024"/>
    <s v="Q4"/>
    <n v="0.23018229676521135"/>
    <n v="1002.9599999999999"/>
    <s v="High"/>
    <s v="Repeat"/>
    <s v="Below Avg"/>
    <s v="Profit"/>
    <n v="266"/>
  </r>
  <r>
    <n v="349"/>
    <x v="348"/>
    <n v="1002"/>
    <s v="Customer_186"/>
    <s v="Consumer"/>
    <s v="West"/>
    <s v="Electronics"/>
    <s v="Product_C"/>
    <n v="4564"/>
    <n v="5"/>
    <n v="0.27"/>
    <n v="710"/>
    <x v="0"/>
    <n v="16658.599999999999"/>
    <s v="Dec"/>
    <n v="2024"/>
    <s v="Q4"/>
    <n v="4.2620628384137924E-2"/>
    <n v="6161.4000000000005"/>
    <s v="High"/>
    <s v="Repeat"/>
    <s v="Above Avg"/>
    <s v="Profit"/>
    <n v="111"/>
  </r>
  <r>
    <n v="350"/>
    <x v="349"/>
    <n v="1037"/>
    <s v="Customer_152"/>
    <s v="Consumer"/>
    <s v="West"/>
    <s v="Clothing"/>
    <s v="Product_B"/>
    <n v="2447"/>
    <n v="4"/>
    <n v="0.04"/>
    <n v="-339"/>
    <x v="0"/>
    <n v="9396.48"/>
    <s v="Dec"/>
    <n v="2024"/>
    <s v="Q4"/>
    <n v="-3.6077339599509609E-2"/>
    <n v="391.52"/>
    <s v="High"/>
    <s v="Repeat"/>
    <s v="Below Avg"/>
    <s v="Loss"/>
    <n v="221"/>
  </r>
  <r>
    <n v="351"/>
    <x v="350"/>
    <n v="1047"/>
    <s v="Customer_186"/>
    <s v="Consumer"/>
    <s v="East"/>
    <s v="Furniture"/>
    <s v="Product_C"/>
    <n v="3091"/>
    <n v="5"/>
    <n v="0.03"/>
    <n v="644"/>
    <x v="0"/>
    <n v="14991.35"/>
    <s v="Dec"/>
    <n v="2024"/>
    <s v="Q4"/>
    <n v="4.2958105841034995E-2"/>
    <n v="463.65"/>
    <s v="High"/>
    <s v="Repeat"/>
    <s v="Above Avg"/>
    <s v="Profit"/>
    <n v="139"/>
  </r>
  <r>
    <n v="352"/>
    <x v="351"/>
    <n v="1062"/>
    <s v="Customer_101"/>
    <s v="Consumer"/>
    <s v="North"/>
    <s v="Electronics"/>
    <s v="Product_C"/>
    <n v="2900"/>
    <n v="7"/>
    <n v="7.0000000000000007E-2"/>
    <n v="1932"/>
    <x v="0"/>
    <n v="18879"/>
    <s v="Dec"/>
    <n v="2024"/>
    <s v="Q4"/>
    <n v="0.10233592880978866"/>
    <n v="1421.0000000000002"/>
    <s v="High"/>
    <s v="Repeat"/>
    <s v="Above Avg"/>
    <s v="Profit"/>
    <n v="85"/>
  </r>
  <r>
    <n v="353"/>
    <x v="352"/>
    <n v="1061"/>
    <s v="Customer_192"/>
    <s v="Consumer"/>
    <s v="South"/>
    <s v="Clothing"/>
    <s v="Product_C"/>
    <n v="4356"/>
    <n v="2"/>
    <n v="0.16"/>
    <n v="332"/>
    <x v="2"/>
    <n v="7318.08"/>
    <s v="Dec"/>
    <n v="2024"/>
    <s v="Q4"/>
    <n v="4.5367090821636279E-2"/>
    <n v="1393.92"/>
    <s v="High"/>
    <s v="Repeat"/>
    <s v="Below Avg"/>
    <s v="Profit"/>
    <n v="268"/>
  </r>
  <r>
    <n v="354"/>
    <x v="353"/>
    <n v="1014"/>
    <s v="Customer_169"/>
    <s v="Corporate"/>
    <s v="West"/>
    <s v="Furniture"/>
    <s v="Product_B"/>
    <n v="1224"/>
    <n v="7"/>
    <n v="0.19"/>
    <n v="210"/>
    <x v="2"/>
    <n v="6940.08"/>
    <s v="Dec"/>
    <n v="2024"/>
    <s v="Q4"/>
    <n v="3.0259017187121762E-2"/>
    <n v="1627.92"/>
    <s v="High"/>
    <s v="Repeat"/>
    <s v="Below Avg"/>
    <s v="Profit"/>
    <n v="275"/>
  </r>
  <r>
    <n v="355"/>
    <x v="354"/>
    <n v="1061"/>
    <s v="Customer_161"/>
    <s v="Consumer"/>
    <s v="North"/>
    <s v="Clothing"/>
    <s v="Product_B"/>
    <n v="673"/>
    <n v="9"/>
    <n v="0.23"/>
    <n v="944"/>
    <x v="0"/>
    <n v="4663.8900000000003"/>
    <s v="Dec"/>
    <n v="2024"/>
    <s v="Q4"/>
    <n v="0.20240614594255008"/>
    <n v="1393.1100000000001"/>
    <s v="Medium"/>
    <s v="Repeat"/>
    <s v="Below Avg"/>
    <s v="Profit"/>
    <n v="332"/>
  </r>
  <r>
    <n v="356"/>
    <x v="355"/>
    <n v="1081"/>
    <s v="Customer_186"/>
    <s v="Corporate"/>
    <s v="East"/>
    <s v="Furniture"/>
    <s v="Product_A"/>
    <n v="4179"/>
    <n v="7"/>
    <n v="0.23"/>
    <n v="-144"/>
    <x v="0"/>
    <n v="22524.81"/>
    <s v="Dec"/>
    <n v="2024"/>
    <s v="Q4"/>
    <n v="-6.3929507063544598E-3"/>
    <n v="6728.1900000000005"/>
    <s v="High"/>
    <s v="Repeat"/>
    <s v="Above Avg"/>
    <s v="Loss"/>
    <n v="62"/>
  </r>
  <r>
    <n v="357"/>
    <x v="356"/>
    <n v="1037"/>
    <s v="Customer_125"/>
    <s v="Consumer"/>
    <s v="West"/>
    <s v="Clothing"/>
    <s v="Product_C"/>
    <n v="928"/>
    <n v="4"/>
    <n v="0.03"/>
    <n v="182"/>
    <x v="1"/>
    <n v="3600.64"/>
    <s v="Dec"/>
    <n v="2024"/>
    <s v="Q4"/>
    <n v="5.0546569498755779E-2"/>
    <n v="111.36"/>
    <s v="Medium"/>
    <s v="Repeat"/>
    <s v="Below Avg"/>
    <s v="Profit"/>
    <n v="368"/>
  </r>
  <r>
    <n v="358"/>
    <x v="357"/>
    <n v="1094"/>
    <s v="Customer_184"/>
    <s v="Consumer"/>
    <s v="North"/>
    <s v="Electronics"/>
    <s v="Product_C"/>
    <n v="570"/>
    <n v="8"/>
    <n v="0.26"/>
    <n v="1134"/>
    <x v="0"/>
    <n v="3374.4"/>
    <s v="Dec"/>
    <n v="2024"/>
    <s v="Q4"/>
    <n v="0.33605974395448079"/>
    <n v="1185.6000000000001"/>
    <s v="Medium"/>
    <s v="Repeat"/>
    <s v="Below Avg"/>
    <s v="Profit"/>
    <n v="382"/>
  </r>
  <r>
    <n v="359"/>
    <x v="358"/>
    <n v="1019"/>
    <s v="Customer_95"/>
    <s v="Corporate"/>
    <s v="South"/>
    <s v="Furniture"/>
    <s v="Product_B"/>
    <n v="4250"/>
    <n v="8"/>
    <n v="0.03"/>
    <n v="335"/>
    <x v="1"/>
    <n v="32980"/>
    <s v="Dec"/>
    <n v="2024"/>
    <s v="Q4"/>
    <n v="1.015767131594906E-2"/>
    <n v="1020"/>
    <s v="High"/>
    <s v="Repeat"/>
    <s v="Above Avg"/>
    <s v="Profit"/>
    <n v="17"/>
  </r>
  <r>
    <n v="360"/>
    <x v="359"/>
    <n v="1058"/>
    <s v="Customer_15"/>
    <s v="Corporate"/>
    <s v="North"/>
    <s v="Clothing"/>
    <s v="Product_B"/>
    <n v="2351"/>
    <n v="9"/>
    <n v="0.27"/>
    <n v="28"/>
    <x v="2"/>
    <n v="15446.07"/>
    <s v="Dec"/>
    <n v="2024"/>
    <s v="Q4"/>
    <n v="1.8127588441590645E-3"/>
    <n v="5712.93"/>
    <s v="High"/>
    <s v="Repeat"/>
    <s v="Above Avg"/>
    <s v="Profit"/>
    <n v="135"/>
  </r>
  <r>
    <n v="361"/>
    <x v="360"/>
    <n v="1006"/>
    <s v="Customer_65"/>
    <s v="Corporate"/>
    <s v="East"/>
    <s v="Furniture"/>
    <s v="Product_C"/>
    <n v="4067"/>
    <n v="6"/>
    <n v="0.28999999999999998"/>
    <n v="1213"/>
    <x v="0"/>
    <n v="17325.419999999998"/>
    <s v="Dec"/>
    <n v="2024"/>
    <s v="Q4"/>
    <n v="7.0012732736060665E-2"/>
    <n v="7076.58"/>
    <s v="High"/>
    <s v="Repeat"/>
    <s v="Above Avg"/>
    <s v="Profit"/>
    <n v="102"/>
  </r>
  <r>
    <n v="362"/>
    <x v="361"/>
    <n v="1090"/>
    <s v="Customer_113"/>
    <s v="Corporate"/>
    <s v="West"/>
    <s v="Furniture"/>
    <s v="Product_D"/>
    <n v="2732"/>
    <n v="1"/>
    <n v="0.18"/>
    <n v="547"/>
    <x v="2"/>
    <n v="2240.2399999999998"/>
    <s v="Dec"/>
    <n v="2024"/>
    <s v="Q4"/>
    <n v="0.24417026747134238"/>
    <n v="491.76"/>
    <s v="Medium"/>
    <s v="Repeat"/>
    <s v="Below Avg"/>
    <s v="Profit"/>
    <n v="418"/>
  </r>
  <r>
    <n v="363"/>
    <x v="362"/>
    <n v="1071"/>
    <s v="Customer_140"/>
    <s v="Consumer"/>
    <s v="North"/>
    <s v="Clothing"/>
    <s v="Product_B"/>
    <n v="4332"/>
    <n v="9"/>
    <n v="0.21"/>
    <n v="1493"/>
    <x v="2"/>
    <n v="30800.52"/>
    <s v="Dec"/>
    <n v="2024"/>
    <s v="Q4"/>
    <n v="4.8473207595196445E-2"/>
    <n v="8187.48"/>
    <s v="High"/>
    <s v="Repeat"/>
    <s v="Above Avg"/>
    <s v="Profit"/>
    <n v="22"/>
  </r>
  <r>
    <n v="364"/>
    <x v="363"/>
    <n v="1077"/>
    <s v="Customer_163"/>
    <s v="Consumer"/>
    <s v="North"/>
    <s v="Electronics"/>
    <s v="Product_D"/>
    <n v="1198"/>
    <n v="9"/>
    <n v="0.11"/>
    <n v="-189"/>
    <x v="0"/>
    <n v="9595.98"/>
    <s v="Dec"/>
    <n v="2024"/>
    <s v="Q4"/>
    <n v="-1.9695747594305115E-2"/>
    <n v="1186.02"/>
    <s v="High"/>
    <s v="Repeat"/>
    <s v="Below Avg"/>
    <s v="Loss"/>
    <n v="212"/>
  </r>
  <r>
    <n v="365"/>
    <x v="364"/>
    <n v="1078"/>
    <s v="Customer_37"/>
    <s v="Consumer"/>
    <s v="North"/>
    <s v="Furniture"/>
    <s v="Product_C"/>
    <n v="3189"/>
    <n v="1"/>
    <n v="0.17"/>
    <n v="159"/>
    <x v="0"/>
    <n v="2646.87"/>
    <s v="Dec"/>
    <n v="2024"/>
    <s v="Q4"/>
    <n v="6.0070951727889926E-2"/>
    <n v="542.13"/>
    <s v="Medium"/>
    <s v="Repeat"/>
    <s v="Below Avg"/>
    <s v="Profit"/>
    <n v="407"/>
  </r>
  <r>
    <n v="366"/>
    <x v="365"/>
    <n v="1070"/>
    <s v="Customer_30"/>
    <s v="Corporate"/>
    <s v="West"/>
    <s v="Clothing"/>
    <s v="Product_C"/>
    <n v="531"/>
    <n v="9"/>
    <n v="0.25"/>
    <n v="1369"/>
    <x v="2"/>
    <n v="3584.25"/>
    <s v="Dec"/>
    <n v="2024"/>
    <s v="Q4"/>
    <n v="0.38194880379437818"/>
    <n v="1194.75"/>
    <s v="Medium"/>
    <s v="Repeat"/>
    <s v="Below Avg"/>
    <s v="Profit"/>
    <n v="371"/>
  </r>
  <r>
    <n v="367"/>
    <x v="366"/>
    <n v="1096"/>
    <s v="Customer_11"/>
    <s v="Corporate"/>
    <s v="North"/>
    <s v="Electronics"/>
    <s v="Product_D"/>
    <n v="1333"/>
    <n v="1"/>
    <n v="0.05"/>
    <n v="-123"/>
    <x v="0"/>
    <n v="1266.3499999999999"/>
    <s v="Jan"/>
    <n v="2025"/>
    <s v="Q1"/>
    <n v="-9.7129545544280813E-2"/>
    <n v="66.650000000000006"/>
    <s v="Low"/>
    <s v="Repeat"/>
    <s v="Below Avg"/>
    <s v="Loss"/>
    <n v="466"/>
  </r>
  <r>
    <n v="368"/>
    <x v="367"/>
    <n v="1051"/>
    <s v="Customer_188"/>
    <s v="Consumer"/>
    <s v="East"/>
    <s v="Clothing"/>
    <s v="Product_D"/>
    <n v="1629"/>
    <n v="2"/>
    <n v="0.15"/>
    <n v="-281"/>
    <x v="1"/>
    <n v="2769.2999999999902"/>
    <s v="Jan"/>
    <n v="2025"/>
    <s v="Q1"/>
    <n v="-0.10146968548008559"/>
    <n v="488.7"/>
    <s v="Medium"/>
    <s v="Repeat"/>
    <s v="Below Avg"/>
    <s v="Loss"/>
    <n v="400"/>
  </r>
  <r>
    <n v="369"/>
    <x v="368"/>
    <n v="1097"/>
    <s v="Customer_32"/>
    <s v="Corporate"/>
    <s v="East"/>
    <s v="Clothing"/>
    <s v="Product_C"/>
    <n v="4451"/>
    <n v="6"/>
    <n v="0.12"/>
    <n v="978"/>
    <x v="0"/>
    <n v="23501.279999999999"/>
    <s v="Jan"/>
    <n v="2025"/>
    <s v="Q1"/>
    <n v="4.1614754600600483E-2"/>
    <n v="3204.72"/>
    <s v="High"/>
    <s v="Repeat"/>
    <s v="Above Avg"/>
    <s v="Profit"/>
    <n v="57"/>
  </r>
  <r>
    <n v="370"/>
    <x v="369"/>
    <n v="1003"/>
    <s v="Customer_2"/>
    <s v="Consumer"/>
    <s v="South"/>
    <s v="Furniture"/>
    <s v="Product_D"/>
    <n v="1480"/>
    <n v="7"/>
    <n v="0.26"/>
    <n v="1989"/>
    <x v="0"/>
    <n v="7666.4"/>
    <s v="Jan"/>
    <n v="2025"/>
    <s v="Q1"/>
    <n v="0.25944380674110407"/>
    <n v="2693.6"/>
    <s v="High"/>
    <s v="Repeat"/>
    <s v="Below Avg"/>
    <s v="Profit"/>
    <n v="261"/>
  </r>
  <r>
    <n v="371"/>
    <x v="370"/>
    <n v="1000"/>
    <s v="Customer_138"/>
    <s v="Corporate"/>
    <s v="South"/>
    <s v="Clothing"/>
    <s v="Product_C"/>
    <n v="241"/>
    <n v="7"/>
    <n v="0.04"/>
    <n v="967"/>
    <x v="2"/>
    <n v="1619.52"/>
    <s v="Jan"/>
    <n v="2025"/>
    <s v="Q1"/>
    <n v="0.5970904959494171"/>
    <n v="67.48"/>
    <s v="Low"/>
    <s v="Repeat"/>
    <s v="Below Avg"/>
    <s v="Profit"/>
    <n v="452"/>
  </r>
  <r>
    <n v="372"/>
    <x v="371"/>
    <n v="1077"/>
    <s v="Customer_124"/>
    <s v="Corporate"/>
    <s v="South"/>
    <s v="Clothing"/>
    <s v="Product_D"/>
    <n v="1316"/>
    <n v="6"/>
    <n v="0.27"/>
    <n v="-31"/>
    <x v="2"/>
    <n v="5764.08"/>
    <s v="Jan"/>
    <n v="2025"/>
    <s v="Q1"/>
    <n v="-5.3781349322008024E-3"/>
    <n v="2131.92"/>
    <s v="High"/>
    <s v="Repeat"/>
    <s v="Below Avg"/>
    <s v="Loss"/>
    <n v="302"/>
  </r>
  <r>
    <n v="373"/>
    <x v="372"/>
    <n v="1094"/>
    <s v="Customer_174"/>
    <s v="Consumer"/>
    <s v="West"/>
    <s v="Electronics"/>
    <s v="Product_C"/>
    <n v="3947"/>
    <n v="8"/>
    <n v="0.08"/>
    <n v="655"/>
    <x v="2"/>
    <n v="29049.919999999998"/>
    <s v="Jan"/>
    <n v="2025"/>
    <s v="Q1"/>
    <n v="2.2547394278538462E-2"/>
    <n v="2526.08"/>
    <s v="High"/>
    <s v="Repeat"/>
    <s v="Above Avg"/>
    <s v="Profit"/>
    <n v="27"/>
  </r>
  <r>
    <n v="374"/>
    <x v="373"/>
    <n v="1037"/>
    <s v="Customer_22"/>
    <s v="Consumer"/>
    <s v="East"/>
    <s v="Furniture"/>
    <s v="Product_B"/>
    <n v="4287"/>
    <n v="8"/>
    <n v="0.18"/>
    <n v="312"/>
    <x v="0"/>
    <n v="28122.720000000001"/>
    <s v="Jan"/>
    <n v="2025"/>
    <s v="Q1"/>
    <n v="1.1094232705798016E-2"/>
    <n v="6173.28"/>
    <s v="High"/>
    <s v="Repeat"/>
    <s v="Above Avg"/>
    <s v="Profit"/>
    <n v="30"/>
  </r>
  <r>
    <n v="375"/>
    <x v="374"/>
    <n v="1052"/>
    <s v="Customer_73"/>
    <s v="Corporate"/>
    <s v="East"/>
    <s v="Clothing"/>
    <s v="Product_C"/>
    <n v="1876"/>
    <n v="1"/>
    <n v="0.11"/>
    <n v="486"/>
    <x v="1"/>
    <n v="1669.64"/>
    <s v="Jan"/>
    <n v="2025"/>
    <s v="Q1"/>
    <n v="0.29108071200977453"/>
    <n v="206.36"/>
    <s v="Low"/>
    <s v="Repeat"/>
    <s v="Below Avg"/>
    <s v="Profit"/>
    <n v="448"/>
  </r>
  <r>
    <n v="376"/>
    <x v="375"/>
    <n v="1083"/>
    <s v="Customer_118"/>
    <s v="Corporate"/>
    <s v="South"/>
    <s v="Furniture"/>
    <s v="Product_C"/>
    <n v="3751"/>
    <n v="9"/>
    <n v="0.28000000000000003"/>
    <n v="339"/>
    <x v="2"/>
    <n v="24306.48"/>
    <s v="Jan"/>
    <n v="2025"/>
    <s v="Q1"/>
    <n v="1.3946898111120985E-2"/>
    <n v="9452.52"/>
    <s v="High"/>
    <s v="Repeat"/>
    <s v="Above Avg"/>
    <s v="Profit"/>
    <n v="49"/>
  </r>
  <r>
    <n v="377"/>
    <x v="376"/>
    <n v="1002"/>
    <s v="Customer_55"/>
    <s v="Consumer"/>
    <s v="South"/>
    <s v="Electronics"/>
    <s v="Product_B"/>
    <n v="2552"/>
    <n v="4"/>
    <n v="0.06"/>
    <n v="-131"/>
    <x v="0"/>
    <n v="9595.5199999999895"/>
    <s v="Jan"/>
    <n v="2025"/>
    <s v="Q1"/>
    <n v="-1.3652204362035632E-2"/>
    <n v="612.48"/>
    <s v="High"/>
    <s v="Repeat"/>
    <s v="Below Avg"/>
    <s v="Loss"/>
    <n v="213"/>
  </r>
  <r>
    <n v="378"/>
    <x v="377"/>
    <n v="1098"/>
    <s v="Customer_187"/>
    <s v="Corporate"/>
    <s v="North"/>
    <s v="Electronics"/>
    <s v="Product_C"/>
    <n v="817"/>
    <n v="4"/>
    <n v="0.15"/>
    <n v="514"/>
    <x v="0"/>
    <n v="2777.7999999999902"/>
    <s v="Jan"/>
    <n v="2025"/>
    <s v="Q1"/>
    <n v="0.18503851969184312"/>
    <n v="490.2"/>
    <s v="Medium"/>
    <s v="Repeat"/>
    <s v="Below Avg"/>
    <s v="Profit"/>
    <n v="399"/>
  </r>
  <r>
    <n v="379"/>
    <x v="378"/>
    <n v="1096"/>
    <s v="Customer_30"/>
    <s v="Corporate"/>
    <s v="South"/>
    <s v="Clothing"/>
    <s v="Product_B"/>
    <n v="660"/>
    <n v="9"/>
    <n v="7.0000000000000007E-2"/>
    <n v="-250"/>
    <x v="0"/>
    <n v="5524.2"/>
    <s v="Jan"/>
    <n v="2025"/>
    <s v="Q1"/>
    <n v="-4.5255421599507621E-2"/>
    <n v="415.8"/>
    <s v="High"/>
    <s v="Repeat"/>
    <s v="Below Avg"/>
    <s v="Loss"/>
    <n v="308"/>
  </r>
  <r>
    <n v="380"/>
    <x v="379"/>
    <n v="1014"/>
    <s v="Customer_181"/>
    <s v="Consumer"/>
    <s v="West"/>
    <s v="Furniture"/>
    <s v="Product_B"/>
    <n v="1004"/>
    <n v="2"/>
    <n v="0.24"/>
    <n v="-339"/>
    <x v="0"/>
    <n v="1526.08"/>
    <s v="Jan"/>
    <n v="2025"/>
    <s v="Q1"/>
    <n v="-0.2221377647305515"/>
    <n v="481.91999999999996"/>
    <s v="Low"/>
    <s v="Repeat"/>
    <s v="Below Avg"/>
    <s v="Loss"/>
    <n v="456"/>
  </r>
  <r>
    <n v="381"/>
    <x v="380"/>
    <n v="1002"/>
    <s v="Customer_89"/>
    <s v="Consumer"/>
    <s v="South"/>
    <s v="Clothing"/>
    <s v="Product_D"/>
    <n v="1036"/>
    <n v="6"/>
    <n v="0.08"/>
    <n v="162"/>
    <x v="2"/>
    <n v="5718.72"/>
    <s v="Jan"/>
    <n v="2025"/>
    <s v="Q1"/>
    <n v="2.8328017458452238E-2"/>
    <n v="497.28000000000003"/>
    <s v="High"/>
    <s v="Repeat"/>
    <s v="Below Avg"/>
    <s v="Profit"/>
    <n v="303"/>
  </r>
  <r>
    <n v="382"/>
    <x v="381"/>
    <n v="1091"/>
    <s v="Customer_21"/>
    <s v="Consumer"/>
    <s v="East"/>
    <s v="Furniture"/>
    <s v="Product_C"/>
    <n v="396"/>
    <n v="2"/>
    <n v="0.28999999999999998"/>
    <n v="1960"/>
    <x v="1"/>
    <n v="562.31999999999903"/>
    <s v="Jan"/>
    <n v="2025"/>
    <s v="Q1"/>
    <n v="3.4855598235879985"/>
    <n v="229.67999999999998"/>
    <s v="Low"/>
    <s v="Repeat"/>
    <s v="Below Avg"/>
    <s v="Profit"/>
    <n v="488"/>
  </r>
  <r>
    <n v="383"/>
    <x v="382"/>
    <n v="1090"/>
    <s v="Customer_82"/>
    <s v="Consumer"/>
    <s v="West"/>
    <s v="Furniture"/>
    <s v="Product_B"/>
    <n v="4994"/>
    <n v="9"/>
    <n v="0.28000000000000003"/>
    <n v="992"/>
    <x v="2"/>
    <n v="32361.119999999999"/>
    <s v="Jan"/>
    <n v="2025"/>
    <s v="Q1"/>
    <n v="3.0654068833217144E-2"/>
    <n v="12584.880000000001"/>
    <s v="High"/>
    <s v="Repeat"/>
    <s v="Above Avg"/>
    <s v="Profit"/>
    <n v="20"/>
  </r>
  <r>
    <n v="384"/>
    <x v="383"/>
    <n v="1032"/>
    <s v="Customer_20"/>
    <s v="Corporate"/>
    <s v="North"/>
    <s v="Electronics"/>
    <s v="Product_A"/>
    <n v="1860"/>
    <n v="3"/>
    <n v="0.14000000000000001"/>
    <n v="1994"/>
    <x v="1"/>
    <n v="4798.8"/>
    <s v="Jan"/>
    <n v="2025"/>
    <s v="Q1"/>
    <n v="0.41552054680336747"/>
    <n v="781.2"/>
    <s v="Medium"/>
    <s v="Repeat"/>
    <s v="Below Avg"/>
    <s v="Profit"/>
    <n v="330"/>
  </r>
  <r>
    <n v="385"/>
    <x v="384"/>
    <n v="1082"/>
    <s v="Customer_113"/>
    <s v="Corporate"/>
    <s v="West"/>
    <s v="Clothing"/>
    <s v="Product_C"/>
    <n v="1299"/>
    <n v="6"/>
    <n v="0"/>
    <n v="92"/>
    <x v="0"/>
    <n v="7794"/>
    <s v="Jan"/>
    <n v="2025"/>
    <s v="Q1"/>
    <n v="1.1803951757762381E-2"/>
    <n v="0"/>
    <s v="High"/>
    <s v="Repeat"/>
    <s v="Below Avg"/>
    <s v="Profit"/>
    <n v="256"/>
  </r>
  <r>
    <n v="386"/>
    <x v="385"/>
    <n v="1055"/>
    <s v="Customer_167"/>
    <s v="Consumer"/>
    <s v="North"/>
    <s v="Furniture"/>
    <s v="Product_C"/>
    <n v="4386"/>
    <n v="3"/>
    <n v="0.28999999999999998"/>
    <n v="838"/>
    <x v="2"/>
    <n v="9342.18"/>
    <s v="Jan"/>
    <n v="2025"/>
    <s v="Q1"/>
    <n v="8.9700690845177455E-2"/>
    <n v="3815.8199999999997"/>
    <s v="High"/>
    <s v="Repeat"/>
    <s v="Below Avg"/>
    <s v="Profit"/>
    <n v="224"/>
  </r>
  <r>
    <n v="387"/>
    <x v="386"/>
    <n v="1032"/>
    <s v="Customer_35"/>
    <s v="Consumer"/>
    <s v="North"/>
    <s v="Electronics"/>
    <s v="Product_A"/>
    <n v="3993"/>
    <n v="5"/>
    <n v="0.21"/>
    <n v="1730"/>
    <x v="2"/>
    <n v="15772.35"/>
    <s v="Jan"/>
    <n v="2025"/>
    <s v="Q1"/>
    <n v="0.10968562072234005"/>
    <n v="4192.6499999999996"/>
    <s v="High"/>
    <s v="Repeat"/>
    <s v="Above Avg"/>
    <s v="Profit"/>
    <n v="132"/>
  </r>
  <r>
    <n v="388"/>
    <x v="387"/>
    <n v="1030"/>
    <s v="Customer_29"/>
    <s v="Consumer"/>
    <s v="East"/>
    <s v="Electronics"/>
    <s v="Product_B"/>
    <n v="1045"/>
    <n v="3"/>
    <n v="0.15"/>
    <n v="1869"/>
    <x v="1"/>
    <n v="2664.75"/>
    <s v="Jan"/>
    <n v="2025"/>
    <s v="Q1"/>
    <n v="0.70137911623979732"/>
    <n v="470.25"/>
    <s v="Medium"/>
    <s v="Repeat"/>
    <s v="Below Avg"/>
    <s v="Profit"/>
    <n v="405"/>
  </r>
  <r>
    <n v="389"/>
    <x v="388"/>
    <n v="1003"/>
    <s v="Customer_110"/>
    <s v="Corporate"/>
    <s v="West"/>
    <s v="Furniture"/>
    <s v="Product_C"/>
    <n v="1736"/>
    <n v="8"/>
    <n v="0.18"/>
    <n v="492"/>
    <x v="2"/>
    <n v="11388.16"/>
    <s v="Jan"/>
    <n v="2025"/>
    <s v="Q1"/>
    <n v="4.3202764976958526E-2"/>
    <n v="2499.8399999999997"/>
    <s v="High"/>
    <s v="Repeat"/>
    <s v="Above Avg"/>
    <s v="Profit"/>
    <n v="183"/>
  </r>
  <r>
    <n v="390"/>
    <x v="389"/>
    <n v="1095"/>
    <s v="Customer_56"/>
    <s v="Consumer"/>
    <s v="North"/>
    <s v="Clothing"/>
    <s v="Product_A"/>
    <n v="2341"/>
    <n v="4"/>
    <n v="0.03"/>
    <n v="1730"/>
    <x v="1"/>
    <n v="9083.08"/>
    <s v="Jan"/>
    <n v="2025"/>
    <s v="Q1"/>
    <n v="0.19046402762058684"/>
    <n v="280.92"/>
    <s v="High"/>
    <s v="Repeat"/>
    <s v="Below Avg"/>
    <s v="Profit"/>
    <n v="229"/>
  </r>
  <r>
    <n v="391"/>
    <x v="390"/>
    <n v="1091"/>
    <s v="Customer_116"/>
    <s v="Consumer"/>
    <s v="West"/>
    <s v="Clothing"/>
    <s v="Product_C"/>
    <n v="3013"/>
    <n v="3"/>
    <n v="0.05"/>
    <n v="1502"/>
    <x v="2"/>
    <n v="8587.0499999999993"/>
    <s v="Jan"/>
    <n v="2025"/>
    <s v="Q1"/>
    <n v="0.17491455156310959"/>
    <n v="451.95000000000005"/>
    <s v="High"/>
    <s v="Repeat"/>
    <s v="Below Avg"/>
    <s v="Profit"/>
    <n v="237"/>
  </r>
  <r>
    <n v="392"/>
    <x v="391"/>
    <n v="1079"/>
    <s v="Customer_183"/>
    <s v="Corporate"/>
    <s v="North"/>
    <s v="Clothing"/>
    <s v="Product_D"/>
    <n v="3266"/>
    <n v="8"/>
    <n v="0.19"/>
    <n v="658"/>
    <x v="0"/>
    <n v="21163.68"/>
    <s v="Jan"/>
    <n v="2025"/>
    <s v="Q1"/>
    <n v="3.1091001186939134E-2"/>
    <n v="4964.32"/>
    <s v="High"/>
    <s v="Repeat"/>
    <s v="Above Avg"/>
    <s v="Profit"/>
    <n v="73"/>
  </r>
  <r>
    <n v="393"/>
    <x v="392"/>
    <n v="1091"/>
    <s v="Customer_181"/>
    <s v="Consumer"/>
    <s v="South"/>
    <s v="Clothing"/>
    <s v="Product_C"/>
    <n v="4888"/>
    <n v="7"/>
    <n v="0.01"/>
    <n v="249"/>
    <x v="2"/>
    <n v="33873.839999999997"/>
    <s v="Jan"/>
    <n v="2025"/>
    <s v="Q1"/>
    <n v="7.3508052231456497E-3"/>
    <n v="342.16"/>
    <s v="High"/>
    <s v="Repeat"/>
    <s v="Above Avg"/>
    <s v="Profit"/>
    <n v="15"/>
  </r>
  <r>
    <n v="394"/>
    <x v="393"/>
    <n v="1078"/>
    <s v="Customer_176"/>
    <s v="Corporate"/>
    <s v="South"/>
    <s v="Electronics"/>
    <s v="Product_B"/>
    <n v="4543"/>
    <n v="1"/>
    <n v="0.21"/>
    <n v="62"/>
    <x v="0"/>
    <n v="3588.97"/>
    <s v="Jan"/>
    <n v="2025"/>
    <s v="Q1"/>
    <n v="1.7275151366548065E-2"/>
    <n v="954.03"/>
    <s v="Medium"/>
    <s v="Repeat"/>
    <s v="Below Avg"/>
    <s v="Profit"/>
    <n v="370"/>
  </r>
  <r>
    <n v="395"/>
    <x v="394"/>
    <n v="1021"/>
    <s v="Customer_67"/>
    <s v="Corporate"/>
    <s v="West"/>
    <s v="Clothing"/>
    <s v="Product_B"/>
    <n v="2496"/>
    <n v="3"/>
    <n v="0.28000000000000003"/>
    <n v="455"/>
    <x v="1"/>
    <n v="5391.36"/>
    <s v="Jan"/>
    <n v="2025"/>
    <s v="Q1"/>
    <n v="8.4394290123456797E-2"/>
    <n v="2096.6400000000003"/>
    <s v="High"/>
    <s v="Repeat"/>
    <s v="Below Avg"/>
    <s v="Profit"/>
    <n v="313"/>
  </r>
  <r>
    <n v="396"/>
    <x v="395"/>
    <n v="1030"/>
    <s v="Customer_183"/>
    <s v="Consumer"/>
    <s v="West"/>
    <s v="Clothing"/>
    <s v="Product_C"/>
    <n v="1506"/>
    <n v="3"/>
    <n v="0.21"/>
    <n v="-309"/>
    <x v="0"/>
    <n v="3569.22"/>
    <s v="Jan"/>
    <n v="2025"/>
    <s v="Q1"/>
    <n v="-8.6573537075327389E-2"/>
    <n v="948.78"/>
    <s v="Medium"/>
    <s v="Repeat"/>
    <s v="Below Avg"/>
    <s v="Loss"/>
    <n v="373"/>
  </r>
  <r>
    <n v="397"/>
    <x v="396"/>
    <n v="1059"/>
    <s v="Customer_32"/>
    <s v="Corporate"/>
    <s v="North"/>
    <s v="Furniture"/>
    <s v="Product_A"/>
    <n v="593"/>
    <n v="4"/>
    <n v="0.17"/>
    <n v="1059"/>
    <x v="1"/>
    <n v="1968.76"/>
    <s v="Jan"/>
    <n v="2025"/>
    <s v="Q1"/>
    <n v="0.53790202970397616"/>
    <n v="403.24"/>
    <s v="Low"/>
    <s v="Repeat"/>
    <s v="Below Avg"/>
    <s v="Profit"/>
    <n v="432"/>
  </r>
  <r>
    <n v="398"/>
    <x v="397"/>
    <n v="1084"/>
    <s v="Customer_58"/>
    <s v="Corporate"/>
    <s v="North"/>
    <s v="Furniture"/>
    <s v="Product_A"/>
    <n v="2132"/>
    <n v="1"/>
    <n v="0.24"/>
    <n v="1264"/>
    <x v="2"/>
    <n v="1620.32"/>
    <s v="Feb"/>
    <n v="2025"/>
    <s v="Q1"/>
    <n v="0.78009282117112677"/>
    <n v="511.68"/>
    <s v="Low"/>
    <s v="Repeat"/>
    <s v="Below Avg"/>
    <s v="Profit"/>
    <n v="451"/>
  </r>
  <r>
    <n v="399"/>
    <x v="398"/>
    <n v="1031"/>
    <s v="Customer_78"/>
    <s v="Consumer"/>
    <s v="North"/>
    <s v="Furniture"/>
    <s v="Product_A"/>
    <n v="160"/>
    <n v="9"/>
    <n v="0.22"/>
    <n v="121"/>
    <x v="0"/>
    <n v="1123.2"/>
    <s v="Feb"/>
    <n v="2025"/>
    <s v="Q1"/>
    <n v="0.10772792022792023"/>
    <n v="316.8"/>
    <s v="Low"/>
    <s v="New"/>
    <s v="Below Avg"/>
    <s v="Profit"/>
    <n v="473"/>
  </r>
  <r>
    <n v="400"/>
    <x v="399"/>
    <n v="1070"/>
    <s v="Customer_69"/>
    <s v="Consumer"/>
    <s v="East"/>
    <s v="Furniture"/>
    <s v="Product_B"/>
    <n v="1845"/>
    <n v="2"/>
    <n v="0.18"/>
    <n v="-188"/>
    <x v="2"/>
    <n v="3025.8"/>
    <s v="Feb"/>
    <n v="2025"/>
    <s v="Q1"/>
    <n v="-6.2132328640359571E-2"/>
    <n v="664.19999999999993"/>
    <s v="Medium"/>
    <s v="Repeat"/>
    <s v="Below Avg"/>
    <s v="Loss"/>
    <n v="391"/>
  </r>
  <r>
    <n v="401"/>
    <x v="400"/>
    <n v="1096"/>
    <s v="Customer_28"/>
    <s v="Consumer"/>
    <s v="East"/>
    <s v="Electronics"/>
    <s v="Product_C"/>
    <n v="3601"/>
    <n v="7"/>
    <n v="0.06"/>
    <n v="774"/>
    <x v="1"/>
    <n v="23694.5799999999"/>
    <s v="Feb"/>
    <n v="2025"/>
    <s v="Q1"/>
    <n v="3.2665698231410023E-2"/>
    <n v="1512.4199999999998"/>
    <s v="High"/>
    <s v="Repeat"/>
    <s v="Above Avg"/>
    <s v="Profit"/>
    <n v="54"/>
  </r>
  <r>
    <n v="402"/>
    <x v="401"/>
    <n v="1007"/>
    <s v="Customer_72"/>
    <s v="Consumer"/>
    <s v="West"/>
    <s v="Clothing"/>
    <s v="Product_D"/>
    <n v="1056"/>
    <n v="2"/>
    <n v="0"/>
    <n v="1283"/>
    <x v="0"/>
    <n v="2112"/>
    <s v="Feb"/>
    <n v="2025"/>
    <s v="Q1"/>
    <n v="0.60748106060606055"/>
    <n v="0"/>
    <s v="Medium"/>
    <s v="Repeat"/>
    <s v="Below Avg"/>
    <s v="Profit"/>
    <n v="422"/>
  </r>
  <r>
    <n v="403"/>
    <x v="402"/>
    <n v="1077"/>
    <s v="Customer_109"/>
    <s v="Consumer"/>
    <s v="West"/>
    <s v="Clothing"/>
    <s v="Product_D"/>
    <n v="4889"/>
    <n v="8"/>
    <n v="0.14000000000000001"/>
    <n v="517"/>
    <x v="0"/>
    <n v="33636.32"/>
    <s v="Feb"/>
    <n v="2025"/>
    <s v="Q1"/>
    <n v="1.5370290210106219E-2"/>
    <n v="5475.68"/>
    <s v="High"/>
    <s v="Repeat"/>
    <s v="Above Avg"/>
    <s v="Profit"/>
    <n v="16"/>
  </r>
  <r>
    <n v="404"/>
    <x v="403"/>
    <n v="1061"/>
    <s v="Customer_60"/>
    <s v="Consumer"/>
    <s v="South"/>
    <s v="Electronics"/>
    <s v="Product_D"/>
    <n v="4231"/>
    <n v="3"/>
    <n v="7.0000000000000007E-2"/>
    <n v="-225"/>
    <x v="0"/>
    <n v="11804.49"/>
    <s v="Feb"/>
    <n v="2025"/>
    <s v="Q1"/>
    <n v="-1.9060543911681063E-2"/>
    <n v="888.5100000000001"/>
    <s v="High"/>
    <s v="Repeat"/>
    <s v="Above Avg"/>
    <s v="Loss"/>
    <n v="172"/>
  </r>
  <r>
    <n v="405"/>
    <x v="404"/>
    <n v="1088"/>
    <s v="Customer_13"/>
    <s v="Corporate"/>
    <s v="South"/>
    <s v="Electronics"/>
    <s v="Product_B"/>
    <n v="2954"/>
    <n v="6"/>
    <n v="7.0000000000000007E-2"/>
    <n v="-111"/>
    <x v="2"/>
    <n v="16483.32"/>
    <s v="Feb"/>
    <n v="2025"/>
    <s v="Q1"/>
    <n v="-6.7340802702368216E-3"/>
    <n v="1240.68"/>
    <s v="High"/>
    <s v="Repeat"/>
    <s v="Above Avg"/>
    <s v="Loss"/>
    <n v="115"/>
  </r>
  <r>
    <n v="406"/>
    <x v="405"/>
    <n v="1095"/>
    <s v="Customer_18"/>
    <s v="Corporate"/>
    <s v="West"/>
    <s v="Electronics"/>
    <s v="Product_D"/>
    <n v="3263"/>
    <n v="8"/>
    <n v="0.15"/>
    <n v="562"/>
    <x v="2"/>
    <n v="22188.3999999999"/>
    <s v="Feb"/>
    <n v="2025"/>
    <s v="Q1"/>
    <n v="2.5328550053181055E-2"/>
    <n v="3915.6"/>
    <s v="High"/>
    <s v="Repeat"/>
    <s v="Above Avg"/>
    <s v="Profit"/>
    <n v="65"/>
  </r>
  <r>
    <n v="407"/>
    <x v="406"/>
    <n v="1027"/>
    <s v="Customer_179"/>
    <s v="Corporate"/>
    <s v="North"/>
    <s v="Electronics"/>
    <s v="Product_D"/>
    <n v="1024"/>
    <n v="5"/>
    <n v="0.11"/>
    <n v="538"/>
    <x v="2"/>
    <n v="4556.8"/>
    <s v="Feb"/>
    <n v="2025"/>
    <s v="Q1"/>
    <n v="0.11806530898876404"/>
    <n v="563.20000000000005"/>
    <s v="Medium"/>
    <s v="Repeat"/>
    <s v="Below Avg"/>
    <s v="Profit"/>
    <n v="337"/>
  </r>
  <r>
    <n v="408"/>
    <x v="407"/>
    <n v="1065"/>
    <s v="Customer_50"/>
    <s v="Consumer"/>
    <s v="East"/>
    <s v="Clothing"/>
    <s v="Product_A"/>
    <n v="2288"/>
    <n v="7"/>
    <n v="0.15"/>
    <n v="634"/>
    <x v="1"/>
    <n v="13613.6"/>
    <s v="Feb"/>
    <n v="2025"/>
    <s v="Q1"/>
    <n v="4.6571075982840687E-2"/>
    <n v="2402.4"/>
    <s v="High"/>
    <s v="Repeat"/>
    <s v="Above Avg"/>
    <s v="Profit"/>
    <n v="152"/>
  </r>
  <r>
    <n v="409"/>
    <x v="408"/>
    <n v="1016"/>
    <s v="Customer_43"/>
    <s v="Consumer"/>
    <s v="West"/>
    <s v="Electronics"/>
    <s v="Product_A"/>
    <n v="4617"/>
    <n v="9"/>
    <n v="0.08"/>
    <n v="1491"/>
    <x v="1"/>
    <n v="38228.76"/>
    <s v="Feb"/>
    <n v="2025"/>
    <s v="Q1"/>
    <n v="3.9002049765673799E-2"/>
    <n v="3324.2400000000002"/>
    <s v="High"/>
    <s v="Repeat"/>
    <s v="Above Avg"/>
    <s v="Profit"/>
    <n v="5"/>
  </r>
  <r>
    <n v="410"/>
    <x v="409"/>
    <n v="1090"/>
    <s v="Customer_85"/>
    <s v="Consumer"/>
    <s v="West"/>
    <s v="Clothing"/>
    <s v="Product_D"/>
    <n v="1303"/>
    <n v="5"/>
    <n v="0.18"/>
    <n v="826"/>
    <x v="1"/>
    <n v="5342.3"/>
    <s v="Feb"/>
    <n v="2025"/>
    <s v="Q1"/>
    <n v="0.15461505344140164"/>
    <n v="1172.7"/>
    <s v="High"/>
    <s v="Repeat"/>
    <s v="Below Avg"/>
    <s v="Profit"/>
    <n v="315"/>
  </r>
  <r>
    <n v="411"/>
    <x v="410"/>
    <n v="1001"/>
    <s v="Customer_46"/>
    <s v="Consumer"/>
    <s v="South"/>
    <s v="Furniture"/>
    <s v="Product_A"/>
    <n v="2942"/>
    <n v="7"/>
    <n v="0.19"/>
    <n v="90"/>
    <x v="0"/>
    <n v="16681.14"/>
    <s v="Feb"/>
    <n v="2025"/>
    <s v="Q1"/>
    <n v="5.3953147087069595E-3"/>
    <n v="3912.86"/>
    <s v="High"/>
    <s v="Repeat"/>
    <s v="Above Avg"/>
    <s v="Profit"/>
    <n v="109"/>
  </r>
  <r>
    <n v="412"/>
    <x v="411"/>
    <n v="1007"/>
    <s v="Customer_24"/>
    <s v="Consumer"/>
    <s v="West"/>
    <s v="Furniture"/>
    <s v="Product_C"/>
    <n v="3138"/>
    <n v="8"/>
    <n v="0.06"/>
    <n v="281"/>
    <x v="2"/>
    <n v="23597.759999999998"/>
    <s v="Feb"/>
    <n v="2025"/>
    <s v="Q1"/>
    <n v="1.1907909903312858E-2"/>
    <n v="1506.24"/>
    <s v="High"/>
    <s v="Repeat"/>
    <s v="Above Avg"/>
    <s v="Profit"/>
    <n v="55"/>
  </r>
  <r>
    <n v="413"/>
    <x v="412"/>
    <n v="1037"/>
    <s v="Customer_5"/>
    <s v="Corporate"/>
    <s v="South"/>
    <s v="Electronics"/>
    <s v="Product_C"/>
    <n v="2851"/>
    <n v="4"/>
    <n v="0.17"/>
    <n v="385"/>
    <x v="1"/>
    <n v="9465.32"/>
    <s v="Feb"/>
    <n v="2025"/>
    <s v="Q1"/>
    <n v="4.0674800218059193E-2"/>
    <n v="1938.68"/>
    <s v="High"/>
    <s v="Repeat"/>
    <s v="Below Avg"/>
    <s v="Profit"/>
    <n v="219"/>
  </r>
  <r>
    <n v="414"/>
    <x v="413"/>
    <n v="1019"/>
    <s v="Customer_158"/>
    <s v="Consumer"/>
    <s v="East"/>
    <s v="Clothing"/>
    <s v="Product_A"/>
    <n v="1181"/>
    <n v="8"/>
    <n v="0.13"/>
    <n v="-134"/>
    <x v="2"/>
    <n v="8219.76"/>
    <s v="Feb"/>
    <n v="2025"/>
    <s v="Q1"/>
    <n v="-1.6302179139050289E-2"/>
    <n v="1228.24"/>
    <s v="High"/>
    <s v="Repeat"/>
    <s v="Below Avg"/>
    <s v="Loss"/>
    <n v="243"/>
  </r>
  <r>
    <n v="415"/>
    <x v="414"/>
    <n v="1063"/>
    <s v="Customer_43"/>
    <s v="Corporate"/>
    <s v="West"/>
    <s v="Furniture"/>
    <s v="Product_A"/>
    <n v="4382"/>
    <n v="8"/>
    <n v="0.28999999999999998"/>
    <n v="420"/>
    <x v="0"/>
    <n v="24889.759999999998"/>
    <s v="Feb"/>
    <n v="2025"/>
    <s v="Q1"/>
    <n v="1.6874409395671152E-2"/>
    <n v="10166.24"/>
    <s v="High"/>
    <s v="Repeat"/>
    <s v="Above Avg"/>
    <s v="Profit"/>
    <n v="43"/>
  </r>
  <r>
    <n v="416"/>
    <x v="415"/>
    <n v="1020"/>
    <s v="Customer_53"/>
    <s v="Consumer"/>
    <s v="East"/>
    <s v="Furniture"/>
    <s v="Product_C"/>
    <n v="346"/>
    <n v="1"/>
    <n v="0.22"/>
    <n v="1283"/>
    <x v="2"/>
    <n v="269.88"/>
    <s v="Feb"/>
    <n v="2025"/>
    <s v="Q1"/>
    <n v="4.7539647250629908"/>
    <n v="76.12"/>
    <s v="Low"/>
    <s v="Repeat"/>
    <s v="Below Avg"/>
    <s v="Profit"/>
    <n v="497"/>
  </r>
  <r>
    <n v="417"/>
    <x v="416"/>
    <n v="1089"/>
    <s v="Customer_152"/>
    <s v="Consumer"/>
    <s v="South"/>
    <s v="Electronics"/>
    <s v="Product_B"/>
    <n v="895"/>
    <n v="7"/>
    <n v="0.05"/>
    <n v="305"/>
    <x v="1"/>
    <n v="5951.75"/>
    <s v="Feb"/>
    <n v="2025"/>
    <s v="Q1"/>
    <n v="5.1245432015793672E-2"/>
    <n v="313.25"/>
    <s v="High"/>
    <s v="Repeat"/>
    <s v="Below Avg"/>
    <s v="Profit"/>
    <n v="299"/>
  </r>
  <r>
    <n v="418"/>
    <x v="417"/>
    <n v="1030"/>
    <s v="Customer_103"/>
    <s v="Consumer"/>
    <s v="North"/>
    <s v="Clothing"/>
    <s v="Product_D"/>
    <n v="3786"/>
    <n v="6"/>
    <n v="0.26"/>
    <n v="1046"/>
    <x v="0"/>
    <n v="16809.84"/>
    <s v="Feb"/>
    <n v="2025"/>
    <s v="Q1"/>
    <n v="6.2225458421971892E-2"/>
    <n v="5906.16"/>
    <s v="High"/>
    <s v="Repeat"/>
    <s v="Above Avg"/>
    <s v="Profit"/>
    <n v="106"/>
  </r>
  <r>
    <n v="419"/>
    <x v="418"/>
    <n v="1083"/>
    <s v="Customer_142"/>
    <s v="Corporate"/>
    <s v="North"/>
    <s v="Electronics"/>
    <s v="Product_A"/>
    <n v="1037"/>
    <n v="9"/>
    <n v="0.14000000000000001"/>
    <n v="1107"/>
    <x v="1"/>
    <n v="8026.38"/>
    <s v="Feb"/>
    <n v="2025"/>
    <s v="Q1"/>
    <n v="0.13792020811374492"/>
    <n v="1306.6200000000001"/>
    <s v="High"/>
    <s v="Repeat"/>
    <s v="Below Avg"/>
    <s v="Profit"/>
    <n v="253"/>
  </r>
  <r>
    <n v="420"/>
    <x v="419"/>
    <n v="1069"/>
    <s v="Customer_164"/>
    <s v="Corporate"/>
    <s v="East"/>
    <s v="Clothing"/>
    <s v="Product_B"/>
    <n v="2011"/>
    <n v="8"/>
    <n v="0.25"/>
    <n v="1506"/>
    <x v="1"/>
    <n v="12066"/>
    <s v="Feb"/>
    <n v="2025"/>
    <s v="Q1"/>
    <n v="0.12481352560914968"/>
    <n v="4022"/>
    <s v="High"/>
    <s v="Repeat"/>
    <s v="Above Avg"/>
    <s v="Profit"/>
    <n v="166"/>
  </r>
  <r>
    <n v="421"/>
    <x v="420"/>
    <n v="1014"/>
    <s v="Customer_154"/>
    <s v="Consumer"/>
    <s v="North"/>
    <s v="Clothing"/>
    <s v="Product_D"/>
    <n v="1278"/>
    <n v="4"/>
    <n v="0.25"/>
    <n v="-41"/>
    <x v="1"/>
    <n v="3834"/>
    <s v="Feb"/>
    <n v="2025"/>
    <s v="Q1"/>
    <n v="-1.069379238393323E-2"/>
    <n v="1278"/>
    <s v="Medium"/>
    <s v="Repeat"/>
    <s v="Below Avg"/>
    <s v="Loss"/>
    <n v="362"/>
  </r>
  <r>
    <n v="422"/>
    <x v="421"/>
    <n v="1056"/>
    <s v="Customer_13"/>
    <s v="Corporate"/>
    <s v="East"/>
    <s v="Clothing"/>
    <s v="Product_A"/>
    <n v="837"/>
    <n v="2"/>
    <n v="0.01"/>
    <n v="1937"/>
    <x v="2"/>
    <n v="1657.26"/>
    <s v="Feb"/>
    <n v="2025"/>
    <s v="Q1"/>
    <n v="1.1687966885099501"/>
    <n v="16.740000000000002"/>
    <s v="Low"/>
    <s v="Repeat"/>
    <s v="Below Avg"/>
    <s v="Profit"/>
    <n v="449"/>
  </r>
  <r>
    <n v="423"/>
    <x v="422"/>
    <n v="1000"/>
    <s v="Customer_21"/>
    <s v="Consumer"/>
    <s v="North"/>
    <s v="Clothing"/>
    <s v="Product_A"/>
    <n v="734"/>
    <n v="3"/>
    <n v="7.0000000000000007E-2"/>
    <n v="1682"/>
    <x v="0"/>
    <n v="2047.86"/>
    <s v="Feb"/>
    <n v="2025"/>
    <s v="Q1"/>
    <n v="0.82134520914515641"/>
    <n v="154.14000000000001"/>
    <s v="Medium"/>
    <s v="Repeat"/>
    <s v="Below Avg"/>
    <s v="Profit"/>
    <n v="427"/>
  </r>
  <r>
    <n v="424"/>
    <x v="423"/>
    <n v="1089"/>
    <s v="Customer_90"/>
    <s v="Corporate"/>
    <s v="West"/>
    <s v="Electronics"/>
    <s v="Product_B"/>
    <n v="316"/>
    <n v="7"/>
    <n v="0.27"/>
    <n v="1139"/>
    <x v="1"/>
    <n v="1614.76"/>
    <s v="Feb"/>
    <n v="2025"/>
    <s v="Q1"/>
    <n v="0.70536798038098536"/>
    <n v="597.24"/>
    <s v="Low"/>
    <s v="Repeat"/>
    <s v="Below Avg"/>
    <s v="Profit"/>
    <n v="453"/>
  </r>
  <r>
    <n v="425"/>
    <x v="424"/>
    <n v="1028"/>
    <s v="Customer_98"/>
    <s v="Consumer"/>
    <s v="South"/>
    <s v="Furniture"/>
    <s v="Product_D"/>
    <n v="519"/>
    <n v="9"/>
    <n v="0.23"/>
    <n v="411"/>
    <x v="1"/>
    <n v="3596.67"/>
    <s v="Feb"/>
    <n v="2025"/>
    <s v="Q1"/>
    <n v="0.11427236860762872"/>
    <n v="1074.3300000000002"/>
    <s v="Medium"/>
    <s v="Repeat"/>
    <s v="Below Avg"/>
    <s v="Profit"/>
    <n v="369"/>
  </r>
  <r>
    <n v="426"/>
    <x v="425"/>
    <n v="1065"/>
    <s v="Customer_40"/>
    <s v="Consumer"/>
    <s v="North"/>
    <s v="Clothing"/>
    <s v="Product_A"/>
    <n v="2662"/>
    <n v="3"/>
    <n v="0.04"/>
    <n v="1264"/>
    <x v="0"/>
    <n v="7666.5599999999904"/>
    <s v="Mar"/>
    <n v="2025"/>
    <s v="Q1"/>
    <n v="0.16487185908673532"/>
    <n v="319.44"/>
    <s v="High"/>
    <s v="Repeat"/>
    <s v="Below Avg"/>
    <s v="Profit"/>
    <n v="260"/>
  </r>
  <r>
    <n v="427"/>
    <x v="426"/>
    <n v="1021"/>
    <s v="Customer_43"/>
    <s v="Consumer"/>
    <s v="East"/>
    <s v="Clothing"/>
    <s v="Product_D"/>
    <n v="408"/>
    <n v="7"/>
    <n v="0.06"/>
    <n v="1876"/>
    <x v="1"/>
    <n v="2684.64"/>
    <s v="Mar"/>
    <n v="2025"/>
    <s v="Q1"/>
    <n v="0.69879015435961622"/>
    <n v="171.35999999999999"/>
    <s v="Medium"/>
    <s v="Repeat"/>
    <s v="Below Avg"/>
    <s v="Profit"/>
    <n v="402"/>
  </r>
  <r>
    <n v="428"/>
    <x v="427"/>
    <n v="1060"/>
    <s v="Customer_59"/>
    <s v="Consumer"/>
    <s v="South"/>
    <s v="Clothing"/>
    <s v="Product_D"/>
    <n v="4903"/>
    <n v="1"/>
    <n v="0.19"/>
    <n v="1541"/>
    <x v="0"/>
    <n v="3971.43"/>
    <s v="Mar"/>
    <n v="2025"/>
    <s v="Q1"/>
    <n v="0.38802144315775428"/>
    <n v="931.57"/>
    <s v="Medium"/>
    <s v="Repeat"/>
    <s v="Below Avg"/>
    <s v="Profit"/>
    <n v="355"/>
  </r>
  <r>
    <n v="429"/>
    <x v="428"/>
    <n v="1028"/>
    <s v="Customer_49"/>
    <s v="Corporate"/>
    <s v="West"/>
    <s v="Electronics"/>
    <s v="Product_D"/>
    <n v="1966"/>
    <n v="3"/>
    <n v="0.08"/>
    <n v="919"/>
    <x v="1"/>
    <n v="5426.16"/>
    <s v="Mar"/>
    <n v="2025"/>
    <s v="Q1"/>
    <n v="0.16936470726996625"/>
    <n v="471.84000000000003"/>
    <s v="High"/>
    <s v="Repeat"/>
    <s v="Below Avg"/>
    <s v="Profit"/>
    <n v="311"/>
  </r>
  <r>
    <n v="430"/>
    <x v="429"/>
    <n v="1008"/>
    <s v="Customer_175"/>
    <s v="Corporate"/>
    <s v="West"/>
    <s v="Clothing"/>
    <s v="Product_B"/>
    <n v="1083"/>
    <n v="2"/>
    <n v="0.06"/>
    <n v="25"/>
    <x v="1"/>
    <n v="2036.04"/>
    <s v="Mar"/>
    <n v="2025"/>
    <s v="Q1"/>
    <n v="1.2278737156440934E-2"/>
    <n v="129.96"/>
    <s v="Medium"/>
    <s v="Repeat"/>
    <s v="Below Avg"/>
    <s v="Profit"/>
    <n v="429"/>
  </r>
  <r>
    <n v="431"/>
    <x v="430"/>
    <n v="1040"/>
    <s v="Customer_147"/>
    <s v="Corporate"/>
    <s v="East"/>
    <s v="Furniture"/>
    <s v="Product_D"/>
    <n v="3878"/>
    <n v="6"/>
    <n v="0.3"/>
    <n v="227"/>
    <x v="1"/>
    <n v="16287.5999999999"/>
    <s v="Mar"/>
    <n v="2025"/>
    <s v="Q1"/>
    <n v="1.3936982735332485E-2"/>
    <n v="6980.4"/>
    <s v="High"/>
    <s v="Repeat"/>
    <s v="Above Avg"/>
    <s v="Profit"/>
    <n v="120"/>
  </r>
  <r>
    <n v="432"/>
    <x v="431"/>
    <n v="1020"/>
    <s v="Customer_140"/>
    <s v="Consumer"/>
    <s v="North"/>
    <s v="Clothing"/>
    <s v="Product_C"/>
    <n v="2387"/>
    <n v="9"/>
    <n v="0.14000000000000001"/>
    <n v="-68"/>
    <x v="2"/>
    <n v="18475.38"/>
    <s v="Mar"/>
    <n v="2025"/>
    <s v="Q1"/>
    <n v="-3.6805738231094568E-3"/>
    <n v="3007.6200000000003"/>
    <s v="High"/>
    <s v="Repeat"/>
    <s v="Above Avg"/>
    <s v="Loss"/>
    <n v="88"/>
  </r>
  <r>
    <n v="433"/>
    <x v="432"/>
    <n v="1054"/>
    <s v="Customer_36"/>
    <s v="Consumer"/>
    <s v="North"/>
    <s v="Furniture"/>
    <s v="Product_A"/>
    <n v="3414"/>
    <n v="3"/>
    <n v="0.16"/>
    <n v="1361"/>
    <x v="0"/>
    <n v="8603.2799999999897"/>
    <s v="Mar"/>
    <n v="2025"/>
    <s v="Q1"/>
    <n v="0.15819547893361621"/>
    <n v="1638.72"/>
    <s v="High"/>
    <s v="Repeat"/>
    <s v="Below Avg"/>
    <s v="Profit"/>
    <n v="236"/>
  </r>
  <r>
    <n v="434"/>
    <x v="433"/>
    <n v="1095"/>
    <s v="Customer_122"/>
    <s v="Consumer"/>
    <s v="South"/>
    <s v="Furniture"/>
    <s v="Product_D"/>
    <n v="661"/>
    <n v="8"/>
    <n v="0.2"/>
    <n v="31"/>
    <x v="2"/>
    <n v="4230.3999999999996"/>
    <s v="Mar"/>
    <n v="2025"/>
    <s v="Q1"/>
    <n v="7.3279122541603636E-3"/>
    <n v="1057.6000000000001"/>
    <s v="Medium"/>
    <s v="Repeat"/>
    <s v="Below Avg"/>
    <s v="Profit"/>
    <n v="345"/>
  </r>
  <r>
    <n v="435"/>
    <x v="434"/>
    <n v="1095"/>
    <s v="Customer_94"/>
    <s v="Consumer"/>
    <s v="East"/>
    <s v="Electronics"/>
    <s v="Product_A"/>
    <n v="3695"/>
    <n v="9"/>
    <n v="0.02"/>
    <n v="1064"/>
    <x v="2"/>
    <n v="32589.8999999999"/>
    <s v="Mar"/>
    <n v="2025"/>
    <s v="Q1"/>
    <n v="3.2648151727989447E-2"/>
    <n v="665.1"/>
    <s v="High"/>
    <s v="Repeat"/>
    <s v="Above Avg"/>
    <s v="Profit"/>
    <n v="19"/>
  </r>
  <r>
    <n v="436"/>
    <x v="435"/>
    <n v="1039"/>
    <s v="Customer_108"/>
    <s v="Corporate"/>
    <s v="East"/>
    <s v="Furniture"/>
    <s v="Product_C"/>
    <n v="4987"/>
    <n v="8"/>
    <n v="0.12"/>
    <n v="1901"/>
    <x v="0"/>
    <n v="35108.480000000003"/>
    <s v="Mar"/>
    <n v="2025"/>
    <s v="Q1"/>
    <n v="5.4146462620996406E-2"/>
    <n v="4787.5199999999995"/>
    <s v="High"/>
    <s v="Repeat"/>
    <s v="Above Avg"/>
    <s v="Profit"/>
    <n v="11"/>
  </r>
  <r>
    <n v="437"/>
    <x v="436"/>
    <n v="1025"/>
    <s v="Customer_33"/>
    <s v="Corporate"/>
    <s v="South"/>
    <s v="Clothing"/>
    <s v="Product_C"/>
    <n v="1502"/>
    <n v="9"/>
    <n v="0.27"/>
    <n v="407"/>
    <x v="0"/>
    <n v="9868.14"/>
    <s v="Mar"/>
    <n v="2025"/>
    <s v="Q1"/>
    <n v="4.1243841291266646E-2"/>
    <n v="3649.86"/>
    <s v="High"/>
    <s v="Repeat"/>
    <s v="Below Avg"/>
    <s v="Profit"/>
    <n v="205"/>
  </r>
  <r>
    <n v="438"/>
    <x v="437"/>
    <n v="1047"/>
    <s v="Customer_108"/>
    <s v="Corporate"/>
    <s v="South"/>
    <s v="Furniture"/>
    <s v="Product_C"/>
    <n v="2678"/>
    <n v="9"/>
    <n v="0.28000000000000003"/>
    <n v="-115"/>
    <x v="0"/>
    <n v="17353.439999999999"/>
    <s v="Mar"/>
    <n v="2025"/>
    <s v="Q1"/>
    <n v="-6.626928147963747E-3"/>
    <n v="6748.56"/>
    <s v="High"/>
    <s v="Repeat"/>
    <s v="Above Avg"/>
    <s v="Loss"/>
    <n v="100"/>
  </r>
  <r>
    <n v="439"/>
    <x v="438"/>
    <n v="1076"/>
    <s v="Customer_127"/>
    <s v="Corporate"/>
    <s v="North"/>
    <s v="Clothing"/>
    <s v="Product_C"/>
    <n v="3044"/>
    <n v="3"/>
    <n v="0.15"/>
    <n v="151"/>
    <x v="0"/>
    <n v="7762.2"/>
    <s v="Mar"/>
    <n v="2025"/>
    <s v="Q1"/>
    <n v="1.9453247790574838E-2"/>
    <n v="1369.8"/>
    <s v="High"/>
    <s v="Repeat"/>
    <s v="Below Avg"/>
    <s v="Profit"/>
    <n v="257"/>
  </r>
  <r>
    <n v="440"/>
    <x v="439"/>
    <n v="1002"/>
    <s v="Customer_87"/>
    <s v="Consumer"/>
    <s v="South"/>
    <s v="Furniture"/>
    <s v="Product_A"/>
    <n v="670"/>
    <n v="9"/>
    <n v="0.27"/>
    <n v="-290"/>
    <x v="1"/>
    <n v="4401.8999999999996"/>
    <s v="Mar"/>
    <n v="2025"/>
    <s v="Q1"/>
    <n v="-6.5880642449851201E-2"/>
    <n v="1628.1000000000001"/>
    <s v="Medium"/>
    <s v="Repeat"/>
    <s v="Below Avg"/>
    <s v="Loss"/>
    <n v="340"/>
  </r>
  <r>
    <n v="441"/>
    <x v="440"/>
    <n v="1095"/>
    <s v="Customer_62"/>
    <s v="Consumer"/>
    <s v="East"/>
    <s v="Clothing"/>
    <s v="Product_D"/>
    <n v="2551"/>
    <n v="1"/>
    <n v="0.15"/>
    <n v="453"/>
    <x v="2"/>
    <n v="2168.35"/>
    <s v="Mar"/>
    <n v="2025"/>
    <s v="Q1"/>
    <n v="0.20891461249337054"/>
    <n v="382.65"/>
    <s v="Medium"/>
    <s v="Repeat"/>
    <s v="Below Avg"/>
    <s v="Profit"/>
    <n v="420"/>
  </r>
  <r>
    <n v="442"/>
    <x v="441"/>
    <n v="1032"/>
    <s v="Customer_169"/>
    <s v="Corporate"/>
    <s v="West"/>
    <s v="Electronics"/>
    <s v="Product_B"/>
    <n v="1755"/>
    <n v="4"/>
    <n v="0.3"/>
    <n v="678"/>
    <x v="2"/>
    <n v="4914"/>
    <s v="Mar"/>
    <n v="2025"/>
    <s v="Q1"/>
    <n v="0.13797313797313798"/>
    <n v="2106"/>
    <s v="Medium"/>
    <s v="Repeat"/>
    <s v="Below Avg"/>
    <s v="Profit"/>
    <n v="327"/>
  </r>
  <r>
    <n v="443"/>
    <x v="442"/>
    <n v="1096"/>
    <s v="Customer_19"/>
    <s v="Corporate"/>
    <s v="West"/>
    <s v="Clothing"/>
    <s v="Product_D"/>
    <n v="4413"/>
    <n v="1"/>
    <n v="0.24"/>
    <n v="-325"/>
    <x v="1"/>
    <n v="3353.88"/>
    <s v="Mar"/>
    <n v="2025"/>
    <s v="Q1"/>
    <n v="-9.6902691807697353E-2"/>
    <n v="1059.1199999999999"/>
    <s v="Medium"/>
    <s v="Repeat"/>
    <s v="Below Avg"/>
    <s v="Loss"/>
    <n v="383"/>
  </r>
  <r>
    <n v="444"/>
    <x v="443"/>
    <n v="1041"/>
    <s v="Customer_101"/>
    <s v="Consumer"/>
    <s v="West"/>
    <s v="Electronics"/>
    <s v="Product_D"/>
    <n v="4983"/>
    <n v="2"/>
    <n v="0.25"/>
    <n v="159"/>
    <x v="2"/>
    <n v="7474.5"/>
    <s v="Mar"/>
    <n v="2025"/>
    <s v="Q1"/>
    <n v="2.1272325908087499E-2"/>
    <n v="2491.5"/>
    <s v="High"/>
    <s v="Repeat"/>
    <s v="Below Avg"/>
    <s v="Profit"/>
    <n v="265"/>
  </r>
  <r>
    <n v="445"/>
    <x v="444"/>
    <n v="1076"/>
    <s v="Customer_31"/>
    <s v="Consumer"/>
    <s v="West"/>
    <s v="Clothing"/>
    <s v="Product_A"/>
    <n v="2328"/>
    <n v="4"/>
    <n v="0.06"/>
    <n v="878"/>
    <x v="2"/>
    <n v="8753.2799999999897"/>
    <s v="Mar"/>
    <n v="2025"/>
    <s v="Q1"/>
    <n v="0.10030525700080439"/>
    <n v="558.72"/>
    <s v="High"/>
    <s v="Repeat"/>
    <s v="Below Avg"/>
    <s v="Profit"/>
    <n v="234"/>
  </r>
  <r>
    <n v="446"/>
    <x v="445"/>
    <n v="1042"/>
    <s v="Customer_50"/>
    <s v="Consumer"/>
    <s v="East"/>
    <s v="Furniture"/>
    <s v="Product_D"/>
    <n v="4886"/>
    <n v="8"/>
    <n v="0"/>
    <n v="-420"/>
    <x v="0"/>
    <n v="39088"/>
    <s v="Mar"/>
    <n v="2025"/>
    <s v="Q1"/>
    <n v="-1.0744985673352435E-2"/>
    <n v="0"/>
    <s v="High"/>
    <s v="New"/>
    <s v="Above Avg"/>
    <s v="Loss"/>
    <n v="4"/>
  </r>
  <r>
    <n v="447"/>
    <x v="446"/>
    <n v="1069"/>
    <s v="Customer_170"/>
    <s v="Consumer"/>
    <s v="West"/>
    <s v="Clothing"/>
    <s v="Product_C"/>
    <n v="2947"/>
    <n v="6"/>
    <n v="0.15"/>
    <n v="963"/>
    <x v="1"/>
    <n v="15029.699999999901"/>
    <s v="Mar"/>
    <n v="2025"/>
    <s v="Q1"/>
    <n v="6.4073135192319636E-2"/>
    <n v="2652.2999999999997"/>
    <s v="High"/>
    <s v="Repeat"/>
    <s v="Above Avg"/>
    <s v="Profit"/>
    <n v="137"/>
  </r>
  <r>
    <n v="448"/>
    <x v="447"/>
    <n v="1003"/>
    <s v="Customer_103"/>
    <s v="Corporate"/>
    <s v="East"/>
    <s v="Furniture"/>
    <s v="Product_A"/>
    <n v="3985"/>
    <n v="4"/>
    <n v="0.28999999999999998"/>
    <n v="735"/>
    <x v="1"/>
    <n v="11317.4"/>
    <s v="Mar"/>
    <n v="2025"/>
    <s v="Q1"/>
    <n v="6.494424514464453E-2"/>
    <n v="4622.5999999999995"/>
    <s v="High"/>
    <s v="Repeat"/>
    <s v="Above Avg"/>
    <s v="Profit"/>
    <n v="185"/>
  </r>
  <r>
    <n v="449"/>
    <x v="448"/>
    <n v="1063"/>
    <s v="Customer_17"/>
    <s v="Consumer"/>
    <s v="North"/>
    <s v="Clothing"/>
    <s v="Product_B"/>
    <n v="444"/>
    <n v="4"/>
    <n v="0.28999999999999998"/>
    <n v="1226"/>
    <x v="1"/>
    <n v="1260.96"/>
    <s v="Mar"/>
    <n v="2025"/>
    <s v="Q1"/>
    <n v="0.97227509199340179"/>
    <n v="515.04"/>
    <s v="Low"/>
    <s v="Repeat"/>
    <s v="Below Avg"/>
    <s v="Profit"/>
    <n v="467"/>
  </r>
  <r>
    <n v="450"/>
    <x v="449"/>
    <n v="1069"/>
    <s v="Customer_196"/>
    <s v="Consumer"/>
    <s v="West"/>
    <s v="Clothing"/>
    <s v="Product_A"/>
    <n v="3283"/>
    <n v="6"/>
    <n v="0.18"/>
    <n v="-475"/>
    <x v="1"/>
    <n v="16152.36"/>
    <s v="Mar"/>
    <n v="2025"/>
    <s v="Q1"/>
    <n v="-2.9407467391761945E-2"/>
    <n v="3545.64"/>
    <s v="High"/>
    <s v="Repeat"/>
    <s v="Above Avg"/>
    <s v="Loss"/>
    <n v="124"/>
  </r>
  <r>
    <n v="451"/>
    <x v="450"/>
    <n v="1050"/>
    <s v="Customer_6"/>
    <s v="Consumer"/>
    <s v="East"/>
    <s v="Clothing"/>
    <s v="Product_A"/>
    <n v="3777"/>
    <n v="1"/>
    <n v="0.06"/>
    <n v="658"/>
    <x v="0"/>
    <n v="3550.3799999999901"/>
    <s v="Mar"/>
    <n v="2025"/>
    <s v="Q1"/>
    <n v="0.18533227429176646"/>
    <n v="226.62"/>
    <s v="Medium"/>
    <s v="Repeat"/>
    <s v="Below Avg"/>
    <s v="Profit"/>
    <n v="375"/>
  </r>
  <r>
    <n v="452"/>
    <x v="451"/>
    <n v="1066"/>
    <s v="Customer_60"/>
    <s v="Corporate"/>
    <s v="North"/>
    <s v="Electronics"/>
    <s v="Product_B"/>
    <n v="4411"/>
    <n v="5"/>
    <n v="0"/>
    <n v="1052"/>
    <x v="2"/>
    <n v="22055"/>
    <s v="Mar"/>
    <n v="2025"/>
    <s v="Q1"/>
    <n v="4.7698934481976873E-2"/>
    <n v="0"/>
    <s v="High"/>
    <s v="Repeat"/>
    <s v="Above Avg"/>
    <s v="Profit"/>
    <n v="66"/>
  </r>
  <r>
    <n v="453"/>
    <x v="452"/>
    <n v="1090"/>
    <s v="Customer_19"/>
    <s v="Corporate"/>
    <s v="North"/>
    <s v="Furniture"/>
    <s v="Product_A"/>
    <n v="2976"/>
    <n v="4"/>
    <n v="0.15"/>
    <n v="1151"/>
    <x v="1"/>
    <n v="10118.4"/>
    <s v="Mar"/>
    <n v="2025"/>
    <s v="Q1"/>
    <n v="0.11375316255534472"/>
    <n v="1785.6"/>
    <s v="High"/>
    <s v="Repeat"/>
    <s v="Below Avg"/>
    <s v="Profit"/>
    <n v="199"/>
  </r>
  <r>
    <n v="454"/>
    <x v="453"/>
    <n v="1083"/>
    <s v="Customer_186"/>
    <s v="Corporate"/>
    <s v="North"/>
    <s v="Electronics"/>
    <s v="Product_C"/>
    <n v="504"/>
    <n v="8"/>
    <n v="0.09"/>
    <n v="1073"/>
    <x v="0"/>
    <n v="3669.12"/>
    <s v="Mar"/>
    <n v="2025"/>
    <s v="Q1"/>
    <n v="0.2924406942264085"/>
    <n v="362.88"/>
    <s v="Medium"/>
    <s v="Repeat"/>
    <s v="Below Avg"/>
    <s v="Profit"/>
    <n v="367"/>
  </r>
  <r>
    <n v="455"/>
    <x v="454"/>
    <n v="1017"/>
    <s v="Customer_40"/>
    <s v="Corporate"/>
    <s v="West"/>
    <s v="Electronics"/>
    <s v="Product_D"/>
    <n v="2002"/>
    <n v="9"/>
    <n v="0.1"/>
    <n v="-460"/>
    <x v="0"/>
    <n v="16216.2"/>
    <s v="Mar"/>
    <n v="2025"/>
    <s v="Q1"/>
    <n v="-2.83666950333617E-2"/>
    <n v="1801.8000000000002"/>
    <s v="High"/>
    <s v="Repeat"/>
    <s v="Above Avg"/>
    <s v="Loss"/>
    <n v="121"/>
  </r>
  <r>
    <n v="456"/>
    <x v="455"/>
    <n v="1019"/>
    <s v="Customer_124"/>
    <s v="Consumer"/>
    <s v="South"/>
    <s v="Electronics"/>
    <s v="Product_A"/>
    <n v="272"/>
    <n v="2"/>
    <n v="0.25"/>
    <n v="237"/>
    <x v="2"/>
    <n v="408"/>
    <s v="Mar"/>
    <n v="2025"/>
    <s v="Q1"/>
    <n v="0.58088235294117652"/>
    <n v="136"/>
    <s v="Low"/>
    <s v="Repeat"/>
    <s v="Below Avg"/>
    <s v="Profit"/>
    <n v="495"/>
  </r>
  <r>
    <n v="457"/>
    <x v="456"/>
    <n v="1029"/>
    <s v="Customer_45"/>
    <s v="Consumer"/>
    <s v="East"/>
    <s v="Electronics"/>
    <s v="Product_B"/>
    <n v="1217"/>
    <n v="2"/>
    <n v="0.03"/>
    <n v="1969"/>
    <x v="2"/>
    <n v="2360.98"/>
    <s v="Apr"/>
    <n v="2025"/>
    <s v="Q2"/>
    <n v="0.83397572194597158"/>
    <n v="73.02"/>
    <s v="Medium"/>
    <s v="Repeat"/>
    <s v="Below Avg"/>
    <s v="Profit"/>
    <n v="414"/>
  </r>
  <r>
    <n v="458"/>
    <x v="457"/>
    <n v="1073"/>
    <s v="Customer_42"/>
    <s v="Corporate"/>
    <s v="West"/>
    <s v="Clothing"/>
    <s v="Product_D"/>
    <n v="1801"/>
    <n v="8"/>
    <n v="0.03"/>
    <n v="1897"/>
    <x v="1"/>
    <n v="13975.76"/>
    <s v="Apr"/>
    <n v="2025"/>
    <s v="Q2"/>
    <n v="0.13573501548395223"/>
    <n v="432.24"/>
    <s v="High"/>
    <s v="Repeat"/>
    <s v="Above Avg"/>
    <s v="Profit"/>
    <n v="148"/>
  </r>
  <r>
    <n v="459"/>
    <x v="458"/>
    <n v="1051"/>
    <s v="Customer_70"/>
    <s v="Corporate"/>
    <s v="East"/>
    <s v="Clothing"/>
    <s v="Product_C"/>
    <n v="4044"/>
    <n v="6"/>
    <n v="0.13"/>
    <n v="-422"/>
    <x v="1"/>
    <n v="21109.68"/>
    <s v="Apr"/>
    <n v="2025"/>
    <s v="Q2"/>
    <n v="-1.9990828851976911E-2"/>
    <n v="3154.32"/>
    <s v="High"/>
    <s v="Repeat"/>
    <s v="Above Avg"/>
    <s v="Loss"/>
    <n v="75"/>
  </r>
  <r>
    <n v="460"/>
    <x v="459"/>
    <n v="1022"/>
    <s v="Customer_152"/>
    <s v="Corporate"/>
    <s v="East"/>
    <s v="Electronics"/>
    <s v="Product_D"/>
    <n v="1017"/>
    <n v="8"/>
    <n v="0.12"/>
    <n v="622"/>
    <x v="2"/>
    <n v="7159.68"/>
    <s v="Apr"/>
    <n v="2025"/>
    <s v="Q2"/>
    <n v="8.68753910789309E-2"/>
    <n v="976.31999999999994"/>
    <s v="High"/>
    <s v="Repeat"/>
    <s v="Below Avg"/>
    <s v="Profit"/>
    <n v="272"/>
  </r>
  <r>
    <n v="461"/>
    <x v="460"/>
    <n v="1046"/>
    <s v="Customer_150"/>
    <s v="Consumer"/>
    <s v="South"/>
    <s v="Electronics"/>
    <s v="Product_C"/>
    <n v="3058"/>
    <n v="1"/>
    <n v="0.02"/>
    <n v="1633"/>
    <x v="1"/>
    <n v="2996.84"/>
    <s v="Apr"/>
    <n v="2025"/>
    <s v="Q2"/>
    <n v="0.54490730235848428"/>
    <n v="61.160000000000004"/>
    <s v="Medium"/>
    <s v="Repeat"/>
    <s v="Below Avg"/>
    <s v="Profit"/>
    <n v="393"/>
  </r>
  <r>
    <n v="462"/>
    <x v="461"/>
    <n v="1002"/>
    <s v="Customer_53"/>
    <s v="Consumer"/>
    <s v="West"/>
    <s v="Electronics"/>
    <s v="Product_C"/>
    <n v="3212"/>
    <n v="3"/>
    <n v="0.16"/>
    <n v="-72"/>
    <x v="2"/>
    <n v="8094.24"/>
    <s v="Apr"/>
    <n v="2025"/>
    <s v="Q2"/>
    <n v="-8.8952143746664301E-3"/>
    <n v="1541.76"/>
    <s v="High"/>
    <s v="Repeat"/>
    <s v="Below Avg"/>
    <s v="Loss"/>
    <n v="249"/>
  </r>
  <r>
    <n v="463"/>
    <x v="462"/>
    <n v="1049"/>
    <s v="Customer_78"/>
    <s v="Consumer"/>
    <s v="South"/>
    <s v="Furniture"/>
    <s v="Product_C"/>
    <n v="1965"/>
    <n v="7"/>
    <n v="0.13"/>
    <n v="510"/>
    <x v="2"/>
    <n v="11966.85"/>
    <s v="Apr"/>
    <n v="2025"/>
    <s v="Q2"/>
    <n v="4.2617731483222399E-2"/>
    <n v="1788.15"/>
    <s v="High"/>
    <s v="Repeat"/>
    <s v="Above Avg"/>
    <s v="Profit"/>
    <n v="168"/>
  </r>
  <r>
    <n v="464"/>
    <x v="463"/>
    <n v="1008"/>
    <s v="Customer_152"/>
    <s v="Consumer"/>
    <s v="North"/>
    <s v="Furniture"/>
    <s v="Product_A"/>
    <n v="406"/>
    <n v="7"/>
    <n v="0.3"/>
    <n v="648"/>
    <x v="2"/>
    <n v="1989.3999999999901"/>
    <s v="Apr"/>
    <n v="2025"/>
    <s v="Q2"/>
    <n v="0.32572634965316338"/>
    <n v="852.6"/>
    <s v="Low"/>
    <s v="Repeat"/>
    <s v="Below Avg"/>
    <s v="Profit"/>
    <n v="431"/>
  </r>
  <r>
    <n v="465"/>
    <x v="464"/>
    <n v="1018"/>
    <s v="Customer_153"/>
    <s v="Consumer"/>
    <s v="West"/>
    <s v="Clothing"/>
    <s v="Product_C"/>
    <n v="1951"/>
    <n v="5"/>
    <n v="0.02"/>
    <n v="575"/>
    <x v="1"/>
    <n v="9559.9"/>
    <s v="Apr"/>
    <n v="2025"/>
    <s v="Q2"/>
    <n v="6.0147072668124149E-2"/>
    <n v="195.1"/>
    <s v="High"/>
    <s v="Repeat"/>
    <s v="Below Avg"/>
    <s v="Profit"/>
    <n v="214"/>
  </r>
  <r>
    <n v="466"/>
    <x v="465"/>
    <n v="1035"/>
    <s v="Customer_145"/>
    <s v="Consumer"/>
    <s v="North"/>
    <s v="Furniture"/>
    <s v="Product_D"/>
    <n v="930"/>
    <n v="9"/>
    <n v="0.04"/>
    <n v="-226"/>
    <x v="1"/>
    <n v="8035.2"/>
    <s v="Apr"/>
    <n v="2025"/>
    <s v="Q2"/>
    <n v="-2.8126244524093989E-2"/>
    <n v="334.8"/>
    <s v="High"/>
    <s v="Repeat"/>
    <s v="Below Avg"/>
    <s v="Loss"/>
    <n v="252"/>
  </r>
  <r>
    <n v="467"/>
    <x v="466"/>
    <n v="1039"/>
    <s v="Customer_123"/>
    <s v="Consumer"/>
    <s v="South"/>
    <s v="Electronics"/>
    <s v="Product_A"/>
    <n v="524"/>
    <n v="2"/>
    <n v="0.05"/>
    <n v="563"/>
    <x v="1"/>
    <n v="995.599999999999"/>
    <s v="Apr"/>
    <n v="2025"/>
    <s v="Q2"/>
    <n v="0.56548814785054291"/>
    <n v="52.400000000000006"/>
    <s v="Low"/>
    <s v="Repeat"/>
    <s v="Below Avg"/>
    <s v="Profit"/>
    <n v="480"/>
  </r>
  <r>
    <n v="468"/>
    <x v="467"/>
    <n v="1026"/>
    <s v="Customer_115"/>
    <s v="Corporate"/>
    <s v="North"/>
    <s v="Furniture"/>
    <s v="Product_B"/>
    <n v="3851"/>
    <n v="1"/>
    <n v="0.1"/>
    <n v="1436"/>
    <x v="0"/>
    <n v="3465.9"/>
    <s v="Apr"/>
    <n v="2025"/>
    <s v="Q2"/>
    <n v="0.41432239822268385"/>
    <n v="385.1"/>
    <s v="Medium"/>
    <s v="Repeat"/>
    <s v="Below Avg"/>
    <s v="Profit"/>
    <n v="377"/>
  </r>
  <r>
    <n v="469"/>
    <x v="468"/>
    <n v="1091"/>
    <s v="Customer_110"/>
    <s v="Corporate"/>
    <s v="East"/>
    <s v="Electronics"/>
    <s v="Product_A"/>
    <n v="4972"/>
    <n v="3"/>
    <n v="0.2"/>
    <n v="1594"/>
    <x v="2"/>
    <n v="11932.8"/>
    <s v="Apr"/>
    <n v="2025"/>
    <s v="Q2"/>
    <n v="0.13358138911236256"/>
    <n v="2983.2000000000003"/>
    <s v="High"/>
    <s v="Repeat"/>
    <s v="Above Avg"/>
    <s v="Profit"/>
    <n v="169"/>
  </r>
  <r>
    <n v="470"/>
    <x v="469"/>
    <n v="1071"/>
    <s v="Customer_163"/>
    <s v="Consumer"/>
    <s v="South"/>
    <s v="Furniture"/>
    <s v="Product_C"/>
    <n v="1905"/>
    <n v="7"/>
    <n v="0.28999999999999998"/>
    <n v="-284"/>
    <x v="0"/>
    <n v="9467.85"/>
    <s v="Apr"/>
    <n v="2025"/>
    <s v="Q2"/>
    <n v="-2.9996250468691414E-2"/>
    <n v="3867.1499999999996"/>
    <s v="High"/>
    <s v="Repeat"/>
    <s v="Below Avg"/>
    <s v="Loss"/>
    <n v="218"/>
  </r>
  <r>
    <n v="471"/>
    <x v="470"/>
    <n v="1071"/>
    <s v="Customer_56"/>
    <s v="Corporate"/>
    <s v="North"/>
    <s v="Furniture"/>
    <s v="Product_B"/>
    <n v="4820"/>
    <n v="8"/>
    <n v="0.27"/>
    <n v="148"/>
    <x v="2"/>
    <n v="28148.799999999999"/>
    <s v="Apr"/>
    <n v="2025"/>
    <s v="Q2"/>
    <n v="5.257772977888933E-3"/>
    <n v="10411.200000000001"/>
    <s v="High"/>
    <s v="Repeat"/>
    <s v="Above Avg"/>
    <s v="Profit"/>
    <n v="28"/>
  </r>
  <r>
    <n v="472"/>
    <x v="471"/>
    <n v="1081"/>
    <s v="Customer_28"/>
    <s v="Corporate"/>
    <s v="North"/>
    <s v="Furniture"/>
    <s v="Product_C"/>
    <n v="2519"/>
    <n v="8"/>
    <n v="0.13"/>
    <n v="1049"/>
    <x v="2"/>
    <n v="17532.240000000002"/>
    <s v="Apr"/>
    <n v="2025"/>
    <s v="Q2"/>
    <n v="5.9832628346406388E-2"/>
    <n v="2619.7600000000002"/>
    <s v="High"/>
    <s v="Repeat"/>
    <s v="Above Avg"/>
    <s v="Profit"/>
    <n v="96"/>
  </r>
  <r>
    <n v="473"/>
    <x v="472"/>
    <n v="1020"/>
    <s v="Customer_194"/>
    <s v="Corporate"/>
    <s v="North"/>
    <s v="Clothing"/>
    <s v="Product_B"/>
    <n v="191"/>
    <n v="2"/>
    <n v="0.02"/>
    <n v="453"/>
    <x v="1"/>
    <n v="374.36"/>
    <s v="Apr"/>
    <n v="2025"/>
    <s v="Q2"/>
    <n v="1.2100651779036222"/>
    <n v="7.6400000000000006"/>
    <s v="Low"/>
    <s v="Repeat"/>
    <s v="Below Avg"/>
    <s v="Profit"/>
    <n v="496"/>
  </r>
  <r>
    <n v="474"/>
    <x v="473"/>
    <n v="1012"/>
    <s v="Customer_34"/>
    <s v="Corporate"/>
    <s v="North"/>
    <s v="Furniture"/>
    <s v="Product_A"/>
    <n v="958"/>
    <n v="6"/>
    <n v="0.19"/>
    <n v="1374"/>
    <x v="1"/>
    <n v="4655.88"/>
    <s v="Apr"/>
    <n v="2025"/>
    <s v="Q2"/>
    <n v="0.2951106987293487"/>
    <n v="1092.1200000000001"/>
    <s v="Medium"/>
    <s v="Repeat"/>
    <s v="Below Avg"/>
    <s v="Profit"/>
    <n v="333"/>
  </r>
  <r>
    <n v="475"/>
    <x v="474"/>
    <n v="1026"/>
    <s v="Customer_65"/>
    <s v="Corporate"/>
    <s v="West"/>
    <s v="Clothing"/>
    <s v="Product_D"/>
    <n v="4109"/>
    <n v="5"/>
    <n v="0.13"/>
    <n v="630"/>
    <x v="0"/>
    <n v="17874.150000000001"/>
    <s v="Apr"/>
    <n v="2025"/>
    <s v="Q2"/>
    <n v="3.5246431298830989E-2"/>
    <n v="2670.85"/>
    <s v="High"/>
    <s v="Repeat"/>
    <s v="Above Avg"/>
    <s v="Profit"/>
    <n v="92"/>
  </r>
  <r>
    <n v="476"/>
    <x v="475"/>
    <n v="1061"/>
    <s v="Customer_111"/>
    <s v="Corporate"/>
    <s v="North"/>
    <s v="Clothing"/>
    <s v="Product_A"/>
    <n v="911"/>
    <n v="2"/>
    <n v="0.01"/>
    <n v="61"/>
    <x v="0"/>
    <n v="1803.78"/>
    <s v="Apr"/>
    <n v="2025"/>
    <s v="Q2"/>
    <n v="3.3817871359034919E-2"/>
    <n v="18.22"/>
    <s v="Low"/>
    <s v="Repeat"/>
    <s v="Below Avg"/>
    <s v="Profit"/>
    <n v="440"/>
  </r>
  <r>
    <n v="477"/>
    <x v="476"/>
    <n v="1039"/>
    <s v="Customer_128"/>
    <s v="Consumer"/>
    <s v="North"/>
    <s v="Furniture"/>
    <s v="Product_D"/>
    <n v="1853"/>
    <n v="1"/>
    <n v="0.25"/>
    <n v="1755"/>
    <x v="2"/>
    <n v="1389.75"/>
    <s v="Apr"/>
    <n v="2025"/>
    <s v="Q2"/>
    <n v="1.2628170534268754"/>
    <n v="463.25"/>
    <s v="Low"/>
    <s v="Repeat"/>
    <s v="Below Avg"/>
    <s v="Profit"/>
    <n v="461"/>
  </r>
  <r>
    <n v="478"/>
    <x v="477"/>
    <n v="1052"/>
    <s v="Customer_131"/>
    <s v="Corporate"/>
    <s v="West"/>
    <s v="Electronics"/>
    <s v="Product_C"/>
    <n v="3861"/>
    <n v="4"/>
    <n v="0.16"/>
    <n v="1739"/>
    <x v="1"/>
    <n v="12972.96"/>
    <s v="Apr"/>
    <n v="2025"/>
    <s v="Q2"/>
    <n v="0.1340480507147174"/>
    <n v="2471.04"/>
    <s v="High"/>
    <s v="Repeat"/>
    <s v="Above Avg"/>
    <s v="Profit"/>
    <n v="159"/>
  </r>
  <r>
    <n v="479"/>
    <x v="478"/>
    <n v="1079"/>
    <s v="Customer_187"/>
    <s v="Corporate"/>
    <s v="North"/>
    <s v="Electronics"/>
    <s v="Product_C"/>
    <n v="3679"/>
    <n v="6"/>
    <n v="0.13"/>
    <n v="1506"/>
    <x v="2"/>
    <n v="19204.38"/>
    <s v="Apr"/>
    <n v="2025"/>
    <s v="Q2"/>
    <n v="7.8419610526348674E-2"/>
    <n v="2869.62"/>
    <s v="High"/>
    <s v="Repeat"/>
    <s v="Above Avg"/>
    <s v="Profit"/>
    <n v="84"/>
  </r>
  <r>
    <n v="480"/>
    <x v="479"/>
    <n v="1039"/>
    <s v="Customer_56"/>
    <s v="Consumer"/>
    <s v="North"/>
    <s v="Electronics"/>
    <s v="Product_A"/>
    <n v="1431"/>
    <n v="9"/>
    <n v="0.22"/>
    <n v="822"/>
    <x v="0"/>
    <n v="10045.620000000001"/>
    <s v="Apr"/>
    <n v="2025"/>
    <s v="Q2"/>
    <n v="8.1826706564652046E-2"/>
    <n v="2833.38"/>
    <s v="High"/>
    <s v="Repeat"/>
    <s v="Below Avg"/>
    <s v="Profit"/>
    <n v="200"/>
  </r>
  <r>
    <n v="481"/>
    <x v="480"/>
    <n v="1008"/>
    <s v="Customer_22"/>
    <s v="Consumer"/>
    <s v="North"/>
    <s v="Furniture"/>
    <s v="Product_C"/>
    <n v="2112"/>
    <n v="9"/>
    <n v="0.26"/>
    <n v="645"/>
    <x v="0"/>
    <n v="14065.92"/>
    <s v="Apr"/>
    <n v="2025"/>
    <s v="Q2"/>
    <n v="4.5855514605514604E-2"/>
    <n v="4942.08"/>
    <s v="High"/>
    <s v="Repeat"/>
    <s v="Above Avg"/>
    <s v="Profit"/>
    <n v="146"/>
  </r>
  <r>
    <n v="482"/>
    <x v="481"/>
    <n v="1026"/>
    <s v="Customer_170"/>
    <s v="Consumer"/>
    <s v="West"/>
    <s v="Clothing"/>
    <s v="Product_D"/>
    <n v="3792"/>
    <n v="3"/>
    <n v="0.28000000000000003"/>
    <n v="1742"/>
    <x v="1"/>
    <n v="8190.7199999999903"/>
    <s v="Apr"/>
    <n v="2025"/>
    <s v="Q2"/>
    <n v="0.2126797155805597"/>
    <n v="3185.28"/>
    <s v="High"/>
    <s v="Repeat"/>
    <s v="Below Avg"/>
    <s v="Profit"/>
    <n v="244"/>
  </r>
  <r>
    <n v="483"/>
    <x v="482"/>
    <n v="1080"/>
    <s v="Customer_132"/>
    <s v="Consumer"/>
    <s v="East"/>
    <s v="Furniture"/>
    <s v="Product_C"/>
    <n v="2486"/>
    <n v="9"/>
    <n v="0.1"/>
    <n v="-143"/>
    <x v="0"/>
    <n v="20136.599999999999"/>
    <s v="Apr"/>
    <n v="2025"/>
    <s v="Q2"/>
    <n v="-7.1014967770130014E-3"/>
    <n v="2237.4"/>
    <s v="High"/>
    <s v="Repeat"/>
    <s v="Above Avg"/>
    <s v="Loss"/>
    <n v="78"/>
  </r>
  <r>
    <n v="484"/>
    <x v="483"/>
    <n v="1002"/>
    <s v="Customer_100"/>
    <s v="Corporate"/>
    <s v="East"/>
    <s v="Clothing"/>
    <s v="Product_D"/>
    <n v="306"/>
    <n v="6"/>
    <n v="0.06"/>
    <n v="-483"/>
    <x v="1"/>
    <n v="1725.84"/>
    <s v="Apr"/>
    <n v="2025"/>
    <s v="Q2"/>
    <n v="-0.27986371853706021"/>
    <n v="110.16"/>
    <s v="Low"/>
    <s v="Repeat"/>
    <s v="Below Avg"/>
    <s v="Loss"/>
    <n v="445"/>
  </r>
  <r>
    <n v="485"/>
    <x v="484"/>
    <n v="1055"/>
    <s v="Customer_118"/>
    <s v="Consumer"/>
    <s v="West"/>
    <s v="Electronics"/>
    <s v="Product_B"/>
    <n v="3682"/>
    <n v="8"/>
    <n v="0.1"/>
    <n v="1715"/>
    <x v="1"/>
    <n v="26510.400000000001"/>
    <s v="Apr"/>
    <n v="2025"/>
    <s v="Q2"/>
    <n v="6.4691592733417819E-2"/>
    <n v="2945.6000000000004"/>
    <s v="High"/>
    <s v="Repeat"/>
    <s v="Above Avg"/>
    <s v="Profit"/>
    <n v="37"/>
  </r>
  <r>
    <n v="486"/>
    <x v="485"/>
    <n v="1052"/>
    <s v="Customer_12"/>
    <s v="Consumer"/>
    <s v="East"/>
    <s v="Furniture"/>
    <s v="Product_C"/>
    <n v="4317"/>
    <n v="8"/>
    <n v="0.28999999999999998"/>
    <n v="227"/>
    <x v="0"/>
    <n v="24520.559999999899"/>
    <s v="Apr"/>
    <n v="2025"/>
    <s v="Q2"/>
    <n v="9.2575373482498332E-3"/>
    <n v="10015.439999999999"/>
    <s v="High"/>
    <s v="Repeat"/>
    <s v="Above Avg"/>
    <s v="Profit"/>
    <n v="46"/>
  </r>
  <r>
    <n v="487"/>
    <x v="486"/>
    <n v="1003"/>
    <s v="Customer_37"/>
    <s v="Corporate"/>
    <s v="East"/>
    <s v="Electronics"/>
    <s v="Product_D"/>
    <n v="1839"/>
    <n v="3"/>
    <n v="0.03"/>
    <n v="1247"/>
    <x v="0"/>
    <n v="5351.49"/>
    <s v="May"/>
    <n v="2025"/>
    <s v="Q2"/>
    <n v="0.23301921520922211"/>
    <n v="165.51"/>
    <s v="High"/>
    <s v="Repeat"/>
    <s v="Below Avg"/>
    <s v="Profit"/>
    <n v="314"/>
  </r>
  <r>
    <n v="488"/>
    <x v="487"/>
    <n v="1039"/>
    <s v="Customer_41"/>
    <s v="Consumer"/>
    <s v="West"/>
    <s v="Furniture"/>
    <s v="Product_A"/>
    <n v="3996"/>
    <n v="3"/>
    <n v="0.28999999999999998"/>
    <n v="56"/>
    <x v="1"/>
    <n v="8511.48"/>
    <s v="May"/>
    <n v="2025"/>
    <s v="Q2"/>
    <n v="6.5793493023539977E-3"/>
    <n v="3476.52"/>
    <s v="High"/>
    <s v="Repeat"/>
    <s v="Below Avg"/>
    <s v="Profit"/>
    <n v="238"/>
  </r>
  <r>
    <n v="489"/>
    <x v="488"/>
    <n v="1051"/>
    <s v="Customer_58"/>
    <s v="Corporate"/>
    <s v="South"/>
    <s v="Electronics"/>
    <s v="Product_C"/>
    <n v="3116"/>
    <n v="9"/>
    <n v="0.19"/>
    <n v="942"/>
    <x v="2"/>
    <n v="22715.64"/>
    <s v="May"/>
    <n v="2025"/>
    <s v="Q2"/>
    <n v="4.1469225608435425E-2"/>
    <n v="5328.36"/>
    <s v="High"/>
    <s v="Repeat"/>
    <s v="Above Avg"/>
    <s v="Profit"/>
    <n v="61"/>
  </r>
  <r>
    <n v="490"/>
    <x v="489"/>
    <n v="1055"/>
    <s v="Customer_63"/>
    <s v="Consumer"/>
    <s v="West"/>
    <s v="Furniture"/>
    <s v="Product_D"/>
    <n v="2104"/>
    <n v="3"/>
    <n v="0"/>
    <n v="1145"/>
    <x v="0"/>
    <n v="6312"/>
    <s v="May"/>
    <n v="2025"/>
    <s v="Q2"/>
    <n v="0.18140050697084917"/>
    <n v="0"/>
    <s v="High"/>
    <s v="Repeat"/>
    <s v="Below Avg"/>
    <s v="Profit"/>
    <n v="289"/>
  </r>
  <r>
    <n v="491"/>
    <x v="490"/>
    <n v="1064"/>
    <s v="Customer_71"/>
    <s v="Corporate"/>
    <s v="East"/>
    <s v="Clothing"/>
    <s v="Product_B"/>
    <n v="1692"/>
    <n v="4"/>
    <n v="0.26"/>
    <n v="-81"/>
    <x v="2"/>
    <n v="5008.32"/>
    <s v="May"/>
    <n v="2025"/>
    <s v="Q2"/>
    <n v="-1.6173087981598621E-2"/>
    <n v="1759.68"/>
    <s v="High"/>
    <s v="Repeat"/>
    <s v="Below Avg"/>
    <s v="Loss"/>
    <n v="323"/>
  </r>
  <r>
    <n v="492"/>
    <x v="491"/>
    <n v="1077"/>
    <s v="Customer_133"/>
    <s v="Consumer"/>
    <s v="East"/>
    <s v="Clothing"/>
    <s v="Product_B"/>
    <n v="2103"/>
    <n v="7"/>
    <n v="0.2"/>
    <n v="439"/>
    <x v="2"/>
    <n v="11776.8"/>
    <s v="May"/>
    <n v="2025"/>
    <s v="Q2"/>
    <n v="3.7276679573398551E-2"/>
    <n v="2944.2000000000003"/>
    <s v="High"/>
    <s v="Repeat"/>
    <s v="Above Avg"/>
    <s v="Profit"/>
    <n v="173"/>
  </r>
  <r>
    <n v="493"/>
    <x v="492"/>
    <n v="1071"/>
    <s v="Customer_91"/>
    <s v="Corporate"/>
    <s v="North"/>
    <s v="Electronics"/>
    <s v="Product_C"/>
    <n v="3019"/>
    <n v="9"/>
    <n v="0.04"/>
    <n v="660"/>
    <x v="2"/>
    <n v="26084.16"/>
    <s v="May"/>
    <n v="2025"/>
    <s v="Q2"/>
    <n v="2.5302712450774725E-2"/>
    <n v="1086.8399999999999"/>
    <s v="High"/>
    <s v="Repeat"/>
    <s v="Above Avg"/>
    <s v="Profit"/>
    <n v="39"/>
  </r>
  <r>
    <n v="494"/>
    <x v="493"/>
    <n v="1070"/>
    <s v="Customer_89"/>
    <s v="Consumer"/>
    <s v="South"/>
    <s v="Clothing"/>
    <s v="Product_D"/>
    <n v="208"/>
    <n v="3"/>
    <n v="0.1"/>
    <n v="1549"/>
    <x v="1"/>
    <n v="561.6"/>
    <s v="May"/>
    <n v="2025"/>
    <s v="Q2"/>
    <n v="2.758190883190883"/>
    <n v="62.400000000000006"/>
    <s v="Low"/>
    <s v="Repeat"/>
    <s v="Below Avg"/>
    <s v="Profit"/>
    <n v="489"/>
  </r>
  <r>
    <n v="495"/>
    <x v="494"/>
    <n v="1029"/>
    <s v="Customer_17"/>
    <s v="Corporate"/>
    <s v="East"/>
    <s v="Furniture"/>
    <s v="Product_B"/>
    <n v="3081"/>
    <n v="1"/>
    <n v="0.26"/>
    <n v="606"/>
    <x v="1"/>
    <n v="2279.94"/>
    <s v="May"/>
    <n v="2025"/>
    <s v="Q2"/>
    <n v="0.26579646832811388"/>
    <n v="801.06000000000006"/>
    <s v="Medium"/>
    <s v="Repeat"/>
    <s v="Below Avg"/>
    <s v="Profit"/>
    <n v="416"/>
  </r>
  <r>
    <n v="496"/>
    <x v="495"/>
    <n v="1024"/>
    <s v="Customer_156"/>
    <s v="Consumer"/>
    <s v="North"/>
    <s v="Clothing"/>
    <s v="Product_A"/>
    <n v="2595"/>
    <n v="2"/>
    <n v="0.22"/>
    <n v="1965"/>
    <x v="1"/>
    <n v="4048.2"/>
    <s v="May"/>
    <n v="2025"/>
    <s v="Q2"/>
    <n v="0.48540091892693049"/>
    <n v="1141.8"/>
    <s v="Medium"/>
    <s v="Repeat"/>
    <s v="Below Avg"/>
    <s v="Profit"/>
    <n v="352"/>
  </r>
  <r>
    <n v="497"/>
    <x v="496"/>
    <n v="1038"/>
    <s v="Customer_119"/>
    <s v="Corporate"/>
    <s v="South"/>
    <s v="Electronics"/>
    <s v="Product_A"/>
    <n v="1791"/>
    <n v="4"/>
    <n v="0.1"/>
    <n v="-437"/>
    <x v="0"/>
    <n v="6447.6"/>
    <s v="May"/>
    <n v="2025"/>
    <s v="Q2"/>
    <n v="-6.7777157391897755E-2"/>
    <n v="716.40000000000009"/>
    <s v="High"/>
    <s v="Repeat"/>
    <s v="Below Avg"/>
    <s v="Loss"/>
    <n v="286"/>
  </r>
  <r>
    <n v="498"/>
    <x v="497"/>
    <n v="1079"/>
    <s v="Customer_155"/>
    <s v="Consumer"/>
    <s v="East"/>
    <s v="Electronics"/>
    <s v="Product_D"/>
    <n v="4085"/>
    <n v="7"/>
    <n v="0.24"/>
    <n v="1108"/>
    <x v="0"/>
    <n v="21732.2"/>
    <s v="May"/>
    <n v="2025"/>
    <s v="Q2"/>
    <n v="5.0984253780105099E-2"/>
    <n v="6862.8"/>
    <s v="High"/>
    <s v="Repeat"/>
    <s v="Above Avg"/>
    <s v="Profit"/>
    <n v="70"/>
  </r>
  <r>
    <n v="499"/>
    <x v="498"/>
    <n v="1074"/>
    <s v="Customer_181"/>
    <s v="Corporate"/>
    <s v="South"/>
    <s v="Electronics"/>
    <s v="Product_A"/>
    <n v="4431"/>
    <n v="1"/>
    <n v="0.08"/>
    <n v="394"/>
    <x v="1"/>
    <n v="4076.52"/>
    <s v="May"/>
    <n v="2025"/>
    <s v="Q2"/>
    <n v="9.665106512417454E-2"/>
    <n v="354.48"/>
    <s v="Medium"/>
    <s v="Repeat"/>
    <s v="Below Avg"/>
    <s v="Profit"/>
    <n v="350"/>
  </r>
  <r>
    <n v="500"/>
    <x v="499"/>
    <n v="1024"/>
    <s v="Customer_26"/>
    <s v="Consumer"/>
    <s v="North"/>
    <s v="Furniture"/>
    <s v="Product_B"/>
    <n v="1822"/>
    <n v="4"/>
    <n v="0.16"/>
    <n v="1668"/>
    <x v="1"/>
    <n v="6121.92"/>
    <s v="May"/>
    <n v="2025"/>
    <s v="Q2"/>
    <n v="0.27246354084992941"/>
    <n v="1166.08"/>
    <s v="High"/>
    <s v="Repeat"/>
    <s v="Below Avg"/>
    <s v="Profit"/>
    <n v="29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n v="1066"/>
    <s v="Customer_33"/>
    <s v="Consumer"/>
    <s v="South"/>
    <s v="Electronics"/>
    <s v="Product_A"/>
    <n v="2755"/>
    <n v="3"/>
    <n v="0.25"/>
    <n v="559"/>
    <s v="UPI"/>
    <n v="6198.75"/>
    <x v="0"/>
    <n v="2024"/>
    <x v="0"/>
    <n v="9.017947166767494E-2"/>
    <n v="2066.25"/>
    <s v="High"/>
    <s v="Repeat"/>
    <s v="Below Avg"/>
    <s v="Profit"/>
    <n v="293"/>
  </r>
  <r>
    <n v="2"/>
    <x v="1"/>
    <n v="1092"/>
    <s v="Customer_191"/>
    <s v="Consumer"/>
    <s v="East"/>
    <s v="Clothing"/>
    <s v="Product_A"/>
    <n v="1709"/>
    <n v="3"/>
    <n v="0.04"/>
    <n v="1735"/>
    <s v="UPI"/>
    <n v="4921.92"/>
    <x v="0"/>
    <n v="2024"/>
    <x v="0"/>
    <n v="0.35250471360769781"/>
    <n v="205.08"/>
    <s v="Medium"/>
    <s v="Repeat"/>
    <s v="Below Avg"/>
    <s v="Profit"/>
    <n v="326"/>
  </r>
  <r>
    <n v="3"/>
    <x v="2"/>
    <n v="1098"/>
    <s v="Customer_54"/>
    <s v="Corporate"/>
    <s v="East"/>
    <s v="Clothing"/>
    <s v="Product_D"/>
    <n v="3914"/>
    <n v="7"/>
    <n v="0.16"/>
    <n v="-225"/>
    <s v="Card"/>
    <n v="23014.32"/>
    <x v="0"/>
    <n v="2024"/>
    <x v="0"/>
    <n v="-9.7765217481985134E-3"/>
    <n v="4383.68"/>
    <s v="High"/>
    <s v="Repeat"/>
    <s v="Above Avg"/>
    <s v="Loss"/>
    <n v="59"/>
  </r>
  <r>
    <n v="4"/>
    <x v="3"/>
    <n v="1017"/>
    <s v="Customer_116"/>
    <s v="Consumer"/>
    <s v="West"/>
    <s v="Electronics"/>
    <s v="Product_B"/>
    <n v="759"/>
    <n v="5"/>
    <n v="0.01"/>
    <n v="-75"/>
    <s v="UPI"/>
    <n v="3757.05"/>
    <x v="0"/>
    <n v="2024"/>
    <x v="0"/>
    <n v="-1.9962470555355931E-2"/>
    <n v="37.950000000000003"/>
    <s v="Medium"/>
    <s v="Repeat"/>
    <s v="Below Avg"/>
    <s v="Loss"/>
    <n v="365"/>
  </r>
  <r>
    <n v="5"/>
    <x v="4"/>
    <n v="1083"/>
    <s v="Customer_179"/>
    <s v="Consumer"/>
    <s v="West"/>
    <s v="Electronics"/>
    <s v="Product_B"/>
    <n v="243"/>
    <n v="1"/>
    <n v="0.17"/>
    <n v="-482"/>
    <s v="COD"/>
    <n v="201.69"/>
    <x v="0"/>
    <n v="2024"/>
    <x v="0"/>
    <n v="-2.3898061381327782"/>
    <n v="41.31"/>
    <s v="Low"/>
    <s v="Repeat"/>
    <s v="Below Avg"/>
    <s v="Loss"/>
    <n v="499"/>
  </r>
  <r>
    <n v="6"/>
    <x v="5"/>
    <n v="1057"/>
    <s v="Customer_112"/>
    <s v="Consumer"/>
    <s v="North"/>
    <s v="Furniture"/>
    <s v="Product_D"/>
    <n v="2090"/>
    <n v="8"/>
    <n v="0.04"/>
    <n v="1271"/>
    <s v="UPI"/>
    <n v="16051.199999999901"/>
    <x v="0"/>
    <n v="2024"/>
    <x v="0"/>
    <n v="7.9184110845295544E-2"/>
    <n v="668.80000000000007"/>
    <s v="High"/>
    <s v="Repeat"/>
    <s v="Above Avg"/>
    <s v="Profit"/>
    <n v="127"/>
  </r>
  <r>
    <n v="7"/>
    <x v="6"/>
    <n v="1086"/>
    <s v="Customer_180"/>
    <s v="Corporate"/>
    <s v="North"/>
    <s v="Furniture"/>
    <s v="Product_D"/>
    <n v="550"/>
    <n v="5"/>
    <n v="0.24"/>
    <n v="1300"/>
    <s v="COD"/>
    <n v="2090"/>
    <x v="0"/>
    <n v="2024"/>
    <x v="0"/>
    <n v="0.62200956937799046"/>
    <n v="660"/>
    <s v="Medium"/>
    <s v="Repeat"/>
    <s v="Below Avg"/>
    <s v="Profit"/>
    <n v="423"/>
  </r>
  <r>
    <n v="8"/>
    <x v="7"/>
    <n v="1097"/>
    <s v="Customer_180"/>
    <s v="Corporate"/>
    <s v="South"/>
    <s v="Furniture"/>
    <s v="Product_A"/>
    <n v="1291"/>
    <n v="4"/>
    <n v="7.0000000000000007E-2"/>
    <n v="829"/>
    <s v="COD"/>
    <n v="4802.5199999999904"/>
    <x v="0"/>
    <n v="2024"/>
    <x v="0"/>
    <n v="0.17261770903608972"/>
    <n v="361.48"/>
    <s v="Medium"/>
    <s v="Repeat"/>
    <s v="Below Avg"/>
    <s v="Profit"/>
    <n v="329"/>
  </r>
  <r>
    <n v="9"/>
    <x v="8"/>
    <n v="1096"/>
    <s v="Customer_184"/>
    <s v="Consumer"/>
    <s v="West"/>
    <s v="Electronics"/>
    <s v="Product_C"/>
    <n v="4121"/>
    <n v="4"/>
    <n v="0.03"/>
    <n v="-169"/>
    <s v="Card"/>
    <n v="15989.48"/>
    <x v="0"/>
    <n v="2024"/>
    <x v="0"/>
    <n v="-1.056944941298904E-2"/>
    <n v="494.52"/>
    <s v="High"/>
    <s v="Repeat"/>
    <s v="Above Avg"/>
    <s v="Loss"/>
    <n v="128"/>
  </r>
  <r>
    <n v="10"/>
    <x v="9"/>
    <n v="1047"/>
    <s v="Customer_114"/>
    <s v="Corporate"/>
    <s v="West"/>
    <s v="Electronics"/>
    <s v="Product_B"/>
    <n v="735"/>
    <n v="2"/>
    <n v="0.01"/>
    <n v="-250"/>
    <s v="COD"/>
    <n v="1455.3"/>
    <x v="0"/>
    <n v="2024"/>
    <x v="0"/>
    <n v="-0.17178588607160036"/>
    <n v="14.700000000000001"/>
    <s v="Low"/>
    <s v="Repeat"/>
    <s v="Below Avg"/>
    <s v="Loss"/>
    <n v="460"/>
  </r>
  <r>
    <n v="11"/>
    <x v="10"/>
    <n v="1073"/>
    <s v="Customer_73"/>
    <s v="Consumer"/>
    <s v="West"/>
    <s v="Clothing"/>
    <s v="Product_A"/>
    <n v="2257"/>
    <n v="1"/>
    <n v="0.17"/>
    <n v="960"/>
    <s v="Card"/>
    <n v="1873.31"/>
    <x v="0"/>
    <n v="2024"/>
    <x v="0"/>
    <n v="0.51246189899162442"/>
    <n v="383.69000000000005"/>
    <s v="Low"/>
    <s v="Repeat"/>
    <s v="Below Avg"/>
    <s v="Profit"/>
    <n v="438"/>
  </r>
  <r>
    <n v="12"/>
    <x v="11"/>
    <n v="1032"/>
    <s v="Customer_1"/>
    <s v="Consumer"/>
    <s v="West"/>
    <s v="Electronics"/>
    <s v="Product_C"/>
    <n v="3851"/>
    <n v="6"/>
    <n v="0.2"/>
    <n v="-7"/>
    <s v="UPI"/>
    <n v="18484.8"/>
    <x v="0"/>
    <n v="2024"/>
    <x v="0"/>
    <n v="-3.7868951787414524E-4"/>
    <n v="4621.2"/>
    <s v="High"/>
    <s v="Repeat"/>
    <s v="Above Avg"/>
    <s v="Loss"/>
    <n v="87"/>
  </r>
  <r>
    <n v="13"/>
    <x v="12"/>
    <n v="1046"/>
    <s v="Customer_31"/>
    <s v="Corporate"/>
    <s v="East"/>
    <s v="Clothing"/>
    <s v="Product_B"/>
    <n v="999"/>
    <n v="3"/>
    <n v="0.27"/>
    <n v="-134"/>
    <s v="Card"/>
    <n v="2187.81"/>
    <x v="0"/>
    <n v="2024"/>
    <x v="0"/>
    <n v="-6.1248463074947093E-2"/>
    <n v="809.19"/>
    <s v="Medium"/>
    <s v="Repeat"/>
    <s v="Below Avg"/>
    <s v="Loss"/>
    <n v="419"/>
  </r>
  <r>
    <n v="14"/>
    <x v="13"/>
    <n v="1096"/>
    <s v="Customer_21"/>
    <s v="Consumer"/>
    <s v="North"/>
    <s v="Clothing"/>
    <s v="Product_A"/>
    <n v="4554"/>
    <n v="9"/>
    <n v="0.02"/>
    <n v="1529"/>
    <s v="Card"/>
    <n v="40166.28"/>
    <x v="0"/>
    <n v="2024"/>
    <x v="0"/>
    <n v="3.8066756493257532E-2"/>
    <n v="819.72"/>
    <s v="High"/>
    <s v="Repeat"/>
    <s v="Above Avg"/>
    <s v="Profit"/>
    <n v="2"/>
  </r>
  <r>
    <n v="15"/>
    <x v="14"/>
    <n v="1025"/>
    <s v="Customer_24"/>
    <s v="Corporate"/>
    <s v="South"/>
    <s v="Clothing"/>
    <s v="Product_A"/>
    <n v="2930"/>
    <n v="4"/>
    <n v="0.12"/>
    <n v="1243"/>
    <s v="Card"/>
    <n v="10313.6"/>
    <x v="0"/>
    <n v="2024"/>
    <x v="0"/>
    <n v="0.12052047781569965"/>
    <n v="1406.3999999999999"/>
    <s v="High"/>
    <s v="Repeat"/>
    <s v="Below Avg"/>
    <s v="Profit"/>
    <n v="198"/>
  </r>
  <r>
    <n v="16"/>
    <x v="15"/>
    <n v="1083"/>
    <s v="Customer_19"/>
    <s v="Consumer"/>
    <s v="North"/>
    <s v="Furniture"/>
    <s v="Product_D"/>
    <n v="2870"/>
    <n v="2"/>
    <n v="0.05"/>
    <n v="1714"/>
    <s v="Card"/>
    <n v="5453"/>
    <x v="0"/>
    <n v="2024"/>
    <x v="0"/>
    <n v="0.31432239134421419"/>
    <n v="287"/>
    <s v="High"/>
    <s v="Repeat"/>
    <s v="Below Avg"/>
    <s v="Profit"/>
    <n v="310"/>
  </r>
  <r>
    <n v="17"/>
    <x v="16"/>
    <n v="1078"/>
    <s v="Customer_61"/>
    <s v="Corporate"/>
    <s v="North"/>
    <s v="Clothing"/>
    <s v="Product_C"/>
    <n v="1320"/>
    <n v="4"/>
    <n v="0.15"/>
    <n v="644"/>
    <s v="UPI"/>
    <n v="4488"/>
    <x v="0"/>
    <n v="2024"/>
    <x v="0"/>
    <n v="0.14349376114081996"/>
    <n v="792"/>
    <s v="Medium"/>
    <s v="Repeat"/>
    <s v="Below Avg"/>
    <s v="Profit"/>
    <n v="338"/>
  </r>
  <r>
    <n v="18"/>
    <x v="17"/>
    <n v="1036"/>
    <s v="Customer_112"/>
    <s v="Consumer"/>
    <s v="North"/>
    <s v="Furniture"/>
    <s v="Product_A"/>
    <n v="4545"/>
    <n v="4"/>
    <n v="7.0000000000000007E-2"/>
    <n v="1171"/>
    <s v="UPI"/>
    <n v="16907.3999999999"/>
    <x v="0"/>
    <n v="2024"/>
    <x v="0"/>
    <n v="6.9259614133456771E-2"/>
    <n v="1272.6000000000001"/>
    <s v="High"/>
    <s v="Repeat"/>
    <s v="Above Avg"/>
    <s v="Profit"/>
    <n v="105"/>
  </r>
  <r>
    <n v="19"/>
    <x v="18"/>
    <n v="1096"/>
    <s v="Customer_188"/>
    <s v="Consumer"/>
    <s v="North"/>
    <s v="Electronics"/>
    <s v="Product_A"/>
    <n v="4690"/>
    <n v="1"/>
    <n v="0.12"/>
    <n v="-18"/>
    <s v="COD"/>
    <n v="4127.2"/>
    <x v="0"/>
    <n v="2024"/>
    <x v="0"/>
    <n v="-4.3613103314595857E-3"/>
    <n v="562.79999999999995"/>
    <s v="Medium"/>
    <s v="Repeat"/>
    <s v="Below Avg"/>
    <s v="Loss"/>
    <n v="348"/>
  </r>
  <r>
    <n v="20"/>
    <x v="19"/>
    <n v="1080"/>
    <s v="Customer_124"/>
    <s v="Corporate"/>
    <s v="East"/>
    <s v="Furniture"/>
    <s v="Product_A"/>
    <n v="1487"/>
    <n v="8"/>
    <n v="0.11"/>
    <n v="992"/>
    <s v="Card"/>
    <n v="10587.44"/>
    <x v="0"/>
    <n v="2024"/>
    <x v="0"/>
    <n v="9.3695926494034437E-2"/>
    <n v="1308.56"/>
    <s v="High"/>
    <s v="Repeat"/>
    <s v="Below Avg"/>
    <s v="Profit"/>
    <n v="196"/>
  </r>
  <r>
    <n v="21"/>
    <x v="20"/>
    <n v="1068"/>
    <s v="Customer_153"/>
    <s v="Consumer"/>
    <s v="South"/>
    <s v="Clothing"/>
    <s v="Product_B"/>
    <n v="2066"/>
    <n v="4"/>
    <n v="0.21"/>
    <n v="-488"/>
    <s v="UPI"/>
    <n v="6528.56"/>
    <x v="0"/>
    <n v="2024"/>
    <x v="0"/>
    <n v="-7.4748489712892274E-2"/>
    <n v="1735.4399999999998"/>
    <s v="High"/>
    <s v="Repeat"/>
    <s v="Below Avg"/>
    <s v="Loss"/>
    <n v="285"/>
  </r>
  <r>
    <n v="22"/>
    <x v="21"/>
    <n v="1049"/>
    <s v="Customer_20"/>
    <s v="Corporate"/>
    <s v="East"/>
    <s v="Clothing"/>
    <s v="Product_D"/>
    <n v="4415"/>
    <n v="4"/>
    <n v="0.22"/>
    <n v="316"/>
    <s v="COD"/>
    <n v="13774.8"/>
    <x v="0"/>
    <n v="2024"/>
    <x v="0"/>
    <n v="2.2940441966489533E-2"/>
    <n v="3885.2"/>
    <s v="High"/>
    <s v="Repeat"/>
    <s v="Above Avg"/>
    <s v="Profit"/>
    <n v="149"/>
  </r>
  <r>
    <n v="23"/>
    <x v="22"/>
    <n v="1055"/>
    <s v="Customer_117"/>
    <s v="Consumer"/>
    <s v="West"/>
    <s v="Furniture"/>
    <s v="Product_A"/>
    <n v="790"/>
    <n v="7"/>
    <n v="0.13"/>
    <n v="1889"/>
    <s v="COD"/>
    <n v="4811.1000000000004"/>
    <x v="0"/>
    <n v="2024"/>
    <x v="0"/>
    <n v="0.3926337012325663"/>
    <n v="718.9"/>
    <s v="Medium"/>
    <s v="Repeat"/>
    <s v="Below Avg"/>
    <s v="Profit"/>
    <n v="328"/>
  </r>
  <r>
    <n v="24"/>
    <x v="23"/>
    <n v="1067"/>
    <s v="Customer_154"/>
    <s v="Corporate"/>
    <s v="North"/>
    <s v="Clothing"/>
    <s v="Product_A"/>
    <n v="4346"/>
    <n v="2"/>
    <n v="7.0000000000000007E-2"/>
    <n v="-8"/>
    <s v="Card"/>
    <n v="8083.5599999999904"/>
    <x v="0"/>
    <n v="2024"/>
    <x v="0"/>
    <n v="-9.8966297027547378E-4"/>
    <n v="608.44000000000005"/>
    <s v="High"/>
    <s v="Repeat"/>
    <s v="Below Avg"/>
    <s v="Loss"/>
    <n v="250"/>
  </r>
  <r>
    <n v="25"/>
    <x v="24"/>
    <n v="1002"/>
    <s v="Customer_127"/>
    <s v="Consumer"/>
    <s v="South"/>
    <s v="Furniture"/>
    <s v="Product_D"/>
    <n v="2176"/>
    <n v="6"/>
    <n v="0.24"/>
    <n v="337"/>
    <s v="UPI"/>
    <n v="9922.56"/>
    <x v="0"/>
    <n v="2024"/>
    <x v="0"/>
    <n v="3.3963009545923635E-2"/>
    <n v="3133.44"/>
    <s v="High"/>
    <s v="Repeat"/>
    <s v="Below Avg"/>
    <s v="Profit"/>
    <n v="201"/>
  </r>
  <r>
    <n v="26"/>
    <x v="25"/>
    <n v="1084"/>
    <s v="Customer_7"/>
    <s v="Corporate"/>
    <s v="North"/>
    <s v="Clothing"/>
    <s v="Product_C"/>
    <n v="1857"/>
    <n v="6"/>
    <n v="0.25"/>
    <n v="1296"/>
    <s v="Card"/>
    <n v="8356.5"/>
    <x v="0"/>
    <n v="2024"/>
    <x v="0"/>
    <n v="0.15508885298869143"/>
    <n v="2785.5"/>
    <s v="High"/>
    <s v="Repeat"/>
    <s v="Below Avg"/>
    <s v="Profit"/>
    <n v="240"/>
  </r>
  <r>
    <n v="27"/>
    <x v="26"/>
    <n v="1039"/>
    <s v="Customer_195"/>
    <s v="Consumer"/>
    <s v="East"/>
    <s v="Furniture"/>
    <s v="Product_D"/>
    <n v="4258"/>
    <n v="7"/>
    <n v="0.16"/>
    <n v="1331"/>
    <s v="COD"/>
    <n v="25037.040000000001"/>
    <x v="0"/>
    <n v="2024"/>
    <x v="0"/>
    <n v="5.3161236312279724E-2"/>
    <n v="4768.96"/>
    <s v="High"/>
    <s v="Repeat"/>
    <s v="Above Avg"/>
    <s v="Profit"/>
    <n v="42"/>
  </r>
  <r>
    <n v="28"/>
    <x v="27"/>
    <n v="1066"/>
    <s v="Customer_56"/>
    <s v="Consumer"/>
    <s v="South"/>
    <s v="Furniture"/>
    <s v="Product_D"/>
    <n v="270"/>
    <n v="2"/>
    <n v="7.0000000000000007E-2"/>
    <n v="1695"/>
    <s v="Card"/>
    <n v="502.2"/>
    <x v="0"/>
    <n v="2024"/>
    <x v="0"/>
    <n v="3.3751493428912784"/>
    <n v="37.800000000000004"/>
    <s v="Low"/>
    <s v="Repeat"/>
    <s v="Below Avg"/>
    <s v="Profit"/>
    <n v="491"/>
  </r>
  <r>
    <n v="29"/>
    <x v="28"/>
    <n v="1084"/>
    <s v="Customer_72"/>
    <s v="Corporate"/>
    <s v="North"/>
    <s v="Furniture"/>
    <s v="Product_A"/>
    <n v="1757"/>
    <n v="7"/>
    <n v="0.24"/>
    <n v="1198"/>
    <s v="Card"/>
    <n v="9347.24"/>
    <x v="0"/>
    <n v="2024"/>
    <x v="0"/>
    <n v="0.1281661752560114"/>
    <n v="2951.7599999999998"/>
    <s v="High"/>
    <s v="Repeat"/>
    <s v="Below Avg"/>
    <s v="Profit"/>
    <n v="223"/>
  </r>
  <r>
    <n v="30"/>
    <x v="29"/>
    <n v="1047"/>
    <s v="Customer_94"/>
    <s v="Corporate"/>
    <s v="West"/>
    <s v="Electronics"/>
    <s v="Product_A"/>
    <n v="2171"/>
    <n v="2"/>
    <n v="0.11"/>
    <n v="1464"/>
    <s v="UPI"/>
    <n v="3864.38"/>
    <x v="0"/>
    <n v="2024"/>
    <x v="0"/>
    <n v="0.37884473059067691"/>
    <n v="477.62"/>
    <s v="Medium"/>
    <s v="Repeat"/>
    <s v="Below Avg"/>
    <s v="Profit"/>
    <n v="359"/>
  </r>
  <r>
    <n v="31"/>
    <x v="30"/>
    <n v="1061"/>
    <s v="Customer_11"/>
    <s v="Consumer"/>
    <s v="North"/>
    <s v="Furniture"/>
    <s v="Product_D"/>
    <n v="4589"/>
    <n v="2"/>
    <n v="0.28000000000000003"/>
    <n v="1849"/>
    <s v="COD"/>
    <n v="6608.16"/>
    <x v="0"/>
    <n v="2024"/>
    <x v="0"/>
    <n v="0.27980557371492215"/>
    <n v="2569.84"/>
    <s v="High"/>
    <s v="Repeat"/>
    <s v="Below Avg"/>
    <s v="Profit"/>
    <n v="284"/>
  </r>
  <r>
    <n v="32"/>
    <x v="31"/>
    <n v="1048"/>
    <s v="Customer_145"/>
    <s v="Consumer"/>
    <s v="North"/>
    <s v="Furniture"/>
    <s v="Product_A"/>
    <n v="1491"/>
    <n v="1"/>
    <n v="0.08"/>
    <n v="-440"/>
    <s v="UPI"/>
    <n v="1371.72"/>
    <x v="1"/>
    <n v="2024"/>
    <x v="0"/>
    <n v="-0.32076517073455224"/>
    <n v="119.28"/>
    <s v="Low"/>
    <s v="Repeat"/>
    <s v="Below Avg"/>
    <s v="Loss"/>
    <n v="464"/>
  </r>
  <r>
    <n v="33"/>
    <x v="32"/>
    <n v="1007"/>
    <s v="Customer_72"/>
    <s v="Corporate"/>
    <s v="North"/>
    <s v="Electronics"/>
    <s v="Product_D"/>
    <n v="4961"/>
    <n v="9"/>
    <n v="0.28000000000000003"/>
    <n v="1103"/>
    <s v="Card"/>
    <n v="32147.279999999999"/>
    <x v="1"/>
    <n v="2024"/>
    <x v="0"/>
    <n v="3.4310834384744214E-2"/>
    <n v="12501.720000000001"/>
    <s v="High"/>
    <s v="Repeat"/>
    <s v="Above Avg"/>
    <s v="Profit"/>
    <n v="21"/>
  </r>
  <r>
    <n v="34"/>
    <x v="33"/>
    <n v="1099"/>
    <s v="Customer_175"/>
    <s v="Consumer"/>
    <s v="West"/>
    <s v="Electronics"/>
    <s v="Product_A"/>
    <n v="2141"/>
    <n v="9"/>
    <n v="0.13"/>
    <n v="191"/>
    <s v="COD"/>
    <n v="16764.03"/>
    <x v="1"/>
    <n v="2024"/>
    <x v="0"/>
    <n v="1.1393441791741009E-2"/>
    <n v="2504.9700000000003"/>
    <s v="High"/>
    <s v="Repeat"/>
    <s v="Above Avg"/>
    <s v="Profit"/>
    <n v="108"/>
  </r>
  <r>
    <n v="35"/>
    <x v="34"/>
    <n v="1092"/>
    <s v="Customer_172"/>
    <s v="Consumer"/>
    <s v="West"/>
    <s v="Furniture"/>
    <s v="Product_B"/>
    <n v="4536"/>
    <n v="5"/>
    <n v="0.23"/>
    <n v="954"/>
    <s v="UPI"/>
    <n v="17463.599999999999"/>
    <x v="1"/>
    <n v="2024"/>
    <x v="0"/>
    <n v="5.4627911770768915E-2"/>
    <n v="5216.4000000000005"/>
    <s v="High"/>
    <s v="Repeat"/>
    <s v="Above Avg"/>
    <s v="Profit"/>
    <n v="98"/>
  </r>
  <r>
    <n v="36"/>
    <x v="35"/>
    <n v="1052"/>
    <s v="Customer_192"/>
    <s v="Corporate"/>
    <s v="South"/>
    <s v="Electronics"/>
    <s v="Product_A"/>
    <n v="2529"/>
    <n v="7"/>
    <n v="0.06"/>
    <n v="-454"/>
    <s v="Card"/>
    <n v="16640.82"/>
    <x v="1"/>
    <n v="2024"/>
    <x v="0"/>
    <n v="-2.7282309405425934E-2"/>
    <n v="1062.18"/>
    <s v="High"/>
    <s v="Repeat"/>
    <s v="Above Avg"/>
    <s v="Loss"/>
    <n v="112"/>
  </r>
  <r>
    <n v="37"/>
    <x v="36"/>
    <n v="1097"/>
    <s v="Customer_158"/>
    <s v="Consumer"/>
    <s v="East"/>
    <s v="Clothing"/>
    <s v="Product_C"/>
    <n v="3484"/>
    <n v="7"/>
    <n v="0.19"/>
    <n v="-398"/>
    <s v="UPI"/>
    <n v="19754.28"/>
    <x v="1"/>
    <n v="2024"/>
    <x v="0"/>
    <n v="-2.0147532585343533E-2"/>
    <n v="4633.72"/>
    <s v="High"/>
    <s v="Repeat"/>
    <s v="Above Avg"/>
    <s v="Loss"/>
    <n v="81"/>
  </r>
  <r>
    <n v="38"/>
    <x v="37"/>
    <n v="1085"/>
    <s v="Customer_43"/>
    <s v="Consumer"/>
    <s v="North"/>
    <s v="Furniture"/>
    <s v="Product_B"/>
    <n v="100"/>
    <n v="3"/>
    <n v="0.17"/>
    <n v="-325"/>
    <s v="COD"/>
    <n v="249"/>
    <x v="1"/>
    <n v="2024"/>
    <x v="0"/>
    <n v="-1.3052208835341366"/>
    <n v="51.000000000000007"/>
    <s v="Low"/>
    <s v="Repeat"/>
    <s v="Below Avg"/>
    <s v="Loss"/>
    <n v="498"/>
  </r>
  <r>
    <n v="39"/>
    <x v="38"/>
    <n v="1094"/>
    <s v="Customer_16"/>
    <s v="Consumer"/>
    <s v="East"/>
    <s v="Electronics"/>
    <s v="Product_D"/>
    <n v="1152"/>
    <n v="2"/>
    <n v="0.13"/>
    <n v="-297"/>
    <s v="UPI"/>
    <n v="2004.48"/>
    <x v="1"/>
    <n v="2024"/>
    <x v="0"/>
    <n v="-0.14816810344827586"/>
    <n v="299.52"/>
    <s v="Medium"/>
    <s v="Repeat"/>
    <s v="Below Avg"/>
    <s v="Loss"/>
    <n v="430"/>
  </r>
  <r>
    <n v="40"/>
    <x v="39"/>
    <n v="1027"/>
    <s v="Customer_119"/>
    <s v="Corporate"/>
    <s v="South"/>
    <s v="Electronics"/>
    <s v="Product_A"/>
    <n v="1345"/>
    <n v="4"/>
    <n v="0.22"/>
    <n v="1624"/>
    <s v="COD"/>
    <n v="4196.3999999999996"/>
    <x v="1"/>
    <n v="2024"/>
    <x v="0"/>
    <n v="0.38699837956343536"/>
    <n v="1183.5999999999999"/>
    <s v="Medium"/>
    <s v="Repeat"/>
    <s v="Below Avg"/>
    <s v="Profit"/>
    <n v="346"/>
  </r>
  <r>
    <n v="41"/>
    <x v="40"/>
    <n v="1034"/>
    <s v="Customer_4"/>
    <s v="Corporate"/>
    <s v="West"/>
    <s v="Furniture"/>
    <s v="Product_D"/>
    <n v="3274"/>
    <n v="8"/>
    <n v="0.25"/>
    <n v="578"/>
    <s v="Card"/>
    <n v="19644"/>
    <x v="1"/>
    <n v="2024"/>
    <x v="0"/>
    <n v="2.942374261861128E-2"/>
    <n v="6548"/>
    <s v="High"/>
    <s v="Repeat"/>
    <s v="Above Avg"/>
    <s v="Profit"/>
    <n v="82"/>
  </r>
  <r>
    <n v="42"/>
    <x v="41"/>
    <n v="1097"/>
    <s v="Customer_85"/>
    <s v="Corporate"/>
    <s v="South"/>
    <s v="Furniture"/>
    <s v="Product_C"/>
    <n v="2350"/>
    <n v="1"/>
    <n v="0.22"/>
    <n v="1840"/>
    <s v="UPI"/>
    <n v="1833"/>
    <x v="1"/>
    <n v="2024"/>
    <x v="0"/>
    <n v="1.0038188761593017"/>
    <n v="517"/>
    <s v="Low"/>
    <s v="Repeat"/>
    <s v="Below Avg"/>
    <s v="Profit"/>
    <n v="439"/>
  </r>
  <r>
    <n v="43"/>
    <x v="42"/>
    <n v="1076"/>
    <s v="Customer_50"/>
    <s v="Consumer"/>
    <s v="West"/>
    <s v="Electronics"/>
    <s v="Product_D"/>
    <n v="1934"/>
    <n v="8"/>
    <n v="0.24"/>
    <n v="1168"/>
    <s v="Card"/>
    <n v="11758.72"/>
    <x v="1"/>
    <n v="2024"/>
    <x v="0"/>
    <n v="9.933053937843575E-2"/>
    <n v="3713.2799999999997"/>
    <s v="High"/>
    <s v="Repeat"/>
    <s v="Above Avg"/>
    <s v="Profit"/>
    <n v="175"/>
  </r>
  <r>
    <n v="44"/>
    <x v="43"/>
    <n v="1040"/>
    <s v="Customer_34"/>
    <s v="Corporate"/>
    <s v="North"/>
    <s v="Electronics"/>
    <s v="Product_C"/>
    <n v="3605"/>
    <n v="2"/>
    <n v="0.22"/>
    <n v="1510"/>
    <s v="Card"/>
    <n v="5623.8"/>
    <x v="1"/>
    <n v="2024"/>
    <x v="0"/>
    <n v="0.26850172481240442"/>
    <n v="1586.2"/>
    <s v="High"/>
    <s v="Repeat"/>
    <s v="Below Avg"/>
    <s v="Profit"/>
    <n v="305"/>
  </r>
  <r>
    <n v="45"/>
    <x v="44"/>
    <n v="1003"/>
    <s v="Customer_35"/>
    <s v="Corporate"/>
    <s v="East"/>
    <s v="Furniture"/>
    <s v="Product_B"/>
    <n v="4693"/>
    <n v="8"/>
    <n v="0.04"/>
    <n v="1809"/>
    <s v="UPI"/>
    <n v="36042.239999999998"/>
    <x v="1"/>
    <n v="2024"/>
    <x v="0"/>
    <n v="5.019110909865758E-2"/>
    <n v="1501.76"/>
    <s v="High"/>
    <s v="Repeat"/>
    <s v="Above Avg"/>
    <s v="Profit"/>
    <n v="7"/>
  </r>
  <r>
    <n v="46"/>
    <x v="45"/>
    <n v="1069"/>
    <s v="Customer_64"/>
    <s v="Consumer"/>
    <s v="South"/>
    <s v="Furniture"/>
    <s v="Product_C"/>
    <n v="4092"/>
    <n v="2"/>
    <n v="0.23"/>
    <n v="779"/>
    <s v="Card"/>
    <n v="6301.68"/>
    <x v="1"/>
    <n v="2024"/>
    <x v="0"/>
    <n v="0.12361782889642127"/>
    <n v="1882.3200000000002"/>
    <s v="High"/>
    <s v="Repeat"/>
    <s v="Below Avg"/>
    <s v="Profit"/>
    <n v="290"/>
  </r>
  <r>
    <n v="47"/>
    <x v="46"/>
    <n v="1064"/>
    <s v="Customer_13"/>
    <s v="Corporate"/>
    <s v="West"/>
    <s v="Electronics"/>
    <s v="Product_B"/>
    <n v="1788"/>
    <n v="7"/>
    <n v="0.06"/>
    <n v="-196"/>
    <s v="Card"/>
    <n v="11765.039999999901"/>
    <x v="1"/>
    <n v="2024"/>
    <x v="0"/>
    <n v="-1.6659526869437048E-2"/>
    <n v="750.95999999999992"/>
    <s v="High"/>
    <s v="Repeat"/>
    <s v="Above Avg"/>
    <s v="Loss"/>
    <n v="174"/>
  </r>
  <r>
    <n v="48"/>
    <x v="47"/>
    <n v="1075"/>
    <s v="Customer_107"/>
    <s v="Corporate"/>
    <s v="West"/>
    <s v="Clothing"/>
    <s v="Product_C"/>
    <n v="343"/>
    <n v="3"/>
    <n v="0.03"/>
    <n v="1062"/>
    <s v="UPI"/>
    <n v="998.13"/>
    <x v="1"/>
    <n v="2024"/>
    <x v="0"/>
    <n v="1.0639896606654444"/>
    <n v="30.869999999999997"/>
    <s v="Low"/>
    <s v="Repeat"/>
    <s v="Below Avg"/>
    <s v="Profit"/>
    <n v="479"/>
  </r>
  <r>
    <n v="49"/>
    <x v="48"/>
    <n v="1034"/>
    <s v="Customer_27"/>
    <s v="Consumer"/>
    <s v="South"/>
    <s v="Electronics"/>
    <s v="Product_B"/>
    <n v="1734"/>
    <n v="6"/>
    <n v="0.27"/>
    <n v="318"/>
    <s v="UPI"/>
    <n v="7594.92"/>
    <x v="1"/>
    <n v="2024"/>
    <x v="0"/>
    <n v="4.1870092114202652E-2"/>
    <n v="2809.0800000000004"/>
    <s v="High"/>
    <s v="Repeat"/>
    <s v="Below Avg"/>
    <s v="Profit"/>
    <n v="263"/>
  </r>
  <r>
    <n v="50"/>
    <x v="49"/>
    <n v="1058"/>
    <s v="Customer_169"/>
    <s v="Consumer"/>
    <s v="East"/>
    <s v="Furniture"/>
    <s v="Product_C"/>
    <n v="2310"/>
    <n v="7"/>
    <n v="0.18"/>
    <n v="-22"/>
    <s v="COD"/>
    <n v="13259.4"/>
    <x v="1"/>
    <n v="2024"/>
    <x v="0"/>
    <n v="-1.6592002654720426E-3"/>
    <n v="2910.6"/>
    <s v="High"/>
    <s v="Repeat"/>
    <s v="Above Avg"/>
    <s v="Loss"/>
    <n v="157"/>
  </r>
  <r>
    <n v="51"/>
    <x v="50"/>
    <n v="1010"/>
    <s v="Customer_42"/>
    <s v="Consumer"/>
    <s v="East"/>
    <s v="Clothing"/>
    <s v="Product_B"/>
    <n v="274"/>
    <n v="6"/>
    <n v="0.05"/>
    <n v="-327"/>
    <s v="COD"/>
    <n v="1561.8"/>
    <x v="1"/>
    <n v="2024"/>
    <x v="0"/>
    <n v="-0.20937379946215906"/>
    <n v="82.2"/>
    <s v="Low"/>
    <s v="Repeat"/>
    <s v="Below Avg"/>
    <s v="Loss"/>
    <n v="455"/>
  </r>
  <r>
    <n v="52"/>
    <x v="51"/>
    <n v="1022"/>
    <s v="Customer_157"/>
    <s v="Corporate"/>
    <s v="West"/>
    <s v="Clothing"/>
    <s v="Product_A"/>
    <n v="2319"/>
    <n v="5"/>
    <n v="0.19"/>
    <n v="51"/>
    <s v="COD"/>
    <n v="9391.9500000000007"/>
    <x v="1"/>
    <n v="2024"/>
    <x v="0"/>
    <n v="5.4301822305272062E-3"/>
    <n v="2203.0500000000002"/>
    <s v="High"/>
    <s v="Repeat"/>
    <s v="Below Avg"/>
    <s v="Profit"/>
    <n v="222"/>
  </r>
  <r>
    <n v="53"/>
    <x v="52"/>
    <n v="1077"/>
    <s v="Customer_144"/>
    <s v="Corporate"/>
    <s v="North"/>
    <s v="Electronics"/>
    <s v="Product_B"/>
    <n v="3756"/>
    <n v="9"/>
    <n v="0.1"/>
    <n v="1822"/>
    <s v="Card"/>
    <n v="30423.599999999999"/>
    <x v="1"/>
    <n v="2024"/>
    <x v="0"/>
    <n v="5.9887718744658758E-2"/>
    <n v="3380.4"/>
    <s v="High"/>
    <s v="Repeat"/>
    <s v="Above Avg"/>
    <s v="Profit"/>
    <n v="23"/>
  </r>
  <r>
    <n v="54"/>
    <x v="53"/>
    <n v="1018"/>
    <s v="Customer_181"/>
    <s v="Corporate"/>
    <s v="North"/>
    <s v="Furniture"/>
    <s v="Product_D"/>
    <n v="366"/>
    <n v="9"/>
    <n v="0.04"/>
    <n v="-461"/>
    <s v="UPI"/>
    <n v="3162.24"/>
    <x v="1"/>
    <n v="2024"/>
    <x v="0"/>
    <n v="-0.14578273628820079"/>
    <n v="131.76"/>
    <s v="Medium"/>
    <s v="Repeat"/>
    <s v="Below Avg"/>
    <s v="Loss"/>
    <n v="388"/>
  </r>
  <r>
    <n v="55"/>
    <x v="54"/>
    <n v="1015"/>
    <s v="Customer_46"/>
    <s v="Corporate"/>
    <s v="North"/>
    <s v="Clothing"/>
    <s v="Product_A"/>
    <n v="1482"/>
    <n v="3"/>
    <n v="0.24"/>
    <n v="1102"/>
    <s v="COD"/>
    <n v="3378.96"/>
    <x v="1"/>
    <n v="2024"/>
    <x v="0"/>
    <n v="0.32613585245164189"/>
    <n v="1067.04"/>
    <s v="Medium"/>
    <s v="Repeat"/>
    <s v="Below Avg"/>
    <s v="Profit"/>
    <n v="381"/>
  </r>
  <r>
    <n v="56"/>
    <x v="55"/>
    <n v="1027"/>
    <s v="Customer_197"/>
    <s v="Corporate"/>
    <s v="North"/>
    <s v="Electronics"/>
    <s v="Product_C"/>
    <n v="879"/>
    <n v="7"/>
    <n v="0.03"/>
    <n v="1934"/>
    <s v="Card"/>
    <n v="5968.41"/>
    <x v="1"/>
    <n v="2024"/>
    <x v="0"/>
    <n v="0.3240394007784318"/>
    <n v="184.59"/>
    <s v="High"/>
    <s v="Repeat"/>
    <s v="Below Avg"/>
    <s v="Profit"/>
    <n v="298"/>
  </r>
  <r>
    <n v="57"/>
    <x v="56"/>
    <n v="1030"/>
    <s v="Customer_37"/>
    <s v="Corporate"/>
    <s v="East"/>
    <s v="Furniture"/>
    <s v="Product_B"/>
    <n v="4731"/>
    <n v="2"/>
    <n v="0.28999999999999998"/>
    <n v="1177"/>
    <s v="COD"/>
    <n v="6718.0199999999904"/>
    <x v="1"/>
    <n v="2024"/>
    <x v="0"/>
    <n v="0.17520043107939567"/>
    <n v="2743.98"/>
    <s v="High"/>
    <s v="Repeat"/>
    <s v="Below Avg"/>
    <s v="Profit"/>
    <n v="282"/>
  </r>
  <r>
    <n v="58"/>
    <x v="57"/>
    <n v="1052"/>
    <s v="Customer_104"/>
    <s v="Consumer"/>
    <s v="West"/>
    <s v="Furniture"/>
    <s v="Product_B"/>
    <n v="766"/>
    <n v="1"/>
    <n v="0.23"/>
    <n v="993"/>
    <s v="COD"/>
    <n v="589.82000000000005"/>
    <x v="1"/>
    <n v="2024"/>
    <x v="0"/>
    <n v="1.6835644772981586"/>
    <n v="176.18"/>
    <s v="Low"/>
    <s v="Repeat"/>
    <s v="Below Avg"/>
    <s v="Profit"/>
    <n v="487"/>
  </r>
  <r>
    <n v="59"/>
    <x v="58"/>
    <n v="1070"/>
    <s v="Customer_188"/>
    <s v="Consumer"/>
    <s v="West"/>
    <s v="Furniture"/>
    <s v="Product_B"/>
    <n v="1257"/>
    <n v="4"/>
    <n v="0.21"/>
    <n v="-182"/>
    <s v="UPI"/>
    <n v="3972.12"/>
    <x v="1"/>
    <n v="2024"/>
    <x v="0"/>
    <n v="-4.581936094579217E-2"/>
    <n v="1055.8799999999999"/>
    <s v="Medium"/>
    <s v="Repeat"/>
    <s v="Below Avg"/>
    <s v="Loss"/>
    <n v="354"/>
  </r>
  <r>
    <n v="60"/>
    <x v="59"/>
    <n v="1026"/>
    <s v="Customer_143"/>
    <s v="Consumer"/>
    <s v="North"/>
    <s v="Electronics"/>
    <s v="Product_C"/>
    <n v="4776"/>
    <n v="3"/>
    <n v="7.0000000000000007E-2"/>
    <n v="1297"/>
    <s v="UPI"/>
    <n v="13325.039999999901"/>
    <x v="1"/>
    <n v="2024"/>
    <x v="0"/>
    <n v="9.7335542707564823E-2"/>
    <n v="1002.9600000000002"/>
    <s v="High"/>
    <s v="Repeat"/>
    <s v="Above Avg"/>
    <s v="Profit"/>
    <n v="156"/>
  </r>
  <r>
    <n v="61"/>
    <x v="60"/>
    <n v="1080"/>
    <s v="Customer_149"/>
    <s v="Consumer"/>
    <s v="West"/>
    <s v="Furniture"/>
    <s v="Product_D"/>
    <n v="963"/>
    <n v="4"/>
    <n v="0.23"/>
    <n v="-271"/>
    <s v="Card"/>
    <n v="2966.04"/>
    <x v="2"/>
    <n v="2024"/>
    <x v="0"/>
    <n v="-9.1367614732100713E-2"/>
    <n v="885.96"/>
    <s v="Medium"/>
    <s v="Repeat"/>
    <s v="Below Avg"/>
    <s v="Loss"/>
    <n v="395"/>
  </r>
  <r>
    <n v="62"/>
    <x v="61"/>
    <n v="1006"/>
    <s v="Customer_34"/>
    <s v="Corporate"/>
    <s v="East"/>
    <s v="Clothing"/>
    <s v="Product_C"/>
    <n v="4000"/>
    <n v="3"/>
    <n v="0.01"/>
    <n v="1902"/>
    <s v="COD"/>
    <n v="11880"/>
    <x v="2"/>
    <n v="2024"/>
    <x v="0"/>
    <n v="0.1601010101010101"/>
    <n v="120"/>
    <s v="High"/>
    <s v="Repeat"/>
    <s v="Above Avg"/>
    <s v="Profit"/>
    <n v="171"/>
  </r>
  <r>
    <n v="63"/>
    <x v="62"/>
    <n v="1014"/>
    <s v="Customer_9"/>
    <s v="Consumer"/>
    <s v="South"/>
    <s v="Electronics"/>
    <s v="Product_B"/>
    <n v="156"/>
    <n v="9"/>
    <n v="0.17"/>
    <n v="325"/>
    <s v="COD"/>
    <n v="1165.32"/>
    <x v="2"/>
    <n v="2024"/>
    <x v="0"/>
    <n v="0.2788933511825078"/>
    <n v="238.68"/>
    <s v="Low"/>
    <s v="Repeat"/>
    <s v="Below Avg"/>
    <s v="Profit"/>
    <n v="472"/>
  </r>
  <r>
    <n v="64"/>
    <x v="63"/>
    <n v="1075"/>
    <s v="Customer_154"/>
    <s v="Consumer"/>
    <s v="South"/>
    <s v="Electronics"/>
    <s v="Product_A"/>
    <n v="3350"/>
    <n v="4"/>
    <n v="0.09"/>
    <n v="1332"/>
    <s v="COD"/>
    <n v="12194"/>
    <x v="2"/>
    <n v="2024"/>
    <x v="0"/>
    <n v="0.109234049532557"/>
    <n v="1206"/>
    <s v="High"/>
    <s v="Repeat"/>
    <s v="Above Avg"/>
    <s v="Profit"/>
    <n v="165"/>
  </r>
  <r>
    <n v="65"/>
    <x v="64"/>
    <n v="1054"/>
    <s v="Customer_77"/>
    <s v="Consumer"/>
    <s v="West"/>
    <s v="Electronics"/>
    <s v="Product_B"/>
    <n v="642"/>
    <n v="4"/>
    <n v="0.25"/>
    <n v="30"/>
    <s v="UPI"/>
    <n v="1926"/>
    <x v="2"/>
    <n v="2024"/>
    <x v="0"/>
    <n v="1.5576323987538941E-2"/>
    <n v="642"/>
    <s v="Low"/>
    <s v="Repeat"/>
    <s v="Below Avg"/>
    <s v="Profit"/>
    <n v="434"/>
  </r>
  <r>
    <n v="66"/>
    <x v="65"/>
    <n v="1071"/>
    <s v="Customer_146"/>
    <s v="Corporate"/>
    <s v="West"/>
    <s v="Electronics"/>
    <s v="Product_A"/>
    <n v="1032"/>
    <n v="7"/>
    <n v="0.23"/>
    <n v="-33"/>
    <s v="UPI"/>
    <n v="5562.48"/>
    <x v="2"/>
    <n v="2024"/>
    <x v="0"/>
    <n v="-5.9326056003796875E-3"/>
    <n v="1661.52"/>
    <s v="High"/>
    <s v="Repeat"/>
    <s v="Below Avg"/>
    <s v="Loss"/>
    <n v="307"/>
  </r>
  <r>
    <n v="67"/>
    <x v="66"/>
    <n v="1001"/>
    <s v="Customer_1"/>
    <s v="Consumer"/>
    <s v="West"/>
    <s v="Furniture"/>
    <s v="Product_B"/>
    <n v="950"/>
    <n v="4"/>
    <n v="0.15"/>
    <n v="1734"/>
    <s v="COD"/>
    <n v="3230"/>
    <x v="2"/>
    <n v="2024"/>
    <x v="0"/>
    <n v="0.5368421052631579"/>
    <n v="570"/>
    <s v="Medium"/>
    <s v="Repeat"/>
    <s v="Below Avg"/>
    <s v="Profit"/>
    <n v="387"/>
  </r>
  <r>
    <n v="68"/>
    <x v="67"/>
    <n v="1043"/>
    <s v="Customer_23"/>
    <s v="Corporate"/>
    <s v="North"/>
    <s v="Electronics"/>
    <s v="Product_D"/>
    <n v="1275"/>
    <n v="9"/>
    <n v="0.14000000000000001"/>
    <n v="1604"/>
    <s v="Card"/>
    <n v="9868.5"/>
    <x v="2"/>
    <n v="2024"/>
    <x v="0"/>
    <n v="0.16253736636773572"/>
    <n v="1606.5000000000002"/>
    <s v="High"/>
    <s v="New"/>
    <s v="Below Avg"/>
    <s v="Profit"/>
    <n v="204"/>
  </r>
  <r>
    <n v="69"/>
    <x v="68"/>
    <n v="1058"/>
    <s v="Customer_33"/>
    <s v="Consumer"/>
    <s v="North"/>
    <s v="Clothing"/>
    <s v="Product_D"/>
    <n v="622"/>
    <n v="9"/>
    <n v="0.02"/>
    <n v="442"/>
    <s v="Card"/>
    <n v="5486.04"/>
    <x v="2"/>
    <n v="2024"/>
    <x v="0"/>
    <n v="8.0568132933773726E-2"/>
    <n v="111.96000000000001"/>
    <s v="High"/>
    <s v="Repeat"/>
    <s v="Below Avg"/>
    <s v="Profit"/>
    <n v="309"/>
  </r>
  <r>
    <n v="70"/>
    <x v="69"/>
    <n v="1055"/>
    <s v="Customer_175"/>
    <s v="Consumer"/>
    <s v="West"/>
    <s v="Clothing"/>
    <s v="Product_C"/>
    <n v="209"/>
    <n v="9"/>
    <n v="7.0000000000000007E-2"/>
    <n v="79"/>
    <s v="Card"/>
    <n v="1749.33"/>
    <x v="2"/>
    <n v="2024"/>
    <x v="0"/>
    <n v="4.5160147027719186E-2"/>
    <n v="131.67000000000002"/>
    <s v="Low"/>
    <s v="Repeat"/>
    <s v="Below Avg"/>
    <s v="Profit"/>
    <n v="444"/>
  </r>
  <r>
    <n v="71"/>
    <x v="70"/>
    <n v="1025"/>
    <s v="Customer_95"/>
    <s v="Consumer"/>
    <s v="South"/>
    <s v="Clothing"/>
    <s v="Product_D"/>
    <n v="3545"/>
    <n v="6"/>
    <n v="0.21"/>
    <n v="706"/>
    <s v="Card"/>
    <n v="16803.3"/>
    <x v="2"/>
    <n v="2024"/>
    <x v="0"/>
    <n v="4.2015556468074727E-2"/>
    <n v="4466.7"/>
    <s v="High"/>
    <s v="Repeat"/>
    <s v="Above Avg"/>
    <s v="Profit"/>
    <n v="107"/>
  </r>
  <r>
    <n v="72"/>
    <x v="71"/>
    <n v="1050"/>
    <s v="Customer_122"/>
    <s v="Corporate"/>
    <s v="East"/>
    <s v="Clothing"/>
    <s v="Product_A"/>
    <n v="156"/>
    <n v="9"/>
    <n v="0.02"/>
    <n v="56"/>
    <s v="COD"/>
    <n v="1375.92"/>
    <x v="2"/>
    <n v="2024"/>
    <x v="0"/>
    <n v="4.0700040700040699E-2"/>
    <n v="28.080000000000002"/>
    <s v="Low"/>
    <s v="Repeat"/>
    <s v="Below Avg"/>
    <s v="Profit"/>
    <n v="463"/>
  </r>
  <r>
    <n v="73"/>
    <x v="72"/>
    <n v="1084"/>
    <s v="Customer_21"/>
    <s v="Consumer"/>
    <s v="West"/>
    <s v="Clothing"/>
    <s v="Product_C"/>
    <n v="3923"/>
    <n v="3"/>
    <n v="0.24"/>
    <n v="1141"/>
    <s v="UPI"/>
    <n v="8944.44"/>
    <x v="2"/>
    <n v="2024"/>
    <x v="0"/>
    <n v="0.12756528077777926"/>
    <n v="2824.56"/>
    <s v="High"/>
    <s v="Repeat"/>
    <s v="Below Avg"/>
    <s v="Profit"/>
    <n v="232"/>
  </r>
  <r>
    <n v="74"/>
    <x v="73"/>
    <n v="1056"/>
    <s v="Customer_61"/>
    <s v="Corporate"/>
    <s v="East"/>
    <s v="Electronics"/>
    <s v="Product_D"/>
    <n v="1766"/>
    <n v="2"/>
    <n v="0.28999999999999998"/>
    <n v="620"/>
    <s v="Card"/>
    <n v="2507.7199999999998"/>
    <x v="2"/>
    <n v="2024"/>
    <x v="0"/>
    <n v="0.24723653358429173"/>
    <n v="1024.28"/>
    <s v="Medium"/>
    <s v="Repeat"/>
    <s v="Below Avg"/>
    <s v="Profit"/>
    <n v="410"/>
  </r>
  <r>
    <n v="75"/>
    <x v="74"/>
    <n v="1049"/>
    <s v="Customer_27"/>
    <s v="Consumer"/>
    <s v="East"/>
    <s v="Furniture"/>
    <s v="Product_B"/>
    <n v="4017"/>
    <n v="2"/>
    <n v="0.02"/>
    <n v="755"/>
    <s v="COD"/>
    <n v="7873.32"/>
    <x v="2"/>
    <n v="2024"/>
    <x v="0"/>
    <n v="9.58934731472873E-2"/>
    <n v="160.68"/>
    <s v="High"/>
    <s v="Repeat"/>
    <s v="Below Avg"/>
    <s v="Profit"/>
    <n v="255"/>
  </r>
  <r>
    <n v="76"/>
    <x v="75"/>
    <n v="1012"/>
    <s v="Customer_191"/>
    <s v="Consumer"/>
    <s v="East"/>
    <s v="Clothing"/>
    <s v="Product_D"/>
    <n v="1527"/>
    <n v="7"/>
    <n v="0.14000000000000001"/>
    <n v="-113"/>
    <s v="COD"/>
    <n v="9192.53999999999"/>
    <x v="2"/>
    <n v="2024"/>
    <x v="0"/>
    <n v="-1.2292576371710117E-2"/>
    <n v="1496.46"/>
    <s v="High"/>
    <s v="Repeat"/>
    <s v="Below Avg"/>
    <s v="Loss"/>
    <n v="227"/>
  </r>
  <r>
    <n v="77"/>
    <x v="76"/>
    <n v="1018"/>
    <s v="Customer_102"/>
    <s v="Consumer"/>
    <s v="East"/>
    <s v="Furniture"/>
    <s v="Product_C"/>
    <n v="604"/>
    <n v="5"/>
    <n v="0.17"/>
    <n v="213"/>
    <s v="COD"/>
    <n v="2506.6"/>
    <x v="2"/>
    <n v="2024"/>
    <x v="0"/>
    <n v="8.497566424638954E-2"/>
    <n v="513.40000000000009"/>
    <s v="Medium"/>
    <s v="Repeat"/>
    <s v="Below Avg"/>
    <s v="Profit"/>
    <n v="411"/>
  </r>
  <r>
    <n v="78"/>
    <x v="77"/>
    <n v="1081"/>
    <s v="Customer_180"/>
    <s v="Consumer"/>
    <s v="North"/>
    <s v="Clothing"/>
    <s v="Product_D"/>
    <n v="3795"/>
    <n v="4"/>
    <n v="0.24"/>
    <n v="842"/>
    <s v="UPI"/>
    <n v="11536.8"/>
    <x v="2"/>
    <n v="2024"/>
    <x v="0"/>
    <n v="7.2983843006726307E-2"/>
    <n v="3643.2"/>
    <s v="High"/>
    <s v="Repeat"/>
    <s v="Above Avg"/>
    <s v="Profit"/>
    <n v="181"/>
  </r>
  <r>
    <n v="79"/>
    <x v="78"/>
    <n v="1001"/>
    <s v="Customer_192"/>
    <s v="Consumer"/>
    <s v="West"/>
    <s v="Clothing"/>
    <s v="Product_A"/>
    <n v="4704"/>
    <n v="2"/>
    <n v="0.05"/>
    <n v="-31"/>
    <s v="Card"/>
    <n v="8937.6"/>
    <x v="2"/>
    <n v="2024"/>
    <x v="0"/>
    <n v="-3.4684926602219835E-3"/>
    <n v="470.40000000000003"/>
    <s v="High"/>
    <s v="Repeat"/>
    <s v="Below Avg"/>
    <s v="Loss"/>
    <n v="233"/>
  </r>
  <r>
    <n v="80"/>
    <x v="79"/>
    <n v="1051"/>
    <s v="Customer_142"/>
    <s v="Corporate"/>
    <s v="East"/>
    <s v="Clothing"/>
    <s v="Product_A"/>
    <n v="1428"/>
    <n v="4"/>
    <n v="0.11"/>
    <n v="361"/>
    <s v="UPI"/>
    <n v="5083.68"/>
    <x v="2"/>
    <n v="2024"/>
    <x v="0"/>
    <n v="7.10115506876908E-2"/>
    <n v="628.32000000000005"/>
    <s v="High"/>
    <s v="Repeat"/>
    <s v="Below Avg"/>
    <s v="Profit"/>
    <n v="320"/>
  </r>
  <r>
    <n v="81"/>
    <x v="80"/>
    <n v="1044"/>
    <s v="Customer_101"/>
    <s v="Corporate"/>
    <s v="East"/>
    <s v="Furniture"/>
    <s v="Product_A"/>
    <n v="783"/>
    <n v="6"/>
    <n v="0.25"/>
    <n v="-54"/>
    <s v="COD"/>
    <n v="3523.5"/>
    <x v="2"/>
    <n v="2024"/>
    <x v="0"/>
    <n v="-1.532567049808429E-2"/>
    <n v="1174.5"/>
    <s v="Medium"/>
    <s v="Repeat"/>
    <s v="Below Avg"/>
    <s v="Loss"/>
    <n v="376"/>
  </r>
  <r>
    <n v="82"/>
    <x v="81"/>
    <n v="1048"/>
    <s v="Customer_175"/>
    <s v="Consumer"/>
    <s v="South"/>
    <s v="Electronics"/>
    <s v="Product_A"/>
    <n v="222"/>
    <n v="6"/>
    <n v="0.16"/>
    <n v="9"/>
    <s v="UPI"/>
    <n v="1118.8799999999901"/>
    <x v="2"/>
    <n v="2024"/>
    <x v="0"/>
    <n v="8.043758043758115E-3"/>
    <n v="213.12"/>
    <s v="Low"/>
    <s v="Repeat"/>
    <s v="Below Avg"/>
    <s v="Profit"/>
    <n v="474"/>
  </r>
  <r>
    <n v="83"/>
    <x v="82"/>
    <n v="1056"/>
    <s v="Customer_7"/>
    <s v="Corporate"/>
    <s v="West"/>
    <s v="Clothing"/>
    <s v="Product_A"/>
    <n v="1447"/>
    <n v="8"/>
    <n v="0.05"/>
    <n v="1686"/>
    <s v="UPI"/>
    <n v="10997.199999999901"/>
    <x v="2"/>
    <n v="2024"/>
    <x v="0"/>
    <n v="0.15331175208234962"/>
    <n v="578.80000000000007"/>
    <s v="High"/>
    <s v="Repeat"/>
    <s v="Above Avg"/>
    <s v="Profit"/>
    <n v="191"/>
  </r>
  <r>
    <n v="84"/>
    <x v="83"/>
    <n v="1091"/>
    <s v="Customer_76"/>
    <s v="Corporate"/>
    <s v="East"/>
    <s v="Electronics"/>
    <s v="Product_C"/>
    <n v="4171"/>
    <n v="6"/>
    <n v="0.26"/>
    <n v="1941"/>
    <s v="UPI"/>
    <n v="18519.2399999999"/>
    <x v="2"/>
    <n v="2024"/>
    <x v="0"/>
    <n v="0.10480991660564962"/>
    <n v="6506.76"/>
    <s v="High"/>
    <s v="Repeat"/>
    <s v="Above Avg"/>
    <s v="Profit"/>
    <n v="86"/>
  </r>
  <r>
    <n v="85"/>
    <x v="84"/>
    <n v="1049"/>
    <s v="Customer_156"/>
    <s v="Corporate"/>
    <s v="North"/>
    <s v="Clothing"/>
    <s v="Product_D"/>
    <n v="2001"/>
    <n v="5"/>
    <n v="0.28000000000000003"/>
    <n v="832"/>
    <s v="UPI"/>
    <n v="7203.5999999999904"/>
    <x v="2"/>
    <n v="2024"/>
    <x v="0"/>
    <n v="0.1154978066522296"/>
    <n v="2801.4"/>
    <s v="High"/>
    <s v="Repeat"/>
    <s v="Below Avg"/>
    <s v="Profit"/>
    <n v="271"/>
  </r>
  <r>
    <n v="86"/>
    <x v="85"/>
    <n v="1086"/>
    <s v="Customer_131"/>
    <s v="Consumer"/>
    <s v="South"/>
    <s v="Electronics"/>
    <s v="Product_C"/>
    <n v="1745"/>
    <n v="7"/>
    <n v="0.22"/>
    <n v="1411"/>
    <s v="UPI"/>
    <n v="9527.7000000000007"/>
    <x v="2"/>
    <n v="2024"/>
    <x v="0"/>
    <n v="0.14809450339536298"/>
    <n v="2687.3"/>
    <s v="High"/>
    <s v="Repeat"/>
    <s v="Below Avg"/>
    <s v="Profit"/>
    <n v="215"/>
  </r>
  <r>
    <n v="87"/>
    <x v="86"/>
    <n v="1003"/>
    <s v="Customer_150"/>
    <s v="Corporate"/>
    <s v="South"/>
    <s v="Electronics"/>
    <s v="Product_D"/>
    <n v="2969"/>
    <n v="3"/>
    <n v="0.28999999999999998"/>
    <n v="735"/>
    <s v="UPI"/>
    <n v="6323.9699999999903"/>
    <x v="2"/>
    <n v="2024"/>
    <x v="0"/>
    <n v="0.11622446026783827"/>
    <n v="2583.0299999999997"/>
    <s v="High"/>
    <s v="Repeat"/>
    <s v="Below Avg"/>
    <s v="Profit"/>
    <n v="288"/>
  </r>
  <r>
    <n v="88"/>
    <x v="87"/>
    <n v="1067"/>
    <s v="Customer_85"/>
    <s v="Corporate"/>
    <s v="South"/>
    <s v="Clothing"/>
    <s v="Product_A"/>
    <n v="1478"/>
    <n v="4"/>
    <n v="0.28000000000000003"/>
    <n v="-370"/>
    <s v="COD"/>
    <n v="4256.6399999999903"/>
    <x v="2"/>
    <n v="2024"/>
    <x v="0"/>
    <n v="-8.6923019094873155E-2"/>
    <n v="1655.3600000000001"/>
    <s v="Medium"/>
    <s v="Repeat"/>
    <s v="Below Avg"/>
    <s v="Loss"/>
    <n v="343"/>
  </r>
  <r>
    <n v="89"/>
    <x v="88"/>
    <n v="1011"/>
    <s v="Customer_191"/>
    <s v="Corporate"/>
    <s v="South"/>
    <s v="Electronics"/>
    <s v="Product_B"/>
    <n v="2972"/>
    <n v="6"/>
    <n v="0.04"/>
    <n v="64"/>
    <s v="UPI"/>
    <n v="17118.72"/>
    <x v="2"/>
    <n v="2024"/>
    <x v="0"/>
    <n v="3.7385972783011813E-3"/>
    <n v="713.28"/>
    <s v="High"/>
    <s v="Repeat"/>
    <s v="Above Avg"/>
    <s v="Profit"/>
    <n v="104"/>
  </r>
  <r>
    <n v="90"/>
    <x v="89"/>
    <n v="1021"/>
    <s v="Customer_29"/>
    <s v="Consumer"/>
    <s v="East"/>
    <s v="Furniture"/>
    <s v="Product_B"/>
    <n v="1596"/>
    <n v="9"/>
    <n v="0.12"/>
    <n v="1887"/>
    <s v="UPI"/>
    <n v="12640.32"/>
    <x v="2"/>
    <n v="2024"/>
    <x v="0"/>
    <n v="0.14928419533682691"/>
    <n v="1723.6799999999998"/>
    <s v="High"/>
    <s v="Repeat"/>
    <s v="Above Avg"/>
    <s v="Profit"/>
    <n v="161"/>
  </r>
  <r>
    <n v="91"/>
    <x v="90"/>
    <n v="1089"/>
    <s v="Customer_148"/>
    <s v="Corporate"/>
    <s v="North"/>
    <s v="Electronics"/>
    <s v="Product_B"/>
    <n v="775"/>
    <n v="6"/>
    <n v="0.18"/>
    <n v="1459"/>
    <s v="UPI"/>
    <n v="3813"/>
    <x v="2"/>
    <n v="2024"/>
    <x v="0"/>
    <n v="0.38263834251245737"/>
    <n v="837"/>
    <s v="Medium"/>
    <s v="Repeat"/>
    <s v="Below Avg"/>
    <s v="Profit"/>
    <n v="364"/>
  </r>
  <r>
    <n v="92"/>
    <x v="91"/>
    <n v="1098"/>
    <s v="Customer_67"/>
    <s v="Corporate"/>
    <s v="South"/>
    <s v="Furniture"/>
    <s v="Product_D"/>
    <n v="2608"/>
    <n v="4"/>
    <n v="0.22"/>
    <n v="1774"/>
    <s v="UPI"/>
    <n v="8136.96"/>
    <x v="3"/>
    <n v="2024"/>
    <x v="1"/>
    <n v="0.21801753971999371"/>
    <n v="2295.04"/>
    <s v="High"/>
    <s v="Repeat"/>
    <s v="Below Avg"/>
    <s v="Profit"/>
    <n v="246"/>
  </r>
  <r>
    <n v="93"/>
    <x v="92"/>
    <n v="1003"/>
    <s v="Customer_105"/>
    <s v="Corporate"/>
    <s v="North"/>
    <s v="Electronics"/>
    <s v="Product_D"/>
    <n v="2396"/>
    <n v="8"/>
    <n v="0.16"/>
    <n v="943"/>
    <s v="Card"/>
    <n v="16101.119999999901"/>
    <x v="3"/>
    <n v="2024"/>
    <x v="1"/>
    <n v="5.8567354320693578E-2"/>
    <n v="3066.88"/>
    <s v="High"/>
    <s v="Repeat"/>
    <s v="Above Avg"/>
    <s v="Profit"/>
    <n v="126"/>
  </r>
  <r>
    <n v="94"/>
    <x v="93"/>
    <n v="1011"/>
    <s v="Customer_161"/>
    <s v="Consumer"/>
    <s v="East"/>
    <s v="Furniture"/>
    <s v="Product_C"/>
    <n v="662"/>
    <n v="5"/>
    <n v="0.19"/>
    <n v="-45"/>
    <s v="COD"/>
    <n v="2681.1"/>
    <x v="3"/>
    <n v="2024"/>
    <x v="1"/>
    <n v="-1.6784155756965426E-2"/>
    <n v="628.9"/>
    <s v="Medium"/>
    <s v="Repeat"/>
    <s v="Below Avg"/>
    <s v="Loss"/>
    <n v="403"/>
  </r>
  <r>
    <n v="95"/>
    <x v="94"/>
    <n v="1003"/>
    <s v="Customer_94"/>
    <s v="Consumer"/>
    <s v="West"/>
    <s v="Clothing"/>
    <s v="Product_C"/>
    <n v="4372"/>
    <n v="5"/>
    <n v="0.04"/>
    <n v="1771"/>
    <s v="UPI"/>
    <n v="20985.599999999999"/>
    <x v="3"/>
    <n v="2024"/>
    <x v="1"/>
    <n v="8.4391201585849354E-2"/>
    <n v="874.4"/>
    <s v="High"/>
    <s v="Repeat"/>
    <s v="Above Avg"/>
    <s v="Profit"/>
    <n v="77"/>
  </r>
  <r>
    <n v="96"/>
    <x v="95"/>
    <n v="1094"/>
    <s v="Customer_48"/>
    <s v="Consumer"/>
    <s v="North"/>
    <s v="Furniture"/>
    <s v="Product_D"/>
    <n v="301"/>
    <n v="8"/>
    <n v="0.12"/>
    <n v="1297"/>
    <s v="UPI"/>
    <n v="2119.04"/>
    <x v="3"/>
    <n v="2024"/>
    <x v="1"/>
    <n v="0.61206961643008151"/>
    <n v="288.95999999999998"/>
    <s v="Medium"/>
    <s v="Repeat"/>
    <s v="Below Avg"/>
    <s v="Profit"/>
    <n v="421"/>
  </r>
  <r>
    <n v="97"/>
    <x v="96"/>
    <n v="1006"/>
    <s v="Customer_103"/>
    <s v="Corporate"/>
    <s v="East"/>
    <s v="Furniture"/>
    <s v="Product_A"/>
    <n v="4572"/>
    <n v="9"/>
    <n v="0"/>
    <n v="519"/>
    <s v="UPI"/>
    <n v="41148"/>
    <x v="3"/>
    <n v="2024"/>
    <x v="1"/>
    <n v="1.2613006707494897E-2"/>
    <n v="0"/>
    <s v="High"/>
    <s v="Repeat"/>
    <s v="Above Avg"/>
    <s v="Profit"/>
    <n v="1"/>
  </r>
  <r>
    <n v="98"/>
    <x v="97"/>
    <n v="1009"/>
    <s v="Customer_41"/>
    <s v="Consumer"/>
    <s v="South"/>
    <s v="Electronics"/>
    <s v="Product_A"/>
    <n v="3094"/>
    <n v="4"/>
    <n v="0.2"/>
    <n v="236"/>
    <s v="Card"/>
    <n v="9900.7999999999993"/>
    <x v="3"/>
    <n v="2024"/>
    <x v="1"/>
    <n v="2.3836457659987074E-2"/>
    <n v="2475.2000000000003"/>
    <s v="High"/>
    <s v="Repeat"/>
    <s v="Below Avg"/>
    <s v="Profit"/>
    <n v="203"/>
  </r>
  <r>
    <n v="99"/>
    <x v="98"/>
    <n v="1087"/>
    <s v="Customer_123"/>
    <s v="Consumer"/>
    <s v="West"/>
    <s v="Electronics"/>
    <s v="Product_A"/>
    <n v="4656"/>
    <n v="8"/>
    <n v="0.05"/>
    <n v="115"/>
    <s v="Card"/>
    <n v="35385.599999999999"/>
    <x v="3"/>
    <n v="2024"/>
    <x v="1"/>
    <n v="3.2499095677337676E-3"/>
    <n v="1862.4"/>
    <s v="High"/>
    <s v="Repeat"/>
    <s v="Above Avg"/>
    <s v="Profit"/>
    <n v="9"/>
  </r>
  <r>
    <n v="100"/>
    <x v="99"/>
    <n v="1014"/>
    <s v="Customer_137"/>
    <s v="Corporate"/>
    <s v="North"/>
    <s v="Clothing"/>
    <s v="Product_B"/>
    <n v="4815"/>
    <n v="8"/>
    <n v="0.12"/>
    <n v="271"/>
    <s v="UPI"/>
    <n v="33897.599999999999"/>
    <x v="3"/>
    <n v="2024"/>
    <x v="1"/>
    <n v="7.9946662890588126E-3"/>
    <n v="4622.3999999999996"/>
    <s v="High"/>
    <s v="Repeat"/>
    <s v="Above Avg"/>
    <s v="Profit"/>
    <n v="14"/>
  </r>
  <r>
    <n v="101"/>
    <x v="100"/>
    <n v="1083"/>
    <s v="Customer_176"/>
    <s v="Consumer"/>
    <s v="South"/>
    <s v="Furniture"/>
    <s v="Product_C"/>
    <n v="4598"/>
    <n v="3"/>
    <n v="0.15"/>
    <n v="93"/>
    <s v="Card"/>
    <n v="11724.9"/>
    <x v="3"/>
    <n v="2024"/>
    <x v="1"/>
    <n v="7.9318373717473072E-3"/>
    <n v="2069.1"/>
    <s v="High"/>
    <s v="Repeat"/>
    <s v="Above Avg"/>
    <s v="Profit"/>
    <n v="177"/>
  </r>
  <r>
    <n v="102"/>
    <x v="101"/>
    <n v="1070"/>
    <s v="Customer_182"/>
    <s v="Consumer"/>
    <s v="East"/>
    <s v="Electronics"/>
    <s v="Product_B"/>
    <n v="4505"/>
    <n v="4"/>
    <n v="0.2"/>
    <n v="-150"/>
    <s v="UPI"/>
    <n v="14416"/>
    <x v="3"/>
    <n v="2024"/>
    <x v="1"/>
    <n v="-1.0405105438401776E-2"/>
    <n v="3604"/>
    <s v="High"/>
    <s v="Repeat"/>
    <s v="Above Avg"/>
    <s v="Loss"/>
    <n v="144"/>
  </r>
  <r>
    <n v="103"/>
    <x v="102"/>
    <n v="1012"/>
    <s v="Customer_23"/>
    <s v="Consumer"/>
    <s v="East"/>
    <s v="Electronics"/>
    <s v="Product_C"/>
    <n v="3765"/>
    <n v="2"/>
    <n v="0.23"/>
    <n v="820"/>
    <s v="COD"/>
    <n v="5798.1"/>
    <x v="3"/>
    <n v="2024"/>
    <x v="1"/>
    <n v="0.14142563943360756"/>
    <n v="1731.9"/>
    <s v="High"/>
    <s v="Repeat"/>
    <s v="Below Avg"/>
    <s v="Profit"/>
    <n v="301"/>
  </r>
  <r>
    <n v="104"/>
    <x v="103"/>
    <n v="1054"/>
    <s v="Customer_193"/>
    <s v="Corporate"/>
    <s v="East"/>
    <s v="Furniture"/>
    <s v="Product_A"/>
    <n v="4195"/>
    <n v="5"/>
    <n v="0.21"/>
    <n v="-479"/>
    <s v="Card"/>
    <n v="16570.25"/>
    <x v="3"/>
    <n v="2024"/>
    <x v="1"/>
    <n v="-2.8907228315806943E-2"/>
    <n v="4404.75"/>
    <s v="High"/>
    <s v="Repeat"/>
    <s v="Above Avg"/>
    <s v="Loss"/>
    <n v="114"/>
  </r>
  <r>
    <n v="105"/>
    <x v="104"/>
    <n v="1027"/>
    <s v="Customer_149"/>
    <s v="Corporate"/>
    <s v="South"/>
    <s v="Furniture"/>
    <s v="Product_A"/>
    <n v="1628"/>
    <n v="6"/>
    <n v="0.17"/>
    <n v="1224"/>
    <s v="Card"/>
    <n v="8107.44"/>
    <x v="3"/>
    <n v="2024"/>
    <x v="1"/>
    <n v="0.15097244012906663"/>
    <n v="1660.5600000000002"/>
    <s v="High"/>
    <s v="Repeat"/>
    <s v="Below Avg"/>
    <s v="Profit"/>
    <n v="248"/>
  </r>
  <r>
    <n v="106"/>
    <x v="105"/>
    <n v="1038"/>
    <s v="Customer_160"/>
    <s v="Corporate"/>
    <s v="North"/>
    <s v="Clothing"/>
    <s v="Product_A"/>
    <n v="759"/>
    <n v="6"/>
    <n v="0.16"/>
    <n v="879"/>
    <s v="UPI"/>
    <n v="3825.3599999999901"/>
    <x v="3"/>
    <n v="2024"/>
    <x v="1"/>
    <n v="0.22978229499968689"/>
    <n v="728.64"/>
    <s v="Medium"/>
    <s v="Repeat"/>
    <s v="Below Avg"/>
    <s v="Profit"/>
    <n v="363"/>
  </r>
  <r>
    <n v="107"/>
    <x v="106"/>
    <n v="1017"/>
    <s v="Customer_109"/>
    <s v="Consumer"/>
    <s v="East"/>
    <s v="Electronics"/>
    <s v="Product_B"/>
    <n v="101"/>
    <n v="2"/>
    <n v="0.26"/>
    <n v="1747"/>
    <s v="COD"/>
    <n v="149.47999999999999"/>
    <x v="3"/>
    <n v="2024"/>
    <x v="1"/>
    <n v="11.687182231736688"/>
    <n v="52.52"/>
    <s v="Low"/>
    <s v="Repeat"/>
    <s v="Below Avg"/>
    <s v="Profit"/>
    <n v="500"/>
  </r>
  <r>
    <n v="108"/>
    <x v="107"/>
    <n v="1061"/>
    <s v="Customer_154"/>
    <s v="Corporate"/>
    <s v="East"/>
    <s v="Furniture"/>
    <s v="Product_A"/>
    <n v="608"/>
    <n v="4"/>
    <n v="0.26"/>
    <n v="1152"/>
    <s v="UPI"/>
    <n v="1799.68"/>
    <x v="3"/>
    <n v="2024"/>
    <x v="1"/>
    <n v="0.64011379800853485"/>
    <n v="632.32000000000005"/>
    <s v="Low"/>
    <s v="Repeat"/>
    <s v="Below Avg"/>
    <s v="Profit"/>
    <n v="441"/>
  </r>
  <r>
    <n v="109"/>
    <x v="108"/>
    <n v="1074"/>
    <s v="Customer_33"/>
    <s v="Consumer"/>
    <s v="West"/>
    <s v="Clothing"/>
    <s v="Product_A"/>
    <n v="239"/>
    <n v="2"/>
    <n v="0.02"/>
    <n v="1292"/>
    <s v="COD"/>
    <n v="468.44"/>
    <x v="3"/>
    <n v="2024"/>
    <x v="1"/>
    <n v="2.7580906839723336"/>
    <n v="9.56"/>
    <s v="Low"/>
    <s v="Repeat"/>
    <s v="Below Avg"/>
    <s v="Profit"/>
    <n v="492"/>
  </r>
  <r>
    <n v="110"/>
    <x v="109"/>
    <n v="1099"/>
    <s v="Customer_188"/>
    <s v="Corporate"/>
    <s v="North"/>
    <s v="Furniture"/>
    <s v="Product_B"/>
    <n v="3354"/>
    <n v="5"/>
    <n v="0.08"/>
    <n v="556"/>
    <s v="Card"/>
    <n v="15428.4"/>
    <x v="3"/>
    <n v="2024"/>
    <x v="1"/>
    <n v="3.603743745300874E-2"/>
    <n v="1341.6000000000001"/>
    <s v="High"/>
    <s v="Repeat"/>
    <s v="Above Avg"/>
    <s v="Profit"/>
    <n v="136"/>
  </r>
  <r>
    <n v="111"/>
    <x v="110"/>
    <n v="1099"/>
    <s v="Customer_137"/>
    <s v="Corporate"/>
    <s v="East"/>
    <s v="Furniture"/>
    <s v="Product_A"/>
    <n v="3754"/>
    <n v="2"/>
    <n v="0.28000000000000003"/>
    <n v="853"/>
    <s v="Card"/>
    <n v="5405.76"/>
    <x v="3"/>
    <n v="2024"/>
    <x v="1"/>
    <n v="0.15779464867104717"/>
    <n v="2102.2400000000002"/>
    <s v="High"/>
    <s v="Repeat"/>
    <s v="Below Avg"/>
    <s v="Profit"/>
    <n v="312"/>
  </r>
  <r>
    <n v="112"/>
    <x v="111"/>
    <n v="1065"/>
    <s v="Customer_81"/>
    <s v="Consumer"/>
    <s v="North"/>
    <s v="Clothing"/>
    <s v="Product_A"/>
    <n v="1685"/>
    <n v="9"/>
    <n v="0.18"/>
    <n v="1489"/>
    <s v="COD"/>
    <n v="12435.3"/>
    <x v="3"/>
    <n v="2024"/>
    <x v="1"/>
    <n v="0.11973977306538645"/>
    <n v="2729.7"/>
    <s v="High"/>
    <s v="Repeat"/>
    <s v="Above Avg"/>
    <s v="Profit"/>
    <n v="163"/>
  </r>
  <r>
    <n v="113"/>
    <x v="112"/>
    <n v="1047"/>
    <s v="Customer_70"/>
    <s v="Corporate"/>
    <s v="East"/>
    <s v="Furniture"/>
    <s v="Product_B"/>
    <n v="4837"/>
    <n v="1"/>
    <n v="0.04"/>
    <n v="216"/>
    <s v="Card"/>
    <n v="4643.5199999999904"/>
    <x v="3"/>
    <n v="2024"/>
    <x v="1"/>
    <n v="4.6516435807318679E-2"/>
    <n v="193.48000000000002"/>
    <s v="Medium"/>
    <s v="Repeat"/>
    <s v="Below Avg"/>
    <s v="Profit"/>
    <n v="334"/>
  </r>
  <r>
    <n v="114"/>
    <x v="113"/>
    <n v="1016"/>
    <s v="Customer_174"/>
    <s v="Corporate"/>
    <s v="South"/>
    <s v="Electronics"/>
    <s v="Product_D"/>
    <n v="327"/>
    <n v="6"/>
    <n v="0.02"/>
    <n v="-476"/>
    <s v="UPI"/>
    <n v="1922.76"/>
    <x v="3"/>
    <n v="2024"/>
    <x v="1"/>
    <n v="-0.24756079801951361"/>
    <n v="39.24"/>
    <s v="Low"/>
    <s v="Repeat"/>
    <s v="Below Avg"/>
    <s v="Loss"/>
    <n v="435"/>
  </r>
  <r>
    <n v="115"/>
    <x v="114"/>
    <n v="1005"/>
    <s v="Customer_7"/>
    <s v="Corporate"/>
    <s v="East"/>
    <s v="Clothing"/>
    <s v="Product_C"/>
    <n v="2697"/>
    <n v="9"/>
    <n v="0.03"/>
    <n v="196"/>
    <s v="Card"/>
    <n v="23544.809999999899"/>
    <x v="3"/>
    <n v="2024"/>
    <x v="1"/>
    <n v="8.324552204923329E-3"/>
    <n v="728.18999999999994"/>
    <s v="High"/>
    <s v="Repeat"/>
    <s v="Above Avg"/>
    <s v="Profit"/>
    <n v="56"/>
  </r>
  <r>
    <n v="116"/>
    <x v="115"/>
    <n v="1086"/>
    <s v="Customer_128"/>
    <s v="Consumer"/>
    <s v="West"/>
    <s v="Clothing"/>
    <s v="Product_A"/>
    <n v="2905"/>
    <n v="3"/>
    <n v="0.23"/>
    <n v="1412"/>
    <s v="Card"/>
    <n v="6710.55"/>
    <x v="3"/>
    <n v="2024"/>
    <x v="1"/>
    <n v="0.21041494363353228"/>
    <n v="2004.45"/>
    <s v="High"/>
    <s v="Repeat"/>
    <s v="Below Avg"/>
    <s v="Profit"/>
    <n v="283"/>
  </r>
  <r>
    <n v="117"/>
    <x v="116"/>
    <n v="1046"/>
    <s v="Customer_7"/>
    <s v="Corporate"/>
    <s v="East"/>
    <s v="Furniture"/>
    <s v="Product_A"/>
    <n v="4460"/>
    <n v="9"/>
    <n v="7.0000000000000007E-2"/>
    <n v="683"/>
    <s v="UPI"/>
    <n v="37330.199999999997"/>
    <x v="3"/>
    <n v="2024"/>
    <x v="1"/>
    <n v="1.8296178429261029E-2"/>
    <n v="2809.8"/>
    <s v="High"/>
    <s v="Repeat"/>
    <s v="Above Avg"/>
    <s v="Profit"/>
    <n v="6"/>
  </r>
  <r>
    <n v="118"/>
    <x v="117"/>
    <n v="1015"/>
    <s v="Customer_121"/>
    <s v="Consumer"/>
    <s v="East"/>
    <s v="Clothing"/>
    <s v="Product_B"/>
    <n v="3646"/>
    <n v="2"/>
    <n v="7.0000000000000007E-2"/>
    <n v="1559"/>
    <s v="COD"/>
    <n v="6781.5599999999904"/>
    <x v="3"/>
    <n v="2024"/>
    <x v="1"/>
    <n v="0.22988810834085405"/>
    <n v="510.44000000000005"/>
    <s v="High"/>
    <s v="Repeat"/>
    <s v="Below Avg"/>
    <s v="Profit"/>
    <n v="278"/>
  </r>
  <r>
    <n v="119"/>
    <x v="118"/>
    <n v="1059"/>
    <s v="Customer_197"/>
    <s v="Corporate"/>
    <s v="West"/>
    <s v="Furniture"/>
    <s v="Product_D"/>
    <n v="3772"/>
    <n v="2"/>
    <n v="0.04"/>
    <n v="189"/>
    <s v="Card"/>
    <n v="7242.24"/>
    <x v="3"/>
    <n v="2024"/>
    <x v="1"/>
    <n v="2.6096898197242844E-2"/>
    <n v="301.76"/>
    <s v="High"/>
    <s v="Repeat"/>
    <s v="Below Avg"/>
    <s v="Profit"/>
    <n v="270"/>
  </r>
  <r>
    <n v="120"/>
    <x v="119"/>
    <n v="1040"/>
    <s v="Customer_161"/>
    <s v="Corporate"/>
    <s v="East"/>
    <s v="Clothing"/>
    <s v="Product_B"/>
    <n v="4990"/>
    <n v="2"/>
    <n v="0.18"/>
    <n v="829"/>
    <s v="UPI"/>
    <n v="8183.6"/>
    <x v="3"/>
    <n v="2024"/>
    <x v="1"/>
    <n v="0.10130016129820617"/>
    <n v="1796.3999999999999"/>
    <s v="High"/>
    <s v="Repeat"/>
    <s v="Below Avg"/>
    <s v="Profit"/>
    <n v="245"/>
  </r>
  <r>
    <n v="121"/>
    <x v="120"/>
    <n v="1025"/>
    <s v="Customer_114"/>
    <s v="Corporate"/>
    <s v="South"/>
    <s v="Clothing"/>
    <s v="Product_D"/>
    <n v="4660"/>
    <n v="3"/>
    <n v="0.15"/>
    <n v="697"/>
    <s v="UPI"/>
    <n v="11883"/>
    <x v="3"/>
    <n v="2024"/>
    <x v="1"/>
    <n v="5.8655221745350504E-2"/>
    <n v="2097"/>
    <s v="High"/>
    <s v="Repeat"/>
    <s v="Above Avg"/>
    <s v="Profit"/>
    <n v="170"/>
  </r>
  <r>
    <n v="122"/>
    <x v="121"/>
    <n v="1045"/>
    <s v="Customer_138"/>
    <s v="Corporate"/>
    <s v="East"/>
    <s v="Furniture"/>
    <s v="Product_B"/>
    <n v="2622"/>
    <n v="4"/>
    <n v="0.08"/>
    <n v="-69"/>
    <s v="COD"/>
    <n v="9648.9599999999991"/>
    <x v="4"/>
    <n v="2024"/>
    <x v="1"/>
    <n v="-7.1510297482837533E-3"/>
    <n v="839.04"/>
    <s v="High"/>
    <s v="Repeat"/>
    <s v="Below Avg"/>
    <s v="Loss"/>
    <n v="210"/>
  </r>
  <r>
    <n v="123"/>
    <x v="122"/>
    <n v="1049"/>
    <s v="Customer_104"/>
    <s v="Consumer"/>
    <s v="West"/>
    <s v="Furniture"/>
    <s v="Product_B"/>
    <n v="438"/>
    <n v="3"/>
    <n v="0.2"/>
    <n v="1254"/>
    <s v="UPI"/>
    <n v="1051.2"/>
    <x v="4"/>
    <n v="2024"/>
    <x v="1"/>
    <n v="1.1929223744292237"/>
    <n v="262.8"/>
    <s v="Low"/>
    <s v="Repeat"/>
    <s v="Below Avg"/>
    <s v="Profit"/>
    <n v="478"/>
  </r>
  <r>
    <n v="124"/>
    <x v="123"/>
    <n v="1000"/>
    <s v="Customer_28"/>
    <s v="Consumer"/>
    <s v="East"/>
    <s v="Clothing"/>
    <s v="Product_D"/>
    <n v="918"/>
    <n v="6"/>
    <n v="0.23"/>
    <n v="-299"/>
    <s v="UPI"/>
    <n v="4241.16"/>
    <x v="4"/>
    <n v="2024"/>
    <x v="1"/>
    <n v="-7.0499580303501869E-2"/>
    <n v="1266.8400000000001"/>
    <s v="Medium"/>
    <s v="Repeat"/>
    <s v="Below Avg"/>
    <s v="Loss"/>
    <n v="344"/>
  </r>
  <r>
    <n v="125"/>
    <x v="124"/>
    <n v="1035"/>
    <s v="Customer_175"/>
    <s v="Corporate"/>
    <s v="West"/>
    <s v="Furniture"/>
    <s v="Product_D"/>
    <n v="2666"/>
    <n v="6"/>
    <n v="0.28999999999999998"/>
    <n v="1830"/>
    <s v="Card"/>
    <n v="11357.16"/>
    <x v="4"/>
    <n v="2024"/>
    <x v="1"/>
    <n v="0.16113183225383812"/>
    <n v="4638.8399999999992"/>
    <s v="High"/>
    <s v="Repeat"/>
    <s v="Above Avg"/>
    <s v="Profit"/>
    <n v="184"/>
  </r>
  <r>
    <n v="126"/>
    <x v="125"/>
    <n v="1029"/>
    <s v="Customer_46"/>
    <s v="Consumer"/>
    <s v="North"/>
    <s v="Electronics"/>
    <s v="Product_C"/>
    <n v="3817"/>
    <n v="5"/>
    <n v="0.14000000000000001"/>
    <n v="381"/>
    <s v="COD"/>
    <n v="16413.099999999999"/>
    <x v="4"/>
    <n v="2024"/>
    <x v="1"/>
    <n v="2.3213165093736103E-2"/>
    <n v="2671.9"/>
    <s v="High"/>
    <s v="Repeat"/>
    <s v="Above Avg"/>
    <s v="Profit"/>
    <n v="117"/>
  </r>
  <r>
    <n v="127"/>
    <x v="126"/>
    <n v="1001"/>
    <s v="Customer_22"/>
    <s v="Consumer"/>
    <s v="West"/>
    <s v="Furniture"/>
    <s v="Product_B"/>
    <n v="3162"/>
    <n v="2"/>
    <n v="0.12"/>
    <n v="1730"/>
    <s v="UPI"/>
    <n v="5565.12"/>
    <x v="4"/>
    <n v="2024"/>
    <x v="1"/>
    <n v="0.31086481513426484"/>
    <n v="758.88"/>
    <s v="High"/>
    <s v="Repeat"/>
    <s v="Below Avg"/>
    <s v="Profit"/>
    <n v="306"/>
  </r>
  <r>
    <n v="128"/>
    <x v="127"/>
    <n v="1083"/>
    <s v="Customer_21"/>
    <s v="Corporate"/>
    <s v="West"/>
    <s v="Furniture"/>
    <s v="Product_A"/>
    <n v="1353"/>
    <n v="4"/>
    <n v="0.09"/>
    <n v="558"/>
    <s v="Card"/>
    <n v="4924.92"/>
    <x v="4"/>
    <n v="2024"/>
    <x v="1"/>
    <n v="0.11330133281352793"/>
    <n v="487.08"/>
    <s v="Medium"/>
    <s v="Repeat"/>
    <s v="Below Avg"/>
    <s v="Profit"/>
    <n v="325"/>
  </r>
  <r>
    <n v="129"/>
    <x v="128"/>
    <n v="1068"/>
    <s v="Customer_111"/>
    <s v="Consumer"/>
    <s v="South"/>
    <s v="Electronics"/>
    <s v="Product_A"/>
    <n v="3250"/>
    <n v="7"/>
    <n v="0.24"/>
    <n v="170"/>
    <s v="COD"/>
    <n v="17290"/>
    <x v="4"/>
    <n v="2024"/>
    <x v="1"/>
    <n v="9.8322729901677269E-3"/>
    <n v="5460"/>
    <s v="High"/>
    <s v="Repeat"/>
    <s v="Above Avg"/>
    <s v="Profit"/>
    <n v="103"/>
  </r>
  <r>
    <n v="130"/>
    <x v="129"/>
    <n v="1030"/>
    <s v="Customer_184"/>
    <s v="Corporate"/>
    <s v="East"/>
    <s v="Furniture"/>
    <s v="Product_D"/>
    <n v="2350"/>
    <n v="8"/>
    <n v="0.28999999999999998"/>
    <n v="188"/>
    <s v="Card"/>
    <n v="13348"/>
    <x v="4"/>
    <n v="2024"/>
    <x v="1"/>
    <n v="1.4084507042253521E-2"/>
    <n v="5452"/>
    <s v="High"/>
    <s v="Repeat"/>
    <s v="Above Avg"/>
    <s v="Profit"/>
    <n v="155"/>
  </r>
  <r>
    <n v="131"/>
    <x v="130"/>
    <n v="1007"/>
    <s v="Customer_32"/>
    <s v="Consumer"/>
    <s v="South"/>
    <s v="Electronics"/>
    <s v="Product_C"/>
    <n v="4420"/>
    <n v="9"/>
    <n v="0.18"/>
    <n v="-333"/>
    <s v="UPI"/>
    <n v="32619.599999999999"/>
    <x v="4"/>
    <n v="2024"/>
    <x v="1"/>
    <n v="-1.0208586248758415E-2"/>
    <n v="7160.4"/>
    <s v="High"/>
    <s v="Repeat"/>
    <s v="Above Avg"/>
    <s v="Loss"/>
    <n v="18"/>
  </r>
  <r>
    <n v="132"/>
    <x v="131"/>
    <n v="1093"/>
    <s v="Customer_160"/>
    <s v="Consumer"/>
    <s v="North"/>
    <s v="Furniture"/>
    <s v="Product_B"/>
    <n v="3715"/>
    <n v="2"/>
    <n v="0.19"/>
    <n v="931"/>
    <s v="COD"/>
    <n v="6018.3"/>
    <x v="4"/>
    <n v="2024"/>
    <x v="1"/>
    <n v="0.15469484738215111"/>
    <n v="1411.7"/>
    <s v="High"/>
    <s v="Repeat"/>
    <s v="Below Avg"/>
    <s v="Profit"/>
    <n v="296"/>
  </r>
  <r>
    <n v="133"/>
    <x v="132"/>
    <n v="1060"/>
    <s v="Customer_115"/>
    <s v="Corporate"/>
    <s v="East"/>
    <s v="Clothing"/>
    <s v="Product_C"/>
    <n v="1879"/>
    <n v="9"/>
    <n v="0.21"/>
    <n v="738"/>
    <s v="UPI"/>
    <n v="13359.69"/>
    <x v="4"/>
    <n v="2024"/>
    <x v="1"/>
    <n v="5.5240802743177421E-2"/>
    <n v="3551.31"/>
    <s v="High"/>
    <s v="Repeat"/>
    <s v="Above Avg"/>
    <s v="Profit"/>
    <n v="154"/>
  </r>
  <r>
    <n v="134"/>
    <x v="133"/>
    <n v="1065"/>
    <s v="Customer_164"/>
    <s v="Consumer"/>
    <s v="South"/>
    <s v="Electronics"/>
    <s v="Product_D"/>
    <n v="1391"/>
    <n v="7"/>
    <n v="0.13"/>
    <n v="1496"/>
    <s v="COD"/>
    <n v="8471.19"/>
    <x v="4"/>
    <n v="2024"/>
    <x v="1"/>
    <n v="0.17659856525470446"/>
    <n v="1265.81"/>
    <s v="High"/>
    <s v="Repeat"/>
    <s v="Below Avg"/>
    <s v="Profit"/>
    <n v="239"/>
  </r>
  <r>
    <n v="135"/>
    <x v="134"/>
    <n v="1076"/>
    <s v="Customer_159"/>
    <s v="Consumer"/>
    <s v="East"/>
    <s v="Furniture"/>
    <s v="Product_D"/>
    <n v="778"/>
    <n v="7"/>
    <n v="7.0000000000000007E-2"/>
    <n v="1345"/>
    <s v="UPI"/>
    <n v="5064.78"/>
    <x v="4"/>
    <n v="2024"/>
    <x v="1"/>
    <n v="0.26555941225482649"/>
    <n v="381.22"/>
    <s v="High"/>
    <s v="Repeat"/>
    <s v="Below Avg"/>
    <s v="Profit"/>
    <n v="321"/>
  </r>
  <r>
    <n v="136"/>
    <x v="135"/>
    <n v="1067"/>
    <s v="Customer_70"/>
    <s v="Consumer"/>
    <s v="East"/>
    <s v="Electronics"/>
    <s v="Product_D"/>
    <n v="2652"/>
    <n v="1"/>
    <n v="0.08"/>
    <n v="-241"/>
    <s v="Card"/>
    <n v="2439.84"/>
    <x v="4"/>
    <n v="2024"/>
    <x v="1"/>
    <n v="-9.8776968981572552E-2"/>
    <n v="212.16"/>
    <s v="Medium"/>
    <s v="Repeat"/>
    <s v="Below Avg"/>
    <s v="Loss"/>
    <n v="412"/>
  </r>
  <r>
    <n v="137"/>
    <x v="136"/>
    <n v="1044"/>
    <s v="Customer_54"/>
    <s v="Corporate"/>
    <s v="East"/>
    <s v="Clothing"/>
    <s v="Product_C"/>
    <n v="3324"/>
    <n v="8"/>
    <n v="0.19"/>
    <n v="1450"/>
    <s v="UPI"/>
    <n v="21539.52"/>
    <x v="4"/>
    <n v="2024"/>
    <x v="1"/>
    <n v="6.731812036665627E-2"/>
    <n v="5052.4800000000005"/>
    <s v="High"/>
    <s v="Repeat"/>
    <s v="Above Avg"/>
    <s v="Profit"/>
    <n v="71"/>
  </r>
  <r>
    <n v="138"/>
    <x v="137"/>
    <n v="1051"/>
    <s v="Customer_21"/>
    <s v="Corporate"/>
    <s v="South"/>
    <s v="Electronics"/>
    <s v="Product_A"/>
    <n v="314"/>
    <n v="3"/>
    <n v="0.19"/>
    <n v="1084"/>
    <s v="COD"/>
    <n v="763.02"/>
    <x v="4"/>
    <n v="2024"/>
    <x v="1"/>
    <n v="1.4206704935650443"/>
    <n v="178.98"/>
    <s v="Low"/>
    <s v="Repeat"/>
    <s v="Below Avg"/>
    <s v="Profit"/>
    <n v="482"/>
  </r>
  <r>
    <n v="139"/>
    <x v="138"/>
    <n v="1007"/>
    <s v="Customer_35"/>
    <s v="Consumer"/>
    <s v="East"/>
    <s v="Clothing"/>
    <s v="Product_A"/>
    <n v="1085"/>
    <n v="4"/>
    <n v="0.14000000000000001"/>
    <n v="1745"/>
    <s v="Card"/>
    <n v="3732.4"/>
    <x v="4"/>
    <n v="2024"/>
    <x v="1"/>
    <n v="0.46752759618476047"/>
    <n v="607.6"/>
    <s v="Medium"/>
    <s v="Repeat"/>
    <s v="Below Avg"/>
    <s v="Profit"/>
    <n v="366"/>
  </r>
  <r>
    <n v="140"/>
    <x v="139"/>
    <n v="1088"/>
    <s v="Customer_23"/>
    <s v="Corporate"/>
    <s v="North"/>
    <s v="Furniture"/>
    <s v="Product_A"/>
    <n v="3383"/>
    <n v="4"/>
    <n v="0.01"/>
    <n v="1826"/>
    <s v="COD"/>
    <n v="13396.68"/>
    <x v="4"/>
    <n v="2024"/>
    <x v="1"/>
    <n v="0.13630242716852234"/>
    <n v="135.32"/>
    <s v="High"/>
    <s v="Repeat"/>
    <s v="Above Avg"/>
    <s v="Profit"/>
    <n v="153"/>
  </r>
  <r>
    <n v="141"/>
    <x v="140"/>
    <n v="1070"/>
    <s v="Customer_170"/>
    <s v="Consumer"/>
    <s v="South"/>
    <s v="Clothing"/>
    <s v="Product_C"/>
    <n v="4806"/>
    <n v="2"/>
    <n v="0.26"/>
    <n v="126"/>
    <s v="UPI"/>
    <n v="7112.88"/>
    <x v="4"/>
    <n v="2024"/>
    <x v="1"/>
    <n v="1.7714343557040185E-2"/>
    <n v="2499.12"/>
    <s v="High"/>
    <s v="Repeat"/>
    <s v="Below Avg"/>
    <s v="Profit"/>
    <n v="273"/>
  </r>
  <r>
    <n v="142"/>
    <x v="141"/>
    <n v="1013"/>
    <s v="Customer_24"/>
    <s v="Corporate"/>
    <s v="West"/>
    <s v="Electronics"/>
    <s v="Product_B"/>
    <n v="2445"/>
    <n v="3"/>
    <n v="7.0000000000000007E-2"/>
    <n v="834"/>
    <s v="COD"/>
    <n v="6821.5499999999902"/>
    <x v="4"/>
    <n v="2024"/>
    <x v="1"/>
    <n v="0.12225960375574484"/>
    <n v="513.45000000000005"/>
    <s v="High"/>
    <s v="Repeat"/>
    <s v="Below Avg"/>
    <s v="Profit"/>
    <n v="277"/>
  </r>
  <r>
    <n v="143"/>
    <x v="142"/>
    <n v="1028"/>
    <s v="Customer_94"/>
    <s v="Consumer"/>
    <s v="North"/>
    <s v="Furniture"/>
    <s v="Product_C"/>
    <n v="4838"/>
    <n v="5"/>
    <n v="0.17"/>
    <n v="-431"/>
    <s v="UPI"/>
    <n v="20077.7"/>
    <x v="4"/>
    <n v="2024"/>
    <x v="1"/>
    <n v="-2.1466602250257746E-2"/>
    <n v="4112.3"/>
    <s v="High"/>
    <s v="Repeat"/>
    <s v="Above Avg"/>
    <s v="Loss"/>
    <n v="79"/>
  </r>
  <r>
    <n v="144"/>
    <x v="143"/>
    <n v="1063"/>
    <s v="Customer_74"/>
    <s v="Consumer"/>
    <s v="West"/>
    <s v="Furniture"/>
    <s v="Product_A"/>
    <n v="3533"/>
    <n v="3"/>
    <n v="0.22"/>
    <n v="1071"/>
    <s v="UPI"/>
    <n v="8267.2199999999993"/>
    <x v="4"/>
    <n v="2024"/>
    <x v="1"/>
    <n v="0.1295477802695465"/>
    <n v="2331.7800000000002"/>
    <s v="High"/>
    <s v="Repeat"/>
    <s v="Below Avg"/>
    <s v="Profit"/>
    <n v="242"/>
  </r>
  <r>
    <n v="145"/>
    <x v="144"/>
    <n v="1084"/>
    <s v="Customer_69"/>
    <s v="Corporate"/>
    <s v="West"/>
    <s v="Furniture"/>
    <s v="Product_D"/>
    <n v="3727"/>
    <n v="5"/>
    <n v="0.06"/>
    <n v="1304"/>
    <s v="COD"/>
    <n v="17516.8999999999"/>
    <x v="4"/>
    <n v="2024"/>
    <x v="1"/>
    <n v="7.4442395629364069E-2"/>
    <n v="1118.0999999999999"/>
    <s v="High"/>
    <s v="Repeat"/>
    <s v="Above Avg"/>
    <s v="Profit"/>
    <n v="97"/>
  </r>
  <r>
    <n v="146"/>
    <x v="145"/>
    <n v="1036"/>
    <s v="Customer_127"/>
    <s v="Consumer"/>
    <s v="North"/>
    <s v="Clothing"/>
    <s v="Product_D"/>
    <n v="3173"/>
    <n v="8"/>
    <n v="0.14000000000000001"/>
    <n v="1176"/>
    <s v="Card"/>
    <n v="21830.2399999999"/>
    <x v="4"/>
    <n v="2024"/>
    <x v="1"/>
    <n v="5.3870227720813214E-2"/>
    <n v="3553.76"/>
    <s v="High"/>
    <s v="Repeat"/>
    <s v="Above Avg"/>
    <s v="Profit"/>
    <n v="69"/>
  </r>
  <r>
    <n v="147"/>
    <x v="146"/>
    <n v="1096"/>
    <s v="Customer_125"/>
    <s v="Consumer"/>
    <s v="East"/>
    <s v="Furniture"/>
    <s v="Product_A"/>
    <n v="4473"/>
    <n v="8"/>
    <n v="0"/>
    <n v="126"/>
    <s v="Card"/>
    <n v="35784"/>
    <x v="4"/>
    <n v="2024"/>
    <x v="1"/>
    <n v="3.5211267605633804E-3"/>
    <n v="0"/>
    <s v="High"/>
    <s v="Repeat"/>
    <s v="Above Avg"/>
    <s v="Profit"/>
    <n v="8"/>
  </r>
  <r>
    <n v="148"/>
    <x v="147"/>
    <n v="1040"/>
    <s v="Customer_170"/>
    <s v="Consumer"/>
    <s v="North"/>
    <s v="Clothing"/>
    <s v="Product_B"/>
    <n v="3339"/>
    <n v="3"/>
    <n v="0.01"/>
    <n v="-386"/>
    <s v="Card"/>
    <n v="9916.83"/>
    <x v="4"/>
    <n v="2024"/>
    <x v="1"/>
    <n v="-3.8923728651191966E-2"/>
    <n v="100.17"/>
    <s v="High"/>
    <s v="Repeat"/>
    <s v="Below Avg"/>
    <s v="Loss"/>
    <n v="202"/>
  </r>
  <r>
    <n v="149"/>
    <x v="148"/>
    <n v="1088"/>
    <s v="Customer_158"/>
    <s v="Corporate"/>
    <s v="South"/>
    <s v="Clothing"/>
    <s v="Product_D"/>
    <n v="1472"/>
    <n v="5"/>
    <n v="0.08"/>
    <n v="788"/>
    <s v="UPI"/>
    <n v="6771.2"/>
    <x v="4"/>
    <n v="2024"/>
    <x v="1"/>
    <n v="0.11637523629489603"/>
    <n v="588.80000000000007"/>
    <s v="High"/>
    <s v="Repeat"/>
    <s v="Below Avg"/>
    <s v="Profit"/>
    <n v="279"/>
  </r>
  <r>
    <n v="150"/>
    <x v="149"/>
    <n v="1063"/>
    <s v="Customer_199"/>
    <s v="Corporate"/>
    <s v="East"/>
    <s v="Clothing"/>
    <s v="Product_B"/>
    <n v="2138"/>
    <n v="1"/>
    <n v="0.2"/>
    <n v="725"/>
    <s v="Card"/>
    <n v="1710.4"/>
    <x v="4"/>
    <n v="2024"/>
    <x v="1"/>
    <n v="0.42387745556594947"/>
    <n v="427.6"/>
    <s v="Low"/>
    <s v="Repeat"/>
    <s v="Below Avg"/>
    <s v="Profit"/>
    <n v="446"/>
  </r>
  <r>
    <n v="151"/>
    <x v="150"/>
    <n v="1058"/>
    <s v="Customer_134"/>
    <s v="Consumer"/>
    <s v="East"/>
    <s v="Furniture"/>
    <s v="Product_D"/>
    <n v="4818"/>
    <n v="7"/>
    <n v="0.27"/>
    <n v="841"/>
    <s v="Card"/>
    <n v="24619.98"/>
    <x v="4"/>
    <n v="2024"/>
    <x v="1"/>
    <n v="3.4159247895408529E-2"/>
    <n v="9106.02"/>
    <s v="High"/>
    <s v="Repeat"/>
    <s v="Above Avg"/>
    <s v="Profit"/>
    <n v="44"/>
  </r>
  <r>
    <n v="152"/>
    <x v="151"/>
    <n v="1077"/>
    <s v="Customer_52"/>
    <s v="Consumer"/>
    <s v="West"/>
    <s v="Electronics"/>
    <s v="Product_A"/>
    <n v="3953"/>
    <n v="3"/>
    <n v="0.13"/>
    <n v="1405"/>
    <s v="COD"/>
    <n v="10317.33"/>
    <x v="4"/>
    <n v="2024"/>
    <x v="1"/>
    <n v="0.13617864311793845"/>
    <n v="1541.67"/>
    <s v="High"/>
    <s v="Repeat"/>
    <s v="Below Avg"/>
    <s v="Profit"/>
    <n v="197"/>
  </r>
  <r>
    <n v="153"/>
    <x v="152"/>
    <n v="1008"/>
    <s v="Customer_82"/>
    <s v="Corporate"/>
    <s v="North"/>
    <s v="Furniture"/>
    <s v="Product_C"/>
    <n v="3443"/>
    <n v="7"/>
    <n v="0.01"/>
    <n v="1505"/>
    <s v="Card"/>
    <n v="23859.99"/>
    <x v="5"/>
    <n v="2024"/>
    <x v="1"/>
    <n v="6.3076304726028806E-2"/>
    <n v="241.01"/>
    <s v="High"/>
    <s v="Repeat"/>
    <s v="Above Avg"/>
    <s v="Profit"/>
    <n v="52"/>
  </r>
  <r>
    <n v="154"/>
    <x v="153"/>
    <n v="1078"/>
    <s v="Customer_154"/>
    <s v="Consumer"/>
    <s v="East"/>
    <s v="Furniture"/>
    <s v="Product_C"/>
    <n v="4783"/>
    <n v="8"/>
    <n v="0.09"/>
    <n v="605"/>
    <s v="COD"/>
    <n v="34820.239999999998"/>
    <x v="5"/>
    <n v="2024"/>
    <x v="1"/>
    <n v="1.7374952039388585E-2"/>
    <n v="3443.7599999999998"/>
    <s v="High"/>
    <s v="Repeat"/>
    <s v="Above Avg"/>
    <s v="Profit"/>
    <n v="12"/>
  </r>
  <r>
    <n v="155"/>
    <x v="154"/>
    <n v="1006"/>
    <s v="Customer_100"/>
    <s v="Consumer"/>
    <s v="South"/>
    <s v="Furniture"/>
    <s v="Product_B"/>
    <n v="4252"/>
    <n v="7"/>
    <n v="0.28999999999999998"/>
    <n v="-483"/>
    <s v="Card"/>
    <n v="21132.44"/>
    <x v="5"/>
    <n v="2024"/>
    <x v="1"/>
    <n v="-2.2855855736488549E-2"/>
    <n v="8631.56"/>
    <s v="High"/>
    <s v="Repeat"/>
    <s v="Above Avg"/>
    <s v="Loss"/>
    <n v="74"/>
  </r>
  <r>
    <n v="156"/>
    <x v="155"/>
    <n v="1065"/>
    <s v="Customer_41"/>
    <s v="Corporate"/>
    <s v="South"/>
    <s v="Furniture"/>
    <s v="Product_A"/>
    <n v="1868"/>
    <n v="5"/>
    <n v="0.03"/>
    <n v="200"/>
    <s v="Card"/>
    <n v="9059.7999999999993"/>
    <x v="5"/>
    <n v="2024"/>
    <x v="1"/>
    <n v="2.2075542506457099E-2"/>
    <n v="280.2"/>
    <s v="High"/>
    <s v="Repeat"/>
    <s v="Below Avg"/>
    <s v="Profit"/>
    <n v="230"/>
  </r>
  <r>
    <n v="157"/>
    <x v="156"/>
    <n v="1094"/>
    <s v="Customer_196"/>
    <s v="Consumer"/>
    <s v="East"/>
    <s v="Clothing"/>
    <s v="Product_D"/>
    <n v="138"/>
    <n v="9"/>
    <n v="0.23"/>
    <n v="486"/>
    <s v="COD"/>
    <n v="956.34"/>
    <x v="5"/>
    <n v="2024"/>
    <x v="1"/>
    <n v="0.50818746470920384"/>
    <n v="285.66000000000003"/>
    <s v="Low"/>
    <s v="Repeat"/>
    <s v="Below Avg"/>
    <s v="Profit"/>
    <n v="481"/>
  </r>
  <r>
    <n v="158"/>
    <x v="157"/>
    <n v="1070"/>
    <s v="Customer_182"/>
    <s v="Consumer"/>
    <s v="South"/>
    <s v="Electronics"/>
    <s v="Product_B"/>
    <n v="3662"/>
    <n v="1"/>
    <n v="0.22"/>
    <n v="-184"/>
    <s v="Card"/>
    <n v="2856.36"/>
    <x v="5"/>
    <n v="2024"/>
    <x v="1"/>
    <n v="-6.4417650436219526E-2"/>
    <n v="805.64"/>
    <s v="Medium"/>
    <s v="Repeat"/>
    <s v="Below Avg"/>
    <s v="Loss"/>
    <n v="397"/>
  </r>
  <r>
    <n v="159"/>
    <x v="158"/>
    <n v="1040"/>
    <s v="Customer_60"/>
    <s v="Corporate"/>
    <s v="North"/>
    <s v="Furniture"/>
    <s v="Product_A"/>
    <n v="1929"/>
    <n v="6"/>
    <n v="0.18"/>
    <n v="1743"/>
    <s v="COD"/>
    <n v="9490.68"/>
    <x v="5"/>
    <n v="2024"/>
    <x v="1"/>
    <n v="0.18365385831152245"/>
    <n v="2083.3199999999997"/>
    <s v="High"/>
    <s v="Repeat"/>
    <s v="Below Avg"/>
    <s v="Profit"/>
    <n v="217"/>
  </r>
  <r>
    <n v="160"/>
    <x v="159"/>
    <n v="1074"/>
    <s v="Customer_77"/>
    <s v="Consumer"/>
    <s v="South"/>
    <s v="Furniture"/>
    <s v="Product_C"/>
    <n v="2271"/>
    <n v="6"/>
    <n v="0.28000000000000003"/>
    <n v="1840"/>
    <s v="COD"/>
    <n v="9810.7199999999993"/>
    <x v="5"/>
    <n v="2024"/>
    <x v="1"/>
    <n v="0.18754994536588548"/>
    <n v="3815.28"/>
    <s v="High"/>
    <s v="Repeat"/>
    <s v="Below Avg"/>
    <s v="Profit"/>
    <n v="207"/>
  </r>
  <r>
    <n v="161"/>
    <x v="160"/>
    <n v="1076"/>
    <s v="Customer_183"/>
    <s v="Consumer"/>
    <s v="East"/>
    <s v="Clothing"/>
    <s v="Product_C"/>
    <n v="208"/>
    <n v="7"/>
    <n v="0.19"/>
    <n v="1079"/>
    <s v="Card"/>
    <n v="1179.3599999999999"/>
    <x v="5"/>
    <n v="2024"/>
    <x v="1"/>
    <n v="0.9149029982363317"/>
    <n v="276.64"/>
    <s v="Low"/>
    <s v="Repeat"/>
    <s v="Below Avg"/>
    <s v="Profit"/>
    <n v="469"/>
  </r>
  <r>
    <n v="162"/>
    <x v="161"/>
    <n v="1076"/>
    <s v="Customer_152"/>
    <s v="Consumer"/>
    <s v="South"/>
    <s v="Clothing"/>
    <s v="Product_C"/>
    <n v="4940"/>
    <n v="7"/>
    <n v="0.28999999999999998"/>
    <n v="-154"/>
    <s v="Card"/>
    <n v="24551.8"/>
    <x v="5"/>
    <n v="2024"/>
    <x v="1"/>
    <n v="-6.272452528938815E-3"/>
    <n v="10028.199999999999"/>
    <s v="High"/>
    <s v="Repeat"/>
    <s v="Above Avg"/>
    <s v="Loss"/>
    <n v="45"/>
  </r>
  <r>
    <n v="163"/>
    <x v="162"/>
    <n v="1025"/>
    <s v="Customer_119"/>
    <s v="Consumer"/>
    <s v="West"/>
    <s v="Clothing"/>
    <s v="Product_B"/>
    <n v="4228"/>
    <n v="2"/>
    <n v="0.25"/>
    <n v="115"/>
    <s v="Card"/>
    <n v="6342"/>
    <x v="5"/>
    <n v="2024"/>
    <x v="1"/>
    <n v="1.8133081046988332E-2"/>
    <n v="2114"/>
    <s v="High"/>
    <s v="Repeat"/>
    <s v="Below Avg"/>
    <s v="Profit"/>
    <n v="287"/>
  </r>
  <r>
    <n v="164"/>
    <x v="163"/>
    <n v="1007"/>
    <s v="Customer_95"/>
    <s v="Consumer"/>
    <s v="South"/>
    <s v="Electronics"/>
    <s v="Product_C"/>
    <n v="4335"/>
    <n v="5"/>
    <n v="0.24"/>
    <n v="1958"/>
    <s v="UPI"/>
    <n v="16473"/>
    <x v="5"/>
    <n v="2024"/>
    <x v="1"/>
    <n v="0.11886116675772476"/>
    <n v="5202"/>
    <s v="High"/>
    <s v="Repeat"/>
    <s v="Above Avg"/>
    <s v="Profit"/>
    <n v="116"/>
  </r>
  <r>
    <n v="165"/>
    <x v="164"/>
    <n v="1013"/>
    <s v="Customer_127"/>
    <s v="Consumer"/>
    <s v="West"/>
    <s v="Clothing"/>
    <s v="Product_B"/>
    <n v="4277"/>
    <n v="6"/>
    <n v="0.28999999999999998"/>
    <n v="-94"/>
    <s v="COD"/>
    <n v="18220.02"/>
    <x v="5"/>
    <n v="2024"/>
    <x v="1"/>
    <n v="-5.1591600887375532E-3"/>
    <n v="7441.98"/>
    <s v="High"/>
    <s v="Repeat"/>
    <s v="Above Avg"/>
    <s v="Loss"/>
    <n v="89"/>
  </r>
  <r>
    <n v="166"/>
    <x v="165"/>
    <n v="1044"/>
    <s v="Customer_168"/>
    <s v="Corporate"/>
    <s v="North"/>
    <s v="Electronics"/>
    <s v="Product_D"/>
    <n v="3206"/>
    <n v="2"/>
    <n v="0.19"/>
    <n v="1742"/>
    <s v="COD"/>
    <n v="5193.72"/>
    <x v="5"/>
    <n v="2024"/>
    <x v="1"/>
    <n v="0.33540506611831211"/>
    <n v="1218.28"/>
    <s v="High"/>
    <s v="Repeat"/>
    <s v="Below Avg"/>
    <s v="Profit"/>
    <n v="319"/>
  </r>
  <r>
    <n v="167"/>
    <x v="166"/>
    <n v="1001"/>
    <s v="Customer_192"/>
    <s v="Consumer"/>
    <s v="North"/>
    <s v="Furniture"/>
    <s v="Product_C"/>
    <n v="236"/>
    <n v="9"/>
    <n v="0.1"/>
    <n v="-188"/>
    <s v="COD"/>
    <n v="1911.6"/>
    <x v="5"/>
    <n v="2024"/>
    <x v="1"/>
    <n v="-9.8346934505126604E-2"/>
    <n v="212.4"/>
    <s v="Low"/>
    <s v="Repeat"/>
    <s v="Below Avg"/>
    <s v="Loss"/>
    <n v="436"/>
  </r>
  <r>
    <n v="168"/>
    <x v="167"/>
    <n v="1041"/>
    <s v="Customer_162"/>
    <s v="Corporate"/>
    <s v="North"/>
    <s v="Clothing"/>
    <s v="Product_C"/>
    <n v="3837"/>
    <n v="6"/>
    <n v="0.03"/>
    <n v="-151"/>
    <s v="COD"/>
    <n v="22331.34"/>
    <x v="5"/>
    <n v="2024"/>
    <x v="1"/>
    <n v="-6.7617975455122707E-3"/>
    <n v="690.66"/>
    <s v="High"/>
    <s v="Repeat"/>
    <s v="Above Avg"/>
    <s v="Loss"/>
    <n v="64"/>
  </r>
  <r>
    <n v="169"/>
    <x v="168"/>
    <n v="1078"/>
    <s v="Customer_39"/>
    <s v="Consumer"/>
    <s v="North"/>
    <s v="Furniture"/>
    <s v="Product_C"/>
    <n v="3951"/>
    <n v="5"/>
    <n v="0.21"/>
    <n v="1112"/>
    <s v="COD"/>
    <n v="15606.45"/>
    <x v="5"/>
    <n v="2024"/>
    <x v="1"/>
    <n v="7.1252591076125568E-2"/>
    <n v="4148.55"/>
    <s v="High"/>
    <s v="Repeat"/>
    <s v="Above Avg"/>
    <s v="Profit"/>
    <n v="134"/>
  </r>
  <r>
    <n v="170"/>
    <x v="169"/>
    <n v="1056"/>
    <s v="Customer_122"/>
    <s v="Corporate"/>
    <s v="West"/>
    <s v="Furniture"/>
    <s v="Product_C"/>
    <n v="430"/>
    <n v="8"/>
    <n v="0.16"/>
    <n v="403"/>
    <s v="Card"/>
    <n v="2889.6"/>
    <x v="5"/>
    <n v="2024"/>
    <x v="1"/>
    <n v="0.13946566998892582"/>
    <n v="550.4"/>
    <s v="Medium"/>
    <s v="Repeat"/>
    <s v="Below Avg"/>
    <s v="Profit"/>
    <n v="396"/>
  </r>
  <r>
    <n v="171"/>
    <x v="170"/>
    <n v="1087"/>
    <s v="Customer_1"/>
    <s v="Consumer"/>
    <s v="West"/>
    <s v="Furniture"/>
    <s v="Product_D"/>
    <n v="296"/>
    <n v="8"/>
    <n v="0.12"/>
    <n v="-8"/>
    <s v="Card"/>
    <n v="2083.84"/>
    <x v="5"/>
    <n v="2024"/>
    <x v="1"/>
    <n v="-3.8390663390663387E-3"/>
    <n v="284.15999999999997"/>
    <s v="Medium"/>
    <s v="Repeat"/>
    <s v="Below Avg"/>
    <s v="Loss"/>
    <n v="424"/>
  </r>
  <r>
    <n v="172"/>
    <x v="171"/>
    <n v="1063"/>
    <s v="Customer_123"/>
    <s v="Corporate"/>
    <s v="West"/>
    <s v="Furniture"/>
    <s v="Product_B"/>
    <n v="1515"/>
    <n v="1"/>
    <n v="0.28000000000000003"/>
    <n v="1470"/>
    <s v="UPI"/>
    <n v="1090.8"/>
    <x v="5"/>
    <n v="2024"/>
    <x v="1"/>
    <n v="1.3476347634763477"/>
    <n v="424.20000000000005"/>
    <s v="Low"/>
    <s v="Repeat"/>
    <s v="Below Avg"/>
    <s v="Profit"/>
    <n v="477"/>
  </r>
  <r>
    <n v="173"/>
    <x v="172"/>
    <n v="1097"/>
    <s v="Customer_20"/>
    <s v="Consumer"/>
    <s v="South"/>
    <s v="Clothing"/>
    <s v="Product_D"/>
    <n v="3396"/>
    <n v="7"/>
    <n v="0.27"/>
    <n v="1252"/>
    <s v="COD"/>
    <n v="17353.560000000001"/>
    <x v="5"/>
    <n v="2024"/>
    <x v="1"/>
    <n v="7.2146579721970583E-2"/>
    <n v="6418.4400000000005"/>
    <s v="High"/>
    <s v="Repeat"/>
    <s v="Above Avg"/>
    <s v="Profit"/>
    <n v="99"/>
  </r>
  <r>
    <n v="174"/>
    <x v="173"/>
    <n v="1003"/>
    <s v="Customer_111"/>
    <s v="Consumer"/>
    <s v="East"/>
    <s v="Electronics"/>
    <s v="Product_A"/>
    <n v="3120"/>
    <n v="6"/>
    <n v="0.11"/>
    <n v="-429"/>
    <s v="UPI"/>
    <n v="16660.8"/>
    <x v="5"/>
    <n v="2024"/>
    <x v="1"/>
    <n v="-2.5749063670411985E-2"/>
    <n v="2059.1999999999998"/>
    <s v="High"/>
    <s v="Repeat"/>
    <s v="Above Avg"/>
    <s v="Loss"/>
    <n v="110"/>
  </r>
  <r>
    <n v="175"/>
    <x v="174"/>
    <n v="1017"/>
    <s v="Customer_153"/>
    <s v="Corporate"/>
    <s v="East"/>
    <s v="Clothing"/>
    <s v="Product_D"/>
    <n v="3469"/>
    <n v="3"/>
    <n v="0.28000000000000003"/>
    <n v="431"/>
    <s v="UPI"/>
    <n v="7493.04"/>
    <x v="5"/>
    <n v="2024"/>
    <x v="1"/>
    <n v="5.7520045268675997E-2"/>
    <n v="2913.9600000000005"/>
    <s v="High"/>
    <s v="Repeat"/>
    <s v="Below Avg"/>
    <s v="Profit"/>
    <n v="264"/>
  </r>
  <r>
    <n v="176"/>
    <x v="175"/>
    <n v="1088"/>
    <s v="Customer_134"/>
    <s v="Corporate"/>
    <s v="East"/>
    <s v="Clothing"/>
    <s v="Product_B"/>
    <n v="4955"/>
    <n v="1"/>
    <n v="0.13"/>
    <n v="-182"/>
    <s v="Card"/>
    <n v="4310.8500000000004"/>
    <x v="5"/>
    <n v="2024"/>
    <x v="1"/>
    <n v="-4.2219051927114136E-2"/>
    <n v="644.15"/>
    <s v="Medium"/>
    <s v="Repeat"/>
    <s v="Below Avg"/>
    <s v="Loss"/>
    <n v="341"/>
  </r>
  <r>
    <n v="177"/>
    <x v="176"/>
    <n v="1087"/>
    <s v="Customer_116"/>
    <s v="Corporate"/>
    <s v="South"/>
    <s v="Clothing"/>
    <s v="Product_A"/>
    <n v="940"/>
    <n v="2"/>
    <n v="0.06"/>
    <n v="1960"/>
    <s v="Card"/>
    <n v="1767.19999999999"/>
    <x v="5"/>
    <n v="2024"/>
    <x v="1"/>
    <n v="1.109099139882306"/>
    <n v="112.8"/>
    <s v="Low"/>
    <s v="Repeat"/>
    <s v="Below Avg"/>
    <s v="Profit"/>
    <n v="442"/>
  </r>
  <r>
    <n v="178"/>
    <x v="177"/>
    <n v="1069"/>
    <s v="Customer_94"/>
    <s v="Consumer"/>
    <s v="West"/>
    <s v="Furniture"/>
    <s v="Product_C"/>
    <n v="3742"/>
    <n v="1"/>
    <n v="0.19"/>
    <n v="1388"/>
    <s v="Card"/>
    <n v="3031.02"/>
    <x v="5"/>
    <n v="2024"/>
    <x v="1"/>
    <n v="0.45793165337081249"/>
    <n v="710.98"/>
    <s v="Medium"/>
    <s v="Repeat"/>
    <s v="Below Avg"/>
    <s v="Profit"/>
    <n v="390"/>
  </r>
  <r>
    <n v="179"/>
    <x v="178"/>
    <n v="1097"/>
    <s v="Customer_120"/>
    <s v="Corporate"/>
    <s v="South"/>
    <s v="Clothing"/>
    <s v="Product_C"/>
    <n v="2769"/>
    <n v="3"/>
    <n v="0.03"/>
    <n v="-283"/>
    <s v="Card"/>
    <n v="8057.79"/>
    <x v="5"/>
    <n v="2024"/>
    <x v="1"/>
    <n v="-3.512129256284912E-2"/>
    <n v="249.20999999999998"/>
    <s v="High"/>
    <s v="Repeat"/>
    <s v="Below Avg"/>
    <s v="Loss"/>
    <n v="251"/>
  </r>
  <r>
    <n v="180"/>
    <x v="179"/>
    <n v="1050"/>
    <s v="Customer_113"/>
    <s v="Consumer"/>
    <s v="North"/>
    <s v="Furniture"/>
    <s v="Product_C"/>
    <n v="1277"/>
    <n v="6"/>
    <n v="0.05"/>
    <n v="-393"/>
    <s v="Card"/>
    <n v="7278.9"/>
    <x v="5"/>
    <n v="2024"/>
    <x v="1"/>
    <n v="-5.3991674566211928E-2"/>
    <n v="383.1"/>
    <s v="High"/>
    <s v="Repeat"/>
    <s v="Below Avg"/>
    <s v="Loss"/>
    <n v="269"/>
  </r>
  <r>
    <n v="181"/>
    <x v="180"/>
    <n v="1002"/>
    <s v="Customer_3"/>
    <s v="Consumer"/>
    <s v="South"/>
    <s v="Furniture"/>
    <s v="Product_A"/>
    <n v="1043"/>
    <n v="2"/>
    <n v="0.24"/>
    <n v="1350"/>
    <s v="Card"/>
    <n v="1585.36"/>
    <x v="5"/>
    <n v="2024"/>
    <x v="1"/>
    <n v="0.85154160569208259"/>
    <n v="500.64"/>
    <s v="Low"/>
    <s v="Repeat"/>
    <s v="Below Avg"/>
    <s v="Profit"/>
    <n v="454"/>
  </r>
  <r>
    <n v="182"/>
    <x v="181"/>
    <n v="1018"/>
    <s v="Customer_164"/>
    <s v="Consumer"/>
    <s v="South"/>
    <s v="Electronics"/>
    <s v="Product_B"/>
    <n v="3546"/>
    <n v="6"/>
    <n v="0.25"/>
    <n v="1825"/>
    <s v="UPI"/>
    <n v="15957"/>
    <x v="5"/>
    <n v="2024"/>
    <x v="1"/>
    <n v="0.11436986902299931"/>
    <n v="5319"/>
    <s v="High"/>
    <s v="Repeat"/>
    <s v="Above Avg"/>
    <s v="Profit"/>
    <n v="129"/>
  </r>
  <r>
    <n v="183"/>
    <x v="182"/>
    <n v="1046"/>
    <s v="Customer_70"/>
    <s v="Corporate"/>
    <s v="South"/>
    <s v="Furniture"/>
    <s v="Product_A"/>
    <n v="951"/>
    <n v="8"/>
    <n v="7.0000000000000007E-2"/>
    <n v="1104"/>
    <s v="COD"/>
    <n v="7075.44"/>
    <x v="6"/>
    <n v="2024"/>
    <x v="2"/>
    <n v="0.15603269902649164"/>
    <n v="532.56000000000006"/>
    <s v="High"/>
    <s v="Repeat"/>
    <s v="Below Avg"/>
    <s v="Profit"/>
    <n v="274"/>
  </r>
  <r>
    <n v="184"/>
    <x v="183"/>
    <n v="1045"/>
    <s v="Customer_166"/>
    <s v="Corporate"/>
    <s v="North"/>
    <s v="Furniture"/>
    <s v="Product_C"/>
    <n v="4700"/>
    <n v="3"/>
    <n v="0.22"/>
    <n v="140"/>
    <s v="COD"/>
    <n v="10998"/>
    <x v="6"/>
    <n v="2024"/>
    <x v="2"/>
    <n v="1.2729587197672304E-2"/>
    <n v="3102"/>
    <s v="High"/>
    <s v="Repeat"/>
    <s v="Above Avg"/>
    <s v="Profit"/>
    <n v="190"/>
  </r>
  <r>
    <n v="185"/>
    <x v="184"/>
    <n v="1057"/>
    <s v="Customer_65"/>
    <s v="Consumer"/>
    <s v="East"/>
    <s v="Electronics"/>
    <s v="Product_C"/>
    <n v="1851"/>
    <n v="3"/>
    <n v="0.28999999999999998"/>
    <n v="589"/>
    <s v="Card"/>
    <n v="3942.6299999999901"/>
    <x v="6"/>
    <n v="2024"/>
    <x v="2"/>
    <n v="0.14939266428754447"/>
    <n v="1610.37"/>
    <s v="Medium"/>
    <s v="Repeat"/>
    <s v="Below Avg"/>
    <s v="Profit"/>
    <n v="356"/>
  </r>
  <r>
    <n v="186"/>
    <x v="185"/>
    <n v="1035"/>
    <s v="Customer_83"/>
    <s v="Corporate"/>
    <s v="East"/>
    <s v="Furniture"/>
    <s v="Product_C"/>
    <n v="1945"/>
    <n v="1"/>
    <n v="0.28999999999999998"/>
    <n v="7"/>
    <s v="Card"/>
    <n v="1380.94999999999"/>
    <x v="6"/>
    <n v="2024"/>
    <x v="2"/>
    <n v="5.068974256852204E-3"/>
    <n v="564.04999999999995"/>
    <s v="Low"/>
    <s v="Repeat"/>
    <s v="Below Avg"/>
    <s v="Profit"/>
    <n v="462"/>
  </r>
  <r>
    <n v="187"/>
    <x v="186"/>
    <n v="1018"/>
    <s v="Customer_38"/>
    <s v="Corporate"/>
    <s v="North"/>
    <s v="Clothing"/>
    <s v="Product_A"/>
    <n v="4924"/>
    <n v="3"/>
    <n v="0.13"/>
    <n v="1357"/>
    <s v="UPI"/>
    <n v="12851.64"/>
    <x v="6"/>
    <n v="2024"/>
    <x v="2"/>
    <n v="0.1055896368089987"/>
    <n v="1920.3600000000001"/>
    <s v="High"/>
    <s v="Repeat"/>
    <s v="Above Avg"/>
    <s v="Profit"/>
    <n v="160"/>
  </r>
  <r>
    <n v="188"/>
    <x v="187"/>
    <n v="1091"/>
    <s v="Customer_28"/>
    <s v="Corporate"/>
    <s v="East"/>
    <s v="Furniture"/>
    <s v="Product_A"/>
    <n v="1821"/>
    <n v="7"/>
    <n v="0.26"/>
    <n v="-309"/>
    <s v="Card"/>
    <n v="9432.7800000000007"/>
    <x v="6"/>
    <n v="2024"/>
    <x v="2"/>
    <n v="-3.2758105245749396E-2"/>
    <n v="3314.2200000000003"/>
    <s v="High"/>
    <s v="Repeat"/>
    <s v="Below Avg"/>
    <s v="Loss"/>
    <n v="220"/>
  </r>
  <r>
    <n v="189"/>
    <x v="188"/>
    <n v="1046"/>
    <s v="Customer_175"/>
    <s v="Corporate"/>
    <s v="East"/>
    <s v="Clothing"/>
    <s v="Product_B"/>
    <n v="1873"/>
    <n v="9"/>
    <n v="0.17"/>
    <n v="-234"/>
    <s v="UPI"/>
    <n v="13991.31"/>
    <x v="6"/>
    <n v="2024"/>
    <x v="2"/>
    <n v="-1.672466695398787E-2"/>
    <n v="2865.69"/>
    <s v="High"/>
    <s v="Repeat"/>
    <s v="Above Avg"/>
    <s v="Loss"/>
    <n v="147"/>
  </r>
  <r>
    <n v="190"/>
    <x v="189"/>
    <n v="1054"/>
    <s v="Customer_47"/>
    <s v="Consumer"/>
    <s v="West"/>
    <s v="Furniture"/>
    <s v="Product_C"/>
    <n v="750"/>
    <n v="8"/>
    <n v="0.17"/>
    <n v="-108"/>
    <s v="Card"/>
    <n v="4980"/>
    <x v="6"/>
    <n v="2024"/>
    <x v="2"/>
    <n v="-2.1686746987951807E-2"/>
    <n v="1020.0000000000001"/>
    <s v="Medium"/>
    <s v="Repeat"/>
    <s v="Below Avg"/>
    <s v="Loss"/>
    <n v="324"/>
  </r>
  <r>
    <n v="191"/>
    <x v="190"/>
    <n v="1073"/>
    <s v="Customer_10"/>
    <s v="Consumer"/>
    <s v="East"/>
    <s v="Furniture"/>
    <s v="Product_A"/>
    <n v="1461"/>
    <n v="3"/>
    <n v="7.0000000000000007E-2"/>
    <n v="-371"/>
    <s v="COD"/>
    <n v="4076.1899999999901"/>
    <x v="6"/>
    <n v="2024"/>
    <x v="2"/>
    <n v="-9.1016365772940144E-2"/>
    <n v="306.81"/>
    <s v="Medium"/>
    <s v="Repeat"/>
    <s v="Below Avg"/>
    <s v="Loss"/>
    <n v="351"/>
  </r>
  <r>
    <n v="192"/>
    <x v="191"/>
    <n v="1081"/>
    <s v="Customer_88"/>
    <s v="Corporate"/>
    <s v="South"/>
    <s v="Clothing"/>
    <s v="Product_A"/>
    <n v="3609"/>
    <n v="5"/>
    <n v="0.12"/>
    <n v="514"/>
    <s v="COD"/>
    <n v="15879.6"/>
    <x v="6"/>
    <n v="2024"/>
    <x v="2"/>
    <n v="3.2368573515705684E-2"/>
    <n v="2165.4"/>
    <s v="High"/>
    <s v="Repeat"/>
    <s v="Above Avg"/>
    <s v="Profit"/>
    <n v="131"/>
  </r>
  <r>
    <n v="193"/>
    <x v="192"/>
    <n v="1062"/>
    <s v="Customer_133"/>
    <s v="Corporate"/>
    <s v="South"/>
    <s v="Electronics"/>
    <s v="Product_D"/>
    <n v="1568"/>
    <n v="1"/>
    <n v="0.06"/>
    <n v="1807"/>
    <s v="UPI"/>
    <n v="1473.9199999999901"/>
    <x v="6"/>
    <n v="2024"/>
    <x v="2"/>
    <n v="1.225982414242301"/>
    <n v="94.08"/>
    <s v="Low"/>
    <s v="Repeat"/>
    <s v="Below Avg"/>
    <s v="Profit"/>
    <n v="459"/>
  </r>
  <r>
    <n v="194"/>
    <x v="193"/>
    <n v="1067"/>
    <s v="Customer_141"/>
    <s v="Consumer"/>
    <s v="West"/>
    <s v="Furniture"/>
    <s v="Product_C"/>
    <n v="584"/>
    <n v="1"/>
    <n v="0.22"/>
    <n v="858"/>
    <s v="Card"/>
    <n v="455.52"/>
    <x v="6"/>
    <n v="2024"/>
    <x v="2"/>
    <n v="1.8835616438356164"/>
    <n v="128.47999999999999"/>
    <s v="Low"/>
    <s v="Repeat"/>
    <s v="Below Avg"/>
    <s v="Profit"/>
    <n v="494"/>
  </r>
  <r>
    <n v="195"/>
    <x v="194"/>
    <n v="1011"/>
    <s v="Customer_86"/>
    <s v="Corporate"/>
    <s v="South"/>
    <s v="Furniture"/>
    <s v="Product_C"/>
    <n v="851"/>
    <n v="9"/>
    <n v="0.19"/>
    <n v="1126"/>
    <s v="Card"/>
    <n v="6203.79"/>
    <x v="6"/>
    <n v="2024"/>
    <x v="2"/>
    <n v="0.18150195283850679"/>
    <n v="1455.21"/>
    <s v="High"/>
    <s v="Repeat"/>
    <s v="Below Avg"/>
    <s v="Profit"/>
    <n v="292"/>
  </r>
  <r>
    <n v="196"/>
    <x v="195"/>
    <n v="1026"/>
    <s v="Customer_34"/>
    <s v="Corporate"/>
    <s v="West"/>
    <s v="Electronics"/>
    <s v="Product_A"/>
    <n v="209"/>
    <n v="7"/>
    <n v="0.24"/>
    <n v="-125"/>
    <s v="UPI"/>
    <n v="1111.8800000000001"/>
    <x v="6"/>
    <n v="2024"/>
    <x v="2"/>
    <n v="-0.11242220383494621"/>
    <n v="351.12"/>
    <s v="Low"/>
    <s v="Repeat"/>
    <s v="Below Avg"/>
    <s v="Loss"/>
    <n v="476"/>
  </r>
  <r>
    <n v="197"/>
    <x v="196"/>
    <n v="1092"/>
    <s v="Customer_153"/>
    <s v="Corporate"/>
    <s v="South"/>
    <s v="Electronics"/>
    <s v="Product_D"/>
    <n v="2452"/>
    <n v="4"/>
    <n v="0.19"/>
    <n v="1641"/>
    <s v="Card"/>
    <n v="7944.48"/>
    <x v="6"/>
    <n v="2024"/>
    <x v="2"/>
    <n v="0.20655851610174614"/>
    <n v="1863.52"/>
    <s v="High"/>
    <s v="Repeat"/>
    <s v="Below Avg"/>
    <s v="Profit"/>
    <n v="254"/>
  </r>
  <r>
    <n v="198"/>
    <x v="197"/>
    <n v="1075"/>
    <s v="Customer_151"/>
    <s v="Consumer"/>
    <s v="East"/>
    <s v="Electronics"/>
    <s v="Product_C"/>
    <n v="4378"/>
    <n v="4"/>
    <n v="0.08"/>
    <n v="-266"/>
    <s v="COD"/>
    <n v="16111.04"/>
    <x v="6"/>
    <n v="2024"/>
    <x v="2"/>
    <n v="-1.6510417701153992E-2"/>
    <n v="1400.96"/>
    <s v="High"/>
    <s v="Repeat"/>
    <s v="Above Avg"/>
    <s v="Loss"/>
    <n v="125"/>
  </r>
  <r>
    <n v="199"/>
    <x v="198"/>
    <n v="1010"/>
    <s v="Customer_112"/>
    <s v="Corporate"/>
    <s v="South"/>
    <s v="Furniture"/>
    <s v="Product_C"/>
    <n v="3624"/>
    <n v="3"/>
    <n v="0.28999999999999998"/>
    <n v="-429"/>
    <s v="COD"/>
    <n v="7719.12"/>
    <x v="6"/>
    <n v="2024"/>
    <x v="2"/>
    <n v="-5.557628330690545E-2"/>
    <n v="3152.8799999999997"/>
    <s v="High"/>
    <s v="Repeat"/>
    <s v="Below Avg"/>
    <s v="Loss"/>
    <n v="259"/>
  </r>
  <r>
    <n v="200"/>
    <x v="199"/>
    <n v="1003"/>
    <s v="Customer_85"/>
    <s v="Corporate"/>
    <s v="South"/>
    <s v="Clothing"/>
    <s v="Product_C"/>
    <n v="1158"/>
    <n v="5"/>
    <n v="0.2"/>
    <n v="1597"/>
    <s v="COD"/>
    <n v="4632"/>
    <x v="6"/>
    <n v="2024"/>
    <x v="2"/>
    <n v="0.34477547495682209"/>
    <n v="1158"/>
    <s v="Medium"/>
    <s v="Repeat"/>
    <s v="Below Avg"/>
    <s v="Profit"/>
    <n v="335"/>
  </r>
  <r>
    <n v="201"/>
    <x v="200"/>
    <n v="1045"/>
    <s v="Customer_3"/>
    <s v="Corporate"/>
    <s v="West"/>
    <s v="Furniture"/>
    <s v="Product_A"/>
    <n v="300"/>
    <n v="8"/>
    <n v="0.14000000000000001"/>
    <n v="1580"/>
    <s v="UPI"/>
    <n v="2064"/>
    <x v="6"/>
    <n v="2024"/>
    <x v="2"/>
    <n v="0.76550387596899228"/>
    <n v="336.00000000000006"/>
    <s v="Medium"/>
    <s v="Repeat"/>
    <s v="Below Avg"/>
    <s v="Profit"/>
    <n v="425"/>
  </r>
  <r>
    <n v="202"/>
    <x v="201"/>
    <n v="1058"/>
    <s v="Customer_8"/>
    <s v="Consumer"/>
    <s v="West"/>
    <s v="Clothing"/>
    <s v="Product_A"/>
    <n v="4590"/>
    <n v="3"/>
    <n v="0.23"/>
    <n v="458"/>
    <s v="Card"/>
    <n v="10602.9"/>
    <x v="6"/>
    <n v="2024"/>
    <x v="2"/>
    <n v="4.3195729470239273E-2"/>
    <n v="3167.1000000000004"/>
    <s v="High"/>
    <s v="Repeat"/>
    <s v="Below Avg"/>
    <s v="Profit"/>
    <n v="195"/>
  </r>
  <r>
    <n v="203"/>
    <x v="202"/>
    <n v="1059"/>
    <s v="Customer_174"/>
    <s v="Consumer"/>
    <s v="West"/>
    <s v="Electronics"/>
    <s v="Product_B"/>
    <n v="3815"/>
    <n v="6"/>
    <n v="0.08"/>
    <n v="971"/>
    <s v="Card"/>
    <n v="21058.799999999999"/>
    <x v="6"/>
    <n v="2024"/>
    <x v="2"/>
    <n v="4.6108990065910689E-2"/>
    <n v="1831.2"/>
    <s v="High"/>
    <s v="Repeat"/>
    <s v="Above Avg"/>
    <s v="Profit"/>
    <n v="76"/>
  </r>
  <r>
    <n v="204"/>
    <x v="203"/>
    <n v="1023"/>
    <s v="Customer_190"/>
    <s v="Consumer"/>
    <s v="North"/>
    <s v="Furniture"/>
    <s v="Product_B"/>
    <n v="1315"/>
    <n v="4"/>
    <n v="0.24"/>
    <n v="-35"/>
    <s v="COD"/>
    <n v="3997.6"/>
    <x v="6"/>
    <n v="2024"/>
    <x v="2"/>
    <n v="-8.7552531518911344E-3"/>
    <n v="1262.3999999999999"/>
    <s v="Medium"/>
    <s v="Repeat"/>
    <s v="Below Avg"/>
    <s v="Loss"/>
    <n v="353"/>
  </r>
  <r>
    <n v="205"/>
    <x v="204"/>
    <n v="1025"/>
    <s v="Customer_167"/>
    <s v="Consumer"/>
    <s v="East"/>
    <s v="Furniture"/>
    <s v="Product_C"/>
    <n v="831"/>
    <n v="3"/>
    <n v="0.1"/>
    <n v="1324"/>
    <s v="UPI"/>
    <n v="2243.6999999999998"/>
    <x v="6"/>
    <n v="2024"/>
    <x v="2"/>
    <n v="0.59009671524713647"/>
    <n v="249.3"/>
    <s v="Medium"/>
    <s v="Repeat"/>
    <s v="Below Avg"/>
    <s v="Profit"/>
    <n v="417"/>
  </r>
  <r>
    <n v="206"/>
    <x v="205"/>
    <n v="1027"/>
    <s v="Customer_51"/>
    <s v="Consumer"/>
    <s v="North"/>
    <s v="Furniture"/>
    <s v="Product_D"/>
    <n v="473"/>
    <n v="1"/>
    <n v="0.02"/>
    <n v="-233"/>
    <s v="UPI"/>
    <n v="463.539999999999"/>
    <x v="6"/>
    <n v="2024"/>
    <x v="2"/>
    <n v="-0.50265349268671633"/>
    <n v="9.4600000000000009"/>
    <s v="Low"/>
    <s v="Repeat"/>
    <s v="Below Avg"/>
    <s v="Loss"/>
    <n v="493"/>
  </r>
  <r>
    <n v="207"/>
    <x v="206"/>
    <n v="1057"/>
    <s v="Customer_22"/>
    <s v="Consumer"/>
    <s v="South"/>
    <s v="Furniture"/>
    <s v="Product_C"/>
    <n v="3249"/>
    <n v="8"/>
    <n v="0.23"/>
    <n v="1197"/>
    <s v="UPI"/>
    <n v="20013.84"/>
    <x v="6"/>
    <n v="2024"/>
    <x v="2"/>
    <n v="5.9808612440191387E-2"/>
    <n v="5978.16"/>
    <s v="High"/>
    <s v="Repeat"/>
    <s v="Above Avg"/>
    <s v="Profit"/>
    <n v="80"/>
  </r>
  <r>
    <n v="208"/>
    <x v="207"/>
    <n v="1003"/>
    <s v="Customer_45"/>
    <s v="Corporate"/>
    <s v="South"/>
    <s v="Electronics"/>
    <s v="Product_D"/>
    <n v="3344"/>
    <n v="7"/>
    <n v="0.06"/>
    <n v="581"/>
    <s v="COD"/>
    <n v="22003.52"/>
    <x v="6"/>
    <n v="2024"/>
    <x v="2"/>
    <n v="2.6404866130510025E-2"/>
    <n v="1404.48"/>
    <s v="High"/>
    <s v="Repeat"/>
    <s v="Above Avg"/>
    <s v="Profit"/>
    <n v="67"/>
  </r>
  <r>
    <n v="209"/>
    <x v="208"/>
    <n v="1099"/>
    <s v="Customer_151"/>
    <s v="Corporate"/>
    <s v="West"/>
    <s v="Electronics"/>
    <s v="Product_A"/>
    <n v="4041"/>
    <n v="7"/>
    <n v="0.19"/>
    <n v="1642"/>
    <s v="UPI"/>
    <n v="22912.47"/>
    <x v="6"/>
    <n v="2024"/>
    <x v="2"/>
    <n v="7.1664032729775534E-2"/>
    <n v="5374.53"/>
    <s v="High"/>
    <s v="Repeat"/>
    <s v="Above Avg"/>
    <s v="Profit"/>
    <n v="60"/>
  </r>
  <r>
    <n v="210"/>
    <x v="209"/>
    <n v="1078"/>
    <s v="Customer_177"/>
    <s v="Consumer"/>
    <s v="West"/>
    <s v="Electronics"/>
    <s v="Product_B"/>
    <n v="4048"/>
    <n v="8"/>
    <n v="0.08"/>
    <n v="-375"/>
    <s v="COD"/>
    <n v="29793.279999999999"/>
    <x v="6"/>
    <n v="2024"/>
    <x v="2"/>
    <n v="-1.2586730967520193E-2"/>
    <n v="2590.7200000000003"/>
    <s v="High"/>
    <s v="Repeat"/>
    <s v="Above Avg"/>
    <s v="Loss"/>
    <n v="24"/>
  </r>
  <r>
    <n v="211"/>
    <x v="210"/>
    <n v="1085"/>
    <s v="Customer_80"/>
    <s v="Consumer"/>
    <s v="South"/>
    <s v="Furniture"/>
    <s v="Product_A"/>
    <n v="745"/>
    <n v="9"/>
    <n v="0.21"/>
    <n v="515"/>
    <s v="Card"/>
    <n v="5296.95"/>
    <x v="6"/>
    <n v="2024"/>
    <x v="2"/>
    <n v="9.7225761995110391E-2"/>
    <n v="1408.05"/>
    <s v="High"/>
    <s v="Repeat"/>
    <s v="Below Avg"/>
    <s v="Profit"/>
    <n v="316"/>
  </r>
  <r>
    <n v="212"/>
    <x v="211"/>
    <n v="1059"/>
    <s v="Customer_124"/>
    <s v="Consumer"/>
    <s v="North"/>
    <s v="Furniture"/>
    <s v="Product_D"/>
    <n v="3695"/>
    <n v="3"/>
    <n v="0.04"/>
    <n v="333"/>
    <s v="Card"/>
    <n v="10641.6"/>
    <x v="6"/>
    <n v="2024"/>
    <x v="2"/>
    <n v="3.1292286874154258E-2"/>
    <n v="443.40000000000003"/>
    <s v="High"/>
    <s v="Repeat"/>
    <s v="Above Avg"/>
    <s v="Profit"/>
    <n v="194"/>
  </r>
  <r>
    <n v="213"/>
    <x v="212"/>
    <n v="1048"/>
    <s v="Customer_179"/>
    <s v="Corporate"/>
    <s v="West"/>
    <s v="Clothing"/>
    <s v="Product_D"/>
    <n v="4178"/>
    <n v="2"/>
    <n v="0.19"/>
    <n v="1860"/>
    <s v="Card"/>
    <n v="6768.36"/>
    <x v="6"/>
    <n v="2024"/>
    <x v="2"/>
    <n v="0.27480807758452563"/>
    <n v="1587.64"/>
    <s v="High"/>
    <s v="Repeat"/>
    <s v="Below Avg"/>
    <s v="Profit"/>
    <n v="280"/>
  </r>
  <r>
    <n v="214"/>
    <x v="213"/>
    <n v="1056"/>
    <s v="Customer_28"/>
    <s v="Consumer"/>
    <s v="West"/>
    <s v="Clothing"/>
    <s v="Product_B"/>
    <n v="2035"/>
    <n v="4"/>
    <n v="0.06"/>
    <n v="1215"/>
    <s v="UPI"/>
    <n v="7651.5999999999904"/>
    <x v="7"/>
    <n v="2024"/>
    <x v="2"/>
    <n v="0.15879031836478666"/>
    <n v="488.4"/>
    <s v="High"/>
    <s v="Repeat"/>
    <s v="Below Avg"/>
    <s v="Profit"/>
    <n v="262"/>
  </r>
  <r>
    <n v="215"/>
    <x v="214"/>
    <n v="1087"/>
    <s v="Customer_99"/>
    <s v="Consumer"/>
    <s v="South"/>
    <s v="Clothing"/>
    <s v="Product_A"/>
    <n v="2833"/>
    <n v="4"/>
    <n v="0.15"/>
    <n v="-499"/>
    <s v="COD"/>
    <n v="9632.1999999999898"/>
    <x v="7"/>
    <n v="2024"/>
    <x v="2"/>
    <n v="-5.1805402711737766E-2"/>
    <n v="1699.8"/>
    <s v="High"/>
    <s v="Repeat"/>
    <s v="Below Avg"/>
    <s v="Loss"/>
    <n v="211"/>
  </r>
  <r>
    <n v="216"/>
    <x v="215"/>
    <n v="1087"/>
    <s v="Customer_106"/>
    <s v="Consumer"/>
    <s v="East"/>
    <s v="Furniture"/>
    <s v="Product_C"/>
    <n v="2661"/>
    <n v="8"/>
    <n v="0.26"/>
    <n v="-152"/>
    <s v="COD"/>
    <n v="15753.119999999901"/>
    <x v="7"/>
    <n v="2024"/>
    <x v="2"/>
    <n v="-9.6488822531664176E-3"/>
    <n v="5534.88"/>
    <s v="High"/>
    <s v="Repeat"/>
    <s v="Above Avg"/>
    <s v="Loss"/>
    <n v="133"/>
  </r>
  <r>
    <n v="217"/>
    <x v="216"/>
    <n v="1004"/>
    <s v="Customer_29"/>
    <s v="Consumer"/>
    <s v="West"/>
    <s v="Furniture"/>
    <s v="Product_A"/>
    <n v="2152"/>
    <n v="8"/>
    <n v="0.14000000000000001"/>
    <n v="925"/>
    <s v="COD"/>
    <n v="14805.76"/>
    <x v="7"/>
    <n v="2024"/>
    <x v="2"/>
    <n v="6.2475685138756808E-2"/>
    <n v="2410.2400000000002"/>
    <s v="High"/>
    <s v="Repeat"/>
    <s v="Above Avg"/>
    <s v="Profit"/>
    <n v="142"/>
  </r>
  <r>
    <n v="218"/>
    <x v="217"/>
    <n v="1069"/>
    <s v="Customer_187"/>
    <s v="Consumer"/>
    <s v="North"/>
    <s v="Clothing"/>
    <s v="Product_D"/>
    <n v="2039"/>
    <n v="7"/>
    <n v="0.23"/>
    <n v="-462"/>
    <s v="UPI"/>
    <n v="10990.21"/>
    <x v="7"/>
    <n v="2024"/>
    <x v="2"/>
    <n v="-4.2037413297835079E-2"/>
    <n v="3282.79"/>
    <s v="High"/>
    <s v="Repeat"/>
    <s v="Above Avg"/>
    <s v="Loss"/>
    <n v="192"/>
  </r>
  <r>
    <n v="219"/>
    <x v="218"/>
    <n v="1056"/>
    <s v="Customer_102"/>
    <s v="Consumer"/>
    <s v="East"/>
    <s v="Clothing"/>
    <s v="Product_A"/>
    <n v="802"/>
    <n v="5"/>
    <n v="0.04"/>
    <n v="1193"/>
    <s v="COD"/>
    <n v="3849.6"/>
    <x v="7"/>
    <n v="2024"/>
    <x v="2"/>
    <n v="0.30990232751454699"/>
    <n v="160.4"/>
    <s v="Medium"/>
    <s v="Repeat"/>
    <s v="Below Avg"/>
    <s v="Profit"/>
    <n v="361"/>
  </r>
  <r>
    <n v="220"/>
    <x v="219"/>
    <n v="1060"/>
    <s v="Customer_198"/>
    <s v="Corporate"/>
    <s v="South"/>
    <s v="Clothing"/>
    <s v="Product_B"/>
    <n v="2899"/>
    <n v="1"/>
    <n v="0.2"/>
    <n v="569"/>
    <s v="COD"/>
    <n v="2319.1999999999998"/>
    <x v="7"/>
    <n v="2024"/>
    <x v="2"/>
    <n v="0.24534322180062093"/>
    <n v="579.80000000000007"/>
    <s v="Medium"/>
    <s v="Repeat"/>
    <s v="Below Avg"/>
    <s v="Profit"/>
    <n v="415"/>
  </r>
  <r>
    <n v="221"/>
    <x v="220"/>
    <n v="1009"/>
    <s v="Customer_78"/>
    <s v="Corporate"/>
    <s v="West"/>
    <s v="Electronics"/>
    <s v="Product_A"/>
    <n v="607"/>
    <n v="6"/>
    <n v="0.05"/>
    <n v="1509"/>
    <s v="Card"/>
    <n v="3459.8999999999901"/>
    <x v="7"/>
    <n v="2024"/>
    <x v="2"/>
    <n v="0.43613977282580546"/>
    <n v="182.10000000000002"/>
    <s v="Medium"/>
    <s v="Repeat"/>
    <s v="Below Avg"/>
    <s v="Profit"/>
    <n v="378"/>
  </r>
  <r>
    <n v="222"/>
    <x v="221"/>
    <n v="1066"/>
    <s v="Customer_156"/>
    <s v="Corporate"/>
    <s v="East"/>
    <s v="Clothing"/>
    <s v="Product_A"/>
    <n v="1523"/>
    <n v="1"/>
    <n v="0.23"/>
    <n v="1244"/>
    <s v="COD"/>
    <n v="1172.71"/>
    <x v="7"/>
    <n v="2024"/>
    <x v="2"/>
    <n v="1.0607908178492551"/>
    <n v="350.29"/>
    <s v="Low"/>
    <s v="Repeat"/>
    <s v="Below Avg"/>
    <s v="Profit"/>
    <n v="471"/>
  </r>
  <r>
    <n v="223"/>
    <x v="222"/>
    <n v="1033"/>
    <s v="Customer_110"/>
    <s v="Corporate"/>
    <s v="South"/>
    <s v="Furniture"/>
    <s v="Product_D"/>
    <n v="2167"/>
    <n v="2"/>
    <n v="0.21"/>
    <n v="1682"/>
    <s v="Card"/>
    <n v="3423.86"/>
    <x v="7"/>
    <n v="2024"/>
    <x v="2"/>
    <n v="0.49125840425718337"/>
    <n v="910.14"/>
    <s v="Medium"/>
    <s v="New"/>
    <s v="Below Avg"/>
    <s v="Profit"/>
    <n v="379"/>
  </r>
  <r>
    <n v="224"/>
    <x v="223"/>
    <n v="1069"/>
    <s v="Customer_175"/>
    <s v="Corporate"/>
    <s v="North"/>
    <s v="Furniture"/>
    <s v="Product_C"/>
    <n v="4265"/>
    <n v="6"/>
    <n v="0.12"/>
    <n v="490"/>
    <s v="COD"/>
    <n v="22519.200000000001"/>
    <x v="7"/>
    <n v="2024"/>
    <x v="2"/>
    <n v="2.1759209918647198E-2"/>
    <n v="3070.7999999999997"/>
    <s v="High"/>
    <s v="Repeat"/>
    <s v="Above Avg"/>
    <s v="Profit"/>
    <n v="63"/>
  </r>
  <r>
    <n v="225"/>
    <x v="224"/>
    <n v="1009"/>
    <s v="Customer_4"/>
    <s v="Consumer"/>
    <s v="West"/>
    <s v="Clothing"/>
    <s v="Product_C"/>
    <n v="851"/>
    <n v="1"/>
    <n v="0.14000000000000001"/>
    <n v="1419"/>
    <s v="UPI"/>
    <n v="731.86"/>
    <x v="7"/>
    <n v="2024"/>
    <x v="2"/>
    <n v="1.9388954171562867"/>
    <n v="119.14000000000001"/>
    <s v="Low"/>
    <s v="Repeat"/>
    <s v="Below Avg"/>
    <s v="Profit"/>
    <n v="484"/>
  </r>
  <r>
    <n v="226"/>
    <x v="225"/>
    <n v="1079"/>
    <s v="Customer_130"/>
    <s v="Corporate"/>
    <s v="South"/>
    <s v="Furniture"/>
    <s v="Product_B"/>
    <n v="2116"/>
    <n v="6"/>
    <n v="0.05"/>
    <n v="1516"/>
    <s v="UPI"/>
    <n v="12061.199999999901"/>
    <x v="7"/>
    <n v="2024"/>
    <x v="2"/>
    <n v="0.12569230259012473"/>
    <n v="634.80000000000007"/>
    <s v="High"/>
    <s v="Repeat"/>
    <s v="Above Avg"/>
    <s v="Profit"/>
    <n v="167"/>
  </r>
  <r>
    <n v="227"/>
    <x v="226"/>
    <n v="1028"/>
    <s v="Customer_110"/>
    <s v="Consumer"/>
    <s v="West"/>
    <s v="Furniture"/>
    <s v="Product_B"/>
    <n v="648"/>
    <n v="9"/>
    <n v="0.19"/>
    <n v="730"/>
    <s v="Card"/>
    <n v="4723.92"/>
    <x v="7"/>
    <n v="2024"/>
    <x v="2"/>
    <n v="0.15453267625192638"/>
    <n v="1108.08"/>
    <s v="Medium"/>
    <s v="Repeat"/>
    <s v="Below Avg"/>
    <s v="Profit"/>
    <n v="331"/>
  </r>
  <r>
    <n v="228"/>
    <x v="227"/>
    <n v="1066"/>
    <s v="Customer_64"/>
    <s v="Consumer"/>
    <s v="West"/>
    <s v="Furniture"/>
    <s v="Product_A"/>
    <n v="2655"/>
    <n v="6"/>
    <n v="0.27"/>
    <n v="1403"/>
    <s v="COD"/>
    <n v="11628.9"/>
    <x v="7"/>
    <n v="2024"/>
    <x v="2"/>
    <n v="0.12064769668670296"/>
    <n v="4301.1000000000004"/>
    <s v="High"/>
    <s v="Repeat"/>
    <s v="Above Avg"/>
    <s v="Profit"/>
    <n v="179"/>
  </r>
  <r>
    <n v="229"/>
    <x v="228"/>
    <n v="1010"/>
    <s v="Customer_29"/>
    <s v="Consumer"/>
    <s v="North"/>
    <s v="Clothing"/>
    <s v="Product_C"/>
    <n v="738"/>
    <n v="1"/>
    <n v="0.17"/>
    <n v="1581"/>
    <s v="UPI"/>
    <n v="612.54"/>
    <x v="7"/>
    <n v="2024"/>
    <x v="2"/>
    <n v="2.5810559310412384"/>
    <n v="125.46000000000001"/>
    <s v="Low"/>
    <s v="Repeat"/>
    <s v="Below Avg"/>
    <s v="Profit"/>
    <n v="486"/>
  </r>
  <r>
    <n v="230"/>
    <x v="229"/>
    <n v="1003"/>
    <s v="Customer_89"/>
    <s v="Consumer"/>
    <s v="East"/>
    <s v="Furniture"/>
    <s v="Product_B"/>
    <n v="1820"/>
    <n v="9"/>
    <n v="0.09"/>
    <n v="631"/>
    <s v="UPI"/>
    <n v="14905.8"/>
    <x v="7"/>
    <n v="2024"/>
    <x v="2"/>
    <n v="4.2332514859987389E-2"/>
    <n v="1474.2"/>
    <s v="High"/>
    <s v="Repeat"/>
    <s v="Above Avg"/>
    <s v="Profit"/>
    <n v="141"/>
  </r>
  <r>
    <n v="231"/>
    <x v="230"/>
    <n v="1048"/>
    <s v="Customer_95"/>
    <s v="Consumer"/>
    <s v="North"/>
    <s v="Electronics"/>
    <s v="Product_C"/>
    <n v="3916"/>
    <n v="7"/>
    <n v="0.12"/>
    <n v="1533"/>
    <s v="UPI"/>
    <n v="24122.560000000001"/>
    <x v="7"/>
    <n v="2024"/>
    <x v="2"/>
    <n v="6.3550468938620111E-2"/>
    <n v="3289.44"/>
    <s v="High"/>
    <s v="Repeat"/>
    <s v="Above Avg"/>
    <s v="Profit"/>
    <n v="51"/>
  </r>
  <r>
    <n v="232"/>
    <x v="231"/>
    <n v="1003"/>
    <s v="Customer_175"/>
    <s v="Consumer"/>
    <s v="West"/>
    <s v="Clothing"/>
    <s v="Product_D"/>
    <n v="3888"/>
    <n v="5"/>
    <n v="7.0000000000000007E-2"/>
    <n v="1032"/>
    <s v="Card"/>
    <n v="18079.199999999899"/>
    <x v="7"/>
    <n v="2024"/>
    <x v="2"/>
    <n v="5.7082171777512597E-2"/>
    <n v="1360.8000000000002"/>
    <s v="High"/>
    <s v="Repeat"/>
    <s v="Above Avg"/>
    <s v="Profit"/>
    <n v="91"/>
  </r>
  <r>
    <n v="233"/>
    <x v="232"/>
    <n v="1023"/>
    <s v="Customer_15"/>
    <s v="Consumer"/>
    <s v="North"/>
    <s v="Clothing"/>
    <s v="Product_B"/>
    <n v="1813"/>
    <n v="7"/>
    <n v="0.13"/>
    <n v="937"/>
    <s v="COD"/>
    <n v="11041.17"/>
    <x v="7"/>
    <n v="2024"/>
    <x v="2"/>
    <n v="8.4864194646038421E-2"/>
    <n v="1649.8300000000002"/>
    <s v="High"/>
    <s v="Repeat"/>
    <s v="Above Avg"/>
    <s v="Profit"/>
    <n v="189"/>
  </r>
  <r>
    <n v="234"/>
    <x v="233"/>
    <n v="1091"/>
    <s v="Customer_166"/>
    <s v="Corporate"/>
    <s v="West"/>
    <s v="Furniture"/>
    <s v="Product_C"/>
    <n v="4283"/>
    <n v="6"/>
    <n v="0.15"/>
    <n v="436"/>
    <s v="COD"/>
    <n v="21843.3"/>
    <x v="7"/>
    <n v="2024"/>
    <x v="2"/>
    <n v="1.9960353975818673E-2"/>
    <n v="3854.7"/>
    <s v="High"/>
    <s v="Repeat"/>
    <s v="Above Avg"/>
    <s v="Profit"/>
    <n v="68"/>
  </r>
  <r>
    <n v="235"/>
    <x v="234"/>
    <n v="1055"/>
    <s v="Customer_97"/>
    <s v="Corporate"/>
    <s v="North"/>
    <s v="Clothing"/>
    <s v="Product_C"/>
    <n v="4730"/>
    <n v="8"/>
    <n v="0.28000000000000003"/>
    <n v="1356"/>
    <s v="Card"/>
    <n v="27244.799999999999"/>
    <x v="7"/>
    <n v="2024"/>
    <x v="2"/>
    <n v="4.9770965468639891E-2"/>
    <n v="10595.2"/>
    <s v="High"/>
    <s v="Repeat"/>
    <s v="Above Avg"/>
    <s v="Profit"/>
    <n v="34"/>
  </r>
  <r>
    <n v="236"/>
    <x v="235"/>
    <n v="1034"/>
    <s v="Customer_177"/>
    <s v="Consumer"/>
    <s v="West"/>
    <s v="Furniture"/>
    <s v="Product_C"/>
    <n v="4044"/>
    <n v="8"/>
    <n v="0.13"/>
    <n v="-288"/>
    <s v="UPI"/>
    <n v="28146.240000000002"/>
    <x v="7"/>
    <n v="2024"/>
    <x v="2"/>
    <n v="-1.0232272587741736E-2"/>
    <n v="4205.76"/>
    <s v="High"/>
    <s v="Repeat"/>
    <s v="Above Avg"/>
    <s v="Loss"/>
    <n v="29"/>
  </r>
  <r>
    <n v="237"/>
    <x v="236"/>
    <n v="1037"/>
    <s v="Customer_40"/>
    <s v="Corporate"/>
    <s v="North"/>
    <s v="Electronics"/>
    <s v="Product_D"/>
    <n v="1901"/>
    <n v="8"/>
    <n v="0.26"/>
    <n v="1933"/>
    <s v="UPI"/>
    <n v="11253.92"/>
    <x v="7"/>
    <n v="2024"/>
    <x v="2"/>
    <n v="0.17176237257773291"/>
    <n v="3954.08"/>
    <s v="High"/>
    <s v="Repeat"/>
    <s v="Above Avg"/>
    <s v="Profit"/>
    <n v="186"/>
  </r>
  <r>
    <n v="238"/>
    <x v="237"/>
    <n v="1049"/>
    <s v="Customer_144"/>
    <s v="Consumer"/>
    <s v="South"/>
    <s v="Electronics"/>
    <s v="Product_A"/>
    <n v="4270"/>
    <n v="6"/>
    <n v="0.05"/>
    <n v="1845"/>
    <s v="Card"/>
    <n v="24339"/>
    <x v="7"/>
    <n v="2024"/>
    <x v="2"/>
    <n v="7.5804264760261308E-2"/>
    <n v="1281"/>
    <s v="High"/>
    <s v="Repeat"/>
    <s v="Above Avg"/>
    <s v="Profit"/>
    <n v="48"/>
  </r>
  <r>
    <n v="239"/>
    <x v="238"/>
    <n v="1087"/>
    <s v="Customer_102"/>
    <s v="Corporate"/>
    <s v="North"/>
    <s v="Furniture"/>
    <s v="Product_B"/>
    <n v="3460"/>
    <n v="2"/>
    <n v="0.16"/>
    <n v="898"/>
    <s v="UPI"/>
    <n v="5812.8"/>
    <x v="7"/>
    <n v="2024"/>
    <x v="2"/>
    <n v="0.15448665015139004"/>
    <n v="1107.2"/>
    <s v="High"/>
    <s v="Repeat"/>
    <s v="Below Avg"/>
    <s v="Profit"/>
    <n v="300"/>
  </r>
  <r>
    <n v="240"/>
    <x v="239"/>
    <n v="1085"/>
    <s v="Customer_108"/>
    <s v="Consumer"/>
    <s v="East"/>
    <s v="Furniture"/>
    <s v="Product_C"/>
    <n v="4062"/>
    <n v="1"/>
    <n v="0.18"/>
    <n v="630"/>
    <s v="Card"/>
    <n v="3330.84"/>
    <x v="7"/>
    <n v="2024"/>
    <x v="2"/>
    <n v="0.18914147782541341"/>
    <n v="731.16"/>
    <s v="Medium"/>
    <s v="Repeat"/>
    <s v="Below Avg"/>
    <s v="Profit"/>
    <n v="385"/>
  </r>
  <r>
    <n v="241"/>
    <x v="240"/>
    <n v="1025"/>
    <s v="Customer_34"/>
    <s v="Corporate"/>
    <s v="South"/>
    <s v="Furniture"/>
    <s v="Product_C"/>
    <n v="3312"/>
    <n v="6"/>
    <n v="0.18"/>
    <n v="1603"/>
    <s v="UPI"/>
    <n v="16295.04"/>
    <x v="7"/>
    <n v="2024"/>
    <x v="2"/>
    <n v="9.8373492792898934E-2"/>
    <n v="3576.96"/>
    <s v="High"/>
    <s v="Repeat"/>
    <s v="Above Avg"/>
    <s v="Profit"/>
    <n v="119"/>
  </r>
  <r>
    <n v="242"/>
    <x v="241"/>
    <n v="1017"/>
    <s v="Customer_127"/>
    <s v="Corporate"/>
    <s v="South"/>
    <s v="Electronics"/>
    <s v="Product_B"/>
    <n v="2687"/>
    <n v="2"/>
    <n v="0.15"/>
    <n v="564"/>
    <s v="UPI"/>
    <n v="4567.8999999999996"/>
    <x v="7"/>
    <n v="2024"/>
    <x v="2"/>
    <n v="0.12347030364062261"/>
    <n v="806.1"/>
    <s v="Medium"/>
    <s v="Repeat"/>
    <s v="Below Avg"/>
    <s v="Profit"/>
    <n v="336"/>
  </r>
  <r>
    <n v="243"/>
    <x v="242"/>
    <n v="1058"/>
    <s v="Customer_134"/>
    <s v="Corporate"/>
    <s v="North"/>
    <s v="Furniture"/>
    <s v="Product_B"/>
    <n v="4904"/>
    <n v="7"/>
    <n v="0.23"/>
    <n v="984"/>
    <s v="Card"/>
    <n v="26432.560000000001"/>
    <x v="7"/>
    <n v="2024"/>
    <x v="2"/>
    <n v="3.7226814201878289E-2"/>
    <n v="7895.4400000000005"/>
    <s v="High"/>
    <s v="Repeat"/>
    <s v="Above Avg"/>
    <s v="Profit"/>
    <n v="38"/>
  </r>
  <r>
    <n v="244"/>
    <x v="243"/>
    <n v="1066"/>
    <s v="Customer_103"/>
    <s v="Consumer"/>
    <s v="North"/>
    <s v="Electronics"/>
    <s v="Product_D"/>
    <n v="1799"/>
    <n v="2"/>
    <n v="0.05"/>
    <n v="241"/>
    <s v="Card"/>
    <n v="3418.1"/>
    <x v="7"/>
    <n v="2024"/>
    <x v="2"/>
    <n v="7.0507006816652534E-2"/>
    <n v="179.9"/>
    <s v="Medium"/>
    <s v="Repeat"/>
    <s v="Below Avg"/>
    <s v="Profit"/>
    <n v="380"/>
  </r>
  <r>
    <n v="245"/>
    <x v="244"/>
    <n v="1045"/>
    <s v="Customer_87"/>
    <s v="Consumer"/>
    <s v="West"/>
    <s v="Clothing"/>
    <s v="Product_A"/>
    <n v="247"/>
    <n v="7"/>
    <n v="0.02"/>
    <n v="452"/>
    <s v="UPI"/>
    <n v="1694.42"/>
    <x v="8"/>
    <n v="2024"/>
    <x v="2"/>
    <n v="0.26675794667201758"/>
    <n v="34.58"/>
    <s v="Low"/>
    <s v="Repeat"/>
    <s v="Below Avg"/>
    <s v="Profit"/>
    <n v="447"/>
  </r>
  <r>
    <n v="246"/>
    <x v="245"/>
    <n v="1010"/>
    <s v="Customer_181"/>
    <s v="Corporate"/>
    <s v="East"/>
    <s v="Furniture"/>
    <s v="Product_C"/>
    <n v="3111"/>
    <n v="1"/>
    <n v="0.04"/>
    <n v="120"/>
    <s v="Card"/>
    <n v="2986.56"/>
    <x v="8"/>
    <n v="2024"/>
    <x v="2"/>
    <n v="4.0180006428801027E-2"/>
    <n v="124.44"/>
    <s v="Medium"/>
    <s v="Repeat"/>
    <s v="Below Avg"/>
    <s v="Profit"/>
    <n v="394"/>
  </r>
  <r>
    <n v="247"/>
    <x v="246"/>
    <n v="1008"/>
    <s v="Customer_114"/>
    <s v="Corporate"/>
    <s v="North"/>
    <s v="Electronics"/>
    <s v="Product_B"/>
    <n v="1629"/>
    <n v="6"/>
    <n v="0.17"/>
    <n v="1561"/>
    <s v="UPI"/>
    <n v="8112.4199999999901"/>
    <x v="8"/>
    <n v="2024"/>
    <x v="2"/>
    <n v="0.19242100384348959"/>
    <n v="1661.5800000000002"/>
    <s v="High"/>
    <s v="Repeat"/>
    <s v="Below Avg"/>
    <s v="Profit"/>
    <n v="247"/>
  </r>
  <r>
    <n v="248"/>
    <x v="247"/>
    <n v="1096"/>
    <s v="Customer_149"/>
    <s v="Corporate"/>
    <s v="East"/>
    <s v="Electronics"/>
    <s v="Product_A"/>
    <n v="4607"/>
    <n v="8"/>
    <n v="7.0000000000000007E-2"/>
    <n v="746"/>
    <s v="UPI"/>
    <n v="34276.0799999999"/>
    <x v="8"/>
    <n v="2024"/>
    <x v="2"/>
    <n v="2.1764449143542731E-2"/>
    <n v="2579.92"/>
    <s v="High"/>
    <s v="Repeat"/>
    <s v="Above Avg"/>
    <s v="Profit"/>
    <n v="13"/>
  </r>
  <r>
    <n v="249"/>
    <x v="248"/>
    <n v="1025"/>
    <s v="Customer_99"/>
    <s v="Corporate"/>
    <s v="West"/>
    <s v="Clothing"/>
    <s v="Product_A"/>
    <n v="217"/>
    <n v="4"/>
    <n v="0.22"/>
    <n v="-1"/>
    <s v="COD"/>
    <n v="677.04"/>
    <x v="8"/>
    <n v="2024"/>
    <x v="2"/>
    <n v="-1.4770176060498641E-3"/>
    <n v="190.96"/>
    <s v="Low"/>
    <s v="Repeat"/>
    <s v="Below Avg"/>
    <s v="Loss"/>
    <n v="485"/>
  </r>
  <r>
    <n v="250"/>
    <x v="249"/>
    <n v="1099"/>
    <s v="Customer_157"/>
    <s v="Corporate"/>
    <s v="East"/>
    <s v="Electronics"/>
    <s v="Product_A"/>
    <n v="4979"/>
    <n v="2"/>
    <n v="0.02"/>
    <n v="1538"/>
    <s v="COD"/>
    <n v="9758.84"/>
    <x v="8"/>
    <n v="2024"/>
    <x v="2"/>
    <n v="0.15760069844366748"/>
    <n v="199.16"/>
    <s v="High"/>
    <s v="Repeat"/>
    <s v="Below Avg"/>
    <s v="Profit"/>
    <n v="208"/>
  </r>
  <r>
    <n v="251"/>
    <x v="250"/>
    <n v="1067"/>
    <s v="Customer_2"/>
    <s v="Consumer"/>
    <s v="South"/>
    <s v="Furniture"/>
    <s v="Product_A"/>
    <n v="586"/>
    <n v="9"/>
    <n v="0.27"/>
    <n v="781"/>
    <s v="COD"/>
    <n v="3850.02"/>
    <x v="8"/>
    <n v="2024"/>
    <x v="2"/>
    <n v="0.20285608905927763"/>
    <n v="1423.98"/>
    <s v="Medium"/>
    <s v="Repeat"/>
    <s v="Below Avg"/>
    <s v="Profit"/>
    <n v="360"/>
  </r>
  <r>
    <n v="252"/>
    <x v="251"/>
    <n v="1065"/>
    <s v="Customer_97"/>
    <s v="Consumer"/>
    <s v="West"/>
    <s v="Furniture"/>
    <s v="Product_C"/>
    <n v="1335"/>
    <n v="6"/>
    <n v="0.28999999999999998"/>
    <n v="598"/>
    <s v="Card"/>
    <n v="5687.0999999999904"/>
    <x v="8"/>
    <n v="2024"/>
    <x v="2"/>
    <n v="0.10515025232543845"/>
    <n v="2322.8999999999996"/>
    <s v="High"/>
    <s v="Repeat"/>
    <s v="Below Avg"/>
    <s v="Profit"/>
    <n v="304"/>
  </r>
  <r>
    <n v="253"/>
    <x v="252"/>
    <n v="1007"/>
    <s v="Customer_26"/>
    <s v="Consumer"/>
    <s v="South"/>
    <s v="Electronics"/>
    <s v="Product_A"/>
    <n v="2947"/>
    <n v="2"/>
    <n v="0.24"/>
    <n v="48"/>
    <s v="COD"/>
    <n v="4479.4399999999996"/>
    <x v="8"/>
    <n v="2024"/>
    <x v="2"/>
    <n v="1.0715625167431644E-2"/>
    <n v="1414.56"/>
    <s v="Medium"/>
    <s v="Repeat"/>
    <s v="Below Avg"/>
    <s v="Profit"/>
    <n v="339"/>
  </r>
  <r>
    <n v="254"/>
    <x v="253"/>
    <n v="1070"/>
    <s v="Customer_44"/>
    <s v="Corporate"/>
    <s v="East"/>
    <s v="Electronics"/>
    <s v="Product_C"/>
    <n v="1121"/>
    <n v="5"/>
    <n v="0.26"/>
    <n v="1771"/>
    <s v="COD"/>
    <n v="4147.7"/>
    <x v="8"/>
    <n v="2024"/>
    <x v="2"/>
    <n v="0.42698362948139934"/>
    <n v="1457.3"/>
    <s v="Medium"/>
    <s v="Repeat"/>
    <s v="Below Avg"/>
    <s v="Profit"/>
    <n v="347"/>
  </r>
  <r>
    <n v="255"/>
    <x v="254"/>
    <n v="1099"/>
    <s v="Customer_18"/>
    <s v="Consumer"/>
    <s v="South"/>
    <s v="Electronics"/>
    <s v="Product_B"/>
    <n v="2319"/>
    <n v="7"/>
    <n v="0.11"/>
    <n v="-105"/>
    <s v="UPI"/>
    <n v="14447.37"/>
    <x v="8"/>
    <n v="2024"/>
    <x v="2"/>
    <n v="-7.2677587685509538E-3"/>
    <n v="1785.63"/>
    <s v="High"/>
    <s v="Repeat"/>
    <s v="Above Avg"/>
    <s v="Loss"/>
    <n v="143"/>
  </r>
  <r>
    <n v="256"/>
    <x v="255"/>
    <n v="1097"/>
    <s v="Customer_98"/>
    <s v="Corporate"/>
    <s v="South"/>
    <s v="Clothing"/>
    <s v="Product_C"/>
    <n v="3265"/>
    <n v="3"/>
    <n v="0.05"/>
    <n v="1937"/>
    <s v="Card"/>
    <n v="9305.25"/>
    <x v="8"/>
    <n v="2024"/>
    <x v="2"/>
    <n v="0.20816205905268531"/>
    <n v="489.75"/>
    <s v="High"/>
    <s v="Repeat"/>
    <s v="Below Avg"/>
    <s v="Profit"/>
    <n v="225"/>
  </r>
  <r>
    <n v="257"/>
    <x v="256"/>
    <n v="1039"/>
    <s v="Customer_30"/>
    <s v="Corporate"/>
    <s v="West"/>
    <s v="Furniture"/>
    <s v="Product_A"/>
    <n v="3199"/>
    <n v="1"/>
    <n v="0.06"/>
    <n v="1657"/>
    <s v="Card"/>
    <n v="3007.06"/>
    <x v="8"/>
    <n v="2024"/>
    <x v="2"/>
    <n v="0.55103656062732376"/>
    <n v="191.94"/>
    <s v="Medium"/>
    <s v="Repeat"/>
    <s v="Below Avg"/>
    <s v="Profit"/>
    <n v="392"/>
  </r>
  <r>
    <n v="258"/>
    <x v="257"/>
    <n v="1082"/>
    <s v="Customer_108"/>
    <s v="Corporate"/>
    <s v="South"/>
    <s v="Electronics"/>
    <s v="Product_B"/>
    <n v="316"/>
    <n v="5"/>
    <n v="0.15"/>
    <n v="897"/>
    <s v="UPI"/>
    <n v="1343"/>
    <x v="8"/>
    <n v="2024"/>
    <x v="2"/>
    <n v="0.66790766939687263"/>
    <n v="237"/>
    <s v="Low"/>
    <s v="Repeat"/>
    <s v="Below Avg"/>
    <s v="Profit"/>
    <n v="465"/>
  </r>
  <r>
    <n v="259"/>
    <x v="258"/>
    <n v="1092"/>
    <s v="Customer_23"/>
    <s v="Consumer"/>
    <s v="South"/>
    <s v="Furniture"/>
    <s v="Product_C"/>
    <n v="4046"/>
    <n v="5"/>
    <n v="0.2"/>
    <n v="-246"/>
    <s v="COD"/>
    <n v="16184"/>
    <x v="8"/>
    <n v="2024"/>
    <x v="2"/>
    <n v="-1.5200197726149283E-2"/>
    <n v="4046"/>
    <s v="High"/>
    <s v="Repeat"/>
    <s v="Above Avg"/>
    <s v="Loss"/>
    <n v="122"/>
  </r>
  <r>
    <n v="260"/>
    <x v="259"/>
    <n v="1038"/>
    <s v="Customer_48"/>
    <s v="Corporate"/>
    <s v="West"/>
    <s v="Clothing"/>
    <s v="Product_C"/>
    <n v="2805"/>
    <n v="7"/>
    <n v="0.17"/>
    <n v="1777"/>
    <s v="Card"/>
    <n v="16297.05"/>
    <x v="8"/>
    <n v="2024"/>
    <x v="2"/>
    <n v="0.10903813880426212"/>
    <n v="3337.9500000000003"/>
    <s v="High"/>
    <s v="Repeat"/>
    <s v="Above Avg"/>
    <s v="Profit"/>
    <n v="118"/>
  </r>
  <r>
    <n v="261"/>
    <x v="260"/>
    <n v="1005"/>
    <s v="Customer_183"/>
    <s v="Corporate"/>
    <s v="South"/>
    <s v="Clothing"/>
    <s v="Product_B"/>
    <n v="1983"/>
    <n v="6"/>
    <n v="0.03"/>
    <n v="722"/>
    <s v="UPI"/>
    <n v="11541.06"/>
    <x v="8"/>
    <n v="2024"/>
    <x v="2"/>
    <n v="6.2559244991361285E-2"/>
    <n v="356.94"/>
    <s v="High"/>
    <s v="Repeat"/>
    <s v="Above Avg"/>
    <s v="Profit"/>
    <n v="180"/>
  </r>
  <r>
    <n v="262"/>
    <x v="261"/>
    <n v="1009"/>
    <s v="Customer_127"/>
    <s v="Corporate"/>
    <s v="East"/>
    <s v="Furniture"/>
    <s v="Product_C"/>
    <n v="1606"/>
    <n v="1"/>
    <n v="0.22"/>
    <n v="1195"/>
    <s v="COD"/>
    <n v="1252.68"/>
    <x v="8"/>
    <n v="2024"/>
    <x v="2"/>
    <n v="0.95395472107800872"/>
    <n v="353.32"/>
    <s v="Low"/>
    <s v="Repeat"/>
    <s v="Below Avg"/>
    <s v="Profit"/>
    <n v="468"/>
  </r>
  <r>
    <n v="263"/>
    <x v="262"/>
    <n v="1040"/>
    <s v="Customer_23"/>
    <s v="Corporate"/>
    <s v="South"/>
    <s v="Clothing"/>
    <s v="Product_D"/>
    <n v="4264"/>
    <n v="1"/>
    <n v="0.24"/>
    <n v="-20"/>
    <s v="UPI"/>
    <n v="3240.64"/>
    <x v="8"/>
    <n v="2024"/>
    <x v="2"/>
    <n v="-6.1716204206576485E-3"/>
    <n v="1023.36"/>
    <s v="Medium"/>
    <s v="Repeat"/>
    <s v="Below Avg"/>
    <s v="Loss"/>
    <n v="386"/>
  </r>
  <r>
    <n v="264"/>
    <x v="263"/>
    <n v="1068"/>
    <s v="Customer_40"/>
    <s v="Corporate"/>
    <s v="East"/>
    <s v="Furniture"/>
    <s v="Product_A"/>
    <n v="2397"/>
    <n v="7"/>
    <n v="0.01"/>
    <n v="-217"/>
    <s v="COD"/>
    <n v="16611.21"/>
    <x v="8"/>
    <n v="2024"/>
    <x v="2"/>
    <n v="-1.3063467381364754E-2"/>
    <n v="167.79"/>
    <s v="High"/>
    <s v="Repeat"/>
    <s v="Above Avg"/>
    <s v="Loss"/>
    <n v="113"/>
  </r>
  <r>
    <n v="265"/>
    <x v="264"/>
    <n v="1087"/>
    <s v="Customer_64"/>
    <s v="Corporate"/>
    <s v="West"/>
    <s v="Furniture"/>
    <s v="Product_B"/>
    <n v="1811"/>
    <n v="2"/>
    <n v="0.14000000000000001"/>
    <n v="1730"/>
    <s v="UPI"/>
    <n v="3114.92"/>
    <x v="8"/>
    <n v="2024"/>
    <x v="2"/>
    <n v="0.55539147072798012"/>
    <n v="507.08000000000004"/>
    <s v="Medium"/>
    <s v="Repeat"/>
    <s v="Below Avg"/>
    <s v="Profit"/>
    <n v="389"/>
  </r>
  <r>
    <n v="266"/>
    <x v="265"/>
    <n v="1021"/>
    <s v="Customer_72"/>
    <s v="Corporate"/>
    <s v="West"/>
    <s v="Electronics"/>
    <s v="Product_A"/>
    <n v="1107"/>
    <n v="9"/>
    <n v="0.13"/>
    <n v="655"/>
    <s v="Card"/>
    <n v="8667.81"/>
    <x v="8"/>
    <n v="2024"/>
    <x v="2"/>
    <n v="7.5566954051830865E-2"/>
    <n v="1295.19"/>
    <s v="High"/>
    <s v="Repeat"/>
    <s v="Below Avg"/>
    <s v="Profit"/>
    <n v="235"/>
  </r>
  <r>
    <n v="267"/>
    <x v="266"/>
    <n v="1089"/>
    <s v="Customer_142"/>
    <s v="Consumer"/>
    <s v="South"/>
    <s v="Electronics"/>
    <s v="Product_D"/>
    <n v="2696"/>
    <n v="9"/>
    <n v="0.02"/>
    <n v="445"/>
    <s v="Card"/>
    <n v="23778.720000000001"/>
    <x v="8"/>
    <n v="2024"/>
    <x v="2"/>
    <n v="1.8714211698527085E-2"/>
    <n v="485.28000000000003"/>
    <s v="High"/>
    <s v="Repeat"/>
    <s v="Above Avg"/>
    <s v="Profit"/>
    <n v="53"/>
  </r>
  <r>
    <n v="268"/>
    <x v="267"/>
    <n v="1050"/>
    <s v="Customer_124"/>
    <s v="Corporate"/>
    <s v="West"/>
    <s v="Furniture"/>
    <s v="Product_B"/>
    <n v="3486"/>
    <n v="4"/>
    <n v="0.05"/>
    <n v="1943"/>
    <s v="COD"/>
    <n v="13246.8"/>
    <x v="8"/>
    <n v="2024"/>
    <x v="2"/>
    <n v="0.14667693329709819"/>
    <n v="697.2"/>
    <s v="High"/>
    <s v="Repeat"/>
    <s v="Above Avg"/>
    <s v="Profit"/>
    <n v="158"/>
  </r>
  <r>
    <n v="269"/>
    <x v="268"/>
    <n v="1036"/>
    <s v="Customer_110"/>
    <s v="Corporate"/>
    <s v="West"/>
    <s v="Electronics"/>
    <s v="Product_A"/>
    <n v="1882"/>
    <n v="3"/>
    <n v="0.24"/>
    <n v="1096"/>
    <s v="COD"/>
    <n v="4290.96"/>
    <x v="8"/>
    <n v="2024"/>
    <x v="2"/>
    <n v="0.25542069839849357"/>
    <n v="1355.04"/>
    <s v="Medium"/>
    <s v="Repeat"/>
    <s v="Below Avg"/>
    <s v="Profit"/>
    <n v="342"/>
  </r>
  <r>
    <n v="270"/>
    <x v="269"/>
    <n v="1044"/>
    <s v="Customer_78"/>
    <s v="Corporate"/>
    <s v="North"/>
    <s v="Furniture"/>
    <s v="Product_C"/>
    <n v="4244"/>
    <n v="8"/>
    <n v="0.18"/>
    <n v="1997"/>
    <s v="UPI"/>
    <n v="27840.639999999999"/>
    <x v="8"/>
    <n v="2024"/>
    <x v="2"/>
    <n v="7.1729672881083201E-2"/>
    <n v="6111.36"/>
    <s v="High"/>
    <s v="Repeat"/>
    <s v="Above Avg"/>
    <s v="Profit"/>
    <n v="33"/>
  </r>
  <r>
    <n v="271"/>
    <x v="270"/>
    <n v="1092"/>
    <s v="Customer_2"/>
    <s v="Consumer"/>
    <s v="East"/>
    <s v="Clothing"/>
    <s v="Product_D"/>
    <n v="2461"/>
    <n v="4"/>
    <n v="7.0000000000000007E-2"/>
    <n v="1327"/>
    <s v="Card"/>
    <n v="9154.92"/>
    <x v="8"/>
    <n v="2024"/>
    <x v="2"/>
    <n v="0.14494938240858468"/>
    <n v="689.08"/>
    <s v="High"/>
    <s v="Repeat"/>
    <s v="Below Avg"/>
    <s v="Profit"/>
    <n v="228"/>
  </r>
  <r>
    <n v="272"/>
    <x v="271"/>
    <n v="1099"/>
    <s v="Customer_122"/>
    <s v="Corporate"/>
    <s v="South"/>
    <s v="Electronics"/>
    <s v="Product_B"/>
    <n v="4549"/>
    <n v="3"/>
    <n v="0.14000000000000001"/>
    <n v="1353"/>
    <s v="COD"/>
    <n v="11736.42"/>
    <x v="8"/>
    <n v="2024"/>
    <x v="2"/>
    <n v="0.11528217292837169"/>
    <n v="1910.5800000000002"/>
    <s v="High"/>
    <s v="Repeat"/>
    <s v="Above Avg"/>
    <s v="Profit"/>
    <n v="176"/>
  </r>
  <r>
    <n v="273"/>
    <x v="272"/>
    <n v="1083"/>
    <s v="Customer_4"/>
    <s v="Corporate"/>
    <s v="South"/>
    <s v="Furniture"/>
    <s v="Product_D"/>
    <n v="1134"/>
    <n v="3"/>
    <n v="0.26"/>
    <n v="1911"/>
    <s v="UPI"/>
    <n v="2517.48"/>
    <x v="8"/>
    <n v="2024"/>
    <x v="2"/>
    <n v="0.75909242575909242"/>
    <n v="884.52"/>
    <s v="Medium"/>
    <s v="Repeat"/>
    <s v="Below Avg"/>
    <s v="Profit"/>
    <n v="409"/>
  </r>
  <r>
    <n v="274"/>
    <x v="273"/>
    <n v="1081"/>
    <s v="Customer_100"/>
    <s v="Consumer"/>
    <s v="West"/>
    <s v="Electronics"/>
    <s v="Product_C"/>
    <n v="3921"/>
    <n v="3"/>
    <n v="0.03"/>
    <n v="-471"/>
    <s v="COD"/>
    <n v="11410.11"/>
    <x v="8"/>
    <n v="2024"/>
    <x v="2"/>
    <n v="-4.1279181357585508E-2"/>
    <n v="352.89"/>
    <s v="High"/>
    <s v="Repeat"/>
    <s v="Above Avg"/>
    <s v="Loss"/>
    <n v="182"/>
  </r>
  <r>
    <n v="275"/>
    <x v="274"/>
    <n v="1061"/>
    <s v="Customer_9"/>
    <s v="Consumer"/>
    <s v="North"/>
    <s v="Electronics"/>
    <s v="Product_C"/>
    <n v="3876"/>
    <n v="1"/>
    <n v="0.28999999999999998"/>
    <n v="71"/>
    <s v="UPI"/>
    <n v="2751.96"/>
    <x v="9"/>
    <n v="2024"/>
    <x v="3"/>
    <n v="2.5799793601651185E-2"/>
    <n v="1124.04"/>
    <s v="Medium"/>
    <s v="Repeat"/>
    <s v="Below Avg"/>
    <s v="Profit"/>
    <n v="401"/>
  </r>
  <r>
    <n v="276"/>
    <x v="275"/>
    <n v="1014"/>
    <s v="Customer_16"/>
    <s v="Corporate"/>
    <s v="West"/>
    <s v="Furniture"/>
    <s v="Product_B"/>
    <n v="4808"/>
    <n v="5"/>
    <n v="0.04"/>
    <n v="860"/>
    <s v="COD"/>
    <n v="23078.3999999999"/>
    <x v="9"/>
    <n v="2024"/>
    <x v="3"/>
    <n v="3.7264281752634659E-2"/>
    <n v="961.6"/>
    <s v="High"/>
    <s v="Repeat"/>
    <s v="Above Avg"/>
    <s v="Profit"/>
    <n v="58"/>
  </r>
  <r>
    <n v="277"/>
    <x v="276"/>
    <n v="1078"/>
    <s v="Customer_96"/>
    <s v="Consumer"/>
    <s v="South"/>
    <s v="Furniture"/>
    <s v="Product_B"/>
    <n v="1839"/>
    <n v="2"/>
    <n v="0.09"/>
    <n v="1136"/>
    <s v="COD"/>
    <n v="3346.98"/>
    <x v="9"/>
    <n v="2024"/>
    <x v="3"/>
    <n v="0.33941045360294952"/>
    <n v="331.02"/>
    <s v="Medium"/>
    <s v="Repeat"/>
    <s v="Below Avg"/>
    <s v="Profit"/>
    <n v="384"/>
  </r>
  <r>
    <n v="278"/>
    <x v="277"/>
    <n v="1023"/>
    <s v="Customer_160"/>
    <s v="Consumer"/>
    <s v="West"/>
    <s v="Furniture"/>
    <s v="Product_D"/>
    <n v="535"/>
    <n v="7"/>
    <n v="0.05"/>
    <n v="-213"/>
    <s v="COD"/>
    <n v="3557.75"/>
    <x v="9"/>
    <n v="2024"/>
    <x v="3"/>
    <n v="-5.9869299416766213E-2"/>
    <n v="187.25"/>
    <s v="Medium"/>
    <s v="Repeat"/>
    <s v="Below Avg"/>
    <s v="Loss"/>
    <n v="374"/>
  </r>
  <r>
    <n v="279"/>
    <x v="278"/>
    <n v="1062"/>
    <s v="Customer_27"/>
    <s v="Corporate"/>
    <s v="North"/>
    <s v="Electronics"/>
    <s v="Product_B"/>
    <n v="592"/>
    <n v="4"/>
    <n v="0.14000000000000001"/>
    <n v="549"/>
    <s v="COD"/>
    <n v="2036.48"/>
    <x v="9"/>
    <n v="2024"/>
    <x v="3"/>
    <n v="0.26958280955373981"/>
    <n v="331.52000000000004"/>
    <s v="Medium"/>
    <s v="Repeat"/>
    <s v="Below Avg"/>
    <s v="Profit"/>
    <n v="428"/>
  </r>
  <r>
    <n v="280"/>
    <x v="279"/>
    <n v="1028"/>
    <s v="Customer_15"/>
    <s v="Consumer"/>
    <s v="West"/>
    <s v="Electronics"/>
    <s v="Product_A"/>
    <n v="4041"/>
    <n v="2"/>
    <n v="0.09"/>
    <n v="-358"/>
    <s v="UPI"/>
    <n v="7354.62"/>
    <x v="9"/>
    <n v="2024"/>
    <x v="3"/>
    <n v="-4.8676886093367164E-2"/>
    <n v="727.38"/>
    <s v="High"/>
    <s v="Repeat"/>
    <s v="Below Avg"/>
    <s v="Loss"/>
    <n v="267"/>
  </r>
  <r>
    <n v="281"/>
    <x v="280"/>
    <n v="1080"/>
    <s v="Customer_68"/>
    <s v="Consumer"/>
    <s v="North"/>
    <s v="Furniture"/>
    <s v="Product_D"/>
    <n v="2216"/>
    <n v="8"/>
    <n v="0.3"/>
    <n v="618"/>
    <s v="COD"/>
    <n v="12409.5999999999"/>
    <x v="9"/>
    <n v="2024"/>
    <x v="3"/>
    <n v="4.9800154718927681E-2"/>
    <n v="5318.4"/>
    <s v="High"/>
    <s v="Repeat"/>
    <s v="Above Avg"/>
    <s v="Profit"/>
    <n v="164"/>
  </r>
  <r>
    <n v="282"/>
    <x v="281"/>
    <n v="1024"/>
    <s v="Customer_25"/>
    <s v="Consumer"/>
    <s v="North"/>
    <s v="Furniture"/>
    <s v="Product_A"/>
    <n v="2168"/>
    <n v="8"/>
    <n v="0"/>
    <n v="853"/>
    <s v="Card"/>
    <n v="17344"/>
    <x v="9"/>
    <n v="2024"/>
    <x v="3"/>
    <n v="4.9181273062730631E-2"/>
    <n v="0"/>
    <s v="High"/>
    <s v="Repeat"/>
    <s v="Above Avg"/>
    <s v="Profit"/>
    <n v="101"/>
  </r>
  <r>
    <n v="283"/>
    <x v="282"/>
    <n v="1015"/>
    <s v="Customer_15"/>
    <s v="Consumer"/>
    <s v="West"/>
    <s v="Clothing"/>
    <s v="Product_D"/>
    <n v="1828"/>
    <n v="1"/>
    <n v="0.1"/>
    <n v="892"/>
    <s v="COD"/>
    <n v="1645.2"/>
    <x v="9"/>
    <n v="2024"/>
    <x v="3"/>
    <n v="0.54218332117675661"/>
    <n v="182.8"/>
    <s v="Low"/>
    <s v="Repeat"/>
    <s v="Below Avg"/>
    <s v="Profit"/>
    <n v="450"/>
  </r>
  <r>
    <n v="284"/>
    <x v="283"/>
    <n v="1049"/>
    <s v="Customer_12"/>
    <s v="Corporate"/>
    <s v="South"/>
    <s v="Electronics"/>
    <s v="Product_B"/>
    <n v="2743"/>
    <n v="5"/>
    <n v="0.18"/>
    <n v="-288"/>
    <s v="COD"/>
    <n v="11246.3"/>
    <x v="9"/>
    <n v="2024"/>
    <x v="3"/>
    <n v="-2.5608422325564855E-2"/>
    <n v="2468.6999999999998"/>
    <s v="High"/>
    <s v="Repeat"/>
    <s v="Above Avg"/>
    <s v="Loss"/>
    <n v="187"/>
  </r>
  <r>
    <n v="285"/>
    <x v="284"/>
    <n v="1080"/>
    <s v="Customer_71"/>
    <s v="Corporate"/>
    <s v="North"/>
    <s v="Clothing"/>
    <s v="Product_C"/>
    <n v="3747"/>
    <n v="2"/>
    <n v="0.1"/>
    <n v="-334"/>
    <s v="Card"/>
    <n v="6744.6"/>
    <x v="9"/>
    <n v="2024"/>
    <x v="3"/>
    <n v="-4.9521098360169616E-2"/>
    <n v="749.40000000000009"/>
    <s v="High"/>
    <s v="Repeat"/>
    <s v="Below Avg"/>
    <s v="Loss"/>
    <n v="281"/>
  </r>
  <r>
    <n v="286"/>
    <x v="285"/>
    <n v="1084"/>
    <s v="Customer_152"/>
    <s v="Corporate"/>
    <s v="South"/>
    <s v="Electronics"/>
    <s v="Product_C"/>
    <n v="3612"/>
    <n v="9"/>
    <n v="0.14000000000000001"/>
    <n v="74"/>
    <s v="COD"/>
    <n v="27956.880000000001"/>
    <x v="9"/>
    <n v="2024"/>
    <x v="3"/>
    <n v="2.6469334203244425E-3"/>
    <n v="4551.1200000000008"/>
    <s v="High"/>
    <s v="Repeat"/>
    <s v="Above Avg"/>
    <s v="Profit"/>
    <n v="31"/>
  </r>
  <r>
    <n v="287"/>
    <x v="286"/>
    <n v="1090"/>
    <s v="Customer_70"/>
    <s v="Corporate"/>
    <s v="North"/>
    <s v="Electronics"/>
    <s v="Product_D"/>
    <n v="1459"/>
    <n v="2"/>
    <n v="0.13"/>
    <n v="-190"/>
    <s v="UPI"/>
    <n v="2538.66"/>
    <x v="9"/>
    <n v="2024"/>
    <x v="3"/>
    <n v="-7.4842633515319112E-2"/>
    <n v="379.34000000000003"/>
    <s v="Medium"/>
    <s v="Repeat"/>
    <s v="Below Avg"/>
    <s v="Loss"/>
    <n v="408"/>
  </r>
  <r>
    <n v="288"/>
    <x v="287"/>
    <n v="1004"/>
    <s v="Customer_112"/>
    <s v="Corporate"/>
    <s v="South"/>
    <s v="Electronics"/>
    <s v="Product_A"/>
    <n v="2607"/>
    <n v="7"/>
    <n v="0.03"/>
    <n v="431"/>
    <s v="UPI"/>
    <n v="17701.53"/>
    <x v="9"/>
    <n v="2024"/>
    <x v="3"/>
    <n v="2.4348177812878322E-2"/>
    <n v="547.47"/>
    <s v="High"/>
    <s v="Repeat"/>
    <s v="Above Avg"/>
    <s v="Profit"/>
    <n v="93"/>
  </r>
  <r>
    <n v="289"/>
    <x v="288"/>
    <n v="1021"/>
    <s v="Customer_169"/>
    <s v="Consumer"/>
    <s v="South"/>
    <s v="Furniture"/>
    <s v="Product_C"/>
    <n v="3261"/>
    <n v="2"/>
    <n v="0.19"/>
    <n v="1891"/>
    <s v="COD"/>
    <n v="5282.82"/>
    <x v="9"/>
    <n v="2024"/>
    <x v="3"/>
    <n v="0.35795276007889726"/>
    <n v="1239.18"/>
    <s v="High"/>
    <s v="Repeat"/>
    <s v="Below Avg"/>
    <s v="Profit"/>
    <n v="317"/>
  </r>
  <r>
    <n v="290"/>
    <x v="289"/>
    <n v="1032"/>
    <s v="Customer_60"/>
    <s v="Corporate"/>
    <s v="West"/>
    <s v="Furniture"/>
    <s v="Product_D"/>
    <n v="3495"/>
    <n v="2"/>
    <n v="0.25"/>
    <n v="1055"/>
    <s v="UPI"/>
    <n v="5242.5"/>
    <x v="9"/>
    <n v="2024"/>
    <x v="3"/>
    <n v="0.20123986647591799"/>
    <n v="1747.5"/>
    <s v="High"/>
    <s v="Repeat"/>
    <s v="Below Avg"/>
    <s v="Profit"/>
    <n v="318"/>
  </r>
  <r>
    <n v="291"/>
    <x v="290"/>
    <n v="1039"/>
    <s v="Customer_31"/>
    <s v="Consumer"/>
    <s v="West"/>
    <s v="Furniture"/>
    <s v="Product_D"/>
    <n v="3159"/>
    <n v="1"/>
    <n v="0.16"/>
    <n v="528"/>
    <s v="COD"/>
    <n v="2653.56"/>
    <x v="9"/>
    <n v="2024"/>
    <x v="3"/>
    <n v="0.19897797675575454"/>
    <n v="505.44"/>
    <s v="Medium"/>
    <s v="Repeat"/>
    <s v="Below Avg"/>
    <s v="Profit"/>
    <n v="406"/>
  </r>
  <r>
    <n v="292"/>
    <x v="291"/>
    <n v="1001"/>
    <s v="Customer_149"/>
    <s v="Corporate"/>
    <s v="South"/>
    <s v="Furniture"/>
    <s v="Product_C"/>
    <n v="2792"/>
    <n v="1"/>
    <n v="0.04"/>
    <n v="1424"/>
    <s v="Card"/>
    <n v="2680.3199999999902"/>
    <x v="9"/>
    <n v="2024"/>
    <x v="3"/>
    <n v="0.53127984718242793"/>
    <n v="111.68"/>
    <s v="Medium"/>
    <s v="Repeat"/>
    <s v="Below Avg"/>
    <s v="Profit"/>
    <n v="404"/>
  </r>
  <r>
    <n v="293"/>
    <x v="292"/>
    <n v="1098"/>
    <s v="Customer_60"/>
    <s v="Corporate"/>
    <s v="West"/>
    <s v="Furniture"/>
    <s v="Product_C"/>
    <n v="462"/>
    <n v="9"/>
    <n v="0.14000000000000001"/>
    <n v="448"/>
    <s v="UPI"/>
    <n v="3575.88"/>
    <x v="9"/>
    <n v="2024"/>
    <x v="3"/>
    <n v="0.12528384621407876"/>
    <n v="582.12"/>
    <s v="Medium"/>
    <s v="Repeat"/>
    <s v="Below Avg"/>
    <s v="Profit"/>
    <n v="372"/>
  </r>
  <r>
    <n v="294"/>
    <x v="293"/>
    <n v="1082"/>
    <s v="Customer_75"/>
    <s v="Corporate"/>
    <s v="North"/>
    <s v="Electronics"/>
    <s v="Product_A"/>
    <n v="373"/>
    <n v="2"/>
    <n v="0"/>
    <n v="509"/>
    <s v="COD"/>
    <n v="746"/>
    <x v="9"/>
    <n v="2024"/>
    <x v="3"/>
    <n v="0.68230563002680966"/>
    <n v="0"/>
    <s v="Low"/>
    <s v="Repeat"/>
    <s v="Below Avg"/>
    <s v="Profit"/>
    <n v="483"/>
  </r>
  <r>
    <n v="295"/>
    <x v="294"/>
    <n v="1090"/>
    <s v="Customer_14"/>
    <s v="Corporate"/>
    <s v="South"/>
    <s v="Clothing"/>
    <s v="Product_B"/>
    <n v="4106"/>
    <n v="3"/>
    <n v="0.27"/>
    <n v="1883"/>
    <s v="UPI"/>
    <n v="8992.14"/>
    <x v="9"/>
    <n v="2024"/>
    <x v="3"/>
    <n v="0.20940510267856152"/>
    <n v="3325.86"/>
    <s v="High"/>
    <s v="Repeat"/>
    <s v="Below Avg"/>
    <s v="Profit"/>
    <n v="231"/>
  </r>
  <r>
    <n v="296"/>
    <x v="295"/>
    <n v="1035"/>
    <s v="Customer_102"/>
    <s v="Corporate"/>
    <s v="East"/>
    <s v="Clothing"/>
    <s v="Product_A"/>
    <n v="3188"/>
    <n v="9"/>
    <n v="7.0000000000000007E-2"/>
    <n v="956"/>
    <s v="COD"/>
    <n v="26683.559999999899"/>
    <x v="9"/>
    <n v="2024"/>
    <x v="3"/>
    <n v="3.5827303403294146E-2"/>
    <n v="2008.4400000000003"/>
    <s v="High"/>
    <s v="Repeat"/>
    <s v="Above Avg"/>
    <s v="Profit"/>
    <n v="35"/>
  </r>
  <r>
    <n v="297"/>
    <x v="296"/>
    <n v="1058"/>
    <s v="Customer_82"/>
    <s v="Consumer"/>
    <s v="South"/>
    <s v="Clothing"/>
    <s v="Product_D"/>
    <n v="3427"/>
    <n v="6"/>
    <n v="0.27"/>
    <n v="803"/>
    <s v="Card"/>
    <n v="15010.26"/>
    <x v="9"/>
    <n v="2024"/>
    <x v="3"/>
    <n v="5.3496741562104856E-2"/>
    <n v="5551.7400000000007"/>
    <s v="High"/>
    <s v="Repeat"/>
    <s v="Above Avg"/>
    <s v="Profit"/>
    <n v="138"/>
  </r>
  <r>
    <n v="298"/>
    <x v="297"/>
    <n v="1038"/>
    <s v="Customer_14"/>
    <s v="Consumer"/>
    <s v="North"/>
    <s v="Clothing"/>
    <s v="Product_D"/>
    <n v="227"/>
    <n v="6"/>
    <n v="0.18"/>
    <n v="1807"/>
    <s v="COD"/>
    <n v="1116.8399999999999"/>
    <x v="9"/>
    <n v="2024"/>
    <x v="3"/>
    <n v="1.6179578095340426"/>
    <n v="245.16"/>
    <s v="Low"/>
    <s v="Repeat"/>
    <s v="Below Avg"/>
    <s v="Profit"/>
    <n v="475"/>
  </r>
  <r>
    <n v="299"/>
    <x v="298"/>
    <n v="1001"/>
    <s v="Customer_152"/>
    <s v="Corporate"/>
    <s v="North"/>
    <s v="Furniture"/>
    <s v="Product_B"/>
    <n v="3346"/>
    <n v="9"/>
    <n v="0.28999999999999998"/>
    <n v="784"/>
    <s v="UPI"/>
    <n v="21380.94"/>
    <x v="9"/>
    <n v="2024"/>
    <x v="3"/>
    <n v="3.6668172680901778E-2"/>
    <n v="8733.06"/>
    <s v="High"/>
    <s v="Repeat"/>
    <s v="Above Avg"/>
    <s v="Profit"/>
    <n v="72"/>
  </r>
  <r>
    <n v="300"/>
    <x v="299"/>
    <n v="1052"/>
    <s v="Customer_25"/>
    <s v="Corporate"/>
    <s v="North"/>
    <s v="Clothing"/>
    <s v="Product_A"/>
    <n v="1300"/>
    <n v="7"/>
    <n v="0.25"/>
    <n v="-190"/>
    <s v="UPI"/>
    <n v="6825"/>
    <x v="9"/>
    <n v="2024"/>
    <x v="3"/>
    <n v="-2.7838827838827841E-2"/>
    <n v="2275"/>
    <s v="High"/>
    <s v="Repeat"/>
    <s v="Below Avg"/>
    <s v="Loss"/>
    <n v="276"/>
  </r>
  <r>
    <n v="301"/>
    <x v="300"/>
    <n v="1017"/>
    <s v="Customer_109"/>
    <s v="Corporate"/>
    <s v="North"/>
    <s v="Clothing"/>
    <s v="Product_A"/>
    <n v="3165"/>
    <n v="3"/>
    <n v="0"/>
    <n v="286"/>
    <s v="Card"/>
    <n v="9495"/>
    <x v="9"/>
    <n v="2024"/>
    <x v="3"/>
    <n v="3.0121116377040548E-2"/>
    <n v="0"/>
    <s v="High"/>
    <s v="Repeat"/>
    <s v="Below Avg"/>
    <s v="Profit"/>
    <n v="216"/>
  </r>
  <r>
    <n v="302"/>
    <x v="301"/>
    <n v="1045"/>
    <s v="Customer_108"/>
    <s v="Corporate"/>
    <s v="South"/>
    <s v="Clothing"/>
    <s v="Product_A"/>
    <n v="4359"/>
    <n v="9"/>
    <n v="0"/>
    <n v="198"/>
    <s v="Card"/>
    <n v="39231"/>
    <x v="9"/>
    <n v="2024"/>
    <x v="3"/>
    <n v="5.0470291351227348E-3"/>
    <n v="0"/>
    <s v="High"/>
    <s v="Repeat"/>
    <s v="Above Avg"/>
    <s v="Profit"/>
    <n v="3"/>
  </r>
  <r>
    <n v="303"/>
    <x v="302"/>
    <n v="1022"/>
    <s v="Customer_156"/>
    <s v="Consumer"/>
    <s v="West"/>
    <s v="Electronics"/>
    <s v="Product_C"/>
    <n v="4615"/>
    <n v="4"/>
    <n v="0.22"/>
    <n v="247"/>
    <s v="COD"/>
    <n v="14398.8"/>
    <x v="9"/>
    <n v="2024"/>
    <x v="3"/>
    <n v="1.7154207295052366E-2"/>
    <n v="4061.2"/>
    <s v="High"/>
    <s v="Repeat"/>
    <s v="Above Avg"/>
    <s v="Profit"/>
    <n v="145"/>
  </r>
  <r>
    <n v="304"/>
    <x v="303"/>
    <n v="1053"/>
    <s v="Customer_88"/>
    <s v="Consumer"/>
    <s v="North"/>
    <s v="Clothing"/>
    <s v="Product_D"/>
    <n v="3662"/>
    <n v="3"/>
    <n v="0.16"/>
    <n v="1555"/>
    <s v="COD"/>
    <n v="9228.24"/>
    <x v="9"/>
    <n v="2024"/>
    <x v="3"/>
    <n v="0.16850450356731078"/>
    <n v="1757.76"/>
    <s v="High"/>
    <s v="New"/>
    <s v="Below Avg"/>
    <s v="Profit"/>
    <n v="226"/>
  </r>
  <r>
    <n v="305"/>
    <x v="304"/>
    <n v="1089"/>
    <s v="Customer_18"/>
    <s v="Corporate"/>
    <s v="South"/>
    <s v="Electronics"/>
    <s v="Product_A"/>
    <n v="170"/>
    <n v="9"/>
    <n v="0.23"/>
    <n v="291"/>
    <s v="COD"/>
    <n v="1178.0999999999999"/>
    <x v="9"/>
    <n v="2024"/>
    <x v="3"/>
    <n v="0.24700789406671761"/>
    <n v="351.90000000000003"/>
    <s v="Low"/>
    <s v="Repeat"/>
    <s v="Below Avg"/>
    <s v="Profit"/>
    <n v="470"/>
  </r>
  <r>
    <n v="306"/>
    <x v="305"/>
    <n v="1074"/>
    <s v="Customer_57"/>
    <s v="Corporate"/>
    <s v="South"/>
    <s v="Electronics"/>
    <s v="Product_C"/>
    <n v="4005"/>
    <n v="3"/>
    <n v="0.18"/>
    <n v="940"/>
    <s v="COD"/>
    <n v="9852.2999999999993"/>
    <x v="10"/>
    <n v="2024"/>
    <x v="3"/>
    <n v="9.5409193792312469E-2"/>
    <n v="2162.6999999999998"/>
    <s v="High"/>
    <s v="Repeat"/>
    <s v="Below Avg"/>
    <s v="Profit"/>
    <n v="206"/>
  </r>
  <r>
    <n v="307"/>
    <x v="306"/>
    <n v="1000"/>
    <s v="Customer_98"/>
    <s v="Consumer"/>
    <s v="South"/>
    <s v="Electronics"/>
    <s v="Product_C"/>
    <n v="568"/>
    <n v="1"/>
    <n v="7.0000000000000007E-2"/>
    <n v="1894"/>
    <s v="UPI"/>
    <n v="528.24"/>
    <x v="10"/>
    <n v="2024"/>
    <x v="3"/>
    <n v="3.585491443283356"/>
    <n v="39.760000000000005"/>
    <s v="Low"/>
    <s v="Repeat"/>
    <s v="Below Avg"/>
    <s v="Profit"/>
    <n v="490"/>
  </r>
  <r>
    <n v="308"/>
    <x v="307"/>
    <n v="1035"/>
    <s v="Customer_170"/>
    <s v="Consumer"/>
    <s v="North"/>
    <s v="Clothing"/>
    <s v="Product_A"/>
    <n v="3660"/>
    <n v="3"/>
    <n v="0.24"/>
    <n v="1824"/>
    <s v="COD"/>
    <n v="8344.7999999999993"/>
    <x v="10"/>
    <n v="2024"/>
    <x v="3"/>
    <n v="0.21857923497267762"/>
    <n v="2635.2"/>
    <s v="High"/>
    <s v="Repeat"/>
    <s v="Below Avg"/>
    <s v="Profit"/>
    <n v="241"/>
  </r>
  <r>
    <n v="309"/>
    <x v="308"/>
    <n v="1083"/>
    <s v="Customer_67"/>
    <s v="Corporate"/>
    <s v="East"/>
    <s v="Furniture"/>
    <s v="Product_D"/>
    <n v="2023"/>
    <n v="3"/>
    <n v="0.01"/>
    <n v="356"/>
    <s v="Card"/>
    <n v="6008.31"/>
    <x v="10"/>
    <n v="2024"/>
    <x v="3"/>
    <n v="5.9251270323934679E-2"/>
    <n v="60.69"/>
    <s v="High"/>
    <s v="Repeat"/>
    <s v="Below Avg"/>
    <s v="Profit"/>
    <n v="297"/>
  </r>
  <r>
    <n v="310"/>
    <x v="309"/>
    <n v="1094"/>
    <s v="Customer_140"/>
    <s v="Consumer"/>
    <s v="North"/>
    <s v="Clothing"/>
    <s v="Product_B"/>
    <n v="3079"/>
    <n v="5"/>
    <n v="0.24"/>
    <n v="1522"/>
    <s v="UPI"/>
    <n v="11700.2"/>
    <x v="10"/>
    <n v="2024"/>
    <x v="3"/>
    <n v="0.13008324644023178"/>
    <n v="3694.7999999999997"/>
    <s v="High"/>
    <s v="Repeat"/>
    <s v="Above Avg"/>
    <s v="Profit"/>
    <n v="178"/>
  </r>
  <r>
    <n v="311"/>
    <x v="310"/>
    <n v="1071"/>
    <s v="Customer_164"/>
    <s v="Corporate"/>
    <s v="South"/>
    <s v="Furniture"/>
    <s v="Product_B"/>
    <n v="4122"/>
    <n v="9"/>
    <n v="0.2"/>
    <n v="-297"/>
    <s v="Card"/>
    <n v="29678.400000000001"/>
    <x v="10"/>
    <n v="2024"/>
    <x v="3"/>
    <n v="-1.0007278020378457E-2"/>
    <n v="7419.6"/>
    <s v="High"/>
    <s v="Repeat"/>
    <s v="Above Avg"/>
    <s v="Loss"/>
    <n v="25"/>
  </r>
  <r>
    <n v="312"/>
    <x v="311"/>
    <n v="1039"/>
    <s v="Customer_69"/>
    <s v="Corporate"/>
    <s v="North"/>
    <s v="Clothing"/>
    <s v="Product_A"/>
    <n v="4319"/>
    <n v="7"/>
    <n v="0.2"/>
    <n v="1668"/>
    <s v="UPI"/>
    <n v="24186.400000000001"/>
    <x v="10"/>
    <n v="2024"/>
    <x v="3"/>
    <n v="6.896437667449476E-2"/>
    <n v="6046.6"/>
    <s v="High"/>
    <s v="Repeat"/>
    <s v="Above Avg"/>
    <s v="Profit"/>
    <n v="50"/>
  </r>
  <r>
    <n v="313"/>
    <x v="312"/>
    <n v="1087"/>
    <s v="Customer_83"/>
    <s v="Consumer"/>
    <s v="West"/>
    <s v="Clothing"/>
    <s v="Product_D"/>
    <n v="4618"/>
    <n v="3"/>
    <n v="0.01"/>
    <n v="1802"/>
    <s v="COD"/>
    <n v="13715.46"/>
    <x v="10"/>
    <n v="2024"/>
    <x v="3"/>
    <n v="0.13138458352836874"/>
    <n v="138.54"/>
    <s v="High"/>
    <s v="Repeat"/>
    <s v="Above Avg"/>
    <s v="Profit"/>
    <n v="150"/>
  </r>
  <r>
    <n v="314"/>
    <x v="313"/>
    <n v="1083"/>
    <s v="Customer_76"/>
    <s v="Corporate"/>
    <s v="East"/>
    <s v="Furniture"/>
    <s v="Product_B"/>
    <n v="666"/>
    <n v="3"/>
    <n v="0.06"/>
    <n v="-107"/>
    <s v="UPI"/>
    <n v="1878.12"/>
    <x v="10"/>
    <n v="2024"/>
    <x v="3"/>
    <n v="-5.6971865482503783E-2"/>
    <n v="119.88"/>
    <s v="Low"/>
    <s v="Repeat"/>
    <s v="Below Avg"/>
    <s v="Loss"/>
    <n v="437"/>
  </r>
  <r>
    <n v="315"/>
    <x v="314"/>
    <n v="1078"/>
    <s v="Customer_91"/>
    <s v="Corporate"/>
    <s v="East"/>
    <s v="Electronics"/>
    <s v="Product_D"/>
    <n v="3227"/>
    <n v="4"/>
    <n v="0.15"/>
    <n v="200"/>
    <s v="COD"/>
    <n v="10971.8"/>
    <x v="10"/>
    <n v="2024"/>
    <x v="3"/>
    <n v="1.8228549554311965E-2"/>
    <n v="1936.1999999999998"/>
    <s v="High"/>
    <s v="Repeat"/>
    <s v="Above Avg"/>
    <s v="Profit"/>
    <n v="193"/>
  </r>
  <r>
    <n v="316"/>
    <x v="315"/>
    <n v="1029"/>
    <s v="Customer_17"/>
    <s v="Corporate"/>
    <s v="North"/>
    <s v="Electronics"/>
    <s v="Product_B"/>
    <n v="4116"/>
    <n v="7"/>
    <n v="0.13"/>
    <n v="1791"/>
    <s v="UPI"/>
    <n v="25066.44"/>
    <x v="10"/>
    <n v="2024"/>
    <x v="3"/>
    <n v="7.1450114176564369E-2"/>
    <n v="3745.56"/>
    <s v="High"/>
    <s v="Repeat"/>
    <s v="Above Avg"/>
    <s v="Profit"/>
    <n v="41"/>
  </r>
  <r>
    <n v="317"/>
    <x v="316"/>
    <n v="1019"/>
    <s v="Customer_171"/>
    <s v="Corporate"/>
    <s v="East"/>
    <s v="Electronics"/>
    <s v="Product_C"/>
    <n v="1265"/>
    <n v="4"/>
    <n v="0.01"/>
    <n v="458"/>
    <s v="Card"/>
    <n v="5009.3999999999996"/>
    <x v="10"/>
    <n v="2024"/>
    <x v="3"/>
    <n v="9.1428115143530164E-2"/>
    <n v="50.6"/>
    <s v="High"/>
    <s v="Repeat"/>
    <s v="Below Avg"/>
    <s v="Profit"/>
    <n v="322"/>
  </r>
  <r>
    <n v="318"/>
    <x v="317"/>
    <n v="1037"/>
    <s v="Customer_92"/>
    <s v="Corporate"/>
    <s v="East"/>
    <s v="Furniture"/>
    <s v="Product_D"/>
    <n v="4336"/>
    <n v="9"/>
    <n v="0.1"/>
    <n v="-99"/>
    <s v="COD"/>
    <n v="35121.599999999999"/>
    <x v="10"/>
    <n v="2024"/>
    <x v="3"/>
    <n v="-2.8187781877818778E-3"/>
    <n v="3902.4"/>
    <s v="High"/>
    <s v="Repeat"/>
    <s v="Above Avg"/>
    <s v="Loss"/>
    <n v="10"/>
  </r>
  <r>
    <n v="319"/>
    <x v="318"/>
    <n v="1001"/>
    <s v="Customer_40"/>
    <s v="Corporate"/>
    <s v="South"/>
    <s v="Clothing"/>
    <s v="Product_B"/>
    <n v="1915"/>
    <n v="3"/>
    <n v="0.28999999999999998"/>
    <n v="1599"/>
    <s v="Card"/>
    <n v="4078.95"/>
    <x v="10"/>
    <n v="2024"/>
    <x v="3"/>
    <n v="0.39201265031441918"/>
    <n v="1666.05"/>
    <s v="Medium"/>
    <s v="Repeat"/>
    <s v="Below Avg"/>
    <s v="Profit"/>
    <n v="349"/>
  </r>
  <r>
    <n v="320"/>
    <x v="319"/>
    <n v="1005"/>
    <s v="Customer_22"/>
    <s v="Corporate"/>
    <s v="South"/>
    <s v="Clothing"/>
    <s v="Product_A"/>
    <n v="4067"/>
    <n v="7"/>
    <n v="0.09"/>
    <n v="1720"/>
    <s v="UPI"/>
    <n v="25906.79"/>
    <x v="10"/>
    <n v="2024"/>
    <x v="3"/>
    <n v="6.6391860975443112E-2"/>
    <n v="2562.21"/>
    <s v="High"/>
    <s v="Repeat"/>
    <s v="Above Avg"/>
    <s v="Profit"/>
    <n v="40"/>
  </r>
  <r>
    <n v="321"/>
    <x v="320"/>
    <n v="1081"/>
    <s v="Customer_192"/>
    <s v="Corporate"/>
    <s v="East"/>
    <s v="Furniture"/>
    <s v="Product_D"/>
    <n v="240"/>
    <n v="9"/>
    <n v="0.19"/>
    <n v="271"/>
    <s v="Card"/>
    <n v="1749.6"/>
    <x v="10"/>
    <n v="2024"/>
    <x v="3"/>
    <n v="0.15489254686785553"/>
    <n v="410.4"/>
    <s v="Low"/>
    <s v="Repeat"/>
    <s v="Below Avg"/>
    <s v="Profit"/>
    <n v="443"/>
  </r>
  <r>
    <n v="322"/>
    <x v="321"/>
    <n v="1035"/>
    <s v="Customer_138"/>
    <s v="Consumer"/>
    <s v="North"/>
    <s v="Electronics"/>
    <s v="Product_D"/>
    <n v="3410"/>
    <n v="5"/>
    <n v="0.2"/>
    <n v="1549"/>
    <s v="Card"/>
    <n v="13640"/>
    <x v="10"/>
    <n v="2024"/>
    <x v="3"/>
    <n v="0.11356304985337243"/>
    <n v="3410"/>
    <s v="High"/>
    <s v="Repeat"/>
    <s v="Above Avg"/>
    <s v="Profit"/>
    <n v="151"/>
  </r>
  <r>
    <n v="323"/>
    <x v="322"/>
    <n v="1077"/>
    <s v="Customer_105"/>
    <s v="Consumer"/>
    <s v="East"/>
    <s v="Clothing"/>
    <s v="Product_D"/>
    <n v="601"/>
    <n v="4"/>
    <n v="0.19"/>
    <n v="-310"/>
    <s v="COD"/>
    <n v="1947.24"/>
    <x v="10"/>
    <n v="2024"/>
    <x v="3"/>
    <n v="-0.15919968776319304"/>
    <n v="456.76"/>
    <s v="Low"/>
    <s v="Repeat"/>
    <s v="Below Avg"/>
    <s v="Loss"/>
    <n v="433"/>
  </r>
  <r>
    <n v="324"/>
    <x v="323"/>
    <n v="1025"/>
    <s v="Customer_134"/>
    <s v="Corporate"/>
    <s v="South"/>
    <s v="Furniture"/>
    <s v="Product_B"/>
    <n v="1554"/>
    <n v="2"/>
    <n v="0.09"/>
    <n v="1816"/>
    <s v="COD"/>
    <n v="2828.28"/>
    <x v="10"/>
    <n v="2024"/>
    <x v="3"/>
    <n v="0.64208635637207057"/>
    <n v="279.71999999999997"/>
    <s v="Medium"/>
    <s v="Repeat"/>
    <s v="Below Avg"/>
    <s v="Profit"/>
    <n v="398"/>
  </r>
  <r>
    <n v="325"/>
    <x v="324"/>
    <n v="1097"/>
    <s v="Customer_17"/>
    <s v="Consumer"/>
    <s v="South"/>
    <s v="Furniture"/>
    <s v="Product_C"/>
    <n v="4379"/>
    <n v="5"/>
    <n v="0.17"/>
    <n v="884"/>
    <s v="UPI"/>
    <n v="18172.849999999999"/>
    <x v="10"/>
    <n v="2024"/>
    <x v="3"/>
    <n v="4.8643993649867802E-2"/>
    <n v="3722.15"/>
    <s v="High"/>
    <s v="Repeat"/>
    <s v="Above Avg"/>
    <s v="Profit"/>
    <n v="90"/>
  </r>
  <r>
    <n v="326"/>
    <x v="325"/>
    <n v="1093"/>
    <s v="Customer_76"/>
    <s v="Corporate"/>
    <s v="East"/>
    <s v="Clothing"/>
    <s v="Product_C"/>
    <n v="635"/>
    <n v="3"/>
    <n v="0.21"/>
    <n v="895"/>
    <s v="Card"/>
    <n v="1504.95"/>
    <x v="10"/>
    <n v="2024"/>
    <x v="3"/>
    <n v="0.59470414299478391"/>
    <n v="400.05"/>
    <s v="Low"/>
    <s v="Repeat"/>
    <s v="Below Avg"/>
    <s v="Profit"/>
    <n v="457"/>
  </r>
  <r>
    <n v="327"/>
    <x v="326"/>
    <n v="1070"/>
    <s v="Customer_191"/>
    <s v="Consumer"/>
    <s v="East"/>
    <s v="Furniture"/>
    <s v="Product_B"/>
    <n v="2260"/>
    <n v="3"/>
    <n v="0.11"/>
    <n v="1691"/>
    <s v="UPI"/>
    <n v="6034.2"/>
    <x v="10"/>
    <n v="2024"/>
    <x v="3"/>
    <n v="0.28023598820058998"/>
    <n v="745.8"/>
    <s v="High"/>
    <s v="Repeat"/>
    <s v="Below Avg"/>
    <s v="Profit"/>
    <n v="295"/>
  </r>
  <r>
    <n v="328"/>
    <x v="327"/>
    <n v="1058"/>
    <s v="Customer_198"/>
    <s v="Consumer"/>
    <s v="West"/>
    <s v="Furniture"/>
    <s v="Product_C"/>
    <n v="4341"/>
    <n v="7"/>
    <n v="0.08"/>
    <n v="-164"/>
    <s v="COD"/>
    <n v="27956.04"/>
    <x v="10"/>
    <n v="2024"/>
    <x v="3"/>
    <n v="-5.8663530314021581E-3"/>
    <n v="2430.96"/>
    <s v="High"/>
    <s v="Repeat"/>
    <s v="Above Avg"/>
    <s v="Loss"/>
    <n v="32"/>
  </r>
  <r>
    <n v="329"/>
    <x v="328"/>
    <n v="1029"/>
    <s v="Customer_178"/>
    <s v="Consumer"/>
    <s v="West"/>
    <s v="Electronics"/>
    <s v="Product_C"/>
    <n v="2929"/>
    <n v="6"/>
    <n v="0.08"/>
    <n v="122"/>
    <s v="COD"/>
    <n v="16168.08"/>
    <x v="10"/>
    <n v="2024"/>
    <x v="3"/>
    <n v="7.5457320844528235E-3"/>
    <n v="1405.92"/>
    <s v="High"/>
    <s v="Repeat"/>
    <s v="Above Avg"/>
    <s v="Profit"/>
    <n v="123"/>
  </r>
  <r>
    <n v="330"/>
    <x v="329"/>
    <n v="1081"/>
    <s v="Customer_80"/>
    <s v="Corporate"/>
    <s v="North"/>
    <s v="Furniture"/>
    <s v="Product_A"/>
    <n v="4483"/>
    <n v="3"/>
    <n v="0.28000000000000003"/>
    <n v="1527"/>
    <s v="Card"/>
    <n v="9683.2799999999897"/>
    <x v="10"/>
    <n v="2024"/>
    <x v="3"/>
    <n v="0.15769450021067258"/>
    <n v="3765.7200000000003"/>
    <s v="High"/>
    <s v="Repeat"/>
    <s v="Below Avg"/>
    <s v="Profit"/>
    <n v="209"/>
  </r>
  <r>
    <n v="331"/>
    <x v="330"/>
    <n v="1021"/>
    <s v="Customer_196"/>
    <s v="Corporate"/>
    <s v="South"/>
    <s v="Electronics"/>
    <s v="Product_C"/>
    <n v="1725"/>
    <n v="9"/>
    <n v="0.19"/>
    <n v="508"/>
    <s v="COD"/>
    <n v="12575.25"/>
    <x v="10"/>
    <n v="2024"/>
    <x v="3"/>
    <n v="4.0396811196596487E-2"/>
    <n v="2949.75"/>
    <s v="High"/>
    <s v="Repeat"/>
    <s v="Above Avg"/>
    <s v="Profit"/>
    <n v="162"/>
  </r>
  <r>
    <n v="332"/>
    <x v="331"/>
    <n v="1016"/>
    <s v="Customer_153"/>
    <s v="Consumer"/>
    <s v="South"/>
    <s v="Furniture"/>
    <s v="Product_B"/>
    <n v="4547"/>
    <n v="7"/>
    <n v="0.23"/>
    <n v="695"/>
    <s v="UPI"/>
    <n v="24508.33"/>
    <x v="10"/>
    <n v="2024"/>
    <x v="3"/>
    <n v="2.8357705318967058E-2"/>
    <n v="7320.67"/>
    <s v="High"/>
    <s v="Repeat"/>
    <s v="Above Avg"/>
    <s v="Profit"/>
    <n v="47"/>
  </r>
  <r>
    <n v="333"/>
    <x v="332"/>
    <n v="1030"/>
    <s v="Customer_33"/>
    <s v="Consumer"/>
    <s v="South"/>
    <s v="Electronics"/>
    <s v="Product_B"/>
    <n v="2252"/>
    <n v="8"/>
    <n v="0.17"/>
    <n v="1739"/>
    <s v="Card"/>
    <n v="14953.279999999901"/>
    <x v="10"/>
    <n v="2024"/>
    <x v="3"/>
    <n v="0.11629555522266764"/>
    <n v="3062.7200000000003"/>
    <s v="High"/>
    <s v="Repeat"/>
    <s v="Above Avg"/>
    <s v="Profit"/>
    <n v="140"/>
  </r>
  <r>
    <n v="334"/>
    <x v="333"/>
    <n v="1055"/>
    <s v="Customer_1"/>
    <s v="Corporate"/>
    <s v="West"/>
    <s v="Clothing"/>
    <s v="Product_B"/>
    <n v="3427"/>
    <n v="4"/>
    <n v="0.19"/>
    <n v="922"/>
    <s v="Card"/>
    <n v="11103.48"/>
    <x v="10"/>
    <n v="2024"/>
    <x v="3"/>
    <n v="8.3037029832088688E-2"/>
    <n v="2604.52"/>
    <s v="High"/>
    <s v="Repeat"/>
    <s v="Above Avg"/>
    <s v="Profit"/>
    <n v="188"/>
  </r>
  <r>
    <n v="335"/>
    <x v="334"/>
    <n v="1080"/>
    <s v="Customer_79"/>
    <s v="Consumer"/>
    <s v="North"/>
    <s v="Clothing"/>
    <s v="Product_A"/>
    <n v="370"/>
    <n v="7"/>
    <n v="0.08"/>
    <n v="1381"/>
    <s v="Card"/>
    <n v="2382.8000000000002"/>
    <x v="10"/>
    <n v="2024"/>
    <x v="3"/>
    <n v="0.57957025348329694"/>
    <n v="207.20000000000002"/>
    <s v="Medium"/>
    <s v="Repeat"/>
    <s v="Below Avg"/>
    <s v="Profit"/>
    <n v="413"/>
  </r>
  <r>
    <n v="336"/>
    <x v="335"/>
    <n v="1030"/>
    <s v="Customer_128"/>
    <s v="Consumer"/>
    <s v="South"/>
    <s v="Electronics"/>
    <s v="Product_D"/>
    <n v="4426"/>
    <n v="9"/>
    <n v="0.27"/>
    <n v="-447"/>
    <s v="Card"/>
    <n v="29078.82"/>
    <x v="11"/>
    <n v="2024"/>
    <x v="3"/>
    <n v="-1.537201303216568E-2"/>
    <n v="10755.18"/>
    <s v="High"/>
    <s v="Repeat"/>
    <s v="Above Avg"/>
    <s v="Loss"/>
    <n v="26"/>
  </r>
  <r>
    <n v="337"/>
    <x v="336"/>
    <n v="1012"/>
    <s v="Customer_145"/>
    <s v="Corporate"/>
    <s v="West"/>
    <s v="Clothing"/>
    <s v="Product_C"/>
    <n v="3915"/>
    <n v="8"/>
    <n v="0.15"/>
    <n v="-47"/>
    <s v="Card"/>
    <n v="26622"/>
    <x v="11"/>
    <n v="2024"/>
    <x v="3"/>
    <n v="-1.7654571407106905E-3"/>
    <n v="4698"/>
    <s v="High"/>
    <s v="Repeat"/>
    <s v="Above Avg"/>
    <s v="Loss"/>
    <n v="36"/>
  </r>
  <r>
    <n v="338"/>
    <x v="337"/>
    <n v="1090"/>
    <s v="Customer_171"/>
    <s v="Consumer"/>
    <s v="North"/>
    <s v="Furniture"/>
    <s v="Product_B"/>
    <n v="1456"/>
    <n v="7"/>
    <n v="0.24"/>
    <n v="-31"/>
    <s v="Card"/>
    <n v="7745.92"/>
    <x v="11"/>
    <n v="2024"/>
    <x v="3"/>
    <n v="-4.0021069156407499E-3"/>
    <n v="2446.08"/>
    <s v="High"/>
    <s v="Repeat"/>
    <s v="Below Avg"/>
    <s v="Loss"/>
    <n v="258"/>
  </r>
  <r>
    <n v="339"/>
    <x v="338"/>
    <n v="1083"/>
    <s v="Customer_186"/>
    <s v="Corporate"/>
    <s v="East"/>
    <s v="Electronics"/>
    <s v="Product_A"/>
    <n v="4189"/>
    <n v="5"/>
    <n v="0.16"/>
    <n v="798"/>
    <s v="Card"/>
    <n v="17593.8"/>
    <x v="11"/>
    <n v="2024"/>
    <x v="3"/>
    <n v="4.5356887085223209E-2"/>
    <n v="3351.2000000000003"/>
    <s v="High"/>
    <s v="Repeat"/>
    <s v="Above Avg"/>
    <s v="Profit"/>
    <n v="95"/>
  </r>
  <r>
    <n v="340"/>
    <x v="339"/>
    <n v="1016"/>
    <s v="Customer_147"/>
    <s v="Consumer"/>
    <s v="East"/>
    <s v="Electronics"/>
    <s v="Product_C"/>
    <n v="190"/>
    <n v="8"/>
    <n v="0.03"/>
    <n v="728"/>
    <s v="Card"/>
    <n v="1474.3999999999901"/>
    <x v="11"/>
    <n v="2024"/>
    <x v="3"/>
    <n v="0.4937601736299545"/>
    <n v="45.6"/>
    <s v="Low"/>
    <s v="Repeat"/>
    <s v="Below Avg"/>
    <s v="Profit"/>
    <n v="458"/>
  </r>
  <r>
    <n v="341"/>
    <x v="340"/>
    <n v="1092"/>
    <s v="Customer_54"/>
    <s v="Corporate"/>
    <s v="East"/>
    <s v="Clothing"/>
    <s v="Product_D"/>
    <n v="2277"/>
    <n v="8"/>
    <n v="0.03"/>
    <n v="297"/>
    <s v="UPI"/>
    <n v="17669.52"/>
    <x v="11"/>
    <n v="2024"/>
    <x v="3"/>
    <n v="1.6808606006275213E-2"/>
    <n v="546.48"/>
    <s v="High"/>
    <s v="Repeat"/>
    <s v="Above Avg"/>
    <s v="Profit"/>
    <n v="94"/>
  </r>
  <r>
    <n v="342"/>
    <x v="341"/>
    <n v="1038"/>
    <s v="Customer_114"/>
    <s v="Corporate"/>
    <s v="West"/>
    <s v="Electronics"/>
    <s v="Product_A"/>
    <n v="1830"/>
    <n v="4"/>
    <n v="0.14000000000000001"/>
    <n v="898"/>
    <s v="COD"/>
    <n v="6295.2"/>
    <x v="11"/>
    <n v="2024"/>
    <x v="3"/>
    <n v="0.14264836700978523"/>
    <n v="1024.8000000000002"/>
    <s v="High"/>
    <s v="Repeat"/>
    <s v="Below Avg"/>
    <s v="Profit"/>
    <n v="291"/>
  </r>
  <r>
    <n v="343"/>
    <x v="342"/>
    <n v="1098"/>
    <s v="Customer_83"/>
    <s v="Corporate"/>
    <s v="East"/>
    <s v="Clothing"/>
    <s v="Product_B"/>
    <n v="2458"/>
    <n v="9"/>
    <n v="0.13"/>
    <n v="-443"/>
    <s v="COD"/>
    <n v="19246.14"/>
    <x v="11"/>
    <n v="2024"/>
    <x v="3"/>
    <n v="-2.3017602490681251E-2"/>
    <n v="2875.86"/>
    <s v="High"/>
    <s v="Repeat"/>
    <s v="Above Avg"/>
    <s v="Loss"/>
    <n v="83"/>
  </r>
  <r>
    <n v="344"/>
    <x v="343"/>
    <n v="1007"/>
    <s v="Customer_84"/>
    <s v="Consumer"/>
    <s v="East"/>
    <s v="Electronics"/>
    <s v="Product_B"/>
    <n v="2809"/>
    <n v="1"/>
    <n v="0.27"/>
    <n v="-352"/>
    <s v="COD"/>
    <n v="2050.5700000000002"/>
    <x v="11"/>
    <n v="2024"/>
    <x v="3"/>
    <n v="-0.17165958733425338"/>
    <n v="758.43000000000006"/>
    <s v="Medium"/>
    <s v="Repeat"/>
    <s v="Below Avg"/>
    <s v="Loss"/>
    <n v="426"/>
  </r>
  <r>
    <n v="345"/>
    <x v="344"/>
    <n v="1037"/>
    <s v="Customer_1"/>
    <s v="Consumer"/>
    <s v="North"/>
    <s v="Clothing"/>
    <s v="Product_D"/>
    <n v="448"/>
    <n v="9"/>
    <n v="0.04"/>
    <n v="1096"/>
    <s v="COD"/>
    <n v="3870.72"/>
    <x v="11"/>
    <n v="2024"/>
    <x v="3"/>
    <n v="0.28315145502645506"/>
    <n v="161.28"/>
    <s v="Medium"/>
    <s v="Repeat"/>
    <s v="Below Avg"/>
    <s v="Profit"/>
    <n v="358"/>
  </r>
  <r>
    <n v="346"/>
    <x v="345"/>
    <n v="1014"/>
    <s v="Customer_144"/>
    <s v="Consumer"/>
    <s v="East"/>
    <s v="Clothing"/>
    <s v="Product_C"/>
    <n v="4977"/>
    <n v="1"/>
    <n v="0.21"/>
    <n v="294"/>
    <s v="Card"/>
    <n v="3931.83"/>
    <x v="11"/>
    <n v="2024"/>
    <x v="3"/>
    <n v="7.4774341718741658E-2"/>
    <n v="1045.17"/>
    <s v="Medium"/>
    <s v="Repeat"/>
    <s v="Below Avg"/>
    <s v="Profit"/>
    <n v="357"/>
  </r>
  <r>
    <n v="347"/>
    <x v="346"/>
    <n v="1000"/>
    <s v="Customer_152"/>
    <s v="Consumer"/>
    <s v="East"/>
    <s v="Furniture"/>
    <s v="Product_A"/>
    <n v="4432"/>
    <n v="5"/>
    <n v="0.28000000000000003"/>
    <n v="1809"/>
    <s v="UPI"/>
    <n v="15955.199999999901"/>
    <x v="11"/>
    <n v="2024"/>
    <x v="3"/>
    <n v="0.11337996389891768"/>
    <n v="6204.8"/>
    <s v="High"/>
    <s v="Repeat"/>
    <s v="Above Avg"/>
    <s v="Profit"/>
    <n v="130"/>
  </r>
  <r>
    <n v="348"/>
    <x v="347"/>
    <n v="1096"/>
    <s v="Customer_192"/>
    <s v="Corporate"/>
    <s v="West"/>
    <s v="Furniture"/>
    <s v="Product_A"/>
    <n v="1393"/>
    <n v="6"/>
    <n v="0.12"/>
    <n v="1693"/>
    <s v="Card"/>
    <n v="7355.04"/>
    <x v="11"/>
    <n v="2024"/>
    <x v="3"/>
    <n v="0.23018229676521135"/>
    <n v="1002.9599999999999"/>
    <s v="High"/>
    <s v="Repeat"/>
    <s v="Below Avg"/>
    <s v="Profit"/>
    <n v="266"/>
  </r>
  <r>
    <n v="349"/>
    <x v="348"/>
    <n v="1002"/>
    <s v="Customer_186"/>
    <s v="Consumer"/>
    <s v="West"/>
    <s v="Electronics"/>
    <s v="Product_C"/>
    <n v="4564"/>
    <n v="5"/>
    <n v="0.27"/>
    <n v="710"/>
    <s v="UPI"/>
    <n v="16658.599999999999"/>
    <x v="11"/>
    <n v="2024"/>
    <x v="3"/>
    <n v="4.2620628384137924E-2"/>
    <n v="6161.4000000000005"/>
    <s v="High"/>
    <s v="Repeat"/>
    <s v="Above Avg"/>
    <s v="Profit"/>
    <n v="111"/>
  </r>
  <r>
    <n v="350"/>
    <x v="349"/>
    <n v="1037"/>
    <s v="Customer_152"/>
    <s v="Consumer"/>
    <s v="West"/>
    <s v="Clothing"/>
    <s v="Product_B"/>
    <n v="2447"/>
    <n v="4"/>
    <n v="0.04"/>
    <n v="-339"/>
    <s v="UPI"/>
    <n v="9396.48"/>
    <x v="11"/>
    <n v="2024"/>
    <x v="3"/>
    <n v="-3.6077339599509609E-2"/>
    <n v="391.52"/>
    <s v="High"/>
    <s v="Repeat"/>
    <s v="Below Avg"/>
    <s v="Loss"/>
    <n v="221"/>
  </r>
  <r>
    <n v="351"/>
    <x v="350"/>
    <n v="1047"/>
    <s v="Customer_186"/>
    <s v="Consumer"/>
    <s v="East"/>
    <s v="Furniture"/>
    <s v="Product_C"/>
    <n v="3091"/>
    <n v="5"/>
    <n v="0.03"/>
    <n v="644"/>
    <s v="UPI"/>
    <n v="14991.35"/>
    <x v="11"/>
    <n v="2024"/>
    <x v="3"/>
    <n v="4.2958105841034995E-2"/>
    <n v="463.65"/>
    <s v="High"/>
    <s v="Repeat"/>
    <s v="Above Avg"/>
    <s v="Profit"/>
    <n v="139"/>
  </r>
  <r>
    <n v="352"/>
    <x v="351"/>
    <n v="1062"/>
    <s v="Customer_101"/>
    <s v="Consumer"/>
    <s v="North"/>
    <s v="Electronics"/>
    <s v="Product_C"/>
    <n v="2900"/>
    <n v="7"/>
    <n v="7.0000000000000007E-2"/>
    <n v="1932"/>
    <s v="UPI"/>
    <n v="18879"/>
    <x v="11"/>
    <n v="2024"/>
    <x v="3"/>
    <n v="0.10233592880978866"/>
    <n v="1421.0000000000002"/>
    <s v="High"/>
    <s v="Repeat"/>
    <s v="Above Avg"/>
    <s v="Profit"/>
    <n v="85"/>
  </r>
  <r>
    <n v="353"/>
    <x v="352"/>
    <n v="1061"/>
    <s v="Customer_192"/>
    <s v="Consumer"/>
    <s v="South"/>
    <s v="Clothing"/>
    <s v="Product_C"/>
    <n v="4356"/>
    <n v="2"/>
    <n v="0.16"/>
    <n v="332"/>
    <s v="COD"/>
    <n v="7318.08"/>
    <x v="11"/>
    <n v="2024"/>
    <x v="3"/>
    <n v="4.5367090821636279E-2"/>
    <n v="1393.92"/>
    <s v="High"/>
    <s v="Repeat"/>
    <s v="Below Avg"/>
    <s v="Profit"/>
    <n v="268"/>
  </r>
  <r>
    <n v="354"/>
    <x v="353"/>
    <n v="1014"/>
    <s v="Customer_169"/>
    <s v="Corporate"/>
    <s v="West"/>
    <s v="Furniture"/>
    <s v="Product_B"/>
    <n v="1224"/>
    <n v="7"/>
    <n v="0.19"/>
    <n v="210"/>
    <s v="COD"/>
    <n v="6940.08"/>
    <x v="11"/>
    <n v="2024"/>
    <x v="3"/>
    <n v="3.0259017187121762E-2"/>
    <n v="1627.92"/>
    <s v="High"/>
    <s v="Repeat"/>
    <s v="Below Avg"/>
    <s v="Profit"/>
    <n v="275"/>
  </r>
  <r>
    <n v="355"/>
    <x v="354"/>
    <n v="1061"/>
    <s v="Customer_161"/>
    <s v="Consumer"/>
    <s v="North"/>
    <s v="Clothing"/>
    <s v="Product_B"/>
    <n v="673"/>
    <n v="9"/>
    <n v="0.23"/>
    <n v="944"/>
    <s v="UPI"/>
    <n v="4663.8900000000003"/>
    <x v="11"/>
    <n v="2024"/>
    <x v="3"/>
    <n v="0.20240614594255008"/>
    <n v="1393.1100000000001"/>
    <s v="Medium"/>
    <s v="Repeat"/>
    <s v="Below Avg"/>
    <s v="Profit"/>
    <n v="332"/>
  </r>
  <r>
    <n v="356"/>
    <x v="355"/>
    <n v="1081"/>
    <s v="Customer_186"/>
    <s v="Corporate"/>
    <s v="East"/>
    <s v="Furniture"/>
    <s v="Product_A"/>
    <n v="4179"/>
    <n v="7"/>
    <n v="0.23"/>
    <n v="-144"/>
    <s v="UPI"/>
    <n v="22524.81"/>
    <x v="11"/>
    <n v="2024"/>
    <x v="3"/>
    <n v="-6.3929507063544598E-3"/>
    <n v="6728.1900000000005"/>
    <s v="High"/>
    <s v="Repeat"/>
    <s v="Above Avg"/>
    <s v="Loss"/>
    <n v="62"/>
  </r>
  <r>
    <n v="357"/>
    <x v="356"/>
    <n v="1037"/>
    <s v="Customer_125"/>
    <s v="Consumer"/>
    <s v="West"/>
    <s v="Clothing"/>
    <s v="Product_C"/>
    <n v="928"/>
    <n v="4"/>
    <n v="0.03"/>
    <n v="182"/>
    <s v="Card"/>
    <n v="3600.64"/>
    <x v="11"/>
    <n v="2024"/>
    <x v="3"/>
    <n v="5.0546569498755779E-2"/>
    <n v="111.36"/>
    <s v="Medium"/>
    <s v="Repeat"/>
    <s v="Below Avg"/>
    <s v="Profit"/>
    <n v="368"/>
  </r>
  <r>
    <n v="358"/>
    <x v="357"/>
    <n v="1094"/>
    <s v="Customer_184"/>
    <s v="Consumer"/>
    <s v="North"/>
    <s v="Electronics"/>
    <s v="Product_C"/>
    <n v="570"/>
    <n v="8"/>
    <n v="0.26"/>
    <n v="1134"/>
    <s v="UPI"/>
    <n v="3374.4"/>
    <x v="11"/>
    <n v="2024"/>
    <x v="3"/>
    <n v="0.33605974395448079"/>
    <n v="1185.6000000000001"/>
    <s v="Medium"/>
    <s v="Repeat"/>
    <s v="Below Avg"/>
    <s v="Profit"/>
    <n v="382"/>
  </r>
  <r>
    <n v="359"/>
    <x v="358"/>
    <n v="1019"/>
    <s v="Customer_95"/>
    <s v="Corporate"/>
    <s v="South"/>
    <s v="Furniture"/>
    <s v="Product_B"/>
    <n v="4250"/>
    <n v="8"/>
    <n v="0.03"/>
    <n v="335"/>
    <s v="Card"/>
    <n v="32980"/>
    <x v="11"/>
    <n v="2024"/>
    <x v="3"/>
    <n v="1.015767131594906E-2"/>
    <n v="1020"/>
    <s v="High"/>
    <s v="Repeat"/>
    <s v="Above Avg"/>
    <s v="Profit"/>
    <n v="17"/>
  </r>
  <r>
    <n v="360"/>
    <x v="359"/>
    <n v="1058"/>
    <s v="Customer_15"/>
    <s v="Corporate"/>
    <s v="North"/>
    <s v="Clothing"/>
    <s v="Product_B"/>
    <n v="2351"/>
    <n v="9"/>
    <n v="0.27"/>
    <n v="28"/>
    <s v="COD"/>
    <n v="15446.07"/>
    <x v="11"/>
    <n v="2024"/>
    <x v="3"/>
    <n v="1.8127588441590645E-3"/>
    <n v="5712.93"/>
    <s v="High"/>
    <s v="Repeat"/>
    <s v="Above Avg"/>
    <s v="Profit"/>
    <n v="135"/>
  </r>
  <r>
    <n v="361"/>
    <x v="360"/>
    <n v="1006"/>
    <s v="Customer_65"/>
    <s v="Corporate"/>
    <s v="East"/>
    <s v="Furniture"/>
    <s v="Product_C"/>
    <n v="4067"/>
    <n v="6"/>
    <n v="0.28999999999999998"/>
    <n v="1213"/>
    <s v="UPI"/>
    <n v="17325.419999999998"/>
    <x v="11"/>
    <n v="2024"/>
    <x v="3"/>
    <n v="7.0012732736060665E-2"/>
    <n v="7076.58"/>
    <s v="High"/>
    <s v="Repeat"/>
    <s v="Above Avg"/>
    <s v="Profit"/>
    <n v="102"/>
  </r>
  <r>
    <n v="362"/>
    <x v="361"/>
    <n v="1090"/>
    <s v="Customer_113"/>
    <s v="Corporate"/>
    <s v="West"/>
    <s v="Furniture"/>
    <s v="Product_D"/>
    <n v="2732"/>
    <n v="1"/>
    <n v="0.18"/>
    <n v="547"/>
    <s v="COD"/>
    <n v="2240.2399999999998"/>
    <x v="11"/>
    <n v="2024"/>
    <x v="3"/>
    <n v="0.24417026747134238"/>
    <n v="491.76"/>
    <s v="Medium"/>
    <s v="Repeat"/>
    <s v="Below Avg"/>
    <s v="Profit"/>
    <n v="418"/>
  </r>
  <r>
    <n v="363"/>
    <x v="362"/>
    <n v="1071"/>
    <s v="Customer_140"/>
    <s v="Consumer"/>
    <s v="North"/>
    <s v="Clothing"/>
    <s v="Product_B"/>
    <n v="4332"/>
    <n v="9"/>
    <n v="0.21"/>
    <n v="1493"/>
    <s v="COD"/>
    <n v="30800.52"/>
    <x v="11"/>
    <n v="2024"/>
    <x v="3"/>
    <n v="4.8473207595196445E-2"/>
    <n v="8187.48"/>
    <s v="High"/>
    <s v="Repeat"/>
    <s v="Above Avg"/>
    <s v="Profit"/>
    <n v="22"/>
  </r>
  <r>
    <n v="364"/>
    <x v="363"/>
    <n v="1077"/>
    <s v="Customer_163"/>
    <s v="Consumer"/>
    <s v="North"/>
    <s v="Electronics"/>
    <s v="Product_D"/>
    <n v="1198"/>
    <n v="9"/>
    <n v="0.11"/>
    <n v="-189"/>
    <s v="UPI"/>
    <n v="9595.98"/>
    <x v="11"/>
    <n v="2024"/>
    <x v="3"/>
    <n v="-1.9695747594305115E-2"/>
    <n v="1186.02"/>
    <s v="High"/>
    <s v="Repeat"/>
    <s v="Below Avg"/>
    <s v="Loss"/>
    <n v="212"/>
  </r>
  <r>
    <n v="365"/>
    <x v="364"/>
    <n v="1078"/>
    <s v="Customer_37"/>
    <s v="Consumer"/>
    <s v="North"/>
    <s v="Furniture"/>
    <s v="Product_C"/>
    <n v="3189"/>
    <n v="1"/>
    <n v="0.17"/>
    <n v="159"/>
    <s v="UPI"/>
    <n v="2646.87"/>
    <x v="11"/>
    <n v="2024"/>
    <x v="3"/>
    <n v="6.0070951727889926E-2"/>
    <n v="542.13"/>
    <s v="Medium"/>
    <s v="Repeat"/>
    <s v="Below Avg"/>
    <s v="Profit"/>
    <n v="407"/>
  </r>
  <r>
    <n v="366"/>
    <x v="365"/>
    <n v="1070"/>
    <s v="Customer_30"/>
    <s v="Corporate"/>
    <s v="West"/>
    <s v="Clothing"/>
    <s v="Product_C"/>
    <n v="531"/>
    <n v="9"/>
    <n v="0.25"/>
    <n v="1369"/>
    <s v="COD"/>
    <n v="3584.25"/>
    <x v="11"/>
    <n v="2024"/>
    <x v="3"/>
    <n v="0.38194880379437818"/>
    <n v="1194.75"/>
    <s v="Medium"/>
    <s v="Repeat"/>
    <s v="Below Avg"/>
    <s v="Profit"/>
    <n v="371"/>
  </r>
  <r>
    <n v="367"/>
    <x v="366"/>
    <n v="1096"/>
    <s v="Customer_11"/>
    <s v="Corporate"/>
    <s v="North"/>
    <s v="Electronics"/>
    <s v="Product_D"/>
    <n v="1333"/>
    <n v="1"/>
    <n v="0.05"/>
    <n v="-123"/>
    <s v="UPI"/>
    <n v="1266.3499999999999"/>
    <x v="0"/>
    <n v="2025"/>
    <x v="0"/>
    <n v="-9.7129545544280813E-2"/>
    <n v="66.650000000000006"/>
    <s v="Low"/>
    <s v="Repeat"/>
    <s v="Below Avg"/>
    <s v="Loss"/>
    <n v="466"/>
  </r>
  <r>
    <n v="368"/>
    <x v="367"/>
    <n v="1051"/>
    <s v="Customer_188"/>
    <s v="Consumer"/>
    <s v="East"/>
    <s v="Clothing"/>
    <s v="Product_D"/>
    <n v="1629"/>
    <n v="2"/>
    <n v="0.15"/>
    <n v="-281"/>
    <s v="Card"/>
    <n v="2769.2999999999902"/>
    <x v="0"/>
    <n v="2025"/>
    <x v="0"/>
    <n v="-0.10146968548008559"/>
    <n v="488.7"/>
    <s v="Medium"/>
    <s v="Repeat"/>
    <s v="Below Avg"/>
    <s v="Loss"/>
    <n v="400"/>
  </r>
  <r>
    <n v="369"/>
    <x v="368"/>
    <n v="1097"/>
    <s v="Customer_32"/>
    <s v="Corporate"/>
    <s v="East"/>
    <s v="Clothing"/>
    <s v="Product_C"/>
    <n v="4451"/>
    <n v="6"/>
    <n v="0.12"/>
    <n v="978"/>
    <s v="UPI"/>
    <n v="23501.279999999999"/>
    <x v="0"/>
    <n v="2025"/>
    <x v="0"/>
    <n v="4.1614754600600483E-2"/>
    <n v="3204.72"/>
    <s v="High"/>
    <s v="Repeat"/>
    <s v="Above Avg"/>
    <s v="Profit"/>
    <n v="57"/>
  </r>
  <r>
    <n v="370"/>
    <x v="369"/>
    <n v="1003"/>
    <s v="Customer_2"/>
    <s v="Consumer"/>
    <s v="South"/>
    <s v="Furniture"/>
    <s v="Product_D"/>
    <n v="1480"/>
    <n v="7"/>
    <n v="0.26"/>
    <n v="1989"/>
    <s v="UPI"/>
    <n v="7666.4"/>
    <x v="0"/>
    <n v="2025"/>
    <x v="0"/>
    <n v="0.25944380674110407"/>
    <n v="2693.6"/>
    <s v="High"/>
    <s v="Repeat"/>
    <s v="Below Avg"/>
    <s v="Profit"/>
    <n v="261"/>
  </r>
  <r>
    <n v="371"/>
    <x v="370"/>
    <n v="1000"/>
    <s v="Customer_138"/>
    <s v="Corporate"/>
    <s v="South"/>
    <s v="Clothing"/>
    <s v="Product_C"/>
    <n v="241"/>
    <n v="7"/>
    <n v="0.04"/>
    <n v="967"/>
    <s v="COD"/>
    <n v="1619.52"/>
    <x v="0"/>
    <n v="2025"/>
    <x v="0"/>
    <n v="0.5970904959494171"/>
    <n v="67.48"/>
    <s v="Low"/>
    <s v="Repeat"/>
    <s v="Below Avg"/>
    <s v="Profit"/>
    <n v="452"/>
  </r>
  <r>
    <n v="372"/>
    <x v="371"/>
    <n v="1077"/>
    <s v="Customer_124"/>
    <s v="Corporate"/>
    <s v="South"/>
    <s v="Clothing"/>
    <s v="Product_D"/>
    <n v="1316"/>
    <n v="6"/>
    <n v="0.27"/>
    <n v="-31"/>
    <s v="COD"/>
    <n v="5764.08"/>
    <x v="0"/>
    <n v="2025"/>
    <x v="0"/>
    <n v="-5.3781349322008024E-3"/>
    <n v="2131.92"/>
    <s v="High"/>
    <s v="Repeat"/>
    <s v="Below Avg"/>
    <s v="Loss"/>
    <n v="302"/>
  </r>
  <r>
    <n v="373"/>
    <x v="372"/>
    <n v="1094"/>
    <s v="Customer_174"/>
    <s v="Consumer"/>
    <s v="West"/>
    <s v="Electronics"/>
    <s v="Product_C"/>
    <n v="3947"/>
    <n v="8"/>
    <n v="0.08"/>
    <n v="655"/>
    <s v="COD"/>
    <n v="29049.919999999998"/>
    <x v="0"/>
    <n v="2025"/>
    <x v="0"/>
    <n v="2.2547394278538462E-2"/>
    <n v="2526.08"/>
    <s v="High"/>
    <s v="Repeat"/>
    <s v="Above Avg"/>
    <s v="Profit"/>
    <n v="27"/>
  </r>
  <r>
    <n v="374"/>
    <x v="373"/>
    <n v="1037"/>
    <s v="Customer_22"/>
    <s v="Consumer"/>
    <s v="East"/>
    <s v="Furniture"/>
    <s v="Product_B"/>
    <n v="4287"/>
    <n v="8"/>
    <n v="0.18"/>
    <n v="312"/>
    <s v="UPI"/>
    <n v="28122.720000000001"/>
    <x v="0"/>
    <n v="2025"/>
    <x v="0"/>
    <n v="1.1094232705798016E-2"/>
    <n v="6173.28"/>
    <s v="High"/>
    <s v="Repeat"/>
    <s v="Above Avg"/>
    <s v="Profit"/>
    <n v="30"/>
  </r>
  <r>
    <n v="375"/>
    <x v="374"/>
    <n v="1052"/>
    <s v="Customer_73"/>
    <s v="Corporate"/>
    <s v="East"/>
    <s v="Clothing"/>
    <s v="Product_C"/>
    <n v="1876"/>
    <n v="1"/>
    <n v="0.11"/>
    <n v="486"/>
    <s v="Card"/>
    <n v="1669.64"/>
    <x v="0"/>
    <n v="2025"/>
    <x v="0"/>
    <n v="0.29108071200977453"/>
    <n v="206.36"/>
    <s v="Low"/>
    <s v="Repeat"/>
    <s v="Below Avg"/>
    <s v="Profit"/>
    <n v="448"/>
  </r>
  <r>
    <n v="376"/>
    <x v="375"/>
    <n v="1083"/>
    <s v="Customer_118"/>
    <s v="Corporate"/>
    <s v="South"/>
    <s v="Furniture"/>
    <s v="Product_C"/>
    <n v="3751"/>
    <n v="9"/>
    <n v="0.28000000000000003"/>
    <n v="339"/>
    <s v="COD"/>
    <n v="24306.48"/>
    <x v="0"/>
    <n v="2025"/>
    <x v="0"/>
    <n v="1.3946898111120985E-2"/>
    <n v="9452.52"/>
    <s v="High"/>
    <s v="Repeat"/>
    <s v="Above Avg"/>
    <s v="Profit"/>
    <n v="49"/>
  </r>
  <r>
    <n v="377"/>
    <x v="376"/>
    <n v="1002"/>
    <s v="Customer_55"/>
    <s v="Consumer"/>
    <s v="South"/>
    <s v="Electronics"/>
    <s v="Product_B"/>
    <n v="2552"/>
    <n v="4"/>
    <n v="0.06"/>
    <n v="-131"/>
    <s v="UPI"/>
    <n v="9595.5199999999895"/>
    <x v="0"/>
    <n v="2025"/>
    <x v="0"/>
    <n v="-1.3652204362035632E-2"/>
    <n v="612.48"/>
    <s v="High"/>
    <s v="Repeat"/>
    <s v="Below Avg"/>
    <s v="Loss"/>
    <n v="213"/>
  </r>
  <r>
    <n v="378"/>
    <x v="377"/>
    <n v="1098"/>
    <s v="Customer_187"/>
    <s v="Corporate"/>
    <s v="North"/>
    <s v="Electronics"/>
    <s v="Product_C"/>
    <n v="817"/>
    <n v="4"/>
    <n v="0.15"/>
    <n v="514"/>
    <s v="UPI"/>
    <n v="2777.7999999999902"/>
    <x v="0"/>
    <n v="2025"/>
    <x v="0"/>
    <n v="0.18503851969184312"/>
    <n v="490.2"/>
    <s v="Medium"/>
    <s v="Repeat"/>
    <s v="Below Avg"/>
    <s v="Profit"/>
    <n v="399"/>
  </r>
  <r>
    <n v="379"/>
    <x v="378"/>
    <n v="1096"/>
    <s v="Customer_30"/>
    <s v="Corporate"/>
    <s v="South"/>
    <s v="Clothing"/>
    <s v="Product_B"/>
    <n v="660"/>
    <n v="9"/>
    <n v="7.0000000000000007E-2"/>
    <n v="-250"/>
    <s v="UPI"/>
    <n v="5524.2"/>
    <x v="0"/>
    <n v="2025"/>
    <x v="0"/>
    <n v="-4.5255421599507621E-2"/>
    <n v="415.8"/>
    <s v="High"/>
    <s v="Repeat"/>
    <s v="Below Avg"/>
    <s v="Loss"/>
    <n v="308"/>
  </r>
  <r>
    <n v="380"/>
    <x v="379"/>
    <n v="1014"/>
    <s v="Customer_181"/>
    <s v="Consumer"/>
    <s v="West"/>
    <s v="Furniture"/>
    <s v="Product_B"/>
    <n v="1004"/>
    <n v="2"/>
    <n v="0.24"/>
    <n v="-339"/>
    <s v="UPI"/>
    <n v="1526.08"/>
    <x v="0"/>
    <n v="2025"/>
    <x v="0"/>
    <n v="-0.2221377647305515"/>
    <n v="481.91999999999996"/>
    <s v="Low"/>
    <s v="Repeat"/>
    <s v="Below Avg"/>
    <s v="Loss"/>
    <n v="456"/>
  </r>
  <r>
    <n v="381"/>
    <x v="380"/>
    <n v="1002"/>
    <s v="Customer_89"/>
    <s v="Consumer"/>
    <s v="South"/>
    <s v="Clothing"/>
    <s v="Product_D"/>
    <n v="1036"/>
    <n v="6"/>
    <n v="0.08"/>
    <n v="162"/>
    <s v="COD"/>
    <n v="5718.72"/>
    <x v="0"/>
    <n v="2025"/>
    <x v="0"/>
    <n v="2.8328017458452238E-2"/>
    <n v="497.28000000000003"/>
    <s v="High"/>
    <s v="Repeat"/>
    <s v="Below Avg"/>
    <s v="Profit"/>
    <n v="303"/>
  </r>
  <r>
    <n v="382"/>
    <x v="381"/>
    <n v="1091"/>
    <s v="Customer_21"/>
    <s v="Consumer"/>
    <s v="East"/>
    <s v="Furniture"/>
    <s v="Product_C"/>
    <n v="396"/>
    <n v="2"/>
    <n v="0.28999999999999998"/>
    <n v="1960"/>
    <s v="Card"/>
    <n v="562.31999999999903"/>
    <x v="0"/>
    <n v="2025"/>
    <x v="0"/>
    <n v="3.4855598235879985"/>
    <n v="229.67999999999998"/>
    <s v="Low"/>
    <s v="Repeat"/>
    <s v="Below Avg"/>
    <s v="Profit"/>
    <n v="488"/>
  </r>
  <r>
    <n v="383"/>
    <x v="382"/>
    <n v="1090"/>
    <s v="Customer_82"/>
    <s v="Consumer"/>
    <s v="West"/>
    <s v="Furniture"/>
    <s v="Product_B"/>
    <n v="4994"/>
    <n v="9"/>
    <n v="0.28000000000000003"/>
    <n v="992"/>
    <s v="COD"/>
    <n v="32361.119999999999"/>
    <x v="0"/>
    <n v="2025"/>
    <x v="0"/>
    <n v="3.0654068833217144E-2"/>
    <n v="12584.880000000001"/>
    <s v="High"/>
    <s v="Repeat"/>
    <s v="Above Avg"/>
    <s v="Profit"/>
    <n v="20"/>
  </r>
  <r>
    <n v="384"/>
    <x v="383"/>
    <n v="1032"/>
    <s v="Customer_20"/>
    <s v="Corporate"/>
    <s v="North"/>
    <s v="Electronics"/>
    <s v="Product_A"/>
    <n v="1860"/>
    <n v="3"/>
    <n v="0.14000000000000001"/>
    <n v="1994"/>
    <s v="Card"/>
    <n v="4798.8"/>
    <x v="0"/>
    <n v="2025"/>
    <x v="0"/>
    <n v="0.41552054680336747"/>
    <n v="781.2"/>
    <s v="Medium"/>
    <s v="Repeat"/>
    <s v="Below Avg"/>
    <s v="Profit"/>
    <n v="330"/>
  </r>
  <r>
    <n v="385"/>
    <x v="384"/>
    <n v="1082"/>
    <s v="Customer_113"/>
    <s v="Corporate"/>
    <s v="West"/>
    <s v="Clothing"/>
    <s v="Product_C"/>
    <n v="1299"/>
    <n v="6"/>
    <n v="0"/>
    <n v="92"/>
    <s v="UPI"/>
    <n v="7794"/>
    <x v="0"/>
    <n v="2025"/>
    <x v="0"/>
    <n v="1.1803951757762381E-2"/>
    <n v="0"/>
    <s v="High"/>
    <s v="Repeat"/>
    <s v="Below Avg"/>
    <s v="Profit"/>
    <n v="256"/>
  </r>
  <r>
    <n v="386"/>
    <x v="385"/>
    <n v="1055"/>
    <s v="Customer_167"/>
    <s v="Consumer"/>
    <s v="North"/>
    <s v="Furniture"/>
    <s v="Product_C"/>
    <n v="4386"/>
    <n v="3"/>
    <n v="0.28999999999999998"/>
    <n v="838"/>
    <s v="COD"/>
    <n v="9342.18"/>
    <x v="0"/>
    <n v="2025"/>
    <x v="0"/>
    <n v="8.9700690845177455E-2"/>
    <n v="3815.8199999999997"/>
    <s v="High"/>
    <s v="Repeat"/>
    <s v="Below Avg"/>
    <s v="Profit"/>
    <n v="224"/>
  </r>
  <r>
    <n v="387"/>
    <x v="386"/>
    <n v="1032"/>
    <s v="Customer_35"/>
    <s v="Consumer"/>
    <s v="North"/>
    <s v="Electronics"/>
    <s v="Product_A"/>
    <n v="3993"/>
    <n v="5"/>
    <n v="0.21"/>
    <n v="1730"/>
    <s v="COD"/>
    <n v="15772.35"/>
    <x v="0"/>
    <n v="2025"/>
    <x v="0"/>
    <n v="0.10968562072234005"/>
    <n v="4192.6499999999996"/>
    <s v="High"/>
    <s v="Repeat"/>
    <s v="Above Avg"/>
    <s v="Profit"/>
    <n v="132"/>
  </r>
  <r>
    <n v="388"/>
    <x v="387"/>
    <n v="1030"/>
    <s v="Customer_29"/>
    <s v="Consumer"/>
    <s v="East"/>
    <s v="Electronics"/>
    <s v="Product_B"/>
    <n v="1045"/>
    <n v="3"/>
    <n v="0.15"/>
    <n v="1869"/>
    <s v="Card"/>
    <n v="2664.75"/>
    <x v="0"/>
    <n v="2025"/>
    <x v="0"/>
    <n v="0.70137911623979732"/>
    <n v="470.25"/>
    <s v="Medium"/>
    <s v="Repeat"/>
    <s v="Below Avg"/>
    <s v="Profit"/>
    <n v="405"/>
  </r>
  <r>
    <n v="389"/>
    <x v="388"/>
    <n v="1003"/>
    <s v="Customer_110"/>
    <s v="Corporate"/>
    <s v="West"/>
    <s v="Furniture"/>
    <s v="Product_C"/>
    <n v="1736"/>
    <n v="8"/>
    <n v="0.18"/>
    <n v="492"/>
    <s v="COD"/>
    <n v="11388.16"/>
    <x v="0"/>
    <n v="2025"/>
    <x v="0"/>
    <n v="4.3202764976958526E-2"/>
    <n v="2499.8399999999997"/>
    <s v="High"/>
    <s v="Repeat"/>
    <s v="Above Avg"/>
    <s v="Profit"/>
    <n v="183"/>
  </r>
  <r>
    <n v="390"/>
    <x v="389"/>
    <n v="1095"/>
    <s v="Customer_56"/>
    <s v="Consumer"/>
    <s v="North"/>
    <s v="Clothing"/>
    <s v="Product_A"/>
    <n v="2341"/>
    <n v="4"/>
    <n v="0.03"/>
    <n v="1730"/>
    <s v="Card"/>
    <n v="9083.08"/>
    <x v="0"/>
    <n v="2025"/>
    <x v="0"/>
    <n v="0.19046402762058684"/>
    <n v="280.92"/>
    <s v="High"/>
    <s v="Repeat"/>
    <s v="Below Avg"/>
    <s v="Profit"/>
    <n v="229"/>
  </r>
  <r>
    <n v="391"/>
    <x v="390"/>
    <n v="1091"/>
    <s v="Customer_116"/>
    <s v="Consumer"/>
    <s v="West"/>
    <s v="Clothing"/>
    <s v="Product_C"/>
    <n v="3013"/>
    <n v="3"/>
    <n v="0.05"/>
    <n v="1502"/>
    <s v="COD"/>
    <n v="8587.0499999999993"/>
    <x v="0"/>
    <n v="2025"/>
    <x v="0"/>
    <n v="0.17491455156310959"/>
    <n v="451.95000000000005"/>
    <s v="High"/>
    <s v="Repeat"/>
    <s v="Below Avg"/>
    <s v="Profit"/>
    <n v="237"/>
  </r>
  <r>
    <n v="392"/>
    <x v="391"/>
    <n v="1079"/>
    <s v="Customer_183"/>
    <s v="Corporate"/>
    <s v="North"/>
    <s v="Clothing"/>
    <s v="Product_D"/>
    <n v="3266"/>
    <n v="8"/>
    <n v="0.19"/>
    <n v="658"/>
    <s v="UPI"/>
    <n v="21163.68"/>
    <x v="0"/>
    <n v="2025"/>
    <x v="0"/>
    <n v="3.1091001186939134E-2"/>
    <n v="4964.32"/>
    <s v="High"/>
    <s v="Repeat"/>
    <s v="Above Avg"/>
    <s v="Profit"/>
    <n v="73"/>
  </r>
  <r>
    <n v="393"/>
    <x v="392"/>
    <n v="1091"/>
    <s v="Customer_181"/>
    <s v="Consumer"/>
    <s v="South"/>
    <s v="Clothing"/>
    <s v="Product_C"/>
    <n v="4888"/>
    <n v="7"/>
    <n v="0.01"/>
    <n v="249"/>
    <s v="COD"/>
    <n v="33873.839999999997"/>
    <x v="0"/>
    <n v="2025"/>
    <x v="0"/>
    <n v="7.3508052231456497E-3"/>
    <n v="342.16"/>
    <s v="High"/>
    <s v="Repeat"/>
    <s v="Above Avg"/>
    <s v="Profit"/>
    <n v="15"/>
  </r>
  <r>
    <n v="394"/>
    <x v="393"/>
    <n v="1078"/>
    <s v="Customer_176"/>
    <s v="Corporate"/>
    <s v="South"/>
    <s v="Electronics"/>
    <s v="Product_B"/>
    <n v="4543"/>
    <n v="1"/>
    <n v="0.21"/>
    <n v="62"/>
    <s v="UPI"/>
    <n v="3588.97"/>
    <x v="0"/>
    <n v="2025"/>
    <x v="0"/>
    <n v="1.7275151366548065E-2"/>
    <n v="954.03"/>
    <s v="Medium"/>
    <s v="Repeat"/>
    <s v="Below Avg"/>
    <s v="Profit"/>
    <n v="370"/>
  </r>
  <r>
    <n v="395"/>
    <x v="394"/>
    <n v="1021"/>
    <s v="Customer_67"/>
    <s v="Corporate"/>
    <s v="West"/>
    <s v="Clothing"/>
    <s v="Product_B"/>
    <n v="2496"/>
    <n v="3"/>
    <n v="0.28000000000000003"/>
    <n v="455"/>
    <s v="Card"/>
    <n v="5391.36"/>
    <x v="0"/>
    <n v="2025"/>
    <x v="0"/>
    <n v="8.4394290123456797E-2"/>
    <n v="2096.6400000000003"/>
    <s v="High"/>
    <s v="Repeat"/>
    <s v="Below Avg"/>
    <s v="Profit"/>
    <n v="313"/>
  </r>
  <r>
    <n v="396"/>
    <x v="395"/>
    <n v="1030"/>
    <s v="Customer_183"/>
    <s v="Consumer"/>
    <s v="West"/>
    <s v="Clothing"/>
    <s v="Product_C"/>
    <n v="1506"/>
    <n v="3"/>
    <n v="0.21"/>
    <n v="-309"/>
    <s v="UPI"/>
    <n v="3569.22"/>
    <x v="0"/>
    <n v="2025"/>
    <x v="0"/>
    <n v="-8.6573537075327389E-2"/>
    <n v="948.78"/>
    <s v="Medium"/>
    <s v="Repeat"/>
    <s v="Below Avg"/>
    <s v="Loss"/>
    <n v="373"/>
  </r>
  <r>
    <n v="397"/>
    <x v="396"/>
    <n v="1059"/>
    <s v="Customer_32"/>
    <s v="Corporate"/>
    <s v="North"/>
    <s v="Furniture"/>
    <s v="Product_A"/>
    <n v="593"/>
    <n v="4"/>
    <n v="0.17"/>
    <n v="1059"/>
    <s v="Card"/>
    <n v="1968.76"/>
    <x v="0"/>
    <n v="2025"/>
    <x v="0"/>
    <n v="0.53790202970397616"/>
    <n v="403.24"/>
    <s v="Low"/>
    <s v="Repeat"/>
    <s v="Below Avg"/>
    <s v="Profit"/>
    <n v="432"/>
  </r>
  <r>
    <n v="398"/>
    <x v="397"/>
    <n v="1084"/>
    <s v="Customer_58"/>
    <s v="Corporate"/>
    <s v="North"/>
    <s v="Furniture"/>
    <s v="Product_A"/>
    <n v="2132"/>
    <n v="1"/>
    <n v="0.24"/>
    <n v="1264"/>
    <s v="COD"/>
    <n v="1620.32"/>
    <x v="1"/>
    <n v="2025"/>
    <x v="0"/>
    <n v="0.78009282117112677"/>
    <n v="511.68"/>
    <s v="Low"/>
    <s v="Repeat"/>
    <s v="Below Avg"/>
    <s v="Profit"/>
    <n v="451"/>
  </r>
  <r>
    <n v="399"/>
    <x v="398"/>
    <n v="1031"/>
    <s v="Customer_78"/>
    <s v="Consumer"/>
    <s v="North"/>
    <s v="Furniture"/>
    <s v="Product_A"/>
    <n v="160"/>
    <n v="9"/>
    <n v="0.22"/>
    <n v="121"/>
    <s v="UPI"/>
    <n v="1123.2"/>
    <x v="1"/>
    <n v="2025"/>
    <x v="0"/>
    <n v="0.10772792022792023"/>
    <n v="316.8"/>
    <s v="Low"/>
    <s v="New"/>
    <s v="Below Avg"/>
    <s v="Profit"/>
    <n v="473"/>
  </r>
  <r>
    <n v="400"/>
    <x v="399"/>
    <n v="1070"/>
    <s v="Customer_69"/>
    <s v="Consumer"/>
    <s v="East"/>
    <s v="Furniture"/>
    <s v="Product_B"/>
    <n v="1845"/>
    <n v="2"/>
    <n v="0.18"/>
    <n v="-188"/>
    <s v="COD"/>
    <n v="3025.8"/>
    <x v="1"/>
    <n v="2025"/>
    <x v="0"/>
    <n v="-6.2132328640359571E-2"/>
    <n v="664.19999999999993"/>
    <s v="Medium"/>
    <s v="Repeat"/>
    <s v="Below Avg"/>
    <s v="Loss"/>
    <n v="391"/>
  </r>
  <r>
    <n v="401"/>
    <x v="400"/>
    <n v="1096"/>
    <s v="Customer_28"/>
    <s v="Consumer"/>
    <s v="East"/>
    <s v="Electronics"/>
    <s v="Product_C"/>
    <n v="3601"/>
    <n v="7"/>
    <n v="0.06"/>
    <n v="774"/>
    <s v="Card"/>
    <n v="23694.5799999999"/>
    <x v="1"/>
    <n v="2025"/>
    <x v="0"/>
    <n v="3.2665698231410023E-2"/>
    <n v="1512.4199999999998"/>
    <s v="High"/>
    <s v="Repeat"/>
    <s v="Above Avg"/>
    <s v="Profit"/>
    <n v="54"/>
  </r>
  <r>
    <n v="402"/>
    <x v="401"/>
    <n v="1007"/>
    <s v="Customer_72"/>
    <s v="Consumer"/>
    <s v="West"/>
    <s v="Clothing"/>
    <s v="Product_D"/>
    <n v="1056"/>
    <n v="2"/>
    <n v="0"/>
    <n v="1283"/>
    <s v="UPI"/>
    <n v="2112"/>
    <x v="1"/>
    <n v="2025"/>
    <x v="0"/>
    <n v="0.60748106060606055"/>
    <n v="0"/>
    <s v="Medium"/>
    <s v="Repeat"/>
    <s v="Below Avg"/>
    <s v="Profit"/>
    <n v="422"/>
  </r>
  <r>
    <n v="403"/>
    <x v="402"/>
    <n v="1077"/>
    <s v="Customer_109"/>
    <s v="Consumer"/>
    <s v="West"/>
    <s v="Clothing"/>
    <s v="Product_D"/>
    <n v="4889"/>
    <n v="8"/>
    <n v="0.14000000000000001"/>
    <n v="517"/>
    <s v="UPI"/>
    <n v="33636.32"/>
    <x v="1"/>
    <n v="2025"/>
    <x v="0"/>
    <n v="1.5370290210106219E-2"/>
    <n v="5475.68"/>
    <s v="High"/>
    <s v="Repeat"/>
    <s v="Above Avg"/>
    <s v="Profit"/>
    <n v="16"/>
  </r>
  <r>
    <n v="404"/>
    <x v="403"/>
    <n v="1061"/>
    <s v="Customer_60"/>
    <s v="Consumer"/>
    <s v="South"/>
    <s v="Electronics"/>
    <s v="Product_D"/>
    <n v="4231"/>
    <n v="3"/>
    <n v="7.0000000000000007E-2"/>
    <n v="-225"/>
    <s v="UPI"/>
    <n v="11804.49"/>
    <x v="1"/>
    <n v="2025"/>
    <x v="0"/>
    <n v="-1.9060543911681063E-2"/>
    <n v="888.5100000000001"/>
    <s v="High"/>
    <s v="Repeat"/>
    <s v="Above Avg"/>
    <s v="Loss"/>
    <n v="172"/>
  </r>
  <r>
    <n v="405"/>
    <x v="404"/>
    <n v="1088"/>
    <s v="Customer_13"/>
    <s v="Corporate"/>
    <s v="South"/>
    <s v="Electronics"/>
    <s v="Product_B"/>
    <n v="2954"/>
    <n v="6"/>
    <n v="7.0000000000000007E-2"/>
    <n v="-111"/>
    <s v="COD"/>
    <n v="16483.32"/>
    <x v="1"/>
    <n v="2025"/>
    <x v="0"/>
    <n v="-6.7340802702368216E-3"/>
    <n v="1240.68"/>
    <s v="High"/>
    <s v="Repeat"/>
    <s v="Above Avg"/>
    <s v="Loss"/>
    <n v="115"/>
  </r>
  <r>
    <n v="406"/>
    <x v="405"/>
    <n v="1095"/>
    <s v="Customer_18"/>
    <s v="Corporate"/>
    <s v="West"/>
    <s v="Electronics"/>
    <s v="Product_D"/>
    <n v="3263"/>
    <n v="8"/>
    <n v="0.15"/>
    <n v="562"/>
    <s v="COD"/>
    <n v="22188.3999999999"/>
    <x v="1"/>
    <n v="2025"/>
    <x v="0"/>
    <n v="2.5328550053181055E-2"/>
    <n v="3915.6"/>
    <s v="High"/>
    <s v="Repeat"/>
    <s v="Above Avg"/>
    <s v="Profit"/>
    <n v="65"/>
  </r>
  <r>
    <n v="407"/>
    <x v="406"/>
    <n v="1027"/>
    <s v="Customer_179"/>
    <s v="Corporate"/>
    <s v="North"/>
    <s v="Electronics"/>
    <s v="Product_D"/>
    <n v="1024"/>
    <n v="5"/>
    <n v="0.11"/>
    <n v="538"/>
    <s v="COD"/>
    <n v="4556.8"/>
    <x v="1"/>
    <n v="2025"/>
    <x v="0"/>
    <n v="0.11806530898876404"/>
    <n v="563.20000000000005"/>
    <s v="Medium"/>
    <s v="Repeat"/>
    <s v="Below Avg"/>
    <s v="Profit"/>
    <n v="337"/>
  </r>
  <r>
    <n v="408"/>
    <x v="407"/>
    <n v="1065"/>
    <s v="Customer_50"/>
    <s v="Consumer"/>
    <s v="East"/>
    <s v="Clothing"/>
    <s v="Product_A"/>
    <n v="2288"/>
    <n v="7"/>
    <n v="0.15"/>
    <n v="634"/>
    <s v="Card"/>
    <n v="13613.6"/>
    <x v="1"/>
    <n v="2025"/>
    <x v="0"/>
    <n v="4.6571075982840687E-2"/>
    <n v="2402.4"/>
    <s v="High"/>
    <s v="Repeat"/>
    <s v="Above Avg"/>
    <s v="Profit"/>
    <n v="152"/>
  </r>
  <r>
    <n v="409"/>
    <x v="408"/>
    <n v="1016"/>
    <s v="Customer_43"/>
    <s v="Consumer"/>
    <s v="West"/>
    <s v="Electronics"/>
    <s v="Product_A"/>
    <n v="4617"/>
    <n v="9"/>
    <n v="0.08"/>
    <n v="1491"/>
    <s v="Card"/>
    <n v="38228.76"/>
    <x v="1"/>
    <n v="2025"/>
    <x v="0"/>
    <n v="3.9002049765673799E-2"/>
    <n v="3324.2400000000002"/>
    <s v="High"/>
    <s v="Repeat"/>
    <s v="Above Avg"/>
    <s v="Profit"/>
    <n v="5"/>
  </r>
  <r>
    <n v="410"/>
    <x v="409"/>
    <n v="1090"/>
    <s v="Customer_85"/>
    <s v="Consumer"/>
    <s v="West"/>
    <s v="Clothing"/>
    <s v="Product_D"/>
    <n v="1303"/>
    <n v="5"/>
    <n v="0.18"/>
    <n v="826"/>
    <s v="Card"/>
    <n v="5342.3"/>
    <x v="1"/>
    <n v="2025"/>
    <x v="0"/>
    <n v="0.15461505344140164"/>
    <n v="1172.7"/>
    <s v="High"/>
    <s v="Repeat"/>
    <s v="Below Avg"/>
    <s v="Profit"/>
    <n v="315"/>
  </r>
  <r>
    <n v="411"/>
    <x v="410"/>
    <n v="1001"/>
    <s v="Customer_46"/>
    <s v="Consumer"/>
    <s v="South"/>
    <s v="Furniture"/>
    <s v="Product_A"/>
    <n v="2942"/>
    <n v="7"/>
    <n v="0.19"/>
    <n v="90"/>
    <s v="UPI"/>
    <n v="16681.14"/>
    <x v="1"/>
    <n v="2025"/>
    <x v="0"/>
    <n v="5.3953147087069595E-3"/>
    <n v="3912.86"/>
    <s v="High"/>
    <s v="Repeat"/>
    <s v="Above Avg"/>
    <s v="Profit"/>
    <n v="109"/>
  </r>
  <r>
    <n v="412"/>
    <x v="411"/>
    <n v="1007"/>
    <s v="Customer_24"/>
    <s v="Consumer"/>
    <s v="West"/>
    <s v="Furniture"/>
    <s v="Product_C"/>
    <n v="3138"/>
    <n v="8"/>
    <n v="0.06"/>
    <n v="281"/>
    <s v="COD"/>
    <n v="23597.759999999998"/>
    <x v="1"/>
    <n v="2025"/>
    <x v="0"/>
    <n v="1.1907909903312858E-2"/>
    <n v="1506.24"/>
    <s v="High"/>
    <s v="Repeat"/>
    <s v="Above Avg"/>
    <s v="Profit"/>
    <n v="55"/>
  </r>
  <r>
    <n v="413"/>
    <x v="412"/>
    <n v="1037"/>
    <s v="Customer_5"/>
    <s v="Corporate"/>
    <s v="South"/>
    <s v="Electronics"/>
    <s v="Product_C"/>
    <n v="2851"/>
    <n v="4"/>
    <n v="0.17"/>
    <n v="385"/>
    <s v="Card"/>
    <n v="9465.32"/>
    <x v="1"/>
    <n v="2025"/>
    <x v="0"/>
    <n v="4.0674800218059193E-2"/>
    <n v="1938.68"/>
    <s v="High"/>
    <s v="Repeat"/>
    <s v="Below Avg"/>
    <s v="Profit"/>
    <n v="219"/>
  </r>
  <r>
    <n v="414"/>
    <x v="413"/>
    <n v="1019"/>
    <s v="Customer_158"/>
    <s v="Consumer"/>
    <s v="East"/>
    <s v="Clothing"/>
    <s v="Product_A"/>
    <n v="1181"/>
    <n v="8"/>
    <n v="0.13"/>
    <n v="-134"/>
    <s v="COD"/>
    <n v="8219.76"/>
    <x v="1"/>
    <n v="2025"/>
    <x v="0"/>
    <n v="-1.6302179139050289E-2"/>
    <n v="1228.24"/>
    <s v="High"/>
    <s v="Repeat"/>
    <s v="Below Avg"/>
    <s v="Loss"/>
    <n v="243"/>
  </r>
  <r>
    <n v="415"/>
    <x v="414"/>
    <n v="1063"/>
    <s v="Customer_43"/>
    <s v="Corporate"/>
    <s v="West"/>
    <s v="Furniture"/>
    <s v="Product_A"/>
    <n v="4382"/>
    <n v="8"/>
    <n v="0.28999999999999998"/>
    <n v="420"/>
    <s v="UPI"/>
    <n v="24889.759999999998"/>
    <x v="1"/>
    <n v="2025"/>
    <x v="0"/>
    <n v="1.6874409395671152E-2"/>
    <n v="10166.24"/>
    <s v="High"/>
    <s v="Repeat"/>
    <s v="Above Avg"/>
    <s v="Profit"/>
    <n v="43"/>
  </r>
  <r>
    <n v="416"/>
    <x v="415"/>
    <n v="1020"/>
    <s v="Customer_53"/>
    <s v="Consumer"/>
    <s v="East"/>
    <s v="Furniture"/>
    <s v="Product_C"/>
    <n v="346"/>
    <n v="1"/>
    <n v="0.22"/>
    <n v="1283"/>
    <s v="COD"/>
    <n v="269.88"/>
    <x v="1"/>
    <n v="2025"/>
    <x v="0"/>
    <n v="4.7539647250629908"/>
    <n v="76.12"/>
    <s v="Low"/>
    <s v="Repeat"/>
    <s v="Below Avg"/>
    <s v="Profit"/>
    <n v="497"/>
  </r>
  <r>
    <n v="417"/>
    <x v="416"/>
    <n v="1089"/>
    <s v="Customer_152"/>
    <s v="Consumer"/>
    <s v="South"/>
    <s v="Electronics"/>
    <s v="Product_B"/>
    <n v="895"/>
    <n v="7"/>
    <n v="0.05"/>
    <n v="305"/>
    <s v="Card"/>
    <n v="5951.75"/>
    <x v="1"/>
    <n v="2025"/>
    <x v="0"/>
    <n v="5.1245432015793672E-2"/>
    <n v="313.25"/>
    <s v="High"/>
    <s v="Repeat"/>
    <s v="Below Avg"/>
    <s v="Profit"/>
    <n v="299"/>
  </r>
  <r>
    <n v="418"/>
    <x v="417"/>
    <n v="1030"/>
    <s v="Customer_103"/>
    <s v="Consumer"/>
    <s v="North"/>
    <s v="Clothing"/>
    <s v="Product_D"/>
    <n v="3786"/>
    <n v="6"/>
    <n v="0.26"/>
    <n v="1046"/>
    <s v="UPI"/>
    <n v="16809.84"/>
    <x v="1"/>
    <n v="2025"/>
    <x v="0"/>
    <n v="6.2225458421971892E-2"/>
    <n v="5906.16"/>
    <s v="High"/>
    <s v="Repeat"/>
    <s v="Above Avg"/>
    <s v="Profit"/>
    <n v="106"/>
  </r>
  <r>
    <n v="419"/>
    <x v="418"/>
    <n v="1083"/>
    <s v="Customer_142"/>
    <s v="Corporate"/>
    <s v="North"/>
    <s v="Electronics"/>
    <s v="Product_A"/>
    <n v="1037"/>
    <n v="9"/>
    <n v="0.14000000000000001"/>
    <n v="1107"/>
    <s v="Card"/>
    <n v="8026.38"/>
    <x v="1"/>
    <n v="2025"/>
    <x v="0"/>
    <n v="0.13792020811374492"/>
    <n v="1306.6200000000001"/>
    <s v="High"/>
    <s v="Repeat"/>
    <s v="Below Avg"/>
    <s v="Profit"/>
    <n v="253"/>
  </r>
  <r>
    <n v="420"/>
    <x v="419"/>
    <n v="1069"/>
    <s v="Customer_164"/>
    <s v="Corporate"/>
    <s v="East"/>
    <s v="Clothing"/>
    <s v="Product_B"/>
    <n v="2011"/>
    <n v="8"/>
    <n v="0.25"/>
    <n v="1506"/>
    <s v="Card"/>
    <n v="12066"/>
    <x v="1"/>
    <n v="2025"/>
    <x v="0"/>
    <n v="0.12481352560914968"/>
    <n v="4022"/>
    <s v="High"/>
    <s v="Repeat"/>
    <s v="Above Avg"/>
    <s v="Profit"/>
    <n v="166"/>
  </r>
  <r>
    <n v="421"/>
    <x v="420"/>
    <n v="1014"/>
    <s v="Customer_154"/>
    <s v="Consumer"/>
    <s v="North"/>
    <s v="Clothing"/>
    <s v="Product_D"/>
    <n v="1278"/>
    <n v="4"/>
    <n v="0.25"/>
    <n v="-41"/>
    <s v="Card"/>
    <n v="3834"/>
    <x v="1"/>
    <n v="2025"/>
    <x v="0"/>
    <n v="-1.069379238393323E-2"/>
    <n v="1278"/>
    <s v="Medium"/>
    <s v="Repeat"/>
    <s v="Below Avg"/>
    <s v="Loss"/>
    <n v="362"/>
  </r>
  <r>
    <n v="422"/>
    <x v="421"/>
    <n v="1056"/>
    <s v="Customer_13"/>
    <s v="Corporate"/>
    <s v="East"/>
    <s v="Clothing"/>
    <s v="Product_A"/>
    <n v="837"/>
    <n v="2"/>
    <n v="0.01"/>
    <n v="1937"/>
    <s v="COD"/>
    <n v="1657.26"/>
    <x v="1"/>
    <n v="2025"/>
    <x v="0"/>
    <n v="1.1687966885099501"/>
    <n v="16.740000000000002"/>
    <s v="Low"/>
    <s v="Repeat"/>
    <s v="Below Avg"/>
    <s v="Profit"/>
    <n v="449"/>
  </r>
  <r>
    <n v="423"/>
    <x v="422"/>
    <n v="1000"/>
    <s v="Customer_21"/>
    <s v="Consumer"/>
    <s v="North"/>
    <s v="Clothing"/>
    <s v="Product_A"/>
    <n v="734"/>
    <n v="3"/>
    <n v="7.0000000000000007E-2"/>
    <n v="1682"/>
    <s v="UPI"/>
    <n v="2047.86"/>
    <x v="1"/>
    <n v="2025"/>
    <x v="0"/>
    <n v="0.82134520914515641"/>
    <n v="154.14000000000001"/>
    <s v="Medium"/>
    <s v="Repeat"/>
    <s v="Below Avg"/>
    <s v="Profit"/>
    <n v="427"/>
  </r>
  <r>
    <n v="424"/>
    <x v="423"/>
    <n v="1089"/>
    <s v="Customer_90"/>
    <s v="Corporate"/>
    <s v="West"/>
    <s v="Electronics"/>
    <s v="Product_B"/>
    <n v="316"/>
    <n v="7"/>
    <n v="0.27"/>
    <n v="1139"/>
    <s v="Card"/>
    <n v="1614.76"/>
    <x v="1"/>
    <n v="2025"/>
    <x v="0"/>
    <n v="0.70536798038098536"/>
    <n v="597.24"/>
    <s v="Low"/>
    <s v="Repeat"/>
    <s v="Below Avg"/>
    <s v="Profit"/>
    <n v="453"/>
  </r>
  <r>
    <n v="425"/>
    <x v="424"/>
    <n v="1028"/>
    <s v="Customer_98"/>
    <s v="Consumer"/>
    <s v="South"/>
    <s v="Furniture"/>
    <s v="Product_D"/>
    <n v="519"/>
    <n v="9"/>
    <n v="0.23"/>
    <n v="411"/>
    <s v="Card"/>
    <n v="3596.67"/>
    <x v="1"/>
    <n v="2025"/>
    <x v="0"/>
    <n v="0.11427236860762872"/>
    <n v="1074.3300000000002"/>
    <s v="Medium"/>
    <s v="Repeat"/>
    <s v="Below Avg"/>
    <s v="Profit"/>
    <n v="369"/>
  </r>
  <r>
    <n v="426"/>
    <x v="425"/>
    <n v="1065"/>
    <s v="Customer_40"/>
    <s v="Consumer"/>
    <s v="North"/>
    <s v="Clothing"/>
    <s v="Product_A"/>
    <n v="2662"/>
    <n v="3"/>
    <n v="0.04"/>
    <n v="1264"/>
    <s v="UPI"/>
    <n v="7666.5599999999904"/>
    <x v="2"/>
    <n v="2025"/>
    <x v="0"/>
    <n v="0.16487185908673532"/>
    <n v="319.44"/>
    <s v="High"/>
    <s v="Repeat"/>
    <s v="Below Avg"/>
    <s v="Profit"/>
    <n v="260"/>
  </r>
  <r>
    <n v="427"/>
    <x v="426"/>
    <n v="1021"/>
    <s v="Customer_43"/>
    <s v="Consumer"/>
    <s v="East"/>
    <s v="Clothing"/>
    <s v="Product_D"/>
    <n v="408"/>
    <n v="7"/>
    <n v="0.06"/>
    <n v="1876"/>
    <s v="Card"/>
    <n v="2684.64"/>
    <x v="2"/>
    <n v="2025"/>
    <x v="0"/>
    <n v="0.69879015435961622"/>
    <n v="171.35999999999999"/>
    <s v="Medium"/>
    <s v="Repeat"/>
    <s v="Below Avg"/>
    <s v="Profit"/>
    <n v="402"/>
  </r>
  <r>
    <n v="428"/>
    <x v="427"/>
    <n v="1060"/>
    <s v="Customer_59"/>
    <s v="Consumer"/>
    <s v="South"/>
    <s v="Clothing"/>
    <s v="Product_D"/>
    <n v="4903"/>
    <n v="1"/>
    <n v="0.19"/>
    <n v="1541"/>
    <s v="UPI"/>
    <n v="3971.43"/>
    <x v="2"/>
    <n v="2025"/>
    <x v="0"/>
    <n v="0.38802144315775428"/>
    <n v="931.57"/>
    <s v="Medium"/>
    <s v="Repeat"/>
    <s v="Below Avg"/>
    <s v="Profit"/>
    <n v="355"/>
  </r>
  <r>
    <n v="429"/>
    <x v="428"/>
    <n v="1028"/>
    <s v="Customer_49"/>
    <s v="Corporate"/>
    <s v="West"/>
    <s v="Electronics"/>
    <s v="Product_D"/>
    <n v="1966"/>
    <n v="3"/>
    <n v="0.08"/>
    <n v="919"/>
    <s v="Card"/>
    <n v="5426.16"/>
    <x v="2"/>
    <n v="2025"/>
    <x v="0"/>
    <n v="0.16936470726996625"/>
    <n v="471.84000000000003"/>
    <s v="High"/>
    <s v="Repeat"/>
    <s v="Below Avg"/>
    <s v="Profit"/>
    <n v="311"/>
  </r>
  <r>
    <n v="430"/>
    <x v="429"/>
    <n v="1008"/>
    <s v="Customer_175"/>
    <s v="Corporate"/>
    <s v="West"/>
    <s v="Clothing"/>
    <s v="Product_B"/>
    <n v="1083"/>
    <n v="2"/>
    <n v="0.06"/>
    <n v="25"/>
    <s v="Card"/>
    <n v="2036.04"/>
    <x v="2"/>
    <n v="2025"/>
    <x v="0"/>
    <n v="1.2278737156440934E-2"/>
    <n v="129.96"/>
    <s v="Medium"/>
    <s v="Repeat"/>
    <s v="Below Avg"/>
    <s v="Profit"/>
    <n v="429"/>
  </r>
  <r>
    <n v="431"/>
    <x v="430"/>
    <n v="1040"/>
    <s v="Customer_147"/>
    <s v="Corporate"/>
    <s v="East"/>
    <s v="Furniture"/>
    <s v="Product_D"/>
    <n v="3878"/>
    <n v="6"/>
    <n v="0.3"/>
    <n v="227"/>
    <s v="Card"/>
    <n v="16287.5999999999"/>
    <x v="2"/>
    <n v="2025"/>
    <x v="0"/>
    <n v="1.3936982735332485E-2"/>
    <n v="6980.4"/>
    <s v="High"/>
    <s v="Repeat"/>
    <s v="Above Avg"/>
    <s v="Profit"/>
    <n v="120"/>
  </r>
  <r>
    <n v="432"/>
    <x v="431"/>
    <n v="1020"/>
    <s v="Customer_140"/>
    <s v="Consumer"/>
    <s v="North"/>
    <s v="Clothing"/>
    <s v="Product_C"/>
    <n v="2387"/>
    <n v="9"/>
    <n v="0.14000000000000001"/>
    <n v="-68"/>
    <s v="COD"/>
    <n v="18475.38"/>
    <x v="2"/>
    <n v="2025"/>
    <x v="0"/>
    <n v="-3.6805738231094568E-3"/>
    <n v="3007.6200000000003"/>
    <s v="High"/>
    <s v="Repeat"/>
    <s v="Above Avg"/>
    <s v="Loss"/>
    <n v="88"/>
  </r>
  <r>
    <n v="433"/>
    <x v="432"/>
    <n v="1054"/>
    <s v="Customer_36"/>
    <s v="Consumer"/>
    <s v="North"/>
    <s v="Furniture"/>
    <s v="Product_A"/>
    <n v="3414"/>
    <n v="3"/>
    <n v="0.16"/>
    <n v="1361"/>
    <s v="UPI"/>
    <n v="8603.2799999999897"/>
    <x v="2"/>
    <n v="2025"/>
    <x v="0"/>
    <n v="0.15819547893361621"/>
    <n v="1638.72"/>
    <s v="High"/>
    <s v="Repeat"/>
    <s v="Below Avg"/>
    <s v="Profit"/>
    <n v="236"/>
  </r>
  <r>
    <n v="434"/>
    <x v="433"/>
    <n v="1095"/>
    <s v="Customer_122"/>
    <s v="Consumer"/>
    <s v="South"/>
    <s v="Furniture"/>
    <s v="Product_D"/>
    <n v="661"/>
    <n v="8"/>
    <n v="0.2"/>
    <n v="31"/>
    <s v="COD"/>
    <n v="4230.3999999999996"/>
    <x v="2"/>
    <n v="2025"/>
    <x v="0"/>
    <n v="7.3279122541603636E-3"/>
    <n v="1057.6000000000001"/>
    <s v="Medium"/>
    <s v="Repeat"/>
    <s v="Below Avg"/>
    <s v="Profit"/>
    <n v="345"/>
  </r>
  <r>
    <n v="435"/>
    <x v="434"/>
    <n v="1095"/>
    <s v="Customer_94"/>
    <s v="Consumer"/>
    <s v="East"/>
    <s v="Electronics"/>
    <s v="Product_A"/>
    <n v="3695"/>
    <n v="9"/>
    <n v="0.02"/>
    <n v="1064"/>
    <s v="COD"/>
    <n v="32589.8999999999"/>
    <x v="2"/>
    <n v="2025"/>
    <x v="0"/>
    <n v="3.2648151727989447E-2"/>
    <n v="665.1"/>
    <s v="High"/>
    <s v="Repeat"/>
    <s v="Above Avg"/>
    <s v="Profit"/>
    <n v="19"/>
  </r>
  <r>
    <n v="436"/>
    <x v="435"/>
    <n v="1039"/>
    <s v="Customer_108"/>
    <s v="Corporate"/>
    <s v="East"/>
    <s v="Furniture"/>
    <s v="Product_C"/>
    <n v="4987"/>
    <n v="8"/>
    <n v="0.12"/>
    <n v="1901"/>
    <s v="UPI"/>
    <n v="35108.480000000003"/>
    <x v="2"/>
    <n v="2025"/>
    <x v="0"/>
    <n v="5.4146462620996406E-2"/>
    <n v="4787.5199999999995"/>
    <s v="High"/>
    <s v="Repeat"/>
    <s v="Above Avg"/>
    <s v="Profit"/>
    <n v="11"/>
  </r>
  <r>
    <n v="437"/>
    <x v="436"/>
    <n v="1025"/>
    <s v="Customer_33"/>
    <s v="Corporate"/>
    <s v="South"/>
    <s v="Clothing"/>
    <s v="Product_C"/>
    <n v="1502"/>
    <n v="9"/>
    <n v="0.27"/>
    <n v="407"/>
    <s v="UPI"/>
    <n v="9868.14"/>
    <x v="2"/>
    <n v="2025"/>
    <x v="0"/>
    <n v="4.1243841291266646E-2"/>
    <n v="3649.86"/>
    <s v="High"/>
    <s v="Repeat"/>
    <s v="Below Avg"/>
    <s v="Profit"/>
    <n v="205"/>
  </r>
  <r>
    <n v="438"/>
    <x v="437"/>
    <n v="1047"/>
    <s v="Customer_108"/>
    <s v="Corporate"/>
    <s v="South"/>
    <s v="Furniture"/>
    <s v="Product_C"/>
    <n v="2678"/>
    <n v="9"/>
    <n v="0.28000000000000003"/>
    <n v="-115"/>
    <s v="UPI"/>
    <n v="17353.439999999999"/>
    <x v="2"/>
    <n v="2025"/>
    <x v="0"/>
    <n v="-6.626928147963747E-3"/>
    <n v="6748.56"/>
    <s v="High"/>
    <s v="Repeat"/>
    <s v="Above Avg"/>
    <s v="Loss"/>
    <n v="100"/>
  </r>
  <r>
    <n v="439"/>
    <x v="438"/>
    <n v="1076"/>
    <s v="Customer_127"/>
    <s v="Corporate"/>
    <s v="North"/>
    <s v="Clothing"/>
    <s v="Product_C"/>
    <n v="3044"/>
    <n v="3"/>
    <n v="0.15"/>
    <n v="151"/>
    <s v="UPI"/>
    <n v="7762.2"/>
    <x v="2"/>
    <n v="2025"/>
    <x v="0"/>
    <n v="1.9453247790574838E-2"/>
    <n v="1369.8"/>
    <s v="High"/>
    <s v="Repeat"/>
    <s v="Below Avg"/>
    <s v="Profit"/>
    <n v="257"/>
  </r>
  <r>
    <n v="440"/>
    <x v="439"/>
    <n v="1002"/>
    <s v="Customer_87"/>
    <s v="Consumer"/>
    <s v="South"/>
    <s v="Furniture"/>
    <s v="Product_A"/>
    <n v="670"/>
    <n v="9"/>
    <n v="0.27"/>
    <n v="-290"/>
    <s v="Card"/>
    <n v="4401.8999999999996"/>
    <x v="2"/>
    <n v="2025"/>
    <x v="0"/>
    <n v="-6.5880642449851201E-2"/>
    <n v="1628.1000000000001"/>
    <s v="Medium"/>
    <s v="Repeat"/>
    <s v="Below Avg"/>
    <s v="Loss"/>
    <n v="340"/>
  </r>
  <r>
    <n v="441"/>
    <x v="440"/>
    <n v="1095"/>
    <s v="Customer_62"/>
    <s v="Consumer"/>
    <s v="East"/>
    <s v="Clothing"/>
    <s v="Product_D"/>
    <n v="2551"/>
    <n v="1"/>
    <n v="0.15"/>
    <n v="453"/>
    <s v="COD"/>
    <n v="2168.35"/>
    <x v="2"/>
    <n v="2025"/>
    <x v="0"/>
    <n v="0.20891461249337054"/>
    <n v="382.65"/>
    <s v="Medium"/>
    <s v="Repeat"/>
    <s v="Below Avg"/>
    <s v="Profit"/>
    <n v="420"/>
  </r>
  <r>
    <n v="442"/>
    <x v="441"/>
    <n v="1032"/>
    <s v="Customer_169"/>
    <s v="Corporate"/>
    <s v="West"/>
    <s v="Electronics"/>
    <s v="Product_B"/>
    <n v="1755"/>
    <n v="4"/>
    <n v="0.3"/>
    <n v="678"/>
    <s v="COD"/>
    <n v="4914"/>
    <x v="2"/>
    <n v="2025"/>
    <x v="0"/>
    <n v="0.13797313797313798"/>
    <n v="2106"/>
    <s v="Medium"/>
    <s v="Repeat"/>
    <s v="Below Avg"/>
    <s v="Profit"/>
    <n v="327"/>
  </r>
  <r>
    <n v="443"/>
    <x v="442"/>
    <n v="1096"/>
    <s v="Customer_19"/>
    <s v="Corporate"/>
    <s v="West"/>
    <s v="Clothing"/>
    <s v="Product_D"/>
    <n v="4413"/>
    <n v="1"/>
    <n v="0.24"/>
    <n v="-325"/>
    <s v="Card"/>
    <n v="3353.88"/>
    <x v="2"/>
    <n v="2025"/>
    <x v="0"/>
    <n v="-9.6902691807697353E-2"/>
    <n v="1059.1199999999999"/>
    <s v="Medium"/>
    <s v="Repeat"/>
    <s v="Below Avg"/>
    <s v="Loss"/>
    <n v="383"/>
  </r>
  <r>
    <n v="444"/>
    <x v="443"/>
    <n v="1041"/>
    <s v="Customer_101"/>
    <s v="Consumer"/>
    <s v="West"/>
    <s v="Electronics"/>
    <s v="Product_D"/>
    <n v="4983"/>
    <n v="2"/>
    <n v="0.25"/>
    <n v="159"/>
    <s v="COD"/>
    <n v="7474.5"/>
    <x v="2"/>
    <n v="2025"/>
    <x v="0"/>
    <n v="2.1272325908087499E-2"/>
    <n v="2491.5"/>
    <s v="High"/>
    <s v="Repeat"/>
    <s v="Below Avg"/>
    <s v="Profit"/>
    <n v="265"/>
  </r>
  <r>
    <n v="445"/>
    <x v="444"/>
    <n v="1076"/>
    <s v="Customer_31"/>
    <s v="Consumer"/>
    <s v="West"/>
    <s v="Clothing"/>
    <s v="Product_A"/>
    <n v="2328"/>
    <n v="4"/>
    <n v="0.06"/>
    <n v="878"/>
    <s v="COD"/>
    <n v="8753.2799999999897"/>
    <x v="2"/>
    <n v="2025"/>
    <x v="0"/>
    <n v="0.10030525700080439"/>
    <n v="558.72"/>
    <s v="High"/>
    <s v="Repeat"/>
    <s v="Below Avg"/>
    <s v="Profit"/>
    <n v="234"/>
  </r>
  <r>
    <n v="446"/>
    <x v="445"/>
    <n v="1042"/>
    <s v="Customer_50"/>
    <s v="Consumer"/>
    <s v="East"/>
    <s v="Furniture"/>
    <s v="Product_D"/>
    <n v="4886"/>
    <n v="8"/>
    <n v="0"/>
    <n v="-420"/>
    <s v="UPI"/>
    <n v="39088"/>
    <x v="2"/>
    <n v="2025"/>
    <x v="0"/>
    <n v="-1.0744985673352435E-2"/>
    <n v="0"/>
    <s v="High"/>
    <s v="New"/>
    <s v="Above Avg"/>
    <s v="Loss"/>
    <n v="4"/>
  </r>
  <r>
    <n v="447"/>
    <x v="446"/>
    <n v="1069"/>
    <s v="Customer_170"/>
    <s v="Consumer"/>
    <s v="West"/>
    <s v="Clothing"/>
    <s v="Product_C"/>
    <n v="2947"/>
    <n v="6"/>
    <n v="0.15"/>
    <n v="963"/>
    <s v="Card"/>
    <n v="15029.699999999901"/>
    <x v="2"/>
    <n v="2025"/>
    <x v="0"/>
    <n v="6.4073135192319636E-2"/>
    <n v="2652.2999999999997"/>
    <s v="High"/>
    <s v="Repeat"/>
    <s v="Above Avg"/>
    <s v="Profit"/>
    <n v="137"/>
  </r>
  <r>
    <n v="448"/>
    <x v="447"/>
    <n v="1003"/>
    <s v="Customer_103"/>
    <s v="Corporate"/>
    <s v="East"/>
    <s v="Furniture"/>
    <s v="Product_A"/>
    <n v="3985"/>
    <n v="4"/>
    <n v="0.28999999999999998"/>
    <n v="735"/>
    <s v="Card"/>
    <n v="11317.4"/>
    <x v="2"/>
    <n v="2025"/>
    <x v="0"/>
    <n v="6.494424514464453E-2"/>
    <n v="4622.5999999999995"/>
    <s v="High"/>
    <s v="Repeat"/>
    <s v="Above Avg"/>
    <s v="Profit"/>
    <n v="185"/>
  </r>
  <r>
    <n v="449"/>
    <x v="448"/>
    <n v="1063"/>
    <s v="Customer_17"/>
    <s v="Consumer"/>
    <s v="North"/>
    <s v="Clothing"/>
    <s v="Product_B"/>
    <n v="444"/>
    <n v="4"/>
    <n v="0.28999999999999998"/>
    <n v="1226"/>
    <s v="Card"/>
    <n v="1260.96"/>
    <x v="2"/>
    <n v="2025"/>
    <x v="0"/>
    <n v="0.97227509199340179"/>
    <n v="515.04"/>
    <s v="Low"/>
    <s v="Repeat"/>
    <s v="Below Avg"/>
    <s v="Profit"/>
    <n v="467"/>
  </r>
  <r>
    <n v="450"/>
    <x v="449"/>
    <n v="1069"/>
    <s v="Customer_196"/>
    <s v="Consumer"/>
    <s v="West"/>
    <s v="Clothing"/>
    <s v="Product_A"/>
    <n v="3283"/>
    <n v="6"/>
    <n v="0.18"/>
    <n v="-475"/>
    <s v="Card"/>
    <n v="16152.36"/>
    <x v="2"/>
    <n v="2025"/>
    <x v="0"/>
    <n v="-2.9407467391761945E-2"/>
    <n v="3545.64"/>
    <s v="High"/>
    <s v="Repeat"/>
    <s v="Above Avg"/>
    <s v="Loss"/>
    <n v="124"/>
  </r>
  <r>
    <n v="451"/>
    <x v="450"/>
    <n v="1050"/>
    <s v="Customer_6"/>
    <s v="Consumer"/>
    <s v="East"/>
    <s v="Clothing"/>
    <s v="Product_A"/>
    <n v="3777"/>
    <n v="1"/>
    <n v="0.06"/>
    <n v="658"/>
    <s v="UPI"/>
    <n v="3550.3799999999901"/>
    <x v="2"/>
    <n v="2025"/>
    <x v="0"/>
    <n v="0.18533227429176646"/>
    <n v="226.62"/>
    <s v="Medium"/>
    <s v="Repeat"/>
    <s v="Below Avg"/>
    <s v="Profit"/>
    <n v="375"/>
  </r>
  <r>
    <n v="452"/>
    <x v="451"/>
    <n v="1066"/>
    <s v="Customer_60"/>
    <s v="Corporate"/>
    <s v="North"/>
    <s v="Electronics"/>
    <s v="Product_B"/>
    <n v="4411"/>
    <n v="5"/>
    <n v="0"/>
    <n v="1052"/>
    <s v="COD"/>
    <n v="22055"/>
    <x v="2"/>
    <n v="2025"/>
    <x v="0"/>
    <n v="4.7698934481976873E-2"/>
    <n v="0"/>
    <s v="High"/>
    <s v="Repeat"/>
    <s v="Above Avg"/>
    <s v="Profit"/>
    <n v="66"/>
  </r>
  <r>
    <n v="453"/>
    <x v="452"/>
    <n v="1090"/>
    <s v="Customer_19"/>
    <s v="Corporate"/>
    <s v="North"/>
    <s v="Furniture"/>
    <s v="Product_A"/>
    <n v="2976"/>
    <n v="4"/>
    <n v="0.15"/>
    <n v="1151"/>
    <s v="Card"/>
    <n v="10118.4"/>
    <x v="2"/>
    <n v="2025"/>
    <x v="0"/>
    <n v="0.11375316255534472"/>
    <n v="1785.6"/>
    <s v="High"/>
    <s v="Repeat"/>
    <s v="Below Avg"/>
    <s v="Profit"/>
    <n v="199"/>
  </r>
  <r>
    <n v="454"/>
    <x v="453"/>
    <n v="1083"/>
    <s v="Customer_186"/>
    <s v="Corporate"/>
    <s v="North"/>
    <s v="Electronics"/>
    <s v="Product_C"/>
    <n v="504"/>
    <n v="8"/>
    <n v="0.09"/>
    <n v="1073"/>
    <s v="UPI"/>
    <n v="3669.12"/>
    <x v="2"/>
    <n v="2025"/>
    <x v="0"/>
    <n v="0.2924406942264085"/>
    <n v="362.88"/>
    <s v="Medium"/>
    <s v="Repeat"/>
    <s v="Below Avg"/>
    <s v="Profit"/>
    <n v="367"/>
  </r>
  <r>
    <n v="455"/>
    <x v="454"/>
    <n v="1017"/>
    <s v="Customer_40"/>
    <s v="Corporate"/>
    <s v="West"/>
    <s v="Electronics"/>
    <s v="Product_D"/>
    <n v="2002"/>
    <n v="9"/>
    <n v="0.1"/>
    <n v="-460"/>
    <s v="UPI"/>
    <n v="16216.2"/>
    <x v="2"/>
    <n v="2025"/>
    <x v="0"/>
    <n v="-2.83666950333617E-2"/>
    <n v="1801.8000000000002"/>
    <s v="High"/>
    <s v="Repeat"/>
    <s v="Above Avg"/>
    <s v="Loss"/>
    <n v="121"/>
  </r>
  <r>
    <n v="456"/>
    <x v="455"/>
    <n v="1019"/>
    <s v="Customer_124"/>
    <s v="Consumer"/>
    <s v="South"/>
    <s v="Electronics"/>
    <s v="Product_A"/>
    <n v="272"/>
    <n v="2"/>
    <n v="0.25"/>
    <n v="237"/>
    <s v="COD"/>
    <n v="408"/>
    <x v="2"/>
    <n v="2025"/>
    <x v="0"/>
    <n v="0.58088235294117652"/>
    <n v="136"/>
    <s v="Low"/>
    <s v="Repeat"/>
    <s v="Below Avg"/>
    <s v="Profit"/>
    <n v="495"/>
  </r>
  <r>
    <n v="457"/>
    <x v="456"/>
    <n v="1029"/>
    <s v="Customer_45"/>
    <s v="Consumer"/>
    <s v="East"/>
    <s v="Electronics"/>
    <s v="Product_B"/>
    <n v="1217"/>
    <n v="2"/>
    <n v="0.03"/>
    <n v="1969"/>
    <s v="COD"/>
    <n v="2360.98"/>
    <x v="3"/>
    <n v="2025"/>
    <x v="1"/>
    <n v="0.83397572194597158"/>
    <n v="73.02"/>
    <s v="Medium"/>
    <s v="Repeat"/>
    <s v="Below Avg"/>
    <s v="Profit"/>
    <n v="414"/>
  </r>
  <r>
    <n v="458"/>
    <x v="457"/>
    <n v="1073"/>
    <s v="Customer_42"/>
    <s v="Corporate"/>
    <s v="West"/>
    <s v="Clothing"/>
    <s v="Product_D"/>
    <n v="1801"/>
    <n v="8"/>
    <n v="0.03"/>
    <n v="1897"/>
    <s v="Card"/>
    <n v="13975.76"/>
    <x v="3"/>
    <n v="2025"/>
    <x v="1"/>
    <n v="0.13573501548395223"/>
    <n v="432.24"/>
    <s v="High"/>
    <s v="Repeat"/>
    <s v="Above Avg"/>
    <s v="Profit"/>
    <n v="148"/>
  </r>
  <r>
    <n v="459"/>
    <x v="458"/>
    <n v="1051"/>
    <s v="Customer_70"/>
    <s v="Corporate"/>
    <s v="East"/>
    <s v="Clothing"/>
    <s v="Product_C"/>
    <n v="4044"/>
    <n v="6"/>
    <n v="0.13"/>
    <n v="-422"/>
    <s v="Card"/>
    <n v="21109.68"/>
    <x v="3"/>
    <n v="2025"/>
    <x v="1"/>
    <n v="-1.9990828851976911E-2"/>
    <n v="3154.32"/>
    <s v="High"/>
    <s v="Repeat"/>
    <s v="Above Avg"/>
    <s v="Loss"/>
    <n v="75"/>
  </r>
  <r>
    <n v="460"/>
    <x v="459"/>
    <n v="1022"/>
    <s v="Customer_152"/>
    <s v="Corporate"/>
    <s v="East"/>
    <s v="Electronics"/>
    <s v="Product_D"/>
    <n v="1017"/>
    <n v="8"/>
    <n v="0.12"/>
    <n v="622"/>
    <s v="COD"/>
    <n v="7159.68"/>
    <x v="3"/>
    <n v="2025"/>
    <x v="1"/>
    <n v="8.68753910789309E-2"/>
    <n v="976.31999999999994"/>
    <s v="High"/>
    <s v="Repeat"/>
    <s v="Below Avg"/>
    <s v="Profit"/>
    <n v="272"/>
  </r>
  <r>
    <n v="461"/>
    <x v="460"/>
    <n v="1046"/>
    <s v="Customer_150"/>
    <s v="Consumer"/>
    <s v="South"/>
    <s v="Electronics"/>
    <s v="Product_C"/>
    <n v="3058"/>
    <n v="1"/>
    <n v="0.02"/>
    <n v="1633"/>
    <s v="Card"/>
    <n v="2996.84"/>
    <x v="3"/>
    <n v="2025"/>
    <x v="1"/>
    <n v="0.54490730235848428"/>
    <n v="61.160000000000004"/>
    <s v="Medium"/>
    <s v="Repeat"/>
    <s v="Below Avg"/>
    <s v="Profit"/>
    <n v="393"/>
  </r>
  <r>
    <n v="462"/>
    <x v="461"/>
    <n v="1002"/>
    <s v="Customer_53"/>
    <s v="Consumer"/>
    <s v="West"/>
    <s v="Electronics"/>
    <s v="Product_C"/>
    <n v="3212"/>
    <n v="3"/>
    <n v="0.16"/>
    <n v="-72"/>
    <s v="COD"/>
    <n v="8094.24"/>
    <x v="3"/>
    <n v="2025"/>
    <x v="1"/>
    <n v="-8.8952143746664301E-3"/>
    <n v="1541.76"/>
    <s v="High"/>
    <s v="Repeat"/>
    <s v="Below Avg"/>
    <s v="Loss"/>
    <n v="249"/>
  </r>
  <r>
    <n v="463"/>
    <x v="462"/>
    <n v="1049"/>
    <s v="Customer_78"/>
    <s v="Consumer"/>
    <s v="South"/>
    <s v="Furniture"/>
    <s v="Product_C"/>
    <n v="1965"/>
    <n v="7"/>
    <n v="0.13"/>
    <n v="510"/>
    <s v="COD"/>
    <n v="11966.85"/>
    <x v="3"/>
    <n v="2025"/>
    <x v="1"/>
    <n v="4.2617731483222399E-2"/>
    <n v="1788.15"/>
    <s v="High"/>
    <s v="Repeat"/>
    <s v="Above Avg"/>
    <s v="Profit"/>
    <n v="168"/>
  </r>
  <r>
    <n v="464"/>
    <x v="463"/>
    <n v="1008"/>
    <s v="Customer_152"/>
    <s v="Consumer"/>
    <s v="North"/>
    <s v="Furniture"/>
    <s v="Product_A"/>
    <n v="406"/>
    <n v="7"/>
    <n v="0.3"/>
    <n v="648"/>
    <s v="COD"/>
    <n v="1989.3999999999901"/>
    <x v="3"/>
    <n v="2025"/>
    <x v="1"/>
    <n v="0.32572634965316338"/>
    <n v="852.6"/>
    <s v="Low"/>
    <s v="Repeat"/>
    <s v="Below Avg"/>
    <s v="Profit"/>
    <n v="431"/>
  </r>
  <r>
    <n v="465"/>
    <x v="464"/>
    <n v="1018"/>
    <s v="Customer_153"/>
    <s v="Consumer"/>
    <s v="West"/>
    <s v="Clothing"/>
    <s v="Product_C"/>
    <n v="1951"/>
    <n v="5"/>
    <n v="0.02"/>
    <n v="575"/>
    <s v="Card"/>
    <n v="9559.9"/>
    <x v="3"/>
    <n v="2025"/>
    <x v="1"/>
    <n v="6.0147072668124149E-2"/>
    <n v="195.1"/>
    <s v="High"/>
    <s v="Repeat"/>
    <s v="Below Avg"/>
    <s v="Profit"/>
    <n v="214"/>
  </r>
  <r>
    <n v="466"/>
    <x v="465"/>
    <n v="1035"/>
    <s v="Customer_145"/>
    <s v="Consumer"/>
    <s v="North"/>
    <s v="Furniture"/>
    <s v="Product_D"/>
    <n v="930"/>
    <n v="9"/>
    <n v="0.04"/>
    <n v="-226"/>
    <s v="Card"/>
    <n v="8035.2"/>
    <x v="3"/>
    <n v="2025"/>
    <x v="1"/>
    <n v="-2.8126244524093989E-2"/>
    <n v="334.8"/>
    <s v="High"/>
    <s v="Repeat"/>
    <s v="Below Avg"/>
    <s v="Loss"/>
    <n v="252"/>
  </r>
  <r>
    <n v="467"/>
    <x v="466"/>
    <n v="1039"/>
    <s v="Customer_123"/>
    <s v="Consumer"/>
    <s v="South"/>
    <s v="Electronics"/>
    <s v="Product_A"/>
    <n v="524"/>
    <n v="2"/>
    <n v="0.05"/>
    <n v="563"/>
    <s v="Card"/>
    <n v="995.599999999999"/>
    <x v="3"/>
    <n v="2025"/>
    <x v="1"/>
    <n v="0.56548814785054291"/>
    <n v="52.400000000000006"/>
    <s v="Low"/>
    <s v="Repeat"/>
    <s v="Below Avg"/>
    <s v="Profit"/>
    <n v="480"/>
  </r>
  <r>
    <n v="468"/>
    <x v="467"/>
    <n v="1026"/>
    <s v="Customer_115"/>
    <s v="Corporate"/>
    <s v="North"/>
    <s v="Furniture"/>
    <s v="Product_B"/>
    <n v="3851"/>
    <n v="1"/>
    <n v="0.1"/>
    <n v="1436"/>
    <s v="UPI"/>
    <n v="3465.9"/>
    <x v="3"/>
    <n v="2025"/>
    <x v="1"/>
    <n v="0.41432239822268385"/>
    <n v="385.1"/>
    <s v="Medium"/>
    <s v="Repeat"/>
    <s v="Below Avg"/>
    <s v="Profit"/>
    <n v="377"/>
  </r>
  <r>
    <n v="469"/>
    <x v="468"/>
    <n v="1091"/>
    <s v="Customer_110"/>
    <s v="Corporate"/>
    <s v="East"/>
    <s v="Electronics"/>
    <s v="Product_A"/>
    <n v="4972"/>
    <n v="3"/>
    <n v="0.2"/>
    <n v="1594"/>
    <s v="COD"/>
    <n v="11932.8"/>
    <x v="3"/>
    <n v="2025"/>
    <x v="1"/>
    <n v="0.13358138911236256"/>
    <n v="2983.2000000000003"/>
    <s v="High"/>
    <s v="Repeat"/>
    <s v="Above Avg"/>
    <s v="Profit"/>
    <n v="169"/>
  </r>
  <r>
    <n v="470"/>
    <x v="469"/>
    <n v="1071"/>
    <s v="Customer_163"/>
    <s v="Consumer"/>
    <s v="South"/>
    <s v="Furniture"/>
    <s v="Product_C"/>
    <n v="1905"/>
    <n v="7"/>
    <n v="0.28999999999999998"/>
    <n v="-284"/>
    <s v="UPI"/>
    <n v="9467.85"/>
    <x v="3"/>
    <n v="2025"/>
    <x v="1"/>
    <n v="-2.9996250468691414E-2"/>
    <n v="3867.1499999999996"/>
    <s v="High"/>
    <s v="Repeat"/>
    <s v="Below Avg"/>
    <s v="Loss"/>
    <n v="218"/>
  </r>
  <r>
    <n v="471"/>
    <x v="470"/>
    <n v="1071"/>
    <s v="Customer_56"/>
    <s v="Corporate"/>
    <s v="North"/>
    <s v="Furniture"/>
    <s v="Product_B"/>
    <n v="4820"/>
    <n v="8"/>
    <n v="0.27"/>
    <n v="148"/>
    <s v="COD"/>
    <n v="28148.799999999999"/>
    <x v="3"/>
    <n v="2025"/>
    <x v="1"/>
    <n v="5.257772977888933E-3"/>
    <n v="10411.200000000001"/>
    <s v="High"/>
    <s v="Repeat"/>
    <s v="Above Avg"/>
    <s v="Profit"/>
    <n v="28"/>
  </r>
  <r>
    <n v="472"/>
    <x v="471"/>
    <n v="1081"/>
    <s v="Customer_28"/>
    <s v="Corporate"/>
    <s v="North"/>
    <s v="Furniture"/>
    <s v="Product_C"/>
    <n v="2519"/>
    <n v="8"/>
    <n v="0.13"/>
    <n v="1049"/>
    <s v="COD"/>
    <n v="17532.240000000002"/>
    <x v="3"/>
    <n v="2025"/>
    <x v="1"/>
    <n v="5.9832628346406388E-2"/>
    <n v="2619.7600000000002"/>
    <s v="High"/>
    <s v="Repeat"/>
    <s v="Above Avg"/>
    <s v="Profit"/>
    <n v="96"/>
  </r>
  <r>
    <n v="473"/>
    <x v="472"/>
    <n v="1020"/>
    <s v="Customer_194"/>
    <s v="Corporate"/>
    <s v="North"/>
    <s v="Clothing"/>
    <s v="Product_B"/>
    <n v="191"/>
    <n v="2"/>
    <n v="0.02"/>
    <n v="453"/>
    <s v="Card"/>
    <n v="374.36"/>
    <x v="3"/>
    <n v="2025"/>
    <x v="1"/>
    <n v="1.2100651779036222"/>
    <n v="7.6400000000000006"/>
    <s v="Low"/>
    <s v="Repeat"/>
    <s v="Below Avg"/>
    <s v="Profit"/>
    <n v="496"/>
  </r>
  <r>
    <n v="474"/>
    <x v="473"/>
    <n v="1012"/>
    <s v="Customer_34"/>
    <s v="Corporate"/>
    <s v="North"/>
    <s v="Furniture"/>
    <s v="Product_A"/>
    <n v="958"/>
    <n v="6"/>
    <n v="0.19"/>
    <n v="1374"/>
    <s v="Card"/>
    <n v="4655.88"/>
    <x v="3"/>
    <n v="2025"/>
    <x v="1"/>
    <n v="0.2951106987293487"/>
    <n v="1092.1200000000001"/>
    <s v="Medium"/>
    <s v="Repeat"/>
    <s v="Below Avg"/>
    <s v="Profit"/>
    <n v="333"/>
  </r>
  <r>
    <n v="475"/>
    <x v="474"/>
    <n v="1026"/>
    <s v="Customer_65"/>
    <s v="Corporate"/>
    <s v="West"/>
    <s v="Clothing"/>
    <s v="Product_D"/>
    <n v="4109"/>
    <n v="5"/>
    <n v="0.13"/>
    <n v="630"/>
    <s v="UPI"/>
    <n v="17874.150000000001"/>
    <x v="3"/>
    <n v="2025"/>
    <x v="1"/>
    <n v="3.5246431298830989E-2"/>
    <n v="2670.85"/>
    <s v="High"/>
    <s v="Repeat"/>
    <s v="Above Avg"/>
    <s v="Profit"/>
    <n v="92"/>
  </r>
  <r>
    <n v="476"/>
    <x v="475"/>
    <n v="1061"/>
    <s v="Customer_111"/>
    <s v="Corporate"/>
    <s v="North"/>
    <s v="Clothing"/>
    <s v="Product_A"/>
    <n v="911"/>
    <n v="2"/>
    <n v="0.01"/>
    <n v="61"/>
    <s v="UPI"/>
    <n v="1803.78"/>
    <x v="3"/>
    <n v="2025"/>
    <x v="1"/>
    <n v="3.3817871359034919E-2"/>
    <n v="18.22"/>
    <s v="Low"/>
    <s v="Repeat"/>
    <s v="Below Avg"/>
    <s v="Profit"/>
    <n v="440"/>
  </r>
  <r>
    <n v="477"/>
    <x v="476"/>
    <n v="1039"/>
    <s v="Customer_128"/>
    <s v="Consumer"/>
    <s v="North"/>
    <s v="Furniture"/>
    <s v="Product_D"/>
    <n v="1853"/>
    <n v="1"/>
    <n v="0.25"/>
    <n v="1755"/>
    <s v="COD"/>
    <n v="1389.75"/>
    <x v="3"/>
    <n v="2025"/>
    <x v="1"/>
    <n v="1.2628170534268754"/>
    <n v="463.25"/>
    <s v="Low"/>
    <s v="Repeat"/>
    <s v="Below Avg"/>
    <s v="Profit"/>
    <n v="461"/>
  </r>
  <r>
    <n v="478"/>
    <x v="477"/>
    <n v="1052"/>
    <s v="Customer_131"/>
    <s v="Corporate"/>
    <s v="West"/>
    <s v="Electronics"/>
    <s v="Product_C"/>
    <n v="3861"/>
    <n v="4"/>
    <n v="0.16"/>
    <n v="1739"/>
    <s v="Card"/>
    <n v="12972.96"/>
    <x v="3"/>
    <n v="2025"/>
    <x v="1"/>
    <n v="0.1340480507147174"/>
    <n v="2471.04"/>
    <s v="High"/>
    <s v="Repeat"/>
    <s v="Above Avg"/>
    <s v="Profit"/>
    <n v="159"/>
  </r>
  <r>
    <n v="479"/>
    <x v="478"/>
    <n v="1079"/>
    <s v="Customer_187"/>
    <s v="Corporate"/>
    <s v="North"/>
    <s v="Electronics"/>
    <s v="Product_C"/>
    <n v="3679"/>
    <n v="6"/>
    <n v="0.13"/>
    <n v="1506"/>
    <s v="COD"/>
    <n v="19204.38"/>
    <x v="3"/>
    <n v="2025"/>
    <x v="1"/>
    <n v="7.8419610526348674E-2"/>
    <n v="2869.62"/>
    <s v="High"/>
    <s v="Repeat"/>
    <s v="Above Avg"/>
    <s v="Profit"/>
    <n v="84"/>
  </r>
  <r>
    <n v="480"/>
    <x v="479"/>
    <n v="1039"/>
    <s v="Customer_56"/>
    <s v="Consumer"/>
    <s v="North"/>
    <s v="Electronics"/>
    <s v="Product_A"/>
    <n v="1431"/>
    <n v="9"/>
    <n v="0.22"/>
    <n v="822"/>
    <s v="UPI"/>
    <n v="10045.620000000001"/>
    <x v="3"/>
    <n v="2025"/>
    <x v="1"/>
    <n v="8.1826706564652046E-2"/>
    <n v="2833.38"/>
    <s v="High"/>
    <s v="Repeat"/>
    <s v="Below Avg"/>
    <s v="Profit"/>
    <n v="200"/>
  </r>
  <r>
    <n v="481"/>
    <x v="480"/>
    <n v="1008"/>
    <s v="Customer_22"/>
    <s v="Consumer"/>
    <s v="North"/>
    <s v="Furniture"/>
    <s v="Product_C"/>
    <n v="2112"/>
    <n v="9"/>
    <n v="0.26"/>
    <n v="645"/>
    <s v="UPI"/>
    <n v="14065.92"/>
    <x v="3"/>
    <n v="2025"/>
    <x v="1"/>
    <n v="4.5855514605514604E-2"/>
    <n v="4942.08"/>
    <s v="High"/>
    <s v="Repeat"/>
    <s v="Above Avg"/>
    <s v="Profit"/>
    <n v="146"/>
  </r>
  <r>
    <n v="482"/>
    <x v="481"/>
    <n v="1026"/>
    <s v="Customer_170"/>
    <s v="Consumer"/>
    <s v="West"/>
    <s v="Clothing"/>
    <s v="Product_D"/>
    <n v="3792"/>
    <n v="3"/>
    <n v="0.28000000000000003"/>
    <n v="1742"/>
    <s v="Card"/>
    <n v="8190.7199999999903"/>
    <x v="3"/>
    <n v="2025"/>
    <x v="1"/>
    <n v="0.2126797155805597"/>
    <n v="3185.28"/>
    <s v="High"/>
    <s v="Repeat"/>
    <s v="Below Avg"/>
    <s v="Profit"/>
    <n v="244"/>
  </r>
  <r>
    <n v="483"/>
    <x v="482"/>
    <n v="1080"/>
    <s v="Customer_132"/>
    <s v="Consumer"/>
    <s v="East"/>
    <s v="Furniture"/>
    <s v="Product_C"/>
    <n v="2486"/>
    <n v="9"/>
    <n v="0.1"/>
    <n v="-143"/>
    <s v="UPI"/>
    <n v="20136.599999999999"/>
    <x v="3"/>
    <n v="2025"/>
    <x v="1"/>
    <n v="-7.1014967770130014E-3"/>
    <n v="2237.4"/>
    <s v="High"/>
    <s v="Repeat"/>
    <s v="Above Avg"/>
    <s v="Loss"/>
    <n v="78"/>
  </r>
  <r>
    <n v="484"/>
    <x v="483"/>
    <n v="1002"/>
    <s v="Customer_100"/>
    <s v="Corporate"/>
    <s v="East"/>
    <s v="Clothing"/>
    <s v="Product_D"/>
    <n v="306"/>
    <n v="6"/>
    <n v="0.06"/>
    <n v="-483"/>
    <s v="Card"/>
    <n v="1725.84"/>
    <x v="3"/>
    <n v="2025"/>
    <x v="1"/>
    <n v="-0.27986371853706021"/>
    <n v="110.16"/>
    <s v="Low"/>
    <s v="Repeat"/>
    <s v="Below Avg"/>
    <s v="Loss"/>
    <n v="445"/>
  </r>
  <r>
    <n v="485"/>
    <x v="484"/>
    <n v="1055"/>
    <s v="Customer_118"/>
    <s v="Consumer"/>
    <s v="West"/>
    <s v="Electronics"/>
    <s v="Product_B"/>
    <n v="3682"/>
    <n v="8"/>
    <n v="0.1"/>
    <n v="1715"/>
    <s v="Card"/>
    <n v="26510.400000000001"/>
    <x v="3"/>
    <n v="2025"/>
    <x v="1"/>
    <n v="6.4691592733417819E-2"/>
    <n v="2945.6000000000004"/>
    <s v="High"/>
    <s v="Repeat"/>
    <s v="Above Avg"/>
    <s v="Profit"/>
    <n v="37"/>
  </r>
  <r>
    <n v="486"/>
    <x v="485"/>
    <n v="1052"/>
    <s v="Customer_12"/>
    <s v="Consumer"/>
    <s v="East"/>
    <s v="Furniture"/>
    <s v="Product_C"/>
    <n v="4317"/>
    <n v="8"/>
    <n v="0.28999999999999998"/>
    <n v="227"/>
    <s v="UPI"/>
    <n v="24520.559999999899"/>
    <x v="3"/>
    <n v="2025"/>
    <x v="1"/>
    <n v="9.2575373482498332E-3"/>
    <n v="10015.439999999999"/>
    <s v="High"/>
    <s v="Repeat"/>
    <s v="Above Avg"/>
    <s v="Profit"/>
    <n v="46"/>
  </r>
  <r>
    <n v="487"/>
    <x v="486"/>
    <n v="1003"/>
    <s v="Customer_37"/>
    <s v="Corporate"/>
    <s v="East"/>
    <s v="Electronics"/>
    <s v="Product_D"/>
    <n v="1839"/>
    <n v="3"/>
    <n v="0.03"/>
    <n v="1247"/>
    <s v="UPI"/>
    <n v="5351.49"/>
    <x v="4"/>
    <n v="2025"/>
    <x v="1"/>
    <n v="0.23301921520922211"/>
    <n v="165.51"/>
    <s v="High"/>
    <s v="Repeat"/>
    <s v="Below Avg"/>
    <s v="Profit"/>
    <n v="314"/>
  </r>
  <r>
    <n v="488"/>
    <x v="487"/>
    <n v="1039"/>
    <s v="Customer_41"/>
    <s v="Consumer"/>
    <s v="West"/>
    <s v="Furniture"/>
    <s v="Product_A"/>
    <n v="3996"/>
    <n v="3"/>
    <n v="0.28999999999999998"/>
    <n v="56"/>
    <s v="Card"/>
    <n v="8511.48"/>
    <x v="4"/>
    <n v="2025"/>
    <x v="1"/>
    <n v="6.5793493023539977E-3"/>
    <n v="3476.52"/>
    <s v="High"/>
    <s v="Repeat"/>
    <s v="Below Avg"/>
    <s v="Profit"/>
    <n v="238"/>
  </r>
  <r>
    <n v="489"/>
    <x v="488"/>
    <n v="1051"/>
    <s v="Customer_58"/>
    <s v="Corporate"/>
    <s v="South"/>
    <s v="Electronics"/>
    <s v="Product_C"/>
    <n v="3116"/>
    <n v="9"/>
    <n v="0.19"/>
    <n v="942"/>
    <s v="COD"/>
    <n v="22715.64"/>
    <x v="4"/>
    <n v="2025"/>
    <x v="1"/>
    <n v="4.1469225608435425E-2"/>
    <n v="5328.36"/>
    <s v="High"/>
    <s v="Repeat"/>
    <s v="Above Avg"/>
    <s v="Profit"/>
    <n v="61"/>
  </r>
  <r>
    <n v="490"/>
    <x v="489"/>
    <n v="1055"/>
    <s v="Customer_63"/>
    <s v="Consumer"/>
    <s v="West"/>
    <s v="Furniture"/>
    <s v="Product_D"/>
    <n v="2104"/>
    <n v="3"/>
    <n v="0"/>
    <n v="1145"/>
    <s v="UPI"/>
    <n v="6312"/>
    <x v="4"/>
    <n v="2025"/>
    <x v="1"/>
    <n v="0.18140050697084917"/>
    <n v="0"/>
    <s v="High"/>
    <s v="Repeat"/>
    <s v="Below Avg"/>
    <s v="Profit"/>
    <n v="289"/>
  </r>
  <r>
    <n v="491"/>
    <x v="490"/>
    <n v="1064"/>
    <s v="Customer_71"/>
    <s v="Corporate"/>
    <s v="East"/>
    <s v="Clothing"/>
    <s v="Product_B"/>
    <n v="1692"/>
    <n v="4"/>
    <n v="0.26"/>
    <n v="-81"/>
    <s v="COD"/>
    <n v="5008.32"/>
    <x v="4"/>
    <n v="2025"/>
    <x v="1"/>
    <n v="-1.6173087981598621E-2"/>
    <n v="1759.68"/>
    <s v="High"/>
    <s v="Repeat"/>
    <s v="Below Avg"/>
    <s v="Loss"/>
    <n v="323"/>
  </r>
  <r>
    <n v="492"/>
    <x v="491"/>
    <n v="1077"/>
    <s v="Customer_133"/>
    <s v="Consumer"/>
    <s v="East"/>
    <s v="Clothing"/>
    <s v="Product_B"/>
    <n v="2103"/>
    <n v="7"/>
    <n v="0.2"/>
    <n v="439"/>
    <s v="COD"/>
    <n v="11776.8"/>
    <x v="4"/>
    <n v="2025"/>
    <x v="1"/>
    <n v="3.7276679573398551E-2"/>
    <n v="2944.2000000000003"/>
    <s v="High"/>
    <s v="Repeat"/>
    <s v="Above Avg"/>
    <s v="Profit"/>
    <n v="173"/>
  </r>
  <r>
    <n v="493"/>
    <x v="492"/>
    <n v="1071"/>
    <s v="Customer_91"/>
    <s v="Corporate"/>
    <s v="North"/>
    <s v="Electronics"/>
    <s v="Product_C"/>
    <n v="3019"/>
    <n v="9"/>
    <n v="0.04"/>
    <n v="660"/>
    <s v="COD"/>
    <n v="26084.16"/>
    <x v="4"/>
    <n v="2025"/>
    <x v="1"/>
    <n v="2.5302712450774725E-2"/>
    <n v="1086.8399999999999"/>
    <s v="High"/>
    <s v="Repeat"/>
    <s v="Above Avg"/>
    <s v="Profit"/>
    <n v="39"/>
  </r>
  <r>
    <n v="494"/>
    <x v="493"/>
    <n v="1070"/>
    <s v="Customer_89"/>
    <s v="Consumer"/>
    <s v="South"/>
    <s v="Clothing"/>
    <s v="Product_D"/>
    <n v="208"/>
    <n v="3"/>
    <n v="0.1"/>
    <n v="1549"/>
    <s v="Card"/>
    <n v="561.6"/>
    <x v="4"/>
    <n v="2025"/>
    <x v="1"/>
    <n v="2.758190883190883"/>
    <n v="62.400000000000006"/>
    <s v="Low"/>
    <s v="Repeat"/>
    <s v="Below Avg"/>
    <s v="Profit"/>
    <n v="489"/>
  </r>
  <r>
    <n v="495"/>
    <x v="494"/>
    <n v="1029"/>
    <s v="Customer_17"/>
    <s v="Corporate"/>
    <s v="East"/>
    <s v="Furniture"/>
    <s v="Product_B"/>
    <n v="3081"/>
    <n v="1"/>
    <n v="0.26"/>
    <n v="606"/>
    <s v="Card"/>
    <n v="2279.94"/>
    <x v="4"/>
    <n v="2025"/>
    <x v="1"/>
    <n v="0.26579646832811388"/>
    <n v="801.06000000000006"/>
    <s v="Medium"/>
    <s v="Repeat"/>
    <s v="Below Avg"/>
    <s v="Profit"/>
    <n v="416"/>
  </r>
  <r>
    <n v="496"/>
    <x v="495"/>
    <n v="1024"/>
    <s v="Customer_156"/>
    <s v="Consumer"/>
    <s v="North"/>
    <s v="Clothing"/>
    <s v="Product_A"/>
    <n v="2595"/>
    <n v="2"/>
    <n v="0.22"/>
    <n v="1965"/>
    <s v="Card"/>
    <n v="4048.2"/>
    <x v="4"/>
    <n v="2025"/>
    <x v="1"/>
    <n v="0.48540091892693049"/>
    <n v="1141.8"/>
    <s v="Medium"/>
    <s v="Repeat"/>
    <s v="Below Avg"/>
    <s v="Profit"/>
    <n v="352"/>
  </r>
  <r>
    <n v="497"/>
    <x v="496"/>
    <n v="1038"/>
    <s v="Customer_119"/>
    <s v="Corporate"/>
    <s v="South"/>
    <s v="Electronics"/>
    <s v="Product_A"/>
    <n v="1791"/>
    <n v="4"/>
    <n v="0.1"/>
    <n v="-437"/>
    <s v="UPI"/>
    <n v="6447.6"/>
    <x v="4"/>
    <n v="2025"/>
    <x v="1"/>
    <n v="-6.7777157391897755E-2"/>
    <n v="716.40000000000009"/>
    <s v="High"/>
    <s v="Repeat"/>
    <s v="Below Avg"/>
    <s v="Loss"/>
    <n v="286"/>
  </r>
  <r>
    <n v="498"/>
    <x v="497"/>
    <n v="1079"/>
    <s v="Customer_155"/>
    <s v="Consumer"/>
    <s v="East"/>
    <s v="Electronics"/>
    <s v="Product_D"/>
    <n v="4085"/>
    <n v="7"/>
    <n v="0.24"/>
    <n v="1108"/>
    <s v="UPI"/>
    <n v="21732.2"/>
    <x v="4"/>
    <n v="2025"/>
    <x v="1"/>
    <n v="5.0984253780105099E-2"/>
    <n v="6862.8"/>
    <s v="High"/>
    <s v="Repeat"/>
    <s v="Above Avg"/>
    <s v="Profit"/>
    <n v="70"/>
  </r>
  <r>
    <n v="499"/>
    <x v="498"/>
    <n v="1074"/>
    <s v="Customer_181"/>
    <s v="Corporate"/>
    <s v="South"/>
    <s v="Electronics"/>
    <s v="Product_A"/>
    <n v="4431"/>
    <n v="1"/>
    <n v="0.08"/>
    <n v="394"/>
    <s v="Card"/>
    <n v="4076.52"/>
    <x v="4"/>
    <n v="2025"/>
    <x v="1"/>
    <n v="9.665106512417454E-2"/>
    <n v="354.48"/>
    <s v="Medium"/>
    <s v="Repeat"/>
    <s v="Below Avg"/>
    <s v="Profit"/>
    <n v="350"/>
  </r>
  <r>
    <n v="500"/>
    <x v="499"/>
    <n v="1024"/>
    <s v="Customer_26"/>
    <s v="Consumer"/>
    <s v="North"/>
    <s v="Furniture"/>
    <s v="Product_B"/>
    <n v="1822"/>
    <n v="4"/>
    <n v="0.16"/>
    <n v="1668"/>
    <s v="Card"/>
    <n v="6121.92"/>
    <x v="4"/>
    <n v="2025"/>
    <x v="1"/>
    <n v="0.27246354084992941"/>
    <n v="1166.08"/>
    <s v="High"/>
    <s v="Repeat"/>
    <s v="Below Avg"/>
    <s v="Profit"/>
    <n v="29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n v="1066"/>
    <s v="Customer_33"/>
    <s v="Consumer"/>
    <s v="South"/>
    <s v="Electronics"/>
    <s v="Product_A"/>
    <n v="2755"/>
    <n v="3"/>
    <n v="0.25"/>
    <n v="559"/>
    <s v="UPI"/>
    <n v="6198.75"/>
    <s v="Jan"/>
    <n v="2024"/>
    <s v="Q1"/>
    <n v="9.017947166767494E-2"/>
    <n v="2066.25"/>
    <x v="0"/>
    <x v="0"/>
    <s v="Below Avg"/>
    <s v="Profit"/>
    <n v="293"/>
  </r>
  <r>
    <n v="2"/>
    <x v="1"/>
    <n v="1092"/>
    <s v="Customer_191"/>
    <s v="Consumer"/>
    <s v="East"/>
    <s v="Clothing"/>
    <s v="Product_A"/>
    <n v="1709"/>
    <n v="3"/>
    <n v="0.04"/>
    <n v="1735"/>
    <s v="UPI"/>
    <n v="4921.92"/>
    <s v="Jan"/>
    <n v="2024"/>
    <s v="Q1"/>
    <n v="0.35250471360769781"/>
    <n v="205.08"/>
    <x v="1"/>
    <x v="0"/>
    <s v="Below Avg"/>
    <s v="Profit"/>
    <n v="326"/>
  </r>
  <r>
    <n v="3"/>
    <x v="2"/>
    <n v="1098"/>
    <s v="Customer_54"/>
    <s v="Corporate"/>
    <s v="East"/>
    <s v="Clothing"/>
    <s v="Product_D"/>
    <n v="3914"/>
    <n v="7"/>
    <n v="0.16"/>
    <n v="-225"/>
    <s v="Card"/>
    <n v="23014.32"/>
    <s v="Jan"/>
    <n v="2024"/>
    <s v="Q1"/>
    <n v="-9.7765217481985134E-3"/>
    <n v="4383.68"/>
    <x v="0"/>
    <x v="0"/>
    <s v="Above Avg"/>
    <s v="Loss"/>
    <n v="59"/>
  </r>
  <r>
    <n v="4"/>
    <x v="3"/>
    <n v="1017"/>
    <s v="Customer_116"/>
    <s v="Consumer"/>
    <s v="West"/>
    <s v="Electronics"/>
    <s v="Product_B"/>
    <n v="759"/>
    <n v="5"/>
    <n v="0.01"/>
    <n v="-75"/>
    <s v="UPI"/>
    <n v="3757.05"/>
    <s v="Jan"/>
    <n v="2024"/>
    <s v="Q1"/>
    <n v="-1.9962470555355931E-2"/>
    <n v="37.950000000000003"/>
    <x v="1"/>
    <x v="0"/>
    <s v="Below Avg"/>
    <s v="Loss"/>
    <n v="365"/>
  </r>
  <r>
    <n v="5"/>
    <x v="4"/>
    <n v="1083"/>
    <s v="Customer_179"/>
    <s v="Consumer"/>
    <s v="West"/>
    <s v="Electronics"/>
    <s v="Product_B"/>
    <n v="243"/>
    <n v="1"/>
    <n v="0.17"/>
    <n v="-482"/>
    <s v="COD"/>
    <n v="201.69"/>
    <s v="Jan"/>
    <n v="2024"/>
    <s v="Q1"/>
    <n v="-2.3898061381327782"/>
    <n v="41.31"/>
    <x v="2"/>
    <x v="0"/>
    <s v="Below Avg"/>
    <s v="Loss"/>
    <n v="499"/>
  </r>
  <r>
    <n v="6"/>
    <x v="5"/>
    <n v="1057"/>
    <s v="Customer_112"/>
    <s v="Consumer"/>
    <s v="North"/>
    <s v="Furniture"/>
    <s v="Product_D"/>
    <n v="2090"/>
    <n v="8"/>
    <n v="0.04"/>
    <n v="1271"/>
    <s v="UPI"/>
    <n v="16051.199999999901"/>
    <s v="Jan"/>
    <n v="2024"/>
    <s v="Q1"/>
    <n v="7.9184110845295544E-2"/>
    <n v="668.80000000000007"/>
    <x v="0"/>
    <x v="0"/>
    <s v="Above Avg"/>
    <s v="Profit"/>
    <n v="127"/>
  </r>
  <r>
    <n v="7"/>
    <x v="6"/>
    <n v="1086"/>
    <s v="Customer_180"/>
    <s v="Corporate"/>
    <s v="North"/>
    <s v="Furniture"/>
    <s v="Product_D"/>
    <n v="550"/>
    <n v="5"/>
    <n v="0.24"/>
    <n v="1300"/>
    <s v="COD"/>
    <n v="2090"/>
    <s v="Jan"/>
    <n v="2024"/>
    <s v="Q1"/>
    <n v="0.62200956937799046"/>
    <n v="660"/>
    <x v="1"/>
    <x v="0"/>
    <s v="Below Avg"/>
    <s v="Profit"/>
    <n v="423"/>
  </r>
  <r>
    <n v="8"/>
    <x v="7"/>
    <n v="1097"/>
    <s v="Customer_180"/>
    <s v="Corporate"/>
    <s v="South"/>
    <s v="Furniture"/>
    <s v="Product_A"/>
    <n v="1291"/>
    <n v="4"/>
    <n v="7.0000000000000007E-2"/>
    <n v="829"/>
    <s v="COD"/>
    <n v="4802.5199999999904"/>
    <s v="Jan"/>
    <n v="2024"/>
    <s v="Q1"/>
    <n v="0.17261770903608972"/>
    <n v="361.48"/>
    <x v="1"/>
    <x v="0"/>
    <s v="Below Avg"/>
    <s v="Profit"/>
    <n v="329"/>
  </r>
  <r>
    <n v="9"/>
    <x v="8"/>
    <n v="1096"/>
    <s v="Customer_184"/>
    <s v="Consumer"/>
    <s v="West"/>
    <s v="Electronics"/>
    <s v="Product_C"/>
    <n v="4121"/>
    <n v="4"/>
    <n v="0.03"/>
    <n v="-169"/>
    <s v="Card"/>
    <n v="15989.48"/>
    <s v="Jan"/>
    <n v="2024"/>
    <s v="Q1"/>
    <n v="-1.056944941298904E-2"/>
    <n v="494.52"/>
    <x v="0"/>
    <x v="0"/>
    <s v="Above Avg"/>
    <s v="Loss"/>
    <n v="128"/>
  </r>
  <r>
    <n v="10"/>
    <x v="9"/>
    <n v="1047"/>
    <s v="Customer_114"/>
    <s v="Corporate"/>
    <s v="West"/>
    <s v="Electronics"/>
    <s v="Product_B"/>
    <n v="735"/>
    <n v="2"/>
    <n v="0.01"/>
    <n v="-250"/>
    <s v="COD"/>
    <n v="1455.3"/>
    <s v="Jan"/>
    <n v="2024"/>
    <s v="Q1"/>
    <n v="-0.17178588607160036"/>
    <n v="14.700000000000001"/>
    <x v="2"/>
    <x v="0"/>
    <s v="Below Avg"/>
    <s v="Loss"/>
    <n v="460"/>
  </r>
  <r>
    <n v="11"/>
    <x v="10"/>
    <n v="1073"/>
    <s v="Customer_73"/>
    <s v="Consumer"/>
    <s v="West"/>
    <s v="Clothing"/>
    <s v="Product_A"/>
    <n v="2257"/>
    <n v="1"/>
    <n v="0.17"/>
    <n v="960"/>
    <s v="Card"/>
    <n v="1873.31"/>
    <s v="Jan"/>
    <n v="2024"/>
    <s v="Q1"/>
    <n v="0.51246189899162442"/>
    <n v="383.69000000000005"/>
    <x v="2"/>
    <x v="0"/>
    <s v="Below Avg"/>
    <s v="Profit"/>
    <n v="438"/>
  </r>
  <r>
    <n v="12"/>
    <x v="11"/>
    <n v="1032"/>
    <s v="Customer_1"/>
    <s v="Consumer"/>
    <s v="West"/>
    <s v="Electronics"/>
    <s v="Product_C"/>
    <n v="3851"/>
    <n v="6"/>
    <n v="0.2"/>
    <n v="-7"/>
    <s v="UPI"/>
    <n v="18484.8"/>
    <s v="Jan"/>
    <n v="2024"/>
    <s v="Q1"/>
    <n v="-3.7868951787414524E-4"/>
    <n v="4621.2"/>
    <x v="0"/>
    <x v="0"/>
    <s v="Above Avg"/>
    <s v="Loss"/>
    <n v="87"/>
  </r>
  <r>
    <n v="13"/>
    <x v="12"/>
    <n v="1046"/>
    <s v="Customer_31"/>
    <s v="Corporate"/>
    <s v="East"/>
    <s v="Clothing"/>
    <s v="Product_B"/>
    <n v="999"/>
    <n v="3"/>
    <n v="0.27"/>
    <n v="-134"/>
    <s v="Card"/>
    <n v="2187.81"/>
    <s v="Jan"/>
    <n v="2024"/>
    <s v="Q1"/>
    <n v="-6.1248463074947093E-2"/>
    <n v="809.19"/>
    <x v="1"/>
    <x v="0"/>
    <s v="Below Avg"/>
    <s v="Loss"/>
    <n v="419"/>
  </r>
  <r>
    <n v="14"/>
    <x v="13"/>
    <n v="1096"/>
    <s v="Customer_21"/>
    <s v="Consumer"/>
    <s v="North"/>
    <s v="Clothing"/>
    <s v="Product_A"/>
    <n v="4554"/>
    <n v="9"/>
    <n v="0.02"/>
    <n v="1529"/>
    <s v="Card"/>
    <n v="40166.28"/>
    <s v="Jan"/>
    <n v="2024"/>
    <s v="Q1"/>
    <n v="3.8066756493257532E-2"/>
    <n v="819.72"/>
    <x v="0"/>
    <x v="0"/>
    <s v="Above Avg"/>
    <s v="Profit"/>
    <n v="2"/>
  </r>
  <r>
    <n v="15"/>
    <x v="14"/>
    <n v="1025"/>
    <s v="Customer_24"/>
    <s v="Corporate"/>
    <s v="South"/>
    <s v="Clothing"/>
    <s v="Product_A"/>
    <n v="2930"/>
    <n v="4"/>
    <n v="0.12"/>
    <n v="1243"/>
    <s v="Card"/>
    <n v="10313.6"/>
    <s v="Jan"/>
    <n v="2024"/>
    <s v="Q1"/>
    <n v="0.12052047781569965"/>
    <n v="1406.3999999999999"/>
    <x v="0"/>
    <x v="0"/>
    <s v="Below Avg"/>
    <s v="Profit"/>
    <n v="198"/>
  </r>
  <r>
    <n v="16"/>
    <x v="15"/>
    <n v="1083"/>
    <s v="Customer_19"/>
    <s v="Consumer"/>
    <s v="North"/>
    <s v="Furniture"/>
    <s v="Product_D"/>
    <n v="2870"/>
    <n v="2"/>
    <n v="0.05"/>
    <n v="1714"/>
    <s v="Card"/>
    <n v="5453"/>
    <s v="Jan"/>
    <n v="2024"/>
    <s v="Q1"/>
    <n v="0.31432239134421419"/>
    <n v="287"/>
    <x v="0"/>
    <x v="0"/>
    <s v="Below Avg"/>
    <s v="Profit"/>
    <n v="310"/>
  </r>
  <r>
    <n v="17"/>
    <x v="16"/>
    <n v="1078"/>
    <s v="Customer_61"/>
    <s v="Corporate"/>
    <s v="North"/>
    <s v="Clothing"/>
    <s v="Product_C"/>
    <n v="1320"/>
    <n v="4"/>
    <n v="0.15"/>
    <n v="644"/>
    <s v="UPI"/>
    <n v="4488"/>
    <s v="Jan"/>
    <n v="2024"/>
    <s v="Q1"/>
    <n v="0.14349376114081996"/>
    <n v="792"/>
    <x v="1"/>
    <x v="0"/>
    <s v="Below Avg"/>
    <s v="Profit"/>
    <n v="338"/>
  </r>
  <r>
    <n v="18"/>
    <x v="17"/>
    <n v="1036"/>
    <s v="Customer_112"/>
    <s v="Consumer"/>
    <s v="North"/>
    <s v="Furniture"/>
    <s v="Product_A"/>
    <n v="4545"/>
    <n v="4"/>
    <n v="7.0000000000000007E-2"/>
    <n v="1171"/>
    <s v="UPI"/>
    <n v="16907.3999999999"/>
    <s v="Jan"/>
    <n v="2024"/>
    <s v="Q1"/>
    <n v="6.9259614133456771E-2"/>
    <n v="1272.6000000000001"/>
    <x v="0"/>
    <x v="0"/>
    <s v="Above Avg"/>
    <s v="Profit"/>
    <n v="105"/>
  </r>
  <r>
    <n v="19"/>
    <x v="18"/>
    <n v="1096"/>
    <s v="Customer_188"/>
    <s v="Consumer"/>
    <s v="North"/>
    <s v="Electronics"/>
    <s v="Product_A"/>
    <n v="4690"/>
    <n v="1"/>
    <n v="0.12"/>
    <n v="-18"/>
    <s v="COD"/>
    <n v="4127.2"/>
    <s v="Jan"/>
    <n v="2024"/>
    <s v="Q1"/>
    <n v="-4.3613103314595857E-3"/>
    <n v="562.79999999999995"/>
    <x v="1"/>
    <x v="0"/>
    <s v="Below Avg"/>
    <s v="Loss"/>
    <n v="348"/>
  </r>
  <r>
    <n v="20"/>
    <x v="19"/>
    <n v="1080"/>
    <s v="Customer_124"/>
    <s v="Corporate"/>
    <s v="East"/>
    <s v="Furniture"/>
    <s v="Product_A"/>
    <n v="1487"/>
    <n v="8"/>
    <n v="0.11"/>
    <n v="992"/>
    <s v="Card"/>
    <n v="10587.44"/>
    <s v="Jan"/>
    <n v="2024"/>
    <s v="Q1"/>
    <n v="9.3695926494034437E-2"/>
    <n v="1308.56"/>
    <x v="0"/>
    <x v="0"/>
    <s v="Below Avg"/>
    <s v="Profit"/>
    <n v="196"/>
  </r>
  <r>
    <n v="21"/>
    <x v="20"/>
    <n v="1068"/>
    <s v="Customer_153"/>
    <s v="Consumer"/>
    <s v="South"/>
    <s v="Clothing"/>
    <s v="Product_B"/>
    <n v="2066"/>
    <n v="4"/>
    <n v="0.21"/>
    <n v="-488"/>
    <s v="UPI"/>
    <n v="6528.56"/>
    <s v="Jan"/>
    <n v="2024"/>
    <s v="Q1"/>
    <n v="-7.4748489712892274E-2"/>
    <n v="1735.4399999999998"/>
    <x v="0"/>
    <x v="0"/>
    <s v="Below Avg"/>
    <s v="Loss"/>
    <n v="285"/>
  </r>
  <r>
    <n v="22"/>
    <x v="21"/>
    <n v="1049"/>
    <s v="Customer_20"/>
    <s v="Corporate"/>
    <s v="East"/>
    <s v="Clothing"/>
    <s v="Product_D"/>
    <n v="4415"/>
    <n v="4"/>
    <n v="0.22"/>
    <n v="316"/>
    <s v="COD"/>
    <n v="13774.8"/>
    <s v="Jan"/>
    <n v="2024"/>
    <s v="Q1"/>
    <n v="2.2940441966489533E-2"/>
    <n v="3885.2"/>
    <x v="0"/>
    <x v="0"/>
    <s v="Above Avg"/>
    <s v="Profit"/>
    <n v="149"/>
  </r>
  <r>
    <n v="23"/>
    <x v="22"/>
    <n v="1055"/>
    <s v="Customer_117"/>
    <s v="Consumer"/>
    <s v="West"/>
    <s v="Furniture"/>
    <s v="Product_A"/>
    <n v="790"/>
    <n v="7"/>
    <n v="0.13"/>
    <n v="1889"/>
    <s v="COD"/>
    <n v="4811.1000000000004"/>
    <s v="Jan"/>
    <n v="2024"/>
    <s v="Q1"/>
    <n v="0.3926337012325663"/>
    <n v="718.9"/>
    <x v="1"/>
    <x v="0"/>
    <s v="Below Avg"/>
    <s v="Profit"/>
    <n v="328"/>
  </r>
  <r>
    <n v="24"/>
    <x v="23"/>
    <n v="1067"/>
    <s v="Customer_154"/>
    <s v="Corporate"/>
    <s v="North"/>
    <s v="Clothing"/>
    <s v="Product_A"/>
    <n v="4346"/>
    <n v="2"/>
    <n v="7.0000000000000007E-2"/>
    <n v="-8"/>
    <s v="Card"/>
    <n v="8083.5599999999904"/>
    <s v="Jan"/>
    <n v="2024"/>
    <s v="Q1"/>
    <n v="-9.8966297027547378E-4"/>
    <n v="608.44000000000005"/>
    <x v="0"/>
    <x v="0"/>
    <s v="Below Avg"/>
    <s v="Loss"/>
    <n v="250"/>
  </r>
  <r>
    <n v="25"/>
    <x v="24"/>
    <n v="1002"/>
    <s v="Customer_127"/>
    <s v="Consumer"/>
    <s v="South"/>
    <s v="Furniture"/>
    <s v="Product_D"/>
    <n v="2176"/>
    <n v="6"/>
    <n v="0.24"/>
    <n v="337"/>
    <s v="UPI"/>
    <n v="9922.56"/>
    <s v="Jan"/>
    <n v="2024"/>
    <s v="Q1"/>
    <n v="3.3963009545923635E-2"/>
    <n v="3133.44"/>
    <x v="0"/>
    <x v="0"/>
    <s v="Below Avg"/>
    <s v="Profit"/>
    <n v="201"/>
  </r>
  <r>
    <n v="26"/>
    <x v="25"/>
    <n v="1084"/>
    <s v="Customer_7"/>
    <s v="Corporate"/>
    <s v="North"/>
    <s v="Clothing"/>
    <s v="Product_C"/>
    <n v="1857"/>
    <n v="6"/>
    <n v="0.25"/>
    <n v="1296"/>
    <s v="Card"/>
    <n v="8356.5"/>
    <s v="Jan"/>
    <n v="2024"/>
    <s v="Q1"/>
    <n v="0.15508885298869143"/>
    <n v="2785.5"/>
    <x v="0"/>
    <x v="0"/>
    <s v="Below Avg"/>
    <s v="Profit"/>
    <n v="240"/>
  </r>
  <r>
    <n v="27"/>
    <x v="26"/>
    <n v="1039"/>
    <s v="Customer_195"/>
    <s v="Consumer"/>
    <s v="East"/>
    <s v="Furniture"/>
    <s v="Product_D"/>
    <n v="4258"/>
    <n v="7"/>
    <n v="0.16"/>
    <n v="1331"/>
    <s v="COD"/>
    <n v="25037.040000000001"/>
    <s v="Jan"/>
    <n v="2024"/>
    <s v="Q1"/>
    <n v="5.3161236312279724E-2"/>
    <n v="4768.96"/>
    <x v="0"/>
    <x v="0"/>
    <s v="Above Avg"/>
    <s v="Profit"/>
    <n v="42"/>
  </r>
  <r>
    <n v="28"/>
    <x v="27"/>
    <n v="1066"/>
    <s v="Customer_56"/>
    <s v="Consumer"/>
    <s v="South"/>
    <s v="Furniture"/>
    <s v="Product_D"/>
    <n v="270"/>
    <n v="2"/>
    <n v="7.0000000000000007E-2"/>
    <n v="1695"/>
    <s v="Card"/>
    <n v="502.2"/>
    <s v="Jan"/>
    <n v="2024"/>
    <s v="Q1"/>
    <n v="3.3751493428912784"/>
    <n v="37.800000000000004"/>
    <x v="2"/>
    <x v="0"/>
    <s v="Below Avg"/>
    <s v="Profit"/>
    <n v="491"/>
  </r>
  <r>
    <n v="29"/>
    <x v="28"/>
    <n v="1084"/>
    <s v="Customer_72"/>
    <s v="Corporate"/>
    <s v="North"/>
    <s v="Furniture"/>
    <s v="Product_A"/>
    <n v="1757"/>
    <n v="7"/>
    <n v="0.24"/>
    <n v="1198"/>
    <s v="Card"/>
    <n v="9347.24"/>
    <s v="Jan"/>
    <n v="2024"/>
    <s v="Q1"/>
    <n v="0.1281661752560114"/>
    <n v="2951.7599999999998"/>
    <x v="0"/>
    <x v="0"/>
    <s v="Below Avg"/>
    <s v="Profit"/>
    <n v="223"/>
  </r>
  <r>
    <n v="30"/>
    <x v="29"/>
    <n v="1047"/>
    <s v="Customer_94"/>
    <s v="Corporate"/>
    <s v="West"/>
    <s v="Electronics"/>
    <s v="Product_A"/>
    <n v="2171"/>
    <n v="2"/>
    <n v="0.11"/>
    <n v="1464"/>
    <s v="UPI"/>
    <n v="3864.38"/>
    <s v="Jan"/>
    <n v="2024"/>
    <s v="Q1"/>
    <n v="0.37884473059067691"/>
    <n v="477.62"/>
    <x v="1"/>
    <x v="0"/>
    <s v="Below Avg"/>
    <s v="Profit"/>
    <n v="359"/>
  </r>
  <r>
    <n v="31"/>
    <x v="30"/>
    <n v="1061"/>
    <s v="Customer_11"/>
    <s v="Consumer"/>
    <s v="North"/>
    <s v="Furniture"/>
    <s v="Product_D"/>
    <n v="4589"/>
    <n v="2"/>
    <n v="0.28000000000000003"/>
    <n v="1849"/>
    <s v="COD"/>
    <n v="6608.16"/>
    <s v="Jan"/>
    <n v="2024"/>
    <s v="Q1"/>
    <n v="0.27980557371492215"/>
    <n v="2569.84"/>
    <x v="0"/>
    <x v="0"/>
    <s v="Below Avg"/>
    <s v="Profit"/>
    <n v="284"/>
  </r>
  <r>
    <n v="32"/>
    <x v="31"/>
    <n v="1048"/>
    <s v="Customer_145"/>
    <s v="Consumer"/>
    <s v="North"/>
    <s v="Furniture"/>
    <s v="Product_A"/>
    <n v="1491"/>
    <n v="1"/>
    <n v="0.08"/>
    <n v="-440"/>
    <s v="UPI"/>
    <n v="1371.72"/>
    <s v="Feb"/>
    <n v="2024"/>
    <s v="Q1"/>
    <n v="-0.32076517073455224"/>
    <n v="119.28"/>
    <x v="2"/>
    <x v="0"/>
    <s v="Below Avg"/>
    <s v="Loss"/>
    <n v="464"/>
  </r>
  <r>
    <n v="33"/>
    <x v="32"/>
    <n v="1007"/>
    <s v="Customer_72"/>
    <s v="Corporate"/>
    <s v="North"/>
    <s v="Electronics"/>
    <s v="Product_D"/>
    <n v="4961"/>
    <n v="9"/>
    <n v="0.28000000000000003"/>
    <n v="1103"/>
    <s v="Card"/>
    <n v="32147.279999999999"/>
    <s v="Feb"/>
    <n v="2024"/>
    <s v="Q1"/>
    <n v="3.4310834384744214E-2"/>
    <n v="12501.720000000001"/>
    <x v="0"/>
    <x v="0"/>
    <s v="Above Avg"/>
    <s v="Profit"/>
    <n v="21"/>
  </r>
  <r>
    <n v="34"/>
    <x v="33"/>
    <n v="1099"/>
    <s v="Customer_175"/>
    <s v="Consumer"/>
    <s v="West"/>
    <s v="Electronics"/>
    <s v="Product_A"/>
    <n v="2141"/>
    <n v="9"/>
    <n v="0.13"/>
    <n v="191"/>
    <s v="COD"/>
    <n v="16764.03"/>
    <s v="Feb"/>
    <n v="2024"/>
    <s v="Q1"/>
    <n v="1.1393441791741009E-2"/>
    <n v="2504.9700000000003"/>
    <x v="0"/>
    <x v="0"/>
    <s v="Above Avg"/>
    <s v="Profit"/>
    <n v="108"/>
  </r>
  <r>
    <n v="35"/>
    <x v="34"/>
    <n v="1092"/>
    <s v="Customer_172"/>
    <s v="Consumer"/>
    <s v="West"/>
    <s v="Furniture"/>
    <s v="Product_B"/>
    <n v="4536"/>
    <n v="5"/>
    <n v="0.23"/>
    <n v="954"/>
    <s v="UPI"/>
    <n v="17463.599999999999"/>
    <s v="Feb"/>
    <n v="2024"/>
    <s v="Q1"/>
    <n v="5.4627911770768915E-2"/>
    <n v="5216.4000000000005"/>
    <x v="0"/>
    <x v="0"/>
    <s v="Above Avg"/>
    <s v="Profit"/>
    <n v="98"/>
  </r>
  <r>
    <n v="36"/>
    <x v="35"/>
    <n v="1052"/>
    <s v="Customer_192"/>
    <s v="Corporate"/>
    <s v="South"/>
    <s v="Electronics"/>
    <s v="Product_A"/>
    <n v="2529"/>
    <n v="7"/>
    <n v="0.06"/>
    <n v="-454"/>
    <s v="Card"/>
    <n v="16640.82"/>
    <s v="Feb"/>
    <n v="2024"/>
    <s v="Q1"/>
    <n v="-2.7282309405425934E-2"/>
    <n v="1062.18"/>
    <x v="0"/>
    <x v="0"/>
    <s v="Above Avg"/>
    <s v="Loss"/>
    <n v="112"/>
  </r>
  <r>
    <n v="37"/>
    <x v="36"/>
    <n v="1097"/>
    <s v="Customer_158"/>
    <s v="Consumer"/>
    <s v="East"/>
    <s v="Clothing"/>
    <s v="Product_C"/>
    <n v="3484"/>
    <n v="7"/>
    <n v="0.19"/>
    <n v="-398"/>
    <s v="UPI"/>
    <n v="19754.28"/>
    <s v="Feb"/>
    <n v="2024"/>
    <s v="Q1"/>
    <n v="-2.0147532585343533E-2"/>
    <n v="4633.72"/>
    <x v="0"/>
    <x v="0"/>
    <s v="Above Avg"/>
    <s v="Loss"/>
    <n v="81"/>
  </r>
  <r>
    <n v="38"/>
    <x v="37"/>
    <n v="1085"/>
    <s v="Customer_43"/>
    <s v="Consumer"/>
    <s v="North"/>
    <s v="Furniture"/>
    <s v="Product_B"/>
    <n v="100"/>
    <n v="3"/>
    <n v="0.17"/>
    <n v="-325"/>
    <s v="COD"/>
    <n v="249"/>
    <s v="Feb"/>
    <n v="2024"/>
    <s v="Q1"/>
    <n v="-1.3052208835341366"/>
    <n v="51.000000000000007"/>
    <x v="2"/>
    <x v="0"/>
    <s v="Below Avg"/>
    <s v="Loss"/>
    <n v="498"/>
  </r>
  <r>
    <n v="39"/>
    <x v="38"/>
    <n v="1094"/>
    <s v="Customer_16"/>
    <s v="Consumer"/>
    <s v="East"/>
    <s v="Electronics"/>
    <s v="Product_D"/>
    <n v="1152"/>
    <n v="2"/>
    <n v="0.13"/>
    <n v="-297"/>
    <s v="UPI"/>
    <n v="2004.48"/>
    <s v="Feb"/>
    <n v="2024"/>
    <s v="Q1"/>
    <n v="-0.14816810344827586"/>
    <n v="299.52"/>
    <x v="1"/>
    <x v="0"/>
    <s v="Below Avg"/>
    <s v="Loss"/>
    <n v="430"/>
  </r>
  <r>
    <n v="40"/>
    <x v="39"/>
    <n v="1027"/>
    <s v="Customer_119"/>
    <s v="Corporate"/>
    <s v="South"/>
    <s v="Electronics"/>
    <s v="Product_A"/>
    <n v="1345"/>
    <n v="4"/>
    <n v="0.22"/>
    <n v="1624"/>
    <s v="COD"/>
    <n v="4196.3999999999996"/>
    <s v="Feb"/>
    <n v="2024"/>
    <s v="Q1"/>
    <n v="0.38699837956343536"/>
    <n v="1183.5999999999999"/>
    <x v="1"/>
    <x v="0"/>
    <s v="Below Avg"/>
    <s v="Profit"/>
    <n v="346"/>
  </r>
  <r>
    <n v="41"/>
    <x v="40"/>
    <n v="1034"/>
    <s v="Customer_4"/>
    <s v="Corporate"/>
    <s v="West"/>
    <s v="Furniture"/>
    <s v="Product_D"/>
    <n v="3274"/>
    <n v="8"/>
    <n v="0.25"/>
    <n v="578"/>
    <s v="Card"/>
    <n v="19644"/>
    <s v="Feb"/>
    <n v="2024"/>
    <s v="Q1"/>
    <n v="2.942374261861128E-2"/>
    <n v="6548"/>
    <x v="0"/>
    <x v="0"/>
    <s v="Above Avg"/>
    <s v="Profit"/>
    <n v="82"/>
  </r>
  <r>
    <n v="42"/>
    <x v="41"/>
    <n v="1097"/>
    <s v="Customer_85"/>
    <s v="Corporate"/>
    <s v="South"/>
    <s v="Furniture"/>
    <s v="Product_C"/>
    <n v="2350"/>
    <n v="1"/>
    <n v="0.22"/>
    <n v="1840"/>
    <s v="UPI"/>
    <n v="1833"/>
    <s v="Feb"/>
    <n v="2024"/>
    <s v="Q1"/>
    <n v="1.0038188761593017"/>
    <n v="517"/>
    <x v="2"/>
    <x v="0"/>
    <s v="Below Avg"/>
    <s v="Profit"/>
    <n v="439"/>
  </r>
  <r>
    <n v="43"/>
    <x v="42"/>
    <n v="1076"/>
    <s v="Customer_50"/>
    <s v="Consumer"/>
    <s v="West"/>
    <s v="Electronics"/>
    <s v="Product_D"/>
    <n v="1934"/>
    <n v="8"/>
    <n v="0.24"/>
    <n v="1168"/>
    <s v="Card"/>
    <n v="11758.72"/>
    <s v="Feb"/>
    <n v="2024"/>
    <s v="Q1"/>
    <n v="9.933053937843575E-2"/>
    <n v="3713.2799999999997"/>
    <x v="0"/>
    <x v="0"/>
    <s v="Above Avg"/>
    <s v="Profit"/>
    <n v="175"/>
  </r>
  <r>
    <n v="44"/>
    <x v="43"/>
    <n v="1040"/>
    <s v="Customer_34"/>
    <s v="Corporate"/>
    <s v="North"/>
    <s v="Electronics"/>
    <s v="Product_C"/>
    <n v="3605"/>
    <n v="2"/>
    <n v="0.22"/>
    <n v="1510"/>
    <s v="Card"/>
    <n v="5623.8"/>
    <s v="Feb"/>
    <n v="2024"/>
    <s v="Q1"/>
    <n v="0.26850172481240442"/>
    <n v="1586.2"/>
    <x v="0"/>
    <x v="0"/>
    <s v="Below Avg"/>
    <s v="Profit"/>
    <n v="305"/>
  </r>
  <r>
    <n v="45"/>
    <x v="44"/>
    <n v="1003"/>
    <s v="Customer_35"/>
    <s v="Corporate"/>
    <s v="East"/>
    <s v="Furniture"/>
    <s v="Product_B"/>
    <n v="4693"/>
    <n v="8"/>
    <n v="0.04"/>
    <n v="1809"/>
    <s v="UPI"/>
    <n v="36042.239999999998"/>
    <s v="Feb"/>
    <n v="2024"/>
    <s v="Q1"/>
    <n v="5.019110909865758E-2"/>
    <n v="1501.76"/>
    <x v="0"/>
    <x v="0"/>
    <s v="Above Avg"/>
    <s v="Profit"/>
    <n v="7"/>
  </r>
  <r>
    <n v="46"/>
    <x v="45"/>
    <n v="1069"/>
    <s v="Customer_64"/>
    <s v="Consumer"/>
    <s v="South"/>
    <s v="Furniture"/>
    <s v="Product_C"/>
    <n v="4092"/>
    <n v="2"/>
    <n v="0.23"/>
    <n v="779"/>
    <s v="Card"/>
    <n v="6301.68"/>
    <s v="Feb"/>
    <n v="2024"/>
    <s v="Q1"/>
    <n v="0.12361782889642127"/>
    <n v="1882.3200000000002"/>
    <x v="0"/>
    <x v="0"/>
    <s v="Below Avg"/>
    <s v="Profit"/>
    <n v="290"/>
  </r>
  <r>
    <n v="47"/>
    <x v="46"/>
    <n v="1064"/>
    <s v="Customer_13"/>
    <s v="Corporate"/>
    <s v="West"/>
    <s v="Electronics"/>
    <s v="Product_B"/>
    <n v="1788"/>
    <n v="7"/>
    <n v="0.06"/>
    <n v="-196"/>
    <s v="Card"/>
    <n v="11765.039999999901"/>
    <s v="Feb"/>
    <n v="2024"/>
    <s v="Q1"/>
    <n v="-1.6659526869437048E-2"/>
    <n v="750.95999999999992"/>
    <x v="0"/>
    <x v="0"/>
    <s v="Above Avg"/>
    <s v="Loss"/>
    <n v="174"/>
  </r>
  <r>
    <n v="48"/>
    <x v="47"/>
    <n v="1075"/>
    <s v="Customer_107"/>
    <s v="Corporate"/>
    <s v="West"/>
    <s v="Clothing"/>
    <s v="Product_C"/>
    <n v="343"/>
    <n v="3"/>
    <n v="0.03"/>
    <n v="1062"/>
    <s v="UPI"/>
    <n v="998.13"/>
    <s v="Feb"/>
    <n v="2024"/>
    <s v="Q1"/>
    <n v="1.0639896606654444"/>
    <n v="30.869999999999997"/>
    <x v="2"/>
    <x v="0"/>
    <s v="Below Avg"/>
    <s v="Profit"/>
    <n v="479"/>
  </r>
  <r>
    <n v="49"/>
    <x v="48"/>
    <n v="1034"/>
    <s v="Customer_27"/>
    <s v="Consumer"/>
    <s v="South"/>
    <s v="Electronics"/>
    <s v="Product_B"/>
    <n v="1734"/>
    <n v="6"/>
    <n v="0.27"/>
    <n v="318"/>
    <s v="UPI"/>
    <n v="7594.92"/>
    <s v="Feb"/>
    <n v="2024"/>
    <s v="Q1"/>
    <n v="4.1870092114202652E-2"/>
    <n v="2809.0800000000004"/>
    <x v="0"/>
    <x v="0"/>
    <s v="Below Avg"/>
    <s v="Profit"/>
    <n v="263"/>
  </r>
  <r>
    <n v="50"/>
    <x v="49"/>
    <n v="1058"/>
    <s v="Customer_169"/>
    <s v="Consumer"/>
    <s v="East"/>
    <s v="Furniture"/>
    <s v="Product_C"/>
    <n v="2310"/>
    <n v="7"/>
    <n v="0.18"/>
    <n v="-22"/>
    <s v="COD"/>
    <n v="13259.4"/>
    <s v="Feb"/>
    <n v="2024"/>
    <s v="Q1"/>
    <n v="-1.6592002654720426E-3"/>
    <n v="2910.6"/>
    <x v="0"/>
    <x v="0"/>
    <s v="Above Avg"/>
    <s v="Loss"/>
    <n v="157"/>
  </r>
  <r>
    <n v="51"/>
    <x v="50"/>
    <n v="1010"/>
    <s v="Customer_42"/>
    <s v="Consumer"/>
    <s v="East"/>
    <s v="Clothing"/>
    <s v="Product_B"/>
    <n v="274"/>
    <n v="6"/>
    <n v="0.05"/>
    <n v="-327"/>
    <s v="COD"/>
    <n v="1561.8"/>
    <s v="Feb"/>
    <n v="2024"/>
    <s v="Q1"/>
    <n v="-0.20937379946215906"/>
    <n v="82.2"/>
    <x v="2"/>
    <x v="0"/>
    <s v="Below Avg"/>
    <s v="Loss"/>
    <n v="455"/>
  </r>
  <r>
    <n v="52"/>
    <x v="51"/>
    <n v="1022"/>
    <s v="Customer_157"/>
    <s v="Corporate"/>
    <s v="West"/>
    <s v="Clothing"/>
    <s v="Product_A"/>
    <n v="2319"/>
    <n v="5"/>
    <n v="0.19"/>
    <n v="51"/>
    <s v="COD"/>
    <n v="9391.9500000000007"/>
    <s v="Feb"/>
    <n v="2024"/>
    <s v="Q1"/>
    <n v="5.4301822305272062E-3"/>
    <n v="2203.0500000000002"/>
    <x v="0"/>
    <x v="0"/>
    <s v="Below Avg"/>
    <s v="Profit"/>
    <n v="222"/>
  </r>
  <r>
    <n v="53"/>
    <x v="52"/>
    <n v="1077"/>
    <s v="Customer_144"/>
    <s v="Corporate"/>
    <s v="North"/>
    <s v="Electronics"/>
    <s v="Product_B"/>
    <n v="3756"/>
    <n v="9"/>
    <n v="0.1"/>
    <n v="1822"/>
    <s v="Card"/>
    <n v="30423.599999999999"/>
    <s v="Feb"/>
    <n v="2024"/>
    <s v="Q1"/>
    <n v="5.9887718744658758E-2"/>
    <n v="3380.4"/>
    <x v="0"/>
    <x v="0"/>
    <s v="Above Avg"/>
    <s v="Profit"/>
    <n v="23"/>
  </r>
  <r>
    <n v="54"/>
    <x v="53"/>
    <n v="1018"/>
    <s v="Customer_181"/>
    <s v="Corporate"/>
    <s v="North"/>
    <s v="Furniture"/>
    <s v="Product_D"/>
    <n v="366"/>
    <n v="9"/>
    <n v="0.04"/>
    <n v="-461"/>
    <s v="UPI"/>
    <n v="3162.24"/>
    <s v="Feb"/>
    <n v="2024"/>
    <s v="Q1"/>
    <n v="-0.14578273628820079"/>
    <n v="131.76"/>
    <x v="1"/>
    <x v="0"/>
    <s v="Below Avg"/>
    <s v="Loss"/>
    <n v="388"/>
  </r>
  <r>
    <n v="55"/>
    <x v="54"/>
    <n v="1015"/>
    <s v="Customer_46"/>
    <s v="Corporate"/>
    <s v="North"/>
    <s v="Clothing"/>
    <s v="Product_A"/>
    <n v="1482"/>
    <n v="3"/>
    <n v="0.24"/>
    <n v="1102"/>
    <s v="COD"/>
    <n v="3378.96"/>
    <s v="Feb"/>
    <n v="2024"/>
    <s v="Q1"/>
    <n v="0.32613585245164189"/>
    <n v="1067.04"/>
    <x v="1"/>
    <x v="0"/>
    <s v="Below Avg"/>
    <s v="Profit"/>
    <n v="381"/>
  </r>
  <r>
    <n v="56"/>
    <x v="55"/>
    <n v="1027"/>
    <s v="Customer_197"/>
    <s v="Corporate"/>
    <s v="North"/>
    <s v="Electronics"/>
    <s v="Product_C"/>
    <n v="879"/>
    <n v="7"/>
    <n v="0.03"/>
    <n v="1934"/>
    <s v="Card"/>
    <n v="5968.41"/>
    <s v="Feb"/>
    <n v="2024"/>
    <s v="Q1"/>
    <n v="0.3240394007784318"/>
    <n v="184.59"/>
    <x v="0"/>
    <x v="0"/>
    <s v="Below Avg"/>
    <s v="Profit"/>
    <n v="298"/>
  </r>
  <r>
    <n v="57"/>
    <x v="56"/>
    <n v="1030"/>
    <s v="Customer_37"/>
    <s v="Corporate"/>
    <s v="East"/>
    <s v="Furniture"/>
    <s v="Product_B"/>
    <n v="4731"/>
    <n v="2"/>
    <n v="0.28999999999999998"/>
    <n v="1177"/>
    <s v="COD"/>
    <n v="6718.0199999999904"/>
    <s v="Feb"/>
    <n v="2024"/>
    <s v="Q1"/>
    <n v="0.17520043107939567"/>
    <n v="2743.98"/>
    <x v="0"/>
    <x v="0"/>
    <s v="Below Avg"/>
    <s v="Profit"/>
    <n v="282"/>
  </r>
  <r>
    <n v="58"/>
    <x v="57"/>
    <n v="1052"/>
    <s v="Customer_104"/>
    <s v="Consumer"/>
    <s v="West"/>
    <s v="Furniture"/>
    <s v="Product_B"/>
    <n v="766"/>
    <n v="1"/>
    <n v="0.23"/>
    <n v="993"/>
    <s v="COD"/>
    <n v="589.82000000000005"/>
    <s v="Feb"/>
    <n v="2024"/>
    <s v="Q1"/>
    <n v="1.6835644772981586"/>
    <n v="176.18"/>
    <x v="2"/>
    <x v="0"/>
    <s v="Below Avg"/>
    <s v="Profit"/>
    <n v="487"/>
  </r>
  <r>
    <n v="59"/>
    <x v="58"/>
    <n v="1070"/>
    <s v="Customer_188"/>
    <s v="Consumer"/>
    <s v="West"/>
    <s v="Furniture"/>
    <s v="Product_B"/>
    <n v="1257"/>
    <n v="4"/>
    <n v="0.21"/>
    <n v="-182"/>
    <s v="UPI"/>
    <n v="3972.12"/>
    <s v="Feb"/>
    <n v="2024"/>
    <s v="Q1"/>
    <n v="-4.581936094579217E-2"/>
    <n v="1055.8799999999999"/>
    <x v="1"/>
    <x v="0"/>
    <s v="Below Avg"/>
    <s v="Loss"/>
    <n v="354"/>
  </r>
  <r>
    <n v="60"/>
    <x v="59"/>
    <n v="1026"/>
    <s v="Customer_143"/>
    <s v="Consumer"/>
    <s v="North"/>
    <s v="Electronics"/>
    <s v="Product_C"/>
    <n v="4776"/>
    <n v="3"/>
    <n v="7.0000000000000007E-2"/>
    <n v="1297"/>
    <s v="UPI"/>
    <n v="13325.039999999901"/>
    <s v="Feb"/>
    <n v="2024"/>
    <s v="Q1"/>
    <n v="9.7335542707564823E-2"/>
    <n v="1002.9600000000002"/>
    <x v="0"/>
    <x v="0"/>
    <s v="Above Avg"/>
    <s v="Profit"/>
    <n v="156"/>
  </r>
  <r>
    <n v="61"/>
    <x v="60"/>
    <n v="1080"/>
    <s v="Customer_149"/>
    <s v="Consumer"/>
    <s v="West"/>
    <s v="Furniture"/>
    <s v="Product_D"/>
    <n v="963"/>
    <n v="4"/>
    <n v="0.23"/>
    <n v="-271"/>
    <s v="Card"/>
    <n v="2966.04"/>
    <s v="Mar"/>
    <n v="2024"/>
    <s v="Q1"/>
    <n v="-9.1367614732100713E-2"/>
    <n v="885.96"/>
    <x v="1"/>
    <x v="0"/>
    <s v="Below Avg"/>
    <s v="Loss"/>
    <n v="395"/>
  </r>
  <r>
    <n v="62"/>
    <x v="61"/>
    <n v="1006"/>
    <s v="Customer_34"/>
    <s v="Corporate"/>
    <s v="East"/>
    <s v="Clothing"/>
    <s v="Product_C"/>
    <n v="4000"/>
    <n v="3"/>
    <n v="0.01"/>
    <n v="1902"/>
    <s v="COD"/>
    <n v="11880"/>
    <s v="Mar"/>
    <n v="2024"/>
    <s v="Q1"/>
    <n v="0.1601010101010101"/>
    <n v="120"/>
    <x v="0"/>
    <x v="0"/>
    <s v="Above Avg"/>
    <s v="Profit"/>
    <n v="171"/>
  </r>
  <r>
    <n v="63"/>
    <x v="62"/>
    <n v="1014"/>
    <s v="Customer_9"/>
    <s v="Consumer"/>
    <s v="South"/>
    <s v="Electronics"/>
    <s v="Product_B"/>
    <n v="156"/>
    <n v="9"/>
    <n v="0.17"/>
    <n v="325"/>
    <s v="COD"/>
    <n v="1165.32"/>
    <s v="Mar"/>
    <n v="2024"/>
    <s v="Q1"/>
    <n v="0.2788933511825078"/>
    <n v="238.68"/>
    <x v="2"/>
    <x v="0"/>
    <s v="Below Avg"/>
    <s v="Profit"/>
    <n v="472"/>
  </r>
  <r>
    <n v="64"/>
    <x v="63"/>
    <n v="1075"/>
    <s v="Customer_154"/>
    <s v="Consumer"/>
    <s v="South"/>
    <s v="Electronics"/>
    <s v="Product_A"/>
    <n v="3350"/>
    <n v="4"/>
    <n v="0.09"/>
    <n v="1332"/>
    <s v="COD"/>
    <n v="12194"/>
    <s v="Mar"/>
    <n v="2024"/>
    <s v="Q1"/>
    <n v="0.109234049532557"/>
    <n v="1206"/>
    <x v="0"/>
    <x v="0"/>
    <s v="Above Avg"/>
    <s v="Profit"/>
    <n v="165"/>
  </r>
  <r>
    <n v="65"/>
    <x v="64"/>
    <n v="1054"/>
    <s v="Customer_77"/>
    <s v="Consumer"/>
    <s v="West"/>
    <s v="Electronics"/>
    <s v="Product_B"/>
    <n v="642"/>
    <n v="4"/>
    <n v="0.25"/>
    <n v="30"/>
    <s v="UPI"/>
    <n v="1926"/>
    <s v="Mar"/>
    <n v="2024"/>
    <s v="Q1"/>
    <n v="1.5576323987538941E-2"/>
    <n v="642"/>
    <x v="2"/>
    <x v="0"/>
    <s v="Below Avg"/>
    <s v="Profit"/>
    <n v="434"/>
  </r>
  <r>
    <n v="66"/>
    <x v="65"/>
    <n v="1071"/>
    <s v="Customer_146"/>
    <s v="Corporate"/>
    <s v="West"/>
    <s v="Electronics"/>
    <s v="Product_A"/>
    <n v="1032"/>
    <n v="7"/>
    <n v="0.23"/>
    <n v="-33"/>
    <s v="UPI"/>
    <n v="5562.48"/>
    <s v="Mar"/>
    <n v="2024"/>
    <s v="Q1"/>
    <n v="-5.9326056003796875E-3"/>
    <n v="1661.52"/>
    <x v="0"/>
    <x v="0"/>
    <s v="Below Avg"/>
    <s v="Loss"/>
    <n v="307"/>
  </r>
  <r>
    <n v="67"/>
    <x v="66"/>
    <n v="1001"/>
    <s v="Customer_1"/>
    <s v="Consumer"/>
    <s v="West"/>
    <s v="Furniture"/>
    <s v="Product_B"/>
    <n v="950"/>
    <n v="4"/>
    <n v="0.15"/>
    <n v="1734"/>
    <s v="COD"/>
    <n v="3230"/>
    <s v="Mar"/>
    <n v="2024"/>
    <s v="Q1"/>
    <n v="0.5368421052631579"/>
    <n v="570"/>
    <x v="1"/>
    <x v="0"/>
    <s v="Below Avg"/>
    <s v="Profit"/>
    <n v="387"/>
  </r>
  <r>
    <n v="68"/>
    <x v="67"/>
    <n v="1043"/>
    <s v="Customer_23"/>
    <s v="Corporate"/>
    <s v="North"/>
    <s v="Electronics"/>
    <s v="Product_D"/>
    <n v="1275"/>
    <n v="9"/>
    <n v="0.14000000000000001"/>
    <n v="1604"/>
    <s v="Card"/>
    <n v="9868.5"/>
    <s v="Mar"/>
    <n v="2024"/>
    <s v="Q1"/>
    <n v="0.16253736636773572"/>
    <n v="1606.5000000000002"/>
    <x v="0"/>
    <x v="1"/>
    <s v="Below Avg"/>
    <s v="Profit"/>
    <n v="204"/>
  </r>
  <r>
    <n v="69"/>
    <x v="68"/>
    <n v="1058"/>
    <s v="Customer_33"/>
    <s v="Consumer"/>
    <s v="North"/>
    <s v="Clothing"/>
    <s v="Product_D"/>
    <n v="622"/>
    <n v="9"/>
    <n v="0.02"/>
    <n v="442"/>
    <s v="Card"/>
    <n v="5486.04"/>
    <s v="Mar"/>
    <n v="2024"/>
    <s v="Q1"/>
    <n v="8.0568132933773726E-2"/>
    <n v="111.96000000000001"/>
    <x v="0"/>
    <x v="0"/>
    <s v="Below Avg"/>
    <s v="Profit"/>
    <n v="309"/>
  </r>
  <r>
    <n v="70"/>
    <x v="69"/>
    <n v="1055"/>
    <s v="Customer_175"/>
    <s v="Consumer"/>
    <s v="West"/>
    <s v="Clothing"/>
    <s v="Product_C"/>
    <n v="209"/>
    <n v="9"/>
    <n v="7.0000000000000007E-2"/>
    <n v="79"/>
    <s v="Card"/>
    <n v="1749.33"/>
    <s v="Mar"/>
    <n v="2024"/>
    <s v="Q1"/>
    <n v="4.5160147027719186E-2"/>
    <n v="131.67000000000002"/>
    <x v="2"/>
    <x v="0"/>
    <s v="Below Avg"/>
    <s v="Profit"/>
    <n v="444"/>
  </r>
  <r>
    <n v="71"/>
    <x v="70"/>
    <n v="1025"/>
    <s v="Customer_95"/>
    <s v="Consumer"/>
    <s v="South"/>
    <s v="Clothing"/>
    <s v="Product_D"/>
    <n v="3545"/>
    <n v="6"/>
    <n v="0.21"/>
    <n v="706"/>
    <s v="Card"/>
    <n v="16803.3"/>
    <s v="Mar"/>
    <n v="2024"/>
    <s v="Q1"/>
    <n v="4.2015556468074727E-2"/>
    <n v="4466.7"/>
    <x v="0"/>
    <x v="0"/>
    <s v="Above Avg"/>
    <s v="Profit"/>
    <n v="107"/>
  </r>
  <r>
    <n v="72"/>
    <x v="71"/>
    <n v="1050"/>
    <s v="Customer_122"/>
    <s v="Corporate"/>
    <s v="East"/>
    <s v="Clothing"/>
    <s v="Product_A"/>
    <n v="156"/>
    <n v="9"/>
    <n v="0.02"/>
    <n v="56"/>
    <s v="COD"/>
    <n v="1375.92"/>
    <s v="Mar"/>
    <n v="2024"/>
    <s v="Q1"/>
    <n v="4.0700040700040699E-2"/>
    <n v="28.080000000000002"/>
    <x v="2"/>
    <x v="0"/>
    <s v="Below Avg"/>
    <s v="Profit"/>
    <n v="463"/>
  </r>
  <r>
    <n v="73"/>
    <x v="72"/>
    <n v="1084"/>
    <s v="Customer_21"/>
    <s v="Consumer"/>
    <s v="West"/>
    <s v="Clothing"/>
    <s v="Product_C"/>
    <n v="3923"/>
    <n v="3"/>
    <n v="0.24"/>
    <n v="1141"/>
    <s v="UPI"/>
    <n v="8944.44"/>
    <s v="Mar"/>
    <n v="2024"/>
    <s v="Q1"/>
    <n v="0.12756528077777926"/>
    <n v="2824.56"/>
    <x v="0"/>
    <x v="0"/>
    <s v="Below Avg"/>
    <s v="Profit"/>
    <n v="232"/>
  </r>
  <r>
    <n v="74"/>
    <x v="73"/>
    <n v="1056"/>
    <s v="Customer_61"/>
    <s v="Corporate"/>
    <s v="East"/>
    <s v="Electronics"/>
    <s v="Product_D"/>
    <n v="1766"/>
    <n v="2"/>
    <n v="0.28999999999999998"/>
    <n v="620"/>
    <s v="Card"/>
    <n v="2507.7199999999998"/>
    <s v="Mar"/>
    <n v="2024"/>
    <s v="Q1"/>
    <n v="0.24723653358429173"/>
    <n v="1024.28"/>
    <x v="1"/>
    <x v="0"/>
    <s v="Below Avg"/>
    <s v="Profit"/>
    <n v="410"/>
  </r>
  <r>
    <n v="75"/>
    <x v="74"/>
    <n v="1049"/>
    <s v="Customer_27"/>
    <s v="Consumer"/>
    <s v="East"/>
    <s v="Furniture"/>
    <s v="Product_B"/>
    <n v="4017"/>
    <n v="2"/>
    <n v="0.02"/>
    <n v="755"/>
    <s v="COD"/>
    <n v="7873.32"/>
    <s v="Mar"/>
    <n v="2024"/>
    <s v="Q1"/>
    <n v="9.58934731472873E-2"/>
    <n v="160.68"/>
    <x v="0"/>
    <x v="0"/>
    <s v="Below Avg"/>
    <s v="Profit"/>
    <n v="255"/>
  </r>
  <r>
    <n v="76"/>
    <x v="75"/>
    <n v="1012"/>
    <s v="Customer_191"/>
    <s v="Consumer"/>
    <s v="East"/>
    <s v="Clothing"/>
    <s v="Product_D"/>
    <n v="1527"/>
    <n v="7"/>
    <n v="0.14000000000000001"/>
    <n v="-113"/>
    <s v="COD"/>
    <n v="9192.53999999999"/>
    <s v="Mar"/>
    <n v="2024"/>
    <s v="Q1"/>
    <n v="-1.2292576371710117E-2"/>
    <n v="1496.46"/>
    <x v="0"/>
    <x v="0"/>
    <s v="Below Avg"/>
    <s v="Loss"/>
    <n v="227"/>
  </r>
  <r>
    <n v="77"/>
    <x v="76"/>
    <n v="1018"/>
    <s v="Customer_102"/>
    <s v="Consumer"/>
    <s v="East"/>
    <s v="Furniture"/>
    <s v="Product_C"/>
    <n v="604"/>
    <n v="5"/>
    <n v="0.17"/>
    <n v="213"/>
    <s v="COD"/>
    <n v="2506.6"/>
    <s v="Mar"/>
    <n v="2024"/>
    <s v="Q1"/>
    <n v="8.497566424638954E-2"/>
    <n v="513.40000000000009"/>
    <x v="1"/>
    <x v="0"/>
    <s v="Below Avg"/>
    <s v="Profit"/>
    <n v="411"/>
  </r>
  <r>
    <n v="78"/>
    <x v="77"/>
    <n v="1081"/>
    <s v="Customer_180"/>
    <s v="Consumer"/>
    <s v="North"/>
    <s v="Clothing"/>
    <s v="Product_D"/>
    <n v="3795"/>
    <n v="4"/>
    <n v="0.24"/>
    <n v="842"/>
    <s v="UPI"/>
    <n v="11536.8"/>
    <s v="Mar"/>
    <n v="2024"/>
    <s v="Q1"/>
    <n v="7.2983843006726307E-2"/>
    <n v="3643.2"/>
    <x v="0"/>
    <x v="0"/>
    <s v="Above Avg"/>
    <s v="Profit"/>
    <n v="181"/>
  </r>
  <r>
    <n v="79"/>
    <x v="78"/>
    <n v="1001"/>
    <s v="Customer_192"/>
    <s v="Consumer"/>
    <s v="West"/>
    <s v="Clothing"/>
    <s v="Product_A"/>
    <n v="4704"/>
    <n v="2"/>
    <n v="0.05"/>
    <n v="-31"/>
    <s v="Card"/>
    <n v="8937.6"/>
    <s v="Mar"/>
    <n v="2024"/>
    <s v="Q1"/>
    <n v="-3.4684926602219835E-3"/>
    <n v="470.40000000000003"/>
    <x v="0"/>
    <x v="0"/>
    <s v="Below Avg"/>
    <s v="Loss"/>
    <n v="233"/>
  </r>
  <r>
    <n v="80"/>
    <x v="79"/>
    <n v="1051"/>
    <s v="Customer_142"/>
    <s v="Corporate"/>
    <s v="East"/>
    <s v="Clothing"/>
    <s v="Product_A"/>
    <n v="1428"/>
    <n v="4"/>
    <n v="0.11"/>
    <n v="361"/>
    <s v="UPI"/>
    <n v="5083.68"/>
    <s v="Mar"/>
    <n v="2024"/>
    <s v="Q1"/>
    <n v="7.10115506876908E-2"/>
    <n v="628.32000000000005"/>
    <x v="0"/>
    <x v="0"/>
    <s v="Below Avg"/>
    <s v="Profit"/>
    <n v="320"/>
  </r>
  <r>
    <n v="81"/>
    <x v="80"/>
    <n v="1044"/>
    <s v="Customer_101"/>
    <s v="Corporate"/>
    <s v="East"/>
    <s v="Furniture"/>
    <s v="Product_A"/>
    <n v="783"/>
    <n v="6"/>
    <n v="0.25"/>
    <n v="-54"/>
    <s v="COD"/>
    <n v="3523.5"/>
    <s v="Mar"/>
    <n v="2024"/>
    <s v="Q1"/>
    <n v="-1.532567049808429E-2"/>
    <n v="1174.5"/>
    <x v="1"/>
    <x v="0"/>
    <s v="Below Avg"/>
    <s v="Loss"/>
    <n v="376"/>
  </r>
  <r>
    <n v="82"/>
    <x v="81"/>
    <n v="1048"/>
    <s v="Customer_175"/>
    <s v="Consumer"/>
    <s v="South"/>
    <s v="Electronics"/>
    <s v="Product_A"/>
    <n v="222"/>
    <n v="6"/>
    <n v="0.16"/>
    <n v="9"/>
    <s v="UPI"/>
    <n v="1118.8799999999901"/>
    <s v="Mar"/>
    <n v="2024"/>
    <s v="Q1"/>
    <n v="8.043758043758115E-3"/>
    <n v="213.12"/>
    <x v="2"/>
    <x v="0"/>
    <s v="Below Avg"/>
    <s v="Profit"/>
    <n v="474"/>
  </r>
  <r>
    <n v="83"/>
    <x v="82"/>
    <n v="1056"/>
    <s v="Customer_7"/>
    <s v="Corporate"/>
    <s v="West"/>
    <s v="Clothing"/>
    <s v="Product_A"/>
    <n v="1447"/>
    <n v="8"/>
    <n v="0.05"/>
    <n v="1686"/>
    <s v="UPI"/>
    <n v="10997.199999999901"/>
    <s v="Mar"/>
    <n v="2024"/>
    <s v="Q1"/>
    <n v="0.15331175208234962"/>
    <n v="578.80000000000007"/>
    <x v="0"/>
    <x v="0"/>
    <s v="Above Avg"/>
    <s v="Profit"/>
    <n v="191"/>
  </r>
  <r>
    <n v="84"/>
    <x v="83"/>
    <n v="1091"/>
    <s v="Customer_76"/>
    <s v="Corporate"/>
    <s v="East"/>
    <s v="Electronics"/>
    <s v="Product_C"/>
    <n v="4171"/>
    <n v="6"/>
    <n v="0.26"/>
    <n v="1941"/>
    <s v="UPI"/>
    <n v="18519.2399999999"/>
    <s v="Mar"/>
    <n v="2024"/>
    <s v="Q1"/>
    <n v="0.10480991660564962"/>
    <n v="6506.76"/>
    <x v="0"/>
    <x v="0"/>
    <s v="Above Avg"/>
    <s v="Profit"/>
    <n v="86"/>
  </r>
  <r>
    <n v="85"/>
    <x v="84"/>
    <n v="1049"/>
    <s v="Customer_156"/>
    <s v="Corporate"/>
    <s v="North"/>
    <s v="Clothing"/>
    <s v="Product_D"/>
    <n v="2001"/>
    <n v="5"/>
    <n v="0.28000000000000003"/>
    <n v="832"/>
    <s v="UPI"/>
    <n v="7203.5999999999904"/>
    <s v="Mar"/>
    <n v="2024"/>
    <s v="Q1"/>
    <n v="0.1154978066522296"/>
    <n v="2801.4"/>
    <x v="0"/>
    <x v="0"/>
    <s v="Below Avg"/>
    <s v="Profit"/>
    <n v="271"/>
  </r>
  <r>
    <n v="86"/>
    <x v="85"/>
    <n v="1086"/>
    <s v="Customer_131"/>
    <s v="Consumer"/>
    <s v="South"/>
    <s v="Electronics"/>
    <s v="Product_C"/>
    <n v="1745"/>
    <n v="7"/>
    <n v="0.22"/>
    <n v="1411"/>
    <s v="UPI"/>
    <n v="9527.7000000000007"/>
    <s v="Mar"/>
    <n v="2024"/>
    <s v="Q1"/>
    <n v="0.14809450339536298"/>
    <n v="2687.3"/>
    <x v="0"/>
    <x v="0"/>
    <s v="Below Avg"/>
    <s v="Profit"/>
    <n v="215"/>
  </r>
  <r>
    <n v="87"/>
    <x v="86"/>
    <n v="1003"/>
    <s v="Customer_150"/>
    <s v="Corporate"/>
    <s v="South"/>
    <s v="Electronics"/>
    <s v="Product_D"/>
    <n v="2969"/>
    <n v="3"/>
    <n v="0.28999999999999998"/>
    <n v="735"/>
    <s v="UPI"/>
    <n v="6323.9699999999903"/>
    <s v="Mar"/>
    <n v="2024"/>
    <s v="Q1"/>
    <n v="0.11622446026783827"/>
    <n v="2583.0299999999997"/>
    <x v="0"/>
    <x v="0"/>
    <s v="Below Avg"/>
    <s v="Profit"/>
    <n v="288"/>
  </r>
  <r>
    <n v="88"/>
    <x v="87"/>
    <n v="1067"/>
    <s v="Customer_85"/>
    <s v="Corporate"/>
    <s v="South"/>
    <s v="Clothing"/>
    <s v="Product_A"/>
    <n v="1478"/>
    <n v="4"/>
    <n v="0.28000000000000003"/>
    <n v="-370"/>
    <s v="COD"/>
    <n v="4256.6399999999903"/>
    <s v="Mar"/>
    <n v="2024"/>
    <s v="Q1"/>
    <n v="-8.6923019094873155E-2"/>
    <n v="1655.3600000000001"/>
    <x v="1"/>
    <x v="0"/>
    <s v="Below Avg"/>
    <s v="Loss"/>
    <n v="343"/>
  </r>
  <r>
    <n v="89"/>
    <x v="88"/>
    <n v="1011"/>
    <s v="Customer_191"/>
    <s v="Corporate"/>
    <s v="South"/>
    <s v="Electronics"/>
    <s v="Product_B"/>
    <n v="2972"/>
    <n v="6"/>
    <n v="0.04"/>
    <n v="64"/>
    <s v="UPI"/>
    <n v="17118.72"/>
    <s v="Mar"/>
    <n v="2024"/>
    <s v="Q1"/>
    <n v="3.7385972783011813E-3"/>
    <n v="713.28"/>
    <x v="0"/>
    <x v="0"/>
    <s v="Above Avg"/>
    <s v="Profit"/>
    <n v="104"/>
  </r>
  <r>
    <n v="90"/>
    <x v="89"/>
    <n v="1021"/>
    <s v="Customer_29"/>
    <s v="Consumer"/>
    <s v="East"/>
    <s v="Furniture"/>
    <s v="Product_B"/>
    <n v="1596"/>
    <n v="9"/>
    <n v="0.12"/>
    <n v="1887"/>
    <s v="UPI"/>
    <n v="12640.32"/>
    <s v="Mar"/>
    <n v="2024"/>
    <s v="Q1"/>
    <n v="0.14928419533682691"/>
    <n v="1723.6799999999998"/>
    <x v="0"/>
    <x v="0"/>
    <s v="Above Avg"/>
    <s v="Profit"/>
    <n v="161"/>
  </r>
  <r>
    <n v="91"/>
    <x v="90"/>
    <n v="1089"/>
    <s v="Customer_148"/>
    <s v="Corporate"/>
    <s v="North"/>
    <s v="Electronics"/>
    <s v="Product_B"/>
    <n v="775"/>
    <n v="6"/>
    <n v="0.18"/>
    <n v="1459"/>
    <s v="UPI"/>
    <n v="3813"/>
    <s v="Mar"/>
    <n v="2024"/>
    <s v="Q1"/>
    <n v="0.38263834251245737"/>
    <n v="837"/>
    <x v="1"/>
    <x v="0"/>
    <s v="Below Avg"/>
    <s v="Profit"/>
    <n v="364"/>
  </r>
  <r>
    <n v="92"/>
    <x v="91"/>
    <n v="1098"/>
    <s v="Customer_67"/>
    <s v="Corporate"/>
    <s v="South"/>
    <s v="Furniture"/>
    <s v="Product_D"/>
    <n v="2608"/>
    <n v="4"/>
    <n v="0.22"/>
    <n v="1774"/>
    <s v="UPI"/>
    <n v="8136.96"/>
    <s v="Apr"/>
    <n v="2024"/>
    <s v="Q2"/>
    <n v="0.21801753971999371"/>
    <n v="2295.04"/>
    <x v="0"/>
    <x v="0"/>
    <s v="Below Avg"/>
    <s v="Profit"/>
    <n v="246"/>
  </r>
  <r>
    <n v="93"/>
    <x v="92"/>
    <n v="1003"/>
    <s v="Customer_105"/>
    <s v="Corporate"/>
    <s v="North"/>
    <s v="Electronics"/>
    <s v="Product_D"/>
    <n v="2396"/>
    <n v="8"/>
    <n v="0.16"/>
    <n v="943"/>
    <s v="Card"/>
    <n v="16101.119999999901"/>
    <s v="Apr"/>
    <n v="2024"/>
    <s v="Q2"/>
    <n v="5.8567354320693578E-2"/>
    <n v="3066.88"/>
    <x v="0"/>
    <x v="0"/>
    <s v="Above Avg"/>
    <s v="Profit"/>
    <n v="126"/>
  </r>
  <r>
    <n v="94"/>
    <x v="93"/>
    <n v="1011"/>
    <s v="Customer_161"/>
    <s v="Consumer"/>
    <s v="East"/>
    <s v="Furniture"/>
    <s v="Product_C"/>
    <n v="662"/>
    <n v="5"/>
    <n v="0.19"/>
    <n v="-45"/>
    <s v="COD"/>
    <n v="2681.1"/>
    <s v="Apr"/>
    <n v="2024"/>
    <s v="Q2"/>
    <n v="-1.6784155756965426E-2"/>
    <n v="628.9"/>
    <x v="1"/>
    <x v="0"/>
    <s v="Below Avg"/>
    <s v="Loss"/>
    <n v="403"/>
  </r>
  <r>
    <n v="95"/>
    <x v="94"/>
    <n v="1003"/>
    <s v="Customer_94"/>
    <s v="Consumer"/>
    <s v="West"/>
    <s v="Clothing"/>
    <s v="Product_C"/>
    <n v="4372"/>
    <n v="5"/>
    <n v="0.04"/>
    <n v="1771"/>
    <s v="UPI"/>
    <n v="20985.599999999999"/>
    <s v="Apr"/>
    <n v="2024"/>
    <s v="Q2"/>
    <n v="8.4391201585849354E-2"/>
    <n v="874.4"/>
    <x v="0"/>
    <x v="0"/>
    <s v="Above Avg"/>
    <s v="Profit"/>
    <n v="77"/>
  </r>
  <r>
    <n v="96"/>
    <x v="95"/>
    <n v="1094"/>
    <s v="Customer_48"/>
    <s v="Consumer"/>
    <s v="North"/>
    <s v="Furniture"/>
    <s v="Product_D"/>
    <n v="301"/>
    <n v="8"/>
    <n v="0.12"/>
    <n v="1297"/>
    <s v="UPI"/>
    <n v="2119.04"/>
    <s v="Apr"/>
    <n v="2024"/>
    <s v="Q2"/>
    <n v="0.61206961643008151"/>
    <n v="288.95999999999998"/>
    <x v="1"/>
    <x v="0"/>
    <s v="Below Avg"/>
    <s v="Profit"/>
    <n v="421"/>
  </r>
  <r>
    <n v="97"/>
    <x v="96"/>
    <n v="1006"/>
    <s v="Customer_103"/>
    <s v="Corporate"/>
    <s v="East"/>
    <s v="Furniture"/>
    <s v="Product_A"/>
    <n v="4572"/>
    <n v="9"/>
    <n v="0"/>
    <n v="519"/>
    <s v="UPI"/>
    <n v="41148"/>
    <s v="Apr"/>
    <n v="2024"/>
    <s v="Q2"/>
    <n v="1.2613006707494897E-2"/>
    <n v="0"/>
    <x v="0"/>
    <x v="0"/>
    <s v="Above Avg"/>
    <s v="Profit"/>
    <n v="1"/>
  </r>
  <r>
    <n v="98"/>
    <x v="97"/>
    <n v="1009"/>
    <s v="Customer_41"/>
    <s v="Consumer"/>
    <s v="South"/>
    <s v="Electronics"/>
    <s v="Product_A"/>
    <n v="3094"/>
    <n v="4"/>
    <n v="0.2"/>
    <n v="236"/>
    <s v="Card"/>
    <n v="9900.7999999999993"/>
    <s v="Apr"/>
    <n v="2024"/>
    <s v="Q2"/>
    <n v="2.3836457659987074E-2"/>
    <n v="2475.2000000000003"/>
    <x v="0"/>
    <x v="0"/>
    <s v="Below Avg"/>
    <s v="Profit"/>
    <n v="203"/>
  </r>
  <r>
    <n v="99"/>
    <x v="98"/>
    <n v="1087"/>
    <s v="Customer_123"/>
    <s v="Consumer"/>
    <s v="West"/>
    <s v="Electronics"/>
    <s v="Product_A"/>
    <n v="4656"/>
    <n v="8"/>
    <n v="0.05"/>
    <n v="115"/>
    <s v="Card"/>
    <n v="35385.599999999999"/>
    <s v="Apr"/>
    <n v="2024"/>
    <s v="Q2"/>
    <n v="3.2499095677337676E-3"/>
    <n v="1862.4"/>
    <x v="0"/>
    <x v="0"/>
    <s v="Above Avg"/>
    <s v="Profit"/>
    <n v="9"/>
  </r>
  <r>
    <n v="100"/>
    <x v="99"/>
    <n v="1014"/>
    <s v="Customer_137"/>
    <s v="Corporate"/>
    <s v="North"/>
    <s v="Clothing"/>
    <s v="Product_B"/>
    <n v="4815"/>
    <n v="8"/>
    <n v="0.12"/>
    <n v="271"/>
    <s v="UPI"/>
    <n v="33897.599999999999"/>
    <s v="Apr"/>
    <n v="2024"/>
    <s v="Q2"/>
    <n v="7.9946662890588126E-3"/>
    <n v="4622.3999999999996"/>
    <x v="0"/>
    <x v="0"/>
    <s v="Above Avg"/>
    <s v="Profit"/>
    <n v="14"/>
  </r>
  <r>
    <n v="101"/>
    <x v="100"/>
    <n v="1083"/>
    <s v="Customer_176"/>
    <s v="Consumer"/>
    <s v="South"/>
    <s v="Furniture"/>
    <s v="Product_C"/>
    <n v="4598"/>
    <n v="3"/>
    <n v="0.15"/>
    <n v="93"/>
    <s v="Card"/>
    <n v="11724.9"/>
    <s v="Apr"/>
    <n v="2024"/>
    <s v="Q2"/>
    <n v="7.9318373717473072E-3"/>
    <n v="2069.1"/>
    <x v="0"/>
    <x v="0"/>
    <s v="Above Avg"/>
    <s v="Profit"/>
    <n v="177"/>
  </r>
  <r>
    <n v="102"/>
    <x v="101"/>
    <n v="1070"/>
    <s v="Customer_182"/>
    <s v="Consumer"/>
    <s v="East"/>
    <s v="Electronics"/>
    <s v="Product_B"/>
    <n v="4505"/>
    <n v="4"/>
    <n v="0.2"/>
    <n v="-150"/>
    <s v="UPI"/>
    <n v="14416"/>
    <s v="Apr"/>
    <n v="2024"/>
    <s v="Q2"/>
    <n v="-1.0405105438401776E-2"/>
    <n v="3604"/>
    <x v="0"/>
    <x v="0"/>
    <s v="Above Avg"/>
    <s v="Loss"/>
    <n v="144"/>
  </r>
  <r>
    <n v="103"/>
    <x v="102"/>
    <n v="1012"/>
    <s v="Customer_23"/>
    <s v="Consumer"/>
    <s v="East"/>
    <s v="Electronics"/>
    <s v="Product_C"/>
    <n v="3765"/>
    <n v="2"/>
    <n v="0.23"/>
    <n v="820"/>
    <s v="COD"/>
    <n v="5798.1"/>
    <s v="Apr"/>
    <n v="2024"/>
    <s v="Q2"/>
    <n v="0.14142563943360756"/>
    <n v="1731.9"/>
    <x v="0"/>
    <x v="0"/>
    <s v="Below Avg"/>
    <s v="Profit"/>
    <n v="301"/>
  </r>
  <r>
    <n v="104"/>
    <x v="103"/>
    <n v="1054"/>
    <s v="Customer_193"/>
    <s v="Corporate"/>
    <s v="East"/>
    <s v="Furniture"/>
    <s v="Product_A"/>
    <n v="4195"/>
    <n v="5"/>
    <n v="0.21"/>
    <n v="-479"/>
    <s v="Card"/>
    <n v="16570.25"/>
    <s v="Apr"/>
    <n v="2024"/>
    <s v="Q2"/>
    <n v="-2.8907228315806943E-2"/>
    <n v="4404.75"/>
    <x v="0"/>
    <x v="0"/>
    <s v="Above Avg"/>
    <s v="Loss"/>
    <n v="114"/>
  </r>
  <r>
    <n v="105"/>
    <x v="104"/>
    <n v="1027"/>
    <s v="Customer_149"/>
    <s v="Corporate"/>
    <s v="South"/>
    <s v="Furniture"/>
    <s v="Product_A"/>
    <n v="1628"/>
    <n v="6"/>
    <n v="0.17"/>
    <n v="1224"/>
    <s v="Card"/>
    <n v="8107.44"/>
    <s v="Apr"/>
    <n v="2024"/>
    <s v="Q2"/>
    <n v="0.15097244012906663"/>
    <n v="1660.5600000000002"/>
    <x v="0"/>
    <x v="0"/>
    <s v="Below Avg"/>
    <s v="Profit"/>
    <n v="248"/>
  </r>
  <r>
    <n v="106"/>
    <x v="105"/>
    <n v="1038"/>
    <s v="Customer_160"/>
    <s v="Corporate"/>
    <s v="North"/>
    <s v="Clothing"/>
    <s v="Product_A"/>
    <n v="759"/>
    <n v="6"/>
    <n v="0.16"/>
    <n v="879"/>
    <s v="UPI"/>
    <n v="3825.3599999999901"/>
    <s v="Apr"/>
    <n v="2024"/>
    <s v="Q2"/>
    <n v="0.22978229499968689"/>
    <n v="728.64"/>
    <x v="1"/>
    <x v="0"/>
    <s v="Below Avg"/>
    <s v="Profit"/>
    <n v="363"/>
  </r>
  <r>
    <n v="107"/>
    <x v="106"/>
    <n v="1017"/>
    <s v="Customer_109"/>
    <s v="Consumer"/>
    <s v="East"/>
    <s v="Electronics"/>
    <s v="Product_B"/>
    <n v="101"/>
    <n v="2"/>
    <n v="0.26"/>
    <n v="1747"/>
    <s v="COD"/>
    <n v="149.47999999999999"/>
    <s v="Apr"/>
    <n v="2024"/>
    <s v="Q2"/>
    <n v="11.687182231736688"/>
    <n v="52.52"/>
    <x v="2"/>
    <x v="0"/>
    <s v="Below Avg"/>
    <s v="Profit"/>
    <n v="500"/>
  </r>
  <r>
    <n v="108"/>
    <x v="107"/>
    <n v="1061"/>
    <s v="Customer_154"/>
    <s v="Corporate"/>
    <s v="East"/>
    <s v="Furniture"/>
    <s v="Product_A"/>
    <n v="608"/>
    <n v="4"/>
    <n v="0.26"/>
    <n v="1152"/>
    <s v="UPI"/>
    <n v="1799.68"/>
    <s v="Apr"/>
    <n v="2024"/>
    <s v="Q2"/>
    <n v="0.64011379800853485"/>
    <n v="632.32000000000005"/>
    <x v="2"/>
    <x v="0"/>
    <s v="Below Avg"/>
    <s v="Profit"/>
    <n v="441"/>
  </r>
  <r>
    <n v="109"/>
    <x v="108"/>
    <n v="1074"/>
    <s v="Customer_33"/>
    <s v="Consumer"/>
    <s v="West"/>
    <s v="Clothing"/>
    <s v="Product_A"/>
    <n v="239"/>
    <n v="2"/>
    <n v="0.02"/>
    <n v="1292"/>
    <s v="COD"/>
    <n v="468.44"/>
    <s v="Apr"/>
    <n v="2024"/>
    <s v="Q2"/>
    <n v="2.7580906839723336"/>
    <n v="9.56"/>
    <x v="2"/>
    <x v="0"/>
    <s v="Below Avg"/>
    <s v="Profit"/>
    <n v="492"/>
  </r>
  <r>
    <n v="110"/>
    <x v="109"/>
    <n v="1099"/>
    <s v="Customer_188"/>
    <s v="Corporate"/>
    <s v="North"/>
    <s v="Furniture"/>
    <s v="Product_B"/>
    <n v="3354"/>
    <n v="5"/>
    <n v="0.08"/>
    <n v="556"/>
    <s v="Card"/>
    <n v="15428.4"/>
    <s v="Apr"/>
    <n v="2024"/>
    <s v="Q2"/>
    <n v="3.603743745300874E-2"/>
    <n v="1341.6000000000001"/>
    <x v="0"/>
    <x v="0"/>
    <s v="Above Avg"/>
    <s v="Profit"/>
    <n v="136"/>
  </r>
  <r>
    <n v="111"/>
    <x v="110"/>
    <n v="1099"/>
    <s v="Customer_137"/>
    <s v="Corporate"/>
    <s v="East"/>
    <s v="Furniture"/>
    <s v="Product_A"/>
    <n v="3754"/>
    <n v="2"/>
    <n v="0.28000000000000003"/>
    <n v="853"/>
    <s v="Card"/>
    <n v="5405.76"/>
    <s v="Apr"/>
    <n v="2024"/>
    <s v="Q2"/>
    <n v="0.15779464867104717"/>
    <n v="2102.2400000000002"/>
    <x v="0"/>
    <x v="0"/>
    <s v="Below Avg"/>
    <s v="Profit"/>
    <n v="312"/>
  </r>
  <r>
    <n v="112"/>
    <x v="111"/>
    <n v="1065"/>
    <s v="Customer_81"/>
    <s v="Consumer"/>
    <s v="North"/>
    <s v="Clothing"/>
    <s v="Product_A"/>
    <n v="1685"/>
    <n v="9"/>
    <n v="0.18"/>
    <n v="1489"/>
    <s v="COD"/>
    <n v="12435.3"/>
    <s v="Apr"/>
    <n v="2024"/>
    <s v="Q2"/>
    <n v="0.11973977306538645"/>
    <n v="2729.7"/>
    <x v="0"/>
    <x v="0"/>
    <s v="Above Avg"/>
    <s v="Profit"/>
    <n v="163"/>
  </r>
  <r>
    <n v="113"/>
    <x v="112"/>
    <n v="1047"/>
    <s v="Customer_70"/>
    <s v="Corporate"/>
    <s v="East"/>
    <s v="Furniture"/>
    <s v="Product_B"/>
    <n v="4837"/>
    <n v="1"/>
    <n v="0.04"/>
    <n v="216"/>
    <s v="Card"/>
    <n v="4643.5199999999904"/>
    <s v="Apr"/>
    <n v="2024"/>
    <s v="Q2"/>
    <n v="4.6516435807318679E-2"/>
    <n v="193.48000000000002"/>
    <x v="1"/>
    <x v="0"/>
    <s v="Below Avg"/>
    <s v="Profit"/>
    <n v="334"/>
  </r>
  <r>
    <n v="114"/>
    <x v="113"/>
    <n v="1016"/>
    <s v="Customer_174"/>
    <s v="Corporate"/>
    <s v="South"/>
    <s v="Electronics"/>
    <s v="Product_D"/>
    <n v="327"/>
    <n v="6"/>
    <n v="0.02"/>
    <n v="-476"/>
    <s v="UPI"/>
    <n v="1922.76"/>
    <s v="Apr"/>
    <n v="2024"/>
    <s v="Q2"/>
    <n v="-0.24756079801951361"/>
    <n v="39.24"/>
    <x v="2"/>
    <x v="0"/>
    <s v="Below Avg"/>
    <s v="Loss"/>
    <n v="435"/>
  </r>
  <r>
    <n v="115"/>
    <x v="114"/>
    <n v="1005"/>
    <s v="Customer_7"/>
    <s v="Corporate"/>
    <s v="East"/>
    <s v="Clothing"/>
    <s v="Product_C"/>
    <n v="2697"/>
    <n v="9"/>
    <n v="0.03"/>
    <n v="196"/>
    <s v="Card"/>
    <n v="23544.809999999899"/>
    <s v="Apr"/>
    <n v="2024"/>
    <s v="Q2"/>
    <n v="8.324552204923329E-3"/>
    <n v="728.18999999999994"/>
    <x v="0"/>
    <x v="0"/>
    <s v="Above Avg"/>
    <s v="Profit"/>
    <n v="56"/>
  </r>
  <r>
    <n v="116"/>
    <x v="115"/>
    <n v="1086"/>
    <s v="Customer_128"/>
    <s v="Consumer"/>
    <s v="West"/>
    <s v="Clothing"/>
    <s v="Product_A"/>
    <n v="2905"/>
    <n v="3"/>
    <n v="0.23"/>
    <n v="1412"/>
    <s v="Card"/>
    <n v="6710.55"/>
    <s v="Apr"/>
    <n v="2024"/>
    <s v="Q2"/>
    <n v="0.21041494363353228"/>
    <n v="2004.45"/>
    <x v="0"/>
    <x v="0"/>
    <s v="Below Avg"/>
    <s v="Profit"/>
    <n v="283"/>
  </r>
  <r>
    <n v="117"/>
    <x v="116"/>
    <n v="1046"/>
    <s v="Customer_7"/>
    <s v="Corporate"/>
    <s v="East"/>
    <s v="Furniture"/>
    <s v="Product_A"/>
    <n v="4460"/>
    <n v="9"/>
    <n v="7.0000000000000007E-2"/>
    <n v="683"/>
    <s v="UPI"/>
    <n v="37330.199999999997"/>
    <s v="Apr"/>
    <n v="2024"/>
    <s v="Q2"/>
    <n v="1.8296178429261029E-2"/>
    <n v="2809.8"/>
    <x v="0"/>
    <x v="0"/>
    <s v="Above Avg"/>
    <s v="Profit"/>
    <n v="6"/>
  </r>
  <r>
    <n v="118"/>
    <x v="117"/>
    <n v="1015"/>
    <s v="Customer_121"/>
    <s v="Consumer"/>
    <s v="East"/>
    <s v="Clothing"/>
    <s v="Product_B"/>
    <n v="3646"/>
    <n v="2"/>
    <n v="7.0000000000000007E-2"/>
    <n v="1559"/>
    <s v="COD"/>
    <n v="6781.5599999999904"/>
    <s v="Apr"/>
    <n v="2024"/>
    <s v="Q2"/>
    <n v="0.22988810834085405"/>
    <n v="510.44000000000005"/>
    <x v="0"/>
    <x v="0"/>
    <s v="Below Avg"/>
    <s v="Profit"/>
    <n v="278"/>
  </r>
  <r>
    <n v="119"/>
    <x v="118"/>
    <n v="1059"/>
    <s v="Customer_197"/>
    <s v="Corporate"/>
    <s v="West"/>
    <s v="Furniture"/>
    <s v="Product_D"/>
    <n v="3772"/>
    <n v="2"/>
    <n v="0.04"/>
    <n v="189"/>
    <s v="Card"/>
    <n v="7242.24"/>
    <s v="Apr"/>
    <n v="2024"/>
    <s v="Q2"/>
    <n v="2.6096898197242844E-2"/>
    <n v="301.76"/>
    <x v="0"/>
    <x v="0"/>
    <s v="Below Avg"/>
    <s v="Profit"/>
    <n v="270"/>
  </r>
  <r>
    <n v="120"/>
    <x v="119"/>
    <n v="1040"/>
    <s v="Customer_161"/>
    <s v="Corporate"/>
    <s v="East"/>
    <s v="Clothing"/>
    <s v="Product_B"/>
    <n v="4990"/>
    <n v="2"/>
    <n v="0.18"/>
    <n v="829"/>
    <s v="UPI"/>
    <n v="8183.6"/>
    <s v="Apr"/>
    <n v="2024"/>
    <s v="Q2"/>
    <n v="0.10130016129820617"/>
    <n v="1796.3999999999999"/>
    <x v="0"/>
    <x v="0"/>
    <s v="Below Avg"/>
    <s v="Profit"/>
    <n v="245"/>
  </r>
  <r>
    <n v="121"/>
    <x v="120"/>
    <n v="1025"/>
    <s v="Customer_114"/>
    <s v="Corporate"/>
    <s v="South"/>
    <s v="Clothing"/>
    <s v="Product_D"/>
    <n v="4660"/>
    <n v="3"/>
    <n v="0.15"/>
    <n v="697"/>
    <s v="UPI"/>
    <n v="11883"/>
    <s v="Apr"/>
    <n v="2024"/>
    <s v="Q2"/>
    <n v="5.8655221745350504E-2"/>
    <n v="2097"/>
    <x v="0"/>
    <x v="0"/>
    <s v="Above Avg"/>
    <s v="Profit"/>
    <n v="170"/>
  </r>
  <r>
    <n v="122"/>
    <x v="121"/>
    <n v="1045"/>
    <s v="Customer_138"/>
    <s v="Corporate"/>
    <s v="East"/>
    <s v="Furniture"/>
    <s v="Product_B"/>
    <n v="2622"/>
    <n v="4"/>
    <n v="0.08"/>
    <n v="-69"/>
    <s v="COD"/>
    <n v="9648.9599999999991"/>
    <s v="May"/>
    <n v="2024"/>
    <s v="Q2"/>
    <n v="-7.1510297482837533E-3"/>
    <n v="839.04"/>
    <x v="0"/>
    <x v="0"/>
    <s v="Below Avg"/>
    <s v="Loss"/>
    <n v="210"/>
  </r>
  <r>
    <n v="123"/>
    <x v="122"/>
    <n v="1049"/>
    <s v="Customer_104"/>
    <s v="Consumer"/>
    <s v="West"/>
    <s v="Furniture"/>
    <s v="Product_B"/>
    <n v="438"/>
    <n v="3"/>
    <n v="0.2"/>
    <n v="1254"/>
    <s v="UPI"/>
    <n v="1051.2"/>
    <s v="May"/>
    <n v="2024"/>
    <s v="Q2"/>
    <n v="1.1929223744292237"/>
    <n v="262.8"/>
    <x v="2"/>
    <x v="0"/>
    <s v="Below Avg"/>
    <s v="Profit"/>
    <n v="478"/>
  </r>
  <r>
    <n v="124"/>
    <x v="123"/>
    <n v="1000"/>
    <s v="Customer_28"/>
    <s v="Consumer"/>
    <s v="East"/>
    <s v="Clothing"/>
    <s v="Product_D"/>
    <n v="918"/>
    <n v="6"/>
    <n v="0.23"/>
    <n v="-299"/>
    <s v="UPI"/>
    <n v="4241.16"/>
    <s v="May"/>
    <n v="2024"/>
    <s v="Q2"/>
    <n v="-7.0499580303501869E-2"/>
    <n v="1266.8400000000001"/>
    <x v="1"/>
    <x v="0"/>
    <s v="Below Avg"/>
    <s v="Loss"/>
    <n v="344"/>
  </r>
  <r>
    <n v="125"/>
    <x v="124"/>
    <n v="1035"/>
    <s v="Customer_175"/>
    <s v="Corporate"/>
    <s v="West"/>
    <s v="Furniture"/>
    <s v="Product_D"/>
    <n v="2666"/>
    <n v="6"/>
    <n v="0.28999999999999998"/>
    <n v="1830"/>
    <s v="Card"/>
    <n v="11357.16"/>
    <s v="May"/>
    <n v="2024"/>
    <s v="Q2"/>
    <n v="0.16113183225383812"/>
    <n v="4638.8399999999992"/>
    <x v="0"/>
    <x v="0"/>
    <s v="Above Avg"/>
    <s v="Profit"/>
    <n v="184"/>
  </r>
  <r>
    <n v="126"/>
    <x v="125"/>
    <n v="1029"/>
    <s v="Customer_46"/>
    <s v="Consumer"/>
    <s v="North"/>
    <s v="Electronics"/>
    <s v="Product_C"/>
    <n v="3817"/>
    <n v="5"/>
    <n v="0.14000000000000001"/>
    <n v="381"/>
    <s v="COD"/>
    <n v="16413.099999999999"/>
    <s v="May"/>
    <n v="2024"/>
    <s v="Q2"/>
    <n v="2.3213165093736103E-2"/>
    <n v="2671.9"/>
    <x v="0"/>
    <x v="0"/>
    <s v="Above Avg"/>
    <s v="Profit"/>
    <n v="117"/>
  </r>
  <r>
    <n v="127"/>
    <x v="126"/>
    <n v="1001"/>
    <s v="Customer_22"/>
    <s v="Consumer"/>
    <s v="West"/>
    <s v="Furniture"/>
    <s v="Product_B"/>
    <n v="3162"/>
    <n v="2"/>
    <n v="0.12"/>
    <n v="1730"/>
    <s v="UPI"/>
    <n v="5565.12"/>
    <s v="May"/>
    <n v="2024"/>
    <s v="Q2"/>
    <n v="0.31086481513426484"/>
    <n v="758.88"/>
    <x v="0"/>
    <x v="0"/>
    <s v="Below Avg"/>
    <s v="Profit"/>
    <n v="306"/>
  </r>
  <r>
    <n v="128"/>
    <x v="127"/>
    <n v="1083"/>
    <s v="Customer_21"/>
    <s v="Corporate"/>
    <s v="West"/>
    <s v="Furniture"/>
    <s v="Product_A"/>
    <n v="1353"/>
    <n v="4"/>
    <n v="0.09"/>
    <n v="558"/>
    <s v="Card"/>
    <n v="4924.92"/>
    <s v="May"/>
    <n v="2024"/>
    <s v="Q2"/>
    <n v="0.11330133281352793"/>
    <n v="487.08"/>
    <x v="1"/>
    <x v="0"/>
    <s v="Below Avg"/>
    <s v="Profit"/>
    <n v="325"/>
  </r>
  <r>
    <n v="129"/>
    <x v="128"/>
    <n v="1068"/>
    <s v="Customer_111"/>
    <s v="Consumer"/>
    <s v="South"/>
    <s v="Electronics"/>
    <s v="Product_A"/>
    <n v="3250"/>
    <n v="7"/>
    <n v="0.24"/>
    <n v="170"/>
    <s v="COD"/>
    <n v="17290"/>
    <s v="May"/>
    <n v="2024"/>
    <s v="Q2"/>
    <n v="9.8322729901677269E-3"/>
    <n v="5460"/>
    <x v="0"/>
    <x v="0"/>
    <s v="Above Avg"/>
    <s v="Profit"/>
    <n v="103"/>
  </r>
  <r>
    <n v="130"/>
    <x v="129"/>
    <n v="1030"/>
    <s v="Customer_184"/>
    <s v="Corporate"/>
    <s v="East"/>
    <s v="Furniture"/>
    <s v="Product_D"/>
    <n v="2350"/>
    <n v="8"/>
    <n v="0.28999999999999998"/>
    <n v="188"/>
    <s v="Card"/>
    <n v="13348"/>
    <s v="May"/>
    <n v="2024"/>
    <s v="Q2"/>
    <n v="1.4084507042253521E-2"/>
    <n v="5452"/>
    <x v="0"/>
    <x v="0"/>
    <s v="Above Avg"/>
    <s v="Profit"/>
    <n v="155"/>
  </r>
  <r>
    <n v="131"/>
    <x v="130"/>
    <n v="1007"/>
    <s v="Customer_32"/>
    <s v="Consumer"/>
    <s v="South"/>
    <s v="Electronics"/>
    <s v="Product_C"/>
    <n v="4420"/>
    <n v="9"/>
    <n v="0.18"/>
    <n v="-333"/>
    <s v="UPI"/>
    <n v="32619.599999999999"/>
    <s v="May"/>
    <n v="2024"/>
    <s v="Q2"/>
    <n v="-1.0208586248758415E-2"/>
    <n v="7160.4"/>
    <x v="0"/>
    <x v="0"/>
    <s v="Above Avg"/>
    <s v="Loss"/>
    <n v="18"/>
  </r>
  <r>
    <n v="132"/>
    <x v="131"/>
    <n v="1093"/>
    <s v="Customer_160"/>
    <s v="Consumer"/>
    <s v="North"/>
    <s v="Furniture"/>
    <s v="Product_B"/>
    <n v="3715"/>
    <n v="2"/>
    <n v="0.19"/>
    <n v="931"/>
    <s v="COD"/>
    <n v="6018.3"/>
    <s v="May"/>
    <n v="2024"/>
    <s v="Q2"/>
    <n v="0.15469484738215111"/>
    <n v="1411.7"/>
    <x v="0"/>
    <x v="0"/>
    <s v="Below Avg"/>
    <s v="Profit"/>
    <n v="296"/>
  </r>
  <r>
    <n v="133"/>
    <x v="132"/>
    <n v="1060"/>
    <s v="Customer_115"/>
    <s v="Corporate"/>
    <s v="East"/>
    <s v="Clothing"/>
    <s v="Product_C"/>
    <n v="1879"/>
    <n v="9"/>
    <n v="0.21"/>
    <n v="738"/>
    <s v="UPI"/>
    <n v="13359.69"/>
    <s v="May"/>
    <n v="2024"/>
    <s v="Q2"/>
    <n v="5.5240802743177421E-2"/>
    <n v="3551.31"/>
    <x v="0"/>
    <x v="0"/>
    <s v="Above Avg"/>
    <s v="Profit"/>
    <n v="154"/>
  </r>
  <r>
    <n v="134"/>
    <x v="133"/>
    <n v="1065"/>
    <s v="Customer_164"/>
    <s v="Consumer"/>
    <s v="South"/>
    <s v="Electronics"/>
    <s v="Product_D"/>
    <n v="1391"/>
    <n v="7"/>
    <n v="0.13"/>
    <n v="1496"/>
    <s v="COD"/>
    <n v="8471.19"/>
    <s v="May"/>
    <n v="2024"/>
    <s v="Q2"/>
    <n v="0.17659856525470446"/>
    <n v="1265.81"/>
    <x v="0"/>
    <x v="0"/>
    <s v="Below Avg"/>
    <s v="Profit"/>
    <n v="239"/>
  </r>
  <r>
    <n v="135"/>
    <x v="134"/>
    <n v="1076"/>
    <s v="Customer_159"/>
    <s v="Consumer"/>
    <s v="East"/>
    <s v="Furniture"/>
    <s v="Product_D"/>
    <n v="778"/>
    <n v="7"/>
    <n v="7.0000000000000007E-2"/>
    <n v="1345"/>
    <s v="UPI"/>
    <n v="5064.78"/>
    <s v="May"/>
    <n v="2024"/>
    <s v="Q2"/>
    <n v="0.26555941225482649"/>
    <n v="381.22"/>
    <x v="0"/>
    <x v="0"/>
    <s v="Below Avg"/>
    <s v="Profit"/>
    <n v="321"/>
  </r>
  <r>
    <n v="136"/>
    <x v="135"/>
    <n v="1067"/>
    <s v="Customer_70"/>
    <s v="Consumer"/>
    <s v="East"/>
    <s v="Electronics"/>
    <s v="Product_D"/>
    <n v="2652"/>
    <n v="1"/>
    <n v="0.08"/>
    <n v="-241"/>
    <s v="Card"/>
    <n v="2439.84"/>
    <s v="May"/>
    <n v="2024"/>
    <s v="Q2"/>
    <n v="-9.8776968981572552E-2"/>
    <n v="212.16"/>
    <x v="1"/>
    <x v="0"/>
    <s v="Below Avg"/>
    <s v="Loss"/>
    <n v="412"/>
  </r>
  <r>
    <n v="137"/>
    <x v="136"/>
    <n v="1044"/>
    <s v="Customer_54"/>
    <s v="Corporate"/>
    <s v="East"/>
    <s v="Clothing"/>
    <s v="Product_C"/>
    <n v="3324"/>
    <n v="8"/>
    <n v="0.19"/>
    <n v="1450"/>
    <s v="UPI"/>
    <n v="21539.52"/>
    <s v="May"/>
    <n v="2024"/>
    <s v="Q2"/>
    <n v="6.731812036665627E-2"/>
    <n v="5052.4800000000005"/>
    <x v="0"/>
    <x v="0"/>
    <s v="Above Avg"/>
    <s v="Profit"/>
    <n v="71"/>
  </r>
  <r>
    <n v="138"/>
    <x v="137"/>
    <n v="1051"/>
    <s v="Customer_21"/>
    <s v="Corporate"/>
    <s v="South"/>
    <s v="Electronics"/>
    <s v="Product_A"/>
    <n v="314"/>
    <n v="3"/>
    <n v="0.19"/>
    <n v="1084"/>
    <s v="COD"/>
    <n v="763.02"/>
    <s v="May"/>
    <n v="2024"/>
    <s v="Q2"/>
    <n v="1.4206704935650443"/>
    <n v="178.98"/>
    <x v="2"/>
    <x v="0"/>
    <s v="Below Avg"/>
    <s v="Profit"/>
    <n v="482"/>
  </r>
  <r>
    <n v="139"/>
    <x v="138"/>
    <n v="1007"/>
    <s v="Customer_35"/>
    <s v="Consumer"/>
    <s v="East"/>
    <s v="Clothing"/>
    <s v="Product_A"/>
    <n v="1085"/>
    <n v="4"/>
    <n v="0.14000000000000001"/>
    <n v="1745"/>
    <s v="Card"/>
    <n v="3732.4"/>
    <s v="May"/>
    <n v="2024"/>
    <s v="Q2"/>
    <n v="0.46752759618476047"/>
    <n v="607.6"/>
    <x v="1"/>
    <x v="0"/>
    <s v="Below Avg"/>
    <s v="Profit"/>
    <n v="366"/>
  </r>
  <r>
    <n v="140"/>
    <x v="139"/>
    <n v="1088"/>
    <s v="Customer_23"/>
    <s v="Corporate"/>
    <s v="North"/>
    <s v="Furniture"/>
    <s v="Product_A"/>
    <n v="3383"/>
    <n v="4"/>
    <n v="0.01"/>
    <n v="1826"/>
    <s v="COD"/>
    <n v="13396.68"/>
    <s v="May"/>
    <n v="2024"/>
    <s v="Q2"/>
    <n v="0.13630242716852234"/>
    <n v="135.32"/>
    <x v="0"/>
    <x v="0"/>
    <s v="Above Avg"/>
    <s v="Profit"/>
    <n v="153"/>
  </r>
  <r>
    <n v="141"/>
    <x v="140"/>
    <n v="1070"/>
    <s v="Customer_170"/>
    <s v="Consumer"/>
    <s v="South"/>
    <s v="Clothing"/>
    <s v="Product_C"/>
    <n v="4806"/>
    <n v="2"/>
    <n v="0.26"/>
    <n v="126"/>
    <s v="UPI"/>
    <n v="7112.88"/>
    <s v="May"/>
    <n v="2024"/>
    <s v="Q2"/>
    <n v="1.7714343557040185E-2"/>
    <n v="2499.12"/>
    <x v="0"/>
    <x v="0"/>
    <s v="Below Avg"/>
    <s v="Profit"/>
    <n v="273"/>
  </r>
  <r>
    <n v="142"/>
    <x v="141"/>
    <n v="1013"/>
    <s v="Customer_24"/>
    <s v="Corporate"/>
    <s v="West"/>
    <s v="Electronics"/>
    <s v="Product_B"/>
    <n v="2445"/>
    <n v="3"/>
    <n v="7.0000000000000007E-2"/>
    <n v="834"/>
    <s v="COD"/>
    <n v="6821.5499999999902"/>
    <s v="May"/>
    <n v="2024"/>
    <s v="Q2"/>
    <n v="0.12225960375574484"/>
    <n v="513.45000000000005"/>
    <x v="0"/>
    <x v="0"/>
    <s v="Below Avg"/>
    <s v="Profit"/>
    <n v="277"/>
  </r>
  <r>
    <n v="143"/>
    <x v="142"/>
    <n v="1028"/>
    <s v="Customer_94"/>
    <s v="Consumer"/>
    <s v="North"/>
    <s v="Furniture"/>
    <s v="Product_C"/>
    <n v="4838"/>
    <n v="5"/>
    <n v="0.17"/>
    <n v="-431"/>
    <s v="UPI"/>
    <n v="20077.7"/>
    <s v="May"/>
    <n v="2024"/>
    <s v="Q2"/>
    <n v="-2.1466602250257746E-2"/>
    <n v="4112.3"/>
    <x v="0"/>
    <x v="0"/>
    <s v="Above Avg"/>
    <s v="Loss"/>
    <n v="79"/>
  </r>
  <r>
    <n v="144"/>
    <x v="143"/>
    <n v="1063"/>
    <s v="Customer_74"/>
    <s v="Consumer"/>
    <s v="West"/>
    <s v="Furniture"/>
    <s v="Product_A"/>
    <n v="3533"/>
    <n v="3"/>
    <n v="0.22"/>
    <n v="1071"/>
    <s v="UPI"/>
    <n v="8267.2199999999993"/>
    <s v="May"/>
    <n v="2024"/>
    <s v="Q2"/>
    <n v="0.1295477802695465"/>
    <n v="2331.7800000000002"/>
    <x v="0"/>
    <x v="0"/>
    <s v="Below Avg"/>
    <s v="Profit"/>
    <n v="242"/>
  </r>
  <r>
    <n v="145"/>
    <x v="144"/>
    <n v="1084"/>
    <s v="Customer_69"/>
    <s v="Corporate"/>
    <s v="West"/>
    <s v="Furniture"/>
    <s v="Product_D"/>
    <n v="3727"/>
    <n v="5"/>
    <n v="0.06"/>
    <n v="1304"/>
    <s v="COD"/>
    <n v="17516.8999999999"/>
    <s v="May"/>
    <n v="2024"/>
    <s v="Q2"/>
    <n v="7.4442395629364069E-2"/>
    <n v="1118.0999999999999"/>
    <x v="0"/>
    <x v="0"/>
    <s v="Above Avg"/>
    <s v="Profit"/>
    <n v="97"/>
  </r>
  <r>
    <n v="146"/>
    <x v="145"/>
    <n v="1036"/>
    <s v="Customer_127"/>
    <s v="Consumer"/>
    <s v="North"/>
    <s v="Clothing"/>
    <s v="Product_D"/>
    <n v="3173"/>
    <n v="8"/>
    <n v="0.14000000000000001"/>
    <n v="1176"/>
    <s v="Card"/>
    <n v="21830.2399999999"/>
    <s v="May"/>
    <n v="2024"/>
    <s v="Q2"/>
    <n v="5.3870227720813214E-2"/>
    <n v="3553.76"/>
    <x v="0"/>
    <x v="0"/>
    <s v="Above Avg"/>
    <s v="Profit"/>
    <n v="69"/>
  </r>
  <r>
    <n v="147"/>
    <x v="146"/>
    <n v="1096"/>
    <s v="Customer_125"/>
    <s v="Consumer"/>
    <s v="East"/>
    <s v="Furniture"/>
    <s v="Product_A"/>
    <n v="4473"/>
    <n v="8"/>
    <n v="0"/>
    <n v="126"/>
    <s v="Card"/>
    <n v="35784"/>
    <s v="May"/>
    <n v="2024"/>
    <s v="Q2"/>
    <n v="3.5211267605633804E-3"/>
    <n v="0"/>
    <x v="0"/>
    <x v="0"/>
    <s v="Above Avg"/>
    <s v="Profit"/>
    <n v="8"/>
  </r>
  <r>
    <n v="148"/>
    <x v="147"/>
    <n v="1040"/>
    <s v="Customer_170"/>
    <s v="Consumer"/>
    <s v="North"/>
    <s v="Clothing"/>
    <s v="Product_B"/>
    <n v="3339"/>
    <n v="3"/>
    <n v="0.01"/>
    <n v="-386"/>
    <s v="Card"/>
    <n v="9916.83"/>
    <s v="May"/>
    <n v="2024"/>
    <s v="Q2"/>
    <n v="-3.8923728651191966E-2"/>
    <n v="100.17"/>
    <x v="0"/>
    <x v="0"/>
    <s v="Below Avg"/>
    <s v="Loss"/>
    <n v="202"/>
  </r>
  <r>
    <n v="149"/>
    <x v="148"/>
    <n v="1088"/>
    <s v="Customer_158"/>
    <s v="Corporate"/>
    <s v="South"/>
    <s v="Clothing"/>
    <s v="Product_D"/>
    <n v="1472"/>
    <n v="5"/>
    <n v="0.08"/>
    <n v="788"/>
    <s v="UPI"/>
    <n v="6771.2"/>
    <s v="May"/>
    <n v="2024"/>
    <s v="Q2"/>
    <n v="0.11637523629489603"/>
    <n v="588.80000000000007"/>
    <x v="0"/>
    <x v="0"/>
    <s v="Below Avg"/>
    <s v="Profit"/>
    <n v="279"/>
  </r>
  <r>
    <n v="150"/>
    <x v="149"/>
    <n v="1063"/>
    <s v="Customer_199"/>
    <s v="Corporate"/>
    <s v="East"/>
    <s v="Clothing"/>
    <s v="Product_B"/>
    <n v="2138"/>
    <n v="1"/>
    <n v="0.2"/>
    <n v="725"/>
    <s v="Card"/>
    <n v="1710.4"/>
    <s v="May"/>
    <n v="2024"/>
    <s v="Q2"/>
    <n v="0.42387745556594947"/>
    <n v="427.6"/>
    <x v="2"/>
    <x v="0"/>
    <s v="Below Avg"/>
    <s v="Profit"/>
    <n v="446"/>
  </r>
  <r>
    <n v="151"/>
    <x v="150"/>
    <n v="1058"/>
    <s v="Customer_134"/>
    <s v="Consumer"/>
    <s v="East"/>
    <s v="Furniture"/>
    <s v="Product_D"/>
    <n v="4818"/>
    <n v="7"/>
    <n v="0.27"/>
    <n v="841"/>
    <s v="Card"/>
    <n v="24619.98"/>
    <s v="May"/>
    <n v="2024"/>
    <s v="Q2"/>
    <n v="3.4159247895408529E-2"/>
    <n v="9106.02"/>
    <x v="0"/>
    <x v="0"/>
    <s v="Above Avg"/>
    <s v="Profit"/>
    <n v="44"/>
  </r>
  <r>
    <n v="152"/>
    <x v="151"/>
    <n v="1077"/>
    <s v="Customer_52"/>
    <s v="Consumer"/>
    <s v="West"/>
    <s v="Electronics"/>
    <s v="Product_A"/>
    <n v="3953"/>
    <n v="3"/>
    <n v="0.13"/>
    <n v="1405"/>
    <s v="COD"/>
    <n v="10317.33"/>
    <s v="May"/>
    <n v="2024"/>
    <s v="Q2"/>
    <n v="0.13617864311793845"/>
    <n v="1541.67"/>
    <x v="0"/>
    <x v="0"/>
    <s v="Below Avg"/>
    <s v="Profit"/>
    <n v="197"/>
  </r>
  <r>
    <n v="153"/>
    <x v="152"/>
    <n v="1008"/>
    <s v="Customer_82"/>
    <s v="Corporate"/>
    <s v="North"/>
    <s v="Furniture"/>
    <s v="Product_C"/>
    <n v="3443"/>
    <n v="7"/>
    <n v="0.01"/>
    <n v="1505"/>
    <s v="Card"/>
    <n v="23859.99"/>
    <s v="Jun"/>
    <n v="2024"/>
    <s v="Q2"/>
    <n v="6.3076304726028806E-2"/>
    <n v="241.01"/>
    <x v="0"/>
    <x v="0"/>
    <s v="Above Avg"/>
    <s v="Profit"/>
    <n v="52"/>
  </r>
  <r>
    <n v="154"/>
    <x v="153"/>
    <n v="1078"/>
    <s v="Customer_154"/>
    <s v="Consumer"/>
    <s v="East"/>
    <s v="Furniture"/>
    <s v="Product_C"/>
    <n v="4783"/>
    <n v="8"/>
    <n v="0.09"/>
    <n v="605"/>
    <s v="COD"/>
    <n v="34820.239999999998"/>
    <s v="Jun"/>
    <n v="2024"/>
    <s v="Q2"/>
    <n v="1.7374952039388585E-2"/>
    <n v="3443.7599999999998"/>
    <x v="0"/>
    <x v="0"/>
    <s v="Above Avg"/>
    <s v="Profit"/>
    <n v="12"/>
  </r>
  <r>
    <n v="155"/>
    <x v="154"/>
    <n v="1006"/>
    <s v="Customer_100"/>
    <s v="Consumer"/>
    <s v="South"/>
    <s v="Furniture"/>
    <s v="Product_B"/>
    <n v="4252"/>
    <n v="7"/>
    <n v="0.28999999999999998"/>
    <n v="-483"/>
    <s v="Card"/>
    <n v="21132.44"/>
    <s v="Jun"/>
    <n v="2024"/>
    <s v="Q2"/>
    <n v="-2.2855855736488549E-2"/>
    <n v="8631.56"/>
    <x v="0"/>
    <x v="0"/>
    <s v="Above Avg"/>
    <s v="Loss"/>
    <n v="74"/>
  </r>
  <r>
    <n v="156"/>
    <x v="155"/>
    <n v="1065"/>
    <s v="Customer_41"/>
    <s v="Corporate"/>
    <s v="South"/>
    <s v="Furniture"/>
    <s v="Product_A"/>
    <n v="1868"/>
    <n v="5"/>
    <n v="0.03"/>
    <n v="200"/>
    <s v="Card"/>
    <n v="9059.7999999999993"/>
    <s v="Jun"/>
    <n v="2024"/>
    <s v="Q2"/>
    <n v="2.2075542506457099E-2"/>
    <n v="280.2"/>
    <x v="0"/>
    <x v="0"/>
    <s v="Below Avg"/>
    <s v="Profit"/>
    <n v="230"/>
  </r>
  <r>
    <n v="157"/>
    <x v="156"/>
    <n v="1094"/>
    <s v="Customer_196"/>
    <s v="Consumer"/>
    <s v="East"/>
    <s v="Clothing"/>
    <s v="Product_D"/>
    <n v="138"/>
    <n v="9"/>
    <n v="0.23"/>
    <n v="486"/>
    <s v="COD"/>
    <n v="956.34"/>
    <s v="Jun"/>
    <n v="2024"/>
    <s v="Q2"/>
    <n v="0.50818746470920384"/>
    <n v="285.66000000000003"/>
    <x v="2"/>
    <x v="0"/>
    <s v="Below Avg"/>
    <s v="Profit"/>
    <n v="481"/>
  </r>
  <r>
    <n v="158"/>
    <x v="157"/>
    <n v="1070"/>
    <s v="Customer_182"/>
    <s v="Consumer"/>
    <s v="South"/>
    <s v="Electronics"/>
    <s v="Product_B"/>
    <n v="3662"/>
    <n v="1"/>
    <n v="0.22"/>
    <n v="-184"/>
    <s v="Card"/>
    <n v="2856.36"/>
    <s v="Jun"/>
    <n v="2024"/>
    <s v="Q2"/>
    <n v="-6.4417650436219526E-2"/>
    <n v="805.64"/>
    <x v="1"/>
    <x v="0"/>
    <s v="Below Avg"/>
    <s v="Loss"/>
    <n v="397"/>
  </r>
  <r>
    <n v="159"/>
    <x v="158"/>
    <n v="1040"/>
    <s v="Customer_60"/>
    <s v="Corporate"/>
    <s v="North"/>
    <s v="Furniture"/>
    <s v="Product_A"/>
    <n v="1929"/>
    <n v="6"/>
    <n v="0.18"/>
    <n v="1743"/>
    <s v="COD"/>
    <n v="9490.68"/>
    <s v="Jun"/>
    <n v="2024"/>
    <s v="Q2"/>
    <n v="0.18365385831152245"/>
    <n v="2083.3199999999997"/>
    <x v="0"/>
    <x v="0"/>
    <s v="Below Avg"/>
    <s v="Profit"/>
    <n v="217"/>
  </r>
  <r>
    <n v="160"/>
    <x v="159"/>
    <n v="1074"/>
    <s v="Customer_77"/>
    <s v="Consumer"/>
    <s v="South"/>
    <s v="Furniture"/>
    <s v="Product_C"/>
    <n v="2271"/>
    <n v="6"/>
    <n v="0.28000000000000003"/>
    <n v="1840"/>
    <s v="COD"/>
    <n v="9810.7199999999993"/>
    <s v="Jun"/>
    <n v="2024"/>
    <s v="Q2"/>
    <n v="0.18754994536588548"/>
    <n v="3815.28"/>
    <x v="0"/>
    <x v="0"/>
    <s v="Below Avg"/>
    <s v="Profit"/>
    <n v="207"/>
  </r>
  <r>
    <n v="161"/>
    <x v="160"/>
    <n v="1076"/>
    <s v="Customer_183"/>
    <s v="Consumer"/>
    <s v="East"/>
    <s v="Clothing"/>
    <s v="Product_C"/>
    <n v="208"/>
    <n v="7"/>
    <n v="0.19"/>
    <n v="1079"/>
    <s v="Card"/>
    <n v="1179.3599999999999"/>
    <s v="Jun"/>
    <n v="2024"/>
    <s v="Q2"/>
    <n v="0.9149029982363317"/>
    <n v="276.64"/>
    <x v="2"/>
    <x v="0"/>
    <s v="Below Avg"/>
    <s v="Profit"/>
    <n v="469"/>
  </r>
  <r>
    <n v="162"/>
    <x v="161"/>
    <n v="1076"/>
    <s v="Customer_152"/>
    <s v="Consumer"/>
    <s v="South"/>
    <s v="Clothing"/>
    <s v="Product_C"/>
    <n v="4940"/>
    <n v="7"/>
    <n v="0.28999999999999998"/>
    <n v="-154"/>
    <s v="Card"/>
    <n v="24551.8"/>
    <s v="Jun"/>
    <n v="2024"/>
    <s v="Q2"/>
    <n v="-6.272452528938815E-3"/>
    <n v="10028.199999999999"/>
    <x v="0"/>
    <x v="0"/>
    <s v="Above Avg"/>
    <s v="Loss"/>
    <n v="45"/>
  </r>
  <r>
    <n v="163"/>
    <x v="162"/>
    <n v="1025"/>
    <s v="Customer_119"/>
    <s v="Consumer"/>
    <s v="West"/>
    <s v="Clothing"/>
    <s v="Product_B"/>
    <n v="4228"/>
    <n v="2"/>
    <n v="0.25"/>
    <n v="115"/>
    <s v="Card"/>
    <n v="6342"/>
    <s v="Jun"/>
    <n v="2024"/>
    <s v="Q2"/>
    <n v="1.8133081046988332E-2"/>
    <n v="2114"/>
    <x v="0"/>
    <x v="0"/>
    <s v="Below Avg"/>
    <s v="Profit"/>
    <n v="287"/>
  </r>
  <r>
    <n v="164"/>
    <x v="163"/>
    <n v="1007"/>
    <s v="Customer_95"/>
    <s v="Consumer"/>
    <s v="South"/>
    <s v="Electronics"/>
    <s v="Product_C"/>
    <n v="4335"/>
    <n v="5"/>
    <n v="0.24"/>
    <n v="1958"/>
    <s v="UPI"/>
    <n v="16473"/>
    <s v="Jun"/>
    <n v="2024"/>
    <s v="Q2"/>
    <n v="0.11886116675772476"/>
    <n v="5202"/>
    <x v="0"/>
    <x v="0"/>
    <s v="Above Avg"/>
    <s v="Profit"/>
    <n v="116"/>
  </r>
  <r>
    <n v="165"/>
    <x v="164"/>
    <n v="1013"/>
    <s v="Customer_127"/>
    <s v="Consumer"/>
    <s v="West"/>
    <s v="Clothing"/>
    <s v="Product_B"/>
    <n v="4277"/>
    <n v="6"/>
    <n v="0.28999999999999998"/>
    <n v="-94"/>
    <s v="COD"/>
    <n v="18220.02"/>
    <s v="Jun"/>
    <n v="2024"/>
    <s v="Q2"/>
    <n v="-5.1591600887375532E-3"/>
    <n v="7441.98"/>
    <x v="0"/>
    <x v="0"/>
    <s v="Above Avg"/>
    <s v="Loss"/>
    <n v="89"/>
  </r>
  <r>
    <n v="166"/>
    <x v="165"/>
    <n v="1044"/>
    <s v="Customer_168"/>
    <s v="Corporate"/>
    <s v="North"/>
    <s v="Electronics"/>
    <s v="Product_D"/>
    <n v="3206"/>
    <n v="2"/>
    <n v="0.19"/>
    <n v="1742"/>
    <s v="COD"/>
    <n v="5193.72"/>
    <s v="Jun"/>
    <n v="2024"/>
    <s v="Q2"/>
    <n v="0.33540506611831211"/>
    <n v="1218.28"/>
    <x v="0"/>
    <x v="0"/>
    <s v="Below Avg"/>
    <s v="Profit"/>
    <n v="319"/>
  </r>
  <r>
    <n v="167"/>
    <x v="166"/>
    <n v="1001"/>
    <s v="Customer_192"/>
    <s v="Consumer"/>
    <s v="North"/>
    <s v="Furniture"/>
    <s v="Product_C"/>
    <n v="236"/>
    <n v="9"/>
    <n v="0.1"/>
    <n v="-188"/>
    <s v="COD"/>
    <n v="1911.6"/>
    <s v="Jun"/>
    <n v="2024"/>
    <s v="Q2"/>
    <n v="-9.8346934505126604E-2"/>
    <n v="212.4"/>
    <x v="2"/>
    <x v="0"/>
    <s v="Below Avg"/>
    <s v="Loss"/>
    <n v="436"/>
  </r>
  <r>
    <n v="168"/>
    <x v="167"/>
    <n v="1041"/>
    <s v="Customer_162"/>
    <s v="Corporate"/>
    <s v="North"/>
    <s v="Clothing"/>
    <s v="Product_C"/>
    <n v="3837"/>
    <n v="6"/>
    <n v="0.03"/>
    <n v="-151"/>
    <s v="COD"/>
    <n v="22331.34"/>
    <s v="Jun"/>
    <n v="2024"/>
    <s v="Q2"/>
    <n v="-6.7617975455122707E-3"/>
    <n v="690.66"/>
    <x v="0"/>
    <x v="0"/>
    <s v="Above Avg"/>
    <s v="Loss"/>
    <n v="64"/>
  </r>
  <r>
    <n v="169"/>
    <x v="168"/>
    <n v="1078"/>
    <s v="Customer_39"/>
    <s v="Consumer"/>
    <s v="North"/>
    <s v="Furniture"/>
    <s v="Product_C"/>
    <n v="3951"/>
    <n v="5"/>
    <n v="0.21"/>
    <n v="1112"/>
    <s v="COD"/>
    <n v="15606.45"/>
    <s v="Jun"/>
    <n v="2024"/>
    <s v="Q2"/>
    <n v="7.1252591076125568E-2"/>
    <n v="4148.55"/>
    <x v="0"/>
    <x v="0"/>
    <s v="Above Avg"/>
    <s v="Profit"/>
    <n v="134"/>
  </r>
  <r>
    <n v="170"/>
    <x v="169"/>
    <n v="1056"/>
    <s v="Customer_122"/>
    <s v="Corporate"/>
    <s v="West"/>
    <s v="Furniture"/>
    <s v="Product_C"/>
    <n v="430"/>
    <n v="8"/>
    <n v="0.16"/>
    <n v="403"/>
    <s v="Card"/>
    <n v="2889.6"/>
    <s v="Jun"/>
    <n v="2024"/>
    <s v="Q2"/>
    <n v="0.13946566998892582"/>
    <n v="550.4"/>
    <x v="1"/>
    <x v="0"/>
    <s v="Below Avg"/>
    <s v="Profit"/>
    <n v="396"/>
  </r>
  <r>
    <n v="171"/>
    <x v="170"/>
    <n v="1087"/>
    <s v="Customer_1"/>
    <s v="Consumer"/>
    <s v="West"/>
    <s v="Furniture"/>
    <s v="Product_D"/>
    <n v="296"/>
    <n v="8"/>
    <n v="0.12"/>
    <n v="-8"/>
    <s v="Card"/>
    <n v="2083.84"/>
    <s v="Jun"/>
    <n v="2024"/>
    <s v="Q2"/>
    <n v="-3.8390663390663387E-3"/>
    <n v="284.15999999999997"/>
    <x v="1"/>
    <x v="0"/>
    <s v="Below Avg"/>
    <s v="Loss"/>
    <n v="424"/>
  </r>
  <r>
    <n v="172"/>
    <x v="171"/>
    <n v="1063"/>
    <s v="Customer_123"/>
    <s v="Corporate"/>
    <s v="West"/>
    <s v="Furniture"/>
    <s v="Product_B"/>
    <n v="1515"/>
    <n v="1"/>
    <n v="0.28000000000000003"/>
    <n v="1470"/>
    <s v="UPI"/>
    <n v="1090.8"/>
    <s v="Jun"/>
    <n v="2024"/>
    <s v="Q2"/>
    <n v="1.3476347634763477"/>
    <n v="424.20000000000005"/>
    <x v="2"/>
    <x v="0"/>
    <s v="Below Avg"/>
    <s v="Profit"/>
    <n v="477"/>
  </r>
  <r>
    <n v="173"/>
    <x v="172"/>
    <n v="1097"/>
    <s v="Customer_20"/>
    <s v="Consumer"/>
    <s v="South"/>
    <s v="Clothing"/>
    <s v="Product_D"/>
    <n v="3396"/>
    <n v="7"/>
    <n v="0.27"/>
    <n v="1252"/>
    <s v="COD"/>
    <n v="17353.560000000001"/>
    <s v="Jun"/>
    <n v="2024"/>
    <s v="Q2"/>
    <n v="7.2146579721970583E-2"/>
    <n v="6418.4400000000005"/>
    <x v="0"/>
    <x v="0"/>
    <s v="Above Avg"/>
    <s v="Profit"/>
    <n v="99"/>
  </r>
  <r>
    <n v="174"/>
    <x v="173"/>
    <n v="1003"/>
    <s v="Customer_111"/>
    <s v="Consumer"/>
    <s v="East"/>
    <s v="Electronics"/>
    <s v="Product_A"/>
    <n v="3120"/>
    <n v="6"/>
    <n v="0.11"/>
    <n v="-429"/>
    <s v="UPI"/>
    <n v="16660.8"/>
    <s v="Jun"/>
    <n v="2024"/>
    <s v="Q2"/>
    <n v="-2.5749063670411985E-2"/>
    <n v="2059.1999999999998"/>
    <x v="0"/>
    <x v="0"/>
    <s v="Above Avg"/>
    <s v="Loss"/>
    <n v="110"/>
  </r>
  <r>
    <n v="175"/>
    <x v="174"/>
    <n v="1017"/>
    <s v="Customer_153"/>
    <s v="Corporate"/>
    <s v="East"/>
    <s v="Clothing"/>
    <s v="Product_D"/>
    <n v="3469"/>
    <n v="3"/>
    <n v="0.28000000000000003"/>
    <n v="431"/>
    <s v="UPI"/>
    <n v="7493.04"/>
    <s v="Jun"/>
    <n v="2024"/>
    <s v="Q2"/>
    <n v="5.7520045268675997E-2"/>
    <n v="2913.9600000000005"/>
    <x v="0"/>
    <x v="0"/>
    <s v="Below Avg"/>
    <s v="Profit"/>
    <n v="264"/>
  </r>
  <r>
    <n v="176"/>
    <x v="175"/>
    <n v="1088"/>
    <s v="Customer_134"/>
    <s v="Corporate"/>
    <s v="East"/>
    <s v="Clothing"/>
    <s v="Product_B"/>
    <n v="4955"/>
    <n v="1"/>
    <n v="0.13"/>
    <n v="-182"/>
    <s v="Card"/>
    <n v="4310.8500000000004"/>
    <s v="Jun"/>
    <n v="2024"/>
    <s v="Q2"/>
    <n v="-4.2219051927114136E-2"/>
    <n v="644.15"/>
    <x v="1"/>
    <x v="0"/>
    <s v="Below Avg"/>
    <s v="Loss"/>
    <n v="341"/>
  </r>
  <r>
    <n v="177"/>
    <x v="176"/>
    <n v="1087"/>
    <s v="Customer_116"/>
    <s v="Corporate"/>
    <s v="South"/>
    <s v="Clothing"/>
    <s v="Product_A"/>
    <n v="940"/>
    <n v="2"/>
    <n v="0.06"/>
    <n v="1960"/>
    <s v="Card"/>
    <n v="1767.19999999999"/>
    <s v="Jun"/>
    <n v="2024"/>
    <s v="Q2"/>
    <n v="1.109099139882306"/>
    <n v="112.8"/>
    <x v="2"/>
    <x v="0"/>
    <s v="Below Avg"/>
    <s v="Profit"/>
    <n v="442"/>
  </r>
  <r>
    <n v="178"/>
    <x v="177"/>
    <n v="1069"/>
    <s v="Customer_94"/>
    <s v="Consumer"/>
    <s v="West"/>
    <s v="Furniture"/>
    <s v="Product_C"/>
    <n v="3742"/>
    <n v="1"/>
    <n v="0.19"/>
    <n v="1388"/>
    <s v="Card"/>
    <n v="3031.02"/>
    <s v="Jun"/>
    <n v="2024"/>
    <s v="Q2"/>
    <n v="0.45793165337081249"/>
    <n v="710.98"/>
    <x v="1"/>
    <x v="0"/>
    <s v="Below Avg"/>
    <s v="Profit"/>
    <n v="390"/>
  </r>
  <r>
    <n v="179"/>
    <x v="178"/>
    <n v="1097"/>
    <s v="Customer_120"/>
    <s v="Corporate"/>
    <s v="South"/>
    <s v="Clothing"/>
    <s v="Product_C"/>
    <n v="2769"/>
    <n v="3"/>
    <n v="0.03"/>
    <n v="-283"/>
    <s v="Card"/>
    <n v="8057.79"/>
    <s v="Jun"/>
    <n v="2024"/>
    <s v="Q2"/>
    <n v="-3.512129256284912E-2"/>
    <n v="249.20999999999998"/>
    <x v="0"/>
    <x v="0"/>
    <s v="Below Avg"/>
    <s v="Loss"/>
    <n v="251"/>
  </r>
  <r>
    <n v="180"/>
    <x v="179"/>
    <n v="1050"/>
    <s v="Customer_113"/>
    <s v="Consumer"/>
    <s v="North"/>
    <s v="Furniture"/>
    <s v="Product_C"/>
    <n v="1277"/>
    <n v="6"/>
    <n v="0.05"/>
    <n v="-393"/>
    <s v="Card"/>
    <n v="7278.9"/>
    <s v="Jun"/>
    <n v="2024"/>
    <s v="Q2"/>
    <n v="-5.3991674566211928E-2"/>
    <n v="383.1"/>
    <x v="0"/>
    <x v="0"/>
    <s v="Below Avg"/>
    <s v="Loss"/>
    <n v="269"/>
  </r>
  <r>
    <n v="181"/>
    <x v="180"/>
    <n v="1002"/>
    <s v="Customer_3"/>
    <s v="Consumer"/>
    <s v="South"/>
    <s v="Furniture"/>
    <s v="Product_A"/>
    <n v="1043"/>
    <n v="2"/>
    <n v="0.24"/>
    <n v="1350"/>
    <s v="Card"/>
    <n v="1585.36"/>
    <s v="Jun"/>
    <n v="2024"/>
    <s v="Q2"/>
    <n v="0.85154160569208259"/>
    <n v="500.64"/>
    <x v="2"/>
    <x v="0"/>
    <s v="Below Avg"/>
    <s v="Profit"/>
    <n v="454"/>
  </r>
  <r>
    <n v="182"/>
    <x v="181"/>
    <n v="1018"/>
    <s v="Customer_164"/>
    <s v="Consumer"/>
    <s v="South"/>
    <s v="Electronics"/>
    <s v="Product_B"/>
    <n v="3546"/>
    <n v="6"/>
    <n v="0.25"/>
    <n v="1825"/>
    <s v="UPI"/>
    <n v="15957"/>
    <s v="Jun"/>
    <n v="2024"/>
    <s v="Q2"/>
    <n v="0.11436986902299931"/>
    <n v="5319"/>
    <x v="0"/>
    <x v="0"/>
    <s v="Above Avg"/>
    <s v="Profit"/>
    <n v="129"/>
  </r>
  <r>
    <n v="183"/>
    <x v="182"/>
    <n v="1046"/>
    <s v="Customer_70"/>
    <s v="Corporate"/>
    <s v="South"/>
    <s v="Furniture"/>
    <s v="Product_A"/>
    <n v="951"/>
    <n v="8"/>
    <n v="7.0000000000000007E-2"/>
    <n v="1104"/>
    <s v="COD"/>
    <n v="7075.44"/>
    <s v="Jul"/>
    <n v="2024"/>
    <s v="Q3"/>
    <n v="0.15603269902649164"/>
    <n v="532.56000000000006"/>
    <x v="0"/>
    <x v="0"/>
    <s v="Below Avg"/>
    <s v="Profit"/>
    <n v="274"/>
  </r>
  <r>
    <n v="184"/>
    <x v="183"/>
    <n v="1045"/>
    <s v="Customer_166"/>
    <s v="Corporate"/>
    <s v="North"/>
    <s v="Furniture"/>
    <s v="Product_C"/>
    <n v="4700"/>
    <n v="3"/>
    <n v="0.22"/>
    <n v="140"/>
    <s v="COD"/>
    <n v="10998"/>
    <s v="Jul"/>
    <n v="2024"/>
    <s v="Q3"/>
    <n v="1.2729587197672304E-2"/>
    <n v="3102"/>
    <x v="0"/>
    <x v="0"/>
    <s v="Above Avg"/>
    <s v="Profit"/>
    <n v="190"/>
  </r>
  <r>
    <n v="185"/>
    <x v="184"/>
    <n v="1057"/>
    <s v="Customer_65"/>
    <s v="Consumer"/>
    <s v="East"/>
    <s v="Electronics"/>
    <s v="Product_C"/>
    <n v="1851"/>
    <n v="3"/>
    <n v="0.28999999999999998"/>
    <n v="589"/>
    <s v="Card"/>
    <n v="3942.6299999999901"/>
    <s v="Jul"/>
    <n v="2024"/>
    <s v="Q3"/>
    <n v="0.14939266428754447"/>
    <n v="1610.37"/>
    <x v="1"/>
    <x v="0"/>
    <s v="Below Avg"/>
    <s v="Profit"/>
    <n v="356"/>
  </r>
  <r>
    <n v="186"/>
    <x v="185"/>
    <n v="1035"/>
    <s v="Customer_83"/>
    <s v="Corporate"/>
    <s v="East"/>
    <s v="Furniture"/>
    <s v="Product_C"/>
    <n v="1945"/>
    <n v="1"/>
    <n v="0.28999999999999998"/>
    <n v="7"/>
    <s v="Card"/>
    <n v="1380.94999999999"/>
    <s v="Jul"/>
    <n v="2024"/>
    <s v="Q3"/>
    <n v="5.068974256852204E-3"/>
    <n v="564.04999999999995"/>
    <x v="2"/>
    <x v="0"/>
    <s v="Below Avg"/>
    <s v="Profit"/>
    <n v="462"/>
  </r>
  <r>
    <n v="187"/>
    <x v="186"/>
    <n v="1018"/>
    <s v="Customer_38"/>
    <s v="Corporate"/>
    <s v="North"/>
    <s v="Clothing"/>
    <s v="Product_A"/>
    <n v="4924"/>
    <n v="3"/>
    <n v="0.13"/>
    <n v="1357"/>
    <s v="UPI"/>
    <n v="12851.64"/>
    <s v="Jul"/>
    <n v="2024"/>
    <s v="Q3"/>
    <n v="0.1055896368089987"/>
    <n v="1920.3600000000001"/>
    <x v="0"/>
    <x v="0"/>
    <s v="Above Avg"/>
    <s v="Profit"/>
    <n v="160"/>
  </r>
  <r>
    <n v="188"/>
    <x v="187"/>
    <n v="1091"/>
    <s v="Customer_28"/>
    <s v="Corporate"/>
    <s v="East"/>
    <s v="Furniture"/>
    <s v="Product_A"/>
    <n v="1821"/>
    <n v="7"/>
    <n v="0.26"/>
    <n v="-309"/>
    <s v="Card"/>
    <n v="9432.7800000000007"/>
    <s v="Jul"/>
    <n v="2024"/>
    <s v="Q3"/>
    <n v="-3.2758105245749396E-2"/>
    <n v="3314.2200000000003"/>
    <x v="0"/>
    <x v="0"/>
    <s v="Below Avg"/>
    <s v="Loss"/>
    <n v="220"/>
  </r>
  <r>
    <n v="189"/>
    <x v="188"/>
    <n v="1046"/>
    <s v="Customer_175"/>
    <s v="Corporate"/>
    <s v="East"/>
    <s v="Clothing"/>
    <s v="Product_B"/>
    <n v="1873"/>
    <n v="9"/>
    <n v="0.17"/>
    <n v="-234"/>
    <s v="UPI"/>
    <n v="13991.31"/>
    <s v="Jul"/>
    <n v="2024"/>
    <s v="Q3"/>
    <n v="-1.672466695398787E-2"/>
    <n v="2865.69"/>
    <x v="0"/>
    <x v="0"/>
    <s v="Above Avg"/>
    <s v="Loss"/>
    <n v="147"/>
  </r>
  <r>
    <n v="190"/>
    <x v="189"/>
    <n v="1054"/>
    <s v="Customer_47"/>
    <s v="Consumer"/>
    <s v="West"/>
    <s v="Furniture"/>
    <s v="Product_C"/>
    <n v="750"/>
    <n v="8"/>
    <n v="0.17"/>
    <n v="-108"/>
    <s v="Card"/>
    <n v="4980"/>
    <s v="Jul"/>
    <n v="2024"/>
    <s v="Q3"/>
    <n v="-2.1686746987951807E-2"/>
    <n v="1020.0000000000001"/>
    <x v="1"/>
    <x v="0"/>
    <s v="Below Avg"/>
    <s v="Loss"/>
    <n v="324"/>
  </r>
  <r>
    <n v="191"/>
    <x v="190"/>
    <n v="1073"/>
    <s v="Customer_10"/>
    <s v="Consumer"/>
    <s v="East"/>
    <s v="Furniture"/>
    <s v="Product_A"/>
    <n v="1461"/>
    <n v="3"/>
    <n v="7.0000000000000007E-2"/>
    <n v="-371"/>
    <s v="COD"/>
    <n v="4076.1899999999901"/>
    <s v="Jul"/>
    <n v="2024"/>
    <s v="Q3"/>
    <n v="-9.1016365772940144E-2"/>
    <n v="306.81"/>
    <x v="1"/>
    <x v="0"/>
    <s v="Below Avg"/>
    <s v="Loss"/>
    <n v="351"/>
  </r>
  <r>
    <n v="192"/>
    <x v="191"/>
    <n v="1081"/>
    <s v="Customer_88"/>
    <s v="Corporate"/>
    <s v="South"/>
    <s v="Clothing"/>
    <s v="Product_A"/>
    <n v="3609"/>
    <n v="5"/>
    <n v="0.12"/>
    <n v="514"/>
    <s v="COD"/>
    <n v="15879.6"/>
    <s v="Jul"/>
    <n v="2024"/>
    <s v="Q3"/>
    <n v="3.2368573515705684E-2"/>
    <n v="2165.4"/>
    <x v="0"/>
    <x v="0"/>
    <s v="Above Avg"/>
    <s v="Profit"/>
    <n v="131"/>
  </r>
  <r>
    <n v="193"/>
    <x v="192"/>
    <n v="1062"/>
    <s v="Customer_133"/>
    <s v="Corporate"/>
    <s v="South"/>
    <s v="Electronics"/>
    <s v="Product_D"/>
    <n v="1568"/>
    <n v="1"/>
    <n v="0.06"/>
    <n v="1807"/>
    <s v="UPI"/>
    <n v="1473.9199999999901"/>
    <s v="Jul"/>
    <n v="2024"/>
    <s v="Q3"/>
    <n v="1.225982414242301"/>
    <n v="94.08"/>
    <x v="2"/>
    <x v="0"/>
    <s v="Below Avg"/>
    <s v="Profit"/>
    <n v="459"/>
  </r>
  <r>
    <n v="194"/>
    <x v="193"/>
    <n v="1067"/>
    <s v="Customer_141"/>
    <s v="Consumer"/>
    <s v="West"/>
    <s v="Furniture"/>
    <s v="Product_C"/>
    <n v="584"/>
    <n v="1"/>
    <n v="0.22"/>
    <n v="858"/>
    <s v="Card"/>
    <n v="455.52"/>
    <s v="Jul"/>
    <n v="2024"/>
    <s v="Q3"/>
    <n v="1.8835616438356164"/>
    <n v="128.47999999999999"/>
    <x v="2"/>
    <x v="0"/>
    <s v="Below Avg"/>
    <s v="Profit"/>
    <n v="494"/>
  </r>
  <r>
    <n v="195"/>
    <x v="194"/>
    <n v="1011"/>
    <s v="Customer_86"/>
    <s v="Corporate"/>
    <s v="South"/>
    <s v="Furniture"/>
    <s v="Product_C"/>
    <n v="851"/>
    <n v="9"/>
    <n v="0.19"/>
    <n v="1126"/>
    <s v="Card"/>
    <n v="6203.79"/>
    <s v="Jul"/>
    <n v="2024"/>
    <s v="Q3"/>
    <n v="0.18150195283850679"/>
    <n v="1455.21"/>
    <x v="0"/>
    <x v="0"/>
    <s v="Below Avg"/>
    <s v="Profit"/>
    <n v="292"/>
  </r>
  <r>
    <n v="196"/>
    <x v="195"/>
    <n v="1026"/>
    <s v="Customer_34"/>
    <s v="Corporate"/>
    <s v="West"/>
    <s v="Electronics"/>
    <s v="Product_A"/>
    <n v="209"/>
    <n v="7"/>
    <n v="0.24"/>
    <n v="-125"/>
    <s v="UPI"/>
    <n v="1111.8800000000001"/>
    <s v="Jul"/>
    <n v="2024"/>
    <s v="Q3"/>
    <n v="-0.11242220383494621"/>
    <n v="351.12"/>
    <x v="2"/>
    <x v="0"/>
    <s v="Below Avg"/>
    <s v="Loss"/>
    <n v="476"/>
  </r>
  <r>
    <n v="197"/>
    <x v="196"/>
    <n v="1092"/>
    <s v="Customer_153"/>
    <s v="Corporate"/>
    <s v="South"/>
    <s v="Electronics"/>
    <s v="Product_D"/>
    <n v="2452"/>
    <n v="4"/>
    <n v="0.19"/>
    <n v="1641"/>
    <s v="Card"/>
    <n v="7944.48"/>
    <s v="Jul"/>
    <n v="2024"/>
    <s v="Q3"/>
    <n v="0.20655851610174614"/>
    <n v="1863.52"/>
    <x v="0"/>
    <x v="0"/>
    <s v="Below Avg"/>
    <s v="Profit"/>
    <n v="254"/>
  </r>
  <r>
    <n v="198"/>
    <x v="197"/>
    <n v="1075"/>
    <s v="Customer_151"/>
    <s v="Consumer"/>
    <s v="East"/>
    <s v="Electronics"/>
    <s v="Product_C"/>
    <n v="4378"/>
    <n v="4"/>
    <n v="0.08"/>
    <n v="-266"/>
    <s v="COD"/>
    <n v="16111.04"/>
    <s v="Jul"/>
    <n v="2024"/>
    <s v="Q3"/>
    <n v="-1.6510417701153992E-2"/>
    <n v="1400.96"/>
    <x v="0"/>
    <x v="0"/>
    <s v="Above Avg"/>
    <s v="Loss"/>
    <n v="125"/>
  </r>
  <r>
    <n v="199"/>
    <x v="198"/>
    <n v="1010"/>
    <s v="Customer_112"/>
    <s v="Corporate"/>
    <s v="South"/>
    <s v="Furniture"/>
    <s v="Product_C"/>
    <n v="3624"/>
    <n v="3"/>
    <n v="0.28999999999999998"/>
    <n v="-429"/>
    <s v="COD"/>
    <n v="7719.12"/>
    <s v="Jul"/>
    <n v="2024"/>
    <s v="Q3"/>
    <n v="-5.557628330690545E-2"/>
    <n v="3152.8799999999997"/>
    <x v="0"/>
    <x v="0"/>
    <s v="Below Avg"/>
    <s v="Loss"/>
    <n v="259"/>
  </r>
  <r>
    <n v="200"/>
    <x v="199"/>
    <n v="1003"/>
    <s v="Customer_85"/>
    <s v="Corporate"/>
    <s v="South"/>
    <s v="Clothing"/>
    <s v="Product_C"/>
    <n v="1158"/>
    <n v="5"/>
    <n v="0.2"/>
    <n v="1597"/>
    <s v="COD"/>
    <n v="4632"/>
    <s v="Jul"/>
    <n v="2024"/>
    <s v="Q3"/>
    <n v="0.34477547495682209"/>
    <n v="1158"/>
    <x v="1"/>
    <x v="0"/>
    <s v="Below Avg"/>
    <s v="Profit"/>
    <n v="335"/>
  </r>
  <r>
    <n v="201"/>
    <x v="200"/>
    <n v="1045"/>
    <s v="Customer_3"/>
    <s v="Corporate"/>
    <s v="West"/>
    <s v="Furniture"/>
    <s v="Product_A"/>
    <n v="300"/>
    <n v="8"/>
    <n v="0.14000000000000001"/>
    <n v="1580"/>
    <s v="UPI"/>
    <n v="2064"/>
    <s v="Jul"/>
    <n v="2024"/>
    <s v="Q3"/>
    <n v="0.76550387596899228"/>
    <n v="336.00000000000006"/>
    <x v="1"/>
    <x v="0"/>
    <s v="Below Avg"/>
    <s v="Profit"/>
    <n v="425"/>
  </r>
  <r>
    <n v="202"/>
    <x v="201"/>
    <n v="1058"/>
    <s v="Customer_8"/>
    <s v="Consumer"/>
    <s v="West"/>
    <s v="Clothing"/>
    <s v="Product_A"/>
    <n v="4590"/>
    <n v="3"/>
    <n v="0.23"/>
    <n v="458"/>
    <s v="Card"/>
    <n v="10602.9"/>
    <s v="Jul"/>
    <n v="2024"/>
    <s v="Q3"/>
    <n v="4.3195729470239273E-2"/>
    <n v="3167.1000000000004"/>
    <x v="0"/>
    <x v="0"/>
    <s v="Below Avg"/>
    <s v="Profit"/>
    <n v="195"/>
  </r>
  <r>
    <n v="203"/>
    <x v="202"/>
    <n v="1059"/>
    <s v="Customer_174"/>
    <s v="Consumer"/>
    <s v="West"/>
    <s v="Electronics"/>
    <s v="Product_B"/>
    <n v="3815"/>
    <n v="6"/>
    <n v="0.08"/>
    <n v="971"/>
    <s v="Card"/>
    <n v="21058.799999999999"/>
    <s v="Jul"/>
    <n v="2024"/>
    <s v="Q3"/>
    <n v="4.6108990065910689E-2"/>
    <n v="1831.2"/>
    <x v="0"/>
    <x v="0"/>
    <s v="Above Avg"/>
    <s v="Profit"/>
    <n v="76"/>
  </r>
  <r>
    <n v="204"/>
    <x v="203"/>
    <n v="1023"/>
    <s v="Customer_190"/>
    <s v="Consumer"/>
    <s v="North"/>
    <s v="Furniture"/>
    <s v="Product_B"/>
    <n v="1315"/>
    <n v="4"/>
    <n v="0.24"/>
    <n v="-35"/>
    <s v="COD"/>
    <n v="3997.6"/>
    <s v="Jul"/>
    <n v="2024"/>
    <s v="Q3"/>
    <n v="-8.7552531518911344E-3"/>
    <n v="1262.3999999999999"/>
    <x v="1"/>
    <x v="0"/>
    <s v="Below Avg"/>
    <s v="Loss"/>
    <n v="353"/>
  </r>
  <r>
    <n v="205"/>
    <x v="204"/>
    <n v="1025"/>
    <s v="Customer_167"/>
    <s v="Consumer"/>
    <s v="East"/>
    <s v="Furniture"/>
    <s v="Product_C"/>
    <n v="831"/>
    <n v="3"/>
    <n v="0.1"/>
    <n v="1324"/>
    <s v="UPI"/>
    <n v="2243.6999999999998"/>
    <s v="Jul"/>
    <n v="2024"/>
    <s v="Q3"/>
    <n v="0.59009671524713647"/>
    <n v="249.3"/>
    <x v="1"/>
    <x v="0"/>
    <s v="Below Avg"/>
    <s v="Profit"/>
    <n v="417"/>
  </r>
  <r>
    <n v="206"/>
    <x v="205"/>
    <n v="1027"/>
    <s v="Customer_51"/>
    <s v="Consumer"/>
    <s v="North"/>
    <s v="Furniture"/>
    <s v="Product_D"/>
    <n v="473"/>
    <n v="1"/>
    <n v="0.02"/>
    <n v="-233"/>
    <s v="UPI"/>
    <n v="463.539999999999"/>
    <s v="Jul"/>
    <n v="2024"/>
    <s v="Q3"/>
    <n v="-0.50265349268671633"/>
    <n v="9.4600000000000009"/>
    <x v="2"/>
    <x v="0"/>
    <s v="Below Avg"/>
    <s v="Loss"/>
    <n v="493"/>
  </r>
  <r>
    <n v="207"/>
    <x v="206"/>
    <n v="1057"/>
    <s v="Customer_22"/>
    <s v="Consumer"/>
    <s v="South"/>
    <s v="Furniture"/>
    <s v="Product_C"/>
    <n v="3249"/>
    <n v="8"/>
    <n v="0.23"/>
    <n v="1197"/>
    <s v="UPI"/>
    <n v="20013.84"/>
    <s v="Jul"/>
    <n v="2024"/>
    <s v="Q3"/>
    <n v="5.9808612440191387E-2"/>
    <n v="5978.16"/>
    <x v="0"/>
    <x v="0"/>
    <s v="Above Avg"/>
    <s v="Profit"/>
    <n v="80"/>
  </r>
  <r>
    <n v="208"/>
    <x v="207"/>
    <n v="1003"/>
    <s v="Customer_45"/>
    <s v="Corporate"/>
    <s v="South"/>
    <s v="Electronics"/>
    <s v="Product_D"/>
    <n v="3344"/>
    <n v="7"/>
    <n v="0.06"/>
    <n v="581"/>
    <s v="COD"/>
    <n v="22003.52"/>
    <s v="Jul"/>
    <n v="2024"/>
    <s v="Q3"/>
    <n v="2.6404866130510025E-2"/>
    <n v="1404.48"/>
    <x v="0"/>
    <x v="0"/>
    <s v="Above Avg"/>
    <s v="Profit"/>
    <n v="67"/>
  </r>
  <r>
    <n v="209"/>
    <x v="208"/>
    <n v="1099"/>
    <s v="Customer_151"/>
    <s v="Corporate"/>
    <s v="West"/>
    <s v="Electronics"/>
    <s v="Product_A"/>
    <n v="4041"/>
    <n v="7"/>
    <n v="0.19"/>
    <n v="1642"/>
    <s v="UPI"/>
    <n v="22912.47"/>
    <s v="Jul"/>
    <n v="2024"/>
    <s v="Q3"/>
    <n v="7.1664032729775534E-2"/>
    <n v="5374.53"/>
    <x v="0"/>
    <x v="0"/>
    <s v="Above Avg"/>
    <s v="Profit"/>
    <n v="60"/>
  </r>
  <r>
    <n v="210"/>
    <x v="209"/>
    <n v="1078"/>
    <s v="Customer_177"/>
    <s v="Consumer"/>
    <s v="West"/>
    <s v="Electronics"/>
    <s v="Product_B"/>
    <n v="4048"/>
    <n v="8"/>
    <n v="0.08"/>
    <n v="-375"/>
    <s v="COD"/>
    <n v="29793.279999999999"/>
    <s v="Jul"/>
    <n v="2024"/>
    <s v="Q3"/>
    <n v="-1.2586730967520193E-2"/>
    <n v="2590.7200000000003"/>
    <x v="0"/>
    <x v="0"/>
    <s v="Above Avg"/>
    <s v="Loss"/>
    <n v="24"/>
  </r>
  <r>
    <n v="211"/>
    <x v="210"/>
    <n v="1085"/>
    <s v="Customer_80"/>
    <s v="Consumer"/>
    <s v="South"/>
    <s v="Furniture"/>
    <s v="Product_A"/>
    <n v="745"/>
    <n v="9"/>
    <n v="0.21"/>
    <n v="515"/>
    <s v="Card"/>
    <n v="5296.95"/>
    <s v="Jul"/>
    <n v="2024"/>
    <s v="Q3"/>
    <n v="9.7225761995110391E-2"/>
    <n v="1408.05"/>
    <x v="0"/>
    <x v="0"/>
    <s v="Below Avg"/>
    <s v="Profit"/>
    <n v="316"/>
  </r>
  <r>
    <n v="212"/>
    <x v="211"/>
    <n v="1059"/>
    <s v="Customer_124"/>
    <s v="Consumer"/>
    <s v="North"/>
    <s v="Furniture"/>
    <s v="Product_D"/>
    <n v="3695"/>
    <n v="3"/>
    <n v="0.04"/>
    <n v="333"/>
    <s v="Card"/>
    <n v="10641.6"/>
    <s v="Jul"/>
    <n v="2024"/>
    <s v="Q3"/>
    <n v="3.1292286874154258E-2"/>
    <n v="443.40000000000003"/>
    <x v="0"/>
    <x v="0"/>
    <s v="Above Avg"/>
    <s v="Profit"/>
    <n v="194"/>
  </r>
  <r>
    <n v="213"/>
    <x v="212"/>
    <n v="1048"/>
    <s v="Customer_179"/>
    <s v="Corporate"/>
    <s v="West"/>
    <s v="Clothing"/>
    <s v="Product_D"/>
    <n v="4178"/>
    <n v="2"/>
    <n v="0.19"/>
    <n v="1860"/>
    <s v="Card"/>
    <n v="6768.36"/>
    <s v="Jul"/>
    <n v="2024"/>
    <s v="Q3"/>
    <n v="0.27480807758452563"/>
    <n v="1587.64"/>
    <x v="0"/>
    <x v="0"/>
    <s v="Below Avg"/>
    <s v="Profit"/>
    <n v="280"/>
  </r>
  <r>
    <n v="214"/>
    <x v="213"/>
    <n v="1056"/>
    <s v="Customer_28"/>
    <s v="Consumer"/>
    <s v="West"/>
    <s v="Clothing"/>
    <s v="Product_B"/>
    <n v="2035"/>
    <n v="4"/>
    <n v="0.06"/>
    <n v="1215"/>
    <s v="UPI"/>
    <n v="7651.5999999999904"/>
    <s v="Aug"/>
    <n v="2024"/>
    <s v="Q3"/>
    <n v="0.15879031836478666"/>
    <n v="488.4"/>
    <x v="0"/>
    <x v="0"/>
    <s v="Below Avg"/>
    <s v="Profit"/>
    <n v="262"/>
  </r>
  <r>
    <n v="215"/>
    <x v="214"/>
    <n v="1087"/>
    <s v="Customer_99"/>
    <s v="Consumer"/>
    <s v="South"/>
    <s v="Clothing"/>
    <s v="Product_A"/>
    <n v="2833"/>
    <n v="4"/>
    <n v="0.15"/>
    <n v="-499"/>
    <s v="COD"/>
    <n v="9632.1999999999898"/>
    <s v="Aug"/>
    <n v="2024"/>
    <s v="Q3"/>
    <n v="-5.1805402711737766E-2"/>
    <n v="1699.8"/>
    <x v="0"/>
    <x v="0"/>
    <s v="Below Avg"/>
    <s v="Loss"/>
    <n v="211"/>
  </r>
  <r>
    <n v="216"/>
    <x v="215"/>
    <n v="1087"/>
    <s v="Customer_106"/>
    <s v="Consumer"/>
    <s v="East"/>
    <s v="Furniture"/>
    <s v="Product_C"/>
    <n v="2661"/>
    <n v="8"/>
    <n v="0.26"/>
    <n v="-152"/>
    <s v="COD"/>
    <n v="15753.119999999901"/>
    <s v="Aug"/>
    <n v="2024"/>
    <s v="Q3"/>
    <n v="-9.6488822531664176E-3"/>
    <n v="5534.88"/>
    <x v="0"/>
    <x v="0"/>
    <s v="Above Avg"/>
    <s v="Loss"/>
    <n v="133"/>
  </r>
  <r>
    <n v="217"/>
    <x v="216"/>
    <n v="1004"/>
    <s v="Customer_29"/>
    <s v="Consumer"/>
    <s v="West"/>
    <s v="Furniture"/>
    <s v="Product_A"/>
    <n v="2152"/>
    <n v="8"/>
    <n v="0.14000000000000001"/>
    <n v="925"/>
    <s v="COD"/>
    <n v="14805.76"/>
    <s v="Aug"/>
    <n v="2024"/>
    <s v="Q3"/>
    <n v="6.2475685138756808E-2"/>
    <n v="2410.2400000000002"/>
    <x v="0"/>
    <x v="0"/>
    <s v="Above Avg"/>
    <s v="Profit"/>
    <n v="142"/>
  </r>
  <r>
    <n v="218"/>
    <x v="217"/>
    <n v="1069"/>
    <s v="Customer_187"/>
    <s v="Consumer"/>
    <s v="North"/>
    <s v="Clothing"/>
    <s v="Product_D"/>
    <n v="2039"/>
    <n v="7"/>
    <n v="0.23"/>
    <n v="-462"/>
    <s v="UPI"/>
    <n v="10990.21"/>
    <s v="Aug"/>
    <n v="2024"/>
    <s v="Q3"/>
    <n v="-4.2037413297835079E-2"/>
    <n v="3282.79"/>
    <x v="0"/>
    <x v="0"/>
    <s v="Above Avg"/>
    <s v="Loss"/>
    <n v="192"/>
  </r>
  <r>
    <n v="219"/>
    <x v="218"/>
    <n v="1056"/>
    <s v="Customer_102"/>
    <s v="Consumer"/>
    <s v="East"/>
    <s v="Clothing"/>
    <s v="Product_A"/>
    <n v="802"/>
    <n v="5"/>
    <n v="0.04"/>
    <n v="1193"/>
    <s v="COD"/>
    <n v="3849.6"/>
    <s v="Aug"/>
    <n v="2024"/>
    <s v="Q3"/>
    <n v="0.30990232751454699"/>
    <n v="160.4"/>
    <x v="1"/>
    <x v="0"/>
    <s v="Below Avg"/>
    <s v="Profit"/>
    <n v="361"/>
  </r>
  <r>
    <n v="220"/>
    <x v="219"/>
    <n v="1060"/>
    <s v="Customer_198"/>
    <s v="Corporate"/>
    <s v="South"/>
    <s v="Clothing"/>
    <s v="Product_B"/>
    <n v="2899"/>
    <n v="1"/>
    <n v="0.2"/>
    <n v="569"/>
    <s v="COD"/>
    <n v="2319.1999999999998"/>
    <s v="Aug"/>
    <n v="2024"/>
    <s v="Q3"/>
    <n v="0.24534322180062093"/>
    <n v="579.80000000000007"/>
    <x v="1"/>
    <x v="0"/>
    <s v="Below Avg"/>
    <s v="Profit"/>
    <n v="415"/>
  </r>
  <r>
    <n v="221"/>
    <x v="220"/>
    <n v="1009"/>
    <s v="Customer_78"/>
    <s v="Corporate"/>
    <s v="West"/>
    <s v="Electronics"/>
    <s v="Product_A"/>
    <n v="607"/>
    <n v="6"/>
    <n v="0.05"/>
    <n v="1509"/>
    <s v="Card"/>
    <n v="3459.8999999999901"/>
    <s v="Aug"/>
    <n v="2024"/>
    <s v="Q3"/>
    <n v="0.43613977282580546"/>
    <n v="182.10000000000002"/>
    <x v="1"/>
    <x v="0"/>
    <s v="Below Avg"/>
    <s v="Profit"/>
    <n v="378"/>
  </r>
  <r>
    <n v="222"/>
    <x v="221"/>
    <n v="1066"/>
    <s v="Customer_156"/>
    <s v="Corporate"/>
    <s v="East"/>
    <s v="Clothing"/>
    <s v="Product_A"/>
    <n v="1523"/>
    <n v="1"/>
    <n v="0.23"/>
    <n v="1244"/>
    <s v="COD"/>
    <n v="1172.71"/>
    <s v="Aug"/>
    <n v="2024"/>
    <s v="Q3"/>
    <n v="1.0607908178492551"/>
    <n v="350.29"/>
    <x v="2"/>
    <x v="0"/>
    <s v="Below Avg"/>
    <s v="Profit"/>
    <n v="471"/>
  </r>
  <r>
    <n v="223"/>
    <x v="222"/>
    <n v="1033"/>
    <s v="Customer_110"/>
    <s v="Corporate"/>
    <s v="South"/>
    <s v="Furniture"/>
    <s v="Product_D"/>
    <n v="2167"/>
    <n v="2"/>
    <n v="0.21"/>
    <n v="1682"/>
    <s v="Card"/>
    <n v="3423.86"/>
    <s v="Aug"/>
    <n v="2024"/>
    <s v="Q3"/>
    <n v="0.49125840425718337"/>
    <n v="910.14"/>
    <x v="1"/>
    <x v="1"/>
    <s v="Below Avg"/>
    <s v="Profit"/>
    <n v="379"/>
  </r>
  <r>
    <n v="224"/>
    <x v="223"/>
    <n v="1069"/>
    <s v="Customer_175"/>
    <s v="Corporate"/>
    <s v="North"/>
    <s v="Furniture"/>
    <s v="Product_C"/>
    <n v="4265"/>
    <n v="6"/>
    <n v="0.12"/>
    <n v="490"/>
    <s v="COD"/>
    <n v="22519.200000000001"/>
    <s v="Aug"/>
    <n v="2024"/>
    <s v="Q3"/>
    <n v="2.1759209918647198E-2"/>
    <n v="3070.7999999999997"/>
    <x v="0"/>
    <x v="0"/>
    <s v="Above Avg"/>
    <s v="Profit"/>
    <n v="63"/>
  </r>
  <r>
    <n v="225"/>
    <x v="224"/>
    <n v="1009"/>
    <s v="Customer_4"/>
    <s v="Consumer"/>
    <s v="West"/>
    <s v="Clothing"/>
    <s v="Product_C"/>
    <n v="851"/>
    <n v="1"/>
    <n v="0.14000000000000001"/>
    <n v="1419"/>
    <s v="UPI"/>
    <n v="731.86"/>
    <s v="Aug"/>
    <n v="2024"/>
    <s v="Q3"/>
    <n v="1.9388954171562867"/>
    <n v="119.14000000000001"/>
    <x v="2"/>
    <x v="0"/>
    <s v="Below Avg"/>
    <s v="Profit"/>
    <n v="484"/>
  </r>
  <r>
    <n v="226"/>
    <x v="225"/>
    <n v="1079"/>
    <s v="Customer_130"/>
    <s v="Corporate"/>
    <s v="South"/>
    <s v="Furniture"/>
    <s v="Product_B"/>
    <n v="2116"/>
    <n v="6"/>
    <n v="0.05"/>
    <n v="1516"/>
    <s v="UPI"/>
    <n v="12061.199999999901"/>
    <s v="Aug"/>
    <n v="2024"/>
    <s v="Q3"/>
    <n v="0.12569230259012473"/>
    <n v="634.80000000000007"/>
    <x v="0"/>
    <x v="0"/>
    <s v="Above Avg"/>
    <s v="Profit"/>
    <n v="167"/>
  </r>
  <r>
    <n v="227"/>
    <x v="226"/>
    <n v="1028"/>
    <s v="Customer_110"/>
    <s v="Consumer"/>
    <s v="West"/>
    <s v="Furniture"/>
    <s v="Product_B"/>
    <n v="648"/>
    <n v="9"/>
    <n v="0.19"/>
    <n v="730"/>
    <s v="Card"/>
    <n v="4723.92"/>
    <s v="Aug"/>
    <n v="2024"/>
    <s v="Q3"/>
    <n v="0.15453267625192638"/>
    <n v="1108.08"/>
    <x v="1"/>
    <x v="0"/>
    <s v="Below Avg"/>
    <s v="Profit"/>
    <n v="331"/>
  </r>
  <r>
    <n v="228"/>
    <x v="227"/>
    <n v="1066"/>
    <s v="Customer_64"/>
    <s v="Consumer"/>
    <s v="West"/>
    <s v="Furniture"/>
    <s v="Product_A"/>
    <n v="2655"/>
    <n v="6"/>
    <n v="0.27"/>
    <n v="1403"/>
    <s v="COD"/>
    <n v="11628.9"/>
    <s v="Aug"/>
    <n v="2024"/>
    <s v="Q3"/>
    <n v="0.12064769668670296"/>
    <n v="4301.1000000000004"/>
    <x v="0"/>
    <x v="0"/>
    <s v="Above Avg"/>
    <s v="Profit"/>
    <n v="179"/>
  </r>
  <r>
    <n v="229"/>
    <x v="228"/>
    <n v="1010"/>
    <s v="Customer_29"/>
    <s v="Consumer"/>
    <s v="North"/>
    <s v="Clothing"/>
    <s v="Product_C"/>
    <n v="738"/>
    <n v="1"/>
    <n v="0.17"/>
    <n v="1581"/>
    <s v="UPI"/>
    <n v="612.54"/>
    <s v="Aug"/>
    <n v="2024"/>
    <s v="Q3"/>
    <n v="2.5810559310412384"/>
    <n v="125.46000000000001"/>
    <x v="2"/>
    <x v="0"/>
    <s v="Below Avg"/>
    <s v="Profit"/>
    <n v="486"/>
  </r>
  <r>
    <n v="230"/>
    <x v="229"/>
    <n v="1003"/>
    <s v="Customer_89"/>
    <s v="Consumer"/>
    <s v="East"/>
    <s v="Furniture"/>
    <s v="Product_B"/>
    <n v="1820"/>
    <n v="9"/>
    <n v="0.09"/>
    <n v="631"/>
    <s v="UPI"/>
    <n v="14905.8"/>
    <s v="Aug"/>
    <n v="2024"/>
    <s v="Q3"/>
    <n v="4.2332514859987389E-2"/>
    <n v="1474.2"/>
    <x v="0"/>
    <x v="0"/>
    <s v="Above Avg"/>
    <s v="Profit"/>
    <n v="141"/>
  </r>
  <r>
    <n v="231"/>
    <x v="230"/>
    <n v="1048"/>
    <s v="Customer_95"/>
    <s v="Consumer"/>
    <s v="North"/>
    <s v="Electronics"/>
    <s v="Product_C"/>
    <n v="3916"/>
    <n v="7"/>
    <n v="0.12"/>
    <n v="1533"/>
    <s v="UPI"/>
    <n v="24122.560000000001"/>
    <s v="Aug"/>
    <n v="2024"/>
    <s v="Q3"/>
    <n v="6.3550468938620111E-2"/>
    <n v="3289.44"/>
    <x v="0"/>
    <x v="0"/>
    <s v="Above Avg"/>
    <s v="Profit"/>
    <n v="51"/>
  </r>
  <r>
    <n v="232"/>
    <x v="231"/>
    <n v="1003"/>
    <s v="Customer_175"/>
    <s v="Consumer"/>
    <s v="West"/>
    <s v="Clothing"/>
    <s v="Product_D"/>
    <n v="3888"/>
    <n v="5"/>
    <n v="7.0000000000000007E-2"/>
    <n v="1032"/>
    <s v="Card"/>
    <n v="18079.199999999899"/>
    <s v="Aug"/>
    <n v="2024"/>
    <s v="Q3"/>
    <n v="5.7082171777512597E-2"/>
    <n v="1360.8000000000002"/>
    <x v="0"/>
    <x v="0"/>
    <s v="Above Avg"/>
    <s v="Profit"/>
    <n v="91"/>
  </r>
  <r>
    <n v="233"/>
    <x v="232"/>
    <n v="1023"/>
    <s v="Customer_15"/>
    <s v="Consumer"/>
    <s v="North"/>
    <s v="Clothing"/>
    <s v="Product_B"/>
    <n v="1813"/>
    <n v="7"/>
    <n v="0.13"/>
    <n v="937"/>
    <s v="COD"/>
    <n v="11041.17"/>
    <s v="Aug"/>
    <n v="2024"/>
    <s v="Q3"/>
    <n v="8.4864194646038421E-2"/>
    <n v="1649.8300000000002"/>
    <x v="0"/>
    <x v="0"/>
    <s v="Above Avg"/>
    <s v="Profit"/>
    <n v="189"/>
  </r>
  <r>
    <n v="234"/>
    <x v="233"/>
    <n v="1091"/>
    <s v="Customer_166"/>
    <s v="Corporate"/>
    <s v="West"/>
    <s v="Furniture"/>
    <s v="Product_C"/>
    <n v="4283"/>
    <n v="6"/>
    <n v="0.15"/>
    <n v="436"/>
    <s v="COD"/>
    <n v="21843.3"/>
    <s v="Aug"/>
    <n v="2024"/>
    <s v="Q3"/>
    <n v="1.9960353975818673E-2"/>
    <n v="3854.7"/>
    <x v="0"/>
    <x v="0"/>
    <s v="Above Avg"/>
    <s v="Profit"/>
    <n v="68"/>
  </r>
  <r>
    <n v="235"/>
    <x v="234"/>
    <n v="1055"/>
    <s v="Customer_97"/>
    <s v="Corporate"/>
    <s v="North"/>
    <s v="Clothing"/>
    <s v="Product_C"/>
    <n v="4730"/>
    <n v="8"/>
    <n v="0.28000000000000003"/>
    <n v="1356"/>
    <s v="Card"/>
    <n v="27244.799999999999"/>
    <s v="Aug"/>
    <n v="2024"/>
    <s v="Q3"/>
    <n v="4.9770965468639891E-2"/>
    <n v="10595.2"/>
    <x v="0"/>
    <x v="0"/>
    <s v="Above Avg"/>
    <s v="Profit"/>
    <n v="34"/>
  </r>
  <r>
    <n v="236"/>
    <x v="235"/>
    <n v="1034"/>
    <s v="Customer_177"/>
    <s v="Consumer"/>
    <s v="West"/>
    <s v="Furniture"/>
    <s v="Product_C"/>
    <n v="4044"/>
    <n v="8"/>
    <n v="0.13"/>
    <n v="-288"/>
    <s v="UPI"/>
    <n v="28146.240000000002"/>
    <s v="Aug"/>
    <n v="2024"/>
    <s v="Q3"/>
    <n v="-1.0232272587741736E-2"/>
    <n v="4205.76"/>
    <x v="0"/>
    <x v="0"/>
    <s v="Above Avg"/>
    <s v="Loss"/>
    <n v="29"/>
  </r>
  <r>
    <n v="237"/>
    <x v="236"/>
    <n v="1037"/>
    <s v="Customer_40"/>
    <s v="Corporate"/>
    <s v="North"/>
    <s v="Electronics"/>
    <s v="Product_D"/>
    <n v="1901"/>
    <n v="8"/>
    <n v="0.26"/>
    <n v="1933"/>
    <s v="UPI"/>
    <n v="11253.92"/>
    <s v="Aug"/>
    <n v="2024"/>
    <s v="Q3"/>
    <n v="0.17176237257773291"/>
    <n v="3954.08"/>
    <x v="0"/>
    <x v="0"/>
    <s v="Above Avg"/>
    <s v="Profit"/>
    <n v="186"/>
  </r>
  <r>
    <n v="238"/>
    <x v="237"/>
    <n v="1049"/>
    <s v="Customer_144"/>
    <s v="Consumer"/>
    <s v="South"/>
    <s v="Electronics"/>
    <s v="Product_A"/>
    <n v="4270"/>
    <n v="6"/>
    <n v="0.05"/>
    <n v="1845"/>
    <s v="Card"/>
    <n v="24339"/>
    <s v="Aug"/>
    <n v="2024"/>
    <s v="Q3"/>
    <n v="7.5804264760261308E-2"/>
    <n v="1281"/>
    <x v="0"/>
    <x v="0"/>
    <s v="Above Avg"/>
    <s v="Profit"/>
    <n v="48"/>
  </r>
  <r>
    <n v="239"/>
    <x v="238"/>
    <n v="1087"/>
    <s v="Customer_102"/>
    <s v="Corporate"/>
    <s v="North"/>
    <s v="Furniture"/>
    <s v="Product_B"/>
    <n v="3460"/>
    <n v="2"/>
    <n v="0.16"/>
    <n v="898"/>
    <s v="UPI"/>
    <n v="5812.8"/>
    <s v="Aug"/>
    <n v="2024"/>
    <s v="Q3"/>
    <n v="0.15448665015139004"/>
    <n v="1107.2"/>
    <x v="0"/>
    <x v="0"/>
    <s v="Below Avg"/>
    <s v="Profit"/>
    <n v="300"/>
  </r>
  <r>
    <n v="240"/>
    <x v="239"/>
    <n v="1085"/>
    <s v="Customer_108"/>
    <s v="Consumer"/>
    <s v="East"/>
    <s v="Furniture"/>
    <s v="Product_C"/>
    <n v="4062"/>
    <n v="1"/>
    <n v="0.18"/>
    <n v="630"/>
    <s v="Card"/>
    <n v="3330.84"/>
    <s v="Aug"/>
    <n v="2024"/>
    <s v="Q3"/>
    <n v="0.18914147782541341"/>
    <n v="731.16"/>
    <x v="1"/>
    <x v="0"/>
    <s v="Below Avg"/>
    <s v="Profit"/>
    <n v="385"/>
  </r>
  <r>
    <n v="241"/>
    <x v="240"/>
    <n v="1025"/>
    <s v="Customer_34"/>
    <s v="Corporate"/>
    <s v="South"/>
    <s v="Furniture"/>
    <s v="Product_C"/>
    <n v="3312"/>
    <n v="6"/>
    <n v="0.18"/>
    <n v="1603"/>
    <s v="UPI"/>
    <n v="16295.04"/>
    <s v="Aug"/>
    <n v="2024"/>
    <s v="Q3"/>
    <n v="9.8373492792898934E-2"/>
    <n v="3576.96"/>
    <x v="0"/>
    <x v="0"/>
    <s v="Above Avg"/>
    <s v="Profit"/>
    <n v="119"/>
  </r>
  <r>
    <n v="242"/>
    <x v="241"/>
    <n v="1017"/>
    <s v="Customer_127"/>
    <s v="Corporate"/>
    <s v="South"/>
    <s v="Electronics"/>
    <s v="Product_B"/>
    <n v="2687"/>
    <n v="2"/>
    <n v="0.15"/>
    <n v="564"/>
    <s v="UPI"/>
    <n v="4567.8999999999996"/>
    <s v="Aug"/>
    <n v="2024"/>
    <s v="Q3"/>
    <n v="0.12347030364062261"/>
    <n v="806.1"/>
    <x v="1"/>
    <x v="0"/>
    <s v="Below Avg"/>
    <s v="Profit"/>
    <n v="336"/>
  </r>
  <r>
    <n v="243"/>
    <x v="242"/>
    <n v="1058"/>
    <s v="Customer_134"/>
    <s v="Corporate"/>
    <s v="North"/>
    <s v="Furniture"/>
    <s v="Product_B"/>
    <n v="4904"/>
    <n v="7"/>
    <n v="0.23"/>
    <n v="984"/>
    <s v="Card"/>
    <n v="26432.560000000001"/>
    <s v="Aug"/>
    <n v="2024"/>
    <s v="Q3"/>
    <n v="3.7226814201878289E-2"/>
    <n v="7895.4400000000005"/>
    <x v="0"/>
    <x v="0"/>
    <s v="Above Avg"/>
    <s v="Profit"/>
    <n v="38"/>
  </r>
  <r>
    <n v="244"/>
    <x v="243"/>
    <n v="1066"/>
    <s v="Customer_103"/>
    <s v="Consumer"/>
    <s v="North"/>
    <s v="Electronics"/>
    <s v="Product_D"/>
    <n v="1799"/>
    <n v="2"/>
    <n v="0.05"/>
    <n v="241"/>
    <s v="Card"/>
    <n v="3418.1"/>
    <s v="Aug"/>
    <n v="2024"/>
    <s v="Q3"/>
    <n v="7.0507006816652534E-2"/>
    <n v="179.9"/>
    <x v="1"/>
    <x v="0"/>
    <s v="Below Avg"/>
    <s v="Profit"/>
    <n v="380"/>
  </r>
  <r>
    <n v="245"/>
    <x v="244"/>
    <n v="1045"/>
    <s v="Customer_87"/>
    <s v="Consumer"/>
    <s v="West"/>
    <s v="Clothing"/>
    <s v="Product_A"/>
    <n v="247"/>
    <n v="7"/>
    <n v="0.02"/>
    <n v="452"/>
    <s v="UPI"/>
    <n v="1694.42"/>
    <s v="Sep"/>
    <n v="2024"/>
    <s v="Q3"/>
    <n v="0.26675794667201758"/>
    <n v="34.58"/>
    <x v="2"/>
    <x v="0"/>
    <s v="Below Avg"/>
    <s v="Profit"/>
    <n v="447"/>
  </r>
  <r>
    <n v="246"/>
    <x v="245"/>
    <n v="1010"/>
    <s v="Customer_181"/>
    <s v="Corporate"/>
    <s v="East"/>
    <s v="Furniture"/>
    <s v="Product_C"/>
    <n v="3111"/>
    <n v="1"/>
    <n v="0.04"/>
    <n v="120"/>
    <s v="Card"/>
    <n v="2986.56"/>
    <s v="Sep"/>
    <n v="2024"/>
    <s v="Q3"/>
    <n v="4.0180006428801027E-2"/>
    <n v="124.44"/>
    <x v="1"/>
    <x v="0"/>
    <s v="Below Avg"/>
    <s v="Profit"/>
    <n v="394"/>
  </r>
  <r>
    <n v="247"/>
    <x v="246"/>
    <n v="1008"/>
    <s v="Customer_114"/>
    <s v="Corporate"/>
    <s v="North"/>
    <s v="Electronics"/>
    <s v="Product_B"/>
    <n v="1629"/>
    <n v="6"/>
    <n v="0.17"/>
    <n v="1561"/>
    <s v="UPI"/>
    <n v="8112.4199999999901"/>
    <s v="Sep"/>
    <n v="2024"/>
    <s v="Q3"/>
    <n v="0.19242100384348959"/>
    <n v="1661.5800000000002"/>
    <x v="0"/>
    <x v="0"/>
    <s v="Below Avg"/>
    <s v="Profit"/>
    <n v="247"/>
  </r>
  <r>
    <n v="248"/>
    <x v="247"/>
    <n v="1096"/>
    <s v="Customer_149"/>
    <s v="Corporate"/>
    <s v="East"/>
    <s v="Electronics"/>
    <s v="Product_A"/>
    <n v="4607"/>
    <n v="8"/>
    <n v="7.0000000000000007E-2"/>
    <n v="746"/>
    <s v="UPI"/>
    <n v="34276.0799999999"/>
    <s v="Sep"/>
    <n v="2024"/>
    <s v="Q3"/>
    <n v="2.1764449143542731E-2"/>
    <n v="2579.92"/>
    <x v="0"/>
    <x v="0"/>
    <s v="Above Avg"/>
    <s v="Profit"/>
    <n v="13"/>
  </r>
  <r>
    <n v="249"/>
    <x v="248"/>
    <n v="1025"/>
    <s v="Customer_99"/>
    <s v="Corporate"/>
    <s v="West"/>
    <s v="Clothing"/>
    <s v="Product_A"/>
    <n v="217"/>
    <n v="4"/>
    <n v="0.22"/>
    <n v="-1"/>
    <s v="COD"/>
    <n v="677.04"/>
    <s v="Sep"/>
    <n v="2024"/>
    <s v="Q3"/>
    <n v="-1.4770176060498641E-3"/>
    <n v="190.96"/>
    <x v="2"/>
    <x v="0"/>
    <s v="Below Avg"/>
    <s v="Loss"/>
    <n v="485"/>
  </r>
  <r>
    <n v="250"/>
    <x v="249"/>
    <n v="1099"/>
    <s v="Customer_157"/>
    <s v="Corporate"/>
    <s v="East"/>
    <s v="Electronics"/>
    <s v="Product_A"/>
    <n v="4979"/>
    <n v="2"/>
    <n v="0.02"/>
    <n v="1538"/>
    <s v="COD"/>
    <n v="9758.84"/>
    <s v="Sep"/>
    <n v="2024"/>
    <s v="Q3"/>
    <n v="0.15760069844366748"/>
    <n v="199.16"/>
    <x v="0"/>
    <x v="0"/>
    <s v="Below Avg"/>
    <s v="Profit"/>
    <n v="208"/>
  </r>
  <r>
    <n v="251"/>
    <x v="250"/>
    <n v="1067"/>
    <s v="Customer_2"/>
    <s v="Consumer"/>
    <s v="South"/>
    <s v="Furniture"/>
    <s v="Product_A"/>
    <n v="586"/>
    <n v="9"/>
    <n v="0.27"/>
    <n v="781"/>
    <s v="COD"/>
    <n v="3850.02"/>
    <s v="Sep"/>
    <n v="2024"/>
    <s v="Q3"/>
    <n v="0.20285608905927763"/>
    <n v="1423.98"/>
    <x v="1"/>
    <x v="0"/>
    <s v="Below Avg"/>
    <s v="Profit"/>
    <n v="360"/>
  </r>
  <r>
    <n v="252"/>
    <x v="251"/>
    <n v="1065"/>
    <s v="Customer_97"/>
    <s v="Consumer"/>
    <s v="West"/>
    <s v="Furniture"/>
    <s v="Product_C"/>
    <n v="1335"/>
    <n v="6"/>
    <n v="0.28999999999999998"/>
    <n v="598"/>
    <s v="Card"/>
    <n v="5687.0999999999904"/>
    <s v="Sep"/>
    <n v="2024"/>
    <s v="Q3"/>
    <n v="0.10515025232543845"/>
    <n v="2322.8999999999996"/>
    <x v="0"/>
    <x v="0"/>
    <s v="Below Avg"/>
    <s v="Profit"/>
    <n v="304"/>
  </r>
  <r>
    <n v="253"/>
    <x v="252"/>
    <n v="1007"/>
    <s v="Customer_26"/>
    <s v="Consumer"/>
    <s v="South"/>
    <s v="Electronics"/>
    <s v="Product_A"/>
    <n v="2947"/>
    <n v="2"/>
    <n v="0.24"/>
    <n v="48"/>
    <s v="COD"/>
    <n v="4479.4399999999996"/>
    <s v="Sep"/>
    <n v="2024"/>
    <s v="Q3"/>
    <n v="1.0715625167431644E-2"/>
    <n v="1414.56"/>
    <x v="1"/>
    <x v="0"/>
    <s v="Below Avg"/>
    <s v="Profit"/>
    <n v="339"/>
  </r>
  <r>
    <n v="254"/>
    <x v="253"/>
    <n v="1070"/>
    <s v="Customer_44"/>
    <s v="Corporate"/>
    <s v="East"/>
    <s v="Electronics"/>
    <s v="Product_C"/>
    <n v="1121"/>
    <n v="5"/>
    <n v="0.26"/>
    <n v="1771"/>
    <s v="COD"/>
    <n v="4147.7"/>
    <s v="Sep"/>
    <n v="2024"/>
    <s v="Q3"/>
    <n v="0.42698362948139934"/>
    <n v="1457.3"/>
    <x v="1"/>
    <x v="0"/>
    <s v="Below Avg"/>
    <s v="Profit"/>
    <n v="347"/>
  </r>
  <r>
    <n v="255"/>
    <x v="254"/>
    <n v="1099"/>
    <s v="Customer_18"/>
    <s v="Consumer"/>
    <s v="South"/>
    <s v="Electronics"/>
    <s v="Product_B"/>
    <n v="2319"/>
    <n v="7"/>
    <n v="0.11"/>
    <n v="-105"/>
    <s v="UPI"/>
    <n v="14447.37"/>
    <s v="Sep"/>
    <n v="2024"/>
    <s v="Q3"/>
    <n v="-7.2677587685509538E-3"/>
    <n v="1785.63"/>
    <x v="0"/>
    <x v="0"/>
    <s v="Above Avg"/>
    <s v="Loss"/>
    <n v="143"/>
  </r>
  <r>
    <n v="256"/>
    <x v="255"/>
    <n v="1097"/>
    <s v="Customer_98"/>
    <s v="Corporate"/>
    <s v="South"/>
    <s v="Clothing"/>
    <s v="Product_C"/>
    <n v="3265"/>
    <n v="3"/>
    <n v="0.05"/>
    <n v="1937"/>
    <s v="Card"/>
    <n v="9305.25"/>
    <s v="Sep"/>
    <n v="2024"/>
    <s v="Q3"/>
    <n v="0.20816205905268531"/>
    <n v="489.75"/>
    <x v="0"/>
    <x v="0"/>
    <s v="Below Avg"/>
    <s v="Profit"/>
    <n v="225"/>
  </r>
  <r>
    <n v="257"/>
    <x v="256"/>
    <n v="1039"/>
    <s v="Customer_30"/>
    <s v="Corporate"/>
    <s v="West"/>
    <s v="Furniture"/>
    <s v="Product_A"/>
    <n v="3199"/>
    <n v="1"/>
    <n v="0.06"/>
    <n v="1657"/>
    <s v="Card"/>
    <n v="3007.06"/>
    <s v="Sep"/>
    <n v="2024"/>
    <s v="Q3"/>
    <n v="0.55103656062732376"/>
    <n v="191.94"/>
    <x v="1"/>
    <x v="0"/>
    <s v="Below Avg"/>
    <s v="Profit"/>
    <n v="392"/>
  </r>
  <r>
    <n v="258"/>
    <x v="257"/>
    <n v="1082"/>
    <s v="Customer_108"/>
    <s v="Corporate"/>
    <s v="South"/>
    <s v="Electronics"/>
    <s v="Product_B"/>
    <n v="316"/>
    <n v="5"/>
    <n v="0.15"/>
    <n v="897"/>
    <s v="UPI"/>
    <n v="1343"/>
    <s v="Sep"/>
    <n v="2024"/>
    <s v="Q3"/>
    <n v="0.66790766939687263"/>
    <n v="237"/>
    <x v="2"/>
    <x v="0"/>
    <s v="Below Avg"/>
    <s v="Profit"/>
    <n v="465"/>
  </r>
  <r>
    <n v="259"/>
    <x v="258"/>
    <n v="1092"/>
    <s v="Customer_23"/>
    <s v="Consumer"/>
    <s v="South"/>
    <s v="Furniture"/>
    <s v="Product_C"/>
    <n v="4046"/>
    <n v="5"/>
    <n v="0.2"/>
    <n v="-246"/>
    <s v="COD"/>
    <n v="16184"/>
    <s v="Sep"/>
    <n v="2024"/>
    <s v="Q3"/>
    <n v="-1.5200197726149283E-2"/>
    <n v="4046"/>
    <x v="0"/>
    <x v="0"/>
    <s v="Above Avg"/>
    <s v="Loss"/>
    <n v="122"/>
  </r>
  <r>
    <n v="260"/>
    <x v="259"/>
    <n v="1038"/>
    <s v="Customer_48"/>
    <s v="Corporate"/>
    <s v="West"/>
    <s v="Clothing"/>
    <s v="Product_C"/>
    <n v="2805"/>
    <n v="7"/>
    <n v="0.17"/>
    <n v="1777"/>
    <s v="Card"/>
    <n v="16297.05"/>
    <s v="Sep"/>
    <n v="2024"/>
    <s v="Q3"/>
    <n v="0.10903813880426212"/>
    <n v="3337.9500000000003"/>
    <x v="0"/>
    <x v="0"/>
    <s v="Above Avg"/>
    <s v="Profit"/>
    <n v="118"/>
  </r>
  <r>
    <n v="261"/>
    <x v="260"/>
    <n v="1005"/>
    <s v="Customer_183"/>
    <s v="Corporate"/>
    <s v="South"/>
    <s v="Clothing"/>
    <s v="Product_B"/>
    <n v="1983"/>
    <n v="6"/>
    <n v="0.03"/>
    <n v="722"/>
    <s v="UPI"/>
    <n v="11541.06"/>
    <s v="Sep"/>
    <n v="2024"/>
    <s v="Q3"/>
    <n v="6.2559244991361285E-2"/>
    <n v="356.94"/>
    <x v="0"/>
    <x v="0"/>
    <s v="Above Avg"/>
    <s v="Profit"/>
    <n v="180"/>
  </r>
  <r>
    <n v="262"/>
    <x v="261"/>
    <n v="1009"/>
    <s v="Customer_127"/>
    <s v="Corporate"/>
    <s v="East"/>
    <s v="Furniture"/>
    <s v="Product_C"/>
    <n v="1606"/>
    <n v="1"/>
    <n v="0.22"/>
    <n v="1195"/>
    <s v="COD"/>
    <n v="1252.68"/>
    <s v="Sep"/>
    <n v="2024"/>
    <s v="Q3"/>
    <n v="0.95395472107800872"/>
    <n v="353.32"/>
    <x v="2"/>
    <x v="0"/>
    <s v="Below Avg"/>
    <s v="Profit"/>
    <n v="468"/>
  </r>
  <r>
    <n v="263"/>
    <x v="262"/>
    <n v="1040"/>
    <s v="Customer_23"/>
    <s v="Corporate"/>
    <s v="South"/>
    <s v="Clothing"/>
    <s v="Product_D"/>
    <n v="4264"/>
    <n v="1"/>
    <n v="0.24"/>
    <n v="-20"/>
    <s v="UPI"/>
    <n v="3240.64"/>
    <s v="Sep"/>
    <n v="2024"/>
    <s v="Q3"/>
    <n v="-6.1716204206576485E-3"/>
    <n v="1023.36"/>
    <x v="1"/>
    <x v="0"/>
    <s v="Below Avg"/>
    <s v="Loss"/>
    <n v="386"/>
  </r>
  <r>
    <n v="264"/>
    <x v="263"/>
    <n v="1068"/>
    <s v="Customer_40"/>
    <s v="Corporate"/>
    <s v="East"/>
    <s v="Furniture"/>
    <s v="Product_A"/>
    <n v="2397"/>
    <n v="7"/>
    <n v="0.01"/>
    <n v="-217"/>
    <s v="COD"/>
    <n v="16611.21"/>
    <s v="Sep"/>
    <n v="2024"/>
    <s v="Q3"/>
    <n v="-1.3063467381364754E-2"/>
    <n v="167.79"/>
    <x v="0"/>
    <x v="0"/>
    <s v="Above Avg"/>
    <s v="Loss"/>
    <n v="113"/>
  </r>
  <r>
    <n v="265"/>
    <x v="264"/>
    <n v="1087"/>
    <s v="Customer_64"/>
    <s v="Corporate"/>
    <s v="West"/>
    <s v="Furniture"/>
    <s v="Product_B"/>
    <n v="1811"/>
    <n v="2"/>
    <n v="0.14000000000000001"/>
    <n v="1730"/>
    <s v="UPI"/>
    <n v="3114.92"/>
    <s v="Sep"/>
    <n v="2024"/>
    <s v="Q3"/>
    <n v="0.55539147072798012"/>
    <n v="507.08000000000004"/>
    <x v="1"/>
    <x v="0"/>
    <s v="Below Avg"/>
    <s v="Profit"/>
    <n v="389"/>
  </r>
  <r>
    <n v="266"/>
    <x v="265"/>
    <n v="1021"/>
    <s v="Customer_72"/>
    <s v="Corporate"/>
    <s v="West"/>
    <s v="Electronics"/>
    <s v="Product_A"/>
    <n v="1107"/>
    <n v="9"/>
    <n v="0.13"/>
    <n v="655"/>
    <s v="Card"/>
    <n v="8667.81"/>
    <s v="Sep"/>
    <n v="2024"/>
    <s v="Q3"/>
    <n v="7.5566954051830865E-2"/>
    <n v="1295.19"/>
    <x v="0"/>
    <x v="0"/>
    <s v="Below Avg"/>
    <s v="Profit"/>
    <n v="235"/>
  </r>
  <r>
    <n v="267"/>
    <x v="266"/>
    <n v="1089"/>
    <s v="Customer_142"/>
    <s v="Consumer"/>
    <s v="South"/>
    <s v="Electronics"/>
    <s v="Product_D"/>
    <n v="2696"/>
    <n v="9"/>
    <n v="0.02"/>
    <n v="445"/>
    <s v="Card"/>
    <n v="23778.720000000001"/>
    <s v="Sep"/>
    <n v="2024"/>
    <s v="Q3"/>
    <n v="1.8714211698527085E-2"/>
    <n v="485.28000000000003"/>
    <x v="0"/>
    <x v="0"/>
    <s v="Above Avg"/>
    <s v="Profit"/>
    <n v="53"/>
  </r>
  <r>
    <n v="268"/>
    <x v="267"/>
    <n v="1050"/>
    <s v="Customer_124"/>
    <s v="Corporate"/>
    <s v="West"/>
    <s v="Furniture"/>
    <s v="Product_B"/>
    <n v="3486"/>
    <n v="4"/>
    <n v="0.05"/>
    <n v="1943"/>
    <s v="COD"/>
    <n v="13246.8"/>
    <s v="Sep"/>
    <n v="2024"/>
    <s v="Q3"/>
    <n v="0.14667693329709819"/>
    <n v="697.2"/>
    <x v="0"/>
    <x v="0"/>
    <s v="Above Avg"/>
    <s v="Profit"/>
    <n v="158"/>
  </r>
  <r>
    <n v="269"/>
    <x v="268"/>
    <n v="1036"/>
    <s v="Customer_110"/>
    <s v="Corporate"/>
    <s v="West"/>
    <s v="Electronics"/>
    <s v="Product_A"/>
    <n v="1882"/>
    <n v="3"/>
    <n v="0.24"/>
    <n v="1096"/>
    <s v="COD"/>
    <n v="4290.96"/>
    <s v="Sep"/>
    <n v="2024"/>
    <s v="Q3"/>
    <n v="0.25542069839849357"/>
    <n v="1355.04"/>
    <x v="1"/>
    <x v="0"/>
    <s v="Below Avg"/>
    <s v="Profit"/>
    <n v="342"/>
  </r>
  <r>
    <n v="270"/>
    <x v="269"/>
    <n v="1044"/>
    <s v="Customer_78"/>
    <s v="Corporate"/>
    <s v="North"/>
    <s v="Furniture"/>
    <s v="Product_C"/>
    <n v="4244"/>
    <n v="8"/>
    <n v="0.18"/>
    <n v="1997"/>
    <s v="UPI"/>
    <n v="27840.639999999999"/>
    <s v="Sep"/>
    <n v="2024"/>
    <s v="Q3"/>
    <n v="7.1729672881083201E-2"/>
    <n v="6111.36"/>
    <x v="0"/>
    <x v="0"/>
    <s v="Above Avg"/>
    <s v="Profit"/>
    <n v="33"/>
  </r>
  <r>
    <n v="271"/>
    <x v="270"/>
    <n v="1092"/>
    <s v="Customer_2"/>
    <s v="Consumer"/>
    <s v="East"/>
    <s v="Clothing"/>
    <s v="Product_D"/>
    <n v="2461"/>
    <n v="4"/>
    <n v="7.0000000000000007E-2"/>
    <n v="1327"/>
    <s v="Card"/>
    <n v="9154.92"/>
    <s v="Sep"/>
    <n v="2024"/>
    <s v="Q3"/>
    <n v="0.14494938240858468"/>
    <n v="689.08"/>
    <x v="0"/>
    <x v="0"/>
    <s v="Below Avg"/>
    <s v="Profit"/>
    <n v="228"/>
  </r>
  <r>
    <n v="272"/>
    <x v="271"/>
    <n v="1099"/>
    <s v="Customer_122"/>
    <s v="Corporate"/>
    <s v="South"/>
    <s v="Electronics"/>
    <s v="Product_B"/>
    <n v="4549"/>
    <n v="3"/>
    <n v="0.14000000000000001"/>
    <n v="1353"/>
    <s v="COD"/>
    <n v="11736.42"/>
    <s v="Sep"/>
    <n v="2024"/>
    <s v="Q3"/>
    <n v="0.11528217292837169"/>
    <n v="1910.5800000000002"/>
    <x v="0"/>
    <x v="0"/>
    <s v="Above Avg"/>
    <s v="Profit"/>
    <n v="176"/>
  </r>
  <r>
    <n v="273"/>
    <x v="272"/>
    <n v="1083"/>
    <s v="Customer_4"/>
    <s v="Corporate"/>
    <s v="South"/>
    <s v="Furniture"/>
    <s v="Product_D"/>
    <n v="1134"/>
    <n v="3"/>
    <n v="0.26"/>
    <n v="1911"/>
    <s v="UPI"/>
    <n v="2517.48"/>
    <s v="Sep"/>
    <n v="2024"/>
    <s v="Q3"/>
    <n v="0.75909242575909242"/>
    <n v="884.52"/>
    <x v="1"/>
    <x v="0"/>
    <s v="Below Avg"/>
    <s v="Profit"/>
    <n v="409"/>
  </r>
  <r>
    <n v="274"/>
    <x v="273"/>
    <n v="1081"/>
    <s v="Customer_100"/>
    <s v="Consumer"/>
    <s v="West"/>
    <s v="Electronics"/>
    <s v="Product_C"/>
    <n v="3921"/>
    <n v="3"/>
    <n v="0.03"/>
    <n v="-471"/>
    <s v="COD"/>
    <n v="11410.11"/>
    <s v="Sep"/>
    <n v="2024"/>
    <s v="Q3"/>
    <n v="-4.1279181357585508E-2"/>
    <n v="352.89"/>
    <x v="0"/>
    <x v="0"/>
    <s v="Above Avg"/>
    <s v="Loss"/>
    <n v="182"/>
  </r>
  <r>
    <n v="275"/>
    <x v="274"/>
    <n v="1061"/>
    <s v="Customer_9"/>
    <s v="Consumer"/>
    <s v="North"/>
    <s v="Electronics"/>
    <s v="Product_C"/>
    <n v="3876"/>
    <n v="1"/>
    <n v="0.28999999999999998"/>
    <n v="71"/>
    <s v="UPI"/>
    <n v="2751.96"/>
    <s v="Oct"/>
    <n v="2024"/>
    <s v="Q4"/>
    <n v="2.5799793601651185E-2"/>
    <n v="1124.04"/>
    <x v="1"/>
    <x v="0"/>
    <s v="Below Avg"/>
    <s v="Profit"/>
    <n v="401"/>
  </r>
  <r>
    <n v="276"/>
    <x v="275"/>
    <n v="1014"/>
    <s v="Customer_16"/>
    <s v="Corporate"/>
    <s v="West"/>
    <s v="Furniture"/>
    <s v="Product_B"/>
    <n v="4808"/>
    <n v="5"/>
    <n v="0.04"/>
    <n v="860"/>
    <s v="COD"/>
    <n v="23078.3999999999"/>
    <s v="Oct"/>
    <n v="2024"/>
    <s v="Q4"/>
    <n v="3.7264281752634659E-2"/>
    <n v="961.6"/>
    <x v="0"/>
    <x v="0"/>
    <s v="Above Avg"/>
    <s v="Profit"/>
    <n v="58"/>
  </r>
  <r>
    <n v="277"/>
    <x v="276"/>
    <n v="1078"/>
    <s v="Customer_96"/>
    <s v="Consumer"/>
    <s v="South"/>
    <s v="Furniture"/>
    <s v="Product_B"/>
    <n v="1839"/>
    <n v="2"/>
    <n v="0.09"/>
    <n v="1136"/>
    <s v="COD"/>
    <n v="3346.98"/>
    <s v="Oct"/>
    <n v="2024"/>
    <s v="Q4"/>
    <n v="0.33941045360294952"/>
    <n v="331.02"/>
    <x v="1"/>
    <x v="0"/>
    <s v="Below Avg"/>
    <s v="Profit"/>
    <n v="384"/>
  </r>
  <r>
    <n v="278"/>
    <x v="277"/>
    <n v="1023"/>
    <s v="Customer_160"/>
    <s v="Consumer"/>
    <s v="West"/>
    <s v="Furniture"/>
    <s v="Product_D"/>
    <n v="535"/>
    <n v="7"/>
    <n v="0.05"/>
    <n v="-213"/>
    <s v="COD"/>
    <n v="3557.75"/>
    <s v="Oct"/>
    <n v="2024"/>
    <s v="Q4"/>
    <n v="-5.9869299416766213E-2"/>
    <n v="187.25"/>
    <x v="1"/>
    <x v="0"/>
    <s v="Below Avg"/>
    <s v="Loss"/>
    <n v="374"/>
  </r>
  <r>
    <n v="279"/>
    <x v="278"/>
    <n v="1062"/>
    <s v="Customer_27"/>
    <s v="Corporate"/>
    <s v="North"/>
    <s v="Electronics"/>
    <s v="Product_B"/>
    <n v="592"/>
    <n v="4"/>
    <n v="0.14000000000000001"/>
    <n v="549"/>
    <s v="COD"/>
    <n v="2036.48"/>
    <s v="Oct"/>
    <n v="2024"/>
    <s v="Q4"/>
    <n v="0.26958280955373981"/>
    <n v="331.52000000000004"/>
    <x v="1"/>
    <x v="0"/>
    <s v="Below Avg"/>
    <s v="Profit"/>
    <n v="428"/>
  </r>
  <r>
    <n v="280"/>
    <x v="279"/>
    <n v="1028"/>
    <s v="Customer_15"/>
    <s v="Consumer"/>
    <s v="West"/>
    <s v="Electronics"/>
    <s v="Product_A"/>
    <n v="4041"/>
    <n v="2"/>
    <n v="0.09"/>
    <n v="-358"/>
    <s v="UPI"/>
    <n v="7354.62"/>
    <s v="Oct"/>
    <n v="2024"/>
    <s v="Q4"/>
    <n v="-4.8676886093367164E-2"/>
    <n v="727.38"/>
    <x v="0"/>
    <x v="0"/>
    <s v="Below Avg"/>
    <s v="Loss"/>
    <n v="267"/>
  </r>
  <r>
    <n v="281"/>
    <x v="280"/>
    <n v="1080"/>
    <s v="Customer_68"/>
    <s v="Consumer"/>
    <s v="North"/>
    <s v="Furniture"/>
    <s v="Product_D"/>
    <n v="2216"/>
    <n v="8"/>
    <n v="0.3"/>
    <n v="618"/>
    <s v="COD"/>
    <n v="12409.5999999999"/>
    <s v="Oct"/>
    <n v="2024"/>
    <s v="Q4"/>
    <n v="4.9800154718927681E-2"/>
    <n v="5318.4"/>
    <x v="0"/>
    <x v="0"/>
    <s v="Above Avg"/>
    <s v="Profit"/>
    <n v="164"/>
  </r>
  <r>
    <n v="282"/>
    <x v="281"/>
    <n v="1024"/>
    <s v="Customer_25"/>
    <s v="Consumer"/>
    <s v="North"/>
    <s v="Furniture"/>
    <s v="Product_A"/>
    <n v="2168"/>
    <n v="8"/>
    <n v="0"/>
    <n v="853"/>
    <s v="Card"/>
    <n v="17344"/>
    <s v="Oct"/>
    <n v="2024"/>
    <s v="Q4"/>
    <n v="4.9181273062730631E-2"/>
    <n v="0"/>
    <x v="0"/>
    <x v="0"/>
    <s v="Above Avg"/>
    <s v="Profit"/>
    <n v="101"/>
  </r>
  <r>
    <n v="283"/>
    <x v="282"/>
    <n v="1015"/>
    <s v="Customer_15"/>
    <s v="Consumer"/>
    <s v="West"/>
    <s v="Clothing"/>
    <s v="Product_D"/>
    <n v="1828"/>
    <n v="1"/>
    <n v="0.1"/>
    <n v="892"/>
    <s v="COD"/>
    <n v="1645.2"/>
    <s v="Oct"/>
    <n v="2024"/>
    <s v="Q4"/>
    <n v="0.54218332117675661"/>
    <n v="182.8"/>
    <x v="2"/>
    <x v="0"/>
    <s v="Below Avg"/>
    <s v="Profit"/>
    <n v="450"/>
  </r>
  <r>
    <n v="284"/>
    <x v="283"/>
    <n v="1049"/>
    <s v="Customer_12"/>
    <s v="Corporate"/>
    <s v="South"/>
    <s v="Electronics"/>
    <s v="Product_B"/>
    <n v="2743"/>
    <n v="5"/>
    <n v="0.18"/>
    <n v="-288"/>
    <s v="COD"/>
    <n v="11246.3"/>
    <s v="Oct"/>
    <n v="2024"/>
    <s v="Q4"/>
    <n v="-2.5608422325564855E-2"/>
    <n v="2468.6999999999998"/>
    <x v="0"/>
    <x v="0"/>
    <s v="Above Avg"/>
    <s v="Loss"/>
    <n v="187"/>
  </r>
  <r>
    <n v="285"/>
    <x v="284"/>
    <n v="1080"/>
    <s v="Customer_71"/>
    <s v="Corporate"/>
    <s v="North"/>
    <s v="Clothing"/>
    <s v="Product_C"/>
    <n v="3747"/>
    <n v="2"/>
    <n v="0.1"/>
    <n v="-334"/>
    <s v="Card"/>
    <n v="6744.6"/>
    <s v="Oct"/>
    <n v="2024"/>
    <s v="Q4"/>
    <n v="-4.9521098360169616E-2"/>
    <n v="749.40000000000009"/>
    <x v="0"/>
    <x v="0"/>
    <s v="Below Avg"/>
    <s v="Loss"/>
    <n v="281"/>
  </r>
  <r>
    <n v="286"/>
    <x v="285"/>
    <n v="1084"/>
    <s v="Customer_152"/>
    <s v="Corporate"/>
    <s v="South"/>
    <s v="Electronics"/>
    <s v="Product_C"/>
    <n v="3612"/>
    <n v="9"/>
    <n v="0.14000000000000001"/>
    <n v="74"/>
    <s v="COD"/>
    <n v="27956.880000000001"/>
    <s v="Oct"/>
    <n v="2024"/>
    <s v="Q4"/>
    <n v="2.6469334203244425E-3"/>
    <n v="4551.1200000000008"/>
    <x v="0"/>
    <x v="0"/>
    <s v="Above Avg"/>
    <s v="Profit"/>
    <n v="31"/>
  </r>
  <r>
    <n v="287"/>
    <x v="286"/>
    <n v="1090"/>
    <s v="Customer_70"/>
    <s v="Corporate"/>
    <s v="North"/>
    <s v="Electronics"/>
    <s v="Product_D"/>
    <n v="1459"/>
    <n v="2"/>
    <n v="0.13"/>
    <n v="-190"/>
    <s v="UPI"/>
    <n v="2538.66"/>
    <s v="Oct"/>
    <n v="2024"/>
    <s v="Q4"/>
    <n v="-7.4842633515319112E-2"/>
    <n v="379.34000000000003"/>
    <x v="1"/>
    <x v="0"/>
    <s v="Below Avg"/>
    <s v="Loss"/>
    <n v="408"/>
  </r>
  <r>
    <n v="288"/>
    <x v="287"/>
    <n v="1004"/>
    <s v="Customer_112"/>
    <s v="Corporate"/>
    <s v="South"/>
    <s v="Electronics"/>
    <s v="Product_A"/>
    <n v="2607"/>
    <n v="7"/>
    <n v="0.03"/>
    <n v="431"/>
    <s v="UPI"/>
    <n v="17701.53"/>
    <s v="Oct"/>
    <n v="2024"/>
    <s v="Q4"/>
    <n v="2.4348177812878322E-2"/>
    <n v="547.47"/>
    <x v="0"/>
    <x v="0"/>
    <s v="Above Avg"/>
    <s v="Profit"/>
    <n v="93"/>
  </r>
  <r>
    <n v="289"/>
    <x v="288"/>
    <n v="1021"/>
    <s v="Customer_169"/>
    <s v="Consumer"/>
    <s v="South"/>
    <s v="Furniture"/>
    <s v="Product_C"/>
    <n v="3261"/>
    <n v="2"/>
    <n v="0.19"/>
    <n v="1891"/>
    <s v="COD"/>
    <n v="5282.82"/>
    <s v="Oct"/>
    <n v="2024"/>
    <s v="Q4"/>
    <n v="0.35795276007889726"/>
    <n v="1239.18"/>
    <x v="0"/>
    <x v="0"/>
    <s v="Below Avg"/>
    <s v="Profit"/>
    <n v="317"/>
  </r>
  <r>
    <n v="290"/>
    <x v="289"/>
    <n v="1032"/>
    <s v="Customer_60"/>
    <s v="Corporate"/>
    <s v="West"/>
    <s v="Furniture"/>
    <s v="Product_D"/>
    <n v="3495"/>
    <n v="2"/>
    <n v="0.25"/>
    <n v="1055"/>
    <s v="UPI"/>
    <n v="5242.5"/>
    <s v="Oct"/>
    <n v="2024"/>
    <s v="Q4"/>
    <n v="0.20123986647591799"/>
    <n v="1747.5"/>
    <x v="0"/>
    <x v="0"/>
    <s v="Below Avg"/>
    <s v="Profit"/>
    <n v="318"/>
  </r>
  <r>
    <n v="291"/>
    <x v="290"/>
    <n v="1039"/>
    <s v="Customer_31"/>
    <s v="Consumer"/>
    <s v="West"/>
    <s v="Furniture"/>
    <s v="Product_D"/>
    <n v="3159"/>
    <n v="1"/>
    <n v="0.16"/>
    <n v="528"/>
    <s v="COD"/>
    <n v="2653.56"/>
    <s v="Oct"/>
    <n v="2024"/>
    <s v="Q4"/>
    <n v="0.19897797675575454"/>
    <n v="505.44"/>
    <x v="1"/>
    <x v="0"/>
    <s v="Below Avg"/>
    <s v="Profit"/>
    <n v="406"/>
  </r>
  <r>
    <n v="292"/>
    <x v="291"/>
    <n v="1001"/>
    <s v="Customer_149"/>
    <s v="Corporate"/>
    <s v="South"/>
    <s v="Furniture"/>
    <s v="Product_C"/>
    <n v="2792"/>
    <n v="1"/>
    <n v="0.04"/>
    <n v="1424"/>
    <s v="Card"/>
    <n v="2680.3199999999902"/>
    <s v="Oct"/>
    <n v="2024"/>
    <s v="Q4"/>
    <n v="0.53127984718242793"/>
    <n v="111.68"/>
    <x v="1"/>
    <x v="0"/>
    <s v="Below Avg"/>
    <s v="Profit"/>
    <n v="404"/>
  </r>
  <r>
    <n v="293"/>
    <x v="292"/>
    <n v="1098"/>
    <s v="Customer_60"/>
    <s v="Corporate"/>
    <s v="West"/>
    <s v="Furniture"/>
    <s v="Product_C"/>
    <n v="462"/>
    <n v="9"/>
    <n v="0.14000000000000001"/>
    <n v="448"/>
    <s v="UPI"/>
    <n v="3575.88"/>
    <s v="Oct"/>
    <n v="2024"/>
    <s v="Q4"/>
    <n v="0.12528384621407876"/>
    <n v="582.12"/>
    <x v="1"/>
    <x v="0"/>
    <s v="Below Avg"/>
    <s v="Profit"/>
    <n v="372"/>
  </r>
  <r>
    <n v="294"/>
    <x v="293"/>
    <n v="1082"/>
    <s v="Customer_75"/>
    <s v="Corporate"/>
    <s v="North"/>
    <s v="Electronics"/>
    <s v="Product_A"/>
    <n v="373"/>
    <n v="2"/>
    <n v="0"/>
    <n v="509"/>
    <s v="COD"/>
    <n v="746"/>
    <s v="Oct"/>
    <n v="2024"/>
    <s v="Q4"/>
    <n v="0.68230563002680966"/>
    <n v="0"/>
    <x v="2"/>
    <x v="0"/>
    <s v="Below Avg"/>
    <s v="Profit"/>
    <n v="483"/>
  </r>
  <r>
    <n v="295"/>
    <x v="294"/>
    <n v="1090"/>
    <s v="Customer_14"/>
    <s v="Corporate"/>
    <s v="South"/>
    <s v="Clothing"/>
    <s v="Product_B"/>
    <n v="4106"/>
    <n v="3"/>
    <n v="0.27"/>
    <n v="1883"/>
    <s v="UPI"/>
    <n v="8992.14"/>
    <s v="Oct"/>
    <n v="2024"/>
    <s v="Q4"/>
    <n v="0.20940510267856152"/>
    <n v="3325.86"/>
    <x v="0"/>
    <x v="0"/>
    <s v="Below Avg"/>
    <s v="Profit"/>
    <n v="231"/>
  </r>
  <r>
    <n v="296"/>
    <x v="295"/>
    <n v="1035"/>
    <s v="Customer_102"/>
    <s v="Corporate"/>
    <s v="East"/>
    <s v="Clothing"/>
    <s v="Product_A"/>
    <n v="3188"/>
    <n v="9"/>
    <n v="7.0000000000000007E-2"/>
    <n v="956"/>
    <s v="COD"/>
    <n v="26683.559999999899"/>
    <s v="Oct"/>
    <n v="2024"/>
    <s v="Q4"/>
    <n v="3.5827303403294146E-2"/>
    <n v="2008.4400000000003"/>
    <x v="0"/>
    <x v="0"/>
    <s v="Above Avg"/>
    <s v="Profit"/>
    <n v="35"/>
  </r>
  <r>
    <n v="297"/>
    <x v="296"/>
    <n v="1058"/>
    <s v="Customer_82"/>
    <s v="Consumer"/>
    <s v="South"/>
    <s v="Clothing"/>
    <s v="Product_D"/>
    <n v="3427"/>
    <n v="6"/>
    <n v="0.27"/>
    <n v="803"/>
    <s v="Card"/>
    <n v="15010.26"/>
    <s v="Oct"/>
    <n v="2024"/>
    <s v="Q4"/>
    <n v="5.3496741562104856E-2"/>
    <n v="5551.7400000000007"/>
    <x v="0"/>
    <x v="0"/>
    <s v="Above Avg"/>
    <s v="Profit"/>
    <n v="138"/>
  </r>
  <r>
    <n v="298"/>
    <x v="297"/>
    <n v="1038"/>
    <s v="Customer_14"/>
    <s v="Consumer"/>
    <s v="North"/>
    <s v="Clothing"/>
    <s v="Product_D"/>
    <n v="227"/>
    <n v="6"/>
    <n v="0.18"/>
    <n v="1807"/>
    <s v="COD"/>
    <n v="1116.8399999999999"/>
    <s v="Oct"/>
    <n v="2024"/>
    <s v="Q4"/>
    <n v="1.6179578095340426"/>
    <n v="245.16"/>
    <x v="2"/>
    <x v="0"/>
    <s v="Below Avg"/>
    <s v="Profit"/>
    <n v="475"/>
  </r>
  <r>
    <n v="299"/>
    <x v="298"/>
    <n v="1001"/>
    <s v="Customer_152"/>
    <s v="Corporate"/>
    <s v="North"/>
    <s v="Furniture"/>
    <s v="Product_B"/>
    <n v="3346"/>
    <n v="9"/>
    <n v="0.28999999999999998"/>
    <n v="784"/>
    <s v="UPI"/>
    <n v="21380.94"/>
    <s v="Oct"/>
    <n v="2024"/>
    <s v="Q4"/>
    <n v="3.6668172680901778E-2"/>
    <n v="8733.06"/>
    <x v="0"/>
    <x v="0"/>
    <s v="Above Avg"/>
    <s v="Profit"/>
    <n v="72"/>
  </r>
  <r>
    <n v="300"/>
    <x v="299"/>
    <n v="1052"/>
    <s v="Customer_25"/>
    <s v="Corporate"/>
    <s v="North"/>
    <s v="Clothing"/>
    <s v="Product_A"/>
    <n v="1300"/>
    <n v="7"/>
    <n v="0.25"/>
    <n v="-190"/>
    <s v="UPI"/>
    <n v="6825"/>
    <s v="Oct"/>
    <n v="2024"/>
    <s v="Q4"/>
    <n v="-2.7838827838827841E-2"/>
    <n v="2275"/>
    <x v="0"/>
    <x v="0"/>
    <s v="Below Avg"/>
    <s v="Loss"/>
    <n v="276"/>
  </r>
  <r>
    <n v="301"/>
    <x v="300"/>
    <n v="1017"/>
    <s v="Customer_109"/>
    <s v="Corporate"/>
    <s v="North"/>
    <s v="Clothing"/>
    <s v="Product_A"/>
    <n v="3165"/>
    <n v="3"/>
    <n v="0"/>
    <n v="286"/>
    <s v="Card"/>
    <n v="9495"/>
    <s v="Oct"/>
    <n v="2024"/>
    <s v="Q4"/>
    <n v="3.0121116377040548E-2"/>
    <n v="0"/>
    <x v="0"/>
    <x v="0"/>
    <s v="Below Avg"/>
    <s v="Profit"/>
    <n v="216"/>
  </r>
  <r>
    <n v="302"/>
    <x v="301"/>
    <n v="1045"/>
    <s v="Customer_108"/>
    <s v="Corporate"/>
    <s v="South"/>
    <s v="Clothing"/>
    <s v="Product_A"/>
    <n v="4359"/>
    <n v="9"/>
    <n v="0"/>
    <n v="198"/>
    <s v="Card"/>
    <n v="39231"/>
    <s v="Oct"/>
    <n v="2024"/>
    <s v="Q4"/>
    <n v="5.0470291351227348E-3"/>
    <n v="0"/>
    <x v="0"/>
    <x v="0"/>
    <s v="Above Avg"/>
    <s v="Profit"/>
    <n v="3"/>
  </r>
  <r>
    <n v="303"/>
    <x v="302"/>
    <n v="1022"/>
    <s v="Customer_156"/>
    <s v="Consumer"/>
    <s v="West"/>
    <s v="Electronics"/>
    <s v="Product_C"/>
    <n v="4615"/>
    <n v="4"/>
    <n v="0.22"/>
    <n v="247"/>
    <s v="COD"/>
    <n v="14398.8"/>
    <s v="Oct"/>
    <n v="2024"/>
    <s v="Q4"/>
    <n v="1.7154207295052366E-2"/>
    <n v="4061.2"/>
    <x v="0"/>
    <x v="0"/>
    <s v="Above Avg"/>
    <s v="Profit"/>
    <n v="145"/>
  </r>
  <r>
    <n v="304"/>
    <x v="303"/>
    <n v="1053"/>
    <s v="Customer_88"/>
    <s v="Consumer"/>
    <s v="North"/>
    <s v="Clothing"/>
    <s v="Product_D"/>
    <n v="3662"/>
    <n v="3"/>
    <n v="0.16"/>
    <n v="1555"/>
    <s v="COD"/>
    <n v="9228.24"/>
    <s v="Oct"/>
    <n v="2024"/>
    <s v="Q4"/>
    <n v="0.16850450356731078"/>
    <n v="1757.76"/>
    <x v="0"/>
    <x v="1"/>
    <s v="Below Avg"/>
    <s v="Profit"/>
    <n v="226"/>
  </r>
  <r>
    <n v="305"/>
    <x v="304"/>
    <n v="1089"/>
    <s v="Customer_18"/>
    <s v="Corporate"/>
    <s v="South"/>
    <s v="Electronics"/>
    <s v="Product_A"/>
    <n v="170"/>
    <n v="9"/>
    <n v="0.23"/>
    <n v="291"/>
    <s v="COD"/>
    <n v="1178.0999999999999"/>
    <s v="Oct"/>
    <n v="2024"/>
    <s v="Q4"/>
    <n v="0.24700789406671761"/>
    <n v="351.90000000000003"/>
    <x v="2"/>
    <x v="0"/>
    <s v="Below Avg"/>
    <s v="Profit"/>
    <n v="470"/>
  </r>
  <r>
    <n v="306"/>
    <x v="305"/>
    <n v="1074"/>
    <s v="Customer_57"/>
    <s v="Corporate"/>
    <s v="South"/>
    <s v="Electronics"/>
    <s v="Product_C"/>
    <n v="4005"/>
    <n v="3"/>
    <n v="0.18"/>
    <n v="940"/>
    <s v="COD"/>
    <n v="9852.2999999999993"/>
    <s v="Nov"/>
    <n v="2024"/>
    <s v="Q4"/>
    <n v="9.5409193792312469E-2"/>
    <n v="2162.6999999999998"/>
    <x v="0"/>
    <x v="0"/>
    <s v="Below Avg"/>
    <s v="Profit"/>
    <n v="206"/>
  </r>
  <r>
    <n v="307"/>
    <x v="306"/>
    <n v="1000"/>
    <s v="Customer_98"/>
    <s v="Consumer"/>
    <s v="South"/>
    <s v="Electronics"/>
    <s v="Product_C"/>
    <n v="568"/>
    <n v="1"/>
    <n v="7.0000000000000007E-2"/>
    <n v="1894"/>
    <s v="UPI"/>
    <n v="528.24"/>
    <s v="Nov"/>
    <n v="2024"/>
    <s v="Q4"/>
    <n v="3.585491443283356"/>
    <n v="39.760000000000005"/>
    <x v="2"/>
    <x v="0"/>
    <s v="Below Avg"/>
    <s v="Profit"/>
    <n v="490"/>
  </r>
  <r>
    <n v="308"/>
    <x v="307"/>
    <n v="1035"/>
    <s v="Customer_170"/>
    <s v="Consumer"/>
    <s v="North"/>
    <s v="Clothing"/>
    <s v="Product_A"/>
    <n v="3660"/>
    <n v="3"/>
    <n v="0.24"/>
    <n v="1824"/>
    <s v="COD"/>
    <n v="8344.7999999999993"/>
    <s v="Nov"/>
    <n v="2024"/>
    <s v="Q4"/>
    <n v="0.21857923497267762"/>
    <n v="2635.2"/>
    <x v="0"/>
    <x v="0"/>
    <s v="Below Avg"/>
    <s v="Profit"/>
    <n v="241"/>
  </r>
  <r>
    <n v="309"/>
    <x v="308"/>
    <n v="1083"/>
    <s v="Customer_67"/>
    <s v="Corporate"/>
    <s v="East"/>
    <s v="Furniture"/>
    <s v="Product_D"/>
    <n v="2023"/>
    <n v="3"/>
    <n v="0.01"/>
    <n v="356"/>
    <s v="Card"/>
    <n v="6008.31"/>
    <s v="Nov"/>
    <n v="2024"/>
    <s v="Q4"/>
    <n v="5.9251270323934679E-2"/>
    <n v="60.69"/>
    <x v="0"/>
    <x v="0"/>
    <s v="Below Avg"/>
    <s v="Profit"/>
    <n v="297"/>
  </r>
  <r>
    <n v="310"/>
    <x v="309"/>
    <n v="1094"/>
    <s v="Customer_140"/>
    <s v="Consumer"/>
    <s v="North"/>
    <s v="Clothing"/>
    <s v="Product_B"/>
    <n v="3079"/>
    <n v="5"/>
    <n v="0.24"/>
    <n v="1522"/>
    <s v="UPI"/>
    <n v="11700.2"/>
    <s v="Nov"/>
    <n v="2024"/>
    <s v="Q4"/>
    <n v="0.13008324644023178"/>
    <n v="3694.7999999999997"/>
    <x v="0"/>
    <x v="0"/>
    <s v="Above Avg"/>
    <s v="Profit"/>
    <n v="178"/>
  </r>
  <r>
    <n v="311"/>
    <x v="310"/>
    <n v="1071"/>
    <s v="Customer_164"/>
    <s v="Corporate"/>
    <s v="South"/>
    <s v="Furniture"/>
    <s v="Product_B"/>
    <n v="4122"/>
    <n v="9"/>
    <n v="0.2"/>
    <n v="-297"/>
    <s v="Card"/>
    <n v="29678.400000000001"/>
    <s v="Nov"/>
    <n v="2024"/>
    <s v="Q4"/>
    <n v="-1.0007278020378457E-2"/>
    <n v="7419.6"/>
    <x v="0"/>
    <x v="0"/>
    <s v="Above Avg"/>
    <s v="Loss"/>
    <n v="25"/>
  </r>
  <r>
    <n v="312"/>
    <x v="311"/>
    <n v="1039"/>
    <s v="Customer_69"/>
    <s v="Corporate"/>
    <s v="North"/>
    <s v="Clothing"/>
    <s v="Product_A"/>
    <n v="4319"/>
    <n v="7"/>
    <n v="0.2"/>
    <n v="1668"/>
    <s v="UPI"/>
    <n v="24186.400000000001"/>
    <s v="Nov"/>
    <n v="2024"/>
    <s v="Q4"/>
    <n v="6.896437667449476E-2"/>
    <n v="6046.6"/>
    <x v="0"/>
    <x v="0"/>
    <s v="Above Avg"/>
    <s v="Profit"/>
    <n v="50"/>
  </r>
  <r>
    <n v="313"/>
    <x v="312"/>
    <n v="1087"/>
    <s v="Customer_83"/>
    <s v="Consumer"/>
    <s v="West"/>
    <s v="Clothing"/>
    <s v="Product_D"/>
    <n v="4618"/>
    <n v="3"/>
    <n v="0.01"/>
    <n v="1802"/>
    <s v="COD"/>
    <n v="13715.46"/>
    <s v="Nov"/>
    <n v="2024"/>
    <s v="Q4"/>
    <n v="0.13138458352836874"/>
    <n v="138.54"/>
    <x v="0"/>
    <x v="0"/>
    <s v="Above Avg"/>
    <s v="Profit"/>
    <n v="150"/>
  </r>
  <r>
    <n v="314"/>
    <x v="313"/>
    <n v="1083"/>
    <s v="Customer_76"/>
    <s v="Corporate"/>
    <s v="East"/>
    <s v="Furniture"/>
    <s v="Product_B"/>
    <n v="666"/>
    <n v="3"/>
    <n v="0.06"/>
    <n v="-107"/>
    <s v="UPI"/>
    <n v="1878.12"/>
    <s v="Nov"/>
    <n v="2024"/>
    <s v="Q4"/>
    <n v="-5.6971865482503783E-2"/>
    <n v="119.88"/>
    <x v="2"/>
    <x v="0"/>
    <s v="Below Avg"/>
    <s v="Loss"/>
    <n v="437"/>
  </r>
  <r>
    <n v="315"/>
    <x v="314"/>
    <n v="1078"/>
    <s v="Customer_91"/>
    <s v="Corporate"/>
    <s v="East"/>
    <s v="Electronics"/>
    <s v="Product_D"/>
    <n v="3227"/>
    <n v="4"/>
    <n v="0.15"/>
    <n v="200"/>
    <s v="COD"/>
    <n v="10971.8"/>
    <s v="Nov"/>
    <n v="2024"/>
    <s v="Q4"/>
    <n v="1.8228549554311965E-2"/>
    <n v="1936.1999999999998"/>
    <x v="0"/>
    <x v="0"/>
    <s v="Above Avg"/>
    <s v="Profit"/>
    <n v="193"/>
  </r>
  <r>
    <n v="316"/>
    <x v="315"/>
    <n v="1029"/>
    <s v="Customer_17"/>
    <s v="Corporate"/>
    <s v="North"/>
    <s v="Electronics"/>
    <s v="Product_B"/>
    <n v="4116"/>
    <n v="7"/>
    <n v="0.13"/>
    <n v="1791"/>
    <s v="UPI"/>
    <n v="25066.44"/>
    <s v="Nov"/>
    <n v="2024"/>
    <s v="Q4"/>
    <n v="7.1450114176564369E-2"/>
    <n v="3745.56"/>
    <x v="0"/>
    <x v="0"/>
    <s v="Above Avg"/>
    <s v="Profit"/>
    <n v="41"/>
  </r>
  <r>
    <n v="317"/>
    <x v="316"/>
    <n v="1019"/>
    <s v="Customer_171"/>
    <s v="Corporate"/>
    <s v="East"/>
    <s v="Electronics"/>
    <s v="Product_C"/>
    <n v="1265"/>
    <n v="4"/>
    <n v="0.01"/>
    <n v="458"/>
    <s v="Card"/>
    <n v="5009.3999999999996"/>
    <s v="Nov"/>
    <n v="2024"/>
    <s v="Q4"/>
    <n v="9.1428115143530164E-2"/>
    <n v="50.6"/>
    <x v="0"/>
    <x v="0"/>
    <s v="Below Avg"/>
    <s v="Profit"/>
    <n v="322"/>
  </r>
  <r>
    <n v="318"/>
    <x v="317"/>
    <n v="1037"/>
    <s v="Customer_92"/>
    <s v="Corporate"/>
    <s v="East"/>
    <s v="Furniture"/>
    <s v="Product_D"/>
    <n v="4336"/>
    <n v="9"/>
    <n v="0.1"/>
    <n v="-99"/>
    <s v="COD"/>
    <n v="35121.599999999999"/>
    <s v="Nov"/>
    <n v="2024"/>
    <s v="Q4"/>
    <n v="-2.8187781877818778E-3"/>
    <n v="3902.4"/>
    <x v="0"/>
    <x v="0"/>
    <s v="Above Avg"/>
    <s v="Loss"/>
    <n v="10"/>
  </r>
  <r>
    <n v="319"/>
    <x v="318"/>
    <n v="1001"/>
    <s v="Customer_40"/>
    <s v="Corporate"/>
    <s v="South"/>
    <s v="Clothing"/>
    <s v="Product_B"/>
    <n v="1915"/>
    <n v="3"/>
    <n v="0.28999999999999998"/>
    <n v="1599"/>
    <s v="Card"/>
    <n v="4078.95"/>
    <s v="Nov"/>
    <n v="2024"/>
    <s v="Q4"/>
    <n v="0.39201265031441918"/>
    <n v="1666.05"/>
    <x v="1"/>
    <x v="0"/>
    <s v="Below Avg"/>
    <s v="Profit"/>
    <n v="349"/>
  </r>
  <r>
    <n v="320"/>
    <x v="319"/>
    <n v="1005"/>
    <s v="Customer_22"/>
    <s v="Corporate"/>
    <s v="South"/>
    <s v="Clothing"/>
    <s v="Product_A"/>
    <n v="4067"/>
    <n v="7"/>
    <n v="0.09"/>
    <n v="1720"/>
    <s v="UPI"/>
    <n v="25906.79"/>
    <s v="Nov"/>
    <n v="2024"/>
    <s v="Q4"/>
    <n v="6.6391860975443112E-2"/>
    <n v="2562.21"/>
    <x v="0"/>
    <x v="0"/>
    <s v="Above Avg"/>
    <s v="Profit"/>
    <n v="40"/>
  </r>
  <r>
    <n v="321"/>
    <x v="320"/>
    <n v="1081"/>
    <s v="Customer_192"/>
    <s v="Corporate"/>
    <s v="East"/>
    <s v="Furniture"/>
    <s v="Product_D"/>
    <n v="240"/>
    <n v="9"/>
    <n v="0.19"/>
    <n v="271"/>
    <s v="Card"/>
    <n v="1749.6"/>
    <s v="Nov"/>
    <n v="2024"/>
    <s v="Q4"/>
    <n v="0.15489254686785553"/>
    <n v="410.4"/>
    <x v="2"/>
    <x v="0"/>
    <s v="Below Avg"/>
    <s v="Profit"/>
    <n v="443"/>
  </r>
  <r>
    <n v="322"/>
    <x v="321"/>
    <n v="1035"/>
    <s v="Customer_138"/>
    <s v="Consumer"/>
    <s v="North"/>
    <s v="Electronics"/>
    <s v="Product_D"/>
    <n v="3410"/>
    <n v="5"/>
    <n v="0.2"/>
    <n v="1549"/>
    <s v="Card"/>
    <n v="13640"/>
    <s v="Nov"/>
    <n v="2024"/>
    <s v="Q4"/>
    <n v="0.11356304985337243"/>
    <n v="3410"/>
    <x v="0"/>
    <x v="0"/>
    <s v="Above Avg"/>
    <s v="Profit"/>
    <n v="151"/>
  </r>
  <r>
    <n v="323"/>
    <x v="322"/>
    <n v="1077"/>
    <s v="Customer_105"/>
    <s v="Consumer"/>
    <s v="East"/>
    <s v="Clothing"/>
    <s v="Product_D"/>
    <n v="601"/>
    <n v="4"/>
    <n v="0.19"/>
    <n v="-310"/>
    <s v="COD"/>
    <n v="1947.24"/>
    <s v="Nov"/>
    <n v="2024"/>
    <s v="Q4"/>
    <n v="-0.15919968776319304"/>
    <n v="456.76"/>
    <x v="2"/>
    <x v="0"/>
    <s v="Below Avg"/>
    <s v="Loss"/>
    <n v="433"/>
  </r>
  <r>
    <n v="324"/>
    <x v="323"/>
    <n v="1025"/>
    <s v="Customer_134"/>
    <s v="Corporate"/>
    <s v="South"/>
    <s v="Furniture"/>
    <s v="Product_B"/>
    <n v="1554"/>
    <n v="2"/>
    <n v="0.09"/>
    <n v="1816"/>
    <s v="COD"/>
    <n v="2828.28"/>
    <s v="Nov"/>
    <n v="2024"/>
    <s v="Q4"/>
    <n v="0.64208635637207057"/>
    <n v="279.71999999999997"/>
    <x v="1"/>
    <x v="0"/>
    <s v="Below Avg"/>
    <s v="Profit"/>
    <n v="398"/>
  </r>
  <r>
    <n v="325"/>
    <x v="324"/>
    <n v="1097"/>
    <s v="Customer_17"/>
    <s v="Consumer"/>
    <s v="South"/>
    <s v="Furniture"/>
    <s v="Product_C"/>
    <n v="4379"/>
    <n v="5"/>
    <n v="0.17"/>
    <n v="884"/>
    <s v="UPI"/>
    <n v="18172.849999999999"/>
    <s v="Nov"/>
    <n v="2024"/>
    <s v="Q4"/>
    <n v="4.8643993649867802E-2"/>
    <n v="3722.15"/>
    <x v="0"/>
    <x v="0"/>
    <s v="Above Avg"/>
    <s v="Profit"/>
    <n v="90"/>
  </r>
  <r>
    <n v="326"/>
    <x v="325"/>
    <n v="1093"/>
    <s v="Customer_76"/>
    <s v="Corporate"/>
    <s v="East"/>
    <s v="Clothing"/>
    <s v="Product_C"/>
    <n v="635"/>
    <n v="3"/>
    <n v="0.21"/>
    <n v="895"/>
    <s v="Card"/>
    <n v="1504.95"/>
    <s v="Nov"/>
    <n v="2024"/>
    <s v="Q4"/>
    <n v="0.59470414299478391"/>
    <n v="400.05"/>
    <x v="2"/>
    <x v="0"/>
    <s v="Below Avg"/>
    <s v="Profit"/>
    <n v="457"/>
  </r>
  <r>
    <n v="327"/>
    <x v="326"/>
    <n v="1070"/>
    <s v="Customer_191"/>
    <s v="Consumer"/>
    <s v="East"/>
    <s v="Furniture"/>
    <s v="Product_B"/>
    <n v="2260"/>
    <n v="3"/>
    <n v="0.11"/>
    <n v="1691"/>
    <s v="UPI"/>
    <n v="6034.2"/>
    <s v="Nov"/>
    <n v="2024"/>
    <s v="Q4"/>
    <n v="0.28023598820058998"/>
    <n v="745.8"/>
    <x v="0"/>
    <x v="0"/>
    <s v="Below Avg"/>
    <s v="Profit"/>
    <n v="295"/>
  </r>
  <r>
    <n v="328"/>
    <x v="327"/>
    <n v="1058"/>
    <s v="Customer_198"/>
    <s v="Consumer"/>
    <s v="West"/>
    <s v="Furniture"/>
    <s v="Product_C"/>
    <n v="4341"/>
    <n v="7"/>
    <n v="0.08"/>
    <n v="-164"/>
    <s v="COD"/>
    <n v="27956.04"/>
    <s v="Nov"/>
    <n v="2024"/>
    <s v="Q4"/>
    <n v="-5.8663530314021581E-3"/>
    <n v="2430.96"/>
    <x v="0"/>
    <x v="0"/>
    <s v="Above Avg"/>
    <s v="Loss"/>
    <n v="32"/>
  </r>
  <r>
    <n v="329"/>
    <x v="328"/>
    <n v="1029"/>
    <s v="Customer_178"/>
    <s v="Consumer"/>
    <s v="West"/>
    <s v="Electronics"/>
    <s v="Product_C"/>
    <n v="2929"/>
    <n v="6"/>
    <n v="0.08"/>
    <n v="122"/>
    <s v="COD"/>
    <n v="16168.08"/>
    <s v="Nov"/>
    <n v="2024"/>
    <s v="Q4"/>
    <n v="7.5457320844528235E-3"/>
    <n v="1405.92"/>
    <x v="0"/>
    <x v="0"/>
    <s v="Above Avg"/>
    <s v="Profit"/>
    <n v="123"/>
  </r>
  <r>
    <n v="330"/>
    <x v="329"/>
    <n v="1081"/>
    <s v="Customer_80"/>
    <s v="Corporate"/>
    <s v="North"/>
    <s v="Furniture"/>
    <s v="Product_A"/>
    <n v="4483"/>
    <n v="3"/>
    <n v="0.28000000000000003"/>
    <n v="1527"/>
    <s v="Card"/>
    <n v="9683.2799999999897"/>
    <s v="Nov"/>
    <n v="2024"/>
    <s v="Q4"/>
    <n v="0.15769450021067258"/>
    <n v="3765.7200000000003"/>
    <x v="0"/>
    <x v="0"/>
    <s v="Below Avg"/>
    <s v="Profit"/>
    <n v="209"/>
  </r>
  <r>
    <n v="331"/>
    <x v="330"/>
    <n v="1021"/>
    <s v="Customer_196"/>
    <s v="Corporate"/>
    <s v="South"/>
    <s v="Electronics"/>
    <s v="Product_C"/>
    <n v="1725"/>
    <n v="9"/>
    <n v="0.19"/>
    <n v="508"/>
    <s v="COD"/>
    <n v="12575.25"/>
    <s v="Nov"/>
    <n v="2024"/>
    <s v="Q4"/>
    <n v="4.0396811196596487E-2"/>
    <n v="2949.75"/>
    <x v="0"/>
    <x v="0"/>
    <s v="Above Avg"/>
    <s v="Profit"/>
    <n v="162"/>
  </r>
  <r>
    <n v="332"/>
    <x v="331"/>
    <n v="1016"/>
    <s v="Customer_153"/>
    <s v="Consumer"/>
    <s v="South"/>
    <s v="Furniture"/>
    <s v="Product_B"/>
    <n v="4547"/>
    <n v="7"/>
    <n v="0.23"/>
    <n v="695"/>
    <s v="UPI"/>
    <n v="24508.33"/>
    <s v="Nov"/>
    <n v="2024"/>
    <s v="Q4"/>
    <n v="2.8357705318967058E-2"/>
    <n v="7320.67"/>
    <x v="0"/>
    <x v="0"/>
    <s v="Above Avg"/>
    <s v="Profit"/>
    <n v="47"/>
  </r>
  <r>
    <n v="333"/>
    <x v="332"/>
    <n v="1030"/>
    <s v="Customer_33"/>
    <s v="Consumer"/>
    <s v="South"/>
    <s v="Electronics"/>
    <s v="Product_B"/>
    <n v="2252"/>
    <n v="8"/>
    <n v="0.17"/>
    <n v="1739"/>
    <s v="Card"/>
    <n v="14953.279999999901"/>
    <s v="Nov"/>
    <n v="2024"/>
    <s v="Q4"/>
    <n v="0.11629555522266764"/>
    <n v="3062.7200000000003"/>
    <x v="0"/>
    <x v="0"/>
    <s v="Above Avg"/>
    <s v="Profit"/>
    <n v="140"/>
  </r>
  <r>
    <n v="334"/>
    <x v="333"/>
    <n v="1055"/>
    <s v="Customer_1"/>
    <s v="Corporate"/>
    <s v="West"/>
    <s v="Clothing"/>
    <s v="Product_B"/>
    <n v="3427"/>
    <n v="4"/>
    <n v="0.19"/>
    <n v="922"/>
    <s v="Card"/>
    <n v="11103.48"/>
    <s v="Nov"/>
    <n v="2024"/>
    <s v="Q4"/>
    <n v="8.3037029832088688E-2"/>
    <n v="2604.52"/>
    <x v="0"/>
    <x v="0"/>
    <s v="Above Avg"/>
    <s v="Profit"/>
    <n v="188"/>
  </r>
  <r>
    <n v="335"/>
    <x v="334"/>
    <n v="1080"/>
    <s v="Customer_79"/>
    <s v="Consumer"/>
    <s v="North"/>
    <s v="Clothing"/>
    <s v="Product_A"/>
    <n v="370"/>
    <n v="7"/>
    <n v="0.08"/>
    <n v="1381"/>
    <s v="Card"/>
    <n v="2382.8000000000002"/>
    <s v="Nov"/>
    <n v="2024"/>
    <s v="Q4"/>
    <n v="0.57957025348329694"/>
    <n v="207.20000000000002"/>
    <x v="1"/>
    <x v="0"/>
    <s v="Below Avg"/>
    <s v="Profit"/>
    <n v="413"/>
  </r>
  <r>
    <n v="336"/>
    <x v="335"/>
    <n v="1030"/>
    <s v="Customer_128"/>
    <s v="Consumer"/>
    <s v="South"/>
    <s v="Electronics"/>
    <s v="Product_D"/>
    <n v="4426"/>
    <n v="9"/>
    <n v="0.27"/>
    <n v="-447"/>
    <s v="Card"/>
    <n v="29078.82"/>
    <s v="Dec"/>
    <n v="2024"/>
    <s v="Q4"/>
    <n v="-1.537201303216568E-2"/>
    <n v="10755.18"/>
    <x v="0"/>
    <x v="0"/>
    <s v="Above Avg"/>
    <s v="Loss"/>
    <n v="26"/>
  </r>
  <r>
    <n v="337"/>
    <x v="336"/>
    <n v="1012"/>
    <s v="Customer_145"/>
    <s v="Corporate"/>
    <s v="West"/>
    <s v="Clothing"/>
    <s v="Product_C"/>
    <n v="3915"/>
    <n v="8"/>
    <n v="0.15"/>
    <n v="-47"/>
    <s v="Card"/>
    <n v="26622"/>
    <s v="Dec"/>
    <n v="2024"/>
    <s v="Q4"/>
    <n v="-1.7654571407106905E-3"/>
    <n v="4698"/>
    <x v="0"/>
    <x v="0"/>
    <s v="Above Avg"/>
    <s v="Loss"/>
    <n v="36"/>
  </r>
  <r>
    <n v="338"/>
    <x v="337"/>
    <n v="1090"/>
    <s v="Customer_171"/>
    <s v="Consumer"/>
    <s v="North"/>
    <s v="Furniture"/>
    <s v="Product_B"/>
    <n v="1456"/>
    <n v="7"/>
    <n v="0.24"/>
    <n v="-31"/>
    <s v="Card"/>
    <n v="7745.92"/>
    <s v="Dec"/>
    <n v="2024"/>
    <s v="Q4"/>
    <n v="-4.0021069156407499E-3"/>
    <n v="2446.08"/>
    <x v="0"/>
    <x v="0"/>
    <s v="Below Avg"/>
    <s v="Loss"/>
    <n v="258"/>
  </r>
  <r>
    <n v="339"/>
    <x v="338"/>
    <n v="1083"/>
    <s v="Customer_186"/>
    <s v="Corporate"/>
    <s v="East"/>
    <s v="Electronics"/>
    <s v="Product_A"/>
    <n v="4189"/>
    <n v="5"/>
    <n v="0.16"/>
    <n v="798"/>
    <s v="Card"/>
    <n v="17593.8"/>
    <s v="Dec"/>
    <n v="2024"/>
    <s v="Q4"/>
    <n v="4.5356887085223209E-2"/>
    <n v="3351.2000000000003"/>
    <x v="0"/>
    <x v="0"/>
    <s v="Above Avg"/>
    <s v="Profit"/>
    <n v="95"/>
  </r>
  <r>
    <n v="340"/>
    <x v="339"/>
    <n v="1016"/>
    <s v="Customer_147"/>
    <s v="Consumer"/>
    <s v="East"/>
    <s v="Electronics"/>
    <s v="Product_C"/>
    <n v="190"/>
    <n v="8"/>
    <n v="0.03"/>
    <n v="728"/>
    <s v="Card"/>
    <n v="1474.3999999999901"/>
    <s v="Dec"/>
    <n v="2024"/>
    <s v="Q4"/>
    <n v="0.4937601736299545"/>
    <n v="45.6"/>
    <x v="2"/>
    <x v="0"/>
    <s v="Below Avg"/>
    <s v="Profit"/>
    <n v="458"/>
  </r>
  <r>
    <n v="341"/>
    <x v="340"/>
    <n v="1092"/>
    <s v="Customer_54"/>
    <s v="Corporate"/>
    <s v="East"/>
    <s v="Clothing"/>
    <s v="Product_D"/>
    <n v="2277"/>
    <n v="8"/>
    <n v="0.03"/>
    <n v="297"/>
    <s v="UPI"/>
    <n v="17669.52"/>
    <s v="Dec"/>
    <n v="2024"/>
    <s v="Q4"/>
    <n v="1.6808606006275213E-2"/>
    <n v="546.48"/>
    <x v="0"/>
    <x v="0"/>
    <s v="Above Avg"/>
    <s v="Profit"/>
    <n v="94"/>
  </r>
  <r>
    <n v="342"/>
    <x v="341"/>
    <n v="1038"/>
    <s v="Customer_114"/>
    <s v="Corporate"/>
    <s v="West"/>
    <s v="Electronics"/>
    <s v="Product_A"/>
    <n v="1830"/>
    <n v="4"/>
    <n v="0.14000000000000001"/>
    <n v="898"/>
    <s v="COD"/>
    <n v="6295.2"/>
    <s v="Dec"/>
    <n v="2024"/>
    <s v="Q4"/>
    <n v="0.14264836700978523"/>
    <n v="1024.8000000000002"/>
    <x v="0"/>
    <x v="0"/>
    <s v="Below Avg"/>
    <s v="Profit"/>
    <n v="291"/>
  </r>
  <r>
    <n v="343"/>
    <x v="342"/>
    <n v="1098"/>
    <s v="Customer_83"/>
    <s v="Corporate"/>
    <s v="East"/>
    <s v="Clothing"/>
    <s v="Product_B"/>
    <n v="2458"/>
    <n v="9"/>
    <n v="0.13"/>
    <n v="-443"/>
    <s v="COD"/>
    <n v="19246.14"/>
    <s v="Dec"/>
    <n v="2024"/>
    <s v="Q4"/>
    <n v="-2.3017602490681251E-2"/>
    <n v="2875.86"/>
    <x v="0"/>
    <x v="0"/>
    <s v="Above Avg"/>
    <s v="Loss"/>
    <n v="83"/>
  </r>
  <r>
    <n v="344"/>
    <x v="343"/>
    <n v="1007"/>
    <s v="Customer_84"/>
    <s v="Consumer"/>
    <s v="East"/>
    <s v="Electronics"/>
    <s v="Product_B"/>
    <n v="2809"/>
    <n v="1"/>
    <n v="0.27"/>
    <n v="-352"/>
    <s v="COD"/>
    <n v="2050.5700000000002"/>
    <s v="Dec"/>
    <n v="2024"/>
    <s v="Q4"/>
    <n v="-0.17165958733425338"/>
    <n v="758.43000000000006"/>
    <x v="1"/>
    <x v="0"/>
    <s v="Below Avg"/>
    <s v="Loss"/>
    <n v="426"/>
  </r>
  <r>
    <n v="345"/>
    <x v="344"/>
    <n v="1037"/>
    <s v="Customer_1"/>
    <s v="Consumer"/>
    <s v="North"/>
    <s v="Clothing"/>
    <s v="Product_D"/>
    <n v="448"/>
    <n v="9"/>
    <n v="0.04"/>
    <n v="1096"/>
    <s v="COD"/>
    <n v="3870.72"/>
    <s v="Dec"/>
    <n v="2024"/>
    <s v="Q4"/>
    <n v="0.28315145502645506"/>
    <n v="161.28"/>
    <x v="1"/>
    <x v="0"/>
    <s v="Below Avg"/>
    <s v="Profit"/>
    <n v="358"/>
  </r>
  <r>
    <n v="346"/>
    <x v="345"/>
    <n v="1014"/>
    <s v="Customer_144"/>
    <s v="Consumer"/>
    <s v="East"/>
    <s v="Clothing"/>
    <s v="Product_C"/>
    <n v="4977"/>
    <n v="1"/>
    <n v="0.21"/>
    <n v="294"/>
    <s v="Card"/>
    <n v="3931.83"/>
    <s v="Dec"/>
    <n v="2024"/>
    <s v="Q4"/>
    <n v="7.4774341718741658E-2"/>
    <n v="1045.17"/>
    <x v="1"/>
    <x v="0"/>
    <s v="Below Avg"/>
    <s v="Profit"/>
    <n v="357"/>
  </r>
  <r>
    <n v="347"/>
    <x v="346"/>
    <n v="1000"/>
    <s v="Customer_152"/>
    <s v="Consumer"/>
    <s v="East"/>
    <s v="Furniture"/>
    <s v="Product_A"/>
    <n v="4432"/>
    <n v="5"/>
    <n v="0.28000000000000003"/>
    <n v="1809"/>
    <s v="UPI"/>
    <n v="15955.199999999901"/>
    <s v="Dec"/>
    <n v="2024"/>
    <s v="Q4"/>
    <n v="0.11337996389891768"/>
    <n v="6204.8"/>
    <x v="0"/>
    <x v="0"/>
    <s v="Above Avg"/>
    <s v="Profit"/>
    <n v="130"/>
  </r>
  <r>
    <n v="348"/>
    <x v="347"/>
    <n v="1096"/>
    <s v="Customer_192"/>
    <s v="Corporate"/>
    <s v="West"/>
    <s v="Furniture"/>
    <s v="Product_A"/>
    <n v="1393"/>
    <n v="6"/>
    <n v="0.12"/>
    <n v="1693"/>
    <s v="Card"/>
    <n v="7355.04"/>
    <s v="Dec"/>
    <n v="2024"/>
    <s v="Q4"/>
    <n v="0.23018229676521135"/>
    <n v="1002.9599999999999"/>
    <x v="0"/>
    <x v="0"/>
    <s v="Below Avg"/>
    <s v="Profit"/>
    <n v="266"/>
  </r>
  <r>
    <n v="349"/>
    <x v="348"/>
    <n v="1002"/>
    <s v="Customer_186"/>
    <s v="Consumer"/>
    <s v="West"/>
    <s v="Electronics"/>
    <s v="Product_C"/>
    <n v="4564"/>
    <n v="5"/>
    <n v="0.27"/>
    <n v="710"/>
    <s v="UPI"/>
    <n v="16658.599999999999"/>
    <s v="Dec"/>
    <n v="2024"/>
    <s v="Q4"/>
    <n v="4.2620628384137924E-2"/>
    <n v="6161.4000000000005"/>
    <x v="0"/>
    <x v="0"/>
    <s v="Above Avg"/>
    <s v="Profit"/>
    <n v="111"/>
  </r>
  <r>
    <n v="350"/>
    <x v="349"/>
    <n v="1037"/>
    <s v="Customer_152"/>
    <s v="Consumer"/>
    <s v="West"/>
    <s v="Clothing"/>
    <s v="Product_B"/>
    <n v="2447"/>
    <n v="4"/>
    <n v="0.04"/>
    <n v="-339"/>
    <s v="UPI"/>
    <n v="9396.48"/>
    <s v="Dec"/>
    <n v="2024"/>
    <s v="Q4"/>
    <n v="-3.6077339599509609E-2"/>
    <n v="391.52"/>
    <x v="0"/>
    <x v="0"/>
    <s v="Below Avg"/>
    <s v="Loss"/>
    <n v="221"/>
  </r>
  <r>
    <n v="351"/>
    <x v="350"/>
    <n v="1047"/>
    <s v="Customer_186"/>
    <s v="Consumer"/>
    <s v="East"/>
    <s v="Furniture"/>
    <s v="Product_C"/>
    <n v="3091"/>
    <n v="5"/>
    <n v="0.03"/>
    <n v="644"/>
    <s v="UPI"/>
    <n v="14991.35"/>
    <s v="Dec"/>
    <n v="2024"/>
    <s v="Q4"/>
    <n v="4.2958105841034995E-2"/>
    <n v="463.65"/>
    <x v="0"/>
    <x v="0"/>
    <s v="Above Avg"/>
    <s v="Profit"/>
    <n v="139"/>
  </r>
  <r>
    <n v="352"/>
    <x v="351"/>
    <n v="1062"/>
    <s v="Customer_101"/>
    <s v="Consumer"/>
    <s v="North"/>
    <s v="Electronics"/>
    <s v="Product_C"/>
    <n v="2900"/>
    <n v="7"/>
    <n v="7.0000000000000007E-2"/>
    <n v="1932"/>
    <s v="UPI"/>
    <n v="18879"/>
    <s v="Dec"/>
    <n v="2024"/>
    <s v="Q4"/>
    <n v="0.10233592880978866"/>
    <n v="1421.0000000000002"/>
    <x v="0"/>
    <x v="0"/>
    <s v="Above Avg"/>
    <s v="Profit"/>
    <n v="85"/>
  </r>
  <r>
    <n v="353"/>
    <x v="352"/>
    <n v="1061"/>
    <s v="Customer_192"/>
    <s v="Consumer"/>
    <s v="South"/>
    <s v="Clothing"/>
    <s v="Product_C"/>
    <n v="4356"/>
    <n v="2"/>
    <n v="0.16"/>
    <n v="332"/>
    <s v="COD"/>
    <n v="7318.08"/>
    <s v="Dec"/>
    <n v="2024"/>
    <s v="Q4"/>
    <n v="4.5367090821636279E-2"/>
    <n v="1393.92"/>
    <x v="0"/>
    <x v="0"/>
    <s v="Below Avg"/>
    <s v="Profit"/>
    <n v="268"/>
  </r>
  <r>
    <n v="354"/>
    <x v="353"/>
    <n v="1014"/>
    <s v="Customer_169"/>
    <s v="Corporate"/>
    <s v="West"/>
    <s v="Furniture"/>
    <s v="Product_B"/>
    <n v="1224"/>
    <n v="7"/>
    <n v="0.19"/>
    <n v="210"/>
    <s v="COD"/>
    <n v="6940.08"/>
    <s v="Dec"/>
    <n v="2024"/>
    <s v="Q4"/>
    <n v="3.0259017187121762E-2"/>
    <n v="1627.92"/>
    <x v="0"/>
    <x v="0"/>
    <s v="Below Avg"/>
    <s v="Profit"/>
    <n v="275"/>
  </r>
  <r>
    <n v="355"/>
    <x v="354"/>
    <n v="1061"/>
    <s v="Customer_161"/>
    <s v="Consumer"/>
    <s v="North"/>
    <s v="Clothing"/>
    <s v="Product_B"/>
    <n v="673"/>
    <n v="9"/>
    <n v="0.23"/>
    <n v="944"/>
    <s v="UPI"/>
    <n v="4663.8900000000003"/>
    <s v="Dec"/>
    <n v="2024"/>
    <s v="Q4"/>
    <n v="0.20240614594255008"/>
    <n v="1393.1100000000001"/>
    <x v="1"/>
    <x v="0"/>
    <s v="Below Avg"/>
    <s v="Profit"/>
    <n v="332"/>
  </r>
  <r>
    <n v="356"/>
    <x v="355"/>
    <n v="1081"/>
    <s v="Customer_186"/>
    <s v="Corporate"/>
    <s v="East"/>
    <s v="Furniture"/>
    <s v="Product_A"/>
    <n v="4179"/>
    <n v="7"/>
    <n v="0.23"/>
    <n v="-144"/>
    <s v="UPI"/>
    <n v="22524.81"/>
    <s v="Dec"/>
    <n v="2024"/>
    <s v="Q4"/>
    <n v="-6.3929507063544598E-3"/>
    <n v="6728.1900000000005"/>
    <x v="0"/>
    <x v="0"/>
    <s v="Above Avg"/>
    <s v="Loss"/>
    <n v="62"/>
  </r>
  <r>
    <n v="357"/>
    <x v="356"/>
    <n v="1037"/>
    <s v="Customer_125"/>
    <s v="Consumer"/>
    <s v="West"/>
    <s v="Clothing"/>
    <s v="Product_C"/>
    <n v="928"/>
    <n v="4"/>
    <n v="0.03"/>
    <n v="182"/>
    <s v="Card"/>
    <n v="3600.64"/>
    <s v="Dec"/>
    <n v="2024"/>
    <s v="Q4"/>
    <n v="5.0546569498755779E-2"/>
    <n v="111.36"/>
    <x v="1"/>
    <x v="0"/>
    <s v="Below Avg"/>
    <s v="Profit"/>
    <n v="368"/>
  </r>
  <r>
    <n v="358"/>
    <x v="357"/>
    <n v="1094"/>
    <s v="Customer_184"/>
    <s v="Consumer"/>
    <s v="North"/>
    <s v="Electronics"/>
    <s v="Product_C"/>
    <n v="570"/>
    <n v="8"/>
    <n v="0.26"/>
    <n v="1134"/>
    <s v="UPI"/>
    <n v="3374.4"/>
    <s v="Dec"/>
    <n v="2024"/>
    <s v="Q4"/>
    <n v="0.33605974395448079"/>
    <n v="1185.6000000000001"/>
    <x v="1"/>
    <x v="0"/>
    <s v="Below Avg"/>
    <s v="Profit"/>
    <n v="382"/>
  </r>
  <r>
    <n v="359"/>
    <x v="358"/>
    <n v="1019"/>
    <s v="Customer_95"/>
    <s v="Corporate"/>
    <s v="South"/>
    <s v="Furniture"/>
    <s v="Product_B"/>
    <n v="4250"/>
    <n v="8"/>
    <n v="0.03"/>
    <n v="335"/>
    <s v="Card"/>
    <n v="32980"/>
    <s v="Dec"/>
    <n v="2024"/>
    <s v="Q4"/>
    <n v="1.015767131594906E-2"/>
    <n v="1020"/>
    <x v="0"/>
    <x v="0"/>
    <s v="Above Avg"/>
    <s v="Profit"/>
    <n v="17"/>
  </r>
  <r>
    <n v="360"/>
    <x v="359"/>
    <n v="1058"/>
    <s v="Customer_15"/>
    <s v="Corporate"/>
    <s v="North"/>
    <s v="Clothing"/>
    <s v="Product_B"/>
    <n v="2351"/>
    <n v="9"/>
    <n v="0.27"/>
    <n v="28"/>
    <s v="COD"/>
    <n v="15446.07"/>
    <s v="Dec"/>
    <n v="2024"/>
    <s v="Q4"/>
    <n v="1.8127588441590645E-3"/>
    <n v="5712.93"/>
    <x v="0"/>
    <x v="0"/>
    <s v="Above Avg"/>
    <s v="Profit"/>
    <n v="135"/>
  </r>
  <r>
    <n v="361"/>
    <x v="360"/>
    <n v="1006"/>
    <s v="Customer_65"/>
    <s v="Corporate"/>
    <s v="East"/>
    <s v="Furniture"/>
    <s v="Product_C"/>
    <n v="4067"/>
    <n v="6"/>
    <n v="0.28999999999999998"/>
    <n v="1213"/>
    <s v="UPI"/>
    <n v="17325.419999999998"/>
    <s v="Dec"/>
    <n v="2024"/>
    <s v="Q4"/>
    <n v="7.0012732736060665E-2"/>
    <n v="7076.58"/>
    <x v="0"/>
    <x v="0"/>
    <s v="Above Avg"/>
    <s v="Profit"/>
    <n v="102"/>
  </r>
  <r>
    <n v="362"/>
    <x v="361"/>
    <n v="1090"/>
    <s v="Customer_113"/>
    <s v="Corporate"/>
    <s v="West"/>
    <s v="Furniture"/>
    <s v="Product_D"/>
    <n v="2732"/>
    <n v="1"/>
    <n v="0.18"/>
    <n v="547"/>
    <s v="COD"/>
    <n v="2240.2399999999998"/>
    <s v="Dec"/>
    <n v="2024"/>
    <s v="Q4"/>
    <n v="0.24417026747134238"/>
    <n v="491.76"/>
    <x v="1"/>
    <x v="0"/>
    <s v="Below Avg"/>
    <s v="Profit"/>
    <n v="418"/>
  </r>
  <r>
    <n v="363"/>
    <x v="362"/>
    <n v="1071"/>
    <s v="Customer_140"/>
    <s v="Consumer"/>
    <s v="North"/>
    <s v="Clothing"/>
    <s v="Product_B"/>
    <n v="4332"/>
    <n v="9"/>
    <n v="0.21"/>
    <n v="1493"/>
    <s v="COD"/>
    <n v="30800.52"/>
    <s v="Dec"/>
    <n v="2024"/>
    <s v="Q4"/>
    <n v="4.8473207595196445E-2"/>
    <n v="8187.48"/>
    <x v="0"/>
    <x v="0"/>
    <s v="Above Avg"/>
    <s v="Profit"/>
    <n v="22"/>
  </r>
  <r>
    <n v="364"/>
    <x v="363"/>
    <n v="1077"/>
    <s v="Customer_163"/>
    <s v="Consumer"/>
    <s v="North"/>
    <s v="Electronics"/>
    <s v="Product_D"/>
    <n v="1198"/>
    <n v="9"/>
    <n v="0.11"/>
    <n v="-189"/>
    <s v="UPI"/>
    <n v="9595.98"/>
    <s v="Dec"/>
    <n v="2024"/>
    <s v="Q4"/>
    <n v="-1.9695747594305115E-2"/>
    <n v="1186.02"/>
    <x v="0"/>
    <x v="0"/>
    <s v="Below Avg"/>
    <s v="Loss"/>
    <n v="212"/>
  </r>
  <r>
    <n v="365"/>
    <x v="364"/>
    <n v="1078"/>
    <s v="Customer_37"/>
    <s v="Consumer"/>
    <s v="North"/>
    <s v="Furniture"/>
    <s v="Product_C"/>
    <n v="3189"/>
    <n v="1"/>
    <n v="0.17"/>
    <n v="159"/>
    <s v="UPI"/>
    <n v="2646.87"/>
    <s v="Dec"/>
    <n v="2024"/>
    <s v="Q4"/>
    <n v="6.0070951727889926E-2"/>
    <n v="542.13"/>
    <x v="1"/>
    <x v="0"/>
    <s v="Below Avg"/>
    <s v="Profit"/>
    <n v="407"/>
  </r>
  <r>
    <n v="366"/>
    <x v="365"/>
    <n v="1070"/>
    <s v="Customer_30"/>
    <s v="Corporate"/>
    <s v="West"/>
    <s v="Clothing"/>
    <s v="Product_C"/>
    <n v="531"/>
    <n v="9"/>
    <n v="0.25"/>
    <n v="1369"/>
    <s v="COD"/>
    <n v="3584.25"/>
    <s v="Dec"/>
    <n v="2024"/>
    <s v="Q4"/>
    <n v="0.38194880379437818"/>
    <n v="1194.75"/>
    <x v="1"/>
    <x v="0"/>
    <s v="Below Avg"/>
    <s v="Profit"/>
    <n v="371"/>
  </r>
  <r>
    <n v="367"/>
    <x v="366"/>
    <n v="1096"/>
    <s v="Customer_11"/>
    <s v="Corporate"/>
    <s v="North"/>
    <s v="Electronics"/>
    <s v="Product_D"/>
    <n v="1333"/>
    <n v="1"/>
    <n v="0.05"/>
    <n v="-123"/>
    <s v="UPI"/>
    <n v="1266.3499999999999"/>
    <s v="Jan"/>
    <n v="2025"/>
    <s v="Q1"/>
    <n v="-9.7129545544280813E-2"/>
    <n v="66.650000000000006"/>
    <x v="2"/>
    <x v="0"/>
    <s v="Below Avg"/>
    <s v="Loss"/>
    <n v="466"/>
  </r>
  <r>
    <n v="368"/>
    <x v="367"/>
    <n v="1051"/>
    <s v="Customer_188"/>
    <s v="Consumer"/>
    <s v="East"/>
    <s v="Clothing"/>
    <s v="Product_D"/>
    <n v="1629"/>
    <n v="2"/>
    <n v="0.15"/>
    <n v="-281"/>
    <s v="Card"/>
    <n v="2769.2999999999902"/>
    <s v="Jan"/>
    <n v="2025"/>
    <s v="Q1"/>
    <n v="-0.10146968548008559"/>
    <n v="488.7"/>
    <x v="1"/>
    <x v="0"/>
    <s v="Below Avg"/>
    <s v="Loss"/>
    <n v="400"/>
  </r>
  <r>
    <n v="369"/>
    <x v="368"/>
    <n v="1097"/>
    <s v="Customer_32"/>
    <s v="Corporate"/>
    <s v="East"/>
    <s v="Clothing"/>
    <s v="Product_C"/>
    <n v="4451"/>
    <n v="6"/>
    <n v="0.12"/>
    <n v="978"/>
    <s v="UPI"/>
    <n v="23501.279999999999"/>
    <s v="Jan"/>
    <n v="2025"/>
    <s v="Q1"/>
    <n v="4.1614754600600483E-2"/>
    <n v="3204.72"/>
    <x v="0"/>
    <x v="0"/>
    <s v="Above Avg"/>
    <s v="Profit"/>
    <n v="57"/>
  </r>
  <r>
    <n v="370"/>
    <x v="369"/>
    <n v="1003"/>
    <s v="Customer_2"/>
    <s v="Consumer"/>
    <s v="South"/>
    <s v="Furniture"/>
    <s v="Product_D"/>
    <n v="1480"/>
    <n v="7"/>
    <n v="0.26"/>
    <n v="1989"/>
    <s v="UPI"/>
    <n v="7666.4"/>
    <s v="Jan"/>
    <n v="2025"/>
    <s v="Q1"/>
    <n v="0.25944380674110407"/>
    <n v="2693.6"/>
    <x v="0"/>
    <x v="0"/>
    <s v="Below Avg"/>
    <s v="Profit"/>
    <n v="261"/>
  </r>
  <r>
    <n v="371"/>
    <x v="370"/>
    <n v="1000"/>
    <s v="Customer_138"/>
    <s v="Corporate"/>
    <s v="South"/>
    <s v="Clothing"/>
    <s v="Product_C"/>
    <n v="241"/>
    <n v="7"/>
    <n v="0.04"/>
    <n v="967"/>
    <s v="COD"/>
    <n v="1619.52"/>
    <s v="Jan"/>
    <n v="2025"/>
    <s v="Q1"/>
    <n v="0.5970904959494171"/>
    <n v="67.48"/>
    <x v="2"/>
    <x v="0"/>
    <s v="Below Avg"/>
    <s v="Profit"/>
    <n v="452"/>
  </r>
  <r>
    <n v="372"/>
    <x v="371"/>
    <n v="1077"/>
    <s v="Customer_124"/>
    <s v="Corporate"/>
    <s v="South"/>
    <s v="Clothing"/>
    <s v="Product_D"/>
    <n v="1316"/>
    <n v="6"/>
    <n v="0.27"/>
    <n v="-31"/>
    <s v="COD"/>
    <n v="5764.08"/>
    <s v="Jan"/>
    <n v="2025"/>
    <s v="Q1"/>
    <n v="-5.3781349322008024E-3"/>
    <n v="2131.92"/>
    <x v="0"/>
    <x v="0"/>
    <s v="Below Avg"/>
    <s v="Loss"/>
    <n v="302"/>
  </r>
  <r>
    <n v="373"/>
    <x v="372"/>
    <n v="1094"/>
    <s v="Customer_174"/>
    <s v="Consumer"/>
    <s v="West"/>
    <s v="Electronics"/>
    <s v="Product_C"/>
    <n v="3947"/>
    <n v="8"/>
    <n v="0.08"/>
    <n v="655"/>
    <s v="COD"/>
    <n v="29049.919999999998"/>
    <s v="Jan"/>
    <n v="2025"/>
    <s v="Q1"/>
    <n v="2.2547394278538462E-2"/>
    <n v="2526.08"/>
    <x v="0"/>
    <x v="0"/>
    <s v="Above Avg"/>
    <s v="Profit"/>
    <n v="27"/>
  </r>
  <r>
    <n v="374"/>
    <x v="373"/>
    <n v="1037"/>
    <s v="Customer_22"/>
    <s v="Consumer"/>
    <s v="East"/>
    <s v="Furniture"/>
    <s v="Product_B"/>
    <n v="4287"/>
    <n v="8"/>
    <n v="0.18"/>
    <n v="312"/>
    <s v="UPI"/>
    <n v="28122.720000000001"/>
    <s v="Jan"/>
    <n v="2025"/>
    <s v="Q1"/>
    <n v="1.1094232705798016E-2"/>
    <n v="6173.28"/>
    <x v="0"/>
    <x v="0"/>
    <s v="Above Avg"/>
    <s v="Profit"/>
    <n v="30"/>
  </r>
  <r>
    <n v="375"/>
    <x v="374"/>
    <n v="1052"/>
    <s v="Customer_73"/>
    <s v="Corporate"/>
    <s v="East"/>
    <s v="Clothing"/>
    <s v="Product_C"/>
    <n v="1876"/>
    <n v="1"/>
    <n v="0.11"/>
    <n v="486"/>
    <s v="Card"/>
    <n v="1669.64"/>
    <s v="Jan"/>
    <n v="2025"/>
    <s v="Q1"/>
    <n v="0.29108071200977453"/>
    <n v="206.36"/>
    <x v="2"/>
    <x v="0"/>
    <s v="Below Avg"/>
    <s v="Profit"/>
    <n v="448"/>
  </r>
  <r>
    <n v="376"/>
    <x v="375"/>
    <n v="1083"/>
    <s v="Customer_118"/>
    <s v="Corporate"/>
    <s v="South"/>
    <s v="Furniture"/>
    <s v="Product_C"/>
    <n v="3751"/>
    <n v="9"/>
    <n v="0.28000000000000003"/>
    <n v="339"/>
    <s v="COD"/>
    <n v="24306.48"/>
    <s v="Jan"/>
    <n v="2025"/>
    <s v="Q1"/>
    <n v="1.3946898111120985E-2"/>
    <n v="9452.52"/>
    <x v="0"/>
    <x v="0"/>
    <s v="Above Avg"/>
    <s v="Profit"/>
    <n v="49"/>
  </r>
  <r>
    <n v="377"/>
    <x v="376"/>
    <n v="1002"/>
    <s v="Customer_55"/>
    <s v="Consumer"/>
    <s v="South"/>
    <s v="Electronics"/>
    <s v="Product_B"/>
    <n v="2552"/>
    <n v="4"/>
    <n v="0.06"/>
    <n v="-131"/>
    <s v="UPI"/>
    <n v="9595.5199999999895"/>
    <s v="Jan"/>
    <n v="2025"/>
    <s v="Q1"/>
    <n v="-1.3652204362035632E-2"/>
    <n v="612.48"/>
    <x v="0"/>
    <x v="0"/>
    <s v="Below Avg"/>
    <s v="Loss"/>
    <n v="213"/>
  </r>
  <r>
    <n v="378"/>
    <x v="377"/>
    <n v="1098"/>
    <s v="Customer_187"/>
    <s v="Corporate"/>
    <s v="North"/>
    <s v="Electronics"/>
    <s v="Product_C"/>
    <n v="817"/>
    <n v="4"/>
    <n v="0.15"/>
    <n v="514"/>
    <s v="UPI"/>
    <n v="2777.7999999999902"/>
    <s v="Jan"/>
    <n v="2025"/>
    <s v="Q1"/>
    <n v="0.18503851969184312"/>
    <n v="490.2"/>
    <x v="1"/>
    <x v="0"/>
    <s v="Below Avg"/>
    <s v="Profit"/>
    <n v="399"/>
  </r>
  <r>
    <n v="379"/>
    <x v="378"/>
    <n v="1096"/>
    <s v="Customer_30"/>
    <s v="Corporate"/>
    <s v="South"/>
    <s v="Clothing"/>
    <s v="Product_B"/>
    <n v="660"/>
    <n v="9"/>
    <n v="7.0000000000000007E-2"/>
    <n v="-250"/>
    <s v="UPI"/>
    <n v="5524.2"/>
    <s v="Jan"/>
    <n v="2025"/>
    <s v="Q1"/>
    <n v="-4.5255421599507621E-2"/>
    <n v="415.8"/>
    <x v="0"/>
    <x v="0"/>
    <s v="Below Avg"/>
    <s v="Loss"/>
    <n v="308"/>
  </r>
  <r>
    <n v="380"/>
    <x v="379"/>
    <n v="1014"/>
    <s v="Customer_181"/>
    <s v="Consumer"/>
    <s v="West"/>
    <s v="Furniture"/>
    <s v="Product_B"/>
    <n v="1004"/>
    <n v="2"/>
    <n v="0.24"/>
    <n v="-339"/>
    <s v="UPI"/>
    <n v="1526.08"/>
    <s v="Jan"/>
    <n v="2025"/>
    <s v="Q1"/>
    <n v="-0.2221377647305515"/>
    <n v="481.91999999999996"/>
    <x v="2"/>
    <x v="0"/>
    <s v="Below Avg"/>
    <s v="Loss"/>
    <n v="456"/>
  </r>
  <r>
    <n v="381"/>
    <x v="380"/>
    <n v="1002"/>
    <s v="Customer_89"/>
    <s v="Consumer"/>
    <s v="South"/>
    <s v="Clothing"/>
    <s v="Product_D"/>
    <n v="1036"/>
    <n v="6"/>
    <n v="0.08"/>
    <n v="162"/>
    <s v="COD"/>
    <n v="5718.72"/>
    <s v="Jan"/>
    <n v="2025"/>
    <s v="Q1"/>
    <n v="2.8328017458452238E-2"/>
    <n v="497.28000000000003"/>
    <x v="0"/>
    <x v="0"/>
    <s v="Below Avg"/>
    <s v="Profit"/>
    <n v="303"/>
  </r>
  <r>
    <n v="382"/>
    <x v="381"/>
    <n v="1091"/>
    <s v="Customer_21"/>
    <s v="Consumer"/>
    <s v="East"/>
    <s v="Furniture"/>
    <s v="Product_C"/>
    <n v="396"/>
    <n v="2"/>
    <n v="0.28999999999999998"/>
    <n v="1960"/>
    <s v="Card"/>
    <n v="562.31999999999903"/>
    <s v="Jan"/>
    <n v="2025"/>
    <s v="Q1"/>
    <n v="3.4855598235879985"/>
    <n v="229.67999999999998"/>
    <x v="2"/>
    <x v="0"/>
    <s v="Below Avg"/>
    <s v="Profit"/>
    <n v="488"/>
  </r>
  <r>
    <n v="383"/>
    <x v="382"/>
    <n v="1090"/>
    <s v="Customer_82"/>
    <s v="Consumer"/>
    <s v="West"/>
    <s v="Furniture"/>
    <s v="Product_B"/>
    <n v="4994"/>
    <n v="9"/>
    <n v="0.28000000000000003"/>
    <n v="992"/>
    <s v="COD"/>
    <n v="32361.119999999999"/>
    <s v="Jan"/>
    <n v="2025"/>
    <s v="Q1"/>
    <n v="3.0654068833217144E-2"/>
    <n v="12584.880000000001"/>
    <x v="0"/>
    <x v="0"/>
    <s v="Above Avg"/>
    <s v="Profit"/>
    <n v="20"/>
  </r>
  <r>
    <n v="384"/>
    <x v="383"/>
    <n v="1032"/>
    <s v="Customer_20"/>
    <s v="Corporate"/>
    <s v="North"/>
    <s v="Electronics"/>
    <s v="Product_A"/>
    <n v="1860"/>
    <n v="3"/>
    <n v="0.14000000000000001"/>
    <n v="1994"/>
    <s v="Card"/>
    <n v="4798.8"/>
    <s v="Jan"/>
    <n v="2025"/>
    <s v="Q1"/>
    <n v="0.41552054680336747"/>
    <n v="781.2"/>
    <x v="1"/>
    <x v="0"/>
    <s v="Below Avg"/>
    <s v="Profit"/>
    <n v="330"/>
  </r>
  <r>
    <n v="385"/>
    <x v="384"/>
    <n v="1082"/>
    <s v="Customer_113"/>
    <s v="Corporate"/>
    <s v="West"/>
    <s v="Clothing"/>
    <s v="Product_C"/>
    <n v="1299"/>
    <n v="6"/>
    <n v="0"/>
    <n v="92"/>
    <s v="UPI"/>
    <n v="7794"/>
    <s v="Jan"/>
    <n v="2025"/>
    <s v="Q1"/>
    <n v="1.1803951757762381E-2"/>
    <n v="0"/>
    <x v="0"/>
    <x v="0"/>
    <s v="Below Avg"/>
    <s v="Profit"/>
    <n v="256"/>
  </r>
  <r>
    <n v="386"/>
    <x v="385"/>
    <n v="1055"/>
    <s v="Customer_167"/>
    <s v="Consumer"/>
    <s v="North"/>
    <s v="Furniture"/>
    <s v="Product_C"/>
    <n v="4386"/>
    <n v="3"/>
    <n v="0.28999999999999998"/>
    <n v="838"/>
    <s v="COD"/>
    <n v="9342.18"/>
    <s v="Jan"/>
    <n v="2025"/>
    <s v="Q1"/>
    <n v="8.9700690845177455E-2"/>
    <n v="3815.8199999999997"/>
    <x v="0"/>
    <x v="0"/>
    <s v="Below Avg"/>
    <s v="Profit"/>
    <n v="224"/>
  </r>
  <r>
    <n v="387"/>
    <x v="386"/>
    <n v="1032"/>
    <s v="Customer_35"/>
    <s v="Consumer"/>
    <s v="North"/>
    <s v="Electronics"/>
    <s v="Product_A"/>
    <n v="3993"/>
    <n v="5"/>
    <n v="0.21"/>
    <n v="1730"/>
    <s v="COD"/>
    <n v="15772.35"/>
    <s v="Jan"/>
    <n v="2025"/>
    <s v="Q1"/>
    <n v="0.10968562072234005"/>
    <n v="4192.6499999999996"/>
    <x v="0"/>
    <x v="0"/>
    <s v="Above Avg"/>
    <s v="Profit"/>
    <n v="132"/>
  </r>
  <r>
    <n v="388"/>
    <x v="387"/>
    <n v="1030"/>
    <s v="Customer_29"/>
    <s v="Consumer"/>
    <s v="East"/>
    <s v="Electronics"/>
    <s v="Product_B"/>
    <n v="1045"/>
    <n v="3"/>
    <n v="0.15"/>
    <n v="1869"/>
    <s v="Card"/>
    <n v="2664.75"/>
    <s v="Jan"/>
    <n v="2025"/>
    <s v="Q1"/>
    <n v="0.70137911623979732"/>
    <n v="470.25"/>
    <x v="1"/>
    <x v="0"/>
    <s v="Below Avg"/>
    <s v="Profit"/>
    <n v="405"/>
  </r>
  <r>
    <n v="389"/>
    <x v="388"/>
    <n v="1003"/>
    <s v="Customer_110"/>
    <s v="Corporate"/>
    <s v="West"/>
    <s v="Furniture"/>
    <s v="Product_C"/>
    <n v="1736"/>
    <n v="8"/>
    <n v="0.18"/>
    <n v="492"/>
    <s v="COD"/>
    <n v="11388.16"/>
    <s v="Jan"/>
    <n v="2025"/>
    <s v="Q1"/>
    <n v="4.3202764976958526E-2"/>
    <n v="2499.8399999999997"/>
    <x v="0"/>
    <x v="0"/>
    <s v="Above Avg"/>
    <s v="Profit"/>
    <n v="183"/>
  </r>
  <r>
    <n v="390"/>
    <x v="389"/>
    <n v="1095"/>
    <s v="Customer_56"/>
    <s v="Consumer"/>
    <s v="North"/>
    <s v="Clothing"/>
    <s v="Product_A"/>
    <n v="2341"/>
    <n v="4"/>
    <n v="0.03"/>
    <n v="1730"/>
    <s v="Card"/>
    <n v="9083.08"/>
    <s v="Jan"/>
    <n v="2025"/>
    <s v="Q1"/>
    <n v="0.19046402762058684"/>
    <n v="280.92"/>
    <x v="0"/>
    <x v="0"/>
    <s v="Below Avg"/>
    <s v="Profit"/>
    <n v="229"/>
  </r>
  <r>
    <n v="391"/>
    <x v="390"/>
    <n v="1091"/>
    <s v="Customer_116"/>
    <s v="Consumer"/>
    <s v="West"/>
    <s v="Clothing"/>
    <s v="Product_C"/>
    <n v="3013"/>
    <n v="3"/>
    <n v="0.05"/>
    <n v="1502"/>
    <s v="COD"/>
    <n v="8587.0499999999993"/>
    <s v="Jan"/>
    <n v="2025"/>
    <s v="Q1"/>
    <n v="0.17491455156310959"/>
    <n v="451.95000000000005"/>
    <x v="0"/>
    <x v="0"/>
    <s v="Below Avg"/>
    <s v="Profit"/>
    <n v="237"/>
  </r>
  <r>
    <n v="392"/>
    <x v="391"/>
    <n v="1079"/>
    <s v="Customer_183"/>
    <s v="Corporate"/>
    <s v="North"/>
    <s v="Clothing"/>
    <s v="Product_D"/>
    <n v="3266"/>
    <n v="8"/>
    <n v="0.19"/>
    <n v="658"/>
    <s v="UPI"/>
    <n v="21163.68"/>
    <s v="Jan"/>
    <n v="2025"/>
    <s v="Q1"/>
    <n v="3.1091001186939134E-2"/>
    <n v="4964.32"/>
    <x v="0"/>
    <x v="0"/>
    <s v="Above Avg"/>
    <s v="Profit"/>
    <n v="73"/>
  </r>
  <r>
    <n v="393"/>
    <x v="392"/>
    <n v="1091"/>
    <s v="Customer_181"/>
    <s v="Consumer"/>
    <s v="South"/>
    <s v="Clothing"/>
    <s v="Product_C"/>
    <n v="4888"/>
    <n v="7"/>
    <n v="0.01"/>
    <n v="249"/>
    <s v="COD"/>
    <n v="33873.839999999997"/>
    <s v="Jan"/>
    <n v="2025"/>
    <s v="Q1"/>
    <n v="7.3508052231456497E-3"/>
    <n v="342.16"/>
    <x v="0"/>
    <x v="0"/>
    <s v="Above Avg"/>
    <s v="Profit"/>
    <n v="15"/>
  </r>
  <r>
    <n v="394"/>
    <x v="393"/>
    <n v="1078"/>
    <s v="Customer_176"/>
    <s v="Corporate"/>
    <s v="South"/>
    <s v="Electronics"/>
    <s v="Product_B"/>
    <n v="4543"/>
    <n v="1"/>
    <n v="0.21"/>
    <n v="62"/>
    <s v="UPI"/>
    <n v="3588.97"/>
    <s v="Jan"/>
    <n v="2025"/>
    <s v="Q1"/>
    <n v="1.7275151366548065E-2"/>
    <n v="954.03"/>
    <x v="1"/>
    <x v="0"/>
    <s v="Below Avg"/>
    <s v="Profit"/>
    <n v="370"/>
  </r>
  <r>
    <n v="395"/>
    <x v="394"/>
    <n v="1021"/>
    <s v="Customer_67"/>
    <s v="Corporate"/>
    <s v="West"/>
    <s v="Clothing"/>
    <s v="Product_B"/>
    <n v="2496"/>
    <n v="3"/>
    <n v="0.28000000000000003"/>
    <n v="455"/>
    <s v="Card"/>
    <n v="5391.36"/>
    <s v="Jan"/>
    <n v="2025"/>
    <s v="Q1"/>
    <n v="8.4394290123456797E-2"/>
    <n v="2096.6400000000003"/>
    <x v="0"/>
    <x v="0"/>
    <s v="Below Avg"/>
    <s v="Profit"/>
    <n v="313"/>
  </r>
  <r>
    <n v="396"/>
    <x v="395"/>
    <n v="1030"/>
    <s v="Customer_183"/>
    <s v="Consumer"/>
    <s v="West"/>
    <s v="Clothing"/>
    <s v="Product_C"/>
    <n v="1506"/>
    <n v="3"/>
    <n v="0.21"/>
    <n v="-309"/>
    <s v="UPI"/>
    <n v="3569.22"/>
    <s v="Jan"/>
    <n v="2025"/>
    <s v="Q1"/>
    <n v="-8.6573537075327389E-2"/>
    <n v="948.78"/>
    <x v="1"/>
    <x v="0"/>
    <s v="Below Avg"/>
    <s v="Loss"/>
    <n v="373"/>
  </r>
  <r>
    <n v="397"/>
    <x v="396"/>
    <n v="1059"/>
    <s v="Customer_32"/>
    <s v="Corporate"/>
    <s v="North"/>
    <s v="Furniture"/>
    <s v="Product_A"/>
    <n v="593"/>
    <n v="4"/>
    <n v="0.17"/>
    <n v="1059"/>
    <s v="Card"/>
    <n v="1968.76"/>
    <s v="Jan"/>
    <n v="2025"/>
    <s v="Q1"/>
    <n v="0.53790202970397616"/>
    <n v="403.24"/>
    <x v="2"/>
    <x v="0"/>
    <s v="Below Avg"/>
    <s v="Profit"/>
    <n v="432"/>
  </r>
  <r>
    <n v="398"/>
    <x v="397"/>
    <n v="1084"/>
    <s v="Customer_58"/>
    <s v="Corporate"/>
    <s v="North"/>
    <s v="Furniture"/>
    <s v="Product_A"/>
    <n v="2132"/>
    <n v="1"/>
    <n v="0.24"/>
    <n v="1264"/>
    <s v="COD"/>
    <n v="1620.32"/>
    <s v="Feb"/>
    <n v="2025"/>
    <s v="Q1"/>
    <n v="0.78009282117112677"/>
    <n v="511.68"/>
    <x v="2"/>
    <x v="0"/>
    <s v="Below Avg"/>
    <s v="Profit"/>
    <n v="451"/>
  </r>
  <r>
    <n v="399"/>
    <x v="398"/>
    <n v="1031"/>
    <s v="Customer_78"/>
    <s v="Consumer"/>
    <s v="North"/>
    <s v="Furniture"/>
    <s v="Product_A"/>
    <n v="160"/>
    <n v="9"/>
    <n v="0.22"/>
    <n v="121"/>
    <s v="UPI"/>
    <n v="1123.2"/>
    <s v="Feb"/>
    <n v="2025"/>
    <s v="Q1"/>
    <n v="0.10772792022792023"/>
    <n v="316.8"/>
    <x v="2"/>
    <x v="1"/>
    <s v="Below Avg"/>
    <s v="Profit"/>
    <n v="473"/>
  </r>
  <r>
    <n v="400"/>
    <x v="399"/>
    <n v="1070"/>
    <s v="Customer_69"/>
    <s v="Consumer"/>
    <s v="East"/>
    <s v="Furniture"/>
    <s v="Product_B"/>
    <n v="1845"/>
    <n v="2"/>
    <n v="0.18"/>
    <n v="-188"/>
    <s v="COD"/>
    <n v="3025.8"/>
    <s v="Feb"/>
    <n v="2025"/>
    <s v="Q1"/>
    <n v="-6.2132328640359571E-2"/>
    <n v="664.19999999999993"/>
    <x v="1"/>
    <x v="0"/>
    <s v="Below Avg"/>
    <s v="Loss"/>
    <n v="391"/>
  </r>
  <r>
    <n v="401"/>
    <x v="400"/>
    <n v="1096"/>
    <s v="Customer_28"/>
    <s v="Consumer"/>
    <s v="East"/>
    <s v="Electronics"/>
    <s v="Product_C"/>
    <n v="3601"/>
    <n v="7"/>
    <n v="0.06"/>
    <n v="774"/>
    <s v="Card"/>
    <n v="23694.5799999999"/>
    <s v="Feb"/>
    <n v="2025"/>
    <s v="Q1"/>
    <n v="3.2665698231410023E-2"/>
    <n v="1512.4199999999998"/>
    <x v="0"/>
    <x v="0"/>
    <s v="Above Avg"/>
    <s v="Profit"/>
    <n v="54"/>
  </r>
  <r>
    <n v="402"/>
    <x v="401"/>
    <n v="1007"/>
    <s v="Customer_72"/>
    <s v="Consumer"/>
    <s v="West"/>
    <s v="Clothing"/>
    <s v="Product_D"/>
    <n v="1056"/>
    <n v="2"/>
    <n v="0"/>
    <n v="1283"/>
    <s v="UPI"/>
    <n v="2112"/>
    <s v="Feb"/>
    <n v="2025"/>
    <s v="Q1"/>
    <n v="0.60748106060606055"/>
    <n v="0"/>
    <x v="1"/>
    <x v="0"/>
    <s v="Below Avg"/>
    <s v="Profit"/>
    <n v="422"/>
  </r>
  <r>
    <n v="403"/>
    <x v="402"/>
    <n v="1077"/>
    <s v="Customer_109"/>
    <s v="Consumer"/>
    <s v="West"/>
    <s v="Clothing"/>
    <s v="Product_D"/>
    <n v="4889"/>
    <n v="8"/>
    <n v="0.14000000000000001"/>
    <n v="517"/>
    <s v="UPI"/>
    <n v="33636.32"/>
    <s v="Feb"/>
    <n v="2025"/>
    <s v="Q1"/>
    <n v="1.5370290210106219E-2"/>
    <n v="5475.68"/>
    <x v="0"/>
    <x v="0"/>
    <s v="Above Avg"/>
    <s v="Profit"/>
    <n v="16"/>
  </r>
  <r>
    <n v="404"/>
    <x v="403"/>
    <n v="1061"/>
    <s v="Customer_60"/>
    <s v="Consumer"/>
    <s v="South"/>
    <s v="Electronics"/>
    <s v="Product_D"/>
    <n v="4231"/>
    <n v="3"/>
    <n v="7.0000000000000007E-2"/>
    <n v="-225"/>
    <s v="UPI"/>
    <n v="11804.49"/>
    <s v="Feb"/>
    <n v="2025"/>
    <s v="Q1"/>
    <n v="-1.9060543911681063E-2"/>
    <n v="888.5100000000001"/>
    <x v="0"/>
    <x v="0"/>
    <s v="Above Avg"/>
    <s v="Loss"/>
    <n v="172"/>
  </r>
  <r>
    <n v="405"/>
    <x v="404"/>
    <n v="1088"/>
    <s v="Customer_13"/>
    <s v="Corporate"/>
    <s v="South"/>
    <s v="Electronics"/>
    <s v="Product_B"/>
    <n v="2954"/>
    <n v="6"/>
    <n v="7.0000000000000007E-2"/>
    <n v="-111"/>
    <s v="COD"/>
    <n v="16483.32"/>
    <s v="Feb"/>
    <n v="2025"/>
    <s v="Q1"/>
    <n v="-6.7340802702368216E-3"/>
    <n v="1240.68"/>
    <x v="0"/>
    <x v="0"/>
    <s v="Above Avg"/>
    <s v="Loss"/>
    <n v="115"/>
  </r>
  <r>
    <n v="406"/>
    <x v="405"/>
    <n v="1095"/>
    <s v="Customer_18"/>
    <s v="Corporate"/>
    <s v="West"/>
    <s v="Electronics"/>
    <s v="Product_D"/>
    <n v="3263"/>
    <n v="8"/>
    <n v="0.15"/>
    <n v="562"/>
    <s v="COD"/>
    <n v="22188.3999999999"/>
    <s v="Feb"/>
    <n v="2025"/>
    <s v="Q1"/>
    <n v="2.5328550053181055E-2"/>
    <n v="3915.6"/>
    <x v="0"/>
    <x v="0"/>
    <s v="Above Avg"/>
    <s v="Profit"/>
    <n v="65"/>
  </r>
  <r>
    <n v="407"/>
    <x v="406"/>
    <n v="1027"/>
    <s v="Customer_179"/>
    <s v="Corporate"/>
    <s v="North"/>
    <s v="Electronics"/>
    <s v="Product_D"/>
    <n v="1024"/>
    <n v="5"/>
    <n v="0.11"/>
    <n v="538"/>
    <s v="COD"/>
    <n v="4556.8"/>
    <s v="Feb"/>
    <n v="2025"/>
    <s v="Q1"/>
    <n v="0.11806530898876404"/>
    <n v="563.20000000000005"/>
    <x v="1"/>
    <x v="0"/>
    <s v="Below Avg"/>
    <s v="Profit"/>
    <n v="337"/>
  </r>
  <r>
    <n v="408"/>
    <x v="407"/>
    <n v="1065"/>
    <s v="Customer_50"/>
    <s v="Consumer"/>
    <s v="East"/>
    <s v="Clothing"/>
    <s v="Product_A"/>
    <n v="2288"/>
    <n v="7"/>
    <n v="0.15"/>
    <n v="634"/>
    <s v="Card"/>
    <n v="13613.6"/>
    <s v="Feb"/>
    <n v="2025"/>
    <s v="Q1"/>
    <n v="4.6571075982840687E-2"/>
    <n v="2402.4"/>
    <x v="0"/>
    <x v="0"/>
    <s v="Above Avg"/>
    <s v="Profit"/>
    <n v="152"/>
  </r>
  <r>
    <n v="409"/>
    <x v="408"/>
    <n v="1016"/>
    <s v="Customer_43"/>
    <s v="Consumer"/>
    <s v="West"/>
    <s v="Electronics"/>
    <s v="Product_A"/>
    <n v="4617"/>
    <n v="9"/>
    <n v="0.08"/>
    <n v="1491"/>
    <s v="Card"/>
    <n v="38228.76"/>
    <s v="Feb"/>
    <n v="2025"/>
    <s v="Q1"/>
    <n v="3.9002049765673799E-2"/>
    <n v="3324.2400000000002"/>
    <x v="0"/>
    <x v="0"/>
    <s v="Above Avg"/>
    <s v="Profit"/>
    <n v="5"/>
  </r>
  <r>
    <n v="410"/>
    <x v="409"/>
    <n v="1090"/>
    <s v="Customer_85"/>
    <s v="Consumer"/>
    <s v="West"/>
    <s v="Clothing"/>
    <s v="Product_D"/>
    <n v="1303"/>
    <n v="5"/>
    <n v="0.18"/>
    <n v="826"/>
    <s v="Card"/>
    <n v="5342.3"/>
    <s v="Feb"/>
    <n v="2025"/>
    <s v="Q1"/>
    <n v="0.15461505344140164"/>
    <n v="1172.7"/>
    <x v="0"/>
    <x v="0"/>
    <s v="Below Avg"/>
    <s v="Profit"/>
    <n v="315"/>
  </r>
  <r>
    <n v="411"/>
    <x v="410"/>
    <n v="1001"/>
    <s v="Customer_46"/>
    <s v="Consumer"/>
    <s v="South"/>
    <s v="Furniture"/>
    <s v="Product_A"/>
    <n v="2942"/>
    <n v="7"/>
    <n v="0.19"/>
    <n v="90"/>
    <s v="UPI"/>
    <n v="16681.14"/>
    <s v="Feb"/>
    <n v="2025"/>
    <s v="Q1"/>
    <n v="5.3953147087069595E-3"/>
    <n v="3912.86"/>
    <x v="0"/>
    <x v="0"/>
    <s v="Above Avg"/>
    <s v="Profit"/>
    <n v="109"/>
  </r>
  <r>
    <n v="412"/>
    <x v="411"/>
    <n v="1007"/>
    <s v="Customer_24"/>
    <s v="Consumer"/>
    <s v="West"/>
    <s v="Furniture"/>
    <s v="Product_C"/>
    <n v="3138"/>
    <n v="8"/>
    <n v="0.06"/>
    <n v="281"/>
    <s v="COD"/>
    <n v="23597.759999999998"/>
    <s v="Feb"/>
    <n v="2025"/>
    <s v="Q1"/>
    <n v="1.1907909903312858E-2"/>
    <n v="1506.24"/>
    <x v="0"/>
    <x v="0"/>
    <s v="Above Avg"/>
    <s v="Profit"/>
    <n v="55"/>
  </r>
  <r>
    <n v="413"/>
    <x v="412"/>
    <n v="1037"/>
    <s v="Customer_5"/>
    <s v="Corporate"/>
    <s v="South"/>
    <s v="Electronics"/>
    <s v="Product_C"/>
    <n v="2851"/>
    <n v="4"/>
    <n v="0.17"/>
    <n v="385"/>
    <s v="Card"/>
    <n v="9465.32"/>
    <s v="Feb"/>
    <n v="2025"/>
    <s v="Q1"/>
    <n v="4.0674800218059193E-2"/>
    <n v="1938.68"/>
    <x v="0"/>
    <x v="0"/>
    <s v="Below Avg"/>
    <s v="Profit"/>
    <n v="219"/>
  </r>
  <r>
    <n v="414"/>
    <x v="413"/>
    <n v="1019"/>
    <s v="Customer_158"/>
    <s v="Consumer"/>
    <s v="East"/>
    <s v="Clothing"/>
    <s v="Product_A"/>
    <n v="1181"/>
    <n v="8"/>
    <n v="0.13"/>
    <n v="-134"/>
    <s v="COD"/>
    <n v="8219.76"/>
    <s v="Feb"/>
    <n v="2025"/>
    <s v="Q1"/>
    <n v="-1.6302179139050289E-2"/>
    <n v="1228.24"/>
    <x v="0"/>
    <x v="0"/>
    <s v="Below Avg"/>
    <s v="Loss"/>
    <n v="243"/>
  </r>
  <r>
    <n v="415"/>
    <x v="414"/>
    <n v="1063"/>
    <s v="Customer_43"/>
    <s v="Corporate"/>
    <s v="West"/>
    <s v="Furniture"/>
    <s v="Product_A"/>
    <n v="4382"/>
    <n v="8"/>
    <n v="0.28999999999999998"/>
    <n v="420"/>
    <s v="UPI"/>
    <n v="24889.759999999998"/>
    <s v="Feb"/>
    <n v="2025"/>
    <s v="Q1"/>
    <n v="1.6874409395671152E-2"/>
    <n v="10166.24"/>
    <x v="0"/>
    <x v="0"/>
    <s v="Above Avg"/>
    <s v="Profit"/>
    <n v="43"/>
  </r>
  <r>
    <n v="416"/>
    <x v="415"/>
    <n v="1020"/>
    <s v="Customer_53"/>
    <s v="Consumer"/>
    <s v="East"/>
    <s v="Furniture"/>
    <s v="Product_C"/>
    <n v="346"/>
    <n v="1"/>
    <n v="0.22"/>
    <n v="1283"/>
    <s v="COD"/>
    <n v="269.88"/>
    <s v="Feb"/>
    <n v="2025"/>
    <s v="Q1"/>
    <n v="4.7539647250629908"/>
    <n v="76.12"/>
    <x v="2"/>
    <x v="0"/>
    <s v="Below Avg"/>
    <s v="Profit"/>
    <n v="497"/>
  </r>
  <r>
    <n v="417"/>
    <x v="416"/>
    <n v="1089"/>
    <s v="Customer_152"/>
    <s v="Consumer"/>
    <s v="South"/>
    <s v="Electronics"/>
    <s v="Product_B"/>
    <n v="895"/>
    <n v="7"/>
    <n v="0.05"/>
    <n v="305"/>
    <s v="Card"/>
    <n v="5951.75"/>
    <s v="Feb"/>
    <n v="2025"/>
    <s v="Q1"/>
    <n v="5.1245432015793672E-2"/>
    <n v="313.25"/>
    <x v="0"/>
    <x v="0"/>
    <s v="Below Avg"/>
    <s v="Profit"/>
    <n v="299"/>
  </r>
  <r>
    <n v="418"/>
    <x v="417"/>
    <n v="1030"/>
    <s v="Customer_103"/>
    <s v="Consumer"/>
    <s v="North"/>
    <s v="Clothing"/>
    <s v="Product_D"/>
    <n v="3786"/>
    <n v="6"/>
    <n v="0.26"/>
    <n v="1046"/>
    <s v="UPI"/>
    <n v="16809.84"/>
    <s v="Feb"/>
    <n v="2025"/>
    <s v="Q1"/>
    <n v="6.2225458421971892E-2"/>
    <n v="5906.16"/>
    <x v="0"/>
    <x v="0"/>
    <s v="Above Avg"/>
    <s v="Profit"/>
    <n v="106"/>
  </r>
  <r>
    <n v="419"/>
    <x v="418"/>
    <n v="1083"/>
    <s v="Customer_142"/>
    <s v="Corporate"/>
    <s v="North"/>
    <s v="Electronics"/>
    <s v="Product_A"/>
    <n v="1037"/>
    <n v="9"/>
    <n v="0.14000000000000001"/>
    <n v="1107"/>
    <s v="Card"/>
    <n v="8026.38"/>
    <s v="Feb"/>
    <n v="2025"/>
    <s v="Q1"/>
    <n v="0.13792020811374492"/>
    <n v="1306.6200000000001"/>
    <x v="0"/>
    <x v="0"/>
    <s v="Below Avg"/>
    <s v="Profit"/>
    <n v="253"/>
  </r>
  <r>
    <n v="420"/>
    <x v="419"/>
    <n v="1069"/>
    <s v="Customer_164"/>
    <s v="Corporate"/>
    <s v="East"/>
    <s v="Clothing"/>
    <s v="Product_B"/>
    <n v="2011"/>
    <n v="8"/>
    <n v="0.25"/>
    <n v="1506"/>
    <s v="Card"/>
    <n v="12066"/>
    <s v="Feb"/>
    <n v="2025"/>
    <s v="Q1"/>
    <n v="0.12481352560914968"/>
    <n v="4022"/>
    <x v="0"/>
    <x v="0"/>
    <s v="Above Avg"/>
    <s v="Profit"/>
    <n v="166"/>
  </r>
  <r>
    <n v="421"/>
    <x v="420"/>
    <n v="1014"/>
    <s v="Customer_154"/>
    <s v="Consumer"/>
    <s v="North"/>
    <s v="Clothing"/>
    <s v="Product_D"/>
    <n v="1278"/>
    <n v="4"/>
    <n v="0.25"/>
    <n v="-41"/>
    <s v="Card"/>
    <n v="3834"/>
    <s v="Feb"/>
    <n v="2025"/>
    <s v="Q1"/>
    <n v="-1.069379238393323E-2"/>
    <n v="1278"/>
    <x v="1"/>
    <x v="0"/>
    <s v="Below Avg"/>
    <s v="Loss"/>
    <n v="362"/>
  </r>
  <r>
    <n v="422"/>
    <x v="421"/>
    <n v="1056"/>
    <s v="Customer_13"/>
    <s v="Corporate"/>
    <s v="East"/>
    <s v="Clothing"/>
    <s v="Product_A"/>
    <n v="837"/>
    <n v="2"/>
    <n v="0.01"/>
    <n v="1937"/>
    <s v="COD"/>
    <n v="1657.26"/>
    <s v="Feb"/>
    <n v="2025"/>
    <s v="Q1"/>
    <n v="1.1687966885099501"/>
    <n v="16.740000000000002"/>
    <x v="2"/>
    <x v="0"/>
    <s v="Below Avg"/>
    <s v="Profit"/>
    <n v="449"/>
  </r>
  <r>
    <n v="423"/>
    <x v="422"/>
    <n v="1000"/>
    <s v="Customer_21"/>
    <s v="Consumer"/>
    <s v="North"/>
    <s v="Clothing"/>
    <s v="Product_A"/>
    <n v="734"/>
    <n v="3"/>
    <n v="7.0000000000000007E-2"/>
    <n v="1682"/>
    <s v="UPI"/>
    <n v="2047.86"/>
    <s v="Feb"/>
    <n v="2025"/>
    <s v="Q1"/>
    <n v="0.82134520914515641"/>
    <n v="154.14000000000001"/>
    <x v="1"/>
    <x v="0"/>
    <s v="Below Avg"/>
    <s v="Profit"/>
    <n v="427"/>
  </r>
  <r>
    <n v="424"/>
    <x v="423"/>
    <n v="1089"/>
    <s v="Customer_90"/>
    <s v="Corporate"/>
    <s v="West"/>
    <s v="Electronics"/>
    <s v="Product_B"/>
    <n v="316"/>
    <n v="7"/>
    <n v="0.27"/>
    <n v="1139"/>
    <s v="Card"/>
    <n v="1614.76"/>
    <s v="Feb"/>
    <n v="2025"/>
    <s v="Q1"/>
    <n v="0.70536798038098536"/>
    <n v="597.24"/>
    <x v="2"/>
    <x v="0"/>
    <s v="Below Avg"/>
    <s v="Profit"/>
    <n v="453"/>
  </r>
  <r>
    <n v="425"/>
    <x v="424"/>
    <n v="1028"/>
    <s v="Customer_98"/>
    <s v="Consumer"/>
    <s v="South"/>
    <s v="Furniture"/>
    <s v="Product_D"/>
    <n v="519"/>
    <n v="9"/>
    <n v="0.23"/>
    <n v="411"/>
    <s v="Card"/>
    <n v="3596.67"/>
    <s v="Feb"/>
    <n v="2025"/>
    <s v="Q1"/>
    <n v="0.11427236860762872"/>
    <n v="1074.3300000000002"/>
    <x v="1"/>
    <x v="0"/>
    <s v="Below Avg"/>
    <s v="Profit"/>
    <n v="369"/>
  </r>
  <r>
    <n v="426"/>
    <x v="425"/>
    <n v="1065"/>
    <s v="Customer_40"/>
    <s v="Consumer"/>
    <s v="North"/>
    <s v="Clothing"/>
    <s v="Product_A"/>
    <n v="2662"/>
    <n v="3"/>
    <n v="0.04"/>
    <n v="1264"/>
    <s v="UPI"/>
    <n v="7666.5599999999904"/>
    <s v="Mar"/>
    <n v="2025"/>
    <s v="Q1"/>
    <n v="0.16487185908673532"/>
    <n v="319.44"/>
    <x v="0"/>
    <x v="0"/>
    <s v="Below Avg"/>
    <s v="Profit"/>
    <n v="260"/>
  </r>
  <r>
    <n v="427"/>
    <x v="426"/>
    <n v="1021"/>
    <s v="Customer_43"/>
    <s v="Consumer"/>
    <s v="East"/>
    <s v="Clothing"/>
    <s v="Product_D"/>
    <n v="408"/>
    <n v="7"/>
    <n v="0.06"/>
    <n v="1876"/>
    <s v="Card"/>
    <n v="2684.64"/>
    <s v="Mar"/>
    <n v="2025"/>
    <s v="Q1"/>
    <n v="0.69879015435961622"/>
    <n v="171.35999999999999"/>
    <x v="1"/>
    <x v="0"/>
    <s v="Below Avg"/>
    <s v="Profit"/>
    <n v="402"/>
  </r>
  <r>
    <n v="428"/>
    <x v="427"/>
    <n v="1060"/>
    <s v="Customer_59"/>
    <s v="Consumer"/>
    <s v="South"/>
    <s v="Clothing"/>
    <s v="Product_D"/>
    <n v="4903"/>
    <n v="1"/>
    <n v="0.19"/>
    <n v="1541"/>
    <s v="UPI"/>
    <n v="3971.43"/>
    <s v="Mar"/>
    <n v="2025"/>
    <s v="Q1"/>
    <n v="0.38802144315775428"/>
    <n v="931.57"/>
    <x v="1"/>
    <x v="0"/>
    <s v="Below Avg"/>
    <s v="Profit"/>
    <n v="355"/>
  </r>
  <r>
    <n v="429"/>
    <x v="428"/>
    <n v="1028"/>
    <s v="Customer_49"/>
    <s v="Corporate"/>
    <s v="West"/>
    <s v="Electronics"/>
    <s v="Product_D"/>
    <n v="1966"/>
    <n v="3"/>
    <n v="0.08"/>
    <n v="919"/>
    <s v="Card"/>
    <n v="5426.16"/>
    <s v="Mar"/>
    <n v="2025"/>
    <s v="Q1"/>
    <n v="0.16936470726996625"/>
    <n v="471.84000000000003"/>
    <x v="0"/>
    <x v="0"/>
    <s v="Below Avg"/>
    <s v="Profit"/>
    <n v="311"/>
  </r>
  <r>
    <n v="430"/>
    <x v="429"/>
    <n v="1008"/>
    <s v="Customer_175"/>
    <s v="Corporate"/>
    <s v="West"/>
    <s v="Clothing"/>
    <s v="Product_B"/>
    <n v="1083"/>
    <n v="2"/>
    <n v="0.06"/>
    <n v="25"/>
    <s v="Card"/>
    <n v="2036.04"/>
    <s v="Mar"/>
    <n v="2025"/>
    <s v="Q1"/>
    <n v="1.2278737156440934E-2"/>
    <n v="129.96"/>
    <x v="1"/>
    <x v="0"/>
    <s v="Below Avg"/>
    <s v="Profit"/>
    <n v="429"/>
  </r>
  <r>
    <n v="431"/>
    <x v="430"/>
    <n v="1040"/>
    <s v="Customer_147"/>
    <s v="Corporate"/>
    <s v="East"/>
    <s v="Furniture"/>
    <s v="Product_D"/>
    <n v="3878"/>
    <n v="6"/>
    <n v="0.3"/>
    <n v="227"/>
    <s v="Card"/>
    <n v="16287.5999999999"/>
    <s v="Mar"/>
    <n v="2025"/>
    <s v="Q1"/>
    <n v="1.3936982735332485E-2"/>
    <n v="6980.4"/>
    <x v="0"/>
    <x v="0"/>
    <s v="Above Avg"/>
    <s v="Profit"/>
    <n v="120"/>
  </r>
  <r>
    <n v="432"/>
    <x v="431"/>
    <n v="1020"/>
    <s v="Customer_140"/>
    <s v="Consumer"/>
    <s v="North"/>
    <s v="Clothing"/>
    <s v="Product_C"/>
    <n v="2387"/>
    <n v="9"/>
    <n v="0.14000000000000001"/>
    <n v="-68"/>
    <s v="COD"/>
    <n v="18475.38"/>
    <s v="Mar"/>
    <n v="2025"/>
    <s v="Q1"/>
    <n v="-3.6805738231094568E-3"/>
    <n v="3007.6200000000003"/>
    <x v="0"/>
    <x v="0"/>
    <s v="Above Avg"/>
    <s v="Loss"/>
    <n v="88"/>
  </r>
  <r>
    <n v="433"/>
    <x v="432"/>
    <n v="1054"/>
    <s v="Customer_36"/>
    <s v="Consumer"/>
    <s v="North"/>
    <s v="Furniture"/>
    <s v="Product_A"/>
    <n v="3414"/>
    <n v="3"/>
    <n v="0.16"/>
    <n v="1361"/>
    <s v="UPI"/>
    <n v="8603.2799999999897"/>
    <s v="Mar"/>
    <n v="2025"/>
    <s v="Q1"/>
    <n v="0.15819547893361621"/>
    <n v="1638.72"/>
    <x v="0"/>
    <x v="0"/>
    <s v="Below Avg"/>
    <s v="Profit"/>
    <n v="236"/>
  </r>
  <r>
    <n v="434"/>
    <x v="433"/>
    <n v="1095"/>
    <s v="Customer_122"/>
    <s v="Consumer"/>
    <s v="South"/>
    <s v="Furniture"/>
    <s v="Product_D"/>
    <n v="661"/>
    <n v="8"/>
    <n v="0.2"/>
    <n v="31"/>
    <s v="COD"/>
    <n v="4230.3999999999996"/>
    <s v="Mar"/>
    <n v="2025"/>
    <s v="Q1"/>
    <n v="7.3279122541603636E-3"/>
    <n v="1057.6000000000001"/>
    <x v="1"/>
    <x v="0"/>
    <s v="Below Avg"/>
    <s v="Profit"/>
    <n v="345"/>
  </r>
  <r>
    <n v="435"/>
    <x v="434"/>
    <n v="1095"/>
    <s v="Customer_94"/>
    <s v="Consumer"/>
    <s v="East"/>
    <s v="Electronics"/>
    <s v="Product_A"/>
    <n v="3695"/>
    <n v="9"/>
    <n v="0.02"/>
    <n v="1064"/>
    <s v="COD"/>
    <n v="32589.8999999999"/>
    <s v="Mar"/>
    <n v="2025"/>
    <s v="Q1"/>
    <n v="3.2648151727989447E-2"/>
    <n v="665.1"/>
    <x v="0"/>
    <x v="0"/>
    <s v="Above Avg"/>
    <s v="Profit"/>
    <n v="19"/>
  </r>
  <r>
    <n v="436"/>
    <x v="435"/>
    <n v="1039"/>
    <s v="Customer_108"/>
    <s v="Corporate"/>
    <s v="East"/>
    <s v="Furniture"/>
    <s v="Product_C"/>
    <n v="4987"/>
    <n v="8"/>
    <n v="0.12"/>
    <n v="1901"/>
    <s v="UPI"/>
    <n v="35108.480000000003"/>
    <s v="Mar"/>
    <n v="2025"/>
    <s v="Q1"/>
    <n v="5.4146462620996406E-2"/>
    <n v="4787.5199999999995"/>
    <x v="0"/>
    <x v="0"/>
    <s v="Above Avg"/>
    <s v="Profit"/>
    <n v="11"/>
  </r>
  <r>
    <n v="437"/>
    <x v="436"/>
    <n v="1025"/>
    <s v="Customer_33"/>
    <s v="Corporate"/>
    <s v="South"/>
    <s v="Clothing"/>
    <s v="Product_C"/>
    <n v="1502"/>
    <n v="9"/>
    <n v="0.27"/>
    <n v="407"/>
    <s v="UPI"/>
    <n v="9868.14"/>
    <s v="Mar"/>
    <n v="2025"/>
    <s v="Q1"/>
    <n v="4.1243841291266646E-2"/>
    <n v="3649.86"/>
    <x v="0"/>
    <x v="0"/>
    <s v="Below Avg"/>
    <s v="Profit"/>
    <n v="205"/>
  </r>
  <r>
    <n v="438"/>
    <x v="437"/>
    <n v="1047"/>
    <s v="Customer_108"/>
    <s v="Corporate"/>
    <s v="South"/>
    <s v="Furniture"/>
    <s v="Product_C"/>
    <n v="2678"/>
    <n v="9"/>
    <n v="0.28000000000000003"/>
    <n v="-115"/>
    <s v="UPI"/>
    <n v="17353.439999999999"/>
    <s v="Mar"/>
    <n v="2025"/>
    <s v="Q1"/>
    <n v="-6.626928147963747E-3"/>
    <n v="6748.56"/>
    <x v="0"/>
    <x v="0"/>
    <s v="Above Avg"/>
    <s v="Loss"/>
    <n v="100"/>
  </r>
  <r>
    <n v="439"/>
    <x v="438"/>
    <n v="1076"/>
    <s v="Customer_127"/>
    <s v="Corporate"/>
    <s v="North"/>
    <s v="Clothing"/>
    <s v="Product_C"/>
    <n v="3044"/>
    <n v="3"/>
    <n v="0.15"/>
    <n v="151"/>
    <s v="UPI"/>
    <n v="7762.2"/>
    <s v="Mar"/>
    <n v="2025"/>
    <s v="Q1"/>
    <n v="1.9453247790574838E-2"/>
    <n v="1369.8"/>
    <x v="0"/>
    <x v="0"/>
    <s v="Below Avg"/>
    <s v="Profit"/>
    <n v="257"/>
  </r>
  <r>
    <n v="440"/>
    <x v="439"/>
    <n v="1002"/>
    <s v="Customer_87"/>
    <s v="Consumer"/>
    <s v="South"/>
    <s v="Furniture"/>
    <s v="Product_A"/>
    <n v="670"/>
    <n v="9"/>
    <n v="0.27"/>
    <n v="-290"/>
    <s v="Card"/>
    <n v="4401.8999999999996"/>
    <s v="Mar"/>
    <n v="2025"/>
    <s v="Q1"/>
    <n v="-6.5880642449851201E-2"/>
    <n v="1628.1000000000001"/>
    <x v="1"/>
    <x v="0"/>
    <s v="Below Avg"/>
    <s v="Loss"/>
    <n v="340"/>
  </r>
  <r>
    <n v="441"/>
    <x v="440"/>
    <n v="1095"/>
    <s v="Customer_62"/>
    <s v="Consumer"/>
    <s v="East"/>
    <s v="Clothing"/>
    <s v="Product_D"/>
    <n v="2551"/>
    <n v="1"/>
    <n v="0.15"/>
    <n v="453"/>
    <s v="COD"/>
    <n v="2168.35"/>
    <s v="Mar"/>
    <n v="2025"/>
    <s v="Q1"/>
    <n v="0.20891461249337054"/>
    <n v="382.65"/>
    <x v="1"/>
    <x v="0"/>
    <s v="Below Avg"/>
    <s v="Profit"/>
    <n v="420"/>
  </r>
  <r>
    <n v="442"/>
    <x v="441"/>
    <n v="1032"/>
    <s v="Customer_169"/>
    <s v="Corporate"/>
    <s v="West"/>
    <s v="Electronics"/>
    <s v="Product_B"/>
    <n v="1755"/>
    <n v="4"/>
    <n v="0.3"/>
    <n v="678"/>
    <s v="COD"/>
    <n v="4914"/>
    <s v="Mar"/>
    <n v="2025"/>
    <s v="Q1"/>
    <n v="0.13797313797313798"/>
    <n v="2106"/>
    <x v="1"/>
    <x v="0"/>
    <s v="Below Avg"/>
    <s v="Profit"/>
    <n v="327"/>
  </r>
  <r>
    <n v="443"/>
    <x v="442"/>
    <n v="1096"/>
    <s v="Customer_19"/>
    <s v="Corporate"/>
    <s v="West"/>
    <s v="Clothing"/>
    <s v="Product_D"/>
    <n v="4413"/>
    <n v="1"/>
    <n v="0.24"/>
    <n v="-325"/>
    <s v="Card"/>
    <n v="3353.88"/>
    <s v="Mar"/>
    <n v="2025"/>
    <s v="Q1"/>
    <n v="-9.6902691807697353E-2"/>
    <n v="1059.1199999999999"/>
    <x v="1"/>
    <x v="0"/>
    <s v="Below Avg"/>
    <s v="Loss"/>
    <n v="383"/>
  </r>
  <r>
    <n v="444"/>
    <x v="443"/>
    <n v="1041"/>
    <s v="Customer_101"/>
    <s v="Consumer"/>
    <s v="West"/>
    <s v="Electronics"/>
    <s v="Product_D"/>
    <n v="4983"/>
    <n v="2"/>
    <n v="0.25"/>
    <n v="159"/>
    <s v="COD"/>
    <n v="7474.5"/>
    <s v="Mar"/>
    <n v="2025"/>
    <s v="Q1"/>
    <n v="2.1272325908087499E-2"/>
    <n v="2491.5"/>
    <x v="0"/>
    <x v="0"/>
    <s v="Below Avg"/>
    <s v="Profit"/>
    <n v="265"/>
  </r>
  <r>
    <n v="445"/>
    <x v="444"/>
    <n v="1076"/>
    <s v="Customer_31"/>
    <s v="Consumer"/>
    <s v="West"/>
    <s v="Clothing"/>
    <s v="Product_A"/>
    <n v="2328"/>
    <n v="4"/>
    <n v="0.06"/>
    <n v="878"/>
    <s v="COD"/>
    <n v="8753.2799999999897"/>
    <s v="Mar"/>
    <n v="2025"/>
    <s v="Q1"/>
    <n v="0.10030525700080439"/>
    <n v="558.72"/>
    <x v="0"/>
    <x v="0"/>
    <s v="Below Avg"/>
    <s v="Profit"/>
    <n v="234"/>
  </r>
  <r>
    <n v="446"/>
    <x v="445"/>
    <n v="1042"/>
    <s v="Customer_50"/>
    <s v="Consumer"/>
    <s v="East"/>
    <s v="Furniture"/>
    <s v="Product_D"/>
    <n v="4886"/>
    <n v="8"/>
    <n v="0"/>
    <n v="-420"/>
    <s v="UPI"/>
    <n v="39088"/>
    <s v="Mar"/>
    <n v="2025"/>
    <s v="Q1"/>
    <n v="-1.0744985673352435E-2"/>
    <n v="0"/>
    <x v="0"/>
    <x v="1"/>
    <s v="Above Avg"/>
    <s v="Loss"/>
    <n v="4"/>
  </r>
  <r>
    <n v="447"/>
    <x v="446"/>
    <n v="1069"/>
    <s v="Customer_170"/>
    <s v="Consumer"/>
    <s v="West"/>
    <s v="Clothing"/>
    <s v="Product_C"/>
    <n v="2947"/>
    <n v="6"/>
    <n v="0.15"/>
    <n v="963"/>
    <s v="Card"/>
    <n v="15029.699999999901"/>
    <s v="Mar"/>
    <n v="2025"/>
    <s v="Q1"/>
    <n v="6.4073135192319636E-2"/>
    <n v="2652.2999999999997"/>
    <x v="0"/>
    <x v="0"/>
    <s v="Above Avg"/>
    <s v="Profit"/>
    <n v="137"/>
  </r>
  <r>
    <n v="448"/>
    <x v="447"/>
    <n v="1003"/>
    <s v="Customer_103"/>
    <s v="Corporate"/>
    <s v="East"/>
    <s v="Furniture"/>
    <s v="Product_A"/>
    <n v="3985"/>
    <n v="4"/>
    <n v="0.28999999999999998"/>
    <n v="735"/>
    <s v="Card"/>
    <n v="11317.4"/>
    <s v="Mar"/>
    <n v="2025"/>
    <s v="Q1"/>
    <n v="6.494424514464453E-2"/>
    <n v="4622.5999999999995"/>
    <x v="0"/>
    <x v="0"/>
    <s v="Above Avg"/>
    <s v="Profit"/>
    <n v="185"/>
  </r>
  <r>
    <n v="449"/>
    <x v="448"/>
    <n v="1063"/>
    <s v="Customer_17"/>
    <s v="Consumer"/>
    <s v="North"/>
    <s v="Clothing"/>
    <s v="Product_B"/>
    <n v="444"/>
    <n v="4"/>
    <n v="0.28999999999999998"/>
    <n v="1226"/>
    <s v="Card"/>
    <n v="1260.96"/>
    <s v="Mar"/>
    <n v="2025"/>
    <s v="Q1"/>
    <n v="0.97227509199340179"/>
    <n v="515.04"/>
    <x v="2"/>
    <x v="0"/>
    <s v="Below Avg"/>
    <s v="Profit"/>
    <n v="467"/>
  </r>
  <r>
    <n v="450"/>
    <x v="449"/>
    <n v="1069"/>
    <s v="Customer_196"/>
    <s v="Consumer"/>
    <s v="West"/>
    <s v="Clothing"/>
    <s v="Product_A"/>
    <n v="3283"/>
    <n v="6"/>
    <n v="0.18"/>
    <n v="-475"/>
    <s v="Card"/>
    <n v="16152.36"/>
    <s v="Mar"/>
    <n v="2025"/>
    <s v="Q1"/>
    <n v="-2.9407467391761945E-2"/>
    <n v="3545.64"/>
    <x v="0"/>
    <x v="0"/>
    <s v="Above Avg"/>
    <s v="Loss"/>
    <n v="124"/>
  </r>
  <r>
    <n v="451"/>
    <x v="450"/>
    <n v="1050"/>
    <s v="Customer_6"/>
    <s v="Consumer"/>
    <s v="East"/>
    <s v="Clothing"/>
    <s v="Product_A"/>
    <n v="3777"/>
    <n v="1"/>
    <n v="0.06"/>
    <n v="658"/>
    <s v="UPI"/>
    <n v="3550.3799999999901"/>
    <s v="Mar"/>
    <n v="2025"/>
    <s v="Q1"/>
    <n v="0.18533227429176646"/>
    <n v="226.62"/>
    <x v="1"/>
    <x v="0"/>
    <s v="Below Avg"/>
    <s v="Profit"/>
    <n v="375"/>
  </r>
  <r>
    <n v="452"/>
    <x v="451"/>
    <n v="1066"/>
    <s v="Customer_60"/>
    <s v="Corporate"/>
    <s v="North"/>
    <s v="Electronics"/>
    <s v="Product_B"/>
    <n v="4411"/>
    <n v="5"/>
    <n v="0"/>
    <n v="1052"/>
    <s v="COD"/>
    <n v="22055"/>
    <s v="Mar"/>
    <n v="2025"/>
    <s v="Q1"/>
    <n v="4.7698934481976873E-2"/>
    <n v="0"/>
    <x v="0"/>
    <x v="0"/>
    <s v="Above Avg"/>
    <s v="Profit"/>
    <n v="66"/>
  </r>
  <r>
    <n v="453"/>
    <x v="452"/>
    <n v="1090"/>
    <s v="Customer_19"/>
    <s v="Corporate"/>
    <s v="North"/>
    <s v="Furniture"/>
    <s v="Product_A"/>
    <n v="2976"/>
    <n v="4"/>
    <n v="0.15"/>
    <n v="1151"/>
    <s v="Card"/>
    <n v="10118.4"/>
    <s v="Mar"/>
    <n v="2025"/>
    <s v="Q1"/>
    <n v="0.11375316255534472"/>
    <n v="1785.6"/>
    <x v="0"/>
    <x v="0"/>
    <s v="Below Avg"/>
    <s v="Profit"/>
    <n v="199"/>
  </r>
  <r>
    <n v="454"/>
    <x v="453"/>
    <n v="1083"/>
    <s v="Customer_186"/>
    <s v="Corporate"/>
    <s v="North"/>
    <s v="Electronics"/>
    <s v="Product_C"/>
    <n v="504"/>
    <n v="8"/>
    <n v="0.09"/>
    <n v="1073"/>
    <s v="UPI"/>
    <n v="3669.12"/>
    <s v="Mar"/>
    <n v="2025"/>
    <s v="Q1"/>
    <n v="0.2924406942264085"/>
    <n v="362.88"/>
    <x v="1"/>
    <x v="0"/>
    <s v="Below Avg"/>
    <s v="Profit"/>
    <n v="367"/>
  </r>
  <r>
    <n v="455"/>
    <x v="454"/>
    <n v="1017"/>
    <s v="Customer_40"/>
    <s v="Corporate"/>
    <s v="West"/>
    <s v="Electronics"/>
    <s v="Product_D"/>
    <n v="2002"/>
    <n v="9"/>
    <n v="0.1"/>
    <n v="-460"/>
    <s v="UPI"/>
    <n v="16216.2"/>
    <s v="Mar"/>
    <n v="2025"/>
    <s v="Q1"/>
    <n v="-2.83666950333617E-2"/>
    <n v="1801.8000000000002"/>
    <x v="0"/>
    <x v="0"/>
    <s v="Above Avg"/>
    <s v="Loss"/>
    <n v="121"/>
  </r>
  <r>
    <n v="456"/>
    <x v="455"/>
    <n v="1019"/>
    <s v="Customer_124"/>
    <s v="Consumer"/>
    <s v="South"/>
    <s v="Electronics"/>
    <s v="Product_A"/>
    <n v="272"/>
    <n v="2"/>
    <n v="0.25"/>
    <n v="237"/>
    <s v="COD"/>
    <n v="408"/>
    <s v="Mar"/>
    <n v="2025"/>
    <s v="Q1"/>
    <n v="0.58088235294117652"/>
    <n v="136"/>
    <x v="2"/>
    <x v="0"/>
    <s v="Below Avg"/>
    <s v="Profit"/>
    <n v="495"/>
  </r>
  <r>
    <n v="457"/>
    <x v="456"/>
    <n v="1029"/>
    <s v="Customer_45"/>
    <s v="Consumer"/>
    <s v="East"/>
    <s v="Electronics"/>
    <s v="Product_B"/>
    <n v="1217"/>
    <n v="2"/>
    <n v="0.03"/>
    <n v="1969"/>
    <s v="COD"/>
    <n v="2360.98"/>
    <s v="Apr"/>
    <n v="2025"/>
    <s v="Q2"/>
    <n v="0.83397572194597158"/>
    <n v="73.02"/>
    <x v="1"/>
    <x v="0"/>
    <s v="Below Avg"/>
    <s v="Profit"/>
    <n v="414"/>
  </r>
  <r>
    <n v="458"/>
    <x v="457"/>
    <n v="1073"/>
    <s v="Customer_42"/>
    <s v="Corporate"/>
    <s v="West"/>
    <s v="Clothing"/>
    <s v="Product_D"/>
    <n v="1801"/>
    <n v="8"/>
    <n v="0.03"/>
    <n v="1897"/>
    <s v="Card"/>
    <n v="13975.76"/>
    <s v="Apr"/>
    <n v="2025"/>
    <s v="Q2"/>
    <n v="0.13573501548395223"/>
    <n v="432.24"/>
    <x v="0"/>
    <x v="0"/>
    <s v="Above Avg"/>
    <s v="Profit"/>
    <n v="148"/>
  </r>
  <r>
    <n v="459"/>
    <x v="458"/>
    <n v="1051"/>
    <s v="Customer_70"/>
    <s v="Corporate"/>
    <s v="East"/>
    <s v="Clothing"/>
    <s v="Product_C"/>
    <n v="4044"/>
    <n v="6"/>
    <n v="0.13"/>
    <n v="-422"/>
    <s v="Card"/>
    <n v="21109.68"/>
    <s v="Apr"/>
    <n v="2025"/>
    <s v="Q2"/>
    <n v="-1.9990828851976911E-2"/>
    <n v="3154.32"/>
    <x v="0"/>
    <x v="0"/>
    <s v="Above Avg"/>
    <s v="Loss"/>
    <n v="75"/>
  </r>
  <r>
    <n v="460"/>
    <x v="459"/>
    <n v="1022"/>
    <s v="Customer_152"/>
    <s v="Corporate"/>
    <s v="East"/>
    <s v="Electronics"/>
    <s v="Product_D"/>
    <n v="1017"/>
    <n v="8"/>
    <n v="0.12"/>
    <n v="622"/>
    <s v="COD"/>
    <n v="7159.68"/>
    <s v="Apr"/>
    <n v="2025"/>
    <s v="Q2"/>
    <n v="8.68753910789309E-2"/>
    <n v="976.31999999999994"/>
    <x v="0"/>
    <x v="0"/>
    <s v="Below Avg"/>
    <s v="Profit"/>
    <n v="272"/>
  </r>
  <r>
    <n v="461"/>
    <x v="460"/>
    <n v="1046"/>
    <s v="Customer_150"/>
    <s v="Consumer"/>
    <s v="South"/>
    <s v="Electronics"/>
    <s v="Product_C"/>
    <n v="3058"/>
    <n v="1"/>
    <n v="0.02"/>
    <n v="1633"/>
    <s v="Card"/>
    <n v="2996.84"/>
    <s v="Apr"/>
    <n v="2025"/>
    <s v="Q2"/>
    <n v="0.54490730235848428"/>
    <n v="61.160000000000004"/>
    <x v="1"/>
    <x v="0"/>
    <s v="Below Avg"/>
    <s v="Profit"/>
    <n v="393"/>
  </r>
  <r>
    <n v="462"/>
    <x v="461"/>
    <n v="1002"/>
    <s v="Customer_53"/>
    <s v="Consumer"/>
    <s v="West"/>
    <s v="Electronics"/>
    <s v="Product_C"/>
    <n v="3212"/>
    <n v="3"/>
    <n v="0.16"/>
    <n v="-72"/>
    <s v="COD"/>
    <n v="8094.24"/>
    <s v="Apr"/>
    <n v="2025"/>
    <s v="Q2"/>
    <n v="-8.8952143746664301E-3"/>
    <n v="1541.76"/>
    <x v="0"/>
    <x v="0"/>
    <s v="Below Avg"/>
    <s v="Loss"/>
    <n v="249"/>
  </r>
  <r>
    <n v="463"/>
    <x v="462"/>
    <n v="1049"/>
    <s v="Customer_78"/>
    <s v="Consumer"/>
    <s v="South"/>
    <s v="Furniture"/>
    <s v="Product_C"/>
    <n v="1965"/>
    <n v="7"/>
    <n v="0.13"/>
    <n v="510"/>
    <s v="COD"/>
    <n v="11966.85"/>
    <s v="Apr"/>
    <n v="2025"/>
    <s v="Q2"/>
    <n v="4.2617731483222399E-2"/>
    <n v="1788.15"/>
    <x v="0"/>
    <x v="0"/>
    <s v="Above Avg"/>
    <s v="Profit"/>
    <n v="168"/>
  </r>
  <r>
    <n v="464"/>
    <x v="463"/>
    <n v="1008"/>
    <s v="Customer_152"/>
    <s v="Consumer"/>
    <s v="North"/>
    <s v="Furniture"/>
    <s v="Product_A"/>
    <n v="406"/>
    <n v="7"/>
    <n v="0.3"/>
    <n v="648"/>
    <s v="COD"/>
    <n v="1989.3999999999901"/>
    <s v="Apr"/>
    <n v="2025"/>
    <s v="Q2"/>
    <n v="0.32572634965316338"/>
    <n v="852.6"/>
    <x v="2"/>
    <x v="0"/>
    <s v="Below Avg"/>
    <s v="Profit"/>
    <n v="431"/>
  </r>
  <r>
    <n v="465"/>
    <x v="464"/>
    <n v="1018"/>
    <s v="Customer_153"/>
    <s v="Consumer"/>
    <s v="West"/>
    <s v="Clothing"/>
    <s v="Product_C"/>
    <n v="1951"/>
    <n v="5"/>
    <n v="0.02"/>
    <n v="575"/>
    <s v="Card"/>
    <n v="9559.9"/>
    <s v="Apr"/>
    <n v="2025"/>
    <s v="Q2"/>
    <n v="6.0147072668124149E-2"/>
    <n v="195.1"/>
    <x v="0"/>
    <x v="0"/>
    <s v="Below Avg"/>
    <s v="Profit"/>
    <n v="214"/>
  </r>
  <r>
    <n v="466"/>
    <x v="465"/>
    <n v="1035"/>
    <s v="Customer_145"/>
    <s v="Consumer"/>
    <s v="North"/>
    <s v="Furniture"/>
    <s v="Product_D"/>
    <n v="930"/>
    <n v="9"/>
    <n v="0.04"/>
    <n v="-226"/>
    <s v="Card"/>
    <n v="8035.2"/>
    <s v="Apr"/>
    <n v="2025"/>
    <s v="Q2"/>
    <n v="-2.8126244524093989E-2"/>
    <n v="334.8"/>
    <x v="0"/>
    <x v="0"/>
    <s v="Below Avg"/>
    <s v="Loss"/>
    <n v="252"/>
  </r>
  <r>
    <n v="467"/>
    <x v="466"/>
    <n v="1039"/>
    <s v="Customer_123"/>
    <s v="Consumer"/>
    <s v="South"/>
    <s v="Electronics"/>
    <s v="Product_A"/>
    <n v="524"/>
    <n v="2"/>
    <n v="0.05"/>
    <n v="563"/>
    <s v="Card"/>
    <n v="995.599999999999"/>
    <s v="Apr"/>
    <n v="2025"/>
    <s v="Q2"/>
    <n v="0.56548814785054291"/>
    <n v="52.400000000000006"/>
    <x v="2"/>
    <x v="0"/>
    <s v="Below Avg"/>
    <s v="Profit"/>
    <n v="480"/>
  </r>
  <r>
    <n v="468"/>
    <x v="467"/>
    <n v="1026"/>
    <s v="Customer_115"/>
    <s v="Corporate"/>
    <s v="North"/>
    <s v="Furniture"/>
    <s v="Product_B"/>
    <n v="3851"/>
    <n v="1"/>
    <n v="0.1"/>
    <n v="1436"/>
    <s v="UPI"/>
    <n v="3465.9"/>
    <s v="Apr"/>
    <n v="2025"/>
    <s v="Q2"/>
    <n v="0.41432239822268385"/>
    <n v="385.1"/>
    <x v="1"/>
    <x v="0"/>
    <s v="Below Avg"/>
    <s v="Profit"/>
    <n v="377"/>
  </r>
  <r>
    <n v="469"/>
    <x v="468"/>
    <n v="1091"/>
    <s v="Customer_110"/>
    <s v="Corporate"/>
    <s v="East"/>
    <s v="Electronics"/>
    <s v="Product_A"/>
    <n v="4972"/>
    <n v="3"/>
    <n v="0.2"/>
    <n v="1594"/>
    <s v="COD"/>
    <n v="11932.8"/>
    <s v="Apr"/>
    <n v="2025"/>
    <s v="Q2"/>
    <n v="0.13358138911236256"/>
    <n v="2983.2000000000003"/>
    <x v="0"/>
    <x v="0"/>
    <s v="Above Avg"/>
    <s v="Profit"/>
    <n v="169"/>
  </r>
  <r>
    <n v="470"/>
    <x v="469"/>
    <n v="1071"/>
    <s v="Customer_163"/>
    <s v="Consumer"/>
    <s v="South"/>
    <s v="Furniture"/>
    <s v="Product_C"/>
    <n v="1905"/>
    <n v="7"/>
    <n v="0.28999999999999998"/>
    <n v="-284"/>
    <s v="UPI"/>
    <n v="9467.85"/>
    <s v="Apr"/>
    <n v="2025"/>
    <s v="Q2"/>
    <n v="-2.9996250468691414E-2"/>
    <n v="3867.1499999999996"/>
    <x v="0"/>
    <x v="0"/>
    <s v="Below Avg"/>
    <s v="Loss"/>
    <n v="218"/>
  </r>
  <r>
    <n v="471"/>
    <x v="470"/>
    <n v="1071"/>
    <s v="Customer_56"/>
    <s v="Corporate"/>
    <s v="North"/>
    <s v="Furniture"/>
    <s v="Product_B"/>
    <n v="4820"/>
    <n v="8"/>
    <n v="0.27"/>
    <n v="148"/>
    <s v="COD"/>
    <n v="28148.799999999999"/>
    <s v="Apr"/>
    <n v="2025"/>
    <s v="Q2"/>
    <n v="5.257772977888933E-3"/>
    <n v="10411.200000000001"/>
    <x v="0"/>
    <x v="0"/>
    <s v="Above Avg"/>
    <s v="Profit"/>
    <n v="28"/>
  </r>
  <r>
    <n v="472"/>
    <x v="471"/>
    <n v="1081"/>
    <s v="Customer_28"/>
    <s v="Corporate"/>
    <s v="North"/>
    <s v="Furniture"/>
    <s v="Product_C"/>
    <n v="2519"/>
    <n v="8"/>
    <n v="0.13"/>
    <n v="1049"/>
    <s v="COD"/>
    <n v="17532.240000000002"/>
    <s v="Apr"/>
    <n v="2025"/>
    <s v="Q2"/>
    <n v="5.9832628346406388E-2"/>
    <n v="2619.7600000000002"/>
    <x v="0"/>
    <x v="0"/>
    <s v="Above Avg"/>
    <s v="Profit"/>
    <n v="96"/>
  </r>
  <r>
    <n v="473"/>
    <x v="472"/>
    <n v="1020"/>
    <s v="Customer_194"/>
    <s v="Corporate"/>
    <s v="North"/>
    <s v="Clothing"/>
    <s v="Product_B"/>
    <n v="191"/>
    <n v="2"/>
    <n v="0.02"/>
    <n v="453"/>
    <s v="Card"/>
    <n v="374.36"/>
    <s v="Apr"/>
    <n v="2025"/>
    <s v="Q2"/>
    <n v="1.2100651779036222"/>
    <n v="7.6400000000000006"/>
    <x v="2"/>
    <x v="0"/>
    <s v="Below Avg"/>
    <s v="Profit"/>
    <n v="496"/>
  </r>
  <r>
    <n v="474"/>
    <x v="473"/>
    <n v="1012"/>
    <s v="Customer_34"/>
    <s v="Corporate"/>
    <s v="North"/>
    <s v="Furniture"/>
    <s v="Product_A"/>
    <n v="958"/>
    <n v="6"/>
    <n v="0.19"/>
    <n v="1374"/>
    <s v="Card"/>
    <n v="4655.88"/>
    <s v="Apr"/>
    <n v="2025"/>
    <s v="Q2"/>
    <n v="0.2951106987293487"/>
    <n v="1092.1200000000001"/>
    <x v="1"/>
    <x v="0"/>
    <s v="Below Avg"/>
    <s v="Profit"/>
    <n v="333"/>
  </r>
  <r>
    <n v="475"/>
    <x v="474"/>
    <n v="1026"/>
    <s v="Customer_65"/>
    <s v="Corporate"/>
    <s v="West"/>
    <s v="Clothing"/>
    <s v="Product_D"/>
    <n v="4109"/>
    <n v="5"/>
    <n v="0.13"/>
    <n v="630"/>
    <s v="UPI"/>
    <n v="17874.150000000001"/>
    <s v="Apr"/>
    <n v="2025"/>
    <s v="Q2"/>
    <n v="3.5246431298830989E-2"/>
    <n v="2670.85"/>
    <x v="0"/>
    <x v="0"/>
    <s v="Above Avg"/>
    <s v="Profit"/>
    <n v="92"/>
  </r>
  <r>
    <n v="476"/>
    <x v="475"/>
    <n v="1061"/>
    <s v="Customer_111"/>
    <s v="Corporate"/>
    <s v="North"/>
    <s v="Clothing"/>
    <s v="Product_A"/>
    <n v="911"/>
    <n v="2"/>
    <n v="0.01"/>
    <n v="61"/>
    <s v="UPI"/>
    <n v="1803.78"/>
    <s v="Apr"/>
    <n v="2025"/>
    <s v="Q2"/>
    <n v="3.3817871359034919E-2"/>
    <n v="18.22"/>
    <x v="2"/>
    <x v="0"/>
    <s v="Below Avg"/>
    <s v="Profit"/>
    <n v="440"/>
  </r>
  <r>
    <n v="477"/>
    <x v="476"/>
    <n v="1039"/>
    <s v="Customer_128"/>
    <s v="Consumer"/>
    <s v="North"/>
    <s v="Furniture"/>
    <s v="Product_D"/>
    <n v="1853"/>
    <n v="1"/>
    <n v="0.25"/>
    <n v="1755"/>
    <s v="COD"/>
    <n v="1389.75"/>
    <s v="Apr"/>
    <n v="2025"/>
    <s v="Q2"/>
    <n v="1.2628170534268754"/>
    <n v="463.25"/>
    <x v="2"/>
    <x v="0"/>
    <s v="Below Avg"/>
    <s v="Profit"/>
    <n v="461"/>
  </r>
  <r>
    <n v="478"/>
    <x v="477"/>
    <n v="1052"/>
    <s v="Customer_131"/>
    <s v="Corporate"/>
    <s v="West"/>
    <s v="Electronics"/>
    <s v="Product_C"/>
    <n v="3861"/>
    <n v="4"/>
    <n v="0.16"/>
    <n v="1739"/>
    <s v="Card"/>
    <n v="12972.96"/>
    <s v="Apr"/>
    <n v="2025"/>
    <s v="Q2"/>
    <n v="0.1340480507147174"/>
    <n v="2471.04"/>
    <x v="0"/>
    <x v="0"/>
    <s v="Above Avg"/>
    <s v="Profit"/>
    <n v="159"/>
  </r>
  <r>
    <n v="479"/>
    <x v="478"/>
    <n v="1079"/>
    <s v="Customer_187"/>
    <s v="Corporate"/>
    <s v="North"/>
    <s v="Electronics"/>
    <s v="Product_C"/>
    <n v="3679"/>
    <n v="6"/>
    <n v="0.13"/>
    <n v="1506"/>
    <s v="COD"/>
    <n v="19204.38"/>
    <s v="Apr"/>
    <n v="2025"/>
    <s v="Q2"/>
    <n v="7.8419610526348674E-2"/>
    <n v="2869.62"/>
    <x v="0"/>
    <x v="0"/>
    <s v="Above Avg"/>
    <s v="Profit"/>
    <n v="84"/>
  </r>
  <r>
    <n v="480"/>
    <x v="479"/>
    <n v="1039"/>
    <s v="Customer_56"/>
    <s v="Consumer"/>
    <s v="North"/>
    <s v="Electronics"/>
    <s v="Product_A"/>
    <n v="1431"/>
    <n v="9"/>
    <n v="0.22"/>
    <n v="822"/>
    <s v="UPI"/>
    <n v="10045.620000000001"/>
    <s v="Apr"/>
    <n v="2025"/>
    <s v="Q2"/>
    <n v="8.1826706564652046E-2"/>
    <n v="2833.38"/>
    <x v="0"/>
    <x v="0"/>
    <s v="Below Avg"/>
    <s v="Profit"/>
    <n v="200"/>
  </r>
  <r>
    <n v="481"/>
    <x v="480"/>
    <n v="1008"/>
    <s v="Customer_22"/>
    <s v="Consumer"/>
    <s v="North"/>
    <s v="Furniture"/>
    <s v="Product_C"/>
    <n v="2112"/>
    <n v="9"/>
    <n v="0.26"/>
    <n v="645"/>
    <s v="UPI"/>
    <n v="14065.92"/>
    <s v="Apr"/>
    <n v="2025"/>
    <s v="Q2"/>
    <n v="4.5855514605514604E-2"/>
    <n v="4942.08"/>
    <x v="0"/>
    <x v="0"/>
    <s v="Above Avg"/>
    <s v="Profit"/>
    <n v="146"/>
  </r>
  <r>
    <n v="482"/>
    <x v="481"/>
    <n v="1026"/>
    <s v="Customer_170"/>
    <s v="Consumer"/>
    <s v="West"/>
    <s v="Clothing"/>
    <s v="Product_D"/>
    <n v="3792"/>
    <n v="3"/>
    <n v="0.28000000000000003"/>
    <n v="1742"/>
    <s v="Card"/>
    <n v="8190.7199999999903"/>
    <s v="Apr"/>
    <n v="2025"/>
    <s v="Q2"/>
    <n v="0.2126797155805597"/>
    <n v="3185.28"/>
    <x v="0"/>
    <x v="0"/>
    <s v="Below Avg"/>
    <s v="Profit"/>
    <n v="244"/>
  </r>
  <r>
    <n v="483"/>
    <x v="482"/>
    <n v="1080"/>
    <s v="Customer_132"/>
    <s v="Consumer"/>
    <s v="East"/>
    <s v="Furniture"/>
    <s v="Product_C"/>
    <n v="2486"/>
    <n v="9"/>
    <n v="0.1"/>
    <n v="-143"/>
    <s v="UPI"/>
    <n v="20136.599999999999"/>
    <s v="Apr"/>
    <n v="2025"/>
    <s v="Q2"/>
    <n v="-7.1014967770130014E-3"/>
    <n v="2237.4"/>
    <x v="0"/>
    <x v="0"/>
    <s v="Above Avg"/>
    <s v="Loss"/>
    <n v="78"/>
  </r>
  <r>
    <n v="484"/>
    <x v="483"/>
    <n v="1002"/>
    <s v="Customer_100"/>
    <s v="Corporate"/>
    <s v="East"/>
    <s v="Clothing"/>
    <s v="Product_D"/>
    <n v="306"/>
    <n v="6"/>
    <n v="0.06"/>
    <n v="-483"/>
    <s v="Card"/>
    <n v="1725.84"/>
    <s v="Apr"/>
    <n v="2025"/>
    <s v="Q2"/>
    <n v="-0.27986371853706021"/>
    <n v="110.16"/>
    <x v="2"/>
    <x v="0"/>
    <s v="Below Avg"/>
    <s v="Loss"/>
    <n v="445"/>
  </r>
  <r>
    <n v="485"/>
    <x v="484"/>
    <n v="1055"/>
    <s v="Customer_118"/>
    <s v="Consumer"/>
    <s v="West"/>
    <s v="Electronics"/>
    <s v="Product_B"/>
    <n v="3682"/>
    <n v="8"/>
    <n v="0.1"/>
    <n v="1715"/>
    <s v="Card"/>
    <n v="26510.400000000001"/>
    <s v="Apr"/>
    <n v="2025"/>
    <s v="Q2"/>
    <n v="6.4691592733417819E-2"/>
    <n v="2945.6000000000004"/>
    <x v="0"/>
    <x v="0"/>
    <s v="Above Avg"/>
    <s v="Profit"/>
    <n v="37"/>
  </r>
  <r>
    <n v="486"/>
    <x v="485"/>
    <n v="1052"/>
    <s v="Customer_12"/>
    <s v="Consumer"/>
    <s v="East"/>
    <s v="Furniture"/>
    <s v="Product_C"/>
    <n v="4317"/>
    <n v="8"/>
    <n v="0.28999999999999998"/>
    <n v="227"/>
    <s v="UPI"/>
    <n v="24520.559999999899"/>
    <s v="Apr"/>
    <n v="2025"/>
    <s v="Q2"/>
    <n v="9.2575373482498332E-3"/>
    <n v="10015.439999999999"/>
    <x v="0"/>
    <x v="0"/>
    <s v="Above Avg"/>
    <s v="Profit"/>
    <n v="46"/>
  </r>
  <r>
    <n v="487"/>
    <x v="486"/>
    <n v="1003"/>
    <s v="Customer_37"/>
    <s v="Corporate"/>
    <s v="East"/>
    <s v="Electronics"/>
    <s v="Product_D"/>
    <n v="1839"/>
    <n v="3"/>
    <n v="0.03"/>
    <n v="1247"/>
    <s v="UPI"/>
    <n v="5351.49"/>
    <s v="May"/>
    <n v="2025"/>
    <s v="Q2"/>
    <n v="0.23301921520922211"/>
    <n v="165.51"/>
    <x v="0"/>
    <x v="0"/>
    <s v="Below Avg"/>
    <s v="Profit"/>
    <n v="314"/>
  </r>
  <r>
    <n v="488"/>
    <x v="487"/>
    <n v="1039"/>
    <s v="Customer_41"/>
    <s v="Consumer"/>
    <s v="West"/>
    <s v="Furniture"/>
    <s v="Product_A"/>
    <n v="3996"/>
    <n v="3"/>
    <n v="0.28999999999999998"/>
    <n v="56"/>
    <s v="Card"/>
    <n v="8511.48"/>
    <s v="May"/>
    <n v="2025"/>
    <s v="Q2"/>
    <n v="6.5793493023539977E-3"/>
    <n v="3476.52"/>
    <x v="0"/>
    <x v="0"/>
    <s v="Below Avg"/>
    <s v="Profit"/>
    <n v="238"/>
  </r>
  <r>
    <n v="489"/>
    <x v="488"/>
    <n v="1051"/>
    <s v="Customer_58"/>
    <s v="Corporate"/>
    <s v="South"/>
    <s v="Electronics"/>
    <s v="Product_C"/>
    <n v="3116"/>
    <n v="9"/>
    <n v="0.19"/>
    <n v="942"/>
    <s v="COD"/>
    <n v="22715.64"/>
    <s v="May"/>
    <n v="2025"/>
    <s v="Q2"/>
    <n v="4.1469225608435425E-2"/>
    <n v="5328.36"/>
    <x v="0"/>
    <x v="0"/>
    <s v="Above Avg"/>
    <s v="Profit"/>
    <n v="61"/>
  </r>
  <r>
    <n v="490"/>
    <x v="489"/>
    <n v="1055"/>
    <s v="Customer_63"/>
    <s v="Consumer"/>
    <s v="West"/>
    <s v="Furniture"/>
    <s v="Product_D"/>
    <n v="2104"/>
    <n v="3"/>
    <n v="0"/>
    <n v="1145"/>
    <s v="UPI"/>
    <n v="6312"/>
    <s v="May"/>
    <n v="2025"/>
    <s v="Q2"/>
    <n v="0.18140050697084917"/>
    <n v="0"/>
    <x v="0"/>
    <x v="0"/>
    <s v="Below Avg"/>
    <s v="Profit"/>
    <n v="289"/>
  </r>
  <r>
    <n v="491"/>
    <x v="490"/>
    <n v="1064"/>
    <s v="Customer_71"/>
    <s v="Corporate"/>
    <s v="East"/>
    <s v="Clothing"/>
    <s v="Product_B"/>
    <n v="1692"/>
    <n v="4"/>
    <n v="0.26"/>
    <n v="-81"/>
    <s v="COD"/>
    <n v="5008.32"/>
    <s v="May"/>
    <n v="2025"/>
    <s v="Q2"/>
    <n v="-1.6173087981598621E-2"/>
    <n v="1759.68"/>
    <x v="0"/>
    <x v="0"/>
    <s v="Below Avg"/>
    <s v="Loss"/>
    <n v="323"/>
  </r>
  <r>
    <n v="492"/>
    <x v="491"/>
    <n v="1077"/>
    <s v="Customer_133"/>
    <s v="Consumer"/>
    <s v="East"/>
    <s v="Clothing"/>
    <s v="Product_B"/>
    <n v="2103"/>
    <n v="7"/>
    <n v="0.2"/>
    <n v="439"/>
    <s v="COD"/>
    <n v="11776.8"/>
    <s v="May"/>
    <n v="2025"/>
    <s v="Q2"/>
    <n v="3.7276679573398551E-2"/>
    <n v="2944.2000000000003"/>
    <x v="0"/>
    <x v="0"/>
    <s v="Above Avg"/>
    <s v="Profit"/>
    <n v="173"/>
  </r>
  <r>
    <n v="493"/>
    <x v="492"/>
    <n v="1071"/>
    <s v="Customer_91"/>
    <s v="Corporate"/>
    <s v="North"/>
    <s v="Electronics"/>
    <s v="Product_C"/>
    <n v="3019"/>
    <n v="9"/>
    <n v="0.04"/>
    <n v="660"/>
    <s v="COD"/>
    <n v="26084.16"/>
    <s v="May"/>
    <n v="2025"/>
    <s v="Q2"/>
    <n v="2.5302712450774725E-2"/>
    <n v="1086.8399999999999"/>
    <x v="0"/>
    <x v="0"/>
    <s v="Above Avg"/>
    <s v="Profit"/>
    <n v="39"/>
  </r>
  <r>
    <n v="494"/>
    <x v="493"/>
    <n v="1070"/>
    <s v="Customer_89"/>
    <s v="Consumer"/>
    <s v="South"/>
    <s v="Clothing"/>
    <s v="Product_D"/>
    <n v="208"/>
    <n v="3"/>
    <n v="0.1"/>
    <n v="1549"/>
    <s v="Card"/>
    <n v="561.6"/>
    <s v="May"/>
    <n v="2025"/>
    <s v="Q2"/>
    <n v="2.758190883190883"/>
    <n v="62.400000000000006"/>
    <x v="2"/>
    <x v="0"/>
    <s v="Below Avg"/>
    <s v="Profit"/>
    <n v="489"/>
  </r>
  <r>
    <n v="495"/>
    <x v="494"/>
    <n v="1029"/>
    <s v="Customer_17"/>
    <s v="Corporate"/>
    <s v="East"/>
    <s v="Furniture"/>
    <s v="Product_B"/>
    <n v="3081"/>
    <n v="1"/>
    <n v="0.26"/>
    <n v="606"/>
    <s v="Card"/>
    <n v="2279.94"/>
    <s v="May"/>
    <n v="2025"/>
    <s v="Q2"/>
    <n v="0.26579646832811388"/>
    <n v="801.06000000000006"/>
    <x v="1"/>
    <x v="0"/>
    <s v="Below Avg"/>
    <s v="Profit"/>
    <n v="416"/>
  </r>
  <r>
    <n v="496"/>
    <x v="495"/>
    <n v="1024"/>
    <s v="Customer_156"/>
    <s v="Consumer"/>
    <s v="North"/>
    <s v="Clothing"/>
    <s v="Product_A"/>
    <n v="2595"/>
    <n v="2"/>
    <n v="0.22"/>
    <n v="1965"/>
    <s v="Card"/>
    <n v="4048.2"/>
    <s v="May"/>
    <n v="2025"/>
    <s v="Q2"/>
    <n v="0.48540091892693049"/>
    <n v="1141.8"/>
    <x v="1"/>
    <x v="0"/>
    <s v="Below Avg"/>
    <s v="Profit"/>
    <n v="352"/>
  </r>
  <r>
    <n v="497"/>
    <x v="496"/>
    <n v="1038"/>
    <s v="Customer_119"/>
    <s v="Corporate"/>
    <s v="South"/>
    <s v="Electronics"/>
    <s v="Product_A"/>
    <n v="1791"/>
    <n v="4"/>
    <n v="0.1"/>
    <n v="-437"/>
    <s v="UPI"/>
    <n v="6447.6"/>
    <s v="May"/>
    <n v="2025"/>
    <s v="Q2"/>
    <n v="-6.7777157391897755E-2"/>
    <n v="716.40000000000009"/>
    <x v="0"/>
    <x v="0"/>
    <s v="Below Avg"/>
    <s v="Loss"/>
    <n v="286"/>
  </r>
  <r>
    <n v="498"/>
    <x v="497"/>
    <n v="1079"/>
    <s v="Customer_155"/>
    <s v="Consumer"/>
    <s v="East"/>
    <s v="Electronics"/>
    <s v="Product_D"/>
    <n v="4085"/>
    <n v="7"/>
    <n v="0.24"/>
    <n v="1108"/>
    <s v="UPI"/>
    <n v="21732.2"/>
    <s v="May"/>
    <n v="2025"/>
    <s v="Q2"/>
    <n v="5.0984253780105099E-2"/>
    <n v="6862.8"/>
    <x v="0"/>
    <x v="0"/>
    <s v="Above Avg"/>
    <s v="Profit"/>
    <n v="70"/>
  </r>
  <r>
    <n v="499"/>
    <x v="498"/>
    <n v="1074"/>
    <s v="Customer_181"/>
    <s v="Corporate"/>
    <s v="South"/>
    <s v="Electronics"/>
    <s v="Product_A"/>
    <n v="4431"/>
    <n v="1"/>
    <n v="0.08"/>
    <n v="394"/>
    <s v="Card"/>
    <n v="4076.52"/>
    <s v="May"/>
    <n v="2025"/>
    <s v="Q2"/>
    <n v="9.665106512417454E-2"/>
    <n v="354.48"/>
    <x v="1"/>
    <x v="0"/>
    <s v="Below Avg"/>
    <s v="Profit"/>
    <n v="350"/>
  </r>
  <r>
    <n v="500"/>
    <x v="499"/>
    <n v="1024"/>
    <s v="Customer_26"/>
    <s v="Consumer"/>
    <s v="North"/>
    <s v="Furniture"/>
    <s v="Product_B"/>
    <n v="1822"/>
    <n v="4"/>
    <n v="0.16"/>
    <n v="1668"/>
    <s v="Card"/>
    <n v="6121.92"/>
    <s v="May"/>
    <n v="2025"/>
    <s v="Q2"/>
    <n v="0.27246354084992941"/>
    <n v="1166.08"/>
    <x v="0"/>
    <x v="0"/>
    <s v="Below Avg"/>
    <s v="Profit"/>
    <n v="2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4A2FE-3890-44A0-B8D6-F4126AEACB7A}" name="PivotTable28" cacheId="7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24">
    <pivotField showAll="0"/>
    <pivotField axis="axisRow"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2"/>
        <item sd="0" x="1"/>
        <item t="default" sd="0"/>
      </items>
    </pivotField>
    <pivotField showAll="0"/>
    <pivotField showAll="0"/>
    <pivotField showAll="0"/>
    <pivotField showAll="0"/>
  </pivotFields>
  <rowFields count="2">
    <field x="19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isc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38C4A-0C9D-47DD-BE0A-C430C121E3F2}" name="PivotTable32" cacheId="7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46:G49" firstHeaderRow="1" firstDataRow="1" firstDataCol="1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Sum of Sales" fld="13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20" type="button" dataOnly="0" labelOnly="1" outline="0" axis="axisRow" fieldPosition="0"/>
    </format>
    <format dxfId="3">
      <pivotArea dataOnly="0" labelOnly="1" fieldPosition="0">
        <references count="1">
          <reference field="2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85E2A-2815-470A-87BE-D470082519FB}" name="PivotTable31" cacheId="7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38:J42" firstHeaderRow="1" firstDataRow="1" firstDataCol="1"/>
  <pivotFields count="2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19" baseItem="0"/>
  </dataFields>
  <formats count="24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9" type="button" dataOnly="0" labelOnly="1" outline="0" axis="axisRow" fieldPosition="0"/>
    </format>
    <format dxfId="56">
      <pivotArea dataOnly="0" labelOnly="1" fieldPosition="0">
        <references count="1">
          <reference field="19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1">
      <pivotArea type="all" dataOnly="0" outline="0" fieldPosition="0"/>
    </format>
    <format dxfId="44">
      <pivotArea outline="0" collapsedLevelsAreSubtotals="1" fieldPosition="0"/>
    </format>
    <format dxfId="43">
      <pivotArea field="19" type="button" dataOnly="0" labelOnly="1" outline="0" axis="axisRow" fieldPosition="0"/>
    </format>
    <format dxfId="42">
      <pivotArea dataOnly="0" labelOnly="1" fieldPosition="0">
        <references count="1">
          <reference field="19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9" type="button" dataOnly="0" labelOnly="1" outline="0" axis="axisRow" fieldPosition="0"/>
    </format>
    <format dxfId="35">
      <pivotArea dataOnly="0" labelOnly="1" fieldPosition="0">
        <references count="1">
          <reference field="19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9" type="button" dataOnly="0" labelOnly="1" outline="0" axis="axisRow" fieldPosition="0"/>
    </format>
    <format dxfId="10">
      <pivotArea dataOnly="0" labelOnly="1" fieldPosition="0">
        <references count="1">
          <reference field="19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B16CE-9451-412B-8B67-5BD162832FAB}" name="PivotTable29" cacheId="7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38:G42" firstHeaderRow="1" firstDataRow="1" firstDataCol="1"/>
  <pivotFields count="24">
    <pivotField showAll="0"/>
    <pivotField axis="axisRow"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2"/>
        <item sd="0" x="1"/>
        <item t="default" sd="0"/>
      </items>
    </pivotField>
    <pivotField showAll="0"/>
    <pivotField showAll="0"/>
    <pivotField showAll="0"/>
    <pivotField showAll="0"/>
  </pivotFields>
  <rowFields count="2">
    <field x="19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iscount" fld="10" baseField="0" baseItem="0"/>
  </dataFields>
  <formats count="6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9" type="button" dataOnly="0" labelOnly="1" outline="0" axis="axisRow" fieldPosition="0"/>
    </format>
    <format dxfId="87">
      <pivotArea dataOnly="0" labelOnly="1" fieldPosition="0">
        <references count="1">
          <reference field="19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D6C00-EB76-4BBD-863F-E4D1072C30B2}" name="PivotTable26" cacheId="6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8:D55" firstHeaderRow="0" firstDataRow="1" firstDataCol="1"/>
  <pivotFields count="24">
    <pivotField showAll="0"/>
    <pivotField axis="axisRow"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 sd="0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3">
    <field x="16"/>
    <field x="14"/>
    <field x="1"/>
  </rowFields>
  <rowItems count="17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>
      <x v="2"/>
    </i>
    <i r="1">
      <x v="6"/>
    </i>
    <i r="1">
      <x v="7"/>
    </i>
    <i r="1">
      <x v="8"/>
    </i>
    <i>
      <x v="3"/>
    </i>
    <i r="1">
      <x v="9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iscount Amount" fld="18" baseField="0" baseItem="0"/>
    <dataField name="Sum of Profit" fld="11" baseField="0" baseItem="0"/>
    <dataField name="Sum of Discount" fld="10" baseField="0" baseItem="0"/>
  </dataFields>
  <formats count="10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16" type="button" dataOnly="0" labelOnly="1" outline="0" axis="axisRow" fieldPosition="0"/>
    </format>
    <format dxfId="97">
      <pivotArea dataOnly="0" labelOnly="1" fieldPosition="0">
        <references count="1">
          <reference field="16" count="0"/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2">
          <reference field="14" count="3">
            <x v="0"/>
            <x v="1"/>
            <x v="2"/>
          </reference>
          <reference field="16" count="1" selected="0">
            <x v="0"/>
          </reference>
        </references>
      </pivotArea>
    </format>
    <format dxfId="94">
      <pivotArea dataOnly="0" labelOnly="1" fieldPosition="0">
        <references count="2">
          <reference field="14" count="3">
            <x v="3"/>
            <x v="4"/>
            <x v="5"/>
          </reference>
          <reference field="16" count="1" selected="0">
            <x v="1"/>
          </reference>
        </references>
      </pivotArea>
    </format>
    <format dxfId="93">
      <pivotArea dataOnly="0" labelOnly="1" fieldPosition="0">
        <references count="2">
          <reference field="14" count="3">
            <x v="6"/>
            <x v="7"/>
            <x v="8"/>
          </reference>
          <reference field="16" count="1" selected="0">
            <x v="2"/>
          </reference>
        </references>
      </pivotArea>
    </format>
    <format dxfId="92">
      <pivotArea dataOnly="0" labelOnly="1" fieldPosition="0">
        <references count="2">
          <reference field="14" count="3">
            <x v="9"/>
            <x v="10"/>
            <x v="11"/>
          </reference>
          <reference field="16" count="1" selected="0">
            <x v="3"/>
          </reference>
        </references>
      </pivotArea>
    </format>
    <format dxfId="9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97F16-68BB-49F7-B082-765841B098EF}" name="PivotTable22" cacheId="4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29:I33" firstHeaderRow="0" firstDataRow="1" firstDataCol="1"/>
  <pivotFields count="24">
    <pivotField showAll="0"/>
    <pivotField axis="axisRow"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sd="0" x="1"/>
        <item sd="0" x="2"/>
        <item sd="0" x="0"/>
        <item t="default" sd="0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2">
    <field x="12"/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 Margin" fld="17" baseField="0" baseItem="0"/>
    <dataField name="Sum of Discount Amount" fld="18" baseField="0" baseItem="0"/>
    <dataField name="Sum of Profit" fld="11" baseField="0" baseItem="0"/>
  </dataFields>
  <formats count="6"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12" type="button" dataOnly="0" labelOnly="1" outline="0" axis="axisRow" fieldPosition="0"/>
    </format>
    <format dxfId="103">
      <pivotArea dataOnly="0" labelOnly="1" fieldPosition="0">
        <references count="1">
          <reference field="12" count="0"/>
        </references>
      </pivotArea>
    </format>
    <format dxfId="102">
      <pivotArea dataOnly="0" labelOnly="1" grandRow="1" outline="0" fieldPosition="0"/>
    </format>
    <format dxfId="1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38311-1995-48E3-9935-96B67783E222}" name="PivotTable19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9:D34" firstHeaderRow="0" firstDataRow="1" firstDataCol="1"/>
  <pivotFields count="24">
    <pivotField showAll="0"/>
    <pivotField axis="axisRow"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sd="0" x="0"/>
        <item sd="0" x="2"/>
        <item sd="0" x="3"/>
        <item sd="0" x="1"/>
        <item t="default" sd="0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2">
    <field x="7"/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3" baseField="0" baseItem="0"/>
    <dataField name="Sum of Profit Margin" fld="17" baseField="0" baseItem="0"/>
    <dataField name="Sum of Discount Amount" fld="18" baseField="0" baseItem="0"/>
  </dataFields>
  <formats count="6"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7" type="button" dataOnly="0" labelOnly="1" outline="0" axis="axisRow" fieldPosition="0"/>
    </format>
    <format dxfId="109">
      <pivotArea dataOnly="0" labelOnly="1" fieldPosition="0">
        <references count="1">
          <reference field="7" count="0"/>
        </references>
      </pivotArea>
    </format>
    <format dxfId="108">
      <pivotArea dataOnly="0" labelOnly="1" grandRow="1" outline="0" fieldPosition="0"/>
    </format>
    <format dxfId="1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B6BE4-EE7C-4B97-8B8E-E01F14FD6688}" name="PivotTable16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0:B23" firstHeaderRow="1" firstDataRow="1" firstDataCol="1"/>
  <pivotFields count="24">
    <pivotField showAll="0"/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ales" fld="13" baseField="0" baseItem="0"/>
  </dataFields>
  <formats count="6"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4" type="button" dataOnly="0" labelOnly="1" outline="0" axis="axisRow" fieldPosition="0"/>
    </format>
    <format dxfId="127">
      <pivotArea dataOnly="0" labelOnly="1" fieldPosition="0">
        <references count="1">
          <reference field="4" count="0"/>
        </references>
      </pivotArea>
    </format>
    <format dxfId="126">
      <pivotArea dataOnly="0" labelOnly="1" grandRow="1" outline="0" fieldPosition="0"/>
    </format>
    <format dxfId="1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AE86E-00F1-4D8D-A0E9-BDA882624283}" name="PivotTable15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20:H25" firstHeaderRow="1" firstDataRow="1" firstDataCol="1"/>
  <pivotFields count="24">
    <pivotField showAll="0"/>
    <pivotField numFmtId="14"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iscount" fld="10" baseField="0" baseItem="0"/>
  </dataFields>
  <formats count="6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5" type="button" dataOnly="0" labelOnly="1" outline="0" axis="axisRow" fieldPosition="0"/>
    </format>
    <format dxfId="115">
      <pivotArea dataOnly="0" labelOnly="1" fieldPosition="0">
        <references count="1">
          <reference field="5" count="0"/>
        </references>
      </pivotArea>
    </format>
    <format dxfId="114">
      <pivotArea dataOnly="0" labelOnly="1" grandRow="1" outline="0" fieldPosition="0"/>
    </format>
    <format dxfId="1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F5D57-14B2-4759-A108-3115E67E4D31}" name="PivotTable12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20:E25" firstHeaderRow="1" firstDataRow="1" firstDataCol="1"/>
  <pivotFields count="24">
    <pivotField showAll="0"/>
    <pivotField numFmtId="14"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1" baseField="0" baseItem="0"/>
  </dataFields>
  <formats count="6"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5" type="button" dataOnly="0" labelOnly="1" outline="0" axis="axisRow" fieldPosition="0"/>
    </format>
    <format dxfId="121">
      <pivotArea dataOnly="0" labelOnly="1" fieldPosition="0">
        <references count="1">
          <reference field="5" count="0"/>
        </references>
      </pivotArea>
    </format>
    <format dxfId="120">
      <pivotArea dataOnly="0" labelOnly="1" grandRow="1" outline="0" fieldPosition="0"/>
    </format>
    <format dxfId="1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5ACB7-9951-487F-BDE9-C173CED2F192}" name="PivotTable5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2:E16" firstHeaderRow="1" firstDataRow="1" firstDataCol="1"/>
  <pivotFields count="2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12" baseItem="0"/>
  </dataFields>
  <formats count="6">
    <format dxfId="136">
      <pivotArea type="all" dataOnly="0" outline="0" fieldPosition="0"/>
    </format>
    <format dxfId="135">
      <pivotArea outline="0" collapsedLevelsAreSubtotals="1" fieldPosition="0"/>
    </format>
    <format dxfId="134">
      <pivotArea field="12" type="button" dataOnly="0" labelOnly="1" outline="0" axis="axisRow" fieldPosition="0"/>
    </format>
    <format dxfId="133">
      <pivotArea dataOnly="0" labelOnly="1" fieldPosition="0">
        <references count="1">
          <reference field="12" count="0"/>
        </references>
      </pivotArea>
    </format>
    <format dxfId="132">
      <pivotArea dataOnly="0" labelOnly="1" grandRow="1" outline="0" fieldPosition="0"/>
    </format>
    <format dxfId="1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BD9FC-90C4-4783-ABDC-B81F022039DE}" name="PivotTable4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2:B15" firstHeaderRow="1" firstDataRow="1" firstDataCol="1"/>
  <pivotFields count="24">
    <pivotField showAll="0"/>
    <pivotField numFmtId="14" showAll="0"/>
    <pivotField showAll="0"/>
    <pivotField showAll="0"/>
    <pivotField showAll="0"/>
    <pivotField showAll="0"/>
    <pivotField showAll="0"/>
    <pivotField axis="axisRow" showAll="0" measureFilter="1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2"/>
    </i>
    <i t="grand">
      <x/>
    </i>
  </rowItems>
  <colItems count="1">
    <i/>
  </colItems>
  <dataFields count="1">
    <dataField name="Sum of Sales" fld="13" baseField="0" baseItem="0"/>
  </dataFields>
  <formats count="6"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7" type="button" dataOnly="0" labelOnly="1" outline="0" axis="axisRow" fieldPosition="0"/>
    </format>
    <format dxfId="139">
      <pivotArea dataOnly="0" labelOnly="1" fieldPosition="0">
        <references count="1">
          <reference field="7" count="2">
            <x v="0"/>
            <x v="2"/>
          </reference>
        </references>
      </pivotArea>
    </format>
    <format dxfId="138">
      <pivotArea dataOnly="0" labelOnly="1" grandRow="1" outline="0" fieldPosition="0"/>
    </format>
    <format dxfId="137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7" type="count" evalOrder="-1" id="3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52246-ED92-431A-ACC8-342FEDD07961}" name="PivotTable3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3:H16" firstHeaderRow="1" firstDataRow="1" firstDataCol="1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3" baseField="0" baseItem="0"/>
  </dataFields>
  <formats count="6"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14" type="button" dataOnly="0" labelOnly="1" outline="0" axis="axisRow" fieldPosition="0"/>
    </format>
    <format dxfId="145">
      <pivotArea dataOnly="0" labelOnly="1" fieldPosition="0">
        <references count="1">
          <reference field="14" count="0"/>
        </references>
      </pivotArea>
    </format>
    <format dxfId="144">
      <pivotArea dataOnly="0" labelOnly="1" grandRow="1" outline="0" fieldPosition="0"/>
    </format>
    <format dxfId="1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6AFA2-C0AE-4CFB-8E5F-687203A5EEEB}" name="PivotTable2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E7" firstHeaderRow="1" firstDataRow="1" firstDataCol="1"/>
  <pivotFields count="24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3" baseField="0" baseItem="0"/>
  </dataFields>
  <formats count="6"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6" type="button" dataOnly="0" labelOnly="1" outline="0" axis="axisRow" fieldPosition="0"/>
    </format>
    <format dxfId="151">
      <pivotArea dataOnly="0" labelOnly="1" fieldPosition="0">
        <references count="1">
          <reference field="6" count="0"/>
        </references>
      </pivotArea>
    </format>
    <format dxfId="150">
      <pivotArea dataOnly="0" labelOnly="1" grandRow="1" outline="0" fieldPosition="0"/>
    </format>
    <format dxfId="14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3DAE7-C939-4FBC-9753-660107361C52}" name="PivotTable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24">
    <pivotField showAll="0"/>
    <pivotField numFmtId="14"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3" baseField="0" baseItem="0"/>
  </dataFields>
  <formats count="6"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5" type="button" dataOnly="0" labelOnly="1" outline="0" axis="axisRow" fieldPosition="0"/>
    </format>
    <format dxfId="157">
      <pivotArea dataOnly="0" labelOnly="1" fieldPosition="0">
        <references count="1">
          <reference field="5" count="0"/>
        </references>
      </pivotArea>
    </format>
    <format dxfId="156">
      <pivotArea dataOnly="0" labelOnly="1" grandRow="1" outline="0" fieldPosition="0"/>
    </format>
    <format dxfId="1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275259-FCF9-408B-974F-8A4E8D415393}" name="SalesData" displayName="SalesData" ref="A1:X501" totalsRowShown="0">
  <autoFilter ref="A1:X501" xr:uid="{A9275259-FCF9-408B-974F-8A4E8D415393}"/>
  <tableColumns count="24">
    <tableColumn id="1" xr3:uid="{FD8B7AAD-D9B9-4676-B45F-0D43A4442215}" name="Order_ID"/>
    <tableColumn id="2" xr3:uid="{7E52A387-C078-417E-A5A9-3933AFA70020}" name="Order_Date" dataDxfId="171"/>
    <tableColumn id="3" xr3:uid="{7A946BD7-E662-4F83-82BA-F3B1327FF406}" name="Customer_ID"/>
    <tableColumn id="4" xr3:uid="{C1E7472E-B904-48A2-B888-5BFADE8EDD9B}" name="Customer_Name"/>
    <tableColumn id="5" xr3:uid="{A9626EAE-CE8E-4E1D-AF26-58283AE0F8C2}" name="Segment"/>
    <tableColumn id="6" xr3:uid="{1081DEFB-2000-4D4E-AC41-2E7EFF9395D5}" name="Region"/>
    <tableColumn id="7" xr3:uid="{368C6347-7199-4810-89C0-7A63EDAE4F9F}" name="Category"/>
    <tableColumn id="8" xr3:uid="{2880C968-7FF6-4F67-873B-D914E7B90771}" name="Product_Name"/>
    <tableColumn id="9" xr3:uid="{9A51F1A9-A84A-4F37-99D9-B7B261CF2BFC}" name="Price"/>
    <tableColumn id="10" xr3:uid="{7FD5AA40-7BBC-4CCA-8CF6-C2EF7DA60DD2}" name="Quantity"/>
    <tableColumn id="11" xr3:uid="{F4E1E672-8310-4FB6-9202-DF30E0DF05AD}" name="Discount"/>
    <tableColumn id="12" xr3:uid="{B290BF51-9D8C-40B8-9BA6-9148F42A42C4}" name="Profit"/>
    <tableColumn id="13" xr3:uid="{809A4EF0-BFD9-4A52-99CF-A81842F87712}" name="Payment_Mode"/>
    <tableColumn id="14" xr3:uid="{04B0E923-7BC0-41D9-B182-0210F10DA847}" name="Sales"/>
    <tableColumn id="15" xr3:uid="{A291DF76-4918-4240-B545-71EF391E277D}" name="Months" dataDxfId="170">
      <calculatedColumnFormula>TEXT(SalesData[[#This Row],[Order_Date]],"mmm")</calculatedColumnFormula>
    </tableColumn>
    <tableColumn id="16" xr3:uid="{F8F86F6C-1106-4C4D-8D39-48FEF1C7169D}" name="Year" dataDxfId="169">
      <calculatedColumnFormula>YEAR(SalesData[[#This Row],[Order_Date]])</calculatedColumnFormula>
    </tableColumn>
    <tableColumn id="17" xr3:uid="{92E7C794-1A55-4B7F-AE09-FCB2EB82785A}" name="Quarter" dataDxfId="168">
      <calculatedColumnFormula>"Q"&amp;ROUNDUP(MONTH(SalesData[[#This Row],[Order_Date]])/3,0)</calculatedColumnFormula>
    </tableColumn>
    <tableColumn id="18" xr3:uid="{0C549CA9-5006-4CBD-8D86-AE148705422C}" name="Profit Margin" dataDxfId="167">
      <calculatedColumnFormula>IFERROR(SalesData[[#This Row],[Profit]]/SalesData[[#This Row],[Sales]],0)</calculatedColumnFormula>
    </tableColumn>
    <tableColumn id="19" xr3:uid="{A0030589-DF58-45E1-B778-5939ED2E4C10}" name="Discount Amount" dataDxfId="166">
      <calculatedColumnFormula>SalesData[[#This Row],[Price]]*SalesData[[#This Row],[Quantity]]*SalesData[[#This Row],[Discount]]</calculatedColumnFormula>
    </tableColumn>
    <tableColumn id="20" xr3:uid="{FC6D8E9B-D92B-451F-8AB4-07BA9B0026FD}" name="Order Category" dataDxfId="165">
      <calculatedColumnFormula>IF(SalesData[[#This Row],[Sales]]&gt;5000,"High",IF(SalesData[[#This Row],[Sales]]&gt;2000,"Medium","Low"))</calculatedColumnFormula>
    </tableColumn>
    <tableColumn id="21" xr3:uid="{6F00237D-8E6F-4330-81A0-0EB723723A49}" name="Customer Type" dataDxfId="164">
      <calculatedColumnFormula>IF(COUNTIFS(SalesData[Customer_ID],SalesData[[#This Row],[Customer_ID]])&gt;1,"Repeat","New")</calculatedColumnFormula>
    </tableColumn>
    <tableColumn id="22" xr3:uid="{F39B7B09-813F-4AB5-BF21-3CEEE28288DF}" name="Sales Performance" dataDxfId="163">
      <calculatedColumnFormula>IF(SalesData[[#This Row],[Sales]]&gt;AVERAGE(SalesData[Sales]),"Above Avg","Below Avg")</calculatedColumnFormula>
    </tableColumn>
    <tableColumn id="23" xr3:uid="{B3C3E929-5D25-4935-A7BA-35E1F31A8400}" name="Profit Status" dataDxfId="162">
      <calculatedColumnFormula>IF(SalesData[[#This Row],[Profit]]&gt;0,"Profit","Loss")</calculatedColumnFormula>
    </tableColumn>
    <tableColumn id="24" xr3:uid="{0EADA1DB-7874-4F6A-9DAE-05ED7D4843AA}" name="Rank Sales" dataDxfId="161">
      <calculatedColumnFormula>RANK(SalesData[[#This Row],[Sales]],SalesData[Sales])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76E3-BC90-4490-A083-F8D8DD277FDA}">
  <dimension ref="A3:B7"/>
  <sheetViews>
    <sheetView workbookViewId="0">
      <selection activeCell="A3" sqref="A3:B7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228</v>
      </c>
      <c r="B3" t="s">
        <v>251</v>
      </c>
    </row>
    <row r="4" spans="1:2" x14ac:dyDescent="0.3">
      <c r="A4" s="4" t="s">
        <v>258</v>
      </c>
      <c r="B4" s="2">
        <v>48.75</v>
      </c>
    </row>
    <row r="5" spans="1:2" x14ac:dyDescent="0.3">
      <c r="A5" s="4" t="s">
        <v>259</v>
      </c>
      <c r="B5" s="2">
        <v>10.55</v>
      </c>
    </row>
    <row r="6" spans="1:2" x14ac:dyDescent="0.3">
      <c r="A6" s="4" t="s">
        <v>260</v>
      </c>
      <c r="B6" s="2">
        <v>16.940000000000008</v>
      </c>
    </row>
    <row r="7" spans="1:2" x14ac:dyDescent="0.3">
      <c r="A7" s="4" t="s">
        <v>229</v>
      </c>
      <c r="B7" s="2">
        <v>76.240000000000009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BAE5-084A-4D72-9343-EECAB1841380}">
  <dimension ref="A1:X501"/>
  <sheetViews>
    <sheetView topLeftCell="A2" zoomScale="51" workbookViewId="0">
      <selection activeCell="T9" sqref="T9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7.44140625" bestFit="1" customWidth="1"/>
    <col min="5" max="5" width="10.6640625" bestFit="1" customWidth="1"/>
    <col min="6" max="6" width="9" bestFit="1" customWidth="1"/>
    <col min="7" max="7" width="10.77734375" bestFit="1" customWidth="1"/>
    <col min="8" max="8" width="16" bestFit="1" customWidth="1"/>
    <col min="9" max="9" width="7.33203125" bestFit="1" customWidth="1"/>
    <col min="10" max="11" width="10.5546875" bestFit="1" customWidth="1"/>
    <col min="12" max="12" width="7.88671875" bestFit="1" customWidth="1"/>
    <col min="13" max="13" width="16.88671875" bestFit="1" customWidth="1"/>
    <col min="14" max="14" width="9" bestFit="1" customWidth="1"/>
    <col min="15" max="15" width="9.77734375" bestFit="1" customWidth="1"/>
    <col min="16" max="16" width="6.88671875" bestFit="1" customWidth="1"/>
    <col min="17" max="17" width="9.6640625" bestFit="1" customWidth="1"/>
    <col min="18" max="18" width="14.33203125" bestFit="1" customWidth="1"/>
    <col min="19" max="19" width="18" bestFit="1" customWidth="1"/>
    <col min="20" max="20" width="16.109375" bestFit="1" customWidth="1"/>
    <col min="21" max="21" width="16" bestFit="1" customWidth="1"/>
    <col min="22" max="22" width="18.88671875" bestFit="1" customWidth="1"/>
    <col min="23" max="23" width="13.5546875" bestFit="1" customWidth="1"/>
    <col min="24" max="24" width="12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218</v>
      </c>
      <c r="P1" t="s">
        <v>219</v>
      </c>
      <c r="Q1" t="s">
        <v>220</v>
      </c>
      <c r="R1" t="s">
        <v>221</v>
      </c>
      <c r="S1" t="s">
        <v>222</v>
      </c>
      <c r="T1" t="s">
        <v>223</v>
      </c>
      <c r="U1" t="s">
        <v>224</v>
      </c>
      <c r="V1" t="s">
        <v>225</v>
      </c>
      <c r="W1" t="s">
        <v>226</v>
      </c>
      <c r="X1" t="s">
        <v>227</v>
      </c>
    </row>
    <row r="2" spans="1:24" x14ac:dyDescent="0.3">
      <c r="A2">
        <v>1</v>
      </c>
      <c r="B2" s="1">
        <v>45292</v>
      </c>
      <c r="C2">
        <v>1066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2755</v>
      </c>
      <c r="J2">
        <v>3</v>
      </c>
      <c r="K2">
        <v>0.25</v>
      </c>
      <c r="L2">
        <v>559</v>
      </c>
      <c r="M2" t="s">
        <v>19</v>
      </c>
      <c r="N2">
        <v>6198.75</v>
      </c>
      <c r="O2" t="str">
        <f>TEXT(SalesData[[#This Row],[Order_Date]],"mmm")</f>
        <v>Jan</v>
      </c>
      <c r="P2">
        <f>YEAR(SalesData[[#This Row],[Order_Date]])</f>
        <v>2024</v>
      </c>
      <c r="Q2" t="str">
        <f>"Q"&amp;ROUNDUP(MONTH(SalesData[[#This Row],[Order_Date]])/3,0)</f>
        <v>Q1</v>
      </c>
      <c r="R2" s="2">
        <f>IFERROR(SalesData[[#This Row],[Profit]]/SalesData[[#This Row],[Sales]],0)</f>
        <v>9.017947166767494E-2</v>
      </c>
      <c r="S2" s="2">
        <f>SalesData[[#This Row],[Price]]*SalesData[[#This Row],[Quantity]]*SalesData[[#This Row],[Discount]]</f>
        <v>2066.25</v>
      </c>
      <c r="T2" s="2" t="str">
        <f>IF(SalesData[[#This Row],[Sales]]&gt;5000,"High",IF(SalesData[[#This Row],[Sales]]&gt;2000,"Medium","Low"))</f>
        <v>High</v>
      </c>
      <c r="U2" s="2" t="str">
        <f>IF(COUNTIFS(SalesData[Customer_ID],SalesData[[#This Row],[Customer_ID]])&gt;1,"Repeat","New")</f>
        <v>Repeat</v>
      </c>
      <c r="V2" s="2" t="str">
        <f>IF(SalesData[[#This Row],[Sales]]&gt;AVERAGE(SalesData[Sales]),"Above Avg","Below Avg")</f>
        <v>Below Avg</v>
      </c>
      <c r="W2" s="2" t="str">
        <f>IF(SalesData[[#This Row],[Profit]]&gt;0,"Profit","Loss")</f>
        <v>Profit</v>
      </c>
      <c r="X2">
        <f>RANK(SalesData[[#This Row],[Sales]],SalesData[Sales])</f>
        <v>293</v>
      </c>
    </row>
    <row r="3" spans="1:24" x14ac:dyDescent="0.3">
      <c r="A3">
        <v>2</v>
      </c>
      <c r="B3" s="1">
        <v>45293</v>
      </c>
      <c r="C3">
        <v>1092</v>
      </c>
      <c r="D3" t="s">
        <v>20</v>
      </c>
      <c r="E3" t="s">
        <v>15</v>
      </c>
      <c r="F3" t="s">
        <v>21</v>
      </c>
      <c r="G3" t="s">
        <v>22</v>
      </c>
      <c r="H3" t="s">
        <v>18</v>
      </c>
      <c r="I3">
        <v>1709</v>
      </c>
      <c r="J3">
        <v>3</v>
      </c>
      <c r="K3">
        <v>0.04</v>
      </c>
      <c r="L3">
        <v>1735</v>
      </c>
      <c r="M3" t="s">
        <v>19</v>
      </c>
      <c r="N3">
        <v>4921.92</v>
      </c>
      <c r="O3" t="str">
        <f>TEXT(SalesData[[#This Row],[Order_Date]],"mmm")</f>
        <v>Jan</v>
      </c>
      <c r="P3">
        <f>YEAR(SalesData[[#This Row],[Order_Date]])</f>
        <v>2024</v>
      </c>
      <c r="Q3" t="str">
        <f>"Q"&amp;ROUNDUP(MONTH(SalesData[[#This Row],[Order_Date]])/3,0)</f>
        <v>Q1</v>
      </c>
      <c r="R3" s="2">
        <f>IFERROR(SalesData[[#This Row],[Profit]]/SalesData[[#This Row],[Sales]],0)</f>
        <v>0.35250471360769781</v>
      </c>
      <c r="S3" s="2">
        <f>SalesData[[#This Row],[Price]]*SalesData[[#This Row],[Quantity]]*SalesData[[#This Row],[Discount]]</f>
        <v>205.08</v>
      </c>
      <c r="T3" s="2" t="str">
        <f>IF(SalesData[[#This Row],[Sales]]&gt;5000,"High",IF(SalesData[[#This Row],[Sales]]&gt;2000,"Medium","Low"))</f>
        <v>Medium</v>
      </c>
      <c r="U3" s="2" t="str">
        <f>IF(COUNTIFS(SalesData[Customer_ID],SalesData[[#This Row],[Customer_ID]])&gt;1,"Repeat","New")</f>
        <v>Repeat</v>
      </c>
      <c r="V3" s="2" t="str">
        <f>IF(SalesData[[#This Row],[Sales]]&gt;AVERAGE(SalesData[Sales]),"Above Avg","Below Avg")</f>
        <v>Below Avg</v>
      </c>
      <c r="W3" s="2" t="str">
        <f>IF(SalesData[[#This Row],[Profit]]&gt;0,"Profit","Loss")</f>
        <v>Profit</v>
      </c>
      <c r="X3" s="2">
        <f>RANK(SalesData[[#This Row],[Sales]],SalesData[Sales])</f>
        <v>326</v>
      </c>
    </row>
    <row r="4" spans="1:24" x14ac:dyDescent="0.3">
      <c r="A4">
        <v>3</v>
      </c>
      <c r="B4" s="1">
        <v>45294</v>
      </c>
      <c r="C4">
        <v>1098</v>
      </c>
      <c r="D4" t="s">
        <v>23</v>
      </c>
      <c r="E4" t="s">
        <v>24</v>
      </c>
      <c r="F4" t="s">
        <v>21</v>
      </c>
      <c r="G4" t="s">
        <v>22</v>
      </c>
      <c r="H4" t="s">
        <v>25</v>
      </c>
      <c r="I4">
        <v>3914</v>
      </c>
      <c r="J4">
        <v>7</v>
      </c>
      <c r="K4">
        <v>0.16</v>
      </c>
      <c r="L4">
        <v>-225</v>
      </c>
      <c r="M4" t="s">
        <v>26</v>
      </c>
      <c r="N4">
        <v>23014.32</v>
      </c>
      <c r="O4" t="str">
        <f>TEXT(SalesData[[#This Row],[Order_Date]],"mmm")</f>
        <v>Jan</v>
      </c>
      <c r="P4">
        <f>YEAR(SalesData[[#This Row],[Order_Date]])</f>
        <v>2024</v>
      </c>
      <c r="Q4" t="str">
        <f>"Q"&amp;ROUNDUP(MONTH(SalesData[[#This Row],[Order_Date]])/3,0)</f>
        <v>Q1</v>
      </c>
      <c r="R4" s="2">
        <f>IFERROR(SalesData[[#This Row],[Profit]]/SalesData[[#This Row],[Sales]],0)</f>
        <v>-9.7765217481985134E-3</v>
      </c>
      <c r="S4" s="2">
        <f>SalesData[[#This Row],[Price]]*SalesData[[#This Row],[Quantity]]*SalesData[[#This Row],[Discount]]</f>
        <v>4383.68</v>
      </c>
      <c r="T4" s="2" t="str">
        <f>IF(SalesData[[#This Row],[Sales]]&gt;5000,"High",IF(SalesData[[#This Row],[Sales]]&gt;2000,"Medium","Low"))</f>
        <v>High</v>
      </c>
      <c r="U4" s="2" t="str">
        <f>IF(COUNTIFS(SalesData[Customer_ID],SalesData[[#This Row],[Customer_ID]])&gt;1,"Repeat","New")</f>
        <v>Repeat</v>
      </c>
      <c r="V4" s="2" t="str">
        <f>IF(SalesData[[#This Row],[Sales]]&gt;AVERAGE(SalesData[Sales]),"Above Avg","Below Avg")</f>
        <v>Above Avg</v>
      </c>
      <c r="W4" s="2" t="str">
        <f>IF(SalesData[[#This Row],[Profit]]&gt;0,"Profit","Loss")</f>
        <v>Loss</v>
      </c>
      <c r="X4" s="2">
        <f>RANK(SalesData[[#This Row],[Sales]],SalesData[Sales])</f>
        <v>59</v>
      </c>
    </row>
    <row r="5" spans="1:24" x14ac:dyDescent="0.3">
      <c r="A5">
        <v>4</v>
      </c>
      <c r="B5" s="1">
        <v>45295</v>
      </c>
      <c r="C5">
        <v>1017</v>
      </c>
      <c r="D5" t="s">
        <v>27</v>
      </c>
      <c r="E5" t="s">
        <v>15</v>
      </c>
      <c r="F5" t="s">
        <v>28</v>
      </c>
      <c r="G5" t="s">
        <v>17</v>
      </c>
      <c r="H5" t="s">
        <v>29</v>
      </c>
      <c r="I5">
        <v>759</v>
      </c>
      <c r="J5">
        <v>5</v>
      </c>
      <c r="K5">
        <v>0.01</v>
      </c>
      <c r="L5">
        <v>-75</v>
      </c>
      <c r="M5" t="s">
        <v>19</v>
      </c>
      <c r="N5">
        <v>3757.05</v>
      </c>
      <c r="O5" t="str">
        <f>TEXT(SalesData[[#This Row],[Order_Date]],"mmm")</f>
        <v>Jan</v>
      </c>
      <c r="P5">
        <f>YEAR(SalesData[[#This Row],[Order_Date]])</f>
        <v>2024</v>
      </c>
      <c r="Q5" t="str">
        <f>"Q"&amp;ROUNDUP(MONTH(SalesData[[#This Row],[Order_Date]])/3,0)</f>
        <v>Q1</v>
      </c>
      <c r="R5" s="2">
        <f>IFERROR(SalesData[[#This Row],[Profit]]/SalesData[[#This Row],[Sales]],0)</f>
        <v>-1.9962470555355931E-2</v>
      </c>
      <c r="S5" s="2">
        <f>SalesData[[#This Row],[Price]]*SalesData[[#This Row],[Quantity]]*SalesData[[#This Row],[Discount]]</f>
        <v>37.950000000000003</v>
      </c>
      <c r="T5" s="2" t="str">
        <f>IF(SalesData[[#This Row],[Sales]]&gt;5000,"High",IF(SalesData[[#This Row],[Sales]]&gt;2000,"Medium","Low"))</f>
        <v>Medium</v>
      </c>
      <c r="U5" s="2" t="str">
        <f>IF(COUNTIFS(SalesData[Customer_ID],SalesData[[#This Row],[Customer_ID]])&gt;1,"Repeat","New")</f>
        <v>Repeat</v>
      </c>
      <c r="V5" s="2" t="str">
        <f>IF(SalesData[[#This Row],[Sales]]&gt;AVERAGE(SalesData[Sales]),"Above Avg","Below Avg")</f>
        <v>Below Avg</v>
      </c>
      <c r="W5" s="2" t="str">
        <f>IF(SalesData[[#This Row],[Profit]]&gt;0,"Profit","Loss")</f>
        <v>Loss</v>
      </c>
      <c r="X5" s="2">
        <f>RANK(SalesData[[#This Row],[Sales]],SalesData[Sales])</f>
        <v>365</v>
      </c>
    </row>
    <row r="6" spans="1:24" x14ac:dyDescent="0.3">
      <c r="A6">
        <v>5</v>
      </c>
      <c r="B6" s="1">
        <v>45296</v>
      </c>
      <c r="C6">
        <v>1083</v>
      </c>
      <c r="D6" t="s">
        <v>30</v>
      </c>
      <c r="E6" t="s">
        <v>15</v>
      </c>
      <c r="F6" t="s">
        <v>28</v>
      </c>
      <c r="G6" t="s">
        <v>17</v>
      </c>
      <c r="H6" t="s">
        <v>29</v>
      </c>
      <c r="I6">
        <v>243</v>
      </c>
      <c r="J6">
        <v>1</v>
      </c>
      <c r="K6">
        <v>0.17</v>
      </c>
      <c r="L6">
        <v>-482</v>
      </c>
      <c r="M6" t="s">
        <v>31</v>
      </c>
      <c r="N6">
        <v>201.69</v>
      </c>
      <c r="O6" t="str">
        <f>TEXT(SalesData[[#This Row],[Order_Date]],"mmm")</f>
        <v>Jan</v>
      </c>
      <c r="P6">
        <f>YEAR(SalesData[[#This Row],[Order_Date]])</f>
        <v>2024</v>
      </c>
      <c r="Q6" t="str">
        <f>"Q"&amp;ROUNDUP(MONTH(SalesData[[#This Row],[Order_Date]])/3,0)</f>
        <v>Q1</v>
      </c>
      <c r="R6" s="2">
        <f>IFERROR(SalesData[[#This Row],[Profit]]/SalesData[[#This Row],[Sales]],0)</f>
        <v>-2.3898061381327782</v>
      </c>
      <c r="S6" s="2">
        <f>SalesData[[#This Row],[Price]]*SalesData[[#This Row],[Quantity]]*SalesData[[#This Row],[Discount]]</f>
        <v>41.31</v>
      </c>
      <c r="T6" s="2" t="str">
        <f>IF(SalesData[[#This Row],[Sales]]&gt;5000,"High",IF(SalesData[[#This Row],[Sales]]&gt;2000,"Medium","Low"))</f>
        <v>Low</v>
      </c>
      <c r="U6" s="2" t="str">
        <f>IF(COUNTIFS(SalesData[Customer_ID],SalesData[[#This Row],[Customer_ID]])&gt;1,"Repeat","New")</f>
        <v>Repeat</v>
      </c>
      <c r="V6" s="2" t="str">
        <f>IF(SalesData[[#This Row],[Sales]]&gt;AVERAGE(SalesData[Sales]),"Above Avg","Below Avg")</f>
        <v>Below Avg</v>
      </c>
      <c r="W6" s="2" t="str">
        <f>IF(SalesData[[#This Row],[Profit]]&gt;0,"Profit","Loss")</f>
        <v>Loss</v>
      </c>
      <c r="X6" s="2">
        <f>RANK(SalesData[[#This Row],[Sales]],SalesData[Sales])</f>
        <v>499</v>
      </c>
    </row>
    <row r="7" spans="1:24" x14ac:dyDescent="0.3">
      <c r="A7">
        <v>6</v>
      </c>
      <c r="B7" s="1">
        <v>45297</v>
      </c>
      <c r="C7">
        <v>1057</v>
      </c>
      <c r="D7" t="s">
        <v>32</v>
      </c>
      <c r="E7" t="s">
        <v>15</v>
      </c>
      <c r="F7" t="s">
        <v>33</v>
      </c>
      <c r="G7" t="s">
        <v>34</v>
      </c>
      <c r="H7" t="s">
        <v>25</v>
      </c>
      <c r="I7">
        <v>2090</v>
      </c>
      <c r="J7">
        <v>8</v>
      </c>
      <c r="K7">
        <v>0.04</v>
      </c>
      <c r="L7">
        <v>1271</v>
      </c>
      <c r="M7" t="s">
        <v>19</v>
      </c>
      <c r="N7">
        <v>16051.199999999901</v>
      </c>
      <c r="O7" t="str">
        <f>TEXT(SalesData[[#This Row],[Order_Date]],"mmm")</f>
        <v>Jan</v>
      </c>
      <c r="P7">
        <f>YEAR(SalesData[[#This Row],[Order_Date]])</f>
        <v>2024</v>
      </c>
      <c r="Q7" t="str">
        <f>"Q"&amp;ROUNDUP(MONTH(SalesData[[#This Row],[Order_Date]])/3,0)</f>
        <v>Q1</v>
      </c>
      <c r="R7" s="2">
        <f>IFERROR(SalesData[[#This Row],[Profit]]/SalesData[[#This Row],[Sales]],0)</f>
        <v>7.9184110845295544E-2</v>
      </c>
      <c r="S7" s="2">
        <f>SalesData[[#This Row],[Price]]*SalesData[[#This Row],[Quantity]]*SalesData[[#This Row],[Discount]]</f>
        <v>668.80000000000007</v>
      </c>
      <c r="T7" s="2" t="str">
        <f>IF(SalesData[[#This Row],[Sales]]&gt;5000,"High",IF(SalesData[[#This Row],[Sales]]&gt;2000,"Medium","Low"))</f>
        <v>High</v>
      </c>
      <c r="U7" s="2" t="str">
        <f>IF(COUNTIFS(SalesData[Customer_ID],SalesData[[#This Row],[Customer_ID]])&gt;1,"Repeat","New")</f>
        <v>Repeat</v>
      </c>
      <c r="V7" s="2" t="str">
        <f>IF(SalesData[[#This Row],[Sales]]&gt;AVERAGE(SalesData[Sales]),"Above Avg","Below Avg")</f>
        <v>Above Avg</v>
      </c>
      <c r="W7" s="2" t="str">
        <f>IF(SalesData[[#This Row],[Profit]]&gt;0,"Profit","Loss")</f>
        <v>Profit</v>
      </c>
      <c r="X7" s="2">
        <f>RANK(SalesData[[#This Row],[Sales]],SalesData[Sales])</f>
        <v>127</v>
      </c>
    </row>
    <row r="8" spans="1:24" x14ac:dyDescent="0.3">
      <c r="A8">
        <v>7</v>
      </c>
      <c r="B8" s="1">
        <v>45298</v>
      </c>
      <c r="C8">
        <v>1086</v>
      </c>
      <c r="D8" t="s">
        <v>35</v>
      </c>
      <c r="E8" t="s">
        <v>24</v>
      </c>
      <c r="F8" t="s">
        <v>33</v>
      </c>
      <c r="G8" t="s">
        <v>34</v>
      </c>
      <c r="H8" t="s">
        <v>25</v>
      </c>
      <c r="I8">
        <v>550</v>
      </c>
      <c r="J8">
        <v>5</v>
      </c>
      <c r="K8">
        <v>0.24</v>
      </c>
      <c r="L8">
        <v>1300</v>
      </c>
      <c r="M8" t="s">
        <v>31</v>
      </c>
      <c r="N8">
        <v>2090</v>
      </c>
      <c r="O8" t="str">
        <f>TEXT(SalesData[[#This Row],[Order_Date]],"mmm")</f>
        <v>Jan</v>
      </c>
      <c r="P8">
        <f>YEAR(SalesData[[#This Row],[Order_Date]])</f>
        <v>2024</v>
      </c>
      <c r="Q8" t="str">
        <f>"Q"&amp;ROUNDUP(MONTH(SalesData[[#This Row],[Order_Date]])/3,0)</f>
        <v>Q1</v>
      </c>
      <c r="R8" s="2">
        <f>IFERROR(SalesData[[#This Row],[Profit]]/SalesData[[#This Row],[Sales]],0)</f>
        <v>0.62200956937799046</v>
      </c>
      <c r="S8" s="2">
        <f>SalesData[[#This Row],[Price]]*SalesData[[#This Row],[Quantity]]*SalesData[[#This Row],[Discount]]</f>
        <v>660</v>
      </c>
      <c r="T8" s="2" t="str">
        <f>IF(SalesData[[#This Row],[Sales]]&gt;5000,"High",IF(SalesData[[#This Row],[Sales]]&gt;2000,"Medium","Low"))</f>
        <v>Medium</v>
      </c>
      <c r="U8" s="2" t="str">
        <f>IF(COUNTIFS(SalesData[Customer_ID],SalesData[[#This Row],[Customer_ID]])&gt;1,"Repeat","New")</f>
        <v>Repeat</v>
      </c>
      <c r="V8" s="2" t="str">
        <f>IF(SalesData[[#This Row],[Sales]]&gt;AVERAGE(SalesData[Sales]),"Above Avg","Below Avg")</f>
        <v>Below Avg</v>
      </c>
      <c r="W8" s="2" t="str">
        <f>IF(SalesData[[#This Row],[Profit]]&gt;0,"Profit","Loss")</f>
        <v>Profit</v>
      </c>
      <c r="X8" s="2">
        <f>RANK(SalesData[[#This Row],[Sales]],SalesData[Sales])</f>
        <v>423</v>
      </c>
    </row>
    <row r="9" spans="1:24" x14ac:dyDescent="0.3">
      <c r="A9">
        <v>8</v>
      </c>
      <c r="B9" s="1">
        <v>45299</v>
      </c>
      <c r="C9">
        <v>1097</v>
      </c>
      <c r="D9" t="s">
        <v>35</v>
      </c>
      <c r="E9" t="s">
        <v>24</v>
      </c>
      <c r="F9" t="s">
        <v>16</v>
      </c>
      <c r="G9" t="s">
        <v>34</v>
      </c>
      <c r="H9" t="s">
        <v>18</v>
      </c>
      <c r="I9">
        <v>1291</v>
      </c>
      <c r="J9">
        <v>4</v>
      </c>
      <c r="K9">
        <v>7.0000000000000007E-2</v>
      </c>
      <c r="L9">
        <v>829</v>
      </c>
      <c r="M9" t="s">
        <v>31</v>
      </c>
      <c r="N9">
        <v>4802.5199999999904</v>
      </c>
      <c r="O9" t="str">
        <f>TEXT(SalesData[[#This Row],[Order_Date]],"mmm")</f>
        <v>Jan</v>
      </c>
      <c r="P9">
        <f>YEAR(SalesData[[#This Row],[Order_Date]])</f>
        <v>2024</v>
      </c>
      <c r="Q9" t="str">
        <f>"Q"&amp;ROUNDUP(MONTH(SalesData[[#This Row],[Order_Date]])/3,0)</f>
        <v>Q1</v>
      </c>
      <c r="R9" s="2">
        <f>IFERROR(SalesData[[#This Row],[Profit]]/SalesData[[#This Row],[Sales]],0)</f>
        <v>0.17261770903608972</v>
      </c>
      <c r="S9" s="2">
        <f>SalesData[[#This Row],[Price]]*SalesData[[#This Row],[Quantity]]*SalesData[[#This Row],[Discount]]</f>
        <v>361.48</v>
      </c>
      <c r="T9" s="2" t="str">
        <f>IF(SalesData[[#This Row],[Sales]]&gt;5000,"High",IF(SalesData[[#This Row],[Sales]]&gt;2000,"Medium","Low"))</f>
        <v>Medium</v>
      </c>
      <c r="U9" s="2" t="str">
        <f>IF(COUNTIFS(SalesData[Customer_ID],SalesData[[#This Row],[Customer_ID]])&gt;1,"Repeat","New")</f>
        <v>Repeat</v>
      </c>
      <c r="V9" s="2" t="str">
        <f>IF(SalesData[[#This Row],[Sales]]&gt;AVERAGE(SalesData[Sales]),"Above Avg","Below Avg")</f>
        <v>Below Avg</v>
      </c>
      <c r="W9" s="2" t="str">
        <f>IF(SalesData[[#This Row],[Profit]]&gt;0,"Profit","Loss")</f>
        <v>Profit</v>
      </c>
      <c r="X9" s="2">
        <f>RANK(SalesData[[#This Row],[Sales]],SalesData[Sales])</f>
        <v>329</v>
      </c>
    </row>
    <row r="10" spans="1:24" x14ac:dyDescent="0.3">
      <c r="A10">
        <v>9</v>
      </c>
      <c r="B10" s="1">
        <v>45300</v>
      </c>
      <c r="C10">
        <v>1096</v>
      </c>
      <c r="D10" t="s">
        <v>36</v>
      </c>
      <c r="E10" t="s">
        <v>15</v>
      </c>
      <c r="F10" t="s">
        <v>28</v>
      </c>
      <c r="G10" t="s">
        <v>17</v>
      </c>
      <c r="H10" t="s">
        <v>37</v>
      </c>
      <c r="I10">
        <v>4121</v>
      </c>
      <c r="J10">
        <v>4</v>
      </c>
      <c r="K10">
        <v>0.03</v>
      </c>
      <c r="L10">
        <v>-169</v>
      </c>
      <c r="M10" t="s">
        <v>26</v>
      </c>
      <c r="N10">
        <v>15989.48</v>
      </c>
      <c r="O10" t="str">
        <f>TEXT(SalesData[[#This Row],[Order_Date]],"mmm")</f>
        <v>Jan</v>
      </c>
      <c r="P10">
        <f>YEAR(SalesData[[#This Row],[Order_Date]])</f>
        <v>2024</v>
      </c>
      <c r="Q10" t="str">
        <f>"Q"&amp;ROUNDUP(MONTH(SalesData[[#This Row],[Order_Date]])/3,0)</f>
        <v>Q1</v>
      </c>
      <c r="R10" s="2">
        <f>IFERROR(SalesData[[#This Row],[Profit]]/SalesData[[#This Row],[Sales]],0)</f>
        <v>-1.056944941298904E-2</v>
      </c>
      <c r="S10" s="2">
        <f>SalesData[[#This Row],[Price]]*SalesData[[#This Row],[Quantity]]*SalesData[[#This Row],[Discount]]</f>
        <v>494.52</v>
      </c>
      <c r="T10" s="2" t="str">
        <f>IF(SalesData[[#This Row],[Sales]]&gt;5000,"High",IF(SalesData[[#This Row],[Sales]]&gt;2000,"Medium","Low"))</f>
        <v>High</v>
      </c>
      <c r="U10" s="2" t="str">
        <f>IF(COUNTIFS(SalesData[Customer_ID],SalesData[[#This Row],[Customer_ID]])&gt;1,"Repeat","New")</f>
        <v>Repeat</v>
      </c>
      <c r="V10" s="2" t="str">
        <f>IF(SalesData[[#This Row],[Sales]]&gt;AVERAGE(SalesData[Sales]),"Above Avg","Below Avg")</f>
        <v>Above Avg</v>
      </c>
      <c r="W10" s="2" t="str">
        <f>IF(SalesData[[#This Row],[Profit]]&gt;0,"Profit","Loss")</f>
        <v>Loss</v>
      </c>
      <c r="X10" s="2">
        <f>RANK(SalesData[[#This Row],[Sales]],SalesData[Sales])</f>
        <v>128</v>
      </c>
    </row>
    <row r="11" spans="1:24" x14ac:dyDescent="0.3">
      <c r="A11">
        <v>10</v>
      </c>
      <c r="B11" s="1">
        <v>45301</v>
      </c>
      <c r="C11">
        <v>1047</v>
      </c>
      <c r="D11" t="s">
        <v>38</v>
      </c>
      <c r="E11" t="s">
        <v>24</v>
      </c>
      <c r="F11" t="s">
        <v>28</v>
      </c>
      <c r="G11" t="s">
        <v>17</v>
      </c>
      <c r="H11" t="s">
        <v>29</v>
      </c>
      <c r="I11">
        <v>735</v>
      </c>
      <c r="J11">
        <v>2</v>
      </c>
      <c r="K11">
        <v>0.01</v>
      </c>
      <c r="L11">
        <v>-250</v>
      </c>
      <c r="M11" t="s">
        <v>31</v>
      </c>
      <c r="N11">
        <v>1455.3</v>
      </c>
      <c r="O11" t="str">
        <f>TEXT(SalesData[[#This Row],[Order_Date]],"mmm")</f>
        <v>Jan</v>
      </c>
      <c r="P11">
        <f>YEAR(SalesData[[#This Row],[Order_Date]])</f>
        <v>2024</v>
      </c>
      <c r="Q11" t="str">
        <f>"Q"&amp;ROUNDUP(MONTH(SalesData[[#This Row],[Order_Date]])/3,0)</f>
        <v>Q1</v>
      </c>
      <c r="R11" s="2">
        <f>IFERROR(SalesData[[#This Row],[Profit]]/SalesData[[#This Row],[Sales]],0)</f>
        <v>-0.17178588607160036</v>
      </c>
      <c r="S11" s="2">
        <f>SalesData[[#This Row],[Price]]*SalesData[[#This Row],[Quantity]]*SalesData[[#This Row],[Discount]]</f>
        <v>14.700000000000001</v>
      </c>
      <c r="T11" s="2" t="str">
        <f>IF(SalesData[[#This Row],[Sales]]&gt;5000,"High",IF(SalesData[[#This Row],[Sales]]&gt;2000,"Medium","Low"))</f>
        <v>Low</v>
      </c>
      <c r="U11" s="2" t="str">
        <f>IF(COUNTIFS(SalesData[Customer_ID],SalesData[[#This Row],[Customer_ID]])&gt;1,"Repeat","New")</f>
        <v>Repeat</v>
      </c>
      <c r="V11" s="2" t="str">
        <f>IF(SalesData[[#This Row],[Sales]]&gt;AVERAGE(SalesData[Sales]),"Above Avg","Below Avg")</f>
        <v>Below Avg</v>
      </c>
      <c r="W11" s="2" t="str">
        <f>IF(SalesData[[#This Row],[Profit]]&gt;0,"Profit","Loss")</f>
        <v>Loss</v>
      </c>
      <c r="X11" s="2">
        <f>RANK(SalesData[[#This Row],[Sales]],SalesData[Sales])</f>
        <v>460</v>
      </c>
    </row>
    <row r="12" spans="1:24" x14ac:dyDescent="0.3">
      <c r="A12">
        <v>11</v>
      </c>
      <c r="B12" s="1">
        <v>45302</v>
      </c>
      <c r="C12">
        <v>1073</v>
      </c>
      <c r="D12" t="s">
        <v>39</v>
      </c>
      <c r="E12" t="s">
        <v>15</v>
      </c>
      <c r="F12" t="s">
        <v>28</v>
      </c>
      <c r="G12" t="s">
        <v>22</v>
      </c>
      <c r="H12" t="s">
        <v>18</v>
      </c>
      <c r="I12">
        <v>2257</v>
      </c>
      <c r="J12">
        <v>1</v>
      </c>
      <c r="K12">
        <v>0.17</v>
      </c>
      <c r="L12">
        <v>960</v>
      </c>
      <c r="M12" t="s">
        <v>26</v>
      </c>
      <c r="N12">
        <v>1873.31</v>
      </c>
      <c r="O12" t="str">
        <f>TEXT(SalesData[[#This Row],[Order_Date]],"mmm")</f>
        <v>Jan</v>
      </c>
      <c r="P12">
        <f>YEAR(SalesData[[#This Row],[Order_Date]])</f>
        <v>2024</v>
      </c>
      <c r="Q12" t="str">
        <f>"Q"&amp;ROUNDUP(MONTH(SalesData[[#This Row],[Order_Date]])/3,0)</f>
        <v>Q1</v>
      </c>
      <c r="R12" s="2">
        <f>IFERROR(SalesData[[#This Row],[Profit]]/SalesData[[#This Row],[Sales]],0)</f>
        <v>0.51246189899162442</v>
      </c>
      <c r="S12" s="2">
        <f>SalesData[[#This Row],[Price]]*SalesData[[#This Row],[Quantity]]*SalesData[[#This Row],[Discount]]</f>
        <v>383.69000000000005</v>
      </c>
      <c r="T12" s="2" t="str">
        <f>IF(SalesData[[#This Row],[Sales]]&gt;5000,"High",IF(SalesData[[#This Row],[Sales]]&gt;2000,"Medium","Low"))</f>
        <v>Low</v>
      </c>
      <c r="U12" s="2" t="str">
        <f>IF(COUNTIFS(SalesData[Customer_ID],SalesData[[#This Row],[Customer_ID]])&gt;1,"Repeat","New")</f>
        <v>Repeat</v>
      </c>
      <c r="V12" s="2" t="str">
        <f>IF(SalesData[[#This Row],[Sales]]&gt;AVERAGE(SalesData[Sales]),"Above Avg","Below Avg")</f>
        <v>Below Avg</v>
      </c>
      <c r="W12" s="2" t="str">
        <f>IF(SalesData[[#This Row],[Profit]]&gt;0,"Profit","Loss")</f>
        <v>Profit</v>
      </c>
      <c r="X12" s="2">
        <f>RANK(SalesData[[#This Row],[Sales]],SalesData[Sales])</f>
        <v>438</v>
      </c>
    </row>
    <row r="13" spans="1:24" x14ac:dyDescent="0.3">
      <c r="A13">
        <v>12</v>
      </c>
      <c r="B13" s="1">
        <v>45303</v>
      </c>
      <c r="C13">
        <v>1032</v>
      </c>
      <c r="D13" t="s">
        <v>40</v>
      </c>
      <c r="E13" t="s">
        <v>15</v>
      </c>
      <c r="F13" t="s">
        <v>28</v>
      </c>
      <c r="G13" t="s">
        <v>17</v>
      </c>
      <c r="H13" t="s">
        <v>37</v>
      </c>
      <c r="I13">
        <v>3851</v>
      </c>
      <c r="J13">
        <v>6</v>
      </c>
      <c r="K13">
        <v>0.2</v>
      </c>
      <c r="L13">
        <v>-7</v>
      </c>
      <c r="M13" t="s">
        <v>19</v>
      </c>
      <c r="N13">
        <v>18484.8</v>
      </c>
      <c r="O13" t="str">
        <f>TEXT(SalesData[[#This Row],[Order_Date]],"mmm")</f>
        <v>Jan</v>
      </c>
      <c r="P13">
        <f>YEAR(SalesData[[#This Row],[Order_Date]])</f>
        <v>2024</v>
      </c>
      <c r="Q13" t="str">
        <f>"Q"&amp;ROUNDUP(MONTH(SalesData[[#This Row],[Order_Date]])/3,0)</f>
        <v>Q1</v>
      </c>
      <c r="R13" s="2">
        <f>IFERROR(SalesData[[#This Row],[Profit]]/SalesData[[#This Row],[Sales]],0)</f>
        <v>-3.7868951787414524E-4</v>
      </c>
      <c r="S13" s="2">
        <f>SalesData[[#This Row],[Price]]*SalesData[[#This Row],[Quantity]]*SalesData[[#This Row],[Discount]]</f>
        <v>4621.2</v>
      </c>
      <c r="T13" s="2" t="str">
        <f>IF(SalesData[[#This Row],[Sales]]&gt;5000,"High",IF(SalesData[[#This Row],[Sales]]&gt;2000,"Medium","Low"))</f>
        <v>High</v>
      </c>
      <c r="U13" s="2" t="str">
        <f>IF(COUNTIFS(SalesData[Customer_ID],SalesData[[#This Row],[Customer_ID]])&gt;1,"Repeat","New")</f>
        <v>Repeat</v>
      </c>
      <c r="V13" s="2" t="str">
        <f>IF(SalesData[[#This Row],[Sales]]&gt;AVERAGE(SalesData[Sales]),"Above Avg","Below Avg")</f>
        <v>Above Avg</v>
      </c>
      <c r="W13" s="2" t="str">
        <f>IF(SalesData[[#This Row],[Profit]]&gt;0,"Profit","Loss")</f>
        <v>Loss</v>
      </c>
      <c r="X13" s="2">
        <f>RANK(SalesData[[#This Row],[Sales]],SalesData[Sales])</f>
        <v>87</v>
      </c>
    </row>
    <row r="14" spans="1:24" x14ac:dyDescent="0.3">
      <c r="A14">
        <v>13</v>
      </c>
      <c r="B14" s="1">
        <v>45304</v>
      </c>
      <c r="C14">
        <v>1046</v>
      </c>
      <c r="D14" t="s">
        <v>41</v>
      </c>
      <c r="E14" t="s">
        <v>24</v>
      </c>
      <c r="F14" t="s">
        <v>21</v>
      </c>
      <c r="G14" t="s">
        <v>22</v>
      </c>
      <c r="H14" t="s">
        <v>29</v>
      </c>
      <c r="I14">
        <v>999</v>
      </c>
      <c r="J14">
        <v>3</v>
      </c>
      <c r="K14">
        <v>0.27</v>
      </c>
      <c r="L14">
        <v>-134</v>
      </c>
      <c r="M14" t="s">
        <v>26</v>
      </c>
      <c r="N14">
        <v>2187.81</v>
      </c>
      <c r="O14" t="str">
        <f>TEXT(SalesData[[#This Row],[Order_Date]],"mmm")</f>
        <v>Jan</v>
      </c>
      <c r="P14">
        <f>YEAR(SalesData[[#This Row],[Order_Date]])</f>
        <v>2024</v>
      </c>
      <c r="Q14" t="str">
        <f>"Q"&amp;ROUNDUP(MONTH(SalesData[[#This Row],[Order_Date]])/3,0)</f>
        <v>Q1</v>
      </c>
      <c r="R14" s="2">
        <f>IFERROR(SalesData[[#This Row],[Profit]]/SalesData[[#This Row],[Sales]],0)</f>
        <v>-6.1248463074947093E-2</v>
      </c>
      <c r="S14" s="2">
        <f>SalesData[[#This Row],[Price]]*SalesData[[#This Row],[Quantity]]*SalesData[[#This Row],[Discount]]</f>
        <v>809.19</v>
      </c>
      <c r="T14" s="2" t="str">
        <f>IF(SalesData[[#This Row],[Sales]]&gt;5000,"High",IF(SalesData[[#This Row],[Sales]]&gt;2000,"Medium","Low"))</f>
        <v>Medium</v>
      </c>
      <c r="U14" s="2" t="str">
        <f>IF(COUNTIFS(SalesData[Customer_ID],SalesData[[#This Row],[Customer_ID]])&gt;1,"Repeat","New")</f>
        <v>Repeat</v>
      </c>
      <c r="V14" s="2" t="str">
        <f>IF(SalesData[[#This Row],[Sales]]&gt;AVERAGE(SalesData[Sales]),"Above Avg","Below Avg")</f>
        <v>Below Avg</v>
      </c>
      <c r="W14" s="2" t="str">
        <f>IF(SalesData[[#This Row],[Profit]]&gt;0,"Profit","Loss")</f>
        <v>Loss</v>
      </c>
      <c r="X14" s="2">
        <f>RANK(SalesData[[#This Row],[Sales]],SalesData[Sales])</f>
        <v>419</v>
      </c>
    </row>
    <row r="15" spans="1:24" x14ac:dyDescent="0.3">
      <c r="A15">
        <v>14</v>
      </c>
      <c r="B15" s="1">
        <v>45305</v>
      </c>
      <c r="C15">
        <v>1096</v>
      </c>
      <c r="D15" t="s">
        <v>42</v>
      </c>
      <c r="E15" t="s">
        <v>15</v>
      </c>
      <c r="F15" t="s">
        <v>33</v>
      </c>
      <c r="G15" t="s">
        <v>22</v>
      </c>
      <c r="H15" t="s">
        <v>18</v>
      </c>
      <c r="I15">
        <v>4554</v>
      </c>
      <c r="J15">
        <v>9</v>
      </c>
      <c r="K15">
        <v>0.02</v>
      </c>
      <c r="L15">
        <v>1529</v>
      </c>
      <c r="M15" t="s">
        <v>26</v>
      </c>
      <c r="N15">
        <v>40166.28</v>
      </c>
      <c r="O15" t="str">
        <f>TEXT(SalesData[[#This Row],[Order_Date]],"mmm")</f>
        <v>Jan</v>
      </c>
      <c r="P15">
        <f>YEAR(SalesData[[#This Row],[Order_Date]])</f>
        <v>2024</v>
      </c>
      <c r="Q15" t="str">
        <f>"Q"&amp;ROUNDUP(MONTH(SalesData[[#This Row],[Order_Date]])/3,0)</f>
        <v>Q1</v>
      </c>
      <c r="R15" s="2">
        <f>IFERROR(SalesData[[#This Row],[Profit]]/SalesData[[#This Row],[Sales]],0)</f>
        <v>3.8066756493257532E-2</v>
      </c>
      <c r="S15" s="2">
        <f>SalesData[[#This Row],[Price]]*SalesData[[#This Row],[Quantity]]*SalesData[[#This Row],[Discount]]</f>
        <v>819.72</v>
      </c>
      <c r="T15" s="2" t="str">
        <f>IF(SalesData[[#This Row],[Sales]]&gt;5000,"High",IF(SalesData[[#This Row],[Sales]]&gt;2000,"Medium","Low"))</f>
        <v>High</v>
      </c>
      <c r="U15" s="2" t="str">
        <f>IF(COUNTIFS(SalesData[Customer_ID],SalesData[[#This Row],[Customer_ID]])&gt;1,"Repeat","New")</f>
        <v>Repeat</v>
      </c>
      <c r="V15" s="2" t="str">
        <f>IF(SalesData[[#This Row],[Sales]]&gt;AVERAGE(SalesData[Sales]),"Above Avg","Below Avg")</f>
        <v>Above Avg</v>
      </c>
      <c r="W15" s="2" t="str">
        <f>IF(SalesData[[#This Row],[Profit]]&gt;0,"Profit","Loss")</f>
        <v>Profit</v>
      </c>
      <c r="X15" s="2">
        <f>RANK(SalesData[[#This Row],[Sales]],SalesData[Sales])</f>
        <v>2</v>
      </c>
    </row>
    <row r="16" spans="1:24" x14ac:dyDescent="0.3">
      <c r="A16">
        <v>15</v>
      </c>
      <c r="B16" s="1">
        <v>45306</v>
      </c>
      <c r="C16">
        <v>1025</v>
      </c>
      <c r="D16" t="s">
        <v>43</v>
      </c>
      <c r="E16" t="s">
        <v>24</v>
      </c>
      <c r="F16" t="s">
        <v>16</v>
      </c>
      <c r="G16" t="s">
        <v>22</v>
      </c>
      <c r="H16" t="s">
        <v>18</v>
      </c>
      <c r="I16">
        <v>2930</v>
      </c>
      <c r="J16">
        <v>4</v>
      </c>
      <c r="K16">
        <v>0.12</v>
      </c>
      <c r="L16">
        <v>1243</v>
      </c>
      <c r="M16" t="s">
        <v>26</v>
      </c>
      <c r="N16">
        <v>10313.6</v>
      </c>
      <c r="O16" t="str">
        <f>TEXT(SalesData[[#This Row],[Order_Date]],"mmm")</f>
        <v>Jan</v>
      </c>
      <c r="P16">
        <f>YEAR(SalesData[[#This Row],[Order_Date]])</f>
        <v>2024</v>
      </c>
      <c r="Q16" t="str">
        <f>"Q"&amp;ROUNDUP(MONTH(SalesData[[#This Row],[Order_Date]])/3,0)</f>
        <v>Q1</v>
      </c>
      <c r="R16" s="2">
        <f>IFERROR(SalesData[[#This Row],[Profit]]/SalesData[[#This Row],[Sales]],0)</f>
        <v>0.12052047781569965</v>
      </c>
      <c r="S16" s="2">
        <f>SalesData[[#This Row],[Price]]*SalesData[[#This Row],[Quantity]]*SalesData[[#This Row],[Discount]]</f>
        <v>1406.3999999999999</v>
      </c>
      <c r="T16" s="2" t="str">
        <f>IF(SalesData[[#This Row],[Sales]]&gt;5000,"High",IF(SalesData[[#This Row],[Sales]]&gt;2000,"Medium","Low"))</f>
        <v>High</v>
      </c>
      <c r="U16" s="2" t="str">
        <f>IF(COUNTIFS(SalesData[Customer_ID],SalesData[[#This Row],[Customer_ID]])&gt;1,"Repeat","New")</f>
        <v>Repeat</v>
      </c>
      <c r="V16" s="2" t="str">
        <f>IF(SalesData[[#This Row],[Sales]]&gt;AVERAGE(SalesData[Sales]),"Above Avg","Below Avg")</f>
        <v>Below Avg</v>
      </c>
      <c r="W16" s="2" t="str">
        <f>IF(SalesData[[#This Row],[Profit]]&gt;0,"Profit","Loss")</f>
        <v>Profit</v>
      </c>
      <c r="X16" s="2">
        <f>RANK(SalesData[[#This Row],[Sales]],SalesData[Sales])</f>
        <v>198</v>
      </c>
    </row>
    <row r="17" spans="1:24" x14ac:dyDescent="0.3">
      <c r="A17">
        <v>16</v>
      </c>
      <c r="B17" s="1">
        <v>45307</v>
      </c>
      <c r="C17">
        <v>1083</v>
      </c>
      <c r="D17" t="s">
        <v>44</v>
      </c>
      <c r="E17" t="s">
        <v>15</v>
      </c>
      <c r="F17" t="s">
        <v>33</v>
      </c>
      <c r="G17" t="s">
        <v>34</v>
      </c>
      <c r="H17" t="s">
        <v>25</v>
      </c>
      <c r="I17">
        <v>2870</v>
      </c>
      <c r="J17">
        <v>2</v>
      </c>
      <c r="K17">
        <v>0.05</v>
      </c>
      <c r="L17">
        <v>1714</v>
      </c>
      <c r="M17" t="s">
        <v>26</v>
      </c>
      <c r="N17">
        <v>5453</v>
      </c>
      <c r="O17" t="str">
        <f>TEXT(SalesData[[#This Row],[Order_Date]],"mmm")</f>
        <v>Jan</v>
      </c>
      <c r="P17">
        <f>YEAR(SalesData[[#This Row],[Order_Date]])</f>
        <v>2024</v>
      </c>
      <c r="Q17" t="str">
        <f>"Q"&amp;ROUNDUP(MONTH(SalesData[[#This Row],[Order_Date]])/3,0)</f>
        <v>Q1</v>
      </c>
      <c r="R17" s="2">
        <f>IFERROR(SalesData[[#This Row],[Profit]]/SalesData[[#This Row],[Sales]],0)</f>
        <v>0.31432239134421419</v>
      </c>
      <c r="S17" s="2">
        <f>SalesData[[#This Row],[Price]]*SalesData[[#This Row],[Quantity]]*SalesData[[#This Row],[Discount]]</f>
        <v>287</v>
      </c>
      <c r="T17" s="2" t="str">
        <f>IF(SalesData[[#This Row],[Sales]]&gt;5000,"High",IF(SalesData[[#This Row],[Sales]]&gt;2000,"Medium","Low"))</f>
        <v>High</v>
      </c>
      <c r="U17" s="2" t="str">
        <f>IF(COUNTIFS(SalesData[Customer_ID],SalesData[[#This Row],[Customer_ID]])&gt;1,"Repeat","New")</f>
        <v>Repeat</v>
      </c>
      <c r="V17" s="2" t="str">
        <f>IF(SalesData[[#This Row],[Sales]]&gt;AVERAGE(SalesData[Sales]),"Above Avg","Below Avg")</f>
        <v>Below Avg</v>
      </c>
      <c r="W17" s="2" t="str">
        <f>IF(SalesData[[#This Row],[Profit]]&gt;0,"Profit","Loss")</f>
        <v>Profit</v>
      </c>
      <c r="X17" s="2">
        <f>RANK(SalesData[[#This Row],[Sales]],SalesData[Sales])</f>
        <v>310</v>
      </c>
    </row>
    <row r="18" spans="1:24" x14ac:dyDescent="0.3">
      <c r="A18">
        <v>17</v>
      </c>
      <c r="B18" s="1">
        <v>45308</v>
      </c>
      <c r="C18">
        <v>1078</v>
      </c>
      <c r="D18" t="s">
        <v>45</v>
      </c>
      <c r="E18" t="s">
        <v>24</v>
      </c>
      <c r="F18" t="s">
        <v>33</v>
      </c>
      <c r="G18" t="s">
        <v>22</v>
      </c>
      <c r="H18" t="s">
        <v>37</v>
      </c>
      <c r="I18">
        <v>1320</v>
      </c>
      <c r="J18">
        <v>4</v>
      </c>
      <c r="K18">
        <v>0.15</v>
      </c>
      <c r="L18">
        <v>644</v>
      </c>
      <c r="M18" t="s">
        <v>19</v>
      </c>
      <c r="N18">
        <v>4488</v>
      </c>
      <c r="O18" t="str">
        <f>TEXT(SalesData[[#This Row],[Order_Date]],"mmm")</f>
        <v>Jan</v>
      </c>
      <c r="P18">
        <f>YEAR(SalesData[[#This Row],[Order_Date]])</f>
        <v>2024</v>
      </c>
      <c r="Q18" t="str">
        <f>"Q"&amp;ROUNDUP(MONTH(SalesData[[#This Row],[Order_Date]])/3,0)</f>
        <v>Q1</v>
      </c>
      <c r="R18" s="2">
        <f>IFERROR(SalesData[[#This Row],[Profit]]/SalesData[[#This Row],[Sales]],0)</f>
        <v>0.14349376114081996</v>
      </c>
      <c r="S18" s="2">
        <f>SalesData[[#This Row],[Price]]*SalesData[[#This Row],[Quantity]]*SalesData[[#This Row],[Discount]]</f>
        <v>792</v>
      </c>
      <c r="T18" s="2" t="str">
        <f>IF(SalesData[[#This Row],[Sales]]&gt;5000,"High",IF(SalesData[[#This Row],[Sales]]&gt;2000,"Medium","Low"))</f>
        <v>Medium</v>
      </c>
      <c r="U18" s="2" t="str">
        <f>IF(COUNTIFS(SalesData[Customer_ID],SalesData[[#This Row],[Customer_ID]])&gt;1,"Repeat","New")</f>
        <v>Repeat</v>
      </c>
      <c r="V18" s="2" t="str">
        <f>IF(SalesData[[#This Row],[Sales]]&gt;AVERAGE(SalesData[Sales]),"Above Avg","Below Avg")</f>
        <v>Below Avg</v>
      </c>
      <c r="W18" s="2" t="str">
        <f>IF(SalesData[[#This Row],[Profit]]&gt;0,"Profit","Loss")</f>
        <v>Profit</v>
      </c>
      <c r="X18" s="2">
        <f>RANK(SalesData[[#This Row],[Sales]],SalesData[Sales])</f>
        <v>338</v>
      </c>
    </row>
    <row r="19" spans="1:24" x14ac:dyDescent="0.3">
      <c r="A19">
        <v>18</v>
      </c>
      <c r="B19" s="1">
        <v>45309</v>
      </c>
      <c r="C19">
        <v>1036</v>
      </c>
      <c r="D19" t="s">
        <v>32</v>
      </c>
      <c r="E19" t="s">
        <v>15</v>
      </c>
      <c r="F19" t="s">
        <v>33</v>
      </c>
      <c r="G19" t="s">
        <v>34</v>
      </c>
      <c r="H19" t="s">
        <v>18</v>
      </c>
      <c r="I19">
        <v>4545</v>
      </c>
      <c r="J19">
        <v>4</v>
      </c>
      <c r="K19">
        <v>7.0000000000000007E-2</v>
      </c>
      <c r="L19">
        <v>1171</v>
      </c>
      <c r="M19" t="s">
        <v>19</v>
      </c>
      <c r="N19">
        <v>16907.3999999999</v>
      </c>
      <c r="O19" t="str">
        <f>TEXT(SalesData[[#This Row],[Order_Date]],"mmm")</f>
        <v>Jan</v>
      </c>
      <c r="P19">
        <f>YEAR(SalesData[[#This Row],[Order_Date]])</f>
        <v>2024</v>
      </c>
      <c r="Q19" t="str">
        <f>"Q"&amp;ROUNDUP(MONTH(SalesData[[#This Row],[Order_Date]])/3,0)</f>
        <v>Q1</v>
      </c>
      <c r="R19" s="2">
        <f>IFERROR(SalesData[[#This Row],[Profit]]/SalesData[[#This Row],[Sales]],0)</f>
        <v>6.9259614133456771E-2</v>
      </c>
      <c r="S19" s="2">
        <f>SalesData[[#This Row],[Price]]*SalesData[[#This Row],[Quantity]]*SalesData[[#This Row],[Discount]]</f>
        <v>1272.6000000000001</v>
      </c>
      <c r="T19" s="2" t="str">
        <f>IF(SalesData[[#This Row],[Sales]]&gt;5000,"High",IF(SalesData[[#This Row],[Sales]]&gt;2000,"Medium","Low"))</f>
        <v>High</v>
      </c>
      <c r="U19" s="2" t="str">
        <f>IF(COUNTIFS(SalesData[Customer_ID],SalesData[[#This Row],[Customer_ID]])&gt;1,"Repeat","New")</f>
        <v>Repeat</v>
      </c>
      <c r="V19" s="2" t="str">
        <f>IF(SalesData[[#This Row],[Sales]]&gt;AVERAGE(SalesData[Sales]),"Above Avg","Below Avg")</f>
        <v>Above Avg</v>
      </c>
      <c r="W19" s="2" t="str">
        <f>IF(SalesData[[#This Row],[Profit]]&gt;0,"Profit","Loss")</f>
        <v>Profit</v>
      </c>
      <c r="X19" s="2">
        <f>RANK(SalesData[[#This Row],[Sales]],SalesData[Sales])</f>
        <v>105</v>
      </c>
    </row>
    <row r="20" spans="1:24" x14ac:dyDescent="0.3">
      <c r="A20">
        <v>19</v>
      </c>
      <c r="B20" s="1">
        <v>45310</v>
      </c>
      <c r="C20">
        <v>1096</v>
      </c>
      <c r="D20" t="s">
        <v>46</v>
      </c>
      <c r="E20" t="s">
        <v>15</v>
      </c>
      <c r="F20" t="s">
        <v>33</v>
      </c>
      <c r="G20" t="s">
        <v>17</v>
      </c>
      <c r="H20" t="s">
        <v>18</v>
      </c>
      <c r="I20">
        <v>4690</v>
      </c>
      <c r="J20">
        <v>1</v>
      </c>
      <c r="K20">
        <v>0.12</v>
      </c>
      <c r="L20">
        <v>-18</v>
      </c>
      <c r="M20" t="s">
        <v>31</v>
      </c>
      <c r="N20">
        <v>4127.2</v>
      </c>
      <c r="O20" t="str">
        <f>TEXT(SalesData[[#This Row],[Order_Date]],"mmm")</f>
        <v>Jan</v>
      </c>
      <c r="P20">
        <f>YEAR(SalesData[[#This Row],[Order_Date]])</f>
        <v>2024</v>
      </c>
      <c r="Q20" t="str">
        <f>"Q"&amp;ROUNDUP(MONTH(SalesData[[#This Row],[Order_Date]])/3,0)</f>
        <v>Q1</v>
      </c>
      <c r="R20" s="2">
        <f>IFERROR(SalesData[[#This Row],[Profit]]/SalesData[[#This Row],[Sales]],0)</f>
        <v>-4.3613103314595857E-3</v>
      </c>
      <c r="S20" s="2">
        <f>SalesData[[#This Row],[Price]]*SalesData[[#This Row],[Quantity]]*SalesData[[#This Row],[Discount]]</f>
        <v>562.79999999999995</v>
      </c>
      <c r="T20" s="2" t="str">
        <f>IF(SalesData[[#This Row],[Sales]]&gt;5000,"High",IF(SalesData[[#This Row],[Sales]]&gt;2000,"Medium","Low"))</f>
        <v>Medium</v>
      </c>
      <c r="U20" s="2" t="str">
        <f>IF(COUNTIFS(SalesData[Customer_ID],SalesData[[#This Row],[Customer_ID]])&gt;1,"Repeat","New")</f>
        <v>Repeat</v>
      </c>
      <c r="V20" s="2" t="str">
        <f>IF(SalesData[[#This Row],[Sales]]&gt;AVERAGE(SalesData[Sales]),"Above Avg","Below Avg")</f>
        <v>Below Avg</v>
      </c>
      <c r="W20" s="2" t="str">
        <f>IF(SalesData[[#This Row],[Profit]]&gt;0,"Profit","Loss")</f>
        <v>Loss</v>
      </c>
      <c r="X20" s="2">
        <f>RANK(SalesData[[#This Row],[Sales]],SalesData[Sales])</f>
        <v>348</v>
      </c>
    </row>
    <row r="21" spans="1:24" x14ac:dyDescent="0.3">
      <c r="A21">
        <v>20</v>
      </c>
      <c r="B21" s="1">
        <v>45311</v>
      </c>
      <c r="C21">
        <v>1080</v>
      </c>
      <c r="D21" t="s">
        <v>47</v>
      </c>
      <c r="E21" t="s">
        <v>24</v>
      </c>
      <c r="F21" t="s">
        <v>21</v>
      </c>
      <c r="G21" t="s">
        <v>34</v>
      </c>
      <c r="H21" t="s">
        <v>18</v>
      </c>
      <c r="I21">
        <v>1487</v>
      </c>
      <c r="J21">
        <v>8</v>
      </c>
      <c r="K21">
        <v>0.11</v>
      </c>
      <c r="L21">
        <v>992</v>
      </c>
      <c r="M21" t="s">
        <v>26</v>
      </c>
      <c r="N21">
        <v>10587.44</v>
      </c>
      <c r="O21" t="str">
        <f>TEXT(SalesData[[#This Row],[Order_Date]],"mmm")</f>
        <v>Jan</v>
      </c>
      <c r="P21">
        <f>YEAR(SalesData[[#This Row],[Order_Date]])</f>
        <v>2024</v>
      </c>
      <c r="Q21" t="str">
        <f>"Q"&amp;ROUNDUP(MONTH(SalesData[[#This Row],[Order_Date]])/3,0)</f>
        <v>Q1</v>
      </c>
      <c r="R21" s="2">
        <f>IFERROR(SalesData[[#This Row],[Profit]]/SalesData[[#This Row],[Sales]],0)</f>
        <v>9.3695926494034437E-2</v>
      </c>
      <c r="S21" s="2">
        <f>SalesData[[#This Row],[Price]]*SalesData[[#This Row],[Quantity]]*SalesData[[#This Row],[Discount]]</f>
        <v>1308.56</v>
      </c>
      <c r="T21" s="2" t="str">
        <f>IF(SalesData[[#This Row],[Sales]]&gt;5000,"High",IF(SalesData[[#This Row],[Sales]]&gt;2000,"Medium","Low"))</f>
        <v>High</v>
      </c>
      <c r="U21" s="2" t="str">
        <f>IF(COUNTIFS(SalesData[Customer_ID],SalesData[[#This Row],[Customer_ID]])&gt;1,"Repeat","New")</f>
        <v>Repeat</v>
      </c>
      <c r="V21" s="2" t="str">
        <f>IF(SalesData[[#This Row],[Sales]]&gt;AVERAGE(SalesData[Sales]),"Above Avg","Below Avg")</f>
        <v>Below Avg</v>
      </c>
      <c r="W21" s="2" t="str">
        <f>IF(SalesData[[#This Row],[Profit]]&gt;0,"Profit","Loss")</f>
        <v>Profit</v>
      </c>
      <c r="X21" s="2">
        <f>RANK(SalesData[[#This Row],[Sales]],SalesData[Sales])</f>
        <v>196</v>
      </c>
    </row>
    <row r="22" spans="1:24" x14ac:dyDescent="0.3">
      <c r="A22">
        <v>21</v>
      </c>
      <c r="B22" s="1">
        <v>45312</v>
      </c>
      <c r="C22">
        <v>1068</v>
      </c>
      <c r="D22" t="s">
        <v>48</v>
      </c>
      <c r="E22" t="s">
        <v>15</v>
      </c>
      <c r="F22" t="s">
        <v>16</v>
      </c>
      <c r="G22" t="s">
        <v>22</v>
      </c>
      <c r="H22" t="s">
        <v>29</v>
      </c>
      <c r="I22">
        <v>2066</v>
      </c>
      <c r="J22">
        <v>4</v>
      </c>
      <c r="K22">
        <v>0.21</v>
      </c>
      <c r="L22">
        <v>-488</v>
      </c>
      <c r="M22" t="s">
        <v>19</v>
      </c>
      <c r="N22">
        <v>6528.56</v>
      </c>
      <c r="O22" t="str">
        <f>TEXT(SalesData[[#This Row],[Order_Date]],"mmm")</f>
        <v>Jan</v>
      </c>
      <c r="P22">
        <f>YEAR(SalesData[[#This Row],[Order_Date]])</f>
        <v>2024</v>
      </c>
      <c r="Q22" t="str">
        <f>"Q"&amp;ROUNDUP(MONTH(SalesData[[#This Row],[Order_Date]])/3,0)</f>
        <v>Q1</v>
      </c>
      <c r="R22" s="2">
        <f>IFERROR(SalesData[[#This Row],[Profit]]/SalesData[[#This Row],[Sales]],0)</f>
        <v>-7.4748489712892274E-2</v>
      </c>
      <c r="S22" s="2">
        <f>SalesData[[#This Row],[Price]]*SalesData[[#This Row],[Quantity]]*SalesData[[#This Row],[Discount]]</f>
        <v>1735.4399999999998</v>
      </c>
      <c r="T22" s="2" t="str">
        <f>IF(SalesData[[#This Row],[Sales]]&gt;5000,"High",IF(SalesData[[#This Row],[Sales]]&gt;2000,"Medium","Low"))</f>
        <v>High</v>
      </c>
      <c r="U22" s="2" t="str">
        <f>IF(COUNTIFS(SalesData[Customer_ID],SalesData[[#This Row],[Customer_ID]])&gt;1,"Repeat","New")</f>
        <v>Repeat</v>
      </c>
      <c r="V22" s="2" t="str">
        <f>IF(SalesData[[#This Row],[Sales]]&gt;AVERAGE(SalesData[Sales]),"Above Avg","Below Avg")</f>
        <v>Below Avg</v>
      </c>
      <c r="W22" s="2" t="str">
        <f>IF(SalesData[[#This Row],[Profit]]&gt;0,"Profit","Loss")</f>
        <v>Loss</v>
      </c>
      <c r="X22" s="2">
        <f>RANK(SalesData[[#This Row],[Sales]],SalesData[Sales])</f>
        <v>285</v>
      </c>
    </row>
    <row r="23" spans="1:24" x14ac:dyDescent="0.3">
      <c r="A23">
        <v>22</v>
      </c>
      <c r="B23" s="1">
        <v>45313</v>
      </c>
      <c r="C23">
        <v>1049</v>
      </c>
      <c r="D23" t="s">
        <v>49</v>
      </c>
      <c r="E23" t="s">
        <v>24</v>
      </c>
      <c r="F23" t="s">
        <v>21</v>
      </c>
      <c r="G23" t="s">
        <v>22</v>
      </c>
      <c r="H23" t="s">
        <v>25</v>
      </c>
      <c r="I23">
        <v>4415</v>
      </c>
      <c r="J23">
        <v>4</v>
      </c>
      <c r="K23">
        <v>0.22</v>
      </c>
      <c r="L23">
        <v>316</v>
      </c>
      <c r="M23" t="s">
        <v>31</v>
      </c>
      <c r="N23">
        <v>13774.8</v>
      </c>
      <c r="O23" t="str">
        <f>TEXT(SalesData[[#This Row],[Order_Date]],"mmm")</f>
        <v>Jan</v>
      </c>
      <c r="P23">
        <f>YEAR(SalesData[[#This Row],[Order_Date]])</f>
        <v>2024</v>
      </c>
      <c r="Q23" t="str">
        <f>"Q"&amp;ROUNDUP(MONTH(SalesData[[#This Row],[Order_Date]])/3,0)</f>
        <v>Q1</v>
      </c>
      <c r="R23" s="2">
        <f>IFERROR(SalesData[[#This Row],[Profit]]/SalesData[[#This Row],[Sales]],0)</f>
        <v>2.2940441966489533E-2</v>
      </c>
      <c r="S23" s="2">
        <f>SalesData[[#This Row],[Price]]*SalesData[[#This Row],[Quantity]]*SalesData[[#This Row],[Discount]]</f>
        <v>3885.2</v>
      </c>
      <c r="T23" s="2" t="str">
        <f>IF(SalesData[[#This Row],[Sales]]&gt;5000,"High",IF(SalesData[[#This Row],[Sales]]&gt;2000,"Medium","Low"))</f>
        <v>High</v>
      </c>
      <c r="U23" s="2" t="str">
        <f>IF(COUNTIFS(SalesData[Customer_ID],SalesData[[#This Row],[Customer_ID]])&gt;1,"Repeat","New")</f>
        <v>Repeat</v>
      </c>
      <c r="V23" s="2" t="str">
        <f>IF(SalesData[[#This Row],[Sales]]&gt;AVERAGE(SalesData[Sales]),"Above Avg","Below Avg")</f>
        <v>Above Avg</v>
      </c>
      <c r="W23" s="2" t="str">
        <f>IF(SalesData[[#This Row],[Profit]]&gt;0,"Profit","Loss")</f>
        <v>Profit</v>
      </c>
      <c r="X23" s="2">
        <f>RANK(SalesData[[#This Row],[Sales]],SalesData[Sales])</f>
        <v>149</v>
      </c>
    </row>
    <row r="24" spans="1:24" x14ac:dyDescent="0.3">
      <c r="A24">
        <v>23</v>
      </c>
      <c r="B24" s="1">
        <v>45314</v>
      </c>
      <c r="C24">
        <v>1055</v>
      </c>
      <c r="D24" t="s">
        <v>50</v>
      </c>
      <c r="E24" t="s">
        <v>15</v>
      </c>
      <c r="F24" t="s">
        <v>28</v>
      </c>
      <c r="G24" t="s">
        <v>34</v>
      </c>
      <c r="H24" t="s">
        <v>18</v>
      </c>
      <c r="I24">
        <v>790</v>
      </c>
      <c r="J24">
        <v>7</v>
      </c>
      <c r="K24">
        <v>0.13</v>
      </c>
      <c r="L24">
        <v>1889</v>
      </c>
      <c r="M24" t="s">
        <v>31</v>
      </c>
      <c r="N24">
        <v>4811.1000000000004</v>
      </c>
      <c r="O24" t="str">
        <f>TEXT(SalesData[[#This Row],[Order_Date]],"mmm")</f>
        <v>Jan</v>
      </c>
      <c r="P24">
        <f>YEAR(SalesData[[#This Row],[Order_Date]])</f>
        <v>2024</v>
      </c>
      <c r="Q24" t="str">
        <f>"Q"&amp;ROUNDUP(MONTH(SalesData[[#This Row],[Order_Date]])/3,0)</f>
        <v>Q1</v>
      </c>
      <c r="R24" s="2">
        <f>IFERROR(SalesData[[#This Row],[Profit]]/SalesData[[#This Row],[Sales]],0)</f>
        <v>0.3926337012325663</v>
      </c>
      <c r="S24" s="2">
        <f>SalesData[[#This Row],[Price]]*SalesData[[#This Row],[Quantity]]*SalesData[[#This Row],[Discount]]</f>
        <v>718.9</v>
      </c>
      <c r="T24" s="2" t="str">
        <f>IF(SalesData[[#This Row],[Sales]]&gt;5000,"High",IF(SalesData[[#This Row],[Sales]]&gt;2000,"Medium","Low"))</f>
        <v>Medium</v>
      </c>
      <c r="U24" s="2" t="str">
        <f>IF(COUNTIFS(SalesData[Customer_ID],SalesData[[#This Row],[Customer_ID]])&gt;1,"Repeat","New")</f>
        <v>Repeat</v>
      </c>
      <c r="V24" s="2" t="str">
        <f>IF(SalesData[[#This Row],[Sales]]&gt;AVERAGE(SalesData[Sales]),"Above Avg","Below Avg")</f>
        <v>Below Avg</v>
      </c>
      <c r="W24" s="2" t="str">
        <f>IF(SalesData[[#This Row],[Profit]]&gt;0,"Profit","Loss")</f>
        <v>Profit</v>
      </c>
      <c r="X24" s="2">
        <f>RANK(SalesData[[#This Row],[Sales]],SalesData[Sales])</f>
        <v>328</v>
      </c>
    </row>
    <row r="25" spans="1:24" x14ac:dyDescent="0.3">
      <c r="A25">
        <v>24</v>
      </c>
      <c r="B25" s="1">
        <v>45315</v>
      </c>
      <c r="C25">
        <v>1067</v>
      </c>
      <c r="D25" t="s">
        <v>51</v>
      </c>
      <c r="E25" t="s">
        <v>24</v>
      </c>
      <c r="F25" t="s">
        <v>33</v>
      </c>
      <c r="G25" t="s">
        <v>22</v>
      </c>
      <c r="H25" t="s">
        <v>18</v>
      </c>
      <c r="I25">
        <v>4346</v>
      </c>
      <c r="J25">
        <v>2</v>
      </c>
      <c r="K25">
        <v>7.0000000000000007E-2</v>
      </c>
      <c r="L25">
        <v>-8</v>
      </c>
      <c r="M25" t="s">
        <v>26</v>
      </c>
      <c r="N25">
        <v>8083.5599999999904</v>
      </c>
      <c r="O25" t="str">
        <f>TEXT(SalesData[[#This Row],[Order_Date]],"mmm")</f>
        <v>Jan</v>
      </c>
      <c r="P25">
        <f>YEAR(SalesData[[#This Row],[Order_Date]])</f>
        <v>2024</v>
      </c>
      <c r="Q25" t="str">
        <f>"Q"&amp;ROUNDUP(MONTH(SalesData[[#This Row],[Order_Date]])/3,0)</f>
        <v>Q1</v>
      </c>
      <c r="R25" s="2">
        <f>IFERROR(SalesData[[#This Row],[Profit]]/SalesData[[#This Row],[Sales]],0)</f>
        <v>-9.8966297027547378E-4</v>
      </c>
      <c r="S25" s="2">
        <f>SalesData[[#This Row],[Price]]*SalesData[[#This Row],[Quantity]]*SalesData[[#This Row],[Discount]]</f>
        <v>608.44000000000005</v>
      </c>
      <c r="T25" s="2" t="str">
        <f>IF(SalesData[[#This Row],[Sales]]&gt;5000,"High",IF(SalesData[[#This Row],[Sales]]&gt;2000,"Medium","Low"))</f>
        <v>High</v>
      </c>
      <c r="U25" s="2" t="str">
        <f>IF(COUNTIFS(SalesData[Customer_ID],SalesData[[#This Row],[Customer_ID]])&gt;1,"Repeat","New")</f>
        <v>Repeat</v>
      </c>
      <c r="V25" s="2" t="str">
        <f>IF(SalesData[[#This Row],[Sales]]&gt;AVERAGE(SalesData[Sales]),"Above Avg","Below Avg")</f>
        <v>Below Avg</v>
      </c>
      <c r="W25" s="2" t="str">
        <f>IF(SalesData[[#This Row],[Profit]]&gt;0,"Profit","Loss")</f>
        <v>Loss</v>
      </c>
      <c r="X25" s="2">
        <f>RANK(SalesData[[#This Row],[Sales]],SalesData[Sales])</f>
        <v>250</v>
      </c>
    </row>
    <row r="26" spans="1:24" x14ac:dyDescent="0.3">
      <c r="A26">
        <v>25</v>
      </c>
      <c r="B26" s="1">
        <v>45316</v>
      </c>
      <c r="C26">
        <v>1002</v>
      </c>
      <c r="D26" t="s">
        <v>52</v>
      </c>
      <c r="E26" t="s">
        <v>15</v>
      </c>
      <c r="F26" t="s">
        <v>16</v>
      </c>
      <c r="G26" t="s">
        <v>34</v>
      </c>
      <c r="H26" t="s">
        <v>25</v>
      </c>
      <c r="I26">
        <v>2176</v>
      </c>
      <c r="J26">
        <v>6</v>
      </c>
      <c r="K26">
        <v>0.24</v>
      </c>
      <c r="L26">
        <v>337</v>
      </c>
      <c r="M26" t="s">
        <v>19</v>
      </c>
      <c r="N26">
        <v>9922.56</v>
      </c>
      <c r="O26" t="str">
        <f>TEXT(SalesData[[#This Row],[Order_Date]],"mmm")</f>
        <v>Jan</v>
      </c>
      <c r="P26">
        <f>YEAR(SalesData[[#This Row],[Order_Date]])</f>
        <v>2024</v>
      </c>
      <c r="Q26" t="str">
        <f>"Q"&amp;ROUNDUP(MONTH(SalesData[[#This Row],[Order_Date]])/3,0)</f>
        <v>Q1</v>
      </c>
      <c r="R26" s="2">
        <f>IFERROR(SalesData[[#This Row],[Profit]]/SalesData[[#This Row],[Sales]],0)</f>
        <v>3.3963009545923635E-2</v>
      </c>
      <c r="S26" s="2">
        <f>SalesData[[#This Row],[Price]]*SalesData[[#This Row],[Quantity]]*SalesData[[#This Row],[Discount]]</f>
        <v>3133.44</v>
      </c>
      <c r="T26" s="2" t="str">
        <f>IF(SalesData[[#This Row],[Sales]]&gt;5000,"High",IF(SalesData[[#This Row],[Sales]]&gt;2000,"Medium","Low"))</f>
        <v>High</v>
      </c>
      <c r="U26" s="2" t="str">
        <f>IF(COUNTIFS(SalesData[Customer_ID],SalesData[[#This Row],[Customer_ID]])&gt;1,"Repeat","New")</f>
        <v>Repeat</v>
      </c>
      <c r="V26" s="2" t="str">
        <f>IF(SalesData[[#This Row],[Sales]]&gt;AVERAGE(SalesData[Sales]),"Above Avg","Below Avg")</f>
        <v>Below Avg</v>
      </c>
      <c r="W26" s="2" t="str">
        <f>IF(SalesData[[#This Row],[Profit]]&gt;0,"Profit","Loss")</f>
        <v>Profit</v>
      </c>
      <c r="X26" s="2">
        <f>RANK(SalesData[[#This Row],[Sales]],SalesData[Sales])</f>
        <v>201</v>
      </c>
    </row>
    <row r="27" spans="1:24" x14ac:dyDescent="0.3">
      <c r="A27">
        <v>26</v>
      </c>
      <c r="B27" s="1">
        <v>45317</v>
      </c>
      <c r="C27">
        <v>1084</v>
      </c>
      <c r="D27" t="s">
        <v>53</v>
      </c>
      <c r="E27" t="s">
        <v>24</v>
      </c>
      <c r="F27" t="s">
        <v>33</v>
      </c>
      <c r="G27" t="s">
        <v>22</v>
      </c>
      <c r="H27" t="s">
        <v>37</v>
      </c>
      <c r="I27">
        <v>1857</v>
      </c>
      <c r="J27">
        <v>6</v>
      </c>
      <c r="K27">
        <v>0.25</v>
      </c>
      <c r="L27">
        <v>1296</v>
      </c>
      <c r="M27" t="s">
        <v>26</v>
      </c>
      <c r="N27">
        <v>8356.5</v>
      </c>
      <c r="O27" t="str">
        <f>TEXT(SalesData[[#This Row],[Order_Date]],"mmm")</f>
        <v>Jan</v>
      </c>
      <c r="P27">
        <f>YEAR(SalesData[[#This Row],[Order_Date]])</f>
        <v>2024</v>
      </c>
      <c r="Q27" t="str">
        <f>"Q"&amp;ROUNDUP(MONTH(SalesData[[#This Row],[Order_Date]])/3,0)</f>
        <v>Q1</v>
      </c>
      <c r="R27" s="2">
        <f>IFERROR(SalesData[[#This Row],[Profit]]/SalesData[[#This Row],[Sales]],0)</f>
        <v>0.15508885298869143</v>
      </c>
      <c r="S27" s="2">
        <f>SalesData[[#This Row],[Price]]*SalesData[[#This Row],[Quantity]]*SalesData[[#This Row],[Discount]]</f>
        <v>2785.5</v>
      </c>
      <c r="T27" s="2" t="str">
        <f>IF(SalesData[[#This Row],[Sales]]&gt;5000,"High",IF(SalesData[[#This Row],[Sales]]&gt;2000,"Medium","Low"))</f>
        <v>High</v>
      </c>
      <c r="U27" s="2" t="str">
        <f>IF(COUNTIFS(SalesData[Customer_ID],SalesData[[#This Row],[Customer_ID]])&gt;1,"Repeat","New")</f>
        <v>Repeat</v>
      </c>
      <c r="V27" s="2" t="str">
        <f>IF(SalesData[[#This Row],[Sales]]&gt;AVERAGE(SalesData[Sales]),"Above Avg","Below Avg")</f>
        <v>Below Avg</v>
      </c>
      <c r="W27" s="2" t="str">
        <f>IF(SalesData[[#This Row],[Profit]]&gt;0,"Profit","Loss")</f>
        <v>Profit</v>
      </c>
      <c r="X27" s="2">
        <f>RANK(SalesData[[#This Row],[Sales]],SalesData[Sales])</f>
        <v>240</v>
      </c>
    </row>
    <row r="28" spans="1:24" x14ac:dyDescent="0.3">
      <c r="A28">
        <v>27</v>
      </c>
      <c r="B28" s="1">
        <v>45318</v>
      </c>
      <c r="C28">
        <v>1039</v>
      </c>
      <c r="D28" t="s">
        <v>54</v>
      </c>
      <c r="E28" t="s">
        <v>15</v>
      </c>
      <c r="F28" t="s">
        <v>21</v>
      </c>
      <c r="G28" t="s">
        <v>34</v>
      </c>
      <c r="H28" t="s">
        <v>25</v>
      </c>
      <c r="I28">
        <v>4258</v>
      </c>
      <c r="J28">
        <v>7</v>
      </c>
      <c r="K28">
        <v>0.16</v>
      </c>
      <c r="L28">
        <v>1331</v>
      </c>
      <c r="M28" t="s">
        <v>31</v>
      </c>
      <c r="N28">
        <v>25037.040000000001</v>
      </c>
      <c r="O28" t="str">
        <f>TEXT(SalesData[[#This Row],[Order_Date]],"mmm")</f>
        <v>Jan</v>
      </c>
      <c r="P28">
        <f>YEAR(SalesData[[#This Row],[Order_Date]])</f>
        <v>2024</v>
      </c>
      <c r="Q28" t="str">
        <f>"Q"&amp;ROUNDUP(MONTH(SalesData[[#This Row],[Order_Date]])/3,0)</f>
        <v>Q1</v>
      </c>
      <c r="R28" s="2">
        <f>IFERROR(SalesData[[#This Row],[Profit]]/SalesData[[#This Row],[Sales]],0)</f>
        <v>5.3161236312279724E-2</v>
      </c>
      <c r="S28" s="2">
        <f>SalesData[[#This Row],[Price]]*SalesData[[#This Row],[Quantity]]*SalesData[[#This Row],[Discount]]</f>
        <v>4768.96</v>
      </c>
      <c r="T28" s="2" t="str">
        <f>IF(SalesData[[#This Row],[Sales]]&gt;5000,"High",IF(SalesData[[#This Row],[Sales]]&gt;2000,"Medium","Low"))</f>
        <v>High</v>
      </c>
      <c r="U28" s="2" t="str">
        <f>IF(COUNTIFS(SalesData[Customer_ID],SalesData[[#This Row],[Customer_ID]])&gt;1,"Repeat","New")</f>
        <v>Repeat</v>
      </c>
      <c r="V28" s="2" t="str">
        <f>IF(SalesData[[#This Row],[Sales]]&gt;AVERAGE(SalesData[Sales]),"Above Avg","Below Avg")</f>
        <v>Above Avg</v>
      </c>
      <c r="W28" s="2" t="str">
        <f>IF(SalesData[[#This Row],[Profit]]&gt;0,"Profit","Loss")</f>
        <v>Profit</v>
      </c>
      <c r="X28" s="2">
        <f>RANK(SalesData[[#This Row],[Sales]],SalesData[Sales])</f>
        <v>42</v>
      </c>
    </row>
    <row r="29" spans="1:24" x14ac:dyDescent="0.3">
      <c r="A29">
        <v>28</v>
      </c>
      <c r="B29" s="1">
        <v>45319</v>
      </c>
      <c r="C29">
        <v>1066</v>
      </c>
      <c r="D29" t="s">
        <v>55</v>
      </c>
      <c r="E29" t="s">
        <v>15</v>
      </c>
      <c r="F29" t="s">
        <v>16</v>
      </c>
      <c r="G29" t="s">
        <v>34</v>
      </c>
      <c r="H29" t="s">
        <v>25</v>
      </c>
      <c r="I29">
        <v>270</v>
      </c>
      <c r="J29">
        <v>2</v>
      </c>
      <c r="K29">
        <v>7.0000000000000007E-2</v>
      </c>
      <c r="L29">
        <v>1695</v>
      </c>
      <c r="M29" t="s">
        <v>26</v>
      </c>
      <c r="N29">
        <v>502.2</v>
      </c>
      <c r="O29" t="str">
        <f>TEXT(SalesData[[#This Row],[Order_Date]],"mmm")</f>
        <v>Jan</v>
      </c>
      <c r="P29">
        <f>YEAR(SalesData[[#This Row],[Order_Date]])</f>
        <v>2024</v>
      </c>
      <c r="Q29" t="str">
        <f>"Q"&amp;ROUNDUP(MONTH(SalesData[[#This Row],[Order_Date]])/3,0)</f>
        <v>Q1</v>
      </c>
      <c r="R29" s="2">
        <f>IFERROR(SalesData[[#This Row],[Profit]]/SalesData[[#This Row],[Sales]],0)</f>
        <v>3.3751493428912784</v>
      </c>
      <c r="S29" s="2">
        <f>SalesData[[#This Row],[Price]]*SalesData[[#This Row],[Quantity]]*SalesData[[#This Row],[Discount]]</f>
        <v>37.800000000000004</v>
      </c>
      <c r="T29" s="2" t="str">
        <f>IF(SalesData[[#This Row],[Sales]]&gt;5000,"High",IF(SalesData[[#This Row],[Sales]]&gt;2000,"Medium","Low"))</f>
        <v>Low</v>
      </c>
      <c r="U29" s="2" t="str">
        <f>IF(COUNTIFS(SalesData[Customer_ID],SalesData[[#This Row],[Customer_ID]])&gt;1,"Repeat","New")</f>
        <v>Repeat</v>
      </c>
      <c r="V29" s="2" t="str">
        <f>IF(SalesData[[#This Row],[Sales]]&gt;AVERAGE(SalesData[Sales]),"Above Avg","Below Avg")</f>
        <v>Below Avg</v>
      </c>
      <c r="W29" s="2" t="str">
        <f>IF(SalesData[[#This Row],[Profit]]&gt;0,"Profit","Loss")</f>
        <v>Profit</v>
      </c>
      <c r="X29" s="2">
        <f>RANK(SalesData[[#This Row],[Sales]],SalesData[Sales])</f>
        <v>491</v>
      </c>
    </row>
    <row r="30" spans="1:24" x14ac:dyDescent="0.3">
      <c r="A30">
        <v>29</v>
      </c>
      <c r="B30" s="1">
        <v>45320</v>
      </c>
      <c r="C30">
        <v>1084</v>
      </c>
      <c r="D30" t="s">
        <v>56</v>
      </c>
      <c r="E30" t="s">
        <v>24</v>
      </c>
      <c r="F30" t="s">
        <v>33</v>
      </c>
      <c r="G30" t="s">
        <v>34</v>
      </c>
      <c r="H30" t="s">
        <v>18</v>
      </c>
      <c r="I30">
        <v>1757</v>
      </c>
      <c r="J30">
        <v>7</v>
      </c>
      <c r="K30">
        <v>0.24</v>
      </c>
      <c r="L30">
        <v>1198</v>
      </c>
      <c r="M30" t="s">
        <v>26</v>
      </c>
      <c r="N30">
        <v>9347.24</v>
      </c>
      <c r="O30" t="str">
        <f>TEXT(SalesData[[#This Row],[Order_Date]],"mmm")</f>
        <v>Jan</v>
      </c>
      <c r="P30">
        <f>YEAR(SalesData[[#This Row],[Order_Date]])</f>
        <v>2024</v>
      </c>
      <c r="Q30" t="str">
        <f>"Q"&amp;ROUNDUP(MONTH(SalesData[[#This Row],[Order_Date]])/3,0)</f>
        <v>Q1</v>
      </c>
      <c r="R30" s="2">
        <f>IFERROR(SalesData[[#This Row],[Profit]]/SalesData[[#This Row],[Sales]],0)</f>
        <v>0.1281661752560114</v>
      </c>
      <c r="S30" s="2">
        <f>SalesData[[#This Row],[Price]]*SalesData[[#This Row],[Quantity]]*SalesData[[#This Row],[Discount]]</f>
        <v>2951.7599999999998</v>
      </c>
      <c r="T30" s="2" t="str">
        <f>IF(SalesData[[#This Row],[Sales]]&gt;5000,"High",IF(SalesData[[#This Row],[Sales]]&gt;2000,"Medium","Low"))</f>
        <v>High</v>
      </c>
      <c r="U30" s="2" t="str">
        <f>IF(COUNTIFS(SalesData[Customer_ID],SalesData[[#This Row],[Customer_ID]])&gt;1,"Repeat","New")</f>
        <v>Repeat</v>
      </c>
      <c r="V30" s="2" t="str">
        <f>IF(SalesData[[#This Row],[Sales]]&gt;AVERAGE(SalesData[Sales]),"Above Avg","Below Avg")</f>
        <v>Below Avg</v>
      </c>
      <c r="W30" s="2" t="str">
        <f>IF(SalesData[[#This Row],[Profit]]&gt;0,"Profit","Loss")</f>
        <v>Profit</v>
      </c>
      <c r="X30" s="2">
        <f>RANK(SalesData[[#This Row],[Sales]],SalesData[Sales])</f>
        <v>223</v>
      </c>
    </row>
    <row r="31" spans="1:24" x14ac:dyDescent="0.3">
      <c r="A31">
        <v>30</v>
      </c>
      <c r="B31" s="1">
        <v>45321</v>
      </c>
      <c r="C31">
        <v>1047</v>
      </c>
      <c r="D31" t="s">
        <v>57</v>
      </c>
      <c r="E31" t="s">
        <v>24</v>
      </c>
      <c r="F31" t="s">
        <v>28</v>
      </c>
      <c r="G31" t="s">
        <v>17</v>
      </c>
      <c r="H31" t="s">
        <v>18</v>
      </c>
      <c r="I31">
        <v>2171</v>
      </c>
      <c r="J31">
        <v>2</v>
      </c>
      <c r="K31">
        <v>0.11</v>
      </c>
      <c r="L31">
        <v>1464</v>
      </c>
      <c r="M31" t="s">
        <v>19</v>
      </c>
      <c r="N31">
        <v>3864.38</v>
      </c>
      <c r="O31" t="str">
        <f>TEXT(SalesData[[#This Row],[Order_Date]],"mmm")</f>
        <v>Jan</v>
      </c>
      <c r="P31">
        <f>YEAR(SalesData[[#This Row],[Order_Date]])</f>
        <v>2024</v>
      </c>
      <c r="Q31" t="str">
        <f>"Q"&amp;ROUNDUP(MONTH(SalesData[[#This Row],[Order_Date]])/3,0)</f>
        <v>Q1</v>
      </c>
      <c r="R31" s="2">
        <f>IFERROR(SalesData[[#This Row],[Profit]]/SalesData[[#This Row],[Sales]],0)</f>
        <v>0.37884473059067691</v>
      </c>
      <c r="S31" s="2">
        <f>SalesData[[#This Row],[Price]]*SalesData[[#This Row],[Quantity]]*SalesData[[#This Row],[Discount]]</f>
        <v>477.62</v>
      </c>
      <c r="T31" s="2" t="str">
        <f>IF(SalesData[[#This Row],[Sales]]&gt;5000,"High",IF(SalesData[[#This Row],[Sales]]&gt;2000,"Medium","Low"))</f>
        <v>Medium</v>
      </c>
      <c r="U31" s="2" t="str">
        <f>IF(COUNTIFS(SalesData[Customer_ID],SalesData[[#This Row],[Customer_ID]])&gt;1,"Repeat","New")</f>
        <v>Repeat</v>
      </c>
      <c r="V31" s="2" t="str">
        <f>IF(SalesData[[#This Row],[Sales]]&gt;AVERAGE(SalesData[Sales]),"Above Avg","Below Avg")</f>
        <v>Below Avg</v>
      </c>
      <c r="W31" s="2" t="str">
        <f>IF(SalesData[[#This Row],[Profit]]&gt;0,"Profit","Loss")</f>
        <v>Profit</v>
      </c>
      <c r="X31" s="2">
        <f>RANK(SalesData[[#This Row],[Sales]],SalesData[Sales])</f>
        <v>359</v>
      </c>
    </row>
    <row r="32" spans="1:24" x14ac:dyDescent="0.3">
      <c r="A32">
        <v>31</v>
      </c>
      <c r="B32" s="1">
        <v>45322</v>
      </c>
      <c r="C32">
        <v>1061</v>
      </c>
      <c r="D32" t="s">
        <v>58</v>
      </c>
      <c r="E32" t="s">
        <v>15</v>
      </c>
      <c r="F32" t="s">
        <v>33</v>
      </c>
      <c r="G32" t="s">
        <v>34</v>
      </c>
      <c r="H32" t="s">
        <v>25</v>
      </c>
      <c r="I32">
        <v>4589</v>
      </c>
      <c r="J32">
        <v>2</v>
      </c>
      <c r="K32">
        <v>0.28000000000000003</v>
      </c>
      <c r="L32">
        <v>1849</v>
      </c>
      <c r="M32" t="s">
        <v>31</v>
      </c>
      <c r="N32">
        <v>6608.16</v>
      </c>
      <c r="O32" t="str">
        <f>TEXT(SalesData[[#This Row],[Order_Date]],"mmm")</f>
        <v>Jan</v>
      </c>
      <c r="P32">
        <f>YEAR(SalesData[[#This Row],[Order_Date]])</f>
        <v>2024</v>
      </c>
      <c r="Q32" t="str">
        <f>"Q"&amp;ROUNDUP(MONTH(SalesData[[#This Row],[Order_Date]])/3,0)</f>
        <v>Q1</v>
      </c>
      <c r="R32" s="2">
        <f>IFERROR(SalesData[[#This Row],[Profit]]/SalesData[[#This Row],[Sales]],0)</f>
        <v>0.27980557371492215</v>
      </c>
      <c r="S32" s="2">
        <f>SalesData[[#This Row],[Price]]*SalesData[[#This Row],[Quantity]]*SalesData[[#This Row],[Discount]]</f>
        <v>2569.84</v>
      </c>
      <c r="T32" s="2" t="str">
        <f>IF(SalesData[[#This Row],[Sales]]&gt;5000,"High",IF(SalesData[[#This Row],[Sales]]&gt;2000,"Medium","Low"))</f>
        <v>High</v>
      </c>
      <c r="U32" s="2" t="str">
        <f>IF(COUNTIFS(SalesData[Customer_ID],SalesData[[#This Row],[Customer_ID]])&gt;1,"Repeat","New")</f>
        <v>Repeat</v>
      </c>
      <c r="V32" s="2" t="str">
        <f>IF(SalesData[[#This Row],[Sales]]&gt;AVERAGE(SalesData[Sales]),"Above Avg","Below Avg")</f>
        <v>Below Avg</v>
      </c>
      <c r="W32" s="2" t="str">
        <f>IF(SalesData[[#This Row],[Profit]]&gt;0,"Profit","Loss")</f>
        <v>Profit</v>
      </c>
      <c r="X32" s="2">
        <f>RANK(SalesData[[#This Row],[Sales]],SalesData[Sales])</f>
        <v>284</v>
      </c>
    </row>
    <row r="33" spans="1:24" x14ac:dyDescent="0.3">
      <c r="A33">
        <v>32</v>
      </c>
      <c r="B33" s="1">
        <v>45323</v>
      </c>
      <c r="C33">
        <v>1048</v>
      </c>
      <c r="D33" t="s">
        <v>59</v>
      </c>
      <c r="E33" t="s">
        <v>15</v>
      </c>
      <c r="F33" t="s">
        <v>33</v>
      </c>
      <c r="G33" t="s">
        <v>34</v>
      </c>
      <c r="H33" t="s">
        <v>18</v>
      </c>
      <c r="I33">
        <v>1491</v>
      </c>
      <c r="J33">
        <v>1</v>
      </c>
      <c r="K33">
        <v>0.08</v>
      </c>
      <c r="L33">
        <v>-440</v>
      </c>
      <c r="M33" t="s">
        <v>19</v>
      </c>
      <c r="N33">
        <v>1371.72</v>
      </c>
      <c r="O33" t="str">
        <f>TEXT(SalesData[[#This Row],[Order_Date]],"mmm")</f>
        <v>Feb</v>
      </c>
      <c r="P33">
        <f>YEAR(SalesData[[#This Row],[Order_Date]])</f>
        <v>2024</v>
      </c>
      <c r="Q33" t="str">
        <f>"Q"&amp;ROUNDUP(MONTH(SalesData[[#This Row],[Order_Date]])/3,0)</f>
        <v>Q1</v>
      </c>
      <c r="R33" s="2">
        <f>IFERROR(SalesData[[#This Row],[Profit]]/SalesData[[#This Row],[Sales]],0)</f>
        <v>-0.32076517073455224</v>
      </c>
      <c r="S33" s="2">
        <f>SalesData[[#This Row],[Price]]*SalesData[[#This Row],[Quantity]]*SalesData[[#This Row],[Discount]]</f>
        <v>119.28</v>
      </c>
      <c r="T33" s="2" t="str">
        <f>IF(SalesData[[#This Row],[Sales]]&gt;5000,"High",IF(SalesData[[#This Row],[Sales]]&gt;2000,"Medium","Low"))</f>
        <v>Low</v>
      </c>
      <c r="U33" s="2" t="str">
        <f>IF(COUNTIFS(SalesData[Customer_ID],SalesData[[#This Row],[Customer_ID]])&gt;1,"Repeat","New")</f>
        <v>Repeat</v>
      </c>
      <c r="V33" s="2" t="str">
        <f>IF(SalesData[[#This Row],[Sales]]&gt;AVERAGE(SalesData[Sales]),"Above Avg","Below Avg")</f>
        <v>Below Avg</v>
      </c>
      <c r="W33" s="2" t="str">
        <f>IF(SalesData[[#This Row],[Profit]]&gt;0,"Profit","Loss")</f>
        <v>Loss</v>
      </c>
      <c r="X33" s="2">
        <f>RANK(SalesData[[#This Row],[Sales]],SalesData[Sales])</f>
        <v>464</v>
      </c>
    </row>
    <row r="34" spans="1:24" x14ac:dyDescent="0.3">
      <c r="A34">
        <v>33</v>
      </c>
      <c r="B34" s="1">
        <v>45324</v>
      </c>
      <c r="C34">
        <v>1007</v>
      </c>
      <c r="D34" t="s">
        <v>56</v>
      </c>
      <c r="E34" t="s">
        <v>24</v>
      </c>
      <c r="F34" t="s">
        <v>33</v>
      </c>
      <c r="G34" t="s">
        <v>17</v>
      </c>
      <c r="H34" t="s">
        <v>25</v>
      </c>
      <c r="I34">
        <v>4961</v>
      </c>
      <c r="J34">
        <v>9</v>
      </c>
      <c r="K34">
        <v>0.28000000000000003</v>
      </c>
      <c r="L34">
        <v>1103</v>
      </c>
      <c r="M34" t="s">
        <v>26</v>
      </c>
      <c r="N34">
        <v>32147.279999999999</v>
      </c>
      <c r="O34" t="str">
        <f>TEXT(SalesData[[#This Row],[Order_Date]],"mmm")</f>
        <v>Feb</v>
      </c>
      <c r="P34">
        <f>YEAR(SalesData[[#This Row],[Order_Date]])</f>
        <v>2024</v>
      </c>
      <c r="Q34" t="str">
        <f>"Q"&amp;ROUNDUP(MONTH(SalesData[[#This Row],[Order_Date]])/3,0)</f>
        <v>Q1</v>
      </c>
      <c r="R34" s="2">
        <f>IFERROR(SalesData[[#This Row],[Profit]]/SalesData[[#This Row],[Sales]],0)</f>
        <v>3.4310834384744214E-2</v>
      </c>
      <c r="S34" s="2">
        <f>SalesData[[#This Row],[Price]]*SalesData[[#This Row],[Quantity]]*SalesData[[#This Row],[Discount]]</f>
        <v>12501.720000000001</v>
      </c>
      <c r="T34" s="2" t="str">
        <f>IF(SalesData[[#This Row],[Sales]]&gt;5000,"High",IF(SalesData[[#This Row],[Sales]]&gt;2000,"Medium","Low"))</f>
        <v>High</v>
      </c>
      <c r="U34" s="2" t="str">
        <f>IF(COUNTIFS(SalesData[Customer_ID],SalesData[[#This Row],[Customer_ID]])&gt;1,"Repeat","New")</f>
        <v>Repeat</v>
      </c>
      <c r="V34" s="2" t="str">
        <f>IF(SalesData[[#This Row],[Sales]]&gt;AVERAGE(SalesData[Sales]),"Above Avg","Below Avg")</f>
        <v>Above Avg</v>
      </c>
      <c r="W34" s="2" t="str">
        <f>IF(SalesData[[#This Row],[Profit]]&gt;0,"Profit","Loss")</f>
        <v>Profit</v>
      </c>
      <c r="X34" s="2">
        <f>RANK(SalesData[[#This Row],[Sales]],SalesData[Sales])</f>
        <v>21</v>
      </c>
    </row>
    <row r="35" spans="1:24" x14ac:dyDescent="0.3">
      <c r="A35">
        <v>34</v>
      </c>
      <c r="B35" s="1">
        <v>45325</v>
      </c>
      <c r="C35">
        <v>1099</v>
      </c>
      <c r="D35" t="s">
        <v>60</v>
      </c>
      <c r="E35" t="s">
        <v>15</v>
      </c>
      <c r="F35" t="s">
        <v>28</v>
      </c>
      <c r="G35" t="s">
        <v>17</v>
      </c>
      <c r="H35" t="s">
        <v>18</v>
      </c>
      <c r="I35">
        <v>2141</v>
      </c>
      <c r="J35">
        <v>9</v>
      </c>
      <c r="K35">
        <v>0.13</v>
      </c>
      <c r="L35">
        <v>191</v>
      </c>
      <c r="M35" t="s">
        <v>31</v>
      </c>
      <c r="N35">
        <v>16764.03</v>
      </c>
      <c r="O35" t="str">
        <f>TEXT(SalesData[[#This Row],[Order_Date]],"mmm")</f>
        <v>Feb</v>
      </c>
      <c r="P35">
        <f>YEAR(SalesData[[#This Row],[Order_Date]])</f>
        <v>2024</v>
      </c>
      <c r="Q35" t="str">
        <f>"Q"&amp;ROUNDUP(MONTH(SalesData[[#This Row],[Order_Date]])/3,0)</f>
        <v>Q1</v>
      </c>
      <c r="R35" s="2">
        <f>IFERROR(SalesData[[#This Row],[Profit]]/SalesData[[#This Row],[Sales]],0)</f>
        <v>1.1393441791741009E-2</v>
      </c>
      <c r="S35" s="2">
        <f>SalesData[[#This Row],[Price]]*SalesData[[#This Row],[Quantity]]*SalesData[[#This Row],[Discount]]</f>
        <v>2504.9700000000003</v>
      </c>
      <c r="T35" s="2" t="str">
        <f>IF(SalesData[[#This Row],[Sales]]&gt;5000,"High",IF(SalesData[[#This Row],[Sales]]&gt;2000,"Medium","Low"))</f>
        <v>High</v>
      </c>
      <c r="U35" s="2" t="str">
        <f>IF(COUNTIFS(SalesData[Customer_ID],SalesData[[#This Row],[Customer_ID]])&gt;1,"Repeat","New")</f>
        <v>Repeat</v>
      </c>
      <c r="V35" s="2" t="str">
        <f>IF(SalesData[[#This Row],[Sales]]&gt;AVERAGE(SalesData[Sales]),"Above Avg","Below Avg")</f>
        <v>Above Avg</v>
      </c>
      <c r="W35" s="2" t="str">
        <f>IF(SalesData[[#This Row],[Profit]]&gt;0,"Profit","Loss")</f>
        <v>Profit</v>
      </c>
      <c r="X35" s="2">
        <f>RANK(SalesData[[#This Row],[Sales]],SalesData[Sales])</f>
        <v>108</v>
      </c>
    </row>
    <row r="36" spans="1:24" x14ac:dyDescent="0.3">
      <c r="A36">
        <v>35</v>
      </c>
      <c r="B36" s="1">
        <v>45326</v>
      </c>
      <c r="C36">
        <v>1092</v>
      </c>
      <c r="D36" t="s">
        <v>61</v>
      </c>
      <c r="E36" t="s">
        <v>15</v>
      </c>
      <c r="F36" t="s">
        <v>28</v>
      </c>
      <c r="G36" t="s">
        <v>34</v>
      </c>
      <c r="H36" t="s">
        <v>29</v>
      </c>
      <c r="I36">
        <v>4536</v>
      </c>
      <c r="J36">
        <v>5</v>
      </c>
      <c r="K36">
        <v>0.23</v>
      </c>
      <c r="L36">
        <v>954</v>
      </c>
      <c r="M36" t="s">
        <v>19</v>
      </c>
      <c r="N36">
        <v>17463.599999999999</v>
      </c>
      <c r="O36" t="str">
        <f>TEXT(SalesData[[#This Row],[Order_Date]],"mmm")</f>
        <v>Feb</v>
      </c>
      <c r="P36">
        <f>YEAR(SalesData[[#This Row],[Order_Date]])</f>
        <v>2024</v>
      </c>
      <c r="Q36" t="str">
        <f>"Q"&amp;ROUNDUP(MONTH(SalesData[[#This Row],[Order_Date]])/3,0)</f>
        <v>Q1</v>
      </c>
      <c r="R36" s="2">
        <f>IFERROR(SalesData[[#This Row],[Profit]]/SalesData[[#This Row],[Sales]],0)</f>
        <v>5.4627911770768915E-2</v>
      </c>
      <c r="S36" s="2">
        <f>SalesData[[#This Row],[Price]]*SalesData[[#This Row],[Quantity]]*SalesData[[#This Row],[Discount]]</f>
        <v>5216.4000000000005</v>
      </c>
      <c r="T36" s="2" t="str">
        <f>IF(SalesData[[#This Row],[Sales]]&gt;5000,"High",IF(SalesData[[#This Row],[Sales]]&gt;2000,"Medium","Low"))</f>
        <v>High</v>
      </c>
      <c r="U36" s="2" t="str">
        <f>IF(COUNTIFS(SalesData[Customer_ID],SalesData[[#This Row],[Customer_ID]])&gt;1,"Repeat","New")</f>
        <v>Repeat</v>
      </c>
      <c r="V36" s="2" t="str">
        <f>IF(SalesData[[#This Row],[Sales]]&gt;AVERAGE(SalesData[Sales]),"Above Avg","Below Avg")</f>
        <v>Above Avg</v>
      </c>
      <c r="W36" s="2" t="str">
        <f>IF(SalesData[[#This Row],[Profit]]&gt;0,"Profit","Loss")</f>
        <v>Profit</v>
      </c>
      <c r="X36" s="2">
        <f>RANK(SalesData[[#This Row],[Sales]],SalesData[Sales])</f>
        <v>98</v>
      </c>
    </row>
    <row r="37" spans="1:24" x14ac:dyDescent="0.3">
      <c r="A37">
        <v>36</v>
      </c>
      <c r="B37" s="1">
        <v>45327</v>
      </c>
      <c r="C37">
        <v>1052</v>
      </c>
      <c r="D37" t="s">
        <v>62</v>
      </c>
      <c r="E37" t="s">
        <v>24</v>
      </c>
      <c r="F37" t="s">
        <v>16</v>
      </c>
      <c r="G37" t="s">
        <v>17</v>
      </c>
      <c r="H37" t="s">
        <v>18</v>
      </c>
      <c r="I37">
        <v>2529</v>
      </c>
      <c r="J37">
        <v>7</v>
      </c>
      <c r="K37">
        <v>0.06</v>
      </c>
      <c r="L37">
        <v>-454</v>
      </c>
      <c r="M37" t="s">
        <v>26</v>
      </c>
      <c r="N37">
        <v>16640.82</v>
      </c>
      <c r="O37" t="str">
        <f>TEXT(SalesData[[#This Row],[Order_Date]],"mmm")</f>
        <v>Feb</v>
      </c>
      <c r="P37">
        <f>YEAR(SalesData[[#This Row],[Order_Date]])</f>
        <v>2024</v>
      </c>
      <c r="Q37" t="str">
        <f>"Q"&amp;ROUNDUP(MONTH(SalesData[[#This Row],[Order_Date]])/3,0)</f>
        <v>Q1</v>
      </c>
      <c r="R37" s="2">
        <f>IFERROR(SalesData[[#This Row],[Profit]]/SalesData[[#This Row],[Sales]],0)</f>
        <v>-2.7282309405425934E-2</v>
      </c>
      <c r="S37" s="2">
        <f>SalesData[[#This Row],[Price]]*SalesData[[#This Row],[Quantity]]*SalesData[[#This Row],[Discount]]</f>
        <v>1062.18</v>
      </c>
      <c r="T37" s="2" t="str">
        <f>IF(SalesData[[#This Row],[Sales]]&gt;5000,"High",IF(SalesData[[#This Row],[Sales]]&gt;2000,"Medium","Low"))</f>
        <v>High</v>
      </c>
      <c r="U37" s="2" t="str">
        <f>IF(COUNTIFS(SalesData[Customer_ID],SalesData[[#This Row],[Customer_ID]])&gt;1,"Repeat","New")</f>
        <v>Repeat</v>
      </c>
      <c r="V37" s="2" t="str">
        <f>IF(SalesData[[#This Row],[Sales]]&gt;AVERAGE(SalesData[Sales]),"Above Avg","Below Avg")</f>
        <v>Above Avg</v>
      </c>
      <c r="W37" s="2" t="str">
        <f>IF(SalesData[[#This Row],[Profit]]&gt;0,"Profit","Loss")</f>
        <v>Loss</v>
      </c>
      <c r="X37" s="2">
        <f>RANK(SalesData[[#This Row],[Sales]],SalesData[Sales])</f>
        <v>112</v>
      </c>
    </row>
    <row r="38" spans="1:24" x14ac:dyDescent="0.3">
      <c r="A38">
        <v>37</v>
      </c>
      <c r="B38" s="1">
        <v>45328</v>
      </c>
      <c r="C38">
        <v>1097</v>
      </c>
      <c r="D38" t="s">
        <v>63</v>
      </c>
      <c r="E38" t="s">
        <v>15</v>
      </c>
      <c r="F38" t="s">
        <v>21</v>
      </c>
      <c r="G38" t="s">
        <v>22</v>
      </c>
      <c r="H38" t="s">
        <v>37</v>
      </c>
      <c r="I38">
        <v>3484</v>
      </c>
      <c r="J38">
        <v>7</v>
      </c>
      <c r="K38">
        <v>0.19</v>
      </c>
      <c r="L38">
        <v>-398</v>
      </c>
      <c r="M38" t="s">
        <v>19</v>
      </c>
      <c r="N38">
        <v>19754.28</v>
      </c>
      <c r="O38" t="str">
        <f>TEXT(SalesData[[#This Row],[Order_Date]],"mmm")</f>
        <v>Feb</v>
      </c>
      <c r="P38">
        <f>YEAR(SalesData[[#This Row],[Order_Date]])</f>
        <v>2024</v>
      </c>
      <c r="Q38" t="str">
        <f>"Q"&amp;ROUNDUP(MONTH(SalesData[[#This Row],[Order_Date]])/3,0)</f>
        <v>Q1</v>
      </c>
      <c r="R38" s="2">
        <f>IFERROR(SalesData[[#This Row],[Profit]]/SalesData[[#This Row],[Sales]],0)</f>
        <v>-2.0147532585343533E-2</v>
      </c>
      <c r="S38" s="2">
        <f>SalesData[[#This Row],[Price]]*SalesData[[#This Row],[Quantity]]*SalesData[[#This Row],[Discount]]</f>
        <v>4633.72</v>
      </c>
      <c r="T38" s="2" t="str">
        <f>IF(SalesData[[#This Row],[Sales]]&gt;5000,"High",IF(SalesData[[#This Row],[Sales]]&gt;2000,"Medium","Low"))</f>
        <v>High</v>
      </c>
      <c r="U38" s="2" t="str">
        <f>IF(COUNTIFS(SalesData[Customer_ID],SalesData[[#This Row],[Customer_ID]])&gt;1,"Repeat","New")</f>
        <v>Repeat</v>
      </c>
      <c r="V38" s="2" t="str">
        <f>IF(SalesData[[#This Row],[Sales]]&gt;AVERAGE(SalesData[Sales]),"Above Avg","Below Avg")</f>
        <v>Above Avg</v>
      </c>
      <c r="W38" s="2" t="str">
        <f>IF(SalesData[[#This Row],[Profit]]&gt;0,"Profit","Loss")</f>
        <v>Loss</v>
      </c>
      <c r="X38" s="2">
        <f>RANK(SalesData[[#This Row],[Sales]],SalesData[Sales])</f>
        <v>81</v>
      </c>
    </row>
    <row r="39" spans="1:24" x14ac:dyDescent="0.3">
      <c r="A39">
        <v>38</v>
      </c>
      <c r="B39" s="1">
        <v>45329</v>
      </c>
      <c r="C39">
        <v>1085</v>
      </c>
      <c r="D39" t="s">
        <v>64</v>
      </c>
      <c r="E39" t="s">
        <v>15</v>
      </c>
      <c r="F39" t="s">
        <v>33</v>
      </c>
      <c r="G39" t="s">
        <v>34</v>
      </c>
      <c r="H39" t="s">
        <v>29</v>
      </c>
      <c r="I39">
        <v>100</v>
      </c>
      <c r="J39">
        <v>3</v>
      </c>
      <c r="K39">
        <v>0.17</v>
      </c>
      <c r="L39">
        <v>-325</v>
      </c>
      <c r="M39" t="s">
        <v>31</v>
      </c>
      <c r="N39">
        <v>249</v>
      </c>
      <c r="O39" t="str">
        <f>TEXT(SalesData[[#This Row],[Order_Date]],"mmm")</f>
        <v>Feb</v>
      </c>
      <c r="P39">
        <f>YEAR(SalesData[[#This Row],[Order_Date]])</f>
        <v>2024</v>
      </c>
      <c r="Q39" t="str">
        <f>"Q"&amp;ROUNDUP(MONTH(SalesData[[#This Row],[Order_Date]])/3,0)</f>
        <v>Q1</v>
      </c>
      <c r="R39" s="2">
        <f>IFERROR(SalesData[[#This Row],[Profit]]/SalesData[[#This Row],[Sales]],0)</f>
        <v>-1.3052208835341366</v>
      </c>
      <c r="S39" s="2">
        <f>SalesData[[#This Row],[Price]]*SalesData[[#This Row],[Quantity]]*SalesData[[#This Row],[Discount]]</f>
        <v>51.000000000000007</v>
      </c>
      <c r="T39" s="2" t="str">
        <f>IF(SalesData[[#This Row],[Sales]]&gt;5000,"High",IF(SalesData[[#This Row],[Sales]]&gt;2000,"Medium","Low"))</f>
        <v>Low</v>
      </c>
      <c r="U39" s="2" t="str">
        <f>IF(COUNTIFS(SalesData[Customer_ID],SalesData[[#This Row],[Customer_ID]])&gt;1,"Repeat","New")</f>
        <v>Repeat</v>
      </c>
      <c r="V39" s="2" t="str">
        <f>IF(SalesData[[#This Row],[Sales]]&gt;AVERAGE(SalesData[Sales]),"Above Avg","Below Avg")</f>
        <v>Below Avg</v>
      </c>
      <c r="W39" s="2" t="str">
        <f>IF(SalesData[[#This Row],[Profit]]&gt;0,"Profit","Loss")</f>
        <v>Loss</v>
      </c>
      <c r="X39" s="2">
        <f>RANK(SalesData[[#This Row],[Sales]],SalesData[Sales])</f>
        <v>498</v>
      </c>
    </row>
    <row r="40" spans="1:24" x14ac:dyDescent="0.3">
      <c r="A40">
        <v>39</v>
      </c>
      <c r="B40" s="1">
        <v>45330</v>
      </c>
      <c r="C40">
        <v>1094</v>
      </c>
      <c r="D40" t="s">
        <v>65</v>
      </c>
      <c r="E40" t="s">
        <v>15</v>
      </c>
      <c r="F40" t="s">
        <v>21</v>
      </c>
      <c r="G40" t="s">
        <v>17</v>
      </c>
      <c r="H40" t="s">
        <v>25</v>
      </c>
      <c r="I40">
        <v>1152</v>
      </c>
      <c r="J40">
        <v>2</v>
      </c>
      <c r="K40">
        <v>0.13</v>
      </c>
      <c r="L40">
        <v>-297</v>
      </c>
      <c r="M40" t="s">
        <v>19</v>
      </c>
      <c r="N40">
        <v>2004.48</v>
      </c>
      <c r="O40" t="str">
        <f>TEXT(SalesData[[#This Row],[Order_Date]],"mmm")</f>
        <v>Feb</v>
      </c>
      <c r="P40">
        <f>YEAR(SalesData[[#This Row],[Order_Date]])</f>
        <v>2024</v>
      </c>
      <c r="Q40" t="str">
        <f>"Q"&amp;ROUNDUP(MONTH(SalesData[[#This Row],[Order_Date]])/3,0)</f>
        <v>Q1</v>
      </c>
      <c r="R40" s="2">
        <f>IFERROR(SalesData[[#This Row],[Profit]]/SalesData[[#This Row],[Sales]],0)</f>
        <v>-0.14816810344827586</v>
      </c>
      <c r="S40" s="2">
        <f>SalesData[[#This Row],[Price]]*SalesData[[#This Row],[Quantity]]*SalesData[[#This Row],[Discount]]</f>
        <v>299.52</v>
      </c>
      <c r="T40" s="2" t="str">
        <f>IF(SalesData[[#This Row],[Sales]]&gt;5000,"High",IF(SalesData[[#This Row],[Sales]]&gt;2000,"Medium","Low"))</f>
        <v>Medium</v>
      </c>
      <c r="U40" s="2" t="str">
        <f>IF(COUNTIFS(SalesData[Customer_ID],SalesData[[#This Row],[Customer_ID]])&gt;1,"Repeat","New")</f>
        <v>Repeat</v>
      </c>
      <c r="V40" s="2" t="str">
        <f>IF(SalesData[[#This Row],[Sales]]&gt;AVERAGE(SalesData[Sales]),"Above Avg","Below Avg")</f>
        <v>Below Avg</v>
      </c>
      <c r="W40" s="2" t="str">
        <f>IF(SalesData[[#This Row],[Profit]]&gt;0,"Profit","Loss")</f>
        <v>Loss</v>
      </c>
      <c r="X40" s="2">
        <f>RANK(SalesData[[#This Row],[Sales]],SalesData[Sales])</f>
        <v>430</v>
      </c>
    </row>
    <row r="41" spans="1:24" x14ac:dyDescent="0.3">
      <c r="A41">
        <v>40</v>
      </c>
      <c r="B41" s="1">
        <v>45331</v>
      </c>
      <c r="C41">
        <v>1027</v>
      </c>
      <c r="D41" t="s">
        <v>66</v>
      </c>
      <c r="E41" t="s">
        <v>24</v>
      </c>
      <c r="F41" t="s">
        <v>16</v>
      </c>
      <c r="G41" t="s">
        <v>17</v>
      </c>
      <c r="H41" t="s">
        <v>18</v>
      </c>
      <c r="I41">
        <v>1345</v>
      </c>
      <c r="J41">
        <v>4</v>
      </c>
      <c r="K41">
        <v>0.22</v>
      </c>
      <c r="L41">
        <v>1624</v>
      </c>
      <c r="M41" t="s">
        <v>31</v>
      </c>
      <c r="N41">
        <v>4196.3999999999996</v>
      </c>
      <c r="O41" t="str">
        <f>TEXT(SalesData[[#This Row],[Order_Date]],"mmm")</f>
        <v>Feb</v>
      </c>
      <c r="P41">
        <f>YEAR(SalesData[[#This Row],[Order_Date]])</f>
        <v>2024</v>
      </c>
      <c r="Q41" t="str">
        <f>"Q"&amp;ROUNDUP(MONTH(SalesData[[#This Row],[Order_Date]])/3,0)</f>
        <v>Q1</v>
      </c>
      <c r="R41" s="2">
        <f>IFERROR(SalesData[[#This Row],[Profit]]/SalesData[[#This Row],[Sales]],0)</f>
        <v>0.38699837956343536</v>
      </c>
      <c r="S41" s="2">
        <f>SalesData[[#This Row],[Price]]*SalesData[[#This Row],[Quantity]]*SalesData[[#This Row],[Discount]]</f>
        <v>1183.5999999999999</v>
      </c>
      <c r="T41" s="2" t="str">
        <f>IF(SalesData[[#This Row],[Sales]]&gt;5000,"High",IF(SalesData[[#This Row],[Sales]]&gt;2000,"Medium","Low"))</f>
        <v>Medium</v>
      </c>
      <c r="U41" s="2" t="str">
        <f>IF(COUNTIFS(SalesData[Customer_ID],SalesData[[#This Row],[Customer_ID]])&gt;1,"Repeat","New")</f>
        <v>Repeat</v>
      </c>
      <c r="V41" s="2" t="str">
        <f>IF(SalesData[[#This Row],[Sales]]&gt;AVERAGE(SalesData[Sales]),"Above Avg","Below Avg")</f>
        <v>Below Avg</v>
      </c>
      <c r="W41" s="2" t="str">
        <f>IF(SalesData[[#This Row],[Profit]]&gt;0,"Profit","Loss")</f>
        <v>Profit</v>
      </c>
      <c r="X41" s="2">
        <f>RANK(SalesData[[#This Row],[Sales]],SalesData[Sales])</f>
        <v>346</v>
      </c>
    </row>
    <row r="42" spans="1:24" x14ac:dyDescent="0.3">
      <c r="A42">
        <v>41</v>
      </c>
      <c r="B42" s="1">
        <v>45332</v>
      </c>
      <c r="C42">
        <v>1034</v>
      </c>
      <c r="D42" t="s">
        <v>67</v>
      </c>
      <c r="E42" t="s">
        <v>24</v>
      </c>
      <c r="F42" t="s">
        <v>28</v>
      </c>
      <c r="G42" t="s">
        <v>34</v>
      </c>
      <c r="H42" t="s">
        <v>25</v>
      </c>
      <c r="I42">
        <v>3274</v>
      </c>
      <c r="J42">
        <v>8</v>
      </c>
      <c r="K42">
        <v>0.25</v>
      </c>
      <c r="L42">
        <v>578</v>
      </c>
      <c r="M42" t="s">
        <v>26</v>
      </c>
      <c r="N42">
        <v>19644</v>
      </c>
      <c r="O42" t="str">
        <f>TEXT(SalesData[[#This Row],[Order_Date]],"mmm")</f>
        <v>Feb</v>
      </c>
      <c r="P42">
        <f>YEAR(SalesData[[#This Row],[Order_Date]])</f>
        <v>2024</v>
      </c>
      <c r="Q42" t="str">
        <f>"Q"&amp;ROUNDUP(MONTH(SalesData[[#This Row],[Order_Date]])/3,0)</f>
        <v>Q1</v>
      </c>
      <c r="R42" s="2">
        <f>IFERROR(SalesData[[#This Row],[Profit]]/SalesData[[#This Row],[Sales]],0)</f>
        <v>2.942374261861128E-2</v>
      </c>
      <c r="S42" s="2">
        <f>SalesData[[#This Row],[Price]]*SalesData[[#This Row],[Quantity]]*SalesData[[#This Row],[Discount]]</f>
        <v>6548</v>
      </c>
      <c r="T42" s="2" t="str">
        <f>IF(SalesData[[#This Row],[Sales]]&gt;5000,"High",IF(SalesData[[#This Row],[Sales]]&gt;2000,"Medium","Low"))</f>
        <v>High</v>
      </c>
      <c r="U42" s="2" t="str">
        <f>IF(COUNTIFS(SalesData[Customer_ID],SalesData[[#This Row],[Customer_ID]])&gt;1,"Repeat","New")</f>
        <v>Repeat</v>
      </c>
      <c r="V42" s="2" t="str">
        <f>IF(SalesData[[#This Row],[Sales]]&gt;AVERAGE(SalesData[Sales]),"Above Avg","Below Avg")</f>
        <v>Above Avg</v>
      </c>
      <c r="W42" s="2" t="str">
        <f>IF(SalesData[[#This Row],[Profit]]&gt;0,"Profit","Loss")</f>
        <v>Profit</v>
      </c>
      <c r="X42" s="2">
        <f>RANK(SalesData[[#This Row],[Sales]],SalesData[Sales])</f>
        <v>82</v>
      </c>
    </row>
    <row r="43" spans="1:24" x14ac:dyDescent="0.3">
      <c r="A43">
        <v>42</v>
      </c>
      <c r="B43" s="1">
        <v>45333</v>
      </c>
      <c r="C43">
        <v>1097</v>
      </c>
      <c r="D43" t="s">
        <v>68</v>
      </c>
      <c r="E43" t="s">
        <v>24</v>
      </c>
      <c r="F43" t="s">
        <v>16</v>
      </c>
      <c r="G43" t="s">
        <v>34</v>
      </c>
      <c r="H43" t="s">
        <v>37</v>
      </c>
      <c r="I43">
        <v>2350</v>
      </c>
      <c r="J43">
        <v>1</v>
      </c>
      <c r="K43">
        <v>0.22</v>
      </c>
      <c r="L43">
        <v>1840</v>
      </c>
      <c r="M43" t="s">
        <v>19</v>
      </c>
      <c r="N43">
        <v>1833</v>
      </c>
      <c r="O43" t="str">
        <f>TEXT(SalesData[[#This Row],[Order_Date]],"mmm")</f>
        <v>Feb</v>
      </c>
      <c r="P43">
        <f>YEAR(SalesData[[#This Row],[Order_Date]])</f>
        <v>2024</v>
      </c>
      <c r="Q43" t="str">
        <f>"Q"&amp;ROUNDUP(MONTH(SalesData[[#This Row],[Order_Date]])/3,0)</f>
        <v>Q1</v>
      </c>
      <c r="R43" s="2">
        <f>IFERROR(SalesData[[#This Row],[Profit]]/SalesData[[#This Row],[Sales]],0)</f>
        <v>1.0038188761593017</v>
      </c>
      <c r="S43" s="2">
        <f>SalesData[[#This Row],[Price]]*SalesData[[#This Row],[Quantity]]*SalesData[[#This Row],[Discount]]</f>
        <v>517</v>
      </c>
      <c r="T43" s="2" t="str">
        <f>IF(SalesData[[#This Row],[Sales]]&gt;5000,"High",IF(SalesData[[#This Row],[Sales]]&gt;2000,"Medium","Low"))</f>
        <v>Low</v>
      </c>
      <c r="U43" s="2" t="str">
        <f>IF(COUNTIFS(SalesData[Customer_ID],SalesData[[#This Row],[Customer_ID]])&gt;1,"Repeat","New")</f>
        <v>Repeat</v>
      </c>
      <c r="V43" s="2" t="str">
        <f>IF(SalesData[[#This Row],[Sales]]&gt;AVERAGE(SalesData[Sales]),"Above Avg","Below Avg")</f>
        <v>Below Avg</v>
      </c>
      <c r="W43" s="2" t="str">
        <f>IF(SalesData[[#This Row],[Profit]]&gt;0,"Profit","Loss")</f>
        <v>Profit</v>
      </c>
      <c r="X43" s="2">
        <f>RANK(SalesData[[#This Row],[Sales]],SalesData[Sales])</f>
        <v>439</v>
      </c>
    </row>
    <row r="44" spans="1:24" x14ac:dyDescent="0.3">
      <c r="A44">
        <v>43</v>
      </c>
      <c r="B44" s="1">
        <v>45334</v>
      </c>
      <c r="C44">
        <v>1076</v>
      </c>
      <c r="D44" t="s">
        <v>69</v>
      </c>
      <c r="E44" t="s">
        <v>15</v>
      </c>
      <c r="F44" t="s">
        <v>28</v>
      </c>
      <c r="G44" t="s">
        <v>17</v>
      </c>
      <c r="H44" t="s">
        <v>25</v>
      </c>
      <c r="I44">
        <v>1934</v>
      </c>
      <c r="J44">
        <v>8</v>
      </c>
      <c r="K44">
        <v>0.24</v>
      </c>
      <c r="L44">
        <v>1168</v>
      </c>
      <c r="M44" t="s">
        <v>26</v>
      </c>
      <c r="N44">
        <v>11758.72</v>
      </c>
      <c r="O44" t="str">
        <f>TEXT(SalesData[[#This Row],[Order_Date]],"mmm")</f>
        <v>Feb</v>
      </c>
      <c r="P44">
        <f>YEAR(SalesData[[#This Row],[Order_Date]])</f>
        <v>2024</v>
      </c>
      <c r="Q44" t="str">
        <f>"Q"&amp;ROUNDUP(MONTH(SalesData[[#This Row],[Order_Date]])/3,0)</f>
        <v>Q1</v>
      </c>
      <c r="R44" s="2">
        <f>IFERROR(SalesData[[#This Row],[Profit]]/SalesData[[#This Row],[Sales]],0)</f>
        <v>9.933053937843575E-2</v>
      </c>
      <c r="S44" s="2">
        <f>SalesData[[#This Row],[Price]]*SalesData[[#This Row],[Quantity]]*SalesData[[#This Row],[Discount]]</f>
        <v>3713.2799999999997</v>
      </c>
      <c r="T44" s="2" t="str">
        <f>IF(SalesData[[#This Row],[Sales]]&gt;5000,"High",IF(SalesData[[#This Row],[Sales]]&gt;2000,"Medium","Low"))</f>
        <v>High</v>
      </c>
      <c r="U44" s="2" t="str">
        <f>IF(COUNTIFS(SalesData[Customer_ID],SalesData[[#This Row],[Customer_ID]])&gt;1,"Repeat","New")</f>
        <v>Repeat</v>
      </c>
      <c r="V44" s="2" t="str">
        <f>IF(SalesData[[#This Row],[Sales]]&gt;AVERAGE(SalesData[Sales]),"Above Avg","Below Avg")</f>
        <v>Above Avg</v>
      </c>
      <c r="W44" s="2" t="str">
        <f>IF(SalesData[[#This Row],[Profit]]&gt;0,"Profit","Loss")</f>
        <v>Profit</v>
      </c>
      <c r="X44" s="2">
        <f>RANK(SalesData[[#This Row],[Sales]],SalesData[Sales])</f>
        <v>175</v>
      </c>
    </row>
    <row r="45" spans="1:24" x14ac:dyDescent="0.3">
      <c r="A45">
        <v>44</v>
      </c>
      <c r="B45" s="1">
        <v>45335</v>
      </c>
      <c r="C45">
        <v>1040</v>
      </c>
      <c r="D45" t="s">
        <v>70</v>
      </c>
      <c r="E45" t="s">
        <v>24</v>
      </c>
      <c r="F45" t="s">
        <v>33</v>
      </c>
      <c r="G45" t="s">
        <v>17</v>
      </c>
      <c r="H45" t="s">
        <v>37</v>
      </c>
      <c r="I45">
        <v>3605</v>
      </c>
      <c r="J45">
        <v>2</v>
      </c>
      <c r="K45">
        <v>0.22</v>
      </c>
      <c r="L45">
        <v>1510</v>
      </c>
      <c r="M45" t="s">
        <v>26</v>
      </c>
      <c r="N45">
        <v>5623.8</v>
      </c>
      <c r="O45" t="str">
        <f>TEXT(SalesData[[#This Row],[Order_Date]],"mmm")</f>
        <v>Feb</v>
      </c>
      <c r="P45">
        <f>YEAR(SalesData[[#This Row],[Order_Date]])</f>
        <v>2024</v>
      </c>
      <c r="Q45" t="str">
        <f>"Q"&amp;ROUNDUP(MONTH(SalesData[[#This Row],[Order_Date]])/3,0)</f>
        <v>Q1</v>
      </c>
      <c r="R45" s="2">
        <f>IFERROR(SalesData[[#This Row],[Profit]]/SalesData[[#This Row],[Sales]],0)</f>
        <v>0.26850172481240442</v>
      </c>
      <c r="S45" s="2">
        <f>SalesData[[#This Row],[Price]]*SalesData[[#This Row],[Quantity]]*SalesData[[#This Row],[Discount]]</f>
        <v>1586.2</v>
      </c>
      <c r="T45" s="2" t="str">
        <f>IF(SalesData[[#This Row],[Sales]]&gt;5000,"High",IF(SalesData[[#This Row],[Sales]]&gt;2000,"Medium","Low"))</f>
        <v>High</v>
      </c>
      <c r="U45" s="2" t="str">
        <f>IF(COUNTIFS(SalesData[Customer_ID],SalesData[[#This Row],[Customer_ID]])&gt;1,"Repeat","New")</f>
        <v>Repeat</v>
      </c>
      <c r="V45" s="2" t="str">
        <f>IF(SalesData[[#This Row],[Sales]]&gt;AVERAGE(SalesData[Sales]),"Above Avg","Below Avg")</f>
        <v>Below Avg</v>
      </c>
      <c r="W45" s="2" t="str">
        <f>IF(SalesData[[#This Row],[Profit]]&gt;0,"Profit","Loss")</f>
        <v>Profit</v>
      </c>
      <c r="X45" s="2">
        <f>RANK(SalesData[[#This Row],[Sales]],SalesData[Sales])</f>
        <v>305</v>
      </c>
    </row>
    <row r="46" spans="1:24" x14ac:dyDescent="0.3">
      <c r="A46">
        <v>45</v>
      </c>
      <c r="B46" s="1">
        <v>45336</v>
      </c>
      <c r="C46">
        <v>1003</v>
      </c>
      <c r="D46" t="s">
        <v>71</v>
      </c>
      <c r="E46" t="s">
        <v>24</v>
      </c>
      <c r="F46" t="s">
        <v>21</v>
      </c>
      <c r="G46" t="s">
        <v>34</v>
      </c>
      <c r="H46" t="s">
        <v>29</v>
      </c>
      <c r="I46">
        <v>4693</v>
      </c>
      <c r="J46">
        <v>8</v>
      </c>
      <c r="K46">
        <v>0.04</v>
      </c>
      <c r="L46">
        <v>1809</v>
      </c>
      <c r="M46" t="s">
        <v>19</v>
      </c>
      <c r="N46">
        <v>36042.239999999998</v>
      </c>
      <c r="O46" t="str">
        <f>TEXT(SalesData[[#This Row],[Order_Date]],"mmm")</f>
        <v>Feb</v>
      </c>
      <c r="P46">
        <f>YEAR(SalesData[[#This Row],[Order_Date]])</f>
        <v>2024</v>
      </c>
      <c r="Q46" t="str">
        <f>"Q"&amp;ROUNDUP(MONTH(SalesData[[#This Row],[Order_Date]])/3,0)</f>
        <v>Q1</v>
      </c>
      <c r="R46" s="2">
        <f>IFERROR(SalesData[[#This Row],[Profit]]/SalesData[[#This Row],[Sales]],0)</f>
        <v>5.019110909865758E-2</v>
      </c>
      <c r="S46" s="2">
        <f>SalesData[[#This Row],[Price]]*SalesData[[#This Row],[Quantity]]*SalesData[[#This Row],[Discount]]</f>
        <v>1501.76</v>
      </c>
      <c r="T46" s="2" t="str">
        <f>IF(SalesData[[#This Row],[Sales]]&gt;5000,"High",IF(SalesData[[#This Row],[Sales]]&gt;2000,"Medium","Low"))</f>
        <v>High</v>
      </c>
      <c r="U46" s="2" t="str">
        <f>IF(COUNTIFS(SalesData[Customer_ID],SalesData[[#This Row],[Customer_ID]])&gt;1,"Repeat","New")</f>
        <v>Repeat</v>
      </c>
      <c r="V46" s="2" t="str">
        <f>IF(SalesData[[#This Row],[Sales]]&gt;AVERAGE(SalesData[Sales]),"Above Avg","Below Avg")</f>
        <v>Above Avg</v>
      </c>
      <c r="W46" s="2" t="str">
        <f>IF(SalesData[[#This Row],[Profit]]&gt;0,"Profit","Loss")</f>
        <v>Profit</v>
      </c>
      <c r="X46" s="2">
        <f>RANK(SalesData[[#This Row],[Sales]],SalesData[Sales])</f>
        <v>7</v>
      </c>
    </row>
    <row r="47" spans="1:24" x14ac:dyDescent="0.3">
      <c r="A47">
        <v>46</v>
      </c>
      <c r="B47" s="1">
        <v>45337</v>
      </c>
      <c r="C47">
        <v>1069</v>
      </c>
      <c r="D47" t="s">
        <v>72</v>
      </c>
      <c r="E47" t="s">
        <v>15</v>
      </c>
      <c r="F47" t="s">
        <v>16</v>
      </c>
      <c r="G47" t="s">
        <v>34</v>
      </c>
      <c r="H47" t="s">
        <v>37</v>
      </c>
      <c r="I47">
        <v>4092</v>
      </c>
      <c r="J47">
        <v>2</v>
      </c>
      <c r="K47">
        <v>0.23</v>
      </c>
      <c r="L47">
        <v>779</v>
      </c>
      <c r="M47" t="s">
        <v>26</v>
      </c>
      <c r="N47">
        <v>6301.68</v>
      </c>
      <c r="O47" t="str">
        <f>TEXT(SalesData[[#This Row],[Order_Date]],"mmm")</f>
        <v>Feb</v>
      </c>
      <c r="P47">
        <f>YEAR(SalesData[[#This Row],[Order_Date]])</f>
        <v>2024</v>
      </c>
      <c r="Q47" t="str">
        <f>"Q"&amp;ROUNDUP(MONTH(SalesData[[#This Row],[Order_Date]])/3,0)</f>
        <v>Q1</v>
      </c>
      <c r="R47" s="2">
        <f>IFERROR(SalesData[[#This Row],[Profit]]/SalesData[[#This Row],[Sales]],0)</f>
        <v>0.12361782889642127</v>
      </c>
      <c r="S47" s="2">
        <f>SalesData[[#This Row],[Price]]*SalesData[[#This Row],[Quantity]]*SalesData[[#This Row],[Discount]]</f>
        <v>1882.3200000000002</v>
      </c>
      <c r="T47" s="2" t="str">
        <f>IF(SalesData[[#This Row],[Sales]]&gt;5000,"High",IF(SalesData[[#This Row],[Sales]]&gt;2000,"Medium","Low"))</f>
        <v>High</v>
      </c>
      <c r="U47" s="2" t="str">
        <f>IF(COUNTIFS(SalesData[Customer_ID],SalesData[[#This Row],[Customer_ID]])&gt;1,"Repeat","New")</f>
        <v>Repeat</v>
      </c>
      <c r="V47" s="2" t="str">
        <f>IF(SalesData[[#This Row],[Sales]]&gt;AVERAGE(SalesData[Sales]),"Above Avg","Below Avg")</f>
        <v>Below Avg</v>
      </c>
      <c r="W47" s="2" t="str">
        <f>IF(SalesData[[#This Row],[Profit]]&gt;0,"Profit","Loss")</f>
        <v>Profit</v>
      </c>
      <c r="X47" s="2">
        <f>RANK(SalesData[[#This Row],[Sales]],SalesData[Sales])</f>
        <v>290</v>
      </c>
    </row>
    <row r="48" spans="1:24" x14ac:dyDescent="0.3">
      <c r="A48">
        <v>47</v>
      </c>
      <c r="B48" s="1">
        <v>45338</v>
      </c>
      <c r="C48">
        <v>1064</v>
      </c>
      <c r="D48" t="s">
        <v>73</v>
      </c>
      <c r="E48" t="s">
        <v>24</v>
      </c>
      <c r="F48" t="s">
        <v>28</v>
      </c>
      <c r="G48" t="s">
        <v>17</v>
      </c>
      <c r="H48" t="s">
        <v>29</v>
      </c>
      <c r="I48">
        <v>1788</v>
      </c>
      <c r="J48">
        <v>7</v>
      </c>
      <c r="K48">
        <v>0.06</v>
      </c>
      <c r="L48">
        <v>-196</v>
      </c>
      <c r="M48" t="s">
        <v>26</v>
      </c>
      <c r="N48">
        <v>11765.039999999901</v>
      </c>
      <c r="O48" t="str">
        <f>TEXT(SalesData[[#This Row],[Order_Date]],"mmm")</f>
        <v>Feb</v>
      </c>
      <c r="P48">
        <f>YEAR(SalesData[[#This Row],[Order_Date]])</f>
        <v>2024</v>
      </c>
      <c r="Q48" t="str">
        <f>"Q"&amp;ROUNDUP(MONTH(SalesData[[#This Row],[Order_Date]])/3,0)</f>
        <v>Q1</v>
      </c>
      <c r="R48" s="2">
        <f>IFERROR(SalesData[[#This Row],[Profit]]/SalesData[[#This Row],[Sales]],0)</f>
        <v>-1.6659526869437048E-2</v>
      </c>
      <c r="S48" s="2">
        <f>SalesData[[#This Row],[Price]]*SalesData[[#This Row],[Quantity]]*SalesData[[#This Row],[Discount]]</f>
        <v>750.95999999999992</v>
      </c>
      <c r="T48" s="2" t="str">
        <f>IF(SalesData[[#This Row],[Sales]]&gt;5000,"High",IF(SalesData[[#This Row],[Sales]]&gt;2000,"Medium","Low"))</f>
        <v>High</v>
      </c>
      <c r="U48" s="2" t="str">
        <f>IF(COUNTIFS(SalesData[Customer_ID],SalesData[[#This Row],[Customer_ID]])&gt;1,"Repeat","New")</f>
        <v>Repeat</v>
      </c>
      <c r="V48" s="2" t="str">
        <f>IF(SalesData[[#This Row],[Sales]]&gt;AVERAGE(SalesData[Sales]),"Above Avg","Below Avg")</f>
        <v>Above Avg</v>
      </c>
      <c r="W48" s="2" t="str">
        <f>IF(SalesData[[#This Row],[Profit]]&gt;0,"Profit","Loss")</f>
        <v>Loss</v>
      </c>
      <c r="X48" s="2">
        <f>RANK(SalesData[[#This Row],[Sales]],SalesData[Sales])</f>
        <v>174</v>
      </c>
    </row>
    <row r="49" spans="1:24" x14ac:dyDescent="0.3">
      <c r="A49">
        <v>48</v>
      </c>
      <c r="B49" s="1">
        <v>45339</v>
      </c>
      <c r="C49">
        <v>1075</v>
      </c>
      <c r="D49" t="s">
        <v>74</v>
      </c>
      <c r="E49" t="s">
        <v>24</v>
      </c>
      <c r="F49" t="s">
        <v>28</v>
      </c>
      <c r="G49" t="s">
        <v>22</v>
      </c>
      <c r="H49" t="s">
        <v>37</v>
      </c>
      <c r="I49">
        <v>343</v>
      </c>
      <c r="J49">
        <v>3</v>
      </c>
      <c r="K49">
        <v>0.03</v>
      </c>
      <c r="L49">
        <v>1062</v>
      </c>
      <c r="M49" t="s">
        <v>19</v>
      </c>
      <c r="N49">
        <v>998.13</v>
      </c>
      <c r="O49" t="str">
        <f>TEXT(SalesData[[#This Row],[Order_Date]],"mmm")</f>
        <v>Feb</v>
      </c>
      <c r="P49">
        <f>YEAR(SalesData[[#This Row],[Order_Date]])</f>
        <v>2024</v>
      </c>
      <c r="Q49" t="str">
        <f>"Q"&amp;ROUNDUP(MONTH(SalesData[[#This Row],[Order_Date]])/3,0)</f>
        <v>Q1</v>
      </c>
      <c r="R49" s="2">
        <f>IFERROR(SalesData[[#This Row],[Profit]]/SalesData[[#This Row],[Sales]],0)</f>
        <v>1.0639896606654444</v>
      </c>
      <c r="S49" s="2">
        <f>SalesData[[#This Row],[Price]]*SalesData[[#This Row],[Quantity]]*SalesData[[#This Row],[Discount]]</f>
        <v>30.869999999999997</v>
      </c>
      <c r="T49" s="2" t="str">
        <f>IF(SalesData[[#This Row],[Sales]]&gt;5000,"High",IF(SalesData[[#This Row],[Sales]]&gt;2000,"Medium","Low"))</f>
        <v>Low</v>
      </c>
      <c r="U49" s="2" t="str">
        <f>IF(COUNTIFS(SalesData[Customer_ID],SalesData[[#This Row],[Customer_ID]])&gt;1,"Repeat","New")</f>
        <v>Repeat</v>
      </c>
      <c r="V49" s="2" t="str">
        <f>IF(SalesData[[#This Row],[Sales]]&gt;AVERAGE(SalesData[Sales]),"Above Avg","Below Avg")</f>
        <v>Below Avg</v>
      </c>
      <c r="W49" s="2" t="str">
        <f>IF(SalesData[[#This Row],[Profit]]&gt;0,"Profit","Loss")</f>
        <v>Profit</v>
      </c>
      <c r="X49" s="2">
        <f>RANK(SalesData[[#This Row],[Sales]],SalesData[Sales])</f>
        <v>479</v>
      </c>
    </row>
    <row r="50" spans="1:24" x14ac:dyDescent="0.3">
      <c r="A50">
        <v>49</v>
      </c>
      <c r="B50" s="1">
        <v>45340</v>
      </c>
      <c r="C50">
        <v>1034</v>
      </c>
      <c r="D50" t="s">
        <v>75</v>
      </c>
      <c r="E50" t="s">
        <v>15</v>
      </c>
      <c r="F50" t="s">
        <v>16</v>
      </c>
      <c r="G50" t="s">
        <v>17</v>
      </c>
      <c r="H50" t="s">
        <v>29</v>
      </c>
      <c r="I50">
        <v>1734</v>
      </c>
      <c r="J50">
        <v>6</v>
      </c>
      <c r="K50">
        <v>0.27</v>
      </c>
      <c r="L50">
        <v>318</v>
      </c>
      <c r="M50" t="s">
        <v>19</v>
      </c>
      <c r="N50">
        <v>7594.92</v>
      </c>
      <c r="O50" t="str">
        <f>TEXT(SalesData[[#This Row],[Order_Date]],"mmm")</f>
        <v>Feb</v>
      </c>
      <c r="P50">
        <f>YEAR(SalesData[[#This Row],[Order_Date]])</f>
        <v>2024</v>
      </c>
      <c r="Q50" t="str">
        <f>"Q"&amp;ROUNDUP(MONTH(SalesData[[#This Row],[Order_Date]])/3,0)</f>
        <v>Q1</v>
      </c>
      <c r="R50" s="2">
        <f>IFERROR(SalesData[[#This Row],[Profit]]/SalesData[[#This Row],[Sales]],0)</f>
        <v>4.1870092114202652E-2</v>
      </c>
      <c r="S50" s="2">
        <f>SalesData[[#This Row],[Price]]*SalesData[[#This Row],[Quantity]]*SalesData[[#This Row],[Discount]]</f>
        <v>2809.0800000000004</v>
      </c>
      <c r="T50" s="2" t="str">
        <f>IF(SalesData[[#This Row],[Sales]]&gt;5000,"High",IF(SalesData[[#This Row],[Sales]]&gt;2000,"Medium","Low"))</f>
        <v>High</v>
      </c>
      <c r="U50" s="2" t="str">
        <f>IF(COUNTIFS(SalesData[Customer_ID],SalesData[[#This Row],[Customer_ID]])&gt;1,"Repeat","New")</f>
        <v>Repeat</v>
      </c>
      <c r="V50" s="2" t="str">
        <f>IF(SalesData[[#This Row],[Sales]]&gt;AVERAGE(SalesData[Sales]),"Above Avg","Below Avg")</f>
        <v>Below Avg</v>
      </c>
      <c r="W50" s="2" t="str">
        <f>IF(SalesData[[#This Row],[Profit]]&gt;0,"Profit","Loss")</f>
        <v>Profit</v>
      </c>
      <c r="X50" s="2">
        <f>RANK(SalesData[[#This Row],[Sales]],SalesData[Sales])</f>
        <v>263</v>
      </c>
    </row>
    <row r="51" spans="1:24" x14ac:dyDescent="0.3">
      <c r="A51">
        <v>50</v>
      </c>
      <c r="B51" s="1">
        <v>45341</v>
      </c>
      <c r="C51">
        <v>1058</v>
      </c>
      <c r="D51" t="s">
        <v>76</v>
      </c>
      <c r="E51" t="s">
        <v>15</v>
      </c>
      <c r="F51" t="s">
        <v>21</v>
      </c>
      <c r="G51" t="s">
        <v>34</v>
      </c>
      <c r="H51" t="s">
        <v>37</v>
      </c>
      <c r="I51">
        <v>2310</v>
      </c>
      <c r="J51">
        <v>7</v>
      </c>
      <c r="K51">
        <v>0.18</v>
      </c>
      <c r="L51">
        <v>-22</v>
      </c>
      <c r="M51" t="s">
        <v>31</v>
      </c>
      <c r="N51">
        <v>13259.4</v>
      </c>
      <c r="O51" t="str">
        <f>TEXT(SalesData[[#This Row],[Order_Date]],"mmm")</f>
        <v>Feb</v>
      </c>
      <c r="P51">
        <f>YEAR(SalesData[[#This Row],[Order_Date]])</f>
        <v>2024</v>
      </c>
      <c r="Q51" t="str">
        <f>"Q"&amp;ROUNDUP(MONTH(SalesData[[#This Row],[Order_Date]])/3,0)</f>
        <v>Q1</v>
      </c>
      <c r="R51" s="2">
        <f>IFERROR(SalesData[[#This Row],[Profit]]/SalesData[[#This Row],[Sales]],0)</f>
        <v>-1.6592002654720426E-3</v>
      </c>
      <c r="S51" s="2">
        <f>SalesData[[#This Row],[Price]]*SalesData[[#This Row],[Quantity]]*SalesData[[#This Row],[Discount]]</f>
        <v>2910.6</v>
      </c>
      <c r="T51" s="2" t="str">
        <f>IF(SalesData[[#This Row],[Sales]]&gt;5000,"High",IF(SalesData[[#This Row],[Sales]]&gt;2000,"Medium","Low"))</f>
        <v>High</v>
      </c>
      <c r="U51" s="2" t="str">
        <f>IF(COUNTIFS(SalesData[Customer_ID],SalesData[[#This Row],[Customer_ID]])&gt;1,"Repeat","New")</f>
        <v>Repeat</v>
      </c>
      <c r="V51" s="2" t="str">
        <f>IF(SalesData[[#This Row],[Sales]]&gt;AVERAGE(SalesData[Sales]),"Above Avg","Below Avg")</f>
        <v>Above Avg</v>
      </c>
      <c r="W51" s="2" t="str">
        <f>IF(SalesData[[#This Row],[Profit]]&gt;0,"Profit","Loss")</f>
        <v>Loss</v>
      </c>
      <c r="X51" s="2">
        <f>RANK(SalesData[[#This Row],[Sales]],SalesData[Sales])</f>
        <v>157</v>
      </c>
    </row>
    <row r="52" spans="1:24" x14ac:dyDescent="0.3">
      <c r="A52">
        <v>51</v>
      </c>
      <c r="B52" s="1">
        <v>45342</v>
      </c>
      <c r="C52">
        <v>1010</v>
      </c>
      <c r="D52" t="s">
        <v>77</v>
      </c>
      <c r="E52" t="s">
        <v>15</v>
      </c>
      <c r="F52" t="s">
        <v>21</v>
      </c>
      <c r="G52" t="s">
        <v>22</v>
      </c>
      <c r="H52" t="s">
        <v>29</v>
      </c>
      <c r="I52">
        <v>274</v>
      </c>
      <c r="J52">
        <v>6</v>
      </c>
      <c r="K52">
        <v>0.05</v>
      </c>
      <c r="L52">
        <v>-327</v>
      </c>
      <c r="M52" t="s">
        <v>31</v>
      </c>
      <c r="N52">
        <v>1561.8</v>
      </c>
      <c r="O52" t="str">
        <f>TEXT(SalesData[[#This Row],[Order_Date]],"mmm")</f>
        <v>Feb</v>
      </c>
      <c r="P52">
        <f>YEAR(SalesData[[#This Row],[Order_Date]])</f>
        <v>2024</v>
      </c>
      <c r="Q52" t="str">
        <f>"Q"&amp;ROUNDUP(MONTH(SalesData[[#This Row],[Order_Date]])/3,0)</f>
        <v>Q1</v>
      </c>
      <c r="R52" s="2">
        <f>IFERROR(SalesData[[#This Row],[Profit]]/SalesData[[#This Row],[Sales]],0)</f>
        <v>-0.20937379946215906</v>
      </c>
      <c r="S52" s="2">
        <f>SalesData[[#This Row],[Price]]*SalesData[[#This Row],[Quantity]]*SalesData[[#This Row],[Discount]]</f>
        <v>82.2</v>
      </c>
      <c r="T52" s="2" t="str">
        <f>IF(SalesData[[#This Row],[Sales]]&gt;5000,"High",IF(SalesData[[#This Row],[Sales]]&gt;2000,"Medium","Low"))</f>
        <v>Low</v>
      </c>
      <c r="U52" s="2" t="str">
        <f>IF(COUNTIFS(SalesData[Customer_ID],SalesData[[#This Row],[Customer_ID]])&gt;1,"Repeat","New")</f>
        <v>Repeat</v>
      </c>
      <c r="V52" s="2" t="str">
        <f>IF(SalesData[[#This Row],[Sales]]&gt;AVERAGE(SalesData[Sales]),"Above Avg","Below Avg")</f>
        <v>Below Avg</v>
      </c>
      <c r="W52" s="2" t="str">
        <f>IF(SalesData[[#This Row],[Profit]]&gt;0,"Profit","Loss")</f>
        <v>Loss</v>
      </c>
      <c r="X52" s="2">
        <f>RANK(SalesData[[#This Row],[Sales]],SalesData[Sales])</f>
        <v>455</v>
      </c>
    </row>
    <row r="53" spans="1:24" x14ac:dyDescent="0.3">
      <c r="A53">
        <v>52</v>
      </c>
      <c r="B53" s="1">
        <v>45343</v>
      </c>
      <c r="C53">
        <v>1022</v>
      </c>
      <c r="D53" t="s">
        <v>78</v>
      </c>
      <c r="E53" t="s">
        <v>24</v>
      </c>
      <c r="F53" t="s">
        <v>28</v>
      </c>
      <c r="G53" t="s">
        <v>22</v>
      </c>
      <c r="H53" t="s">
        <v>18</v>
      </c>
      <c r="I53">
        <v>2319</v>
      </c>
      <c r="J53">
        <v>5</v>
      </c>
      <c r="K53">
        <v>0.19</v>
      </c>
      <c r="L53">
        <v>51</v>
      </c>
      <c r="M53" t="s">
        <v>31</v>
      </c>
      <c r="N53">
        <v>9391.9500000000007</v>
      </c>
      <c r="O53" t="str">
        <f>TEXT(SalesData[[#This Row],[Order_Date]],"mmm")</f>
        <v>Feb</v>
      </c>
      <c r="P53">
        <f>YEAR(SalesData[[#This Row],[Order_Date]])</f>
        <v>2024</v>
      </c>
      <c r="Q53" t="str">
        <f>"Q"&amp;ROUNDUP(MONTH(SalesData[[#This Row],[Order_Date]])/3,0)</f>
        <v>Q1</v>
      </c>
      <c r="R53" s="2">
        <f>IFERROR(SalesData[[#This Row],[Profit]]/SalesData[[#This Row],[Sales]],0)</f>
        <v>5.4301822305272062E-3</v>
      </c>
      <c r="S53" s="2">
        <f>SalesData[[#This Row],[Price]]*SalesData[[#This Row],[Quantity]]*SalesData[[#This Row],[Discount]]</f>
        <v>2203.0500000000002</v>
      </c>
      <c r="T53" s="2" t="str">
        <f>IF(SalesData[[#This Row],[Sales]]&gt;5000,"High",IF(SalesData[[#This Row],[Sales]]&gt;2000,"Medium","Low"))</f>
        <v>High</v>
      </c>
      <c r="U53" s="2" t="str">
        <f>IF(COUNTIFS(SalesData[Customer_ID],SalesData[[#This Row],[Customer_ID]])&gt;1,"Repeat","New")</f>
        <v>Repeat</v>
      </c>
      <c r="V53" s="2" t="str">
        <f>IF(SalesData[[#This Row],[Sales]]&gt;AVERAGE(SalesData[Sales]),"Above Avg","Below Avg")</f>
        <v>Below Avg</v>
      </c>
      <c r="W53" s="2" t="str">
        <f>IF(SalesData[[#This Row],[Profit]]&gt;0,"Profit","Loss")</f>
        <v>Profit</v>
      </c>
      <c r="X53" s="2">
        <f>RANK(SalesData[[#This Row],[Sales]],SalesData[Sales])</f>
        <v>222</v>
      </c>
    </row>
    <row r="54" spans="1:24" x14ac:dyDescent="0.3">
      <c r="A54">
        <v>53</v>
      </c>
      <c r="B54" s="1">
        <v>45344</v>
      </c>
      <c r="C54">
        <v>1077</v>
      </c>
      <c r="D54" t="s">
        <v>79</v>
      </c>
      <c r="E54" t="s">
        <v>24</v>
      </c>
      <c r="F54" t="s">
        <v>33</v>
      </c>
      <c r="G54" t="s">
        <v>17</v>
      </c>
      <c r="H54" t="s">
        <v>29</v>
      </c>
      <c r="I54">
        <v>3756</v>
      </c>
      <c r="J54">
        <v>9</v>
      </c>
      <c r="K54">
        <v>0.1</v>
      </c>
      <c r="L54">
        <v>1822</v>
      </c>
      <c r="M54" t="s">
        <v>26</v>
      </c>
      <c r="N54">
        <v>30423.599999999999</v>
      </c>
      <c r="O54" t="str">
        <f>TEXT(SalesData[[#This Row],[Order_Date]],"mmm")</f>
        <v>Feb</v>
      </c>
      <c r="P54">
        <f>YEAR(SalesData[[#This Row],[Order_Date]])</f>
        <v>2024</v>
      </c>
      <c r="Q54" t="str">
        <f>"Q"&amp;ROUNDUP(MONTH(SalesData[[#This Row],[Order_Date]])/3,0)</f>
        <v>Q1</v>
      </c>
      <c r="R54" s="2">
        <f>IFERROR(SalesData[[#This Row],[Profit]]/SalesData[[#This Row],[Sales]],0)</f>
        <v>5.9887718744658758E-2</v>
      </c>
      <c r="S54" s="2">
        <f>SalesData[[#This Row],[Price]]*SalesData[[#This Row],[Quantity]]*SalesData[[#This Row],[Discount]]</f>
        <v>3380.4</v>
      </c>
      <c r="T54" s="2" t="str">
        <f>IF(SalesData[[#This Row],[Sales]]&gt;5000,"High",IF(SalesData[[#This Row],[Sales]]&gt;2000,"Medium","Low"))</f>
        <v>High</v>
      </c>
      <c r="U54" s="2" t="str">
        <f>IF(COUNTIFS(SalesData[Customer_ID],SalesData[[#This Row],[Customer_ID]])&gt;1,"Repeat","New")</f>
        <v>Repeat</v>
      </c>
      <c r="V54" s="2" t="str">
        <f>IF(SalesData[[#This Row],[Sales]]&gt;AVERAGE(SalesData[Sales]),"Above Avg","Below Avg")</f>
        <v>Above Avg</v>
      </c>
      <c r="W54" s="2" t="str">
        <f>IF(SalesData[[#This Row],[Profit]]&gt;0,"Profit","Loss")</f>
        <v>Profit</v>
      </c>
      <c r="X54" s="2">
        <f>RANK(SalesData[[#This Row],[Sales]],SalesData[Sales])</f>
        <v>23</v>
      </c>
    </row>
    <row r="55" spans="1:24" x14ac:dyDescent="0.3">
      <c r="A55">
        <v>54</v>
      </c>
      <c r="B55" s="1">
        <v>45345</v>
      </c>
      <c r="C55">
        <v>1018</v>
      </c>
      <c r="D55" t="s">
        <v>80</v>
      </c>
      <c r="E55" t="s">
        <v>24</v>
      </c>
      <c r="F55" t="s">
        <v>33</v>
      </c>
      <c r="G55" t="s">
        <v>34</v>
      </c>
      <c r="H55" t="s">
        <v>25</v>
      </c>
      <c r="I55">
        <v>366</v>
      </c>
      <c r="J55">
        <v>9</v>
      </c>
      <c r="K55">
        <v>0.04</v>
      </c>
      <c r="L55">
        <v>-461</v>
      </c>
      <c r="M55" t="s">
        <v>19</v>
      </c>
      <c r="N55">
        <v>3162.24</v>
      </c>
      <c r="O55" t="str">
        <f>TEXT(SalesData[[#This Row],[Order_Date]],"mmm")</f>
        <v>Feb</v>
      </c>
      <c r="P55">
        <f>YEAR(SalesData[[#This Row],[Order_Date]])</f>
        <v>2024</v>
      </c>
      <c r="Q55" t="str">
        <f>"Q"&amp;ROUNDUP(MONTH(SalesData[[#This Row],[Order_Date]])/3,0)</f>
        <v>Q1</v>
      </c>
      <c r="R55" s="2">
        <f>IFERROR(SalesData[[#This Row],[Profit]]/SalesData[[#This Row],[Sales]],0)</f>
        <v>-0.14578273628820079</v>
      </c>
      <c r="S55" s="2">
        <f>SalesData[[#This Row],[Price]]*SalesData[[#This Row],[Quantity]]*SalesData[[#This Row],[Discount]]</f>
        <v>131.76</v>
      </c>
      <c r="T55" s="2" t="str">
        <f>IF(SalesData[[#This Row],[Sales]]&gt;5000,"High",IF(SalesData[[#This Row],[Sales]]&gt;2000,"Medium","Low"))</f>
        <v>Medium</v>
      </c>
      <c r="U55" s="2" t="str">
        <f>IF(COUNTIFS(SalesData[Customer_ID],SalesData[[#This Row],[Customer_ID]])&gt;1,"Repeat","New")</f>
        <v>Repeat</v>
      </c>
      <c r="V55" s="2" t="str">
        <f>IF(SalesData[[#This Row],[Sales]]&gt;AVERAGE(SalesData[Sales]),"Above Avg","Below Avg")</f>
        <v>Below Avg</v>
      </c>
      <c r="W55" s="2" t="str">
        <f>IF(SalesData[[#This Row],[Profit]]&gt;0,"Profit","Loss")</f>
        <v>Loss</v>
      </c>
      <c r="X55" s="2">
        <f>RANK(SalesData[[#This Row],[Sales]],SalesData[Sales])</f>
        <v>388</v>
      </c>
    </row>
    <row r="56" spans="1:24" x14ac:dyDescent="0.3">
      <c r="A56">
        <v>55</v>
      </c>
      <c r="B56" s="1">
        <v>45346</v>
      </c>
      <c r="C56">
        <v>1015</v>
      </c>
      <c r="D56" t="s">
        <v>81</v>
      </c>
      <c r="E56" t="s">
        <v>24</v>
      </c>
      <c r="F56" t="s">
        <v>33</v>
      </c>
      <c r="G56" t="s">
        <v>22</v>
      </c>
      <c r="H56" t="s">
        <v>18</v>
      </c>
      <c r="I56">
        <v>1482</v>
      </c>
      <c r="J56">
        <v>3</v>
      </c>
      <c r="K56">
        <v>0.24</v>
      </c>
      <c r="L56">
        <v>1102</v>
      </c>
      <c r="M56" t="s">
        <v>31</v>
      </c>
      <c r="N56">
        <v>3378.96</v>
      </c>
      <c r="O56" t="str">
        <f>TEXT(SalesData[[#This Row],[Order_Date]],"mmm")</f>
        <v>Feb</v>
      </c>
      <c r="P56">
        <f>YEAR(SalesData[[#This Row],[Order_Date]])</f>
        <v>2024</v>
      </c>
      <c r="Q56" t="str">
        <f>"Q"&amp;ROUNDUP(MONTH(SalesData[[#This Row],[Order_Date]])/3,0)</f>
        <v>Q1</v>
      </c>
      <c r="R56" s="2">
        <f>IFERROR(SalesData[[#This Row],[Profit]]/SalesData[[#This Row],[Sales]],0)</f>
        <v>0.32613585245164189</v>
      </c>
      <c r="S56" s="2">
        <f>SalesData[[#This Row],[Price]]*SalesData[[#This Row],[Quantity]]*SalesData[[#This Row],[Discount]]</f>
        <v>1067.04</v>
      </c>
      <c r="T56" s="2" t="str">
        <f>IF(SalesData[[#This Row],[Sales]]&gt;5000,"High",IF(SalesData[[#This Row],[Sales]]&gt;2000,"Medium","Low"))</f>
        <v>Medium</v>
      </c>
      <c r="U56" s="2" t="str">
        <f>IF(COUNTIFS(SalesData[Customer_ID],SalesData[[#This Row],[Customer_ID]])&gt;1,"Repeat","New")</f>
        <v>Repeat</v>
      </c>
      <c r="V56" s="2" t="str">
        <f>IF(SalesData[[#This Row],[Sales]]&gt;AVERAGE(SalesData[Sales]),"Above Avg","Below Avg")</f>
        <v>Below Avg</v>
      </c>
      <c r="W56" s="2" t="str">
        <f>IF(SalesData[[#This Row],[Profit]]&gt;0,"Profit","Loss")</f>
        <v>Profit</v>
      </c>
      <c r="X56" s="2">
        <f>RANK(SalesData[[#This Row],[Sales]],SalesData[Sales])</f>
        <v>381</v>
      </c>
    </row>
    <row r="57" spans="1:24" x14ac:dyDescent="0.3">
      <c r="A57">
        <v>56</v>
      </c>
      <c r="B57" s="1">
        <v>45347</v>
      </c>
      <c r="C57">
        <v>1027</v>
      </c>
      <c r="D57" t="s">
        <v>82</v>
      </c>
      <c r="E57" t="s">
        <v>24</v>
      </c>
      <c r="F57" t="s">
        <v>33</v>
      </c>
      <c r="G57" t="s">
        <v>17</v>
      </c>
      <c r="H57" t="s">
        <v>37</v>
      </c>
      <c r="I57">
        <v>879</v>
      </c>
      <c r="J57">
        <v>7</v>
      </c>
      <c r="K57">
        <v>0.03</v>
      </c>
      <c r="L57">
        <v>1934</v>
      </c>
      <c r="M57" t="s">
        <v>26</v>
      </c>
      <c r="N57">
        <v>5968.41</v>
      </c>
      <c r="O57" t="str">
        <f>TEXT(SalesData[[#This Row],[Order_Date]],"mmm")</f>
        <v>Feb</v>
      </c>
      <c r="P57">
        <f>YEAR(SalesData[[#This Row],[Order_Date]])</f>
        <v>2024</v>
      </c>
      <c r="Q57" t="str">
        <f>"Q"&amp;ROUNDUP(MONTH(SalesData[[#This Row],[Order_Date]])/3,0)</f>
        <v>Q1</v>
      </c>
      <c r="R57" s="2">
        <f>IFERROR(SalesData[[#This Row],[Profit]]/SalesData[[#This Row],[Sales]],0)</f>
        <v>0.3240394007784318</v>
      </c>
      <c r="S57" s="2">
        <f>SalesData[[#This Row],[Price]]*SalesData[[#This Row],[Quantity]]*SalesData[[#This Row],[Discount]]</f>
        <v>184.59</v>
      </c>
      <c r="T57" s="2" t="str">
        <f>IF(SalesData[[#This Row],[Sales]]&gt;5000,"High",IF(SalesData[[#This Row],[Sales]]&gt;2000,"Medium","Low"))</f>
        <v>High</v>
      </c>
      <c r="U57" s="2" t="str">
        <f>IF(COUNTIFS(SalesData[Customer_ID],SalesData[[#This Row],[Customer_ID]])&gt;1,"Repeat","New")</f>
        <v>Repeat</v>
      </c>
      <c r="V57" s="2" t="str">
        <f>IF(SalesData[[#This Row],[Sales]]&gt;AVERAGE(SalesData[Sales]),"Above Avg","Below Avg")</f>
        <v>Below Avg</v>
      </c>
      <c r="W57" s="2" t="str">
        <f>IF(SalesData[[#This Row],[Profit]]&gt;0,"Profit","Loss")</f>
        <v>Profit</v>
      </c>
      <c r="X57" s="2">
        <f>RANK(SalesData[[#This Row],[Sales]],SalesData[Sales])</f>
        <v>298</v>
      </c>
    </row>
    <row r="58" spans="1:24" x14ac:dyDescent="0.3">
      <c r="A58">
        <v>57</v>
      </c>
      <c r="B58" s="1">
        <v>45348</v>
      </c>
      <c r="C58">
        <v>1030</v>
      </c>
      <c r="D58" t="s">
        <v>83</v>
      </c>
      <c r="E58" t="s">
        <v>24</v>
      </c>
      <c r="F58" t="s">
        <v>21</v>
      </c>
      <c r="G58" t="s">
        <v>34</v>
      </c>
      <c r="H58" t="s">
        <v>29</v>
      </c>
      <c r="I58">
        <v>4731</v>
      </c>
      <c r="J58">
        <v>2</v>
      </c>
      <c r="K58">
        <v>0.28999999999999998</v>
      </c>
      <c r="L58">
        <v>1177</v>
      </c>
      <c r="M58" t="s">
        <v>31</v>
      </c>
      <c r="N58">
        <v>6718.0199999999904</v>
      </c>
      <c r="O58" t="str">
        <f>TEXT(SalesData[[#This Row],[Order_Date]],"mmm")</f>
        <v>Feb</v>
      </c>
      <c r="P58">
        <f>YEAR(SalesData[[#This Row],[Order_Date]])</f>
        <v>2024</v>
      </c>
      <c r="Q58" t="str">
        <f>"Q"&amp;ROUNDUP(MONTH(SalesData[[#This Row],[Order_Date]])/3,0)</f>
        <v>Q1</v>
      </c>
      <c r="R58" s="2">
        <f>IFERROR(SalesData[[#This Row],[Profit]]/SalesData[[#This Row],[Sales]],0)</f>
        <v>0.17520043107939567</v>
      </c>
      <c r="S58" s="2">
        <f>SalesData[[#This Row],[Price]]*SalesData[[#This Row],[Quantity]]*SalesData[[#This Row],[Discount]]</f>
        <v>2743.98</v>
      </c>
      <c r="T58" s="2" t="str">
        <f>IF(SalesData[[#This Row],[Sales]]&gt;5000,"High",IF(SalesData[[#This Row],[Sales]]&gt;2000,"Medium","Low"))</f>
        <v>High</v>
      </c>
      <c r="U58" s="2" t="str">
        <f>IF(COUNTIFS(SalesData[Customer_ID],SalesData[[#This Row],[Customer_ID]])&gt;1,"Repeat","New")</f>
        <v>Repeat</v>
      </c>
      <c r="V58" s="2" t="str">
        <f>IF(SalesData[[#This Row],[Sales]]&gt;AVERAGE(SalesData[Sales]),"Above Avg","Below Avg")</f>
        <v>Below Avg</v>
      </c>
      <c r="W58" s="2" t="str">
        <f>IF(SalesData[[#This Row],[Profit]]&gt;0,"Profit","Loss")</f>
        <v>Profit</v>
      </c>
      <c r="X58" s="2">
        <f>RANK(SalesData[[#This Row],[Sales]],SalesData[Sales])</f>
        <v>282</v>
      </c>
    </row>
    <row r="59" spans="1:24" x14ac:dyDescent="0.3">
      <c r="A59">
        <v>58</v>
      </c>
      <c r="B59" s="1">
        <v>45349</v>
      </c>
      <c r="C59">
        <v>1052</v>
      </c>
      <c r="D59" t="s">
        <v>84</v>
      </c>
      <c r="E59" t="s">
        <v>15</v>
      </c>
      <c r="F59" t="s">
        <v>28</v>
      </c>
      <c r="G59" t="s">
        <v>34</v>
      </c>
      <c r="H59" t="s">
        <v>29</v>
      </c>
      <c r="I59">
        <v>766</v>
      </c>
      <c r="J59">
        <v>1</v>
      </c>
      <c r="K59">
        <v>0.23</v>
      </c>
      <c r="L59">
        <v>993</v>
      </c>
      <c r="M59" t="s">
        <v>31</v>
      </c>
      <c r="N59">
        <v>589.82000000000005</v>
      </c>
      <c r="O59" t="str">
        <f>TEXT(SalesData[[#This Row],[Order_Date]],"mmm")</f>
        <v>Feb</v>
      </c>
      <c r="P59">
        <f>YEAR(SalesData[[#This Row],[Order_Date]])</f>
        <v>2024</v>
      </c>
      <c r="Q59" t="str">
        <f>"Q"&amp;ROUNDUP(MONTH(SalesData[[#This Row],[Order_Date]])/3,0)</f>
        <v>Q1</v>
      </c>
      <c r="R59" s="2">
        <f>IFERROR(SalesData[[#This Row],[Profit]]/SalesData[[#This Row],[Sales]],0)</f>
        <v>1.6835644772981586</v>
      </c>
      <c r="S59" s="2">
        <f>SalesData[[#This Row],[Price]]*SalesData[[#This Row],[Quantity]]*SalesData[[#This Row],[Discount]]</f>
        <v>176.18</v>
      </c>
      <c r="T59" s="2" t="str">
        <f>IF(SalesData[[#This Row],[Sales]]&gt;5000,"High",IF(SalesData[[#This Row],[Sales]]&gt;2000,"Medium","Low"))</f>
        <v>Low</v>
      </c>
      <c r="U59" s="2" t="str">
        <f>IF(COUNTIFS(SalesData[Customer_ID],SalesData[[#This Row],[Customer_ID]])&gt;1,"Repeat","New")</f>
        <v>Repeat</v>
      </c>
      <c r="V59" s="2" t="str">
        <f>IF(SalesData[[#This Row],[Sales]]&gt;AVERAGE(SalesData[Sales]),"Above Avg","Below Avg")</f>
        <v>Below Avg</v>
      </c>
      <c r="W59" s="2" t="str">
        <f>IF(SalesData[[#This Row],[Profit]]&gt;0,"Profit","Loss")</f>
        <v>Profit</v>
      </c>
      <c r="X59" s="2">
        <f>RANK(SalesData[[#This Row],[Sales]],SalesData[Sales])</f>
        <v>487</v>
      </c>
    </row>
    <row r="60" spans="1:24" x14ac:dyDescent="0.3">
      <c r="A60">
        <v>59</v>
      </c>
      <c r="B60" s="1">
        <v>45350</v>
      </c>
      <c r="C60">
        <v>1070</v>
      </c>
      <c r="D60" t="s">
        <v>46</v>
      </c>
      <c r="E60" t="s">
        <v>15</v>
      </c>
      <c r="F60" t="s">
        <v>28</v>
      </c>
      <c r="G60" t="s">
        <v>34</v>
      </c>
      <c r="H60" t="s">
        <v>29</v>
      </c>
      <c r="I60">
        <v>1257</v>
      </c>
      <c r="J60">
        <v>4</v>
      </c>
      <c r="K60">
        <v>0.21</v>
      </c>
      <c r="L60">
        <v>-182</v>
      </c>
      <c r="M60" t="s">
        <v>19</v>
      </c>
      <c r="N60">
        <v>3972.12</v>
      </c>
      <c r="O60" t="str">
        <f>TEXT(SalesData[[#This Row],[Order_Date]],"mmm")</f>
        <v>Feb</v>
      </c>
      <c r="P60">
        <f>YEAR(SalesData[[#This Row],[Order_Date]])</f>
        <v>2024</v>
      </c>
      <c r="Q60" t="str">
        <f>"Q"&amp;ROUNDUP(MONTH(SalesData[[#This Row],[Order_Date]])/3,0)</f>
        <v>Q1</v>
      </c>
      <c r="R60" s="2">
        <f>IFERROR(SalesData[[#This Row],[Profit]]/SalesData[[#This Row],[Sales]],0)</f>
        <v>-4.581936094579217E-2</v>
      </c>
      <c r="S60" s="2">
        <f>SalesData[[#This Row],[Price]]*SalesData[[#This Row],[Quantity]]*SalesData[[#This Row],[Discount]]</f>
        <v>1055.8799999999999</v>
      </c>
      <c r="T60" s="2" t="str">
        <f>IF(SalesData[[#This Row],[Sales]]&gt;5000,"High",IF(SalesData[[#This Row],[Sales]]&gt;2000,"Medium","Low"))</f>
        <v>Medium</v>
      </c>
      <c r="U60" s="2" t="str">
        <f>IF(COUNTIFS(SalesData[Customer_ID],SalesData[[#This Row],[Customer_ID]])&gt;1,"Repeat","New")</f>
        <v>Repeat</v>
      </c>
      <c r="V60" s="2" t="str">
        <f>IF(SalesData[[#This Row],[Sales]]&gt;AVERAGE(SalesData[Sales]),"Above Avg","Below Avg")</f>
        <v>Below Avg</v>
      </c>
      <c r="W60" s="2" t="str">
        <f>IF(SalesData[[#This Row],[Profit]]&gt;0,"Profit","Loss")</f>
        <v>Loss</v>
      </c>
      <c r="X60" s="2">
        <f>RANK(SalesData[[#This Row],[Sales]],SalesData[Sales])</f>
        <v>354</v>
      </c>
    </row>
    <row r="61" spans="1:24" x14ac:dyDescent="0.3">
      <c r="A61">
        <v>60</v>
      </c>
      <c r="B61" s="1">
        <v>45351</v>
      </c>
      <c r="C61">
        <v>1026</v>
      </c>
      <c r="D61" t="s">
        <v>85</v>
      </c>
      <c r="E61" t="s">
        <v>15</v>
      </c>
      <c r="F61" t="s">
        <v>33</v>
      </c>
      <c r="G61" t="s">
        <v>17</v>
      </c>
      <c r="H61" t="s">
        <v>37</v>
      </c>
      <c r="I61">
        <v>4776</v>
      </c>
      <c r="J61">
        <v>3</v>
      </c>
      <c r="K61">
        <v>7.0000000000000007E-2</v>
      </c>
      <c r="L61">
        <v>1297</v>
      </c>
      <c r="M61" t="s">
        <v>19</v>
      </c>
      <c r="N61">
        <v>13325.039999999901</v>
      </c>
      <c r="O61" t="str">
        <f>TEXT(SalesData[[#This Row],[Order_Date]],"mmm")</f>
        <v>Feb</v>
      </c>
      <c r="P61">
        <f>YEAR(SalesData[[#This Row],[Order_Date]])</f>
        <v>2024</v>
      </c>
      <c r="Q61" t="str">
        <f>"Q"&amp;ROUNDUP(MONTH(SalesData[[#This Row],[Order_Date]])/3,0)</f>
        <v>Q1</v>
      </c>
      <c r="R61" s="2">
        <f>IFERROR(SalesData[[#This Row],[Profit]]/SalesData[[#This Row],[Sales]],0)</f>
        <v>9.7335542707564823E-2</v>
      </c>
      <c r="S61" s="2">
        <f>SalesData[[#This Row],[Price]]*SalesData[[#This Row],[Quantity]]*SalesData[[#This Row],[Discount]]</f>
        <v>1002.9600000000002</v>
      </c>
      <c r="T61" s="2" t="str">
        <f>IF(SalesData[[#This Row],[Sales]]&gt;5000,"High",IF(SalesData[[#This Row],[Sales]]&gt;2000,"Medium","Low"))</f>
        <v>High</v>
      </c>
      <c r="U61" s="2" t="str">
        <f>IF(COUNTIFS(SalesData[Customer_ID],SalesData[[#This Row],[Customer_ID]])&gt;1,"Repeat","New")</f>
        <v>Repeat</v>
      </c>
      <c r="V61" s="2" t="str">
        <f>IF(SalesData[[#This Row],[Sales]]&gt;AVERAGE(SalesData[Sales]),"Above Avg","Below Avg")</f>
        <v>Above Avg</v>
      </c>
      <c r="W61" s="2" t="str">
        <f>IF(SalesData[[#This Row],[Profit]]&gt;0,"Profit","Loss")</f>
        <v>Profit</v>
      </c>
      <c r="X61" s="2">
        <f>RANK(SalesData[[#This Row],[Sales]],SalesData[Sales])</f>
        <v>156</v>
      </c>
    </row>
    <row r="62" spans="1:24" x14ac:dyDescent="0.3">
      <c r="A62">
        <v>61</v>
      </c>
      <c r="B62" s="1">
        <v>45352</v>
      </c>
      <c r="C62">
        <v>1080</v>
      </c>
      <c r="D62" t="s">
        <v>86</v>
      </c>
      <c r="E62" t="s">
        <v>15</v>
      </c>
      <c r="F62" t="s">
        <v>28</v>
      </c>
      <c r="G62" t="s">
        <v>34</v>
      </c>
      <c r="H62" t="s">
        <v>25</v>
      </c>
      <c r="I62">
        <v>963</v>
      </c>
      <c r="J62">
        <v>4</v>
      </c>
      <c r="K62">
        <v>0.23</v>
      </c>
      <c r="L62">
        <v>-271</v>
      </c>
      <c r="M62" t="s">
        <v>26</v>
      </c>
      <c r="N62">
        <v>2966.04</v>
      </c>
      <c r="O62" t="str">
        <f>TEXT(SalesData[[#This Row],[Order_Date]],"mmm")</f>
        <v>Mar</v>
      </c>
      <c r="P62">
        <f>YEAR(SalesData[[#This Row],[Order_Date]])</f>
        <v>2024</v>
      </c>
      <c r="Q62" t="str">
        <f>"Q"&amp;ROUNDUP(MONTH(SalesData[[#This Row],[Order_Date]])/3,0)</f>
        <v>Q1</v>
      </c>
      <c r="R62" s="2">
        <f>IFERROR(SalesData[[#This Row],[Profit]]/SalesData[[#This Row],[Sales]],0)</f>
        <v>-9.1367614732100713E-2</v>
      </c>
      <c r="S62" s="2">
        <f>SalesData[[#This Row],[Price]]*SalesData[[#This Row],[Quantity]]*SalesData[[#This Row],[Discount]]</f>
        <v>885.96</v>
      </c>
      <c r="T62" s="2" t="str">
        <f>IF(SalesData[[#This Row],[Sales]]&gt;5000,"High",IF(SalesData[[#This Row],[Sales]]&gt;2000,"Medium","Low"))</f>
        <v>Medium</v>
      </c>
      <c r="U62" s="2" t="str">
        <f>IF(COUNTIFS(SalesData[Customer_ID],SalesData[[#This Row],[Customer_ID]])&gt;1,"Repeat","New")</f>
        <v>Repeat</v>
      </c>
      <c r="V62" s="2" t="str">
        <f>IF(SalesData[[#This Row],[Sales]]&gt;AVERAGE(SalesData[Sales]),"Above Avg","Below Avg")</f>
        <v>Below Avg</v>
      </c>
      <c r="W62" s="2" t="str">
        <f>IF(SalesData[[#This Row],[Profit]]&gt;0,"Profit","Loss")</f>
        <v>Loss</v>
      </c>
      <c r="X62" s="2">
        <f>RANK(SalesData[[#This Row],[Sales]],SalesData[Sales])</f>
        <v>395</v>
      </c>
    </row>
    <row r="63" spans="1:24" x14ac:dyDescent="0.3">
      <c r="A63">
        <v>62</v>
      </c>
      <c r="B63" s="1">
        <v>45353</v>
      </c>
      <c r="C63">
        <v>1006</v>
      </c>
      <c r="D63" t="s">
        <v>70</v>
      </c>
      <c r="E63" t="s">
        <v>24</v>
      </c>
      <c r="F63" t="s">
        <v>21</v>
      </c>
      <c r="G63" t="s">
        <v>22</v>
      </c>
      <c r="H63" t="s">
        <v>37</v>
      </c>
      <c r="I63">
        <v>4000</v>
      </c>
      <c r="J63">
        <v>3</v>
      </c>
      <c r="K63">
        <v>0.01</v>
      </c>
      <c r="L63">
        <v>1902</v>
      </c>
      <c r="M63" t="s">
        <v>31</v>
      </c>
      <c r="N63">
        <v>11880</v>
      </c>
      <c r="O63" t="str">
        <f>TEXT(SalesData[[#This Row],[Order_Date]],"mmm")</f>
        <v>Mar</v>
      </c>
      <c r="P63">
        <f>YEAR(SalesData[[#This Row],[Order_Date]])</f>
        <v>2024</v>
      </c>
      <c r="Q63" t="str">
        <f>"Q"&amp;ROUNDUP(MONTH(SalesData[[#This Row],[Order_Date]])/3,0)</f>
        <v>Q1</v>
      </c>
      <c r="R63" s="2">
        <f>IFERROR(SalesData[[#This Row],[Profit]]/SalesData[[#This Row],[Sales]],0)</f>
        <v>0.1601010101010101</v>
      </c>
      <c r="S63" s="2">
        <f>SalesData[[#This Row],[Price]]*SalesData[[#This Row],[Quantity]]*SalesData[[#This Row],[Discount]]</f>
        <v>120</v>
      </c>
      <c r="T63" s="2" t="str">
        <f>IF(SalesData[[#This Row],[Sales]]&gt;5000,"High",IF(SalesData[[#This Row],[Sales]]&gt;2000,"Medium","Low"))</f>
        <v>High</v>
      </c>
      <c r="U63" s="2" t="str">
        <f>IF(COUNTIFS(SalesData[Customer_ID],SalesData[[#This Row],[Customer_ID]])&gt;1,"Repeat","New")</f>
        <v>Repeat</v>
      </c>
      <c r="V63" s="2" t="str">
        <f>IF(SalesData[[#This Row],[Sales]]&gt;AVERAGE(SalesData[Sales]),"Above Avg","Below Avg")</f>
        <v>Above Avg</v>
      </c>
      <c r="W63" s="2" t="str">
        <f>IF(SalesData[[#This Row],[Profit]]&gt;0,"Profit","Loss")</f>
        <v>Profit</v>
      </c>
      <c r="X63" s="2">
        <f>RANK(SalesData[[#This Row],[Sales]],SalesData[Sales])</f>
        <v>171</v>
      </c>
    </row>
    <row r="64" spans="1:24" x14ac:dyDescent="0.3">
      <c r="A64">
        <v>63</v>
      </c>
      <c r="B64" s="1">
        <v>45354</v>
      </c>
      <c r="C64">
        <v>1014</v>
      </c>
      <c r="D64" t="s">
        <v>87</v>
      </c>
      <c r="E64" t="s">
        <v>15</v>
      </c>
      <c r="F64" t="s">
        <v>16</v>
      </c>
      <c r="G64" t="s">
        <v>17</v>
      </c>
      <c r="H64" t="s">
        <v>29</v>
      </c>
      <c r="I64">
        <v>156</v>
      </c>
      <c r="J64">
        <v>9</v>
      </c>
      <c r="K64">
        <v>0.17</v>
      </c>
      <c r="L64">
        <v>325</v>
      </c>
      <c r="M64" t="s">
        <v>31</v>
      </c>
      <c r="N64">
        <v>1165.32</v>
      </c>
      <c r="O64" t="str">
        <f>TEXT(SalesData[[#This Row],[Order_Date]],"mmm")</f>
        <v>Mar</v>
      </c>
      <c r="P64">
        <f>YEAR(SalesData[[#This Row],[Order_Date]])</f>
        <v>2024</v>
      </c>
      <c r="Q64" t="str">
        <f>"Q"&amp;ROUNDUP(MONTH(SalesData[[#This Row],[Order_Date]])/3,0)</f>
        <v>Q1</v>
      </c>
      <c r="R64" s="2">
        <f>IFERROR(SalesData[[#This Row],[Profit]]/SalesData[[#This Row],[Sales]],0)</f>
        <v>0.2788933511825078</v>
      </c>
      <c r="S64" s="2">
        <f>SalesData[[#This Row],[Price]]*SalesData[[#This Row],[Quantity]]*SalesData[[#This Row],[Discount]]</f>
        <v>238.68</v>
      </c>
      <c r="T64" s="2" t="str">
        <f>IF(SalesData[[#This Row],[Sales]]&gt;5000,"High",IF(SalesData[[#This Row],[Sales]]&gt;2000,"Medium","Low"))</f>
        <v>Low</v>
      </c>
      <c r="U64" s="2" t="str">
        <f>IF(COUNTIFS(SalesData[Customer_ID],SalesData[[#This Row],[Customer_ID]])&gt;1,"Repeat","New")</f>
        <v>Repeat</v>
      </c>
      <c r="V64" s="2" t="str">
        <f>IF(SalesData[[#This Row],[Sales]]&gt;AVERAGE(SalesData[Sales]),"Above Avg","Below Avg")</f>
        <v>Below Avg</v>
      </c>
      <c r="W64" s="2" t="str">
        <f>IF(SalesData[[#This Row],[Profit]]&gt;0,"Profit","Loss")</f>
        <v>Profit</v>
      </c>
      <c r="X64" s="2">
        <f>RANK(SalesData[[#This Row],[Sales]],SalesData[Sales])</f>
        <v>472</v>
      </c>
    </row>
    <row r="65" spans="1:24" x14ac:dyDescent="0.3">
      <c r="A65">
        <v>64</v>
      </c>
      <c r="B65" s="1">
        <v>45355</v>
      </c>
      <c r="C65">
        <v>1075</v>
      </c>
      <c r="D65" t="s">
        <v>51</v>
      </c>
      <c r="E65" t="s">
        <v>15</v>
      </c>
      <c r="F65" t="s">
        <v>16</v>
      </c>
      <c r="G65" t="s">
        <v>17</v>
      </c>
      <c r="H65" t="s">
        <v>18</v>
      </c>
      <c r="I65">
        <v>3350</v>
      </c>
      <c r="J65">
        <v>4</v>
      </c>
      <c r="K65">
        <v>0.09</v>
      </c>
      <c r="L65">
        <v>1332</v>
      </c>
      <c r="M65" t="s">
        <v>31</v>
      </c>
      <c r="N65">
        <v>12194</v>
      </c>
      <c r="O65" t="str">
        <f>TEXT(SalesData[[#This Row],[Order_Date]],"mmm")</f>
        <v>Mar</v>
      </c>
      <c r="P65">
        <f>YEAR(SalesData[[#This Row],[Order_Date]])</f>
        <v>2024</v>
      </c>
      <c r="Q65" t="str">
        <f>"Q"&amp;ROUNDUP(MONTH(SalesData[[#This Row],[Order_Date]])/3,0)</f>
        <v>Q1</v>
      </c>
      <c r="R65" s="2">
        <f>IFERROR(SalesData[[#This Row],[Profit]]/SalesData[[#This Row],[Sales]],0)</f>
        <v>0.109234049532557</v>
      </c>
      <c r="S65" s="2">
        <f>SalesData[[#This Row],[Price]]*SalesData[[#This Row],[Quantity]]*SalesData[[#This Row],[Discount]]</f>
        <v>1206</v>
      </c>
      <c r="T65" s="2" t="str">
        <f>IF(SalesData[[#This Row],[Sales]]&gt;5000,"High",IF(SalesData[[#This Row],[Sales]]&gt;2000,"Medium","Low"))</f>
        <v>High</v>
      </c>
      <c r="U65" s="2" t="str">
        <f>IF(COUNTIFS(SalesData[Customer_ID],SalesData[[#This Row],[Customer_ID]])&gt;1,"Repeat","New")</f>
        <v>Repeat</v>
      </c>
      <c r="V65" s="2" t="str">
        <f>IF(SalesData[[#This Row],[Sales]]&gt;AVERAGE(SalesData[Sales]),"Above Avg","Below Avg")</f>
        <v>Above Avg</v>
      </c>
      <c r="W65" s="2" t="str">
        <f>IF(SalesData[[#This Row],[Profit]]&gt;0,"Profit","Loss")</f>
        <v>Profit</v>
      </c>
      <c r="X65" s="2">
        <f>RANK(SalesData[[#This Row],[Sales]],SalesData[Sales])</f>
        <v>165</v>
      </c>
    </row>
    <row r="66" spans="1:24" x14ac:dyDescent="0.3">
      <c r="A66">
        <v>65</v>
      </c>
      <c r="B66" s="1">
        <v>45356</v>
      </c>
      <c r="C66">
        <v>1054</v>
      </c>
      <c r="D66" t="s">
        <v>88</v>
      </c>
      <c r="E66" t="s">
        <v>15</v>
      </c>
      <c r="F66" t="s">
        <v>28</v>
      </c>
      <c r="G66" t="s">
        <v>17</v>
      </c>
      <c r="H66" t="s">
        <v>29</v>
      </c>
      <c r="I66">
        <v>642</v>
      </c>
      <c r="J66">
        <v>4</v>
      </c>
      <c r="K66">
        <v>0.25</v>
      </c>
      <c r="L66">
        <v>30</v>
      </c>
      <c r="M66" t="s">
        <v>19</v>
      </c>
      <c r="N66">
        <v>1926</v>
      </c>
      <c r="O66" t="str">
        <f>TEXT(SalesData[[#This Row],[Order_Date]],"mmm")</f>
        <v>Mar</v>
      </c>
      <c r="P66">
        <f>YEAR(SalesData[[#This Row],[Order_Date]])</f>
        <v>2024</v>
      </c>
      <c r="Q66" t="str">
        <f>"Q"&amp;ROUNDUP(MONTH(SalesData[[#This Row],[Order_Date]])/3,0)</f>
        <v>Q1</v>
      </c>
      <c r="R66" s="2">
        <f>IFERROR(SalesData[[#This Row],[Profit]]/SalesData[[#This Row],[Sales]],0)</f>
        <v>1.5576323987538941E-2</v>
      </c>
      <c r="S66" s="2">
        <f>SalesData[[#This Row],[Price]]*SalesData[[#This Row],[Quantity]]*SalesData[[#This Row],[Discount]]</f>
        <v>642</v>
      </c>
      <c r="T66" s="2" t="str">
        <f>IF(SalesData[[#This Row],[Sales]]&gt;5000,"High",IF(SalesData[[#This Row],[Sales]]&gt;2000,"Medium","Low"))</f>
        <v>Low</v>
      </c>
      <c r="U66" s="2" t="str">
        <f>IF(COUNTIFS(SalesData[Customer_ID],SalesData[[#This Row],[Customer_ID]])&gt;1,"Repeat","New")</f>
        <v>Repeat</v>
      </c>
      <c r="V66" s="2" t="str">
        <f>IF(SalesData[[#This Row],[Sales]]&gt;AVERAGE(SalesData[Sales]),"Above Avg","Below Avg")</f>
        <v>Below Avg</v>
      </c>
      <c r="W66" s="2" t="str">
        <f>IF(SalesData[[#This Row],[Profit]]&gt;0,"Profit","Loss")</f>
        <v>Profit</v>
      </c>
      <c r="X66" s="2">
        <f>RANK(SalesData[[#This Row],[Sales]],SalesData[Sales])</f>
        <v>434</v>
      </c>
    </row>
    <row r="67" spans="1:24" x14ac:dyDescent="0.3">
      <c r="A67">
        <v>66</v>
      </c>
      <c r="B67" s="1">
        <v>45357</v>
      </c>
      <c r="C67">
        <v>1071</v>
      </c>
      <c r="D67" t="s">
        <v>89</v>
      </c>
      <c r="E67" t="s">
        <v>24</v>
      </c>
      <c r="F67" t="s">
        <v>28</v>
      </c>
      <c r="G67" t="s">
        <v>17</v>
      </c>
      <c r="H67" t="s">
        <v>18</v>
      </c>
      <c r="I67">
        <v>1032</v>
      </c>
      <c r="J67">
        <v>7</v>
      </c>
      <c r="K67">
        <v>0.23</v>
      </c>
      <c r="L67">
        <v>-33</v>
      </c>
      <c r="M67" t="s">
        <v>19</v>
      </c>
      <c r="N67">
        <v>5562.48</v>
      </c>
      <c r="O67" t="str">
        <f>TEXT(SalesData[[#This Row],[Order_Date]],"mmm")</f>
        <v>Mar</v>
      </c>
      <c r="P67">
        <f>YEAR(SalesData[[#This Row],[Order_Date]])</f>
        <v>2024</v>
      </c>
      <c r="Q67" t="str">
        <f>"Q"&amp;ROUNDUP(MONTH(SalesData[[#This Row],[Order_Date]])/3,0)</f>
        <v>Q1</v>
      </c>
      <c r="R67" s="2">
        <f>IFERROR(SalesData[[#This Row],[Profit]]/SalesData[[#This Row],[Sales]],0)</f>
        <v>-5.9326056003796875E-3</v>
      </c>
      <c r="S67" s="2">
        <f>SalesData[[#This Row],[Price]]*SalesData[[#This Row],[Quantity]]*SalesData[[#This Row],[Discount]]</f>
        <v>1661.52</v>
      </c>
      <c r="T67" s="2" t="str">
        <f>IF(SalesData[[#This Row],[Sales]]&gt;5000,"High",IF(SalesData[[#This Row],[Sales]]&gt;2000,"Medium","Low"))</f>
        <v>High</v>
      </c>
      <c r="U67" s="2" t="str">
        <f>IF(COUNTIFS(SalesData[Customer_ID],SalesData[[#This Row],[Customer_ID]])&gt;1,"Repeat","New")</f>
        <v>Repeat</v>
      </c>
      <c r="V67" s="2" t="str">
        <f>IF(SalesData[[#This Row],[Sales]]&gt;AVERAGE(SalesData[Sales]),"Above Avg","Below Avg")</f>
        <v>Below Avg</v>
      </c>
      <c r="W67" s="2" t="str">
        <f>IF(SalesData[[#This Row],[Profit]]&gt;0,"Profit","Loss")</f>
        <v>Loss</v>
      </c>
      <c r="X67" s="2">
        <f>RANK(SalesData[[#This Row],[Sales]],SalesData[Sales])</f>
        <v>307</v>
      </c>
    </row>
    <row r="68" spans="1:24" x14ac:dyDescent="0.3">
      <c r="A68">
        <v>67</v>
      </c>
      <c r="B68" s="1">
        <v>45358</v>
      </c>
      <c r="C68">
        <v>1001</v>
      </c>
      <c r="D68" t="s">
        <v>40</v>
      </c>
      <c r="E68" t="s">
        <v>15</v>
      </c>
      <c r="F68" t="s">
        <v>28</v>
      </c>
      <c r="G68" t="s">
        <v>34</v>
      </c>
      <c r="H68" t="s">
        <v>29</v>
      </c>
      <c r="I68">
        <v>950</v>
      </c>
      <c r="J68">
        <v>4</v>
      </c>
      <c r="K68">
        <v>0.15</v>
      </c>
      <c r="L68">
        <v>1734</v>
      </c>
      <c r="M68" t="s">
        <v>31</v>
      </c>
      <c r="N68">
        <v>3230</v>
      </c>
      <c r="O68" t="str">
        <f>TEXT(SalesData[[#This Row],[Order_Date]],"mmm")</f>
        <v>Mar</v>
      </c>
      <c r="P68">
        <f>YEAR(SalesData[[#This Row],[Order_Date]])</f>
        <v>2024</v>
      </c>
      <c r="Q68" t="str">
        <f>"Q"&amp;ROUNDUP(MONTH(SalesData[[#This Row],[Order_Date]])/3,0)</f>
        <v>Q1</v>
      </c>
      <c r="R68" s="2">
        <f>IFERROR(SalesData[[#This Row],[Profit]]/SalesData[[#This Row],[Sales]],0)</f>
        <v>0.5368421052631579</v>
      </c>
      <c r="S68" s="2">
        <f>SalesData[[#This Row],[Price]]*SalesData[[#This Row],[Quantity]]*SalesData[[#This Row],[Discount]]</f>
        <v>570</v>
      </c>
      <c r="T68" s="2" t="str">
        <f>IF(SalesData[[#This Row],[Sales]]&gt;5000,"High",IF(SalesData[[#This Row],[Sales]]&gt;2000,"Medium","Low"))</f>
        <v>Medium</v>
      </c>
      <c r="U68" s="2" t="str">
        <f>IF(COUNTIFS(SalesData[Customer_ID],SalesData[[#This Row],[Customer_ID]])&gt;1,"Repeat","New")</f>
        <v>Repeat</v>
      </c>
      <c r="V68" s="2" t="str">
        <f>IF(SalesData[[#This Row],[Sales]]&gt;AVERAGE(SalesData[Sales]),"Above Avg","Below Avg")</f>
        <v>Below Avg</v>
      </c>
      <c r="W68" s="2" t="str">
        <f>IF(SalesData[[#This Row],[Profit]]&gt;0,"Profit","Loss")</f>
        <v>Profit</v>
      </c>
      <c r="X68" s="2">
        <f>RANK(SalesData[[#This Row],[Sales]],SalesData[Sales])</f>
        <v>387</v>
      </c>
    </row>
    <row r="69" spans="1:24" x14ac:dyDescent="0.3">
      <c r="A69">
        <v>68</v>
      </c>
      <c r="B69" s="1">
        <v>45359</v>
      </c>
      <c r="C69">
        <v>1043</v>
      </c>
      <c r="D69" t="s">
        <v>90</v>
      </c>
      <c r="E69" t="s">
        <v>24</v>
      </c>
      <c r="F69" t="s">
        <v>33</v>
      </c>
      <c r="G69" t="s">
        <v>17</v>
      </c>
      <c r="H69" t="s">
        <v>25</v>
      </c>
      <c r="I69">
        <v>1275</v>
      </c>
      <c r="J69">
        <v>9</v>
      </c>
      <c r="K69">
        <v>0.14000000000000001</v>
      </c>
      <c r="L69">
        <v>1604</v>
      </c>
      <c r="M69" t="s">
        <v>26</v>
      </c>
      <c r="N69">
        <v>9868.5</v>
      </c>
      <c r="O69" t="str">
        <f>TEXT(SalesData[[#This Row],[Order_Date]],"mmm")</f>
        <v>Mar</v>
      </c>
      <c r="P69">
        <f>YEAR(SalesData[[#This Row],[Order_Date]])</f>
        <v>2024</v>
      </c>
      <c r="Q69" t="str">
        <f>"Q"&amp;ROUNDUP(MONTH(SalesData[[#This Row],[Order_Date]])/3,0)</f>
        <v>Q1</v>
      </c>
      <c r="R69" s="2">
        <f>IFERROR(SalesData[[#This Row],[Profit]]/SalesData[[#This Row],[Sales]],0)</f>
        <v>0.16253736636773572</v>
      </c>
      <c r="S69" s="2">
        <f>SalesData[[#This Row],[Price]]*SalesData[[#This Row],[Quantity]]*SalesData[[#This Row],[Discount]]</f>
        <v>1606.5000000000002</v>
      </c>
      <c r="T69" s="2" t="str">
        <f>IF(SalesData[[#This Row],[Sales]]&gt;5000,"High",IF(SalesData[[#This Row],[Sales]]&gt;2000,"Medium","Low"))</f>
        <v>High</v>
      </c>
      <c r="U69" s="2" t="str">
        <f>IF(COUNTIFS(SalesData[Customer_ID],SalesData[[#This Row],[Customer_ID]])&gt;1,"Repeat","New")</f>
        <v>New</v>
      </c>
      <c r="V69" s="2" t="str">
        <f>IF(SalesData[[#This Row],[Sales]]&gt;AVERAGE(SalesData[Sales]),"Above Avg","Below Avg")</f>
        <v>Below Avg</v>
      </c>
      <c r="W69" s="2" t="str">
        <f>IF(SalesData[[#This Row],[Profit]]&gt;0,"Profit","Loss")</f>
        <v>Profit</v>
      </c>
      <c r="X69" s="2">
        <f>RANK(SalesData[[#This Row],[Sales]],SalesData[Sales])</f>
        <v>204</v>
      </c>
    </row>
    <row r="70" spans="1:24" x14ac:dyDescent="0.3">
      <c r="A70">
        <v>69</v>
      </c>
      <c r="B70" s="1">
        <v>45360</v>
      </c>
      <c r="C70">
        <v>1058</v>
      </c>
      <c r="D70" t="s">
        <v>14</v>
      </c>
      <c r="E70" t="s">
        <v>15</v>
      </c>
      <c r="F70" t="s">
        <v>33</v>
      </c>
      <c r="G70" t="s">
        <v>22</v>
      </c>
      <c r="H70" t="s">
        <v>25</v>
      </c>
      <c r="I70">
        <v>622</v>
      </c>
      <c r="J70">
        <v>9</v>
      </c>
      <c r="K70">
        <v>0.02</v>
      </c>
      <c r="L70">
        <v>442</v>
      </c>
      <c r="M70" t="s">
        <v>26</v>
      </c>
      <c r="N70">
        <v>5486.04</v>
      </c>
      <c r="O70" t="str">
        <f>TEXT(SalesData[[#This Row],[Order_Date]],"mmm")</f>
        <v>Mar</v>
      </c>
      <c r="P70">
        <f>YEAR(SalesData[[#This Row],[Order_Date]])</f>
        <v>2024</v>
      </c>
      <c r="Q70" t="str">
        <f>"Q"&amp;ROUNDUP(MONTH(SalesData[[#This Row],[Order_Date]])/3,0)</f>
        <v>Q1</v>
      </c>
      <c r="R70" s="2">
        <f>IFERROR(SalesData[[#This Row],[Profit]]/SalesData[[#This Row],[Sales]],0)</f>
        <v>8.0568132933773726E-2</v>
      </c>
      <c r="S70" s="2">
        <f>SalesData[[#This Row],[Price]]*SalesData[[#This Row],[Quantity]]*SalesData[[#This Row],[Discount]]</f>
        <v>111.96000000000001</v>
      </c>
      <c r="T70" s="2" t="str">
        <f>IF(SalesData[[#This Row],[Sales]]&gt;5000,"High",IF(SalesData[[#This Row],[Sales]]&gt;2000,"Medium","Low"))</f>
        <v>High</v>
      </c>
      <c r="U70" s="2" t="str">
        <f>IF(COUNTIFS(SalesData[Customer_ID],SalesData[[#This Row],[Customer_ID]])&gt;1,"Repeat","New")</f>
        <v>Repeat</v>
      </c>
      <c r="V70" s="2" t="str">
        <f>IF(SalesData[[#This Row],[Sales]]&gt;AVERAGE(SalesData[Sales]),"Above Avg","Below Avg")</f>
        <v>Below Avg</v>
      </c>
      <c r="W70" s="2" t="str">
        <f>IF(SalesData[[#This Row],[Profit]]&gt;0,"Profit","Loss")</f>
        <v>Profit</v>
      </c>
      <c r="X70" s="2">
        <f>RANK(SalesData[[#This Row],[Sales]],SalesData[Sales])</f>
        <v>309</v>
      </c>
    </row>
    <row r="71" spans="1:24" x14ac:dyDescent="0.3">
      <c r="A71">
        <v>70</v>
      </c>
      <c r="B71" s="1">
        <v>45361</v>
      </c>
      <c r="C71">
        <v>1055</v>
      </c>
      <c r="D71" t="s">
        <v>60</v>
      </c>
      <c r="E71" t="s">
        <v>15</v>
      </c>
      <c r="F71" t="s">
        <v>28</v>
      </c>
      <c r="G71" t="s">
        <v>22</v>
      </c>
      <c r="H71" t="s">
        <v>37</v>
      </c>
      <c r="I71">
        <v>209</v>
      </c>
      <c r="J71">
        <v>9</v>
      </c>
      <c r="K71">
        <v>7.0000000000000007E-2</v>
      </c>
      <c r="L71">
        <v>79</v>
      </c>
      <c r="M71" t="s">
        <v>26</v>
      </c>
      <c r="N71">
        <v>1749.33</v>
      </c>
      <c r="O71" t="str">
        <f>TEXT(SalesData[[#This Row],[Order_Date]],"mmm")</f>
        <v>Mar</v>
      </c>
      <c r="P71">
        <f>YEAR(SalesData[[#This Row],[Order_Date]])</f>
        <v>2024</v>
      </c>
      <c r="Q71" t="str">
        <f>"Q"&amp;ROUNDUP(MONTH(SalesData[[#This Row],[Order_Date]])/3,0)</f>
        <v>Q1</v>
      </c>
      <c r="R71" s="2">
        <f>IFERROR(SalesData[[#This Row],[Profit]]/SalesData[[#This Row],[Sales]],0)</f>
        <v>4.5160147027719186E-2</v>
      </c>
      <c r="S71" s="2">
        <f>SalesData[[#This Row],[Price]]*SalesData[[#This Row],[Quantity]]*SalesData[[#This Row],[Discount]]</f>
        <v>131.67000000000002</v>
      </c>
      <c r="T71" s="2" t="str">
        <f>IF(SalesData[[#This Row],[Sales]]&gt;5000,"High",IF(SalesData[[#This Row],[Sales]]&gt;2000,"Medium","Low"))</f>
        <v>Low</v>
      </c>
      <c r="U71" s="2" t="str">
        <f>IF(COUNTIFS(SalesData[Customer_ID],SalesData[[#This Row],[Customer_ID]])&gt;1,"Repeat","New")</f>
        <v>Repeat</v>
      </c>
      <c r="V71" s="2" t="str">
        <f>IF(SalesData[[#This Row],[Sales]]&gt;AVERAGE(SalesData[Sales]),"Above Avg","Below Avg")</f>
        <v>Below Avg</v>
      </c>
      <c r="W71" s="2" t="str">
        <f>IF(SalesData[[#This Row],[Profit]]&gt;0,"Profit","Loss")</f>
        <v>Profit</v>
      </c>
      <c r="X71" s="2">
        <f>RANK(SalesData[[#This Row],[Sales]],SalesData[Sales])</f>
        <v>444</v>
      </c>
    </row>
    <row r="72" spans="1:24" x14ac:dyDescent="0.3">
      <c r="A72">
        <v>71</v>
      </c>
      <c r="B72" s="1">
        <v>45362</v>
      </c>
      <c r="C72">
        <v>1025</v>
      </c>
      <c r="D72" t="s">
        <v>91</v>
      </c>
      <c r="E72" t="s">
        <v>15</v>
      </c>
      <c r="F72" t="s">
        <v>16</v>
      </c>
      <c r="G72" t="s">
        <v>22</v>
      </c>
      <c r="H72" t="s">
        <v>25</v>
      </c>
      <c r="I72">
        <v>3545</v>
      </c>
      <c r="J72">
        <v>6</v>
      </c>
      <c r="K72">
        <v>0.21</v>
      </c>
      <c r="L72">
        <v>706</v>
      </c>
      <c r="M72" t="s">
        <v>26</v>
      </c>
      <c r="N72">
        <v>16803.3</v>
      </c>
      <c r="O72" t="str">
        <f>TEXT(SalesData[[#This Row],[Order_Date]],"mmm")</f>
        <v>Mar</v>
      </c>
      <c r="P72">
        <f>YEAR(SalesData[[#This Row],[Order_Date]])</f>
        <v>2024</v>
      </c>
      <c r="Q72" t="str">
        <f>"Q"&amp;ROUNDUP(MONTH(SalesData[[#This Row],[Order_Date]])/3,0)</f>
        <v>Q1</v>
      </c>
      <c r="R72" s="2">
        <f>IFERROR(SalesData[[#This Row],[Profit]]/SalesData[[#This Row],[Sales]],0)</f>
        <v>4.2015556468074727E-2</v>
      </c>
      <c r="S72" s="2">
        <f>SalesData[[#This Row],[Price]]*SalesData[[#This Row],[Quantity]]*SalesData[[#This Row],[Discount]]</f>
        <v>4466.7</v>
      </c>
      <c r="T72" s="2" t="str">
        <f>IF(SalesData[[#This Row],[Sales]]&gt;5000,"High",IF(SalesData[[#This Row],[Sales]]&gt;2000,"Medium","Low"))</f>
        <v>High</v>
      </c>
      <c r="U72" s="2" t="str">
        <f>IF(COUNTIFS(SalesData[Customer_ID],SalesData[[#This Row],[Customer_ID]])&gt;1,"Repeat","New")</f>
        <v>Repeat</v>
      </c>
      <c r="V72" s="2" t="str">
        <f>IF(SalesData[[#This Row],[Sales]]&gt;AVERAGE(SalesData[Sales]),"Above Avg","Below Avg")</f>
        <v>Above Avg</v>
      </c>
      <c r="W72" s="2" t="str">
        <f>IF(SalesData[[#This Row],[Profit]]&gt;0,"Profit","Loss")</f>
        <v>Profit</v>
      </c>
      <c r="X72" s="2">
        <f>RANK(SalesData[[#This Row],[Sales]],SalesData[Sales])</f>
        <v>107</v>
      </c>
    </row>
    <row r="73" spans="1:24" x14ac:dyDescent="0.3">
      <c r="A73">
        <v>72</v>
      </c>
      <c r="B73" s="1">
        <v>45363</v>
      </c>
      <c r="C73">
        <v>1050</v>
      </c>
      <c r="D73" t="s">
        <v>92</v>
      </c>
      <c r="E73" t="s">
        <v>24</v>
      </c>
      <c r="F73" t="s">
        <v>21</v>
      </c>
      <c r="G73" t="s">
        <v>22</v>
      </c>
      <c r="H73" t="s">
        <v>18</v>
      </c>
      <c r="I73">
        <v>156</v>
      </c>
      <c r="J73">
        <v>9</v>
      </c>
      <c r="K73">
        <v>0.02</v>
      </c>
      <c r="L73">
        <v>56</v>
      </c>
      <c r="M73" t="s">
        <v>31</v>
      </c>
      <c r="N73">
        <v>1375.92</v>
      </c>
      <c r="O73" t="str">
        <f>TEXT(SalesData[[#This Row],[Order_Date]],"mmm")</f>
        <v>Mar</v>
      </c>
      <c r="P73">
        <f>YEAR(SalesData[[#This Row],[Order_Date]])</f>
        <v>2024</v>
      </c>
      <c r="Q73" t="str">
        <f>"Q"&amp;ROUNDUP(MONTH(SalesData[[#This Row],[Order_Date]])/3,0)</f>
        <v>Q1</v>
      </c>
      <c r="R73" s="2">
        <f>IFERROR(SalesData[[#This Row],[Profit]]/SalesData[[#This Row],[Sales]],0)</f>
        <v>4.0700040700040699E-2</v>
      </c>
      <c r="S73" s="2">
        <f>SalesData[[#This Row],[Price]]*SalesData[[#This Row],[Quantity]]*SalesData[[#This Row],[Discount]]</f>
        <v>28.080000000000002</v>
      </c>
      <c r="T73" s="2" t="str">
        <f>IF(SalesData[[#This Row],[Sales]]&gt;5000,"High",IF(SalesData[[#This Row],[Sales]]&gt;2000,"Medium","Low"))</f>
        <v>Low</v>
      </c>
      <c r="U73" s="2" t="str">
        <f>IF(COUNTIFS(SalesData[Customer_ID],SalesData[[#This Row],[Customer_ID]])&gt;1,"Repeat","New")</f>
        <v>Repeat</v>
      </c>
      <c r="V73" s="2" t="str">
        <f>IF(SalesData[[#This Row],[Sales]]&gt;AVERAGE(SalesData[Sales]),"Above Avg","Below Avg")</f>
        <v>Below Avg</v>
      </c>
      <c r="W73" s="2" t="str">
        <f>IF(SalesData[[#This Row],[Profit]]&gt;0,"Profit","Loss")</f>
        <v>Profit</v>
      </c>
      <c r="X73" s="2">
        <f>RANK(SalesData[[#This Row],[Sales]],SalesData[Sales])</f>
        <v>463</v>
      </c>
    </row>
    <row r="74" spans="1:24" x14ac:dyDescent="0.3">
      <c r="A74">
        <v>73</v>
      </c>
      <c r="B74" s="1">
        <v>45364</v>
      </c>
      <c r="C74">
        <v>1084</v>
      </c>
      <c r="D74" t="s">
        <v>42</v>
      </c>
      <c r="E74" t="s">
        <v>15</v>
      </c>
      <c r="F74" t="s">
        <v>28</v>
      </c>
      <c r="G74" t="s">
        <v>22</v>
      </c>
      <c r="H74" t="s">
        <v>37</v>
      </c>
      <c r="I74">
        <v>3923</v>
      </c>
      <c r="J74">
        <v>3</v>
      </c>
      <c r="K74">
        <v>0.24</v>
      </c>
      <c r="L74">
        <v>1141</v>
      </c>
      <c r="M74" t="s">
        <v>19</v>
      </c>
      <c r="N74">
        <v>8944.44</v>
      </c>
      <c r="O74" t="str">
        <f>TEXT(SalesData[[#This Row],[Order_Date]],"mmm")</f>
        <v>Mar</v>
      </c>
      <c r="P74">
        <f>YEAR(SalesData[[#This Row],[Order_Date]])</f>
        <v>2024</v>
      </c>
      <c r="Q74" t="str">
        <f>"Q"&amp;ROUNDUP(MONTH(SalesData[[#This Row],[Order_Date]])/3,0)</f>
        <v>Q1</v>
      </c>
      <c r="R74" s="2">
        <f>IFERROR(SalesData[[#This Row],[Profit]]/SalesData[[#This Row],[Sales]],0)</f>
        <v>0.12756528077777926</v>
      </c>
      <c r="S74" s="2">
        <f>SalesData[[#This Row],[Price]]*SalesData[[#This Row],[Quantity]]*SalesData[[#This Row],[Discount]]</f>
        <v>2824.56</v>
      </c>
      <c r="T74" s="2" t="str">
        <f>IF(SalesData[[#This Row],[Sales]]&gt;5000,"High",IF(SalesData[[#This Row],[Sales]]&gt;2000,"Medium","Low"))</f>
        <v>High</v>
      </c>
      <c r="U74" s="2" t="str">
        <f>IF(COUNTIFS(SalesData[Customer_ID],SalesData[[#This Row],[Customer_ID]])&gt;1,"Repeat","New")</f>
        <v>Repeat</v>
      </c>
      <c r="V74" s="2" t="str">
        <f>IF(SalesData[[#This Row],[Sales]]&gt;AVERAGE(SalesData[Sales]),"Above Avg","Below Avg")</f>
        <v>Below Avg</v>
      </c>
      <c r="W74" s="2" t="str">
        <f>IF(SalesData[[#This Row],[Profit]]&gt;0,"Profit","Loss")</f>
        <v>Profit</v>
      </c>
      <c r="X74" s="2">
        <f>RANK(SalesData[[#This Row],[Sales]],SalesData[Sales])</f>
        <v>232</v>
      </c>
    </row>
    <row r="75" spans="1:24" x14ac:dyDescent="0.3">
      <c r="A75">
        <v>74</v>
      </c>
      <c r="B75" s="1">
        <v>45365</v>
      </c>
      <c r="C75">
        <v>1056</v>
      </c>
      <c r="D75" t="s">
        <v>45</v>
      </c>
      <c r="E75" t="s">
        <v>24</v>
      </c>
      <c r="F75" t="s">
        <v>21</v>
      </c>
      <c r="G75" t="s">
        <v>17</v>
      </c>
      <c r="H75" t="s">
        <v>25</v>
      </c>
      <c r="I75">
        <v>1766</v>
      </c>
      <c r="J75">
        <v>2</v>
      </c>
      <c r="K75">
        <v>0.28999999999999998</v>
      </c>
      <c r="L75">
        <v>620</v>
      </c>
      <c r="M75" t="s">
        <v>26</v>
      </c>
      <c r="N75">
        <v>2507.7199999999998</v>
      </c>
      <c r="O75" t="str">
        <f>TEXT(SalesData[[#This Row],[Order_Date]],"mmm")</f>
        <v>Mar</v>
      </c>
      <c r="P75">
        <f>YEAR(SalesData[[#This Row],[Order_Date]])</f>
        <v>2024</v>
      </c>
      <c r="Q75" t="str">
        <f>"Q"&amp;ROUNDUP(MONTH(SalesData[[#This Row],[Order_Date]])/3,0)</f>
        <v>Q1</v>
      </c>
      <c r="R75" s="2">
        <f>IFERROR(SalesData[[#This Row],[Profit]]/SalesData[[#This Row],[Sales]],0)</f>
        <v>0.24723653358429173</v>
      </c>
      <c r="S75" s="2">
        <f>SalesData[[#This Row],[Price]]*SalesData[[#This Row],[Quantity]]*SalesData[[#This Row],[Discount]]</f>
        <v>1024.28</v>
      </c>
      <c r="T75" s="2" t="str">
        <f>IF(SalesData[[#This Row],[Sales]]&gt;5000,"High",IF(SalesData[[#This Row],[Sales]]&gt;2000,"Medium","Low"))</f>
        <v>Medium</v>
      </c>
      <c r="U75" s="2" t="str">
        <f>IF(COUNTIFS(SalesData[Customer_ID],SalesData[[#This Row],[Customer_ID]])&gt;1,"Repeat","New")</f>
        <v>Repeat</v>
      </c>
      <c r="V75" s="2" t="str">
        <f>IF(SalesData[[#This Row],[Sales]]&gt;AVERAGE(SalesData[Sales]),"Above Avg","Below Avg")</f>
        <v>Below Avg</v>
      </c>
      <c r="W75" s="2" t="str">
        <f>IF(SalesData[[#This Row],[Profit]]&gt;0,"Profit","Loss")</f>
        <v>Profit</v>
      </c>
      <c r="X75" s="2">
        <f>RANK(SalesData[[#This Row],[Sales]],SalesData[Sales])</f>
        <v>410</v>
      </c>
    </row>
    <row r="76" spans="1:24" x14ac:dyDescent="0.3">
      <c r="A76">
        <v>75</v>
      </c>
      <c r="B76" s="1">
        <v>45366</v>
      </c>
      <c r="C76">
        <v>1049</v>
      </c>
      <c r="D76" t="s">
        <v>75</v>
      </c>
      <c r="E76" t="s">
        <v>15</v>
      </c>
      <c r="F76" t="s">
        <v>21</v>
      </c>
      <c r="G76" t="s">
        <v>34</v>
      </c>
      <c r="H76" t="s">
        <v>29</v>
      </c>
      <c r="I76">
        <v>4017</v>
      </c>
      <c r="J76">
        <v>2</v>
      </c>
      <c r="K76">
        <v>0.02</v>
      </c>
      <c r="L76">
        <v>755</v>
      </c>
      <c r="M76" t="s">
        <v>31</v>
      </c>
      <c r="N76">
        <v>7873.32</v>
      </c>
      <c r="O76" t="str">
        <f>TEXT(SalesData[[#This Row],[Order_Date]],"mmm")</f>
        <v>Mar</v>
      </c>
      <c r="P76">
        <f>YEAR(SalesData[[#This Row],[Order_Date]])</f>
        <v>2024</v>
      </c>
      <c r="Q76" t="str">
        <f>"Q"&amp;ROUNDUP(MONTH(SalesData[[#This Row],[Order_Date]])/3,0)</f>
        <v>Q1</v>
      </c>
      <c r="R76" s="2">
        <f>IFERROR(SalesData[[#This Row],[Profit]]/SalesData[[#This Row],[Sales]],0)</f>
        <v>9.58934731472873E-2</v>
      </c>
      <c r="S76" s="2">
        <f>SalesData[[#This Row],[Price]]*SalesData[[#This Row],[Quantity]]*SalesData[[#This Row],[Discount]]</f>
        <v>160.68</v>
      </c>
      <c r="T76" s="2" t="str">
        <f>IF(SalesData[[#This Row],[Sales]]&gt;5000,"High",IF(SalesData[[#This Row],[Sales]]&gt;2000,"Medium","Low"))</f>
        <v>High</v>
      </c>
      <c r="U76" s="2" t="str">
        <f>IF(COUNTIFS(SalesData[Customer_ID],SalesData[[#This Row],[Customer_ID]])&gt;1,"Repeat","New")</f>
        <v>Repeat</v>
      </c>
      <c r="V76" s="2" t="str">
        <f>IF(SalesData[[#This Row],[Sales]]&gt;AVERAGE(SalesData[Sales]),"Above Avg","Below Avg")</f>
        <v>Below Avg</v>
      </c>
      <c r="W76" s="2" t="str">
        <f>IF(SalesData[[#This Row],[Profit]]&gt;0,"Profit","Loss")</f>
        <v>Profit</v>
      </c>
      <c r="X76" s="2">
        <f>RANK(SalesData[[#This Row],[Sales]],SalesData[Sales])</f>
        <v>255</v>
      </c>
    </row>
    <row r="77" spans="1:24" x14ac:dyDescent="0.3">
      <c r="A77">
        <v>76</v>
      </c>
      <c r="B77" s="1">
        <v>45367</v>
      </c>
      <c r="C77">
        <v>1012</v>
      </c>
      <c r="D77" t="s">
        <v>20</v>
      </c>
      <c r="E77" t="s">
        <v>15</v>
      </c>
      <c r="F77" t="s">
        <v>21</v>
      </c>
      <c r="G77" t="s">
        <v>22</v>
      </c>
      <c r="H77" t="s">
        <v>25</v>
      </c>
      <c r="I77">
        <v>1527</v>
      </c>
      <c r="J77">
        <v>7</v>
      </c>
      <c r="K77">
        <v>0.14000000000000001</v>
      </c>
      <c r="L77">
        <v>-113</v>
      </c>
      <c r="M77" t="s">
        <v>31</v>
      </c>
      <c r="N77">
        <v>9192.53999999999</v>
      </c>
      <c r="O77" t="str">
        <f>TEXT(SalesData[[#This Row],[Order_Date]],"mmm")</f>
        <v>Mar</v>
      </c>
      <c r="P77">
        <f>YEAR(SalesData[[#This Row],[Order_Date]])</f>
        <v>2024</v>
      </c>
      <c r="Q77" t="str">
        <f>"Q"&amp;ROUNDUP(MONTH(SalesData[[#This Row],[Order_Date]])/3,0)</f>
        <v>Q1</v>
      </c>
      <c r="R77" s="2">
        <f>IFERROR(SalesData[[#This Row],[Profit]]/SalesData[[#This Row],[Sales]],0)</f>
        <v>-1.2292576371710117E-2</v>
      </c>
      <c r="S77" s="2">
        <f>SalesData[[#This Row],[Price]]*SalesData[[#This Row],[Quantity]]*SalesData[[#This Row],[Discount]]</f>
        <v>1496.46</v>
      </c>
      <c r="T77" s="2" t="str">
        <f>IF(SalesData[[#This Row],[Sales]]&gt;5000,"High",IF(SalesData[[#This Row],[Sales]]&gt;2000,"Medium","Low"))</f>
        <v>High</v>
      </c>
      <c r="U77" s="2" t="str">
        <f>IF(COUNTIFS(SalesData[Customer_ID],SalesData[[#This Row],[Customer_ID]])&gt;1,"Repeat","New")</f>
        <v>Repeat</v>
      </c>
      <c r="V77" s="2" t="str">
        <f>IF(SalesData[[#This Row],[Sales]]&gt;AVERAGE(SalesData[Sales]),"Above Avg","Below Avg")</f>
        <v>Below Avg</v>
      </c>
      <c r="W77" s="2" t="str">
        <f>IF(SalesData[[#This Row],[Profit]]&gt;0,"Profit","Loss")</f>
        <v>Loss</v>
      </c>
      <c r="X77" s="2">
        <f>RANK(SalesData[[#This Row],[Sales]],SalesData[Sales])</f>
        <v>227</v>
      </c>
    </row>
    <row r="78" spans="1:24" x14ac:dyDescent="0.3">
      <c r="A78">
        <v>77</v>
      </c>
      <c r="B78" s="1">
        <v>45368</v>
      </c>
      <c r="C78">
        <v>1018</v>
      </c>
      <c r="D78" t="s">
        <v>93</v>
      </c>
      <c r="E78" t="s">
        <v>15</v>
      </c>
      <c r="F78" t="s">
        <v>21</v>
      </c>
      <c r="G78" t="s">
        <v>34</v>
      </c>
      <c r="H78" t="s">
        <v>37</v>
      </c>
      <c r="I78">
        <v>604</v>
      </c>
      <c r="J78">
        <v>5</v>
      </c>
      <c r="K78">
        <v>0.17</v>
      </c>
      <c r="L78">
        <v>213</v>
      </c>
      <c r="M78" t="s">
        <v>31</v>
      </c>
      <c r="N78">
        <v>2506.6</v>
      </c>
      <c r="O78" t="str">
        <f>TEXT(SalesData[[#This Row],[Order_Date]],"mmm")</f>
        <v>Mar</v>
      </c>
      <c r="P78">
        <f>YEAR(SalesData[[#This Row],[Order_Date]])</f>
        <v>2024</v>
      </c>
      <c r="Q78" t="str">
        <f>"Q"&amp;ROUNDUP(MONTH(SalesData[[#This Row],[Order_Date]])/3,0)</f>
        <v>Q1</v>
      </c>
      <c r="R78" s="2">
        <f>IFERROR(SalesData[[#This Row],[Profit]]/SalesData[[#This Row],[Sales]],0)</f>
        <v>8.497566424638954E-2</v>
      </c>
      <c r="S78" s="2">
        <f>SalesData[[#This Row],[Price]]*SalesData[[#This Row],[Quantity]]*SalesData[[#This Row],[Discount]]</f>
        <v>513.40000000000009</v>
      </c>
      <c r="T78" s="2" t="str">
        <f>IF(SalesData[[#This Row],[Sales]]&gt;5000,"High",IF(SalesData[[#This Row],[Sales]]&gt;2000,"Medium","Low"))</f>
        <v>Medium</v>
      </c>
      <c r="U78" s="2" t="str">
        <f>IF(COUNTIFS(SalesData[Customer_ID],SalesData[[#This Row],[Customer_ID]])&gt;1,"Repeat","New")</f>
        <v>Repeat</v>
      </c>
      <c r="V78" s="2" t="str">
        <f>IF(SalesData[[#This Row],[Sales]]&gt;AVERAGE(SalesData[Sales]),"Above Avg","Below Avg")</f>
        <v>Below Avg</v>
      </c>
      <c r="W78" s="2" t="str">
        <f>IF(SalesData[[#This Row],[Profit]]&gt;0,"Profit","Loss")</f>
        <v>Profit</v>
      </c>
      <c r="X78" s="2">
        <f>RANK(SalesData[[#This Row],[Sales]],SalesData[Sales])</f>
        <v>411</v>
      </c>
    </row>
    <row r="79" spans="1:24" x14ac:dyDescent="0.3">
      <c r="A79">
        <v>78</v>
      </c>
      <c r="B79" s="1">
        <v>45369</v>
      </c>
      <c r="C79">
        <v>1081</v>
      </c>
      <c r="D79" t="s">
        <v>35</v>
      </c>
      <c r="E79" t="s">
        <v>15</v>
      </c>
      <c r="F79" t="s">
        <v>33</v>
      </c>
      <c r="G79" t="s">
        <v>22</v>
      </c>
      <c r="H79" t="s">
        <v>25</v>
      </c>
      <c r="I79">
        <v>3795</v>
      </c>
      <c r="J79">
        <v>4</v>
      </c>
      <c r="K79">
        <v>0.24</v>
      </c>
      <c r="L79">
        <v>842</v>
      </c>
      <c r="M79" t="s">
        <v>19</v>
      </c>
      <c r="N79">
        <v>11536.8</v>
      </c>
      <c r="O79" t="str">
        <f>TEXT(SalesData[[#This Row],[Order_Date]],"mmm")</f>
        <v>Mar</v>
      </c>
      <c r="P79">
        <f>YEAR(SalesData[[#This Row],[Order_Date]])</f>
        <v>2024</v>
      </c>
      <c r="Q79" t="str">
        <f>"Q"&amp;ROUNDUP(MONTH(SalesData[[#This Row],[Order_Date]])/3,0)</f>
        <v>Q1</v>
      </c>
      <c r="R79" s="2">
        <f>IFERROR(SalesData[[#This Row],[Profit]]/SalesData[[#This Row],[Sales]],0)</f>
        <v>7.2983843006726307E-2</v>
      </c>
      <c r="S79" s="2">
        <f>SalesData[[#This Row],[Price]]*SalesData[[#This Row],[Quantity]]*SalesData[[#This Row],[Discount]]</f>
        <v>3643.2</v>
      </c>
      <c r="T79" s="2" t="str">
        <f>IF(SalesData[[#This Row],[Sales]]&gt;5000,"High",IF(SalesData[[#This Row],[Sales]]&gt;2000,"Medium","Low"))</f>
        <v>High</v>
      </c>
      <c r="U79" s="2" t="str">
        <f>IF(COUNTIFS(SalesData[Customer_ID],SalesData[[#This Row],[Customer_ID]])&gt;1,"Repeat","New")</f>
        <v>Repeat</v>
      </c>
      <c r="V79" s="2" t="str">
        <f>IF(SalesData[[#This Row],[Sales]]&gt;AVERAGE(SalesData[Sales]),"Above Avg","Below Avg")</f>
        <v>Above Avg</v>
      </c>
      <c r="W79" s="2" t="str">
        <f>IF(SalesData[[#This Row],[Profit]]&gt;0,"Profit","Loss")</f>
        <v>Profit</v>
      </c>
      <c r="X79" s="2">
        <f>RANK(SalesData[[#This Row],[Sales]],SalesData[Sales])</f>
        <v>181</v>
      </c>
    </row>
    <row r="80" spans="1:24" x14ac:dyDescent="0.3">
      <c r="A80">
        <v>79</v>
      </c>
      <c r="B80" s="1">
        <v>45370</v>
      </c>
      <c r="C80">
        <v>1001</v>
      </c>
      <c r="D80" t="s">
        <v>62</v>
      </c>
      <c r="E80" t="s">
        <v>15</v>
      </c>
      <c r="F80" t="s">
        <v>28</v>
      </c>
      <c r="G80" t="s">
        <v>22</v>
      </c>
      <c r="H80" t="s">
        <v>18</v>
      </c>
      <c r="I80">
        <v>4704</v>
      </c>
      <c r="J80">
        <v>2</v>
      </c>
      <c r="K80">
        <v>0.05</v>
      </c>
      <c r="L80">
        <v>-31</v>
      </c>
      <c r="M80" t="s">
        <v>26</v>
      </c>
      <c r="N80">
        <v>8937.6</v>
      </c>
      <c r="O80" t="str">
        <f>TEXT(SalesData[[#This Row],[Order_Date]],"mmm")</f>
        <v>Mar</v>
      </c>
      <c r="P80">
        <f>YEAR(SalesData[[#This Row],[Order_Date]])</f>
        <v>2024</v>
      </c>
      <c r="Q80" t="str">
        <f>"Q"&amp;ROUNDUP(MONTH(SalesData[[#This Row],[Order_Date]])/3,0)</f>
        <v>Q1</v>
      </c>
      <c r="R80" s="2">
        <f>IFERROR(SalesData[[#This Row],[Profit]]/SalesData[[#This Row],[Sales]],0)</f>
        <v>-3.4684926602219835E-3</v>
      </c>
      <c r="S80" s="2">
        <f>SalesData[[#This Row],[Price]]*SalesData[[#This Row],[Quantity]]*SalesData[[#This Row],[Discount]]</f>
        <v>470.40000000000003</v>
      </c>
      <c r="T80" s="2" t="str">
        <f>IF(SalesData[[#This Row],[Sales]]&gt;5000,"High",IF(SalesData[[#This Row],[Sales]]&gt;2000,"Medium","Low"))</f>
        <v>High</v>
      </c>
      <c r="U80" s="2" t="str">
        <f>IF(COUNTIFS(SalesData[Customer_ID],SalesData[[#This Row],[Customer_ID]])&gt;1,"Repeat","New")</f>
        <v>Repeat</v>
      </c>
      <c r="V80" s="2" t="str">
        <f>IF(SalesData[[#This Row],[Sales]]&gt;AVERAGE(SalesData[Sales]),"Above Avg","Below Avg")</f>
        <v>Below Avg</v>
      </c>
      <c r="W80" s="2" t="str">
        <f>IF(SalesData[[#This Row],[Profit]]&gt;0,"Profit","Loss")</f>
        <v>Loss</v>
      </c>
      <c r="X80" s="2">
        <f>RANK(SalesData[[#This Row],[Sales]],SalesData[Sales])</f>
        <v>233</v>
      </c>
    </row>
    <row r="81" spans="1:24" x14ac:dyDescent="0.3">
      <c r="A81">
        <v>80</v>
      </c>
      <c r="B81" s="1">
        <v>45371</v>
      </c>
      <c r="C81">
        <v>1051</v>
      </c>
      <c r="D81" t="s">
        <v>94</v>
      </c>
      <c r="E81" t="s">
        <v>24</v>
      </c>
      <c r="F81" t="s">
        <v>21</v>
      </c>
      <c r="G81" t="s">
        <v>22</v>
      </c>
      <c r="H81" t="s">
        <v>18</v>
      </c>
      <c r="I81">
        <v>1428</v>
      </c>
      <c r="J81">
        <v>4</v>
      </c>
      <c r="K81">
        <v>0.11</v>
      </c>
      <c r="L81">
        <v>361</v>
      </c>
      <c r="M81" t="s">
        <v>19</v>
      </c>
      <c r="N81">
        <v>5083.68</v>
      </c>
      <c r="O81" t="str">
        <f>TEXT(SalesData[[#This Row],[Order_Date]],"mmm")</f>
        <v>Mar</v>
      </c>
      <c r="P81">
        <f>YEAR(SalesData[[#This Row],[Order_Date]])</f>
        <v>2024</v>
      </c>
      <c r="Q81" t="str">
        <f>"Q"&amp;ROUNDUP(MONTH(SalesData[[#This Row],[Order_Date]])/3,0)</f>
        <v>Q1</v>
      </c>
      <c r="R81" s="2">
        <f>IFERROR(SalesData[[#This Row],[Profit]]/SalesData[[#This Row],[Sales]],0)</f>
        <v>7.10115506876908E-2</v>
      </c>
      <c r="S81" s="2">
        <f>SalesData[[#This Row],[Price]]*SalesData[[#This Row],[Quantity]]*SalesData[[#This Row],[Discount]]</f>
        <v>628.32000000000005</v>
      </c>
      <c r="T81" s="2" t="str">
        <f>IF(SalesData[[#This Row],[Sales]]&gt;5000,"High",IF(SalesData[[#This Row],[Sales]]&gt;2000,"Medium","Low"))</f>
        <v>High</v>
      </c>
      <c r="U81" s="2" t="str">
        <f>IF(COUNTIFS(SalesData[Customer_ID],SalesData[[#This Row],[Customer_ID]])&gt;1,"Repeat","New")</f>
        <v>Repeat</v>
      </c>
      <c r="V81" s="2" t="str">
        <f>IF(SalesData[[#This Row],[Sales]]&gt;AVERAGE(SalesData[Sales]),"Above Avg","Below Avg")</f>
        <v>Below Avg</v>
      </c>
      <c r="W81" s="2" t="str">
        <f>IF(SalesData[[#This Row],[Profit]]&gt;0,"Profit","Loss")</f>
        <v>Profit</v>
      </c>
      <c r="X81" s="2">
        <f>RANK(SalesData[[#This Row],[Sales]],SalesData[Sales])</f>
        <v>320</v>
      </c>
    </row>
    <row r="82" spans="1:24" x14ac:dyDescent="0.3">
      <c r="A82">
        <v>81</v>
      </c>
      <c r="B82" s="1">
        <v>45372</v>
      </c>
      <c r="C82">
        <v>1044</v>
      </c>
      <c r="D82" t="s">
        <v>95</v>
      </c>
      <c r="E82" t="s">
        <v>24</v>
      </c>
      <c r="F82" t="s">
        <v>21</v>
      </c>
      <c r="G82" t="s">
        <v>34</v>
      </c>
      <c r="H82" t="s">
        <v>18</v>
      </c>
      <c r="I82">
        <v>783</v>
      </c>
      <c r="J82">
        <v>6</v>
      </c>
      <c r="K82">
        <v>0.25</v>
      </c>
      <c r="L82">
        <v>-54</v>
      </c>
      <c r="M82" t="s">
        <v>31</v>
      </c>
      <c r="N82">
        <v>3523.5</v>
      </c>
      <c r="O82" t="str">
        <f>TEXT(SalesData[[#This Row],[Order_Date]],"mmm")</f>
        <v>Mar</v>
      </c>
      <c r="P82">
        <f>YEAR(SalesData[[#This Row],[Order_Date]])</f>
        <v>2024</v>
      </c>
      <c r="Q82" t="str">
        <f>"Q"&amp;ROUNDUP(MONTH(SalesData[[#This Row],[Order_Date]])/3,0)</f>
        <v>Q1</v>
      </c>
      <c r="R82" s="2">
        <f>IFERROR(SalesData[[#This Row],[Profit]]/SalesData[[#This Row],[Sales]],0)</f>
        <v>-1.532567049808429E-2</v>
      </c>
      <c r="S82" s="2">
        <f>SalesData[[#This Row],[Price]]*SalesData[[#This Row],[Quantity]]*SalesData[[#This Row],[Discount]]</f>
        <v>1174.5</v>
      </c>
      <c r="T82" s="2" t="str">
        <f>IF(SalesData[[#This Row],[Sales]]&gt;5000,"High",IF(SalesData[[#This Row],[Sales]]&gt;2000,"Medium","Low"))</f>
        <v>Medium</v>
      </c>
      <c r="U82" s="2" t="str">
        <f>IF(COUNTIFS(SalesData[Customer_ID],SalesData[[#This Row],[Customer_ID]])&gt;1,"Repeat","New")</f>
        <v>Repeat</v>
      </c>
      <c r="V82" s="2" t="str">
        <f>IF(SalesData[[#This Row],[Sales]]&gt;AVERAGE(SalesData[Sales]),"Above Avg","Below Avg")</f>
        <v>Below Avg</v>
      </c>
      <c r="W82" s="2" t="str">
        <f>IF(SalesData[[#This Row],[Profit]]&gt;0,"Profit","Loss")</f>
        <v>Loss</v>
      </c>
      <c r="X82" s="2">
        <f>RANK(SalesData[[#This Row],[Sales]],SalesData[Sales])</f>
        <v>376</v>
      </c>
    </row>
    <row r="83" spans="1:24" x14ac:dyDescent="0.3">
      <c r="A83">
        <v>82</v>
      </c>
      <c r="B83" s="1">
        <v>45373</v>
      </c>
      <c r="C83">
        <v>1048</v>
      </c>
      <c r="D83" t="s">
        <v>60</v>
      </c>
      <c r="E83" t="s">
        <v>15</v>
      </c>
      <c r="F83" t="s">
        <v>16</v>
      </c>
      <c r="G83" t="s">
        <v>17</v>
      </c>
      <c r="H83" t="s">
        <v>18</v>
      </c>
      <c r="I83">
        <v>222</v>
      </c>
      <c r="J83">
        <v>6</v>
      </c>
      <c r="K83">
        <v>0.16</v>
      </c>
      <c r="L83">
        <v>9</v>
      </c>
      <c r="M83" t="s">
        <v>19</v>
      </c>
      <c r="N83">
        <v>1118.8799999999901</v>
      </c>
      <c r="O83" t="str">
        <f>TEXT(SalesData[[#This Row],[Order_Date]],"mmm")</f>
        <v>Mar</v>
      </c>
      <c r="P83">
        <f>YEAR(SalesData[[#This Row],[Order_Date]])</f>
        <v>2024</v>
      </c>
      <c r="Q83" t="str">
        <f>"Q"&amp;ROUNDUP(MONTH(SalesData[[#This Row],[Order_Date]])/3,0)</f>
        <v>Q1</v>
      </c>
      <c r="R83" s="2">
        <f>IFERROR(SalesData[[#This Row],[Profit]]/SalesData[[#This Row],[Sales]],0)</f>
        <v>8.043758043758115E-3</v>
      </c>
      <c r="S83" s="2">
        <f>SalesData[[#This Row],[Price]]*SalesData[[#This Row],[Quantity]]*SalesData[[#This Row],[Discount]]</f>
        <v>213.12</v>
      </c>
      <c r="T83" s="2" t="str">
        <f>IF(SalesData[[#This Row],[Sales]]&gt;5000,"High",IF(SalesData[[#This Row],[Sales]]&gt;2000,"Medium","Low"))</f>
        <v>Low</v>
      </c>
      <c r="U83" s="2" t="str">
        <f>IF(COUNTIFS(SalesData[Customer_ID],SalesData[[#This Row],[Customer_ID]])&gt;1,"Repeat","New")</f>
        <v>Repeat</v>
      </c>
      <c r="V83" s="2" t="str">
        <f>IF(SalesData[[#This Row],[Sales]]&gt;AVERAGE(SalesData[Sales]),"Above Avg","Below Avg")</f>
        <v>Below Avg</v>
      </c>
      <c r="W83" s="2" t="str">
        <f>IF(SalesData[[#This Row],[Profit]]&gt;0,"Profit","Loss")</f>
        <v>Profit</v>
      </c>
      <c r="X83" s="2">
        <f>RANK(SalesData[[#This Row],[Sales]],SalesData[Sales])</f>
        <v>474</v>
      </c>
    </row>
    <row r="84" spans="1:24" x14ac:dyDescent="0.3">
      <c r="A84">
        <v>83</v>
      </c>
      <c r="B84" s="1">
        <v>45374</v>
      </c>
      <c r="C84">
        <v>1056</v>
      </c>
      <c r="D84" t="s">
        <v>53</v>
      </c>
      <c r="E84" t="s">
        <v>24</v>
      </c>
      <c r="F84" t="s">
        <v>28</v>
      </c>
      <c r="G84" t="s">
        <v>22</v>
      </c>
      <c r="H84" t="s">
        <v>18</v>
      </c>
      <c r="I84">
        <v>1447</v>
      </c>
      <c r="J84">
        <v>8</v>
      </c>
      <c r="K84">
        <v>0.05</v>
      </c>
      <c r="L84">
        <v>1686</v>
      </c>
      <c r="M84" t="s">
        <v>19</v>
      </c>
      <c r="N84">
        <v>10997.199999999901</v>
      </c>
      <c r="O84" t="str">
        <f>TEXT(SalesData[[#This Row],[Order_Date]],"mmm")</f>
        <v>Mar</v>
      </c>
      <c r="P84">
        <f>YEAR(SalesData[[#This Row],[Order_Date]])</f>
        <v>2024</v>
      </c>
      <c r="Q84" t="str">
        <f>"Q"&amp;ROUNDUP(MONTH(SalesData[[#This Row],[Order_Date]])/3,0)</f>
        <v>Q1</v>
      </c>
      <c r="R84" s="2">
        <f>IFERROR(SalesData[[#This Row],[Profit]]/SalesData[[#This Row],[Sales]],0)</f>
        <v>0.15331175208234962</v>
      </c>
      <c r="S84" s="2">
        <f>SalesData[[#This Row],[Price]]*SalesData[[#This Row],[Quantity]]*SalesData[[#This Row],[Discount]]</f>
        <v>578.80000000000007</v>
      </c>
      <c r="T84" s="2" t="str">
        <f>IF(SalesData[[#This Row],[Sales]]&gt;5000,"High",IF(SalesData[[#This Row],[Sales]]&gt;2000,"Medium","Low"))</f>
        <v>High</v>
      </c>
      <c r="U84" s="2" t="str">
        <f>IF(COUNTIFS(SalesData[Customer_ID],SalesData[[#This Row],[Customer_ID]])&gt;1,"Repeat","New")</f>
        <v>Repeat</v>
      </c>
      <c r="V84" s="2" t="str">
        <f>IF(SalesData[[#This Row],[Sales]]&gt;AVERAGE(SalesData[Sales]),"Above Avg","Below Avg")</f>
        <v>Above Avg</v>
      </c>
      <c r="W84" s="2" t="str">
        <f>IF(SalesData[[#This Row],[Profit]]&gt;0,"Profit","Loss")</f>
        <v>Profit</v>
      </c>
      <c r="X84" s="2">
        <f>RANK(SalesData[[#This Row],[Sales]],SalesData[Sales])</f>
        <v>191</v>
      </c>
    </row>
    <row r="85" spans="1:24" x14ac:dyDescent="0.3">
      <c r="A85">
        <v>84</v>
      </c>
      <c r="B85" s="1">
        <v>45375</v>
      </c>
      <c r="C85">
        <v>1091</v>
      </c>
      <c r="D85" t="s">
        <v>96</v>
      </c>
      <c r="E85" t="s">
        <v>24</v>
      </c>
      <c r="F85" t="s">
        <v>21</v>
      </c>
      <c r="G85" t="s">
        <v>17</v>
      </c>
      <c r="H85" t="s">
        <v>37</v>
      </c>
      <c r="I85">
        <v>4171</v>
      </c>
      <c r="J85">
        <v>6</v>
      </c>
      <c r="K85">
        <v>0.26</v>
      </c>
      <c r="L85">
        <v>1941</v>
      </c>
      <c r="M85" t="s">
        <v>19</v>
      </c>
      <c r="N85">
        <v>18519.2399999999</v>
      </c>
      <c r="O85" t="str">
        <f>TEXT(SalesData[[#This Row],[Order_Date]],"mmm")</f>
        <v>Mar</v>
      </c>
      <c r="P85">
        <f>YEAR(SalesData[[#This Row],[Order_Date]])</f>
        <v>2024</v>
      </c>
      <c r="Q85" t="str">
        <f>"Q"&amp;ROUNDUP(MONTH(SalesData[[#This Row],[Order_Date]])/3,0)</f>
        <v>Q1</v>
      </c>
      <c r="R85" s="2">
        <f>IFERROR(SalesData[[#This Row],[Profit]]/SalesData[[#This Row],[Sales]],0)</f>
        <v>0.10480991660564962</v>
      </c>
      <c r="S85" s="2">
        <f>SalesData[[#This Row],[Price]]*SalesData[[#This Row],[Quantity]]*SalesData[[#This Row],[Discount]]</f>
        <v>6506.76</v>
      </c>
      <c r="T85" s="2" t="str">
        <f>IF(SalesData[[#This Row],[Sales]]&gt;5000,"High",IF(SalesData[[#This Row],[Sales]]&gt;2000,"Medium","Low"))</f>
        <v>High</v>
      </c>
      <c r="U85" s="2" t="str">
        <f>IF(COUNTIFS(SalesData[Customer_ID],SalesData[[#This Row],[Customer_ID]])&gt;1,"Repeat","New")</f>
        <v>Repeat</v>
      </c>
      <c r="V85" s="2" t="str">
        <f>IF(SalesData[[#This Row],[Sales]]&gt;AVERAGE(SalesData[Sales]),"Above Avg","Below Avg")</f>
        <v>Above Avg</v>
      </c>
      <c r="W85" s="2" t="str">
        <f>IF(SalesData[[#This Row],[Profit]]&gt;0,"Profit","Loss")</f>
        <v>Profit</v>
      </c>
      <c r="X85" s="2">
        <f>RANK(SalesData[[#This Row],[Sales]],SalesData[Sales])</f>
        <v>86</v>
      </c>
    </row>
    <row r="86" spans="1:24" x14ac:dyDescent="0.3">
      <c r="A86">
        <v>85</v>
      </c>
      <c r="B86" s="1">
        <v>45376</v>
      </c>
      <c r="C86">
        <v>1049</v>
      </c>
      <c r="D86" t="s">
        <v>97</v>
      </c>
      <c r="E86" t="s">
        <v>24</v>
      </c>
      <c r="F86" t="s">
        <v>33</v>
      </c>
      <c r="G86" t="s">
        <v>22</v>
      </c>
      <c r="H86" t="s">
        <v>25</v>
      </c>
      <c r="I86">
        <v>2001</v>
      </c>
      <c r="J86">
        <v>5</v>
      </c>
      <c r="K86">
        <v>0.28000000000000003</v>
      </c>
      <c r="L86">
        <v>832</v>
      </c>
      <c r="M86" t="s">
        <v>19</v>
      </c>
      <c r="N86">
        <v>7203.5999999999904</v>
      </c>
      <c r="O86" t="str">
        <f>TEXT(SalesData[[#This Row],[Order_Date]],"mmm")</f>
        <v>Mar</v>
      </c>
      <c r="P86">
        <f>YEAR(SalesData[[#This Row],[Order_Date]])</f>
        <v>2024</v>
      </c>
      <c r="Q86" t="str">
        <f>"Q"&amp;ROUNDUP(MONTH(SalesData[[#This Row],[Order_Date]])/3,0)</f>
        <v>Q1</v>
      </c>
      <c r="R86" s="2">
        <f>IFERROR(SalesData[[#This Row],[Profit]]/SalesData[[#This Row],[Sales]],0)</f>
        <v>0.1154978066522296</v>
      </c>
      <c r="S86" s="2">
        <f>SalesData[[#This Row],[Price]]*SalesData[[#This Row],[Quantity]]*SalesData[[#This Row],[Discount]]</f>
        <v>2801.4</v>
      </c>
      <c r="T86" s="2" t="str">
        <f>IF(SalesData[[#This Row],[Sales]]&gt;5000,"High",IF(SalesData[[#This Row],[Sales]]&gt;2000,"Medium","Low"))</f>
        <v>High</v>
      </c>
      <c r="U86" s="2" t="str">
        <f>IF(COUNTIFS(SalesData[Customer_ID],SalesData[[#This Row],[Customer_ID]])&gt;1,"Repeat","New")</f>
        <v>Repeat</v>
      </c>
      <c r="V86" s="2" t="str">
        <f>IF(SalesData[[#This Row],[Sales]]&gt;AVERAGE(SalesData[Sales]),"Above Avg","Below Avg")</f>
        <v>Below Avg</v>
      </c>
      <c r="W86" s="2" t="str">
        <f>IF(SalesData[[#This Row],[Profit]]&gt;0,"Profit","Loss")</f>
        <v>Profit</v>
      </c>
      <c r="X86" s="2">
        <f>RANK(SalesData[[#This Row],[Sales]],SalesData[Sales])</f>
        <v>271</v>
      </c>
    </row>
    <row r="87" spans="1:24" x14ac:dyDescent="0.3">
      <c r="A87">
        <v>86</v>
      </c>
      <c r="B87" s="1">
        <v>45377</v>
      </c>
      <c r="C87">
        <v>1086</v>
      </c>
      <c r="D87" t="s">
        <v>98</v>
      </c>
      <c r="E87" t="s">
        <v>15</v>
      </c>
      <c r="F87" t="s">
        <v>16</v>
      </c>
      <c r="G87" t="s">
        <v>17</v>
      </c>
      <c r="H87" t="s">
        <v>37</v>
      </c>
      <c r="I87">
        <v>1745</v>
      </c>
      <c r="J87">
        <v>7</v>
      </c>
      <c r="K87">
        <v>0.22</v>
      </c>
      <c r="L87">
        <v>1411</v>
      </c>
      <c r="M87" t="s">
        <v>19</v>
      </c>
      <c r="N87">
        <v>9527.7000000000007</v>
      </c>
      <c r="O87" t="str">
        <f>TEXT(SalesData[[#This Row],[Order_Date]],"mmm")</f>
        <v>Mar</v>
      </c>
      <c r="P87">
        <f>YEAR(SalesData[[#This Row],[Order_Date]])</f>
        <v>2024</v>
      </c>
      <c r="Q87" t="str">
        <f>"Q"&amp;ROUNDUP(MONTH(SalesData[[#This Row],[Order_Date]])/3,0)</f>
        <v>Q1</v>
      </c>
      <c r="R87" s="2">
        <f>IFERROR(SalesData[[#This Row],[Profit]]/SalesData[[#This Row],[Sales]],0)</f>
        <v>0.14809450339536298</v>
      </c>
      <c r="S87" s="2">
        <f>SalesData[[#This Row],[Price]]*SalesData[[#This Row],[Quantity]]*SalesData[[#This Row],[Discount]]</f>
        <v>2687.3</v>
      </c>
      <c r="T87" s="2" t="str">
        <f>IF(SalesData[[#This Row],[Sales]]&gt;5000,"High",IF(SalesData[[#This Row],[Sales]]&gt;2000,"Medium","Low"))</f>
        <v>High</v>
      </c>
      <c r="U87" s="2" t="str">
        <f>IF(COUNTIFS(SalesData[Customer_ID],SalesData[[#This Row],[Customer_ID]])&gt;1,"Repeat","New")</f>
        <v>Repeat</v>
      </c>
      <c r="V87" s="2" t="str">
        <f>IF(SalesData[[#This Row],[Sales]]&gt;AVERAGE(SalesData[Sales]),"Above Avg","Below Avg")</f>
        <v>Below Avg</v>
      </c>
      <c r="W87" s="2" t="str">
        <f>IF(SalesData[[#This Row],[Profit]]&gt;0,"Profit","Loss")</f>
        <v>Profit</v>
      </c>
      <c r="X87" s="2">
        <f>RANK(SalesData[[#This Row],[Sales]],SalesData[Sales])</f>
        <v>215</v>
      </c>
    </row>
    <row r="88" spans="1:24" x14ac:dyDescent="0.3">
      <c r="A88">
        <v>87</v>
      </c>
      <c r="B88" s="1">
        <v>45378</v>
      </c>
      <c r="C88">
        <v>1003</v>
      </c>
      <c r="D88" t="s">
        <v>99</v>
      </c>
      <c r="E88" t="s">
        <v>24</v>
      </c>
      <c r="F88" t="s">
        <v>16</v>
      </c>
      <c r="G88" t="s">
        <v>17</v>
      </c>
      <c r="H88" t="s">
        <v>25</v>
      </c>
      <c r="I88">
        <v>2969</v>
      </c>
      <c r="J88">
        <v>3</v>
      </c>
      <c r="K88">
        <v>0.28999999999999998</v>
      </c>
      <c r="L88">
        <v>735</v>
      </c>
      <c r="M88" t="s">
        <v>19</v>
      </c>
      <c r="N88">
        <v>6323.9699999999903</v>
      </c>
      <c r="O88" t="str">
        <f>TEXT(SalesData[[#This Row],[Order_Date]],"mmm")</f>
        <v>Mar</v>
      </c>
      <c r="P88">
        <f>YEAR(SalesData[[#This Row],[Order_Date]])</f>
        <v>2024</v>
      </c>
      <c r="Q88" t="str">
        <f>"Q"&amp;ROUNDUP(MONTH(SalesData[[#This Row],[Order_Date]])/3,0)</f>
        <v>Q1</v>
      </c>
      <c r="R88" s="2">
        <f>IFERROR(SalesData[[#This Row],[Profit]]/SalesData[[#This Row],[Sales]],0)</f>
        <v>0.11622446026783827</v>
      </c>
      <c r="S88" s="2">
        <f>SalesData[[#This Row],[Price]]*SalesData[[#This Row],[Quantity]]*SalesData[[#This Row],[Discount]]</f>
        <v>2583.0299999999997</v>
      </c>
      <c r="T88" s="2" t="str">
        <f>IF(SalesData[[#This Row],[Sales]]&gt;5000,"High",IF(SalesData[[#This Row],[Sales]]&gt;2000,"Medium","Low"))</f>
        <v>High</v>
      </c>
      <c r="U88" s="2" t="str">
        <f>IF(COUNTIFS(SalesData[Customer_ID],SalesData[[#This Row],[Customer_ID]])&gt;1,"Repeat","New")</f>
        <v>Repeat</v>
      </c>
      <c r="V88" s="2" t="str">
        <f>IF(SalesData[[#This Row],[Sales]]&gt;AVERAGE(SalesData[Sales]),"Above Avg","Below Avg")</f>
        <v>Below Avg</v>
      </c>
      <c r="W88" s="2" t="str">
        <f>IF(SalesData[[#This Row],[Profit]]&gt;0,"Profit","Loss")</f>
        <v>Profit</v>
      </c>
      <c r="X88" s="2">
        <f>RANK(SalesData[[#This Row],[Sales]],SalesData[Sales])</f>
        <v>288</v>
      </c>
    </row>
    <row r="89" spans="1:24" x14ac:dyDescent="0.3">
      <c r="A89">
        <v>88</v>
      </c>
      <c r="B89" s="1">
        <v>45379</v>
      </c>
      <c r="C89">
        <v>1067</v>
      </c>
      <c r="D89" t="s">
        <v>68</v>
      </c>
      <c r="E89" t="s">
        <v>24</v>
      </c>
      <c r="F89" t="s">
        <v>16</v>
      </c>
      <c r="G89" t="s">
        <v>22</v>
      </c>
      <c r="H89" t="s">
        <v>18</v>
      </c>
      <c r="I89">
        <v>1478</v>
      </c>
      <c r="J89">
        <v>4</v>
      </c>
      <c r="K89">
        <v>0.28000000000000003</v>
      </c>
      <c r="L89">
        <v>-370</v>
      </c>
      <c r="M89" t="s">
        <v>31</v>
      </c>
      <c r="N89">
        <v>4256.6399999999903</v>
      </c>
      <c r="O89" t="str">
        <f>TEXT(SalesData[[#This Row],[Order_Date]],"mmm")</f>
        <v>Mar</v>
      </c>
      <c r="P89">
        <f>YEAR(SalesData[[#This Row],[Order_Date]])</f>
        <v>2024</v>
      </c>
      <c r="Q89" t="str">
        <f>"Q"&amp;ROUNDUP(MONTH(SalesData[[#This Row],[Order_Date]])/3,0)</f>
        <v>Q1</v>
      </c>
      <c r="R89" s="2">
        <f>IFERROR(SalesData[[#This Row],[Profit]]/SalesData[[#This Row],[Sales]],0)</f>
        <v>-8.6923019094873155E-2</v>
      </c>
      <c r="S89" s="2">
        <f>SalesData[[#This Row],[Price]]*SalesData[[#This Row],[Quantity]]*SalesData[[#This Row],[Discount]]</f>
        <v>1655.3600000000001</v>
      </c>
      <c r="T89" s="2" t="str">
        <f>IF(SalesData[[#This Row],[Sales]]&gt;5000,"High",IF(SalesData[[#This Row],[Sales]]&gt;2000,"Medium","Low"))</f>
        <v>Medium</v>
      </c>
      <c r="U89" s="2" t="str">
        <f>IF(COUNTIFS(SalesData[Customer_ID],SalesData[[#This Row],[Customer_ID]])&gt;1,"Repeat","New")</f>
        <v>Repeat</v>
      </c>
      <c r="V89" s="2" t="str">
        <f>IF(SalesData[[#This Row],[Sales]]&gt;AVERAGE(SalesData[Sales]),"Above Avg","Below Avg")</f>
        <v>Below Avg</v>
      </c>
      <c r="W89" s="2" t="str">
        <f>IF(SalesData[[#This Row],[Profit]]&gt;0,"Profit","Loss")</f>
        <v>Loss</v>
      </c>
      <c r="X89" s="2">
        <f>RANK(SalesData[[#This Row],[Sales]],SalesData[Sales])</f>
        <v>343</v>
      </c>
    </row>
    <row r="90" spans="1:24" x14ac:dyDescent="0.3">
      <c r="A90">
        <v>89</v>
      </c>
      <c r="B90" s="1">
        <v>45380</v>
      </c>
      <c r="C90">
        <v>1011</v>
      </c>
      <c r="D90" t="s">
        <v>20</v>
      </c>
      <c r="E90" t="s">
        <v>24</v>
      </c>
      <c r="F90" t="s">
        <v>16</v>
      </c>
      <c r="G90" t="s">
        <v>17</v>
      </c>
      <c r="H90" t="s">
        <v>29</v>
      </c>
      <c r="I90">
        <v>2972</v>
      </c>
      <c r="J90">
        <v>6</v>
      </c>
      <c r="K90">
        <v>0.04</v>
      </c>
      <c r="L90">
        <v>64</v>
      </c>
      <c r="M90" t="s">
        <v>19</v>
      </c>
      <c r="N90">
        <v>17118.72</v>
      </c>
      <c r="O90" t="str">
        <f>TEXT(SalesData[[#This Row],[Order_Date]],"mmm")</f>
        <v>Mar</v>
      </c>
      <c r="P90">
        <f>YEAR(SalesData[[#This Row],[Order_Date]])</f>
        <v>2024</v>
      </c>
      <c r="Q90" t="str">
        <f>"Q"&amp;ROUNDUP(MONTH(SalesData[[#This Row],[Order_Date]])/3,0)</f>
        <v>Q1</v>
      </c>
      <c r="R90" s="2">
        <f>IFERROR(SalesData[[#This Row],[Profit]]/SalesData[[#This Row],[Sales]],0)</f>
        <v>3.7385972783011813E-3</v>
      </c>
      <c r="S90" s="2">
        <f>SalesData[[#This Row],[Price]]*SalesData[[#This Row],[Quantity]]*SalesData[[#This Row],[Discount]]</f>
        <v>713.28</v>
      </c>
      <c r="T90" s="2" t="str">
        <f>IF(SalesData[[#This Row],[Sales]]&gt;5000,"High",IF(SalesData[[#This Row],[Sales]]&gt;2000,"Medium","Low"))</f>
        <v>High</v>
      </c>
      <c r="U90" s="2" t="str">
        <f>IF(COUNTIFS(SalesData[Customer_ID],SalesData[[#This Row],[Customer_ID]])&gt;1,"Repeat","New")</f>
        <v>Repeat</v>
      </c>
      <c r="V90" s="2" t="str">
        <f>IF(SalesData[[#This Row],[Sales]]&gt;AVERAGE(SalesData[Sales]),"Above Avg","Below Avg")</f>
        <v>Above Avg</v>
      </c>
      <c r="W90" s="2" t="str">
        <f>IF(SalesData[[#This Row],[Profit]]&gt;0,"Profit","Loss")</f>
        <v>Profit</v>
      </c>
      <c r="X90" s="2">
        <f>RANK(SalesData[[#This Row],[Sales]],SalesData[Sales])</f>
        <v>104</v>
      </c>
    </row>
    <row r="91" spans="1:24" x14ac:dyDescent="0.3">
      <c r="A91">
        <v>90</v>
      </c>
      <c r="B91" s="1">
        <v>45381</v>
      </c>
      <c r="C91">
        <v>1021</v>
      </c>
      <c r="D91" t="s">
        <v>100</v>
      </c>
      <c r="E91" t="s">
        <v>15</v>
      </c>
      <c r="F91" t="s">
        <v>21</v>
      </c>
      <c r="G91" t="s">
        <v>34</v>
      </c>
      <c r="H91" t="s">
        <v>29</v>
      </c>
      <c r="I91">
        <v>1596</v>
      </c>
      <c r="J91">
        <v>9</v>
      </c>
      <c r="K91">
        <v>0.12</v>
      </c>
      <c r="L91">
        <v>1887</v>
      </c>
      <c r="M91" t="s">
        <v>19</v>
      </c>
      <c r="N91">
        <v>12640.32</v>
      </c>
      <c r="O91" t="str">
        <f>TEXT(SalesData[[#This Row],[Order_Date]],"mmm")</f>
        <v>Mar</v>
      </c>
      <c r="P91">
        <f>YEAR(SalesData[[#This Row],[Order_Date]])</f>
        <v>2024</v>
      </c>
      <c r="Q91" t="str">
        <f>"Q"&amp;ROUNDUP(MONTH(SalesData[[#This Row],[Order_Date]])/3,0)</f>
        <v>Q1</v>
      </c>
      <c r="R91" s="2">
        <f>IFERROR(SalesData[[#This Row],[Profit]]/SalesData[[#This Row],[Sales]],0)</f>
        <v>0.14928419533682691</v>
      </c>
      <c r="S91" s="2">
        <f>SalesData[[#This Row],[Price]]*SalesData[[#This Row],[Quantity]]*SalesData[[#This Row],[Discount]]</f>
        <v>1723.6799999999998</v>
      </c>
      <c r="T91" s="2" t="str">
        <f>IF(SalesData[[#This Row],[Sales]]&gt;5000,"High",IF(SalesData[[#This Row],[Sales]]&gt;2000,"Medium","Low"))</f>
        <v>High</v>
      </c>
      <c r="U91" s="2" t="str">
        <f>IF(COUNTIFS(SalesData[Customer_ID],SalesData[[#This Row],[Customer_ID]])&gt;1,"Repeat","New")</f>
        <v>Repeat</v>
      </c>
      <c r="V91" s="2" t="str">
        <f>IF(SalesData[[#This Row],[Sales]]&gt;AVERAGE(SalesData[Sales]),"Above Avg","Below Avg")</f>
        <v>Above Avg</v>
      </c>
      <c r="W91" s="2" t="str">
        <f>IF(SalesData[[#This Row],[Profit]]&gt;0,"Profit","Loss")</f>
        <v>Profit</v>
      </c>
      <c r="X91" s="2">
        <f>RANK(SalesData[[#This Row],[Sales]],SalesData[Sales])</f>
        <v>161</v>
      </c>
    </row>
    <row r="92" spans="1:24" x14ac:dyDescent="0.3">
      <c r="A92">
        <v>91</v>
      </c>
      <c r="B92" s="1">
        <v>45382</v>
      </c>
      <c r="C92">
        <v>1089</v>
      </c>
      <c r="D92" t="s">
        <v>101</v>
      </c>
      <c r="E92" t="s">
        <v>24</v>
      </c>
      <c r="F92" t="s">
        <v>33</v>
      </c>
      <c r="G92" t="s">
        <v>17</v>
      </c>
      <c r="H92" t="s">
        <v>29</v>
      </c>
      <c r="I92">
        <v>775</v>
      </c>
      <c r="J92">
        <v>6</v>
      </c>
      <c r="K92">
        <v>0.18</v>
      </c>
      <c r="L92">
        <v>1459</v>
      </c>
      <c r="M92" t="s">
        <v>19</v>
      </c>
      <c r="N92">
        <v>3813</v>
      </c>
      <c r="O92" t="str">
        <f>TEXT(SalesData[[#This Row],[Order_Date]],"mmm")</f>
        <v>Mar</v>
      </c>
      <c r="P92">
        <f>YEAR(SalesData[[#This Row],[Order_Date]])</f>
        <v>2024</v>
      </c>
      <c r="Q92" t="str">
        <f>"Q"&amp;ROUNDUP(MONTH(SalesData[[#This Row],[Order_Date]])/3,0)</f>
        <v>Q1</v>
      </c>
      <c r="R92" s="2">
        <f>IFERROR(SalesData[[#This Row],[Profit]]/SalesData[[#This Row],[Sales]],0)</f>
        <v>0.38263834251245737</v>
      </c>
      <c r="S92" s="2">
        <f>SalesData[[#This Row],[Price]]*SalesData[[#This Row],[Quantity]]*SalesData[[#This Row],[Discount]]</f>
        <v>837</v>
      </c>
      <c r="T92" s="2" t="str">
        <f>IF(SalesData[[#This Row],[Sales]]&gt;5000,"High",IF(SalesData[[#This Row],[Sales]]&gt;2000,"Medium","Low"))</f>
        <v>Medium</v>
      </c>
      <c r="U92" s="2" t="str">
        <f>IF(COUNTIFS(SalesData[Customer_ID],SalesData[[#This Row],[Customer_ID]])&gt;1,"Repeat","New")</f>
        <v>Repeat</v>
      </c>
      <c r="V92" s="2" t="str">
        <f>IF(SalesData[[#This Row],[Sales]]&gt;AVERAGE(SalesData[Sales]),"Above Avg","Below Avg")</f>
        <v>Below Avg</v>
      </c>
      <c r="W92" s="2" t="str">
        <f>IF(SalesData[[#This Row],[Profit]]&gt;0,"Profit","Loss")</f>
        <v>Profit</v>
      </c>
      <c r="X92" s="2">
        <f>RANK(SalesData[[#This Row],[Sales]],SalesData[Sales])</f>
        <v>364</v>
      </c>
    </row>
    <row r="93" spans="1:24" x14ac:dyDescent="0.3">
      <c r="A93">
        <v>92</v>
      </c>
      <c r="B93" s="1">
        <v>45383</v>
      </c>
      <c r="C93">
        <v>1098</v>
      </c>
      <c r="D93" t="s">
        <v>102</v>
      </c>
      <c r="E93" t="s">
        <v>24</v>
      </c>
      <c r="F93" t="s">
        <v>16</v>
      </c>
      <c r="G93" t="s">
        <v>34</v>
      </c>
      <c r="H93" t="s">
        <v>25</v>
      </c>
      <c r="I93">
        <v>2608</v>
      </c>
      <c r="J93">
        <v>4</v>
      </c>
      <c r="K93">
        <v>0.22</v>
      </c>
      <c r="L93">
        <v>1774</v>
      </c>
      <c r="M93" t="s">
        <v>19</v>
      </c>
      <c r="N93">
        <v>8136.96</v>
      </c>
      <c r="O93" t="str">
        <f>TEXT(SalesData[[#This Row],[Order_Date]],"mmm")</f>
        <v>Apr</v>
      </c>
      <c r="P93">
        <f>YEAR(SalesData[[#This Row],[Order_Date]])</f>
        <v>2024</v>
      </c>
      <c r="Q93" t="str">
        <f>"Q"&amp;ROUNDUP(MONTH(SalesData[[#This Row],[Order_Date]])/3,0)</f>
        <v>Q2</v>
      </c>
      <c r="R93" s="2">
        <f>IFERROR(SalesData[[#This Row],[Profit]]/SalesData[[#This Row],[Sales]],0)</f>
        <v>0.21801753971999371</v>
      </c>
      <c r="S93" s="2">
        <f>SalesData[[#This Row],[Price]]*SalesData[[#This Row],[Quantity]]*SalesData[[#This Row],[Discount]]</f>
        <v>2295.04</v>
      </c>
      <c r="T93" s="2" t="str">
        <f>IF(SalesData[[#This Row],[Sales]]&gt;5000,"High",IF(SalesData[[#This Row],[Sales]]&gt;2000,"Medium","Low"))</f>
        <v>High</v>
      </c>
      <c r="U93" s="2" t="str">
        <f>IF(COUNTIFS(SalesData[Customer_ID],SalesData[[#This Row],[Customer_ID]])&gt;1,"Repeat","New")</f>
        <v>Repeat</v>
      </c>
      <c r="V93" s="2" t="str">
        <f>IF(SalesData[[#This Row],[Sales]]&gt;AVERAGE(SalesData[Sales]),"Above Avg","Below Avg")</f>
        <v>Below Avg</v>
      </c>
      <c r="W93" s="2" t="str">
        <f>IF(SalesData[[#This Row],[Profit]]&gt;0,"Profit","Loss")</f>
        <v>Profit</v>
      </c>
      <c r="X93" s="2">
        <f>RANK(SalesData[[#This Row],[Sales]],SalesData[Sales])</f>
        <v>246</v>
      </c>
    </row>
    <row r="94" spans="1:24" x14ac:dyDescent="0.3">
      <c r="A94">
        <v>93</v>
      </c>
      <c r="B94" s="1">
        <v>45384</v>
      </c>
      <c r="C94">
        <v>1003</v>
      </c>
      <c r="D94" t="s">
        <v>103</v>
      </c>
      <c r="E94" t="s">
        <v>24</v>
      </c>
      <c r="F94" t="s">
        <v>33</v>
      </c>
      <c r="G94" t="s">
        <v>17</v>
      </c>
      <c r="H94" t="s">
        <v>25</v>
      </c>
      <c r="I94">
        <v>2396</v>
      </c>
      <c r="J94">
        <v>8</v>
      </c>
      <c r="K94">
        <v>0.16</v>
      </c>
      <c r="L94">
        <v>943</v>
      </c>
      <c r="M94" t="s">
        <v>26</v>
      </c>
      <c r="N94">
        <v>16101.119999999901</v>
      </c>
      <c r="O94" t="str">
        <f>TEXT(SalesData[[#This Row],[Order_Date]],"mmm")</f>
        <v>Apr</v>
      </c>
      <c r="P94">
        <f>YEAR(SalesData[[#This Row],[Order_Date]])</f>
        <v>2024</v>
      </c>
      <c r="Q94" t="str">
        <f>"Q"&amp;ROUNDUP(MONTH(SalesData[[#This Row],[Order_Date]])/3,0)</f>
        <v>Q2</v>
      </c>
      <c r="R94" s="2">
        <f>IFERROR(SalesData[[#This Row],[Profit]]/SalesData[[#This Row],[Sales]],0)</f>
        <v>5.8567354320693578E-2</v>
      </c>
      <c r="S94" s="2">
        <f>SalesData[[#This Row],[Price]]*SalesData[[#This Row],[Quantity]]*SalesData[[#This Row],[Discount]]</f>
        <v>3066.88</v>
      </c>
      <c r="T94" s="2" t="str">
        <f>IF(SalesData[[#This Row],[Sales]]&gt;5000,"High",IF(SalesData[[#This Row],[Sales]]&gt;2000,"Medium","Low"))</f>
        <v>High</v>
      </c>
      <c r="U94" s="2" t="str">
        <f>IF(COUNTIFS(SalesData[Customer_ID],SalesData[[#This Row],[Customer_ID]])&gt;1,"Repeat","New")</f>
        <v>Repeat</v>
      </c>
      <c r="V94" s="2" t="str">
        <f>IF(SalesData[[#This Row],[Sales]]&gt;AVERAGE(SalesData[Sales]),"Above Avg","Below Avg")</f>
        <v>Above Avg</v>
      </c>
      <c r="W94" s="2" t="str">
        <f>IF(SalesData[[#This Row],[Profit]]&gt;0,"Profit","Loss")</f>
        <v>Profit</v>
      </c>
      <c r="X94" s="2">
        <f>RANK(SalesData[[#This Row],[Sales]],SalesData[Sales])</f>
        <v>126</v>
      </c>
    </row>
    <row r="95" spans="1:24" x14ac:dyDescent="0.3">
      <c r="A95">
        <v>94</v>
      </c>
      <c r="B95" s="1">
        <v>45385</v>
      </c>
      <c r="C95">
        <v>1011</v>
      </c>
      <c r="D95" t="s">
        <v>104</v>
      </c>
      <c r="E95" t="s">
        <v>15</v>
      </c>
      <c r="F95" t="s">
        <v>21</v>
      </c>
      <c r="G95" t="s">
        <v>34</v>
      </c>
      <c r="H95" t="s">
        <v>37</v>
      </c>
      <c r="I95">
        <v>662</v>
      </c>
      <c r="J95">
        <v>5</v>
      </c>
      <c r="K95">
        <v>0.19</v>
      </c>
      <c r="L95">
        <v>-45</v>
      </c>
      <c r="M95" t="s">
        <v>31</v>
      </c>
      <c r="N95">
        <v>2681.1</v>
      </c>
      <c r="O95" t="str">
        <f>TEXT(SalesData[[#This Row],[Order_Date]],"mmm")</f>
        <v>Apr</v>
      </c>
      <c r="P95">
        <f>YEAR(SalesData[[#This Row],[Order_Date]])</f>
        <v>2024</v>
      </c>
      <c r="Q95" t="str">
        <f>"Q"&amp;ROUNDUP(MONTH(SalesData[[#This Row],[Order_Date]])/3,0)</f>
        <v>Q2</v>
      </c>
      <c r="R95" s="2">
        <f>IFERROR(SalesData[[#This Row],[Profit]]/SalesData[[#This Row],[Sales]],0)</f>
        <v>-1.6784155756965426E-2</v>
      </c>
      <c r="S95" s="2">
        <f>SalesData[[#This Row],[Price]]*SalesData[[#This Row],[Quantity]]*SalesData[[#This Row],[Discount]]</f>
        <v>628.9</v>
      </c>
      <c r="T95" s="2" t="str">
        <f>IF(SalesData[[#This Row],[Sales]]&gt;5000,"High",IF(SalesData[[#This Row],[Sales]]&gt;2000,"Medium","Low"))</f>
        <v>Medium</v>
      </c>
      <c r="U95" s="2" t="str">
        <f>IF(COUNTIFS(SalesData[Customer_ID],SalesData[[#This Row],[Customer_ID]])&gt;1,"Repeat","New")</f>
        <v>Repeat</v>
      </c>
      <c r="V95" s="2" t="str">
        <f>IF(SalesData[[#This Row],[Sales]]&gt;AVERAGE(SalesData[Sales]),"Above Avg","Below Avg")</f>
        <v>Below Avg</v>
      </c>
      <c r="W95" s="2" t="str">
        <f>IF(SalesData[[#This Row],[Profit]]&gt;0,"Profit","Loss")</f>
        <v>Loss</v>
      </c>
      <c r="X95" s="2">
        <f>RANK(SalesData[[#This Row],[Sales]],SalesData[Sales])</f>
        <v>403</v>
      </c>
    </row>
    <row r="96" spans="1:24" x14ac:dyDescent="0.3">
      <c r="A96">
        <v>95</v>
      </c>
      <c r="B96" s="1">
        <v>45386</v>
      </c>
      <c r="C96">
        <v>1003</v>
      </c>
      <c r="D96" t="s">
        <v>57</v>
      </c>
      <c r="E96" t="s">
        <v>15</v>
      </c>
      <c r="F96" t="s">
        <v>28</v>
      </c>
      <c r="G96" t="s">
        <v>22</v>
      </c>
      <c r="H96" t="s">
        <v>37</v>
      </c>
      <c r="I96">
        <v>4372</v>
      </c>
      <c r="J96">
        <v>5</v>
      </c>
      <c r="K96">
        <v>0.04</v>
      </c>
      <c r="L96">
        <v>1771</v>
      </c>
      <c r="M96" t="s">
        <v>19</v>
      </c>
      <c r="N96">
        <v>20985.599999999999</v>
      </c>
      <c r="O96" t="str">
        <f>TEXT(SalesData[[#This Row],[Order_Date]],"mmm")</f>
        <v>Apr</v>
      </c>
      <c r="P96">
        <f>YEAR(SalesData[[#This Row],[Order_Date]])</f>
        <v>2024</v>
      </c>
      <c r="Q96" t="str">
        <f>"Q"&amp;ROUNDUP(MONTH(SalesData[[#This Row],[Order_Date]])/3,0)</f>
        <v>Q2</v>
      </c>
      <c r="R96" s="2">
        <f>IFERROR(SalesData[[#This Row],[Profit]]/SalesData[[#This Row],[Sales]],0)</f>
        <v>8.4391201585849354E-2</v>
      </c>
      <c r="S96" s="2">
        <f>SalesData[[#This Row],[Price]]*SalesData[[#This Row],[Quantity]]*SalesData[[#This Row],[Discount]]</f>
        <v>874.4</v>
      </c>
      <c r="T96" s="2" t="str">
        <f>IF(SalesData[[#This Row],[Sales]]&gt;5000,"High",IF(SalesData[[#This Row],[Sales]]&gt;2000,"Medium","Low"))</f>
        <v>High</v>
      </c>
      <c r="U96" s="2" t="str">
        <f>IF(COUNTIFS(SalesData[Customer_ID],SalesData[[#This Row],[Customer_ID]])&gt;1,"Repeat","New")</f>
        <v>Repeat</v>
      </c>
      <c r="V96" s="2" t="str">
        <f>IF(SalesData[[#This Row],[Sales]]&gt;AVERAGE(SalesData[Sales]),"Above Avg","Below Avg")</f>
        <v>Above Avg</v>
      </c>
      <c r="W96" s="2" t="str">
        <f>IF(SalesData[[#This Row],[Profit]]&gt;0,"Profit","Loss")</f>
        <v>Profit</v>
      </c>
      <c r="X96" s="2">
        <f>RANK(SalesData[[#This Row],[Sales]],SalesData[Sales])</f>
        <v>77</v>
      </c>
    </row>
    <row r="97" spans="1:24" x14ac:dyDescent="0.3">
      <c r="A97">
        <v>96</v>
      </c>
      <c r="B97" s="1">
        <v>45387</v>
      </c>
      <c r="C97">
        <v>1094</v>
      </c>
      <c r="D97" t="s">
        <v>105</v>
      </c>
      <c r="E97" t="s">
        <v>15</v>
      </c>
      <c r="F97" t="s">
        <v>33</v>
      </c>
      <c r="G97" t="s">
        <v>34</v>
      </c>
      <c r="H97" t="s">
        <v>25</v>
      </c>
      <c r="I97">
        <v>301</v>
      </c>
      <c r="J97">
        <v>8</v>
      </c>
      <c r="K97">
        <v>0.12</v>
      </c>
      <c r="L97">
        <v>1297</v>
      </c>
      <c r="M97" t="s">
        <v>19</v>
      </c>
      <c r="N97">
        <v>2119.04</v>
      </c>
      <c r="O97" t="str">
        <f>TEXT(SalesData[[#This Row],[Order_Date]],"mmm")</f>
        <v>Apr</v>
      </c>
      <c r="P97">
        <f>YEAR(SalesData[[#This Row],[Order_Date]])</f>
        <v>2024</v>
      </c>
      <c r="Q97" t="str">
        <f>"Q"&amp;ROUNDUP(MONTH(SalesData[[#This Row],[Order_Date]])/3,0)</f>
        <v>Q2</v>
      </c>
      <c r="R97" s="2">
        <f>IFERROR(SalesData[[#This Row],[Profit]]/SalesData[[#This Row],[Sales]],0)</f>
        <v>0.61206961643008151</v>
      </c>
      <c r="S97" s="2">
        <f>SalesData[[#This Row],[Price]]*SalesData[[#This Row],[Quantity]]*SalesData[[#This Row],[Discount]]</f>
        <v>288.95999999999998</v>
      </c>
      <c r="T97" s="2" t="str">
        <f>IF(SalesData[[#This Row],[Sales]]&gt;5000,"High",IF(SalesData[[#This Row],[Sales]]&gt;2000,"Medium","Low"))</f>
        <v>Medium</v>
      </c>
      <c r="U97" s="2" t="str">
        <f>IF(COUNTIFS(SalesData[Customer_ID],SalesData[[#This Row],[Customer_ID]])&gt;1,"Repeat","New")</f>
        <v>Repeat</v>
      </c>
      <c r="V97" s="2" t="str">
        <f>IF(SalesData[[#This Row],[Sales]]&gt;AVERAGE(SalesData[Sales]),"Above Avg","Below Avg")</f>
        <v>Below Avg</v>
      </c>
      <c r="W97" s="2" t="str">
        <f>IF(SalesData[[#This Row],[Profit]]&gt;0,"Profit","Loss")</f>
        <v>Profit</v>
      </c>
      <c r="X97" s="2">
        <f>RANK(SalesData[[#This Row],[Sales]],SalesData[Sales])</f>
        <v>421</v>
      </c>
    </row>
    <row r="98" spans="1:24" x14ac:dyDescent="0.3">
      <c r="A98">
        <v>97</v>
      </c>
      <c r="B98" s="1">
        <v>45388</v>
      </c>
      <c r="C98">
        <v>1006</v>
      </c>
      <c r="D98" t="s">
        <v>106</v>
      </c>
      <c r="E98" t="s">
        <v>24</v>
      </c>
      <c r="F98" t="s">
        <v>21</v>
      </c>
      <c r="G98" t="s">
        <v>34</v>
      </c>
      <c r="H98" t="s">
        <v>18</v>
      </c>
      <c r="I98">
        <v>4572</v>
      </c>
      <c r="J98">
        <v>9</v>
      </c>
      <c r="K98">
        <v>0</v>
      </c>
      <c r="L98">
        <v>519</v>
      </c>
      <c r="M98" t="s">
        <v>19</v>
      </c>
      <c r="N98">
        <v>41148</v>
      </c>
      <c r="O98" t="str">
        <f>TEXT(SalesData[[#This Row],[Order_Date]],"mmm")</f>
        <v>Apr</v>
      </c>
      <c r="P98">
        <f>YEAR(SalesData[[#This Row],[Order_Date]])</f>
        <v>2024</v>
      </c>
      <c r="Q98" t="str">
        <f>"Q"&amp;ROUNDUP(MONTH(SalesData[[#This Row],[Order_Date]])/3,0)</f>
        <v>Q2</v>
      </c>
      <c r="R98" s="2">
        <f>IFERROR(SalesData[[#This Row],[Profit]]/SalesData[[#This Row],[Sales]],0)</f>
        <v>1.2613006707494897E-2</v>
      </c>
      <c r="S98" s="2">
        <f>SalesData[[#This Row],[Price]]*SalesData[[#This Row],[Quantity]]*SalesData[[#This Row],[Discount]]</f>
        <v>0</v>
      </c>
      <c r="T98" s="2" t="str">
        <f>IF(SalesData[[#This Row],[Sales]]&gt;5000,"High",IF(SalesData[[#This Row],[Sales]]&gt;2000,"Medium","Low"))</f>
        <v>High</v>
      </c>
      <c r="U98" s="2" t="str">
        <f>IF(COUNTIFS(SalesData[Customer_ID],SalesData[[#This Row],[Customer_ID]])&gt;1,"Repeat","New")</f>
        <v>Repeat</v>
      </c>
      <c r="V98" s="2" t="str">
        <f>IF(SalesData[[#This Row],[Sales]]&gt;AVERAGE(SalesData[Sales]),"Above Avg","Below Avg")</f>
        <v>Above Avg</v>
      </c>
      <c r="W98" s="2" t="str">
        <f>IF(SalesData[[#This Row],[Profit]]&gt;0,"Profit","Loss")</f>
        <v>Profit</v>
      </c>
      <c r="X98" s="2">
        <f>RANK(SalesData[[#This Row],[Sales]],SalesData[Sales])</f>
        <v>1</v>
      </c>
    </row>
    <row r="99" spans="1:24" x14ac:dyDescent="0.3">
      <c r="A99">
        <v>98</v>
      </c>
      <c r="B99" s="1">
        <v>45389</v>
      </c>
      <c r="C99">
        <v>1009</v>
      </c>
      <c r="D99" t="s">
        <v>107</v>
      </c>
      <c r="E99" t="s">
        <v>15</v>
      </c>
      <c r="F99" t="s">
        <v>16</v>
      </c>
      <c r="G99" t="s">
        <v>17</v>
      </c>
      <c r="H99" t="s">
        <v>18</v>
      </c>
      <c r="I99">
        <v>3094</v>
      </c>
      <c r="J99">
        <v>4</v>
      </c>
      <c r="K99">
        <v>0.2</v>
      </c>
      <c r="L99">
        <v>236</v>
      </c>
      <c r="M99" t="s">
        <v>26</v>
      </c>
      <c r="N99">
        <v>9900.7999999999993</v>
      </c>
      <c r="O99" t="str">
        <f>TEXT(SalesData[[#This Row],[Order_Date]],"mmm")</f>
        <v>Apr</v>
      </c>
      <c r="P99">
        <f>YEAR(SalesData[[#This Row],[Order_Date]])</f>
        <v>2024</v>
      </c>
      <c r="Q99" t="str">
        <f>"Q"&amp;ROUNDUP(MONTH(SalesData[[#This Row],[Order_Date]])/3,0)</f>
        <v>Q2</v>
      </c>
      <c r="R99" s="2">
        <f>IFERROR(SalesData[[#This Row],[Profit]]/SalesData[[#This Row],[Sales]],0)</f>
        <v>2.3836457659987074E-2</v>
      </c>
      <c r="S99" s="2">
        <f>SalesData[[#This Row],[Price]]*SalesData[[#This Row],[Quantity]]*SalesData[[#This Row],[Discount]]</f>
        <v>2475.2000000000003</v>
      </c>
      <c r="T99" s="2" t="str">
        <f>IF(SalesData[[#This Row],[Sales]]&gt;5000,"High",IF(SalesData[[#This Row],[Sales]]&gt;2000,"Medium","Low"))</f>
        <v>High</v>
      </c>
      <c r="U99" s="2" t="str">
        <f>IF(COUNTIFS(SalesData[Customer_ID],SalesData[[#This Row],[Customer_ID]])&gt;1,"Repeat","New")</f>
        <v>Repeat</v>
      </c>
      <c r="V99" s="2" t="str">
        <f>IF(SalesData[[#This Row],[Sales]]&gt;AVERAGE(SalesData[Sales]),"Above Avg","Below Avg")</f>
        <v>Below Avg</v>
      </c>
      <c r="W99" s="2" t="str">
        <f>IF(SalesData[[#This Row],[Profit]]&gt;0,"Profit","Loss")</f>
        <v>Profit</v>
      </c>
      <c r="X99" s="2">
        <f>RANK(SalesData[[#This Row],[Sales]],SalesData[Sales])</f>
        <v>203</v>
      </c>
    </row>
    <row r="100" spans="1:24" x14ac:dyDescent="0.3">
      <c r="A100">
        <v>99</v>
      </c>
      <c r="B100" s="1">
        <v>45390</v>
      </c>
      <c r="C100">
        <v>1087</v>
      </c>
      <c r="D100" t="s">
        <v>108</v>
      </c>
      <c r="E100" t="s">
        <v>15</v>
      </c>
      <c r="F100" t="s">
        <v>28</v>
      </c>
      <c r="G100" t="s">
        <v>17</v>
      </c>
      <c r="H100" t="s">
        <v>18</v>
      </c>
      <c r="I100">
        <v>4656</v>
      </c>
      <c r="J100">
        <v>8</v>
      </c>
      <c r="K100">
        <v>0.05</v>
      </c>
      <c r="L100">
        <v>115</v>
      </c>
      <c r="M100" t="s">
        <v>26</v>
      </c>
      <c r="N100">
        <v>35385.599999999999</v>
      </c>
      <c r="O100" t="str">
        <f>TEXT(SalesData[[#This Row],[Order_Date]],"mmm")</f>
        <v>Apr</v>
      </c>
      <c r="P100">
        <f>YEAR(SalesData[[#This Row],[Order_Date]])</f>
        <v>2024</v>
      </c>
      <c r="Q100" t="str">
        <f>"Q"&amp;ROUNDUP(MONTH(SalesData[[#This Row],[Order_Date]])/3,0)</f>
        <v>Q2</v>
      </c>
      <c r="R100" s="2">
        <f>IFERROR(SalesData[[#This Row],[Profit]]/SalesData[[#This Row],[Sales]],0)</f>
        <v>3.2499095677337676E-3</v>
      </c>
      <c r="S100" s="2">
        <f>SalesData[[#This Row],[Price]]*SalesData[[#This Row],[Quantity]]*SalesData[[#This Row],[Discount]]</f>
        <v>1862.4</v>
      </c>
      <c r="T100" s="2" t="str">
        <f>IF(SalesData[[#This Row],[Sales]]&gt;5000,"High",IF(SalesData[[#This Row],[Sales]]&gt;2000,"Medium","Low"))</f>
        <v>High</v>
      </c>
      <c r="U100" s="2" t="str">
        <f>IF(COUNTIFS(SalesData[Customer_ID],SalesData[[#This Row],[Customer_ID]])&gt;1,"Repeat","New")</f>
        <v>Repeat</v>
      </c>
      <c r="V100" s="2" t="str">
        <f>IF(SalesData[[#This Row],[Sales]]&gt;AVERAGE(SalesData[Sales]),"Above Avg","Below Avg")</f>
        <v>Above Avg</v>
      </c>
      <c r="W100" s="2" t="str">
        <f>IF(SalesData[[#This Row],[Profit]]&gt;0,"Profit","Loss")</f>
        <v>Profit</v>
      </c>
      <c r="X100" s="2">
        <f>RANK(SalesData[[#This Row],[Sales]],SalesData[Sales])</f>
        <v>9</v>
      </c>
    </row>
    <row r="101" spans="1:24" x14ac:dyDescent="0.3">
      <c r="A101">
        <v>100</v>
      </c>
      <c r="B101" s="1">
        <v>45391</v>
      </c>
      <c r="C101">
        <v>1014</v>
      </c>
      <c r="D101" t="s">
        <v>109</v>
      </c>
      <c r="E101" t="s">
        <v>24</v>
      </c>
      <c r="F101" t="s">
        <v>33</v>
      </c>
      <c r="G101" t="s">
        <v>22</v>
      </c>
      <c r="H101" t="s">
        <v>29</v>
      </c>
      <c r="I101">
        <v>4815</v>
      </c>
      <c r="J101">
        <v>8</v>
      </c>
      <c r="K101">
        <v>0.12</v>
      </c>
      <c r="L101">
        <v>271</v>
      </c>
      <c r="M101" t="s">
        <v>19</v>
      </c>
      <c r="N101">
        <v>33897.599999999999</v>
      </c>
      <c r="O101" t="str">
        <f>TEXT(SalesData[[#This Row],[Order_Date]],"mmm")</f>
        <v>Apr</v>
      </c>
      <c r="P101">
        <f>YEAR(SalesData[[#This Row],[Order_Date]])</f>
        <v>2024</v>
      </c>
      <c r="Q101" t="str">
        <f>"Q"&amp;ROUNDUP(MONTH(SalesData[[#This Row],[Order_Date]])/3,0)</f>
        <v>Q2</v>
      </c>
      <c r="R101" s="2">
        <f>IFERROR(SalesData[[#This Row],[Profit]]/SalesData[[#This Row],[Sales]],0)</f>
        <v>7.9946662890588126E-3</v>
      </c>
      <c r="S101" s="2">
        <f>SalesData[[#This Row],[Price]]*SalesData[[#This Row],[Quantity]]*SalesData[[#This Row],[Discount]]</f>
        <v>4622.3999999999996</v>
      </c>
      <c r="T101" s="2" t="str">
        <f>IF(SalesData[[#This Row],[Sales]]&gt;5000,"High",IF(SalesData[[#This Row],[Sales]]&gt;2000,"Medium","Low"))</f>
        <v>High</v>
      </c>
      <c r="U101" s="2" t="str">
        <f>IF(COUNTIFS(SalesData[Customer_ID],SalesData[[#This Row],[Customer_ID]])&gt;1,"Repeat","New")</f>
        <v>Repeat</v>
      </c>
      <c r="V101" s="2" t="str">
        <f>IF(SalesData[[#This Row],[Sales]]&gt;AVERAGE(SalesData[Sales]),"Above Avg","Below Avg")</f>
        <v>Above Avg</v>
      </c>
      <c r="W101" s="2" t="str">
        <f>IF(SalesData[[#This Row],[Profit]]&gt;0,"Profit","Loss")</f>
        <v>Profit</v>
      </c>
      <c r="X101" s="2">
        <f>RANK(SalesData[[#This Row],[Sales]],SalesData[Sales])</f>
        <v>14</v>
      </c>
    </row>
    <row r="102" spans="1:24" x14ac:dyDescent="0.3">
      <c r="A102">
        <v>101</v>
      </c>
      <c r="B102" s="1">
        <v>45392</v>
      </c>
      <c r="C102">
        <v>1083</v>
      </c>
      <c r="D102" t="s">
        <v>110</v>
      </c>
      <c r="E102" t="s">
        <v>15</v>
      </c>
      <c r="F102" t="s">
        <v>16</v>
      </c>
      <c r="G102" t="s">
        <v>34</v>
      </c>
      <c r="H102" t="s">
        <v>37</v>
      </c>
      <c r="I102">
        <v>4598</v>
      </c>
      <c r="J102">
        <v>3</v>
      </c>
      <c r="K102">
        <v>0.15</v>
      </c>
      <c r="L102">
        <v>93</v>
      </c>
      <c r="M102" t="s">
        <v>26</v>
      </c>
      <c r="N102">
        <v>11724.9</v>
      </c>
      <c r="O102" t="str">
        <f>TEXT(SalesData[[#This Row],[Order_Date]],"mmm")</f>
        <v>Apr</v>
      </c>
      <c r="P102">
        <f>YEAR(SalesData[[#This Row],[Order_Date]])</f>
        <v>2024</v>
      </c>
      <c r="Q102" t="str">
        <f>"Q"&amp;ROUNDUP(MONTH(SalesData[[#This Row],[Order_Date]])/3,0)</f>
        <v>Q2</v>
      </c>
      <c r="R102" s="2">
        <f>IFERROR(SalesData[[#This Row],[Profit]]/SalesData[[#This Row],[Sales]],0)</f>
        <v>7.9318373717473072E-3</v>
      </c>
      <c r="S102" s="2">
        <f>SalesData[[#This Row],[Price]]*SalesData[[#This Row],[Quantity]]*SalesData[[#This Row],[Discount]]</f>
        <v>2069.1</v>
      </c>
      <c r="T102" s="2" t="str">
        <f>IF(SalesData[[#This Row],[Sales]]&gt;5000,"High",IF(SalesData[[#This Row],[Sales]]&gt;2000,"Medium","Low"))</f>
        <v>High</v>
      </c>
      <c r="U102" s="2" t="str">
        <f>IF(COUNTIFS(SalesData[Customer_ID],SalesData[[#This Row],[Customer_ID]])&gt;1,"Repeat","New")</f>
        <v>Repeat</v>
      </c>
      <c r="V102" s="2" t="str">
        <f>IF(SalesData[[#This Row],[Sales]]&gt;AVERAGE(SalesData[Sales]),"Above Avg","Below Avg")</f>
        <v>Above Avg</v>
      </c>
      <c r="W102" s="2" t="str">
        <f>IF(SalesData[[#This Row],[Profit]]&gt;0,"Profit","Loss")</f>
        <v>Profit</v>
      </c>
      <c r="X102" s="2">
        <f>RANK(SalesData[[#This Row],[Sales]],SalesData[Sales])</f>
        <v>177</v>
      </c>
    </row>
    <row r="103" spans="1:24" x14ac:dyDescent="0.3">
      <c r="A103">
        <v>102</v>
      </c>
      <c r="B103" s="1">
        <v>45393</v>
      </c>
      <c r="C103">
        <v>1070</v>
      </c>
      <c r="D103" t="s">
        <v>111</v>
      </c>
      <c r="E103" t="s">
        <v>15</v>
      </c>
      <c r="F103" t="s">
        <v>21</v>
      </c>
      <c r="G103" t="s">
        <v>17</v>
      </c>
      <c r="H103" t="s">
        <v>29</v>
      </c>
      <c r="I103">
        <v>4505</v>
      </c>
      <c r="J103">
        <v>4</v>
      </c>
      <c r="K103">
        <v>0.2</v>
      </c>
      <c r="L103">
        <v>-150</v>
      </c>
      <c r="M103" t="s">
        <v>19</v>
      </c>
      <c r="N103">
        <v>14416</v>
      </c>
      <c r="O103" t="str">
        <f>TEXT(SalesData[[#This Row],[Order_Date]],"mmm")</f>
        <v>Apr</v>
      </c>
      <c r="P103">
        <f>YEAR(SalesData[[#This Row],[Order_Date]])</f>
        <v>2024</v>
      </c>
      <c r="Q103" t="str">
        <f>"Q"&amp;ROUNDUP(MONTH(SalesData[[#This Row],[Order_Date]])/3,0)</f>
        <v>Q2</v>
      </c>
      <c r="R103" s="2">
        <f>IFERROR(SalesData[[#This Row],[Profit]]/SalesData[[#This Row],[Sales]],0)</f>
        <v>-1.0405105438401776E-2</v>
      </c>
      <c r="S103" s="2">
        <f>SalesData[[#This Row],[Price]]*SalesData[[#This Row],[Quantity]]*SalesData[[#This Row],[Discount]]</f>
        <v>3604</v>
      </c>
      <c r="T103" s="2" t="str">
        <f>IF(SalesData[[#This Row],[Sales]]&gt;5000,"High",IF(SalesData[[#This Row],[Sales]]&gt;2000,"Medium","Low"))</f>
        <v>High</v>
      </c>
      <c r="U103" s="2" t="str">
        <f>IF(COUNTIFS(SalesData[Customer_ID],SalesData[[#This Row],[Customer_ID]])&gt;1,"Repeat","New")</f>
        <v>Repeat</v>
      </c>
      <c r="V103" s="2" t="str">
        <f>IF(SalesData[[#This Row],[Sales]]&gt;AVERAGE(SalesData[Sales]),"Above Avg","Below Avg")</f>
        <v>Above Avg</v>
      </c>
      <c r="W103" s="2" t="str">
        <f>IF(SalesData[[#This Row],[Profit]]&gt;0,"Profit","Loss")</f>
        <v>Loss</v>
      </c>
      <c r="X103" s="2">
        <f>RANK(SalesData[[#This Row],[Sales]],SalesData[Sales])</f>
        <v>144</v>
      </c>
    </row>
    <row r="104" spans="1:24" x14ac:dyDescent="0.3">
      <c r="A104">
        <v>103</v>
      </c>
      <c r="B104" s="1">
        <v>45394</v>
      </c>
      <c r="C104">
        <v>1012</v>
      </c>
      <c r="D104" t="s">
        <v>90</v>
      </c>
      <c r="E104" t="s">
        <v>15</v>
      </c>
      <c r="F104" t="s">
        <v>21</v>
      </c>
      <c r="G104" t="s">
        <v>17</v>
      </c>
      <c r="H104" t="s">
        <v>37</v>
      </c>
      <c r="I104">
        <v>3765</v>
      </c>
      <c r="J104">
        <v>2</v>
      </c>
      <c r="K104">
        <v>0.23</v>
      </c>
      <c r="L104">
        <v>820</v>
      </c>
      <c r="M104" t="s">
        <v>31</v>
      </c>
      <c r="N104">
        <v>5798.1</v>
      </c>
      <c r="O104" t="str">
        <f>TEXT(SalesData[[#This Row],[Order_Date]],"mmm")</f>
        <v>Apr</v>
      </c>
      <c r="P104">
        <f>YEAR(SalesData[[#This Row],[Order_Date]])</f>
        <v>2024</v>
      </c>
      <c r="Q104" t="str">
        <f>"Q"&amp;ROUNDUP(MONTH(SalesData[[#This Row],[Order_Date]])/3,0)</f>
        <v>Q2</v>
      </c>
      <c r="R104" s="2">
        <f>IFERROR(SalesData[[#This Row],[Profit]]/SalesData[[#This Row],[Sales]],0)</f>
        <v>0.14142563943360756</v>
      </c>
      <c r="S104" s="2">
        <f>SalesData[[#This Row],[Price]]*SalesData[[#This Row],[Quantity]]*SalesData[[#This Row],[Discount]]</f>
        <v>1731.9</v>
      </c>
      <c r="T104" s="2" t="str">
        <f>IF(SalesData[[#This Row],[Sales]]&gt;5000,"High",IF(SalesData[[#This Row],[Sales]]&gt;2000,"Medium","Low"))</f>
        <v>High</v>
      </c>
      <c r="U104" s="2" t="str">
        <f>IF(COUNTIFS(SalesData[Customer_ID],SalesData[[#This Row],[Customer_ID]])&gt;1,"Repeat","New")</f>
        <v>Repeat</v>
      </c>
      <c r="V104" s="2" t="str">
        <f>IF(SalesData[[#This Row],[Sales]]&gt;AVERAGE(SalesData[Sales]),"Above Avg","Below Avg")</f>
        <v>Below Avg</v>
      </c>
      <c r="W104" s="2" t="str">
        <f>IF(SalesData[[#This Row],[Profit]]&gt;0,"Profit","Loss")</f>
        <v>Profit</v>
      </c>
      <c r="X104" s="2">
        <f>RANK(SalesData[[#This Row],[Sales]],SalesData[Sales])</f>
        <v>301</v>
      </c>
    </row>
    <row r="105" spans="1:24" x14ac:dyDescent="0.3">
      <c r="A105">
        <v>104</v>
      </c>
      <c r="B105" s="1">
        <v>45395</v>
      </c>
      <c r="C105">
        <v>1054</v>
      </c>
      <c r="D105" t="s">
        <v>112</v>
      </c>
      <c r="E105" t="s">
        <v>24</v>
      </c>
      <c r="F105" t="s">
        <v>21</v>
      </c>
      <c r="G105" t="s">
        <v>34</v>
      </c>
      <c r="H105" t="s">
        <v>18</v>
      </c>
      <c r="I105">
        <v>4195</v>
      </c>
      <c r="J105">
        <v>5</v>
      </c>
      <c r="K105">
        <v>0.21</v>
      </c>
      <c r="L105">
        <v>-479</v>
      </c>
      <c r="M105" t="s">
        <v>26</v>
      </c>
      <c r="N105">
        <v>16570.25</v>
      </c>
      <c r="O105" t="str">
        <f>TEXT(SalesData[[#This Row],[Order_Date]],"mmm")</f>
        <v>Apr</v>
      </c>
      <c r="P105">
        <f>YEAR(SalesData[[#This Row],[Order_Date]])</f>
        <v>2024</v>
      </c>
      <c r="Q105" t="str">
        <f>"Q"&amp;ROUNDUP(MONTH(SalesData[[#This Row],[Order_Date]])/3,0)</f>
        <v>Q2</v>
      </c>
      <c r="R105" s="2">
        <f>IFERROR(SalesData[[#This Row],[Profit]]/SalesData[[#This Row],[Sales]],0)</f>
        <v>-2.8907228315806943E-2</v>
      </c>
      <c r="S105" s="2">
        <f>SalesData[[#This Row],[Price]]*SalesData[[#This Row],[Quantity]]*SalesData[[#This Row],[Discount]]</f>
        <v>4404.75</v>
      </c>
      <c r="T105" s="2" t="str">
        <f>IF(SalesData[[#This Row],[Sales]]&gt;5000,"High",IF(SalesData[[#This Row],[Sales]]&gt;2000,"Medium","Low"))</f>
        <v>High</v>
      </c>
      <c r="U105" s="2" t="str">
        <f>IF(COUNTIFS(SalesData[Customer_ID],SalesData[[#This Row],[Customer_ID]])&gt;1,"Repeat","New")</f>
        <v>Repeat</v>
      </c>
      <c r="V105" s="2" t="str">
        <f>IF(SalesData[[#This Row],[Sales]]&gt;AVERAGE(SalesData[Sales]),"Above Avg","Below Avg")</f>
        <v>Above Avg</v>
      </c>
      <c r="W105" s="2" t="str">
        <f>IF(SalesData[[#This Row],[Profit]]&gt;0,"Profit","Loss")</f>
        <v>Loss</v>
      </c>
      <c r="X105" s="2">
        <f>RANK(SalesData[[#This Row],[Sales]],SalesData[Sales])</f>
        <v>114</v>
      </c>
    </row>
    <row r="106" spans="1:24" x14ac:dyDescent="0.3">
      <c r="A106">
        <v>105</v>
      </c>
      <c r="B106" s="1">
        <v>45396</v>
      </c>
      <c r="C106">
        <v>1027</v>
      </c>
      <c r="D106" t="s">
        <v>86</v>
      </c>
      <c r="E106" t="s">
        <v>24</v>
      </c>
      <c r="F106" t="s">
        <v>16</v>
      </c>
      <c r="G106" t="s">
        <v>34</v>
      </c>
      <c r="H106" t="s">
        <v>18</v>
      </c>
      <c r="I106">
        <v>1628</v>
      </c>
      <c r="J106">
        <v>6</v>
      </c>
      <c r="K106">
        <v>0.17</v>
      </c>
      <c r="L106">
        <v>1224</v>
      </c>
      <c r="M106" t="s">
        <v>26</v>
      </c>
      <c r="N106">
        <v>8107.44</v>
      </c>
      <c r="O106" t="str">
        <f>TEXT(SalesData[[#This Row],[Order_Date]],"mmm")</f>
        <v>Apr</v>
      </c>
      <c r="P106">
        <f>YEAR(SalesData[[#This Row],[Order_Date]])</f>
        <v>2024</v>
      </c>
      <c r="Q106" t="str">
        <f>"Q"&amp;ROUNDUP(MONTH(SalesData[[#This Row],[Order_Date]])/3,0)</f>
        <v>Q2</v>
      </c>
      <c r="R106" s="2">
        <f>IFERROR(SalesData[[#This Row],[Profit]]/SalesData[[#This Row],[Sales]],0)</f>
        <v>0.15097244012906663</v>
      </c>
      <c r="S106" s="2">
        <f>SalesData[[#This Row],[Price]]*SalesData[[#This Row],[Quantity]]*SalesData[[#This Row],[Discount]]</f>
        <v>1660.5600000000002</v>
      </c>
      <c r="T106" s="2" t="str">
        <f>IF(SalesData[[#This Row],[Sales]]&gt;5000,"High",IF(SalesData[[#This Row],[Sales]]&gt;2000,"Medium","Low"))</f>
        <v>High</v>
      </c>
      <c r="U106" s="2" t="str">
        <f>IF(COUNTIFS(SalesData[Customer_ID],SalesData[[#This Row],[Customer_ID]])&gt;1,"Repeat","New")</f>
        <v>Repeat</v>
      </c>
      <c r="V106" s="2" t="str">
        <f>IF(SalesData[[#This Row],[Sales]]&gt;AVERAGE(SalesData[Sales]),"Above Avg","Below Avg")</f>
        <v>Below Avg</v>
      </c>
      <c r="W106" s="2" t="str">
        <f>IF(SalesData[[#This Row],[Profit]]&gt;0,"Profit","Loss")</f>
        <v>Profit</v>
      </c>
      <c r="X106" s="2">
        <f>RANK(SalesData[[#This Row],[Sales]],SalesData[Sales])</f>
        <v>248</v>
      </c>
    </row>
    <row r="107" spans="1:24" x14ac:dyDescent="0.3">
      <c r="A107">
        <v>106</v>
      </c>
      <c r="B107" s="1">
        <v>45397</v>
      </c>
      <c r="C107">
        <v>1038</v>
      </c>
      <c r="D107" t="s">
        <v>113</v>
      </c>
      <c r="E107" t="s">
        <v>24</v>
      </c>
      <c r="F107" t="s">
        <v>33</v>
      </c>
      <c r="G107" t="s">
        <v>22</v>
      </c>
      <c r="H107" t="s">
        <v>18</v>
      </c>
      <c r="I107">
        <v>759</v>
      </c>
      <c r="J107">
        <v>6</v>
      </c>
      <c r="K107">
        <v>0.16</v>
      </c>
      <c r="L107">
        <v>879</v>
      </c>
      <c r="M107" t="s">
        <v>19</v>
      </c>
      <c r="N107">
        <v>3825.3599999999901</v>
      </c>
      <c r="O107" t="str">
        <f>TEXT(SalesData[[#This Row],[Order_Date]],"mmm")</f>
        <v>Apr</v>
      </c>
      <c r="P107">
        <f>YEAR(SalesData[[#This Row],[Order_Date]])</f>
        <v>2024</v>
      </c>
      <c r="Q107" t="str">
        <f>"Q"&amp;ROUNDUP(MONTH(SalesData[[#This Row],[Order_Date]])/3,0)</f>
        <v>Q2</v>
      </c>
      <c r="R107" s="2">
        <f>IFERROR(SalesData[[#This Row],[Profit]]/SalesData[[#This Row],[Sales]],0)</f>
        <v>0.22978229499968689</v>
      </c>
      <c r="S107" s="2">
        <f>SalesData[[#This Row],[Price]]*SalesData[[#This Row],[Quantity]]*SalesData[[#This Row],[Discount]]</f>
        <v>728.64</v>
      </c>
      <c r="T107" s="2" t="str">
        <f>IF(SalesData[[#This Row],[Sales]]&gt;5000,"High",IF(SalesData[[#This Row],[Sales]]&gt;2000,"Medium","Low"))</f>
        <v>Medium</v>
      </c>
      <c r="U107" s="2" t="str">
        <f>IF(COUNTIFS(SalesData[Customer_ID],SalesData[[#This Row],[Customer_ID]])&gt;1,"Repeat","New")</f>
        <v>Repeat</v>
      </c>
      <c r="V107" s="2" t="str">
        <f>IF(SalesData[[#This Row],[Sales]]&gt;AVERAGE(SalesData[Sales]),"Above Avg","Below Avg")</f>
        <v>Below Avg</v>
      </c>
      <c r="W107" s="2" t="str">
        <f>IF(SalesData[[#This Row],[Profit]]&gt;0,"Profit","Loss")</f>
        <v>Profit</v>
      </c>
      <c r="X107" s="2">
        <f>RANK(SalesData[[#This Row],[Sales]],SalesData[Sales])</f>
        <v>363</v>
      </c>
    </row>
    <row r="108" spans="1:24" x14ac:dyDescent="0.3">
      <c r="A108">
        <v>107</v>
      </c>
      <c r="B108" s="1">
        <v>45398</v>
      </c>
      <c r="C108">
        <v>1017</v>
      </c>
      <c r="D108" t="s">
        <v>114</v>
      </c>
      <c r="E108" t="s">
        <v>15</v>
      </c>
      <c r="F108" t="s">
        <v>21</v>
      </c>
      <c r="G108" t="s">
        <v>17</v>
      </c>
      <c r="H108" t="s">
        <v>29</v>
      </c>
      <c r="I108">
        <v>101</v>
      </c>
      <c r="J108">
        <v>2</v>
      </c>
      <c r="K108">
        <v>0.26</v>
      </c>
      <c r="L108">
        <v>1747</v>
      </c>
      <c r="M108" t="s">
        <v>31</v>
      </c>
      <c r="N108">
        <v>149.47999999999999</v>
      </c>
      <c r="O108" t="str">
        <f>TEXT(SalesData[[#This Row],[Order_Date]],"mmm")</f>
        <v>Apr</v>
      </c>
      <c r="P108">
        <f>YEAR(SalesData[[#This Row],[Order_Date]])</f>
        <v>2024</v>
      </c>
      <c r="Q108" t="str">
        <f>"Q"&amp;ROUNDUP(MONTH(SalesData[[#This Row],[Order_Date]])/3,0)</f>
        <v>Q2</v>
      </c>
      <c r="R108" s="2">
        <f>IFERROR(SalesData[[#This Row],[Profit]]/SalesData[[#This Row],[Sales]],0)</f>
        <v>11.687182231736688</v>
      </c>
      <c r="S108" s="2">
        <f>SalesData[[#This Row],[Price]]*SalesData[[#This Row],[Quantity]]*SalesData[[#This Row],[Discount]]</f>
        <v>52.52</v>
      </c>
      <c r="T108" s="2" t="str">
        <f>IF(SalesData[[#This Row],[Sales]]&gt;5000,"High",IF(SalesData[[#This Row],[Sales]]&gt;2000,"Medium","Low"))</f>
        <v>Low</v>
      </c>
      <c r="U108" s="2" t="str">
        <f>IF(COUNTIFS(SalesData[Customer_ID],SalesData[[#This Row],[Customer_ID]])&gt;1,"Repeat","New")</f>
        <v>Repeat</v>
      </c>
      <c r="V108" s="2" t="str">
        <f>IF(SalesData[[#This Row],[Sales]]&gt;AVERAGE(SalesData[Sales]),"Above Avg","Below Avg")</f>
        <v>Below Avg</v>
      </c>
      <c r="W108" s="2" t="str">
        <f>IF(SalesData[[#This Row],[Profit]]&gt;0,"Profit","Loss")</f>
        <v>Profit</v>
      </c>
      <c r="X108" s="2">
        <f>RANK(SalesData[[#This Row],[Sales]],SalesData[Sales])</f>
        <v>500</v>
      </c>
    </row>
    <row r="109" spans="1:24" x14ac:dyDescent="0.3">
      <c r="A109">
        <v>108</v>
      </c>
      <c r="B109" s="1">
        <v>45399</v>
      </c>
      <c r="C109">
        <v>1061</v>
      </c>
      <c r="D109" t="s">
        <v>51</v>
      </c>
      <c r="E109" t="s">
        <v>24</v>
      </c>
      <c r="F109" t="s">
        <v>21</v>
      </c>
      <c r="G109" t="s">
        <v>34</v>
      </c>
      <c r="H109" t="s">
        <v>18</v>
      </c>
      <c r="I109">
        <v>608</v>
      </c>
      <c r="J109">
        <v>4</v>
      </c>
      <c r="K109">
        <v>0.26</v>
      </c>
      <c r="L109">
        <v>1152</v>
      </c>
      <c r="M109" t="s">
        <v>19</v>
      </c>
      <c r="N109">
        <v>1799.68</v>
      </c>
      <c r="O109" t="str">
        <f>TEXT(SalesData[[#This Row],[Order_Date]],"mmm")</f>
        <v>Apr</v>
      </c>
      <c r="P109">
        <f>YEAR(SalesData[[#This Row],[Order_Date]])</f>
        <v>2024</v>
      </c>
      <c r="Q109" t="str">
        <f>"Q"&amp;ROUNDUP(MONTH(SalesData[[#This Row],[Order_Date]])/3,0)</f>
        <v>Q2</v>
      </c>
      <c r="R109" s="2">
        <f>IFERROR(SalesData[[#This Row],[Profit]]/SalesData[[#This Row],[Sales]],0)</f>
        <v>0.64011379800853485</v>
      </c>
      <c r="S109" s="2">
        <f>SalesData[[#This Row],[Price]]*SalesData[[#This Row],[Quantity]]*SalesData[[#This Row],[Discount]]</f>
        <v>632.32000000000005</v>
      </c>
      <c r="T109" s="2" t="str">
        <f>IF(SalesData[[#This Row],[Sales]]&gt;5000,"High",IF(SalesData[[#This Row],[Sales]]&gt;2000,"Medium","Low"))</f>
        <v>Low</v>
      </c>
      <c r="U109" s="2" t="str">
        <f>IF(COUNTIFS(SalesData[Customer_ID],SalesData[[#This Row],[Customer_ID]])&gt;1,"Repeat","New")</f>
        <v>Repeat</v>
      </c>
      <c r="V109" s="2" t="str">
        <f>IF(SalesData[[#This Row],[Sales]]&gt;AVERAGE(SalesData[Sales]),"Above Avg","Below Avg")</f>
        <v>Below Avg</v>
      </c>
      <c r="W109" s="2" t="str">
        <f>IF(SalesData[[#This Row],[Profit]]&gt;0,"Profit","Loss")</f>
        <v>Profit</v>
      </c>
      <c r="X109" s="2">
        <f>RANK(SalesData[[#This Row],[Sales]],SalesData[Sales])</f>
        <v>441</v>
      </c>
    </row>
    <row r="110" spans="1:24" x14ac:dyDescent="0.3">
      <c r="A110">
        <v>109</v>
      </c>
      <c r="B110" s="1">
        <v>45400</v>
      </c>
      <c r="C110">
        <v>1074</v>
      </c>
      <c r="D110" t="s">
        <v>14</v>
      </c>
      <c r="E110" t="s">
        <v>15</v>
      </c>
      <c r="F110" t="s">
        <v>28</v>
      </c>
      <c r="G110" t="s">
        <v>22</v>
      </c>
      <c r="H110" t="s">
        <v>18</v>
      </c>
      <c r="I110">
        <v>239</v>
      </c>
      <c r="J110">
        <v>2</v>
      </c>
      <c r="K110">
        <v>0.02</v>
      </c>
      <c r="L110">
        <v>1292</v>
      </c>
      <c r="M110" t="s">
        <v>31</v>
      </c>
      <c r="N110">
        <v>468.44</v>
      </c>
      <c r="O110" t="str">
        <f>TEXT(SalesData[[#This Row],[Order_Date]],"mmm")</f>
        <v>Apr</v>
      </c>
      <c r="P110">
        <f>YEAR(SalesData[[#This Row],[Order_Date]])</f>
        <v>2024</v>
      </c>
      <c r="Q110" t="str">
        <f>"Q"&amp;ROUNDUP(MONTH(SalesData[[#This Row],[Order_Date]])/3,0)</f>
        <v>Q2</v>
      </c>
      <c r="R110" s="2">
        <f>IFERROR(SalesData[[#This Row],[Profit]]/SalesData[[#This Row],[Sales]],0)</f>
        <v>2.7580906839723336</v>
      </c>
      <c r="S110" s="2">
        <f>SalesData[[#This Row],[Price]]*SalesData[[#This Row],[Quantity]]*SalesData[[#This Row],[Discount]]</f>
        <v>9.56</v>
      </c>
      <c r="T110" s="2" t="str">
        <f>IF(SalesData[[#This Row],[Sales]]&gt;5000,"High",IF(SalesData[[#This Row],[Sales]]&gt;2000,"Medium","Low"))</f>
        <v>Low</v>
      </c>
      <c r="U110" s="2" t="str">
        <f>IF(COUNTIFS(SalesData[Customer_ID],SalesData[[#This Row],[Customer_ID]])&gt;1,"Repeat","New")</f>
        <v>Repeat</v>
      </c>
      <c r="V110" s="2" t="str">
        <f>IF(SalesData[[#This Row],[Sales]]&gt;AVERAGE(SalesData[Sales]),"Above Avg","Below Avg")</f>
        <v>Below Avg</v>
      </c>
      <c r="W110" s="2" t="str">
        <f>IF(SalesData[[#This Row],[Profit]]&gt;0,"Profit","Loss")</f>
        <v>Profit</v>
      </c>
      <c r="X110" s="2">
        <f>RANK(SalesData[[#This Row],[Sales]],SalesData[Sales])</f>
        <v>492</v>
      </c>
    </row>
    <row r="111" spans="1:24" x14ac:dyDescent="0.3">
      <c r="A111">
        <v>110</v>
      </c>
      <c r="B111" s="1">
        <v>45401</v>
      </c>
      <c r="C111">
        <v>1099</v>
      </c>
      <c r="D111" t="s">
        <v>46</v>
      </c>
      <c r="E111" t="s">
        <v>24</v>
      </c>
      <c r="F111" t="s">
        <v>33</v>
      </c>
      <c r="G111" t="s">
        <v>34</v>
      </c>
      <c r="H111" t="s">
        <v>29</v>
      </c>
      <c r="I111">
        <v>3354</v>
      </c>
      <c r="J111">
        <v>5</v>
      </c>
      <c r="K111">
        <v>0.08</v>
      </c>
      <c r="L111">
        <v>556</v>
      </c>
      <c r="M111" t="s">
        <v>26</v>
      </c>
      <c r="N111">
        <v>15428.4</v>
      </c>
      <c r="O111" t="str">
        <f>TEXT(SalesData[[#This Row],[Order_Date]],"mmm")</f>
        <v>Apr</v>
      </c>
      <c r="P111">
        <f>YEAR(SalesData[[#This Row],[Order_Date]])</f>
        <v>2024</v>
      </c>
      <c r="Q111" t="str">
        <f>"Q"&amp;ROUNDUP(MONTH(SalesData[[#This Row],[Order_Date]])/3,0)</f>
        <v>Q2</v>
      </c>
      <c r="R111" s="2">
        <f>IFERROR(SalesData[[#This Row],[Profit]]/SalesData[[#This Row],[Sales]],0)</f>
        <v>3.603743745300874E-2</v>
      </c>
      <c r="S111" s="2">
        <f>SalesData[[#This Row],[Price]]*SalesData[[#This Row],[Quantity]]*SalesData[[#This Row],[Discount]]</f>
        <v>1341.6000000000001</v>
      </c>
      <c r="T111" s="2" t="str">
        <f>IF(SalesData[[#This Row],[Sales]]&gt;5000,"High",IF(SalesData[[#This Row],[Sales]]&gt;2000,"Medium","Low"))</f>
        <v>High</v>
      </c>
      <c r="U111" s="2" t="str">
        <f>IF(COUNTIFS(SalesData[Customer_ID],SalesData[[#This Row],[Customer_ID]])&gt;1,"Repeat","New")</f>
        <v>Repeat</v>
      </c>
      <c r="V111" s="2" t="str">
        <f>IF(SalesData[[#This Row],[Sales]]&gt;AVERAGE(SalesData[Sales]),"Above Avg","Below Avg")</f>
        <v>Above Avg</v>
      </c>
      <c r="W111" s="2" t="str">
        <f>IF(SalesData[[#This Row],[Profit]]&gt;0,"Profit","Loss")</f>
        <v>Profit</v>
      </c>
      <c r="X111" s="2">
        <f>RANK(SalesData[[#This Row],[Sales]],SalesData[Sales])</f>
        <v>136</v>
      </c>
    </row>
    <row r="112" spans="1:24" x14ac:dyDescent="0.3">
      <c r="A112">
        <v>111</v>
      </c>
      <c r="B112" s="1">
        <v>45402</v>
      </c>
      <c r="C112">
        <v>1099</v>
      </c>
      <c r="D112" t="s">
        <v>109</v>
      </c>
      <c r="E112" t="s">
        <v>24</v>
      </c>
      <c r="F112" t="s">
        <v>21</v>
      </c>
      <c r="G112" t="s">
        <v>34</v>
      </c>
      <c r="H112" t="s">
        <v>18</v>
      </c>
      <c r="I112">
        <v>3754</v>
      </c>
      <c r="J112">
        <v>2</v>
      </c>
      <c r="K112">
        <v>0.28000000000000003</v>
      </c>
      <c r="L112">
        <v>853</v>
      </c>
      <c r="M112" t="s">
        <v>26</v>
      </c>
      <c r="N112">
        <v>5405.76</v>
      </c>
      <c r="O112" t="str">
        <f>TEXT(SalesData[[#This Row],[Order_Date]],"mmm")</f>
        <v>Apr</v>
      </c>
      <c r="P112">
        <f>YEAR(SalesData[[#This Row],[Order_Date]])</f>
        <v>2024</v>
      </c>
      <c r="Q112" t="str">
        <f>"Q"&amp;ROUNDUP(MONTH(SalesData[[#This Row],[Order_Date]])/3,0)</f>
        <v>Q2</v>
      </c>
      <c r="R112" s="2">
        <f>IFERROR(SalesData[[#This Row],[Profit]]/SalesData[[#This Row],[Sales]],0)</f>
        <v>0.15779464867104717</v>
      </c>
      <c r="S112" s="2">
        <f>SalesData[[#This Row],[Price]]*SalesData[[#This Row],[Quantity]]*SalesData[[#This Row],[Discount]]</f>
        <v>2102.2400000000002</v>
      </c>
      <c r="T112" s="2" t="str">
        <f>IF(SalesData[[#This Row],[Sales]]&gt;5000,"High",IF(SalesData[[#This Row],[Sales]]&gt;2000,"Medium","Low"))</f>
        <v>High</v>
      </c>
      <c r="U112" s="2" t="str">
        <f>IF(COUNTIFS(SalesData[Customer_ID],SalesData[[#This Row],[Customer_ID]])&gt;1,"Repeat","New")</f>
        <v>Repeat</v>
      </c>
      <c r="V112" s="2" t="str">
        <f>IF(SalesData[[#This Row],[Sales]]&gt;AVERAGE(SalesData[Sales]),"Above Avg","Below Avg")</f>
        <v>Below Avg</v>
      </c>
      <c r="W112" s="2" t="str">
        <f>IF(SalesData[[#This Row],[Profit]]&gt;0,"Profit","Loss")</f>
        <v>Profit</v>
      </c>
      <c r="X112" s="2">
        <f>RANK(SalesData[[#This Row],[Sales]],SalesData[Sales])</f>
        <v>312</v>
      </c>
    </row>
    <row r="113" spans="1:24" x14ac:dyDescent="0.3">
      <c r="A113">
        <v>112</v>
      </c>
      <c r="B113" s="1">
        <v>45403</v>
      </c>
      <c r="C113">
        <v>1065</v>
      </c>
      <c r="D113" t="s">
        <v>115</v>
      </c>
      <c r="E113" t="s">
        <v>15</v>
      </c>
      <c r="F113" t="s">
        <v>33</v>
      </c>
      <c r="G113" t="s">
        <v>22</v>
      </c>
      <c r="H113" t="s">
        <v>18</v>
      </c>
      <c r="I113">
        <v>1685</v>
      </c>
      <c r="J113">
        <v>9</v>
      </c>
      <c r="K113">
        <v>0.18</v>
      </c>
      <c r="L113">
        <v>1489</v>
      </c>
      <c r="M113" t="s">
        <v>31</v>
      </c>
      <c r="N113">
        <v>12435.3</v>
      </c>
      <c r="O113" t="str">
        <f>TEXT(SalesData[[#This Row],[Order_Date]],"mmm")</f>
        <v>Apr</v>
      </c>
      <c r="P113">
        <f>YEAR(SalesData[[#This Row],[Order_Date]])</f>
        <v>2024</v>
      </c>
      <c r="Q113" t="str">
        <f>"Q"&amp;ROUNDUP(MONTH(SalesData[[#This Row],[Order_Date]])/3,0)</f>
        <v>Q2</v>
      </c>
      <c r="R113" s="2">
        <f>IFERROR(SalesData[[#This Row],[Profit]]/SalesData[[#This Row],[Sales]],0)</f>
        <v>0.11973977306538645</v>
      </c>
      <c r="S113" s="2">
        <f>SalesData[[#This Row],[Price]]*SalesData[[#This Row],[Quantity]]*SalesData[[#This Row],[Discount]]</f>
        <v>2729.7</v>
      </c>
      <c r="T113" s="2" t="str">
        <f>IF(SalesData[[#This Row],[Sales]]&gt;5000,"High",IF(SalesData[[#This Row],[Sales]]&gt;2000,"Medium","Low"))</f>
        <v>High</v>
      </c>
      <c r="U113" s="2" t="str">
        <f>IF(COUNTIFS(SalesData[Customer_ID],SalesData[[#This Row],[Customer_ID]])&gt;1,"Repeat","New")</f>
        <v>Repeat</v>
      </c>
      <c r="V113" s="2" t="str">
        <f>IF(SalesData[[#This Row],[Sales]]&gt;AVERAGE(SalesData[Sales]),"Above Avg","Below Avg")</f>
        <v>Above Avg</v>
      </c>
      <c r="W113" s="2" t="str">
        <f>IF(SalesData[[#This Row],[Profit]]&gt;0,"Profit","Loss")</f>
        <v>Profit</v>
      </c>
      <c r="X113" s="2">
        <f>RANK(SalesData[[#This Row],[Sales]],SalesData[Sales])</f>
        <v>163</v>
      </c>
    </row>
    <row r="114" spans="1:24" x14ac:dyDescent="0.3">
      <c r="A114">
        <v>113</v>
      </c>
      <c r="B114" s="1">
        <v>45404</v>
      </c>
      <c r="C114">
        <v>1047</v>
      </c>
      <c r="D114" t="s">
        <v>116</v>
      </c>
      <c r="E114" t="s">
        <v>24</v>
      </c>
      <c r="F114" t="s">
        <v>21</v>
      </c>
      <c r="G114" t="s">
        <v>34</v>
      </c>
      <c r="H114" t="s">
        <v>29</v>
      </c>
      <c r="I114">
        <v>4837</v>
      </c>
      <c r="J114">
        <v>1</v>
      </c>
      <c r="K114">
        <v>0.04</v>
      </c>
      <c r="L114">
        <v>216</v>
      </c>
      <c r="M114" t="s">
        <v>26</v>
      </c>
      <c r="N114">
        <v>4643.5199999999904</v>
      </c>
      <c r="O114" t="str">
        <f>TEXT(SalesData[[#This Row],[Order_Date]],"mmm")</f>
        <v>Apr</v>
      </c>
      <c r="P114">
        <f>YEAR(SalesData[[#This Row],[Order_Date]])</f>
        <v>2024</v>
      </c>
      <c r="Q114" t="str">
        <f>"Q"&amp;ROUNDUP(MONTH(SalesData[[#This Row],[Order_Date]])/3,0)</f>
        <v>Q2</v>
      </c>
      <c r="R114" s="2">
        <f>IFERROR(SalesData[[#This Row],[Profit]]/SalesData[[#This Row],[Sales]],0)</f>
        <v>4.6516435807318679E-2</v>
      </c>
      <c r="S114" s="2">
        <f>SalesData[[#This Row],[Price]]*SalesData[[#This Row],[Quantity]]*SalesData[[#This Row],[Discount]]</f>
        <v>193.48000000000002</v>
      </c>
      <c r="T114" s="2" t="str">
        <f>IF(SalesData[[#This Row],[Sales]]&gt;5000,"High",IF(SalesData[[#This Row],[Sales]]&gt;2000,"Medium","Low"))</f>
        <v>Medium</v>
      </c>
      <c r="U114" s="2" t="str">
        <f>IF(COUNTIFS(SalesData[Customer_ID],SalesData[[#This Row],[Customer_ID]])&gt;1,"Repeat","New")</f>
        <v>Repeat</v>
      </c>
      <c r="V114" s="2" t="str">
        <f>IF(SalesData[[#This Row],[Sales]]&gt;AVERAGE(SalesData[Sales]),"Above Avg","Below Avg")</f>
        <v>Below Avg</v>
      </c>
      <c r="W114" s="2" t="str">
        <f>IF(SalesData[[#This Row],[Profit]]&gt;0,"Profit","Loss")</f>
        <v>Profit</v>
      </c>
      <c r="X114" s="2">
        <f>RANK(SalesData[[#This Row],[Sales]],SalesData[Sales])</f>
        <v>334</v>
      </c>
    </row>
    <row r="115" spans="1:24" x14ac:dyDescent="0.3">
      <c r="A115">
        <v>114</v>
      </c>
      <c r="B115" s="1">
        <v>45405</v>
      </c>
      <c r="C115">
        <v>1016</v>
      </c>
      <c r="D115" t="s">
        <v>117</v>
      </c>
      <c r="E115" t="s">
        <v>24</v>
      </c>
      <c r="F115" t="s">
        <v>16</v>
      </c>
      <c r="G115" t="s">
        <v>17</v>
      </c>
      <c r="H115" t="s">
        <v>25</v>
      </c>
      <c r="I115">
        <v>327</v>
      </c>
      <c r="J115">
        <v>6</v>
      </c>
      <c r="K115">
        <v>0.02</v>
      </c>
      <c r="L115">
        <v>-476</v>
      </c>
      <c r="M115" t="s">
        <v>19</v>
      </c>
      <c r="N115">
        <v>1922.76</v>
      </c>
      <c r="O115" t="str">
        <f>TEXT(SalesData[[#This Row],[Order_Date]],"mmm")</f>
        <v>Apr</v>
      </c>
      <c r="P115">
        <f>YEAR(SalesData[[#This Row],[Order_Date]])</f>
        <v>2024</v>
      </c>
      <c r="Q115" t="str">
        <f>"Q"&amp;ROUNDUP(MONTH(SalesData[[#This Row],[Order_Date]])/3,0)</f>
        <v>Q2</v>
      </c>
      <c r="R115" s="2">
        <f>IFERROR(SalesData[[#This Row],[Profit]]/SalesData[[#This Row],[Sales]],0)</f>
        <v>-0.24756079801951361</v>
      </c>
      <c r="S115" s="2">
        <f>SalesData[[#This Row],[Price]]*SalesData[[#This Row],[Quantity]]*SalesData[[#This Row],[Discount]]</f>
        <v>39.24</v>
      </c>
      <c r="T115" s="2" t="str">
        <f>IF(SalesData[[#This Row],[Sales]]&gt;5000,"High",IF(SalesData[[#This Row],[Sales]]&gt;2000,"Medium","Low"))</f>
        <v>Low</v>
      </c>
      <c r="U115" s="2" t="str">
        <f>IF(COUNTIFS(SalesData[Customer_ID],SalesData[[#This Row],[Customer_ID]])&gt;1,"Repeat","New")</f>
        <v>Repeat</v>
      </c>
      <c r="V115" s="2" t="str">
        <f>IF(SalesData[[#This Row],[Sales]]&gt;AVERAGE(SalesData[Sales]),"Above Avg","Below Avg")</f>
        <v>Below Avg</v>
      </c>
      <c r="W115" s="2" t="str">
        <f>IF(SalesData[[#This Row],[Profit]]&gt;0,"Profit","Loss")</f>
        <v>Loss</v>
      </c>
      <c r="X115" s="2">
        <f>RANK(SalesData[[#This Row],[Sales]],SalesData[Sales])</f>
        <v>435</v>
      </c>
    </row>
    <row r="116" spans="1:24" x14ac:dyDescent="0.3">
      <c r="A116">
        <v>115</v>
      </c>
      <c r="B116" s="1">
        <v>45406</v>
      </c>
      <c r="C116">
        <v>1005</v>
      </c>
      <c r="D116" t="s">
        <v>53</v>
      </c>
      <c r="E116" t="s">
        <v>24</v>
      </c>
      <c r="F116" t="s">
        <v>21</v>
      </c>
      <c r="G116" t="s">
        <v>22</v>
      </c>
      <c r="H116" t="s">
        <v>37</v>
      </c>
      <c r="I116">
        <v>2697</v>
      </c>
      <c r="J116">
        <v>9</v>
      </c>
      <c r="K116">
        <v>0.03</v>
      </c>
      <c r="L116">
        <v>196</v>
      </c>
      <c r="M116" t="s">
        <v>26</v>
      </c>
      <c r="N116">
        <v>23544.809999999899</v>
      </c>
      <c r="O116" t="str">
        <f>TEXT(SalesData[[#This Row],[Order_Date]],"mmm")</f>
        <v>Apr</v>
      </c>
      <c r="P116">
        <f>YEAR(SalesData[[#This Row],[Order_Date]])</f>
        <v>2024</v>
      </c>
      <c r="Q116" t="str">
        <f>"Q"&amp;ROUNDUP(MONTH(SalesData[[#This Row],[Order_Date]])/3,0)</f>
        <v>Q2</v>
      </c>
      <c r="R116" s="2">
        <f>IFERROR(SalesData[[#This Row],[Profit]]/SalesData[[#This Row],[Sales]],0)</f>
        <v>8.324552204923329E-3</v>
      </c>
      <c r="S116" s="2">
        <f>SalesData[[#This Row],[Price]]*SalesData[[#This Row],[Quantity]]*SalesData[[#This Row],[Discount]]</f>
        <v>728.18999999999994</v>
      </c>
      <c r="T116" s="2" t="str">
        <f>IF(SalesData[[#This Row],[Sales]]&gt;5000,"High",IF(SalesData[[#This Row],[Sales]]&gt;2000,"Medium","Low"))</f>
        <v>High</v>
      </c>
      <c r="U116" s="2" t="str">
        <f>IF(COUNTIFS(SalesData[Customer_ID],SalesData[[#This Row],[Customer_ID]])&gt;1,"Repeat","New")</f>
        <v>Repeat</v>
      </c>
      <c r="V116" s="2" t="str">
        <f>IF(SalesData[[#This Row],[Sales]]&gt;AVERAGE(SalesData[Sales]),"Above Avg","Below Avg")</f>
        <v>Above Avg</v>
      </c>
      <c r="W116" s="2" t="str">
        <f>IF(SalesData[[#This Row],[Profit]]&gt;0,"Profit","Loss")</f>
        <v>Profit</v>
      </c>
      <c r="X116" s="2">
        <f>RANK(SalesData[[#This Row],[Sales]],SalesData[Sales])</f>
        <v>56</v>
      </c>
    </row>
    <row r="117" spans="1:24" x14ac:dyDescent="0.3">
      <c r="A117">
        <v>116</v>
      </c>
      <c r="B117" s="1">
        <v>45407</v>
      </c>
      <c r="C117">
        <v>1086</v>
      </c>
      <c r="D117" t="s">
        <v>118</v>
      </c>
      <c r="E117" t="s">
        <v>15</v>
      </c>
      <c r="F117" t="s">
        <v>28</v>
      </c>
      <c r="G117" t="s">
        <v>22</v>
      </c>
      <c r="H117" t="s">
        <v>18</v>
      </c>
      <c r="I117">
        <v>2905</v>
      </c>
      <c r="J117">
        <v>3</v>
      </c>
      <c r="K117">
        <v>0.23</v>
      </c>
      <c r="L117">
        <v>1412</v>
      </c>
      <c r="M117" t="s">
        <v>26</v>
      </c>
      <c r="N117">
        <v>6710.55</v>
      </c>
      <c r="O117" t="str">
        <f>TEXT(SalesData[[#This Row],[Order_Date]],"mmm")</f>
        <v>Apr</v>
      </c>
      <c r="P117">
        <f>YEAR(SalesData[[#This Row],[Order_Date]])</f>
        <v>2024</v>
      </c>
      <c r="Q117" t="str">
        <f>"Q"&amp;ROUNDUP(MONTH(SalesData[[#This Row],[Order_Date]])/3,0)</f>
        <v>Q2</v>
      </c>
      <c r="R117" s="2">
        <f>IFERROR(SalesData[[#This Row],[Profit]]/SalesData[[#This Row],[Sales]],0)</f>
        <v>0.21041494363353228</v>
      </c>
      <c r="S117" s="2">
        <f>SalesData[[#This Row],[Price]]*SalesData[[#This Row],[Quantity]]*SalesData[[#This Row],[Discount]]</f>
        <v>2004.45</v>
      </c>
      <c r="T117" s="2" t="str">
        <f>IF(SalesData[[#This Row],[Sales]]&gt;5000,"High",IF(SalesData[[#This Row],[Sales]]&gt;2000,"Medium","Low"))</f>
        <v>High</v>
      </c>
      <c r="U117" s="2" t="str">
        <f>IF(COUNTIFS(SalesData[Customer_ID],SalesData[[#This Row],[Customer_ID]])&gt;1,"Repeat","New")</f>
        <v>Repeat</v>
      </c>
      <c r="V117" s="2" t="str">
        <f>IF(SalesData[[#This Row],[Sales]]&gt;AVERAGE(SalesData[Sales]),"Above Avg","Below Avg")</f>
        <v>Below Avg</v>
      </c>
      <c r="W117" s="2" t="str">
        <f>IF(SalesData[[#This Row],[Profit]]&gt;0,"Profit","Loss")</f>
        <v>Profit</v>
      </c>
      <c r="X117" s="2">
        <f>RANK(SalesData[[#This Row],[Sales]],SalesData[Sales])</f>
        <v>283</v>
      </c>
    </row>
    <row r="118" spans="1:24" x14ac:dyDescent="0.3">
      <c r="A118">
        <v>117</v>
      </c>
      <c r="B118" s="1">
        <v>45408</v>
      </c>
      <c r="C118">
        <v>1046</v>
      </c>
      <c r="D118" t="s">
        <v>53</v>
      </c>
      <c r="E118" t="s">
        <v>24</v>
      </c>
      <c r="F118" t="s">
        <v>21</v>
      </c>
      <c r="G118" t="s">
        <v>34</v>
      </c>
      <c r="H118" t="s">
        <v>18</v>
      </c>
      <c r="I118">
        <v>4460</v>
      </c>
      <c r="J118">
        <v>9</v>
      </c>
      <c r="K118">
        <v>7.0000000000000007E-2</v>
      </c>
      <c r="L118">
        <v>683</v>
      </c>
      <c r="M118" t="s">
        <v>19</v>
      </c>
      <c r="N118">
        <v>37330.199999999997</v>
      </c>
      <c r="O118" t="str">
        <f>TEXT(SalesData[[#This Row],[Order_Date]],"mmm")</f>
        <v>Apr</v>
      </c>
      <c r="P118">
        <f>YEAR(SalesData[[#This Row],[Order_Date]])</f>
        <v>2024</v>
      </c>
      <c r="Q118" t="str">
        <f>"Q"&amp;ROUNDUP(MONTH(SalesData[[#This Row],[Order_Date]])/3,0)</f>
        <v>Q2</v>
      </c>
      <c r="R118" s="2">
        <f>IFERROR(SalesData[[#This Row],[Profit]]/SalesData[[#This Row],[Sales]],0)</f>
        <v>1.8296178429261029E-2</v>
      </c>
      <c r="S118" s="2">
        <f>SalesData[[#This Row],[Price]]*SalesData[[#This Row],[Quantity]]*SalesData[[#This Row],[Discount]]</f>
        <v>2809.8</v>
      </c>
      <c r="T118" s="2" t="str">
        <f>IF(SalesData[[#This Row],[Sales]]&gt;5000,"High",IF(SalesData[[#This Row],[Sales]]&gt;2000,"Medium","Low"))</f>
        <v>High</v>
      </c>
      <c r="U118" s="2" t="str">
        <f>IF(COUNTIFS(SalesData[Customer_ID],SalesData[[#This Row],[Customer_ID]])&gt;1,"Repeat","New")</f>
        <v>Repeat</v>
      </c>
      <c r="V118" s="2" t="str">
        <f>IF(SalesData[[#This Row],[Sales]]&gt;AVERAGE(SalesData[Sales]),"Above Avg","Below Avg")</f>
        <v>Above Avg</v>
      </c>
      <c r="W118" s="2" t="str">
        <f>IF(SalesData[[#This Row],[Profit]]&gt;0,"Profit","Loss")</f>
        <v>Profit</v>
      </c>
      <c r="X118" s="2">
        <f>RANK(SalesData[[#This Row],[Sales]],SalesData[Sales])</f>
        <v>6</v>
      </c>
    </row>
    <row r="119" spans="1:24" x14ac:dyDescent="0.3">
      <c r="A119">
        <v>118</v>
      </c>
      <c r="B119" s="1">
        <v>45409</v>
      </c>
      <c r="C119">
        <v>1015</v>
      </c>
      <c r="D119" t="s">
        <v>119</v>
      </c>
      <c r="E119" t="s">
        <v>15</v>
      </c>
      <c r="F119" t="s">
        <v>21</v>
      </c>
      <c r="G119" t="s">
        <v>22</v>
      </c>
      <c r="H119" t="s">
        <v>29</v>
      </c>
      <c r="I119">
        <v>3646</v>
      </c>
      <c r="J119">
        <v>2</v>
      </c>
      <c r="K119">
        <v>7.0000000000000007E-2</v>
      </c>
      <c r="L119">
        <v>1559</v>
      </c>
      <c r="M119" t="s">
        <v>31</v>
      </c>
      <c r="N119">
        <v>6781.5599999999904</v>
      </c>
      <c r="O119" t="str">
        <f>TEXT(SalesData[[#This Row],[Order_Date]],"mmm")</f>
        <v>Apr</v>
      </c>
      <c r="P119">
        <f>YEAR(SalesData[[#This Row],[Order_Date]])</f>
        <v>2024</v>
      </c>
      <c r="Q119" t="str">
        <f>"Q"&amp;ROUNDUP(MONTH(SalesData[[#This Row],[Order_Date]])/3,0)</f>
        <v>Q2</v>
      </c>
      <c r="R119" s="2">
        <f>IFERROR(SalesData[[#This Row],[Profit]]/SalesData[[#This Row],[Sales]],0)</f>
        <v>0.22988810834085405</v>
      </c>
      <c r="S119" s="2">
        <f>SalesData[[#This Row],[Price]]*SalesData[[#This Row],[Quantity]]*SalesData[[#This Row],[Discount]]</f>
        <v>510.44000000000005</v>
      </c>
      <c r="T119" s="2" t="str">
        <f>IF(SalesData[[#This Row],[Sales]]&gt;5000,"High",IF(SalesData[[#This Row],[Sales]]&gt;2000,"Medium","Low"))</f>
        <v>High</v>
      </c>
      <c r="U119" s="2" t="str">
        <f>IF(COUNTIFS(SalesData[Customer_ID],SalesData[[#This Row],[Customer_ID]])&gt;1,"Repeat","New")</f>
        <v>Repeat</v>
      </c>
      <c r="V119" s="2" t="str">
        <f>IF(SalesData[[#This Row],[Sales]]&gt;AVERAGE(SalesData[Sales]),"Above Avg","Below Avg")</f>
        <v>Below Avg</v>
      </c>
      <c r="W119" s="2" t="str">
        <f>IF(SalesData[[#This Row],[Profit]]&gt;0,"Profit","Loss")</f>
        <v>Profit</v>
      </c>
      <c r="X119" s="2">
        <f>RANK(SalesData[[#This Row],[Sales]],SalesData[Sales])</f>
        <v>278</v>
      </c>
    </row>
    <row r="120" spans="1:24" x14ac:dyDescent="0.3">
      <c r="A120">
        <v>119</v>
      </c>
      <c r="B120" s="1">
        <v>45410</v>
      </c>
      <c r="C120">
        <v>1059</v>
      </c>
      <c r="D120" t="s">
        <v>82</v>
      </c>
      <c r="E120" t="s">
        <v>24</v>
      </c>
      <c r="F120" t="s">
        <v>28</v>
      </c>
      <c r="G120" t="s">
        <v>34</v>
      </c>
      <c r="H120" t="s">
        <v>25</v>
      </c>
      <c r="I120">
        <v>3772</v>
      </c>
      <c r="J120">
        <v>2</v>
      </c>
      <c r="K120">
        <v>0.04</v>
      </c>
      <c r="L120">
        <v>189</v>
      </c>
      <c r="M120" t="s">
        <v>26</v>
      </c>
      <c r="N120">
        <v>7242.24</v>
      </c>
      <c r="O120" t="str">
        <f>TEXT(SalesData[[#This Row],[Order_Date]],"mmm")</f>
        <v>Apr</v>
      </c>
      <c r="P120">
        <f>YEAR(SalesData[[#This Row],[Order_Date]])</f>
        <v>2024</v>
      </c>
      <c r="Q120" t="str">
        <f>"Q"&amp;ROUNDUP(MONTH(SalesData[[#This Row],[Order_Date]])/3,0)</f>
        <v>Q2</v>
      </c>
      <c r="R120" s="2">
        <f>IFERROR(SalesData[[#This Row],[Profit]]/SalesData[[#This Row],[Sales]],0)</f>
        <v>2.6096898197242844E-2</v>
      </c>
      <c r="S120" s="2">
        <f>SalesData[[#This Row],[Price]]*SalesData[[#This Row],[Quantity]]*SalesData[[#This Row],[Discount]]</f>
        <v>301.76</v>
      </c>
      <c r="T120" s="2" t="str">
        <f>IF(SalesData[[#This Row],[Sales]]&gt;5000,"High",IF(SalesData[[#This Row],[Sales]]&gt;2000,"Medium","Low"))</f>
        <v>High</v>
      </c>
      <c r="U120" s="2" t="str">
        <f>IF(COUNTIFS(SalesData[Customer_ID],SalesData[[#This Row],[Customer_ID]])&gt;1,"Repeat","New")</f>
        <v>Repeat</v>
      </c>
      <c r="V120" s="2" t="str">
        <f>IF(SalesData[[#This Row],[Sales]]&gt;AVERAGE(SalesData[Sales]),"Above Avg","Below Avg")</f>
        <v>Below Avg</v>
      </c>
      <c r="W120" s="2" t="str">
        <f>IF(SalesData[[#This Row],[Profit]]&gt;0,"Profit","Loss")</f>
        <v>Profit</v>
      </c>
      <c r="X120" s="2">
        <f>RANK(SalesData[[#This Row],[Sales]],SalesData[Sales])</f>
        <v>270</v>
      </c>
    </row>
    <row r="121" spans="1:24" x14ac:dyDescent="0.3">
      <c r="A121">
        <v>120</v>
      </c>
      <c r="B121" s="1">
        <v>45411</v>
      </c>
      <c r="C121">
        <v>1040</v>
      </c>
      <c r="D121" t="s">
        <v>104</v>
      </c>
      <c r="E121" t="s">
        <v>24</v>
      </c>
      <c r="F121" t="s">
        <v>21</v>
      </c>
      <c r="G121" t="s">
        <v>22</v>
      </c>
      <c r="H121" t="s">
        <v>29</v>
      </c>
      <c r="I121">
        <v>4990</v>
      </c>
      <c r="J121">
        <v>2</v>
      </c>
      <c r="K121">
        <v>0.18</v>
      </c>
      <c r="L121">
        <v>829</v>
      </c>
      <c r="M121" t="s">
        <v>19</v>
      </c>
      <c r="N121">
        <v>8183.6</v>
      </c>
      <c r="O121" t="str">
        <f>TEXT(SalesData[[#This Row],[Order_Date]],"mmm")</f>
        <v>Apr</v>
      </c>
      <c r="P121">
        <f>YEAR(SalesData[[#This Row],[Order_Date]])</f>
        <v>2024</v>
      </c>
      <c r="Q121" t="str">
        <f>"Q"&amp;ROUNDUP(MONTH(SalesData[[#This Row],[Order_Date]])/3,0)</f>
        <v>Q2</v>
      </c>
      <c r="R121" s="2">
        <f>IFERROR(SalesData[[#This Row],[Profit]]/SalesData[[#This Row],[Sales]],0)</f>
        <v>0.10130016129820617</v>
      </c>
      <c r="S121" s="2">
        <f>SalesData[[#This Row],[Price]]*SalesData[[#This Row],[Quantity]]*SalesData[[#This Row],[Discount]]</f>
        <v>1796.3999999999999</v>
      </c>
      <c r="T121" s="2" t="str">
        <f>IF(SalesData[[#This Row],[Sales]]&gt;5000,"High",IF(SalesData[[#This Row],[Sales]]&gt;2000,"Medium","Low"))</f>
        <v>High</v>
      </c>
      <c r="U121" s="2" t="str">
        <f>IF(COUNTIFS(SalesData[Customer_ID],SalesData[[#This Row],[Customer_ID]])&gt;1,"Repeat","New")</f>
        <v>Repeat</v>
      </c>
      <c r="V121" s="2" t="str">
        <f>IF(SalesData[[#This Row],[Sales]]&gt;AVERAGE(SalesData[Sales]),"Above Avg","Below Avg")</f>
        <v>Below Avg</v>
      </c>
      <c r="W121" s="2" t="str">
        <f>IF(SalesData[[#This Row],[Profit]]&gt;0,"Profit","Loss")</f>
        <v>Profit</v>
      </c>
      <c r="X121" s="2">
        <f>RANK(SalesData[[#This Row],[Sales]],SalesData[Sales])</f>
        <v>245</v>
      </c>
    </row>
    <row r="122" spans="1:24" x14ac:dyDescent="0.3">
      <c r="A122">
        <v>121</v>
      </c>
      <c r="B122" s="1">
        <v>45412</v>
      </c>
      <c r="C122">
        <v>1025</v>
      </c>
      <c r="D122" t="s">
        <v>38</v>
      </c>
      <c r="E122" t="s">
        <v>24</v>
      </c>
      <c r="F122" t="s">
        <v>16</v>
      </c>
      <c r="G122" t="s">
        <v>22</v>
      </c>
      <c r="H122" t="s">
        <v>25</v>
      </c>
      <c r="I122">
        <v>4660</v>
      </c>
      <c r="J122">
        <v>3</v>
      </c>
      <c r="K122">
        <v>0.15</v>
      </c>
      <c r="L122">
        <v>697</v>
      </c>
      <c r="M122" t="s">
        <v>19</v>
      </c>
      <c r="N122">
        <v>11883</v>
      </c>
      <c r="O122" t="str">
        <f>TEXT(SalesData[[#This Row],[Order_Date]],"mmm")</f>
        <v>Apr</v>
      </c>
      <c r="P122">
        <f>YEAR(SalesData[[#This Row],[Order_Date]])</f>
        <v>2024</v>
      </c>
      <c r="Q122" t="str">
        <f>"Q"&amp;ROUNDUP(MONTH(SalesData[[#This Row],[Order_Date]])/3,0)</f>
        <v>Q2</v>
      </c>
      <c r="R122" s="2">
        <f>IFERROR(SalesData[[#This Row],[Profit]]/SalesData[[#This Row],[Sales]],0)</f>
        <v>5.8655221745350504E-2</v>
      </c>
      <c r="S122" s="2">
        <f>SalesData[[#This Row],[Price]]*SalesData[[#This Row],[Quantity]]*SalesData[[#This Row],[Discount]]</f>
        <v>2097</v>
      </c>
      <c r="T122" s="2" t="str">
        <f>IF(SalesData[[#This Row],[Sales]]&gt;5000,"High",IF(SalesData[[#This Row],[Sales]]&gt;2000,"Medium","Low"))</f>
        <v>High</v>
      </c>
      <c r="U122" s="2" t="str">
        <f>IF(COUNTIFS(SalesData[Customer_ID],SalesData[[#This Row],[Customer_ID]])&gt;1,"Repeat","New")</f>
        <v>Repeat</v>
      </c>
      <c r="V122" s="2" t="str">
        <f>IF(SalesData[[#This Row],[Sales]]&gt;AVERAGE(SalesData[Sales]),"Above Avg","Below Avg")</f>
        <v>Above Avg</v>
      </c>
      <c r="W122" s="2" t="str">
        <f>IF(SalesData[[#This Row],[Profit]]&gt;0,"Profit","Loss")</f>
        <v>Profit</v>
      </c>
      <c r="X122" s="2">
        <f>RANK(SalesData[[#This Row],[Sales]],SalesData[Sales])</f>
        <v>170</v>
      </c>
    </row>
    <row r="123" spans="1:24" x14ac:dyDescent="0.3">
      <c r="A123">
        <v>122</v>
      </c>
      <c r="B123" s="1">
        <v>45413</v>
      </c>
      <c r="C123">
        <v>1045</v>
      </c>
      <c r="D123" t="s">
        <v>120</v>
      </c>
      <c r="E123" t="s">
        <v>24</v>
      </c>
      <c r="F123" t="s">
        <v>21</v>
      </c>
      <c r="G123" t="s">
        <v>34</v>
      </c>
      <c r="H123" t="s">
        <v>29</v>
      </c>
      <c r="I123">
        <v>2622</v>
      </c>
      <c r="J123">
        <v>4</v>
      </c>
      <c r="K123">
        <v>0.08</v>
      </c>
      <c r="L123">
        <v>-69</v>
      </c>
      <c r="M123" t="s">
        <v>31</v>
      </c>
      <c r="N123">
        <v>9648.9599999999991</v>
      </c>
      <c r="O123" t="str">
        <f>TEXT(SalesData[[#This Row],[Order_Date]],"mmm")</f>
        <v>May</v>
      </c>
      <c r="P123">
        <f>YEAR(SalesData[[#This Row],[Order_Date]])</f>
        <v>2024</v>
      </c>
      <c r="Q123" t="str">
        <f>"Q"&amp;ROUNDUP(MONTH(SalesData[[#This Row],[Order_Date]])/3,0)</f>
        <v>Q2</v>
      </c>
      <c r="R123" s="2">
        <f>IFERROR(SalesData[[#This Row],[Profit]]/SalesData[[#This Row],[Sales]],0)</f>
        <v>-7.1510297482837533E-3</v>
      </c>
      <c r="S123" s="2">
        <f>SalesData[[#This Row],[Price]]*SalesData[[#This Row],[Quantity]]*SalesData[[#This Row],[Discount]]</f>
        <v>839.04</v>
      </c>
      <c r="T123" s="2" t="str">
        <f>IF(SalesData[[#This Row],[Sales]]&gt;5000,"High",IF(SalesData[[#This Row],[Sales]]&gt;2000,"Medium","Low"))</f>
        <v>High</v>
      </c>
      <c r="U123" s="2" t="str">
        <f>IF(COUNTIFS(SalesData[Customer_ID],SalesData[[#This Row],[Customer_ID]])&gt;1,"Repeat","New")</f>
        <v>Repeat</v>
      </c>
      <c r="V123" s="2" t="str">
        <f>IF(SalesData[[#This Row],[Sales]]&gt;AVERAGE(SalesData[Sales]),"Above Avg","Below Avg")</f>
        <v>Below Avg</v>
      </c>
      <c r="W123" s="2" t="str">
        <f>IF(SalesData[[#This Row],[Profit]]&gt;0,"Profit","Loss")</f>
        <v>Loss</v>
      </c>
      <c r="X123" s="2">
        <f>RANK(SalesData[[#This Row],[Sales]],SalesData[Sales])</f>
        <v>210</v>
      </c>
    </row>
    <row r="124" spans="1:24" x14ac:dyDescent="0.3">
      <c r="A124">
        <v>123</v>
      </c>
      <c r="B124" s="1">
        <v>45414</v>
      </c>
      <c r="C124">
        <v>1049</v>
      </c>
      <c r="D124" t="s">
        <v>84</v>
      </c>
      <c r="E124" t="s">
        <v>15</v>
      </c>
      <c r="F124" t="s">
        <v>28</v>
      </c>
      <c r="G124" t="s">
        <v>34</v>
      </c>
      <c r="H124" t="s">
        <v>29</v>
      </c>
      <c r="I124">
        <v>438</v>
      </c>
      <c r="J124">
        <v>3</v>
      </c>
      <c r="K124">
        <v>0.2</v>
      </c>
      <c r="L124">
        <v>1254</v>
      </c>
      <c r="M124" t="s">
        <v>19</v>
      </c>
      <c r="N124">
        <v>1051.2</v>
      </c>
      <c r="O124" t="str">
        <f>TEXT(SalesData[[#This Row],[Order_Date]],"mmm")</f>
        <v>May</v>
      </c>
      <c r="P124">
        <f>YEAR(SalesData[[#This Row],[Order_Date]])</f>
        <v>2024</v>
      </c>
      <c r="Q124" t="str">
        <f>"Q"&amp;ROUNDUP(MONTH(SalesData[[#This Row],[Order_Date]])/3,0)</f>
        <v>Q2</v>
      </c>
      <c r="R124" s="2">
        <f>IFERROR(SalesData[[#This Row],[Profit]]/SalesData[[#This Row],[Sales]],0)</f>
        <v>1.1929223744292237</v>
      </c>
      <c r="S124" s="2">
        <f>SalesData[[#This Row],[Price]]*SalesData[[#This Row],[Quantity]]*SalesData[[#This Row],[Discount]]</f>
        <v>262.8</v>
      </c>
      <c r="T124" s="2" t="str">
        <f>IF(SalesData[[#This Row],[Sales]]&gt;5000,"High",IF(SalesData[[#This Row],[Sales]]&gt;2000,"Medium","Low"))</f>
        <v>Low</v>
      </c>
      <c r="U124" s="2" t="str">
        <f>IF(COUNTIFS(SalesData[Customer_ID],SalesData[[#This Row],[Customer_ID]])&gt;1,"Repeat","New")</f>
        <v>Repeat</v>
      </c>
      <c r="V124" s="2" t="str">
        <f>IF(SalesData[[#This Row],[Sales]]&gt;AVERAGE(SalesData[Sales]),"Above Avg","Below Avg")</f>
        <v>Below Avg</v>
      </c>
      <c r="W124" s="2" t="str">
        <f>IF(SalesData[[#This Row],[Profit]]&gt;0,"Profit","Loss")</f>
        <v>Profit</v>
      </c>
      <c r="X124" s="2">
        <f>RANK(SalesData[[#This Row],[Sales]],SalesData[Sales])</f>
        <v>478</v>
      </c>
    </row>
    <row r="125" spans="1:24" x14ac:dyDescent="0.3">
      <c r="A125">
        <v>124</v>
      </c>
      <c r="B125" s="1">
        <v>45415</v>
      </c>
      <c r="C125">
        <v>1000</v>
      </c>
      <c r="D125" t="s">
        <v>121</v>
      </c>
      <c r="E125" t="s">
        <v>15</v>
      </c>
      <c r="F125" t="s">
        <v>21</v>
      </c>
      <c r="G125" t="s">
        <v>22</v>
      </c>
      <c r="H125" t="s">
        <v>25</v>
      </c>
      <c r="I125">
        <v>918</v>
      </c>
      <c r="J125">
        <v>6</v>
      </c>
      <c r="K125">
        <v>0.23</v>
      </c>
      <c r="L125">
        <v>-299</v>
      </c>
      <c r="M125" t="s">
        <v>19</v>
      </c>
      <c r="N125">
        <v>4241.16</v>
      </c>
      <c r="O125" t="str">
        <f>TEXT(SalesData[[#This Row],[Order_Date]],"mmm")</f>
        <v>May</v>
      </c>
      <c r="P125">
        <f>YEAR(SalesData[[#This Row],[Order_Date]])</f>
        <v>2024</v>
      </c>
      <c r="Q125" t="str">
        <f>"Q"&amp;ROUNDUP(MONTH(SalesData[[#This Row],[Order_Date]])/3,0)</f>
        <v>Q2</v>
      </c>
      <c r="R125" s="2">
        <f>IFERROR(SalesData[[#This Row],[Profit]]/SalesData[[#This Row],[Sales]],0)</f>
        <v>-7.0499580303501869E-2</v>
      </c>
      <c r="S125" s="2">
        <f>SalesData[[#This Row],[Price]]*SalesData[[#This Row],[Quantity]]*SalesData[[#This Row],[Discount]]</f>
        <v>1266.8400000000001</v>
      </c>
      <c r="T125" s="2" t="str">
        <f>IF(SalesData[[#This Row],[Sales]]&gt;5000,"High",IF(SalesData[[#This Row],[Sales]]&gt;2000,"Medium","Low"))</f>
        <v>Medium</v>
      </c>
      <c r="U125" s="2" t="str">
        <f>IF(COUNTIFS(SalesData[Customer_ID],SalesData[[#This Row],[Customer_ID]])&gt;1,"Repeat","New")</f>
        <v>Repeat</v>
      </c>
      <c r="V125" s="2" t="str">
        <f>IF(SalesData[[#This Row],[Sales]]&gt;AVERAGE(SalesData[Sales]),"Above Avg","Below Avg")</f>
        <v>Below Avg</v>
      </c>
      <c r="W125" s="2" t="str">
        <f>IF(SalesData[[#This Row],[Profit]]&gt;0,"Profit","Loss")</f>
        <v>Loss</v>
      </c>
      <c r="X125" s="2">
        <f>RANK(SalesData[[#This Row],[Sales]],SalesData[Sales])</f>
        <v>344</v>
      </c>
    </row>
    <row r="126" spans="1:24" x14ac:dyDescent="0.3">
      <c r="A126">
        <v>125</v>
      </c>
      <c r="B126" s="1">
        <v>45416</v>
      </c>
      <c r="C126">
        <v>1035</v>
      </c>
      <c r="D126" t="s">
        <v>60</v>
      </c>
      <c r="E126" t="s">
        <v>24</v>
      </c>
      <c r="F126" t="s">
        <v>28</v>
      </c>
      <c r="G126" t="s">
        <v>34</v>
      </c>
      <c r="H126" t="s">
        <v>25</v>
      </c>
      <c r="I126">
        <v>2666</v>
      </c>
      <c r="J126">
        <v>6</v>
      </c>
      <c r="K126">
        <v>0.28999999999999998</v>
      </c>
      <c r="L126">
        <v>1830</v>
      </c>
      <c r="M126" t="s">
        <v>26</v>
      </c>
      <c r="N126">
        <v>11357.16</v>
      </c>
      <c r="O126" t="str">
        <f>TEXT(SalesData[[#This Row],[Order_Date]],"mmm")</f>
        <v>May</v>
      </c>
      <c r="P126">
        <f>YEAR(SalesData[[#This Row],[Order_Date]])</f>
        <v>2024</v>
      </c>
      <c r="Q126" t="str">
        <f>"Q"&amp;ROUNDUP(MONTH(SalesData[[#This Row],[Order_Date]])/3,0)</f>
        <v>Q2</v>
      </c>
      <c r="R126" s="2">
        <f>IFERROR(SalesData[[#This Row],[Profit]]/SalesData[[#This Row],[Sales]],0)</f>
        <v>0.16113183225383812</v>
      </c>
      <c r="S126" s="2">
        <f>SalesData[[#This Row],[Price]]*SalesData[[#This Row],[Quantity]]*SalesData[[#This Row],[Discount]]</f>
        <v>4638.8399999999992</v>
      </c>
      <c r="T126" s="2" t="str">
        <f>IF(SalesData[[#This Row],[Sales]]&gt;5000,"High",IF(SalesData[[#This Row],[Sales]]&gt;2000,"Medium","Low"))</f>
        <v>High</v>
      </c>
      <c r="U126" s="2" t="str">
        <f>IF(COUNTIFS(SalesData[Customer_ID],SalesData[[#This Row],[Customer_ID]])&gt;1,"Repeat","New")</f>
        <v>Repeat</v>
      </c>
      <c r="V126" s="2" t="str">
        <f>IF(SalesData[[#This Row],[Sales]]&gt;AVERAGE(SalesData[Sales]),"Above Avg","Below Avg")</f>
        <v>Above Avg</v>
      </c>
      <c r="W126" s="2" t="str">
        <f>IF(SalesData[[#This Row],[Profit]]&gt;0,"Profit","Loss")</f>
        <v>Profit</v>
      </c>
      <c r="X126" s="2">
        <f>RANK(SalesData[[#This Row],[Sales]],SalesData[Sales])</f>
        <v>184</v>
      </c>
    </row>
    <row r="127" spans="1:24" x14ac:dyDescent="0.3">
      <c r="A127">
        <v>126</v>
      </c>
      <c r="B127" s="1">
        <v>45417</v>
      </c>
      <c r="C127">
        <v>1029</v>
      </c>
      <c r="D127" t="s">
        <v>81</v>
      </c>
      <c r="E127" t="s">
        <v>15</v>
      </c>
      <c r="F127" t="s">
        <v>33</v>
      </c>
      <c r="G127" t="s">
        <v>17</v>
      </c>
      <c r="H127" t="s">
        <v>37</v>
      </c>
      <c r="I127">
        <v>3817</v>
      </c>
      <c r="J127">
        <v>5</v>
      </c>
      <c r="K127">
        <v>0.14000000000000001</v>
      </c>
      <c r="L127">
        <v>381</v>
      </c>
      <c r="M127" t="s">
        <v>31</v>
      </c>
      <c r="N127">
        <v>16413.099999999999</v>
      </c>
      <c r="O127" t="str">
        <f>TEXT(SalesData[[#This Row],[Order_Date]],"mmm")</f>
        <v>May</v>
      </c>
      <c r="P127">
        <f>YEAR(SalesData[[#This Row],[Order_Date]])</f>
        <v>2024</v>
      </c>
      <c r="Q127" t="str">
        <f>"Q"&amp;ROUNDUP(MONTH(SalesData[[#This Row],[Order_Date]])/3,0)</f>
        <v>Q2</v>
      </c>
      <c r="R127" s="2">
        <f>IFERROR(SalesData[[#This Row],[Profit]]/SalesData[[#This Row],[Sales]],0)</f>
        <v>2.3213165093736103E-2</v>
      </c>
      <c r="S127" s="2">
        <f>SalesData[[#This Row],[Price]]*SalesData[[#This Row],[Quantity]]*SalesData[[#This Row],[Discount]]</f>
        <v>2671.9</v>
      </c>
      <c r="T127" s="2" t="str">
        <f>IF(SalesData[[#This Row],[Sales]]&gt;5000,"High",IF(SalesData[[#This Row],[Sales]]&gt;2000,"Medium","Low"))</f>
        <v>High</v>
      </c>
      <c r="U127" s="2" t="str">
        <f>IF(COUNTIFS(SalesData[Customer_ID],SalesData[[#This Row],[Customer_ID]])&gt;1,"Repeat","New")</f>
        <v>Repeat</v>
      </c>
      <c r="V127" s="2" t="str">
        <f>IF(SalesData[[#This Row],[Sales]]&gt;AVERAGE(SalesData[Sales]),"Above Avg","Below Avg")</f>
        <v>Above Avg</v>
      </c>
      <c r="W127" s="2" t="str">
        <f>IF(SalesData[[#This Row],[Profit]]&gt;0,"Profit","Loss")</f>
        <v>Profit</v>
      </c>
      <c r="X127" s="2">
        <f>RANK(SalesData[[#This Row],[Sales]],SalesData[Sales])</f>
        <v>117</v>
      </c>
    </row>
    <row r="128" spans="1:24" x14ac:dyDescent="0.3">
      <c r="A128">
        <v>127</v>
      </c>
      <c r="B128" s="1">
        <v>45418</v>
      </c>
      <c r="C128">
        <v>1001</v>
      </c>
      <c r="D128" t="s">
        <v>122</v>
      </c>
      <c r="E128" t="s">
        <v>15</v>
      </c>
      <c r="F128" t="s">
        <v>28</v>
      </c>
      <c r="G128" t="s">
        <v>34</v>
      </c>
      <c r="H128" t="s">
        <v>29</v>
      </c>
      <c r="I128">
        <v>3162</v>
      </c>
      <c r="J128">
        <v>2</v>
      </c>
      <c r="K128">
        <v>0.12</v>
      </c>
      <c r="L128">
        <v>1730</v>
      </c>
      <c r="M128" t="s">
        <v>19</v>
      </c>
      <c r="N128">
        <v>5565.12</v>
      </c>
      <c r="O128" t="str">
        <f>TEXT(SalesData[[#This Row],[Order_Date]],"mmm")</f>
        <v>May</v>
      </c>
      <c r="P128">
        <f>YEAR(SalesData[[#This Row],[Order_Date]])</f>
        <v>2024</v>
      </c>
      <c r="Q128" t="str">
        <f>"Q"&amp;ROUNDUP(MONTH(SalesData[[#This Row],[Order_Date]])/3,0)</f>
        <v>Q2</v>
      </c>
      <c r="R128" s="2">
        <f>IFERROR(SalesData[[#This Row],[Profit]]/SalesData[[#This Row],[Sales]],0)</f>
        <v>0.31086481513426484</v>
      </c>
      <c r="S128" s="2">
        <f>SalesData[[#This Row],[Price]]*SalesData[[#This Row],[Quantity]]*SalesData[[#This Row],[Discount]]</f>
        <v>758.88</v>
      </c>
      <c r="T128" s="2" t="str">
        <f>IF(SalesData[[#This Row],[Sales]]&gt;5000,"High",IF(SalesData[[#This Row],[Sales]]&gt;2000,"Medium","Low"))</f>
        <v>High</v>
      </c>
      <c r="U128" s="2" t="str">
        <f>IF(COUNTIFS(SalesData[Customer_ID],SalesData[[#This Row],[Customer_ID]])&gt;1,"Repeat","New")</f>
        <v>Repeat</v>
      </c>
      <c r="V128" s="2" t="str">
        <f>IF(SalesData[[#This Row],[Sales]]&gt;AVERAGE(SalesData[Sales]),"Above Avg","Below Avg")</f>
        <v>Below Avg</v>
      </c>
      <c r="W128" s="2" t="str">
        <f>IF(SalesData[[#This Row],[Profit]]&gt;0,"Profit","Loss")</f>
        <v>Profit</v>
      </c>
      <c r="X128" s="2">
        <f>RANK(SalesData[[#This Row],[Sales]],SalesData[Sales])</f>
        <v>306</v>
      </c>
    </row>
    <row r="129" spans="1:24" x14ac:dyDescent="0.3">
      <c r="A129">
        <v>128</v>
      </c>
      <c r="B129" s="1">
        <v>45419</v>
      </c>
      <c r="C129">
        <v>1083</v>
      </c>
      <c r="D129" t="s">
        <v>42</v>
      </c>
      <c r="E129" t="s">
        <v>24</v>
      </c>
      <c r="F129" t="s">
        <v>28</v>
      </c>
      <c r="G129" t="s">
        <v>34</v>
      </c>
      <c r="H129" t="s">
        <v>18</v>
      </c>
      <c r="I129">
        <v>1353</v>
      </c>
      <c r="J129">
        <v>4</v>
      </c>
      <c r="K129">
        <v>0.09</v>
      </c>
      <c r="L129">
        <v>558</v>
      </c>
      <c r="M129" t="s">
        <v>26</v>
      </c>
      <c r="N129">
        <v>4924.92</v>
      </c>
      <c r="O129" t="str">
        <f>TEXT(SalesData[[#This Row],[Order_Date]],"mmm")</f>
        <v>May</v>
      </c>
      <c r="P129">
        <f>YEAR(SalesData[[#This Row],[Order_Date]])</f>
        <v>2024</v>
      </c>
      <c r="Q129" t="str">
        <f>"Q"&amp;ROUNDUP(MONTH(SalesData[[#This Row],[Order_Date]])/3,0)</f>
        <v>Q2</v>
      </c>
      <c r="R129" s="2">
        <f>IFERROR(SalesData[[#This Row],[Profit]]/SalesData[[#This Row],[Sales]],0)</f>
        <v>0.11330133281352793</v>
      </c>
      <c r="S129" s="2">
        <f>SalesData[[#This Row],[Price]]*SalesData[[#This Row],[Quantity]]*SalesData[[#This Row],[Discount]]</f>
        <v>487.08</v>
      </c>
      <c r="T129" s="2" t="str">
        <f>IF(SalesData[[#This Row],[Sales]]&gt;5000,"High",IF(SalesData[[#This Row],[Sales]]&gt;2000,"Medium","Low"))</f>
        <v>Medium</v>
      </c>
      <c r="U129" s="2" t="str">
        <f>IF(COUNTIFS(SalesData[Customer_ID],SalesData[[#This Row],[Customer_ID]])&gt;1,"Repeat","New")</f>
        <v>Repeat</v>
      </c>
      <c r="V129" s="2" t="str">
        <f>IF(SalesData[[#This Row],[Sales]]&gt;AVERAGE(SalesData[Sales]),"Above Avg","Below Avg")</f>
        <v>Below Avg</v>
      </c>
      <c r="W129" s="2" t="str">
        <f>IF(SalesData[[#This Row],[Profit]]&gt;0,"Profit","Loss")</f>
        <v>Profit</v>
      </c>
      <c r="X129" s="2">
        <f>RANK(SalesData[[#This Row],[Sales]],SalesData[Sales])</f>
        <v>325</v>
      </c>
    </row>
    <row r="130" spans="1:24" x14ac:dyDescent="0.3">
      <c r="A130">
        <v>129</v>
      </c>
      <c r="B130" s="1">
        <v>45420</v>
      </c>
      <c r="C130">
        <v>1068</v>
      </c>
      <c r="D130" t="s">
        <v>123</v>
      </c>
      <c r="E130" t="s">
        <v>15</v>
      </c>
      <c r="F130" t="s">
        <v>16</v>
      </c>
      <c r="G130" t="s">
        <v>17</v>
      </c>
      <c r="H130" t="s">
        <v>18</v>
      </c>
      <c r="I130">
        <v>3250</v>
      </c>
      <c r="J130">
        <v>7</v>
      </c>
      <c r="K130">
        <v>0.24</v>
      </c>
      <c r="L130">
        <v>170</v>
      </c>
      <c r="M130" t="s">
        <v>31</v>
      </c>
      <c r="N130">
        <v>17290</v>
      </c>
      <c r="O130" t="str">
        <f>TEXT(SalesData[[#This Row],[Order_Date]],"mmm")</f>
        <v>May</v>
      </c>
      <c r="P130">
        <f>YEAR(SalesData[[#This Row],[Order_Date]])</f>
        <v>2024</v>
      </c>
      <c r="Q130" t="str">
        <f>"Q"&amp;ROUNDUP(MONTH(SalesData[[#This Row],[Order_Date]])/3,0)</f>
        <v>Q2</v>
      </c>
      <c r="R130" s="2">
        <f>IFERROR(SalesData[[#This Row],[Profit]]/SalesData[[#This Row],[Sales]],0)</f>
        <v>9.8322729901677269E-3</v>
      </c>
      <c r="S130" s="2">
        <f>SalesData[[#This Row],[Price]]*SalesData[[#This Row],[Quantity]]*SalesData[[#This Row],[Discount]]</f>
        <v>5460</v>
      </c>
      <c r="T130" s="2" t="str">
        <f>IF(SalesData[[#This Row],[Sales]]&gt;5000,"High",IF(SalesData[[#This Row],[Sales]]&gt;2000,"Medium","Low"))</f>
        <v>High</v>
      </c>
      <c r="U130" s="2" t="str">
        <f>IF(COUNTIFS(SalesData[Customer_ID],SalesData[[#This Row],[Customer_ID]])&gt;1,"Repeat","New")</f>
        <v>Repeat</v>
      </c>
      <c r="V130" s="2" t="str">
        <f>IF(SalesData[[#This Row],[Sales]]&gt;AVERAGE(SalesData[Sales]),"Above Avg","Below Avg")</f>
        <v>Above Avg</v>
      </c>
      <c r="W130" s="2" t="str">
        <f>IF(SalesData[[#This Row],[Profit]]&gt;0,"Profit","Loss")</f>
        <v>Profit</v>
      </c>
      <c r="X130" s="2">
        <f>RANK(SalesData[[#This Row],[Sales]],SalesData[Sales])</f>
        <v>103</v>
      </c>
    </row>
    <row r="131" spans="1:24" x14ac:dyDescent="0.3">
      <c r="A131">
        <v>130</v>
      </c>
      <c r="B131" s="1">
        <v>45421</v>
      </c>
      <c r="C131">
        <v>1030</v>
      </c>
      <c r="D131" t="s">
        <v>36</v>
      </c>
      <c r="E131" t="s">
        <v>24</v>
      </c>
      <c r="F131" t="s">
        <v>21</v>
      </c>
      <c r="G131" t="s">
        <v>34</v>
      </c>
      <c r="H131" t="s">
        <v>25</v>
      </c>
      <c r="I131">
        <v>2350</v>
      </c>
      <c r="J131">
        <v>8</v>
      </c>
      <c r="K131">
        <v>0.28999999999999998</v>
      </c>
      <c r="L131">
        <v>188</v>
      </c>
      <c r="M131" t="s">
        <v>26</v>
      </c>
      <c r="N131">
        <v>13348</v>
      </c>
      <c r="O131" t="str">
        <f>TEXT(SalesData[[#This Row],[Order_Date]],"mmm")</f>
        <v>May</v>
      </c>
      <c r="P131">
        <f>YEAR(SalesData[[#This Row],[Order_Date]])</f>
        <v>2024</v>
      </c>
      <c r="Q131" t="str">
        <f>"Q"&amp;ROUNDUP(MONTH(SalesData[[#This Row],[Order_Date]])/3,0)</f>
        <v>Q2</v>
      </c>
      <c r="R131" s="2">
        <f>IFERROR(SalesData[[#This Row],[Profit]]/SalesData[[#This Row],[Sales]],0)</f>
        <v>1.4084507042253521E-2</v>
      </c>
      <c r="S131" s="2">
        <f>SalesData[[#This Row],[Price]]*SalesData[[#This Row],[Quantity]]*SalesData[[#This Row],[Discount]]</f>
        <v>5452</v>
      </c>
      <c r="T131" s="2" t="str">
        <f>IF(SalesData[[#This Row],[Sales]]&gt;5000,"High",IF(SalesData[[#This Row],[Sales]]&gt;2000,"Medium","Low"))</f>
        <v>High</v>
      </c>
      <c r="U131" s="2" t="str">
        <f>IF(COUNTIFS(SalesData[Customer_ID],SalesData[[#This Row],[Customer_ID]])&gt;1,"Repeat","New")</f>
        <v>Repeat</v>
      </c>
      <c r="V131" s="2" t="str">
        <f>IF(SalesData[[#This Row],[Sales]]&gt;AVERAGE(SalesData[Sales]),"Above Avg","Below Avg")</f>
        <v>Above Avg</v>
      </c>
      <c r="W131" s="2" t="str">
        <f>IF(SalesData[[#This Row],[Profit]]&gt;0,"Profit","Loss")</f>
        <v>Profit</v>
      </c>
      <c r="X131" s="2">
        <f>RANK(SalesData[[#This Row],[Sales]],SalesData[Sales])</f>
        <v>155</v>
      </c>
    </row>
    <row r="132" spans="1:24" x14ac:dyDescent="0.3">
      <c r="A132">
        <v>131</v>
      </c>
      <c r="B132" s="1">
        <v>45422</v>
      </c>
      <c r="C132">
        <v>1007</v>
      </c>
      <c r="D132" t="s">
        <v>124</v>
      </c>
      <c r="E132" t="s">
        <v>15</v>
      </c>
      <c r="F132" t="s">
        <v>16</v>
      </c>
      <c r="G132" t="s">
        <v>17</v>
      </c>
      <c r="H132" t="s">
        <v>37</v>
      </c>
      <c r="I132">
        <v>4420</v>
      </c>
      <c r="J132">
        <v>9</v>
      </c>
      <c r="K132">
        <v>0.18</v>
      </c>
      <c r="L132">
        <v>-333</v>
      </c>
      <c r="M132" t="s">
        <v>19</v>
      </c>
      <c r="N132">
        <v>32619.599999999999</v>
      </c>
      <c r="O132" t="str">
        <f>TEXT(SalesData[[#This Row],[Order_Date]],"mmm")</f>
        <v>May</v>
      </c>
      <c r="P132">
        <f>YEAR(SalesData[[#This Row],[Order_Date]])</f>
        <v>2024</v>
      </c>
      <c r="Q132" t="str">
        <f>"Q"&amp;ROUNDUP(MONTH(SalesData[[#This Row],[Order_Date]])/3,0)</f>
        <v>Q2</v>
      </c>
      <c r="R132" s="2">
        <f>IFERROR(SalesData[[#This Row],[Profit]]/SalesData[[#This Row],[Sales]],0)</f>
        <v>-1.0208586248758415E-2</v>
      </c>
      <c r="S132" s="2">
        <f>SalesData[[#This Row],[Price]]*SalesData[[#This Row],[Quantity]]*SalesData[[#This Row],[Discount]]</f>
        <v>7160.4</v>
      </c>
      <c r="T132" s="2" t="str">
        <f>IF(SalesData[[#This Row],[Sales]]&gt;5000,"High",IF(SalesData[[#This Row],[Sales]]&gt;2000,"Medium","Low"))</f>
        <v>High</v>
      </c>
      <c r="U132" s="2" t="str">
        <f>IF(COUNTIFS(SalesData[Customer_ID],SalesData[[#This Row],[Customer_ID]])&gt;1,"Repeat","New")</f>
        <v>Repeat</v>
      </c>
      <c r="V132" s="2" t="str">
        <f>IF(SalesData[[#This Row],[Sales]]&gt;AVERAGE(SalesData[Sales]),"Above Avg","Below Avg")</f>
        <v>Above Avg</v>
      </c>
      <c r="W132" s="2" t="str">
        <f>IF(SalesData[[#This Row],[Profit]]&gt;0,"Profit","Loss")</f>
        <v>Loss</v>
      </c>
      <c r="X132" s="2">
        <f>RANK(SalesData[[#This Row],[Sales]],SalesData[Sales])</f>
        <v>18</v>
      </c>
    </row>
    <row r="133" spans="1:24" x14ac:dyDescent="0.3">
      <c r="A133">
        <v>132</v>
      </c>
      <c r="B133" s="1">
        <v>45423</v>
      </c>
      <c r="C133">
        <v>1093</v>
      </c>
      <c r="D133" t="s">
        <v>113</v>
      </c>
      <c r="E133" t="s">
        <v>15</v>
      </c>
      <c r="F133" t="s">
        <v>33</v>
      </c>
      <c r="G133" t="s">
        <v>34</v>
      </c>
      <c r="H133" t="s">
        <v>29</v>
      </c>
      <c r="I133">
        <v>3715</v>
      </c>
      <c r="J133">
        <v>2</v>
      </c>
      <c r="K133">
        <v>0.19</v>
      </c>
      <c r="L133">
        <v>931</v>
      </c>
      <c r="M133" t="s">
        <v>31</v>
      </c>
      <c r="N133">
        <v>6018.3</v>
      </c>
      <c r="O133" t="str">
        <f>TEXT(SalesData[[#This Row],[Order_Date]],"mmm")</f>
        <v>May</v>
      </c>
      <c r="P133">
        <f>YEAR(SalesData[[#This Row],[Order_Date]])</f>
        <v>2024</v>
      </c>
      <c r="Q133" t="str">
        <f>"Q"&amp;ROUNDUP(MONTH(SalesData[[#This Row],[Order_Date]])/3,0)</f>
        <v>Q2</v>
      </c>
      <c r="R133" s="2">
        <f>IFERROR(SalesData[[#This Row],[Profit]]/SalesData[[#This Row],[Sales]],0)</f>
        <v>0.15469484738215111</v>
      </c>
      <c r="S133" s="2">
        <f>SalesData[[#This Row],[Price]]*SalesData[[#This Row],[Quantity]]*SalesData[[#This Row],[Discount]]</f>
        <v>1411.7</v>
      </c>
      <c r="T133" s="2" t="str">
        <f>IF(SalesData[[#This Row],[Sales]]&gt;5000,"High",IF(SalesData[[#This Row],[Sales]]&gt;2000,"Medium","Low"))</f>
        <v>High</v>
      </c>
      <c r="U133" s="2" t="str">
        <f>IF(COUNTIFS(SalesData[Customer_ID],SalesData[[#This Row],[Customer_ID]])&gt;1,"Repeat","New")</f>
        <v>Repeat</v>
      </c>
      <c r="V133" s="2" t="str">
        <f>IF(SalesData[[#This Row],[Sales]]&gt;AVERAGE(SalesData[Sales]),"Above Avg","Below Avg")</f>
        <v>Below Avg</v>
      </c>
      <c r="W133" s="2" t="str">
        <f>IF(SalesData[[#This Row],[Profit]]&gt;0,"Profit","Loss")</f>
        <v>Profit</v>
      </c>
      <c r="X133" s="2">
        <f>RANK(SalesData[[#This Row],[Sales]],SalesData[Sales])</f>
        <v>296</v>
      </c>
    </row>
    <row r="134" spans="1:24" x14ac:dyDescent="0.3">
      <c r="A134">
        <v>133</v>
      </c>
      <c r="B134" s="1">
        <v>45424</v>
      </c>
      <c r="C134">
        <v>1060</v>
      </c>
      <c r="D134" t="s">
        <v>125</v>
      </c>
      <c r="E134" t="s">
        <v>24</v>
      </c>
      <c r="F134" t="s">
        <v>21</v>
      </c>
      <c r="G134" t="s">
        <v>22</v>
      </c>
      <c r="H134" t="s">
        <v>37</v>
      </c>
      <c r="I134">
        <v>1879</v>
      </c>
      <c r="J134">
        <v>9</v>
      </c>
      <c r="K134">
        <v>0.21</v>
      </c>
      <c r="L134">
        <v>738</v>
      </c>
      <c r="M134" t="s">
        <v>19</v>
      </c>
      <c r="N134">
        <v>13359.69</v>
      </c>
      <c r="O134" t="str">
        <f>TEXT(SalesData[[#This Row],[Order_Date]],"mmm")</f>
        <v>May</v>
      </c>
      <c r="P134">
        <f>YEAR(SalesData[[#This Row],[Order_Date]])</f>
        <v>2024</v>
      </c>
      <c r="Q134" t="str">
        <f>"Q"&amp;ROUNDUP(MONTH(SalesData[[#This Row],[Order_Date]])/3,0)</f>
        <v>Q2</v>
      </c>
      <c r="R134" s="2">
        <f>IFERROR(SalesData[[#This Row],[Profit]]/SalesData[[#This Row],[Sales]],0)</f>
        <v>5.5240802743177421E-2</v>
      </c>
      <c r="S134" s="2">
        <f>SalesData[[#This Row],[Price]]*SalesData[[#This Row],[Quantity]]*SalesData[[#This Row],[Discount]]</f>
        <v>3551.31</v>
      </c>
      <c r="T134" s="2" t="str">
        <f>IF(SalesData[[#This Row],[Sales]]&gt;5000,"High",IF(SalesData[[#This Row],[Sales]]&gt;2000,"Medium","Low"))</f>
        <v>High</v>
      </c>
      <c r="U134" s="2" t="str">
        <f>IF(COUNTIFS(SalesData[Customer_ID],SalesData[[#This Row],[Customer_ID]])&gt;1,"Repeat","New")</f>
        <v>Repeat</v>
      </c>
      <c r="V134" s="2" t="str">
        <f>IF(SalesData[[#This Row],[Sales]]&gt;AVERAGE(SalesData[Sales]),"Above Avg","Below Avg")</f>
        <v>Above Avg</v>
      </c>
      <c r="W134" s="2" t="str">
        <f>IF(SalesData[[#This Row],[Profit]]&gt;0,"Profit","Loss")</f>
        <v>Profit</v>
      </c>
      <c r="X134" s="2">
        <f>RANK(SalesData[[#This Row],[Sales]],SalesData[Sales])</f>
        <v>154</v>
      </c>
    </row>
    <row r="135" spans="1:24" x14ac:dyDescent="0.3">
      <c r="A135">
        <v>134</v>
      </c>
      <c r="B135" s="1">
        <v>45425</v>
      </c>
      <c r="C135">
        <v>1065</v>
      </c>
      <c r="D135" t="s">
        <v>126</v>
      </c>
      <c r="E135" t="s">
        <v>15</v>
      </c>
      <c r="F135" t="s">
        <v>16</v>
      </c>
      <c r="G135" t="s">
        <v>17</v>
      </c>
      <c r="H135" t="s">
        <v>25</v>
      </c>
      <c r="I135">
        <v>1391</v>
      </c>
      <c r="J135">
        <v>7</v>
      </c>
      <c r="K135">
        <v>0.13</v>
      </c>
      <c r="L135">
        <v>1496</v>
      </c>
      <c r="M135" t="s">
        <v>31</v>
      </c>
      <c r="N135">
        <v>8471.19</v>
      </c>
      <c r="O135" t="str">
        <f>TEXT(SalesData[[#This Row],[Order_Date]],"mmm")</f>
        <v>May</v>
      </c>
      <c r="P135">
        <f>YEAR(SalesData[[#This Row],[Order_Date]])</f>
        <v>2024</v>
      </c>
      <c r="Q135" t="str">
        <f>"Q"&amp;ROUNDUP(MONTH(SalesData[[#This Row],[Order_Date]])/3,0)</f>
        <v>Q2</v>
      </c>
      <c r="R135" s="2">
        <f>IFERROR(SalesData[[#This Row],[Profit]]/SalesData[[#This Row],[Sales]],0)</f>
        <v>0.17659856525470446</v>
      </c>
      <c r="S135" s="2">
        <f>SalesData[[#This Row],[Price]]*SalesData[[#This Row],[Quantity]]*SalesData[[#This Row],[Discount]]</f>
        <v>1265.81</v>
      </c>
      <c r="T135" s="2" t="str">
        <f>IF(SalesData[[#This Row],[Sales]]&gt;5000,"High",IF(SalesData[[#This Row],[Sales]]&gt;2000,"Medium","Low"))</f>
        <v>High</v>
      </c>
      <c r="U135" s="2" t="str">
        <f>IF(COUNTIFS(SalesData[Customer_ID],SalesData[[#This Row],[Customer_ID]])&gt;1,"Repeat","New")</f>
        <v>Repeat</v>
      </c>
      <c r="V135" s="2" t="str">
        <f>IF(SalesData[[#This Row],[Sales]]&gt;AVERAGE(SalesData[Sales]),"Above Avg","Below Avg")</f>
        <v>Below Avg</v>
      </c>
      <c r="W135" s="2" t="str">
        <f>IF(SalesData[[#This Row],[Profit]]&gt;0,"Profit","Loss")</f>
        <v>Profit</v>
      </c>
      <c r="X135" s="2">
        <f>RANK(SalesData[[#This Row],[Sales]],SalesData[Sales])</f>
        <v>239</v>
      </c>
    </row>
    <row r="136" spans="1:24" x14ac:dyDescent="0.3">
      <c r="A136">
        <v>135</v>
      </c>
      <c r="B136" s="1">
        <v>45426</v>
      </c>
      <c r="C136">
        <v>1076</v>
      </c>
      <c r="D136" t="s">
        <v>127</v>
      </c>
      <c r="E136" t="s">
        <v>15</v>
      </c>
      <c r="F136" t="s">
        <v>21</v>
      </c>
      <c r="G136" t="s">
        <v>34</v>
      </c>
      <c r="H136" t="s">
        <v>25</v>
      </c>
      <c r="I136">
        <v>778</v>
      </c>
      <c r="J136">
        <v>7</v>
      </c>
      <c r="K136">
        <v>7.0000000000000007E-2</v>
      </c>
      <c r="L136">
        <v>1345</v>
      </c>
      <c r="M136" t="s">
        <v>19</v>
      </c>
      <c r="N136">
        <v>5064.78</v>
      </c>
      <c r="O136" t="str">
        <f>TEXT(SalesData[[#This Row],[Order_Date]],"mmm")</f>
        <v>May</v>
      </c>
      <c r="P136">
        <f>YEAR(SalesData[[#This Row],[Order_Date]])</f>
        <v>2024</v>
      </c>
      <c r="Q136" t="str">
        <f>"Q"&amp;ROUNDUP(MONTH(SalesData[[#This Row],[Order_Date]])/3,0)</f>
        <v>Q2</v>
      </c>
      <c r="R136" s="2">
        <f>IFERROR(SalesData[[#This Row],[Profit]]/SalesData[[#This Row],[Sales]],0)</f>
        <v>0.26555941225482649</v>
      </c>
      <c r="S136" s="2">
        <f>SalesData[[#This Row],[Price]]*SalesData[[#This Row],[Quantity]]*SalesData[[#This Row],[Discount]]</f>
        <v>381.22</v>
      </c>
      <c r="T136" s="2" t="str">
        <f>IF(SalesData[[#This Row],[Sales]]&gt;5000,"High",IF(SalesData[[#This Row],[Sales]]&gt;2000,"Medium","Low"))</f>
        <v>High</v>
      </c>
      <c r="U136" s="2" t="str">
        <f>IF(COUNTIFS(SalesData[Customer_ID],SalesData[[#This Row],[Customer_ID]])&gt;1,"Repeat","New")</f>
        <v>Repeat</v>
      </c>
      <c r="V136" s="2" t="str">
        <f>IF(SalesData[[#This Row],[Sales]]&gt;AVERAGE(SalesData[Sales]),"Above Avg","Below Avg")</f>
        <v>Below Avg</v>
      </c>
      <c r="W136" s="2" t="str">
        <f>IF(SalesData[[#This Row],[Profit]]&gt;0,"Profit","Loss")</f>
        <v>Profit</v>
      </c>
      <c r="X136" s="2">
        <f>RANK(SalesData[[#This Row],[Sales]],SalesData[Sales])</f>
        <v>321</v>
      </c>
    </row>
    <row r="137" spans="1:24" x14ac:dyDescent="0.3">
      <c r="A137">
        <v>136</v>
      </c>
      <c r="B137" s="1">
        <v>45427</v>
      </c>
      <c r="C137">
        <v>1067</v>
      </c>
      <c r="D137" t="s">
        <v>116</v>
      </c>
      <c r="E137" t="s">
        <v>15</v>
      </c>
      <c r="F137" t="s">
        <v>21</v>
      </c>
      <c r="G137" t="s">
        <v>17</v>
      </c>
      <c r="H137" t="s">
        <v>25</v>
      </c>
      <c r="I137">
        <v>2652</v>
      </c>
      <c r="J137">
        <v>1</v>
      </c>
      <c r="K137">
        <v>0.08</v>
      </c>
      <c r="L137">
        <v>-241</v>
      </c>
      <c r="M137" t="s">
        <v>26</v>
      </c>
      <c r="N137">
        <v>2439.84</v>
      </c>
      <c r="O137" t="str">
        <f>TEXT(SalesData[[#This Row],[Order_Date]],"mmm")</f>
        <v>May</v>
      </c>
      <c r="P137">
        <f>YEAR(SalesData[[#This Row],[Order_Date]])</f>
        <v>2024</v>
      </c>
      <c r="Q137" t="str">
        <f>"Q"&amp;ROUNDUP(MONTH(SalesData[[#This Row],[Order_Date]])/3,0)</f>
        <v>Q2</v>
      </c>
      <c r="R137" s="2">
        <f>IFERROR(SalesData[[#This Row],[Profit]]/SalesData[[#This Row],[Sales]],0)</f>
        <v>-9.8776968981572552E-2</v>
      </c>
      <c r="S137" s="2">
        <f>SalesData[[#This Row],[Price]]*SalesData[[#This Row],[Quantity]]*SalesData[[#This Row],[Discount]]</f>
        <v>212.16</v>
      </c>
      <c r="T137" s="2" t="str">
        <f>IF(SalesData[[#This Row],[Sales]]&gt;5000,"High",IF(SalesData[[#This Row],[Sales]]&gt;2000,"Medium","Low"))</f>
        <v>Medium</v>
      </c>
      <c r="U137" s="2" t="str">
        <f>IF(COUNTIFS(SalesData[Customer_ID],SalesData[[#This Row],[Customer_ID]])&gt;1,"Repeat","New")</f>
        <v>Repeat</v>
      </c>
      <c r="V137" s="2" t="str">
        <f>IF(SalesData[[#This Row],[Sales]]&gt;AVERAGE(SalesData[Sales]),"Above Avg","Below Avg")</f>
        <v>Below Avg</v>
      </c>
      <c r="W137" s="2" t="str">
        <f>IF(SalesData[[#This Row],[Profit]]&gt;0,"Profit","Loss")</f>
        <v>Loss</v>
      </c>
      <c r="X137" s="2">
        <f>RANK(SalesData[[#This Row],[Sales]],SalesData[Sales])</f>
        <v>412</v>
      </c>
    </row>
    <row r="138" spans="1:24" x14ac:dyDescent="0.3">
      <c r="A138">
        <v>137</v>
      </c>
      <c r="B138" s="1">
        <v>45428</v>
      </c>
      <c r="C138">
        <v>1044</v>
      </c>
      <c r="D138" t="s">
        <v>23</v>
      </c>
      <c r="E138" t="s">
        <v>24</v>
      </c>
      <c r="F138" t="s">
        <v>21</v>
      </c>
      <c r="G138" t="s">
        <v>22</v>
      </c>
      <c r="H138" t="s">
        <v>37</v>
      </c>
      <c r="I138">
        <v>3324</v>
      </c>
      <c r="J138">
        <v>8</v>
      </c>
      <c r="K138">
        <v>0.19</v>
      </c>
      <c r="L138">
        <v>1450</v>
      </c>
      <c r="M138" t="s">
        <v>19</v>
      </c>
      <c r="N138">
        <v>21539.52</v>
      </c>
      <c r="O138" t="str">
        <f>TEXT(SalesData[[#This Row],[Order_Date]],"mmm")</f>
        <v>May</v>
      </c>
      <c r="P138">
        <f>YEAR(SalesData[[#This Row],[Order_Date]])</f>
        <v>2024</v>
      </c>
      <c r="Q138" t="str">
        <f>"Q"&amp;ROUNDUP(MONTH(SalesData[[#This Row],[Order_Date]])/3,0)</f>
        <v>Q2</v>
      </c>
      <c r="R138" s="2">
        <f>IFERROR(SalesData[[#This Row],[Profit]]/SalesData[[#This Row],[Sales]],0)</f>
        <v>6.731812036665627E-2</v>
      </c>
      <c r="S138" s="2">
        <f>SalesData[[#This Row],[Price]]*SalesData[[#This Row],[Quantity]]*SalesData[[#This Row],[Discount]]</f>
        <v>5052.4800000000005</v>
      </c>
      <c r="T138" s="2" t="str">
        <f>IF(SalesData[[#This Row],[Sales]]&gt;5000,"High",IF(SalesData[[#This Row],[Sales]]&gt;2000,"Medium","Low"))</f>
        <v>High</v>
      </c>
      <c r="U138" s="2" t="str">
        <f>IF(COUNTIFS(SalesData[Customer_ID],SalesData[[#This Row],[Customer_ID]])&gt;1,"Repeat","New")</f>
        <v>Repeat</v>
      </c>
      <c r="V138" s="2" t="str">
        <f>IF(SalesData[[#This Row],[Sales]]&gt;AVERAGE(SalesData[Sales]),"Above Avg","Below Avg")</f>
        <v>Above Avg</v>
      </c>
      <c r="W138" s="2" t="str">
        <f>IF(SalesData[[#This Row],[Profit]]&gt;0,"Profit","Loss")</f>
        <v>Profit</v>
      </c>
      <c r="X138" s="2">
        <f>RANK(SalesData[[#This Row],[Sales]],SalesData[Sales])</f>
        <v>71</v>
      </c>
    </row>
    <row r="139" spans="1:24" x14ac:dyDescent="0.3">
      <c r="A139">
        <v>138</v>
      </c>
      <c r="B139" s="1">
        <v>45429</v>
      </c>
      <c r="C139">
        <v>1051</v>
      </c>
      <c r="D139" t="s">
        <v>42</v>
      </c>
      <c r="E139" t="s">
        <v>24</v>
      </c>
      <c r="F139" t="s">
        <v>16</v>
      </c>
      <c r="G139" t="s">
        <v>17</v>
      </c>
      <c r="H139" t="s">
        <v>18</v>
      </c>
      <c r="I139">
        <v>314</v>
      </c>
      <c r="J139">
        <v>3</v>
      </c>
      <c r="K139">
        <v>0.19</v>
      </c>
      <c r="L139">
        <v>1084</v>
      </c>
      <c r="M139" t="s">
        <v>31</v>
      </c>
      <c r="N139">
        <v>763.02</v>
      </c>
      <c r="O139" t="str">
        <f>TEXT(SalesData[[#This Row],[Order_Date]],"mmm")</f>
        <v>May</v>
      </c>
      <c r="P139">
        <f>YEAR(SalesData[[#This Row],[Order_Date]])</f>
        <v>2024</v>
      </c>
      <c r="Q139" t="str">
        <f>"Q"&amp;ROUNDUP(MONTH(SalesData[[#This Row],[Order_Date]])/3,0)</f>
        <v>Q2</v>
      </c>
      <c r="R139" s="2">
        <f>IFERROR(SalesData[[#This Row],[Profit]]/SalesData[[#This Row],[Sales]],0)</f>
        <v>1.4206704935650443</v>
      </c>
      <c r="S139" s="2">
        <f>SalesData[[#This Row],[Price]]*SalesData[[#This Row],[Quantity]]*SalesData[[#This Row],[Discount]]</f>
        <v>178.98</v>
      </c>
      <c r="T139" s="2" t="str">
        <f>IF(SalesData[[#This Row],[Sales]]&gt;5000,"High",IF(SalesData[[#This Row],[Sales]]&gt;2000,"Medium","Low"))</f>
        <v>Low</v>
      </c>
      <c r="U139" s="2" t="str">
        <f>IF(COUNTIFS(SalesData[Customer_ID],SalesData[[#This Row],[Customer_ID]])&gt;1,"Repeat","New")</f>
        <v>Repeat</v>
      </c>
      <c r="V139" s="2" t="str">
        <f>IF(SalesData[[#This Row],[Sales]]&gt;AVERAGE(SalesData[Sales]),"Above Avg","Below Avg")</f>
        <v>Below Avg</v>
      </c>
      <c r="W139" s="2" t="str">
        <f>IF(SalesData[[#This Row],[Profit]]&gt;0,"Profit","Loss")</f>
        <v>Profit</v>
      </c>
      <c r="X139" s="2">
        <f>RANK(SalesData[[#This Row],[Sales]],SalesData[Sales])</f>
        <v>482</v>
      </c>
    </row>
    <row r="140" spans="1:24" x14ac:dyDescent="0.3">
      <c r="A140">
        <v>139</v>
      </c>
      <c r="B140" s="1">
        <v>45430</v>
      </c>
      <c r="C140">
        <v>1007</v>
      </c>
      <c r="D140" t="s">
        <v>71</v>
      </c>
      <c r="E140" t="s">
        <v>15</v>
      </c>
      <c r="F140" t="s">
        <v>21</v>
      </c>
      <c r="G140" t="s">
        <v>22</v>
      </c>
      <c r="H140" t="s">
        <v>18</v>
      </c>
      <c r="I140">
        <v>1085</v>
      </c>
      <c r="J140">
        <v>4</v>
      </c>
      <c r="K140">
        <v>0.14000000000000001</v>
      </c>
      <c r="L140">
        <v>1745</v>
      </c>
      <c r="M140" t="s">
        <v>26</v>
      </c>
      <c r="N140">
        <v>3732.4</v>
      </c>
      <c r="O140" t="str">
        <f>TEXT(SalesData[[#This Row],[Order_Date]],"mmm")</f>
        <v>May</v>
      </c>
      <c r="P140">
        <f>YEAR(SalesData[[#This Row],[Order_Date]])</f>
        <v>2024</v>
      </c>
      <c r="Q140" t="str">
        <f>"Q"&amp;ROUNDUP(MONTH(SalesData[[#This Row],[Order_Date]])/3,0)</f>
        <v>Q2</v>
      </c>
      <c r="R140" s="2">
        <f>IFERROR(SalesData[[#This Row],[Profit]]/SalesData[[#This Row],[Sales]],0)</f>
        <v>0.46752759618476047</v>
      </c>
      <c r="S140" s="2">
        <f>SalesData[[#This Row],[Price]]*SalesData[[#This Row],[Quantity]]*SalesData[[#This Row],[Discount]]</f>
        <v>607.6</v>
      </c>
      <c r="T140" s="2" t="str">
        <f>IF(SalesData[[#This Row],[Sales]]&gt;5000,"High",IF(SalesData[[#This Row],[Sales]]&gt;2000,"Medium","Low"))</f>
        <v>Medium</v>
      </c>
      <c r="U140" s="2" t="str">
        <f>IF(COUNTIFS(SalesData[Customer_ID],SalesData[[#This Row],[Customer_ID]])&gt;1,"Repeat","New")</f>
        <v>Repeat</v>
      </c>
      <c r="V140" s="2" t="str">
        <f>IF(SalesData[[#This Row],[Sales]]&gt;AVERAGE(SalesData[Sales]),"Above Avg","Below Avg")</f>
        <v>Below Avg</v>
      </c>
      <c r="W140" s="2" t="str">
        <f>IF(SalesData[[#This Row],[Profit]]&gt;0,"Profit","Loss")</f>
        <v>Profit</v>
      </c>
      <c r="X140" s="2">
        <f>RANK(SalesData[[#This Row],[Sales]],SalesData[Sales])</f>
        <v>366</v>
      </c>
    </row>
    <row r="141" spans="1:24" x14ac:dyDescent="0.3">
      <c r="A141">
        <v>140</v>
      </c>
      <c r="B141" s="1">
        <v>45431</v>
      </c>
      <c r="C141">
        <v>1088</v>
      </c>
      <c r="D141" t="s">
        <v>90</v>
      </c>
      <c r="E141" t="s">
        <v>24</v>
      </c>
      <c r="F141" t="s">
        <v>33</v>
      </c>
      <c r="G141" t="s">
        <v>34</v>
      </c>
      <c r="H141" t="s">
        <v>18</v>
      </c>
      <c r="I141">
        <v>3383</v>
      </c>
      <c r="J141">
        <v>4</v>
      </c>
      <c r="K141">
        <v>0.01</v>
      </c>
      <c r="L141">
        <v>1826</v>
      </c>
      <c r="M141" t="s">
        <v>31</v>
      </c>
      <c r="N141">
        <v>13396.68</v>
      </c>
      <c r="O141" t="str">
        <f>TEXT(SalesData[[#This Row],[Order_Date]],"mmm")</f>
        <v>May</v>
      </c>
      <c r="P141">
        <f>YEAR(SalesData[[#This Row],[Order_Date]])</f>
        <v>2024</v>
      </c>
      <c r="Q141" t="str">
        <f>"Q"&amp;ROUNDUP(MONTH(SalesData[[#This Row],[Order_Date]])/3,0)</f>
        <v>Q2</v>
      </c>
      <c r="R141" s="2">
        <f>IFERROR(SalesData[[#This Row],[Profit]]/SalesData[[#This Row],[Sales]],0)</f>
        <v>0.13630242716852234</v>
      </c>
      <c r="S141" s="2">
        <f>SalesData[[#This Row],[Price]]*SalesData[[#This Row],[Quantity]]*SalesData[[#This Row],[Discount]]</f>
        <v>135.32</v>
      </c>
      <c r="T141" s="2" t="str">
        <f>IF(SalesData[[#This Row],[Sales]]&gt;5000,"High",IF(SalesData[[#This Row],[Sales]]&gt;2000,"Medium","Low"))</f>
        <v>High</v>
      </c>
      <c r="U141" s="2" t="str">
        <f>IF(COUNTIFS(SalesData[Customer_ID],SalesData[[#This Row],[Customer_ID]])&gt;1,"Repeat","New")</f>
        <v>Repeat</v>
      </c>
      <c r="V141" s="2" t="str">
        <f>IF(SalesData[[#This Row],[Sales]]&gt;AVERAGE(SalesData[Sales]),"Above Avg","Below Avg")</f>
        <v>Above Avg</v>
      </c>
      <c r="W141" s="2" t="str">
        <f>IF(SalesData[[#This Row],[Profit]]&gt;0,"Profit","Loss")</f>
        <v>Profit</v>
      </c>
      <c r="X141" s="2">
        <f>RANK(SalesData[[#This Row],[Sales]],SalesData[Sales])</f>
        <v>153</v>
      </c>
    </row>
    <row r="142" spans="1:24" x14ac:dyDescent="0.3">
      <c r="A142">
        <v>141</v>
      </c>
      <c r="B142" s="1">
        <v>45432</v>
      </c>
      <c r="C142">
        <v>1070</v>
      </c>
      <c r="D142" t="s">
        <v>128</v>
      </c>
      <c r="E142" t="s">
        <v>15</v>
      </c>
      <c r="F142" t="s">
        <v>16</v>
      </c>
      <c r="G142" t="s">
        <v>22</v>
      </c>
      <c r="H142" t="s">
        <v>37</v>
      </c>
      <c r="I142">
        <v>4806</v>
      </c>
      <c r="J142">
        <v>2</v>
      </c>
      <c r="K142">
        <v>0.26</v>
      </c>
      <c r="L142">
        <v>126</v>
      </c>
      <c r="M142" t="s">
        <v>19</v>
      </c>
      <c r="N142">
        <v>7112.88</v>
      </c>
      <c r="O142" t="str">
        <f>TEXT(SalesData[[#This Row],[Order_Date]],"mmm")</f>
        <v>May</v>
      </c>
      <c r="P142">
        <f>YEAR(SalesData[[#This Row],[Order_Date]])</f>
        <v>2024</v>
      </c>
      <c r="Q142" t="str">
        <f>"Q"&amp;ROUNDUP(MONTH(SalesData[[#This Row],[Order_Date]])/3,0)</f>
        <v>Q2</v>
      </c>
      <c r="R142" s="2">
        <f>IFERROR(SalesData[[#This Row],[Profit]]/SalesData[[#This Row],[Sales]],0)</f>
        <v>1.7714343557040185E-2</v>
      </c>
      <c r="S142" s="2">
        <f>SalesData[[#This Row],[Price]]*SalesData[[#This Row],[Quantity]]*SalesData[[#This Row],[Discount]]</f>
        <v>2499.12</v>
      </c>
      <c r="T142" s="2" t="str">
        <f>IF(SalesData[[#This Row],[Sales]]&gt;5000,"High",IF(SalesData[[#This Row],[Sales]]&gt;2000,"Medium","Low"))</f>
        <v>High</v>
      </c>
      <c r="U142" s="2" t="str">
        <f>IF(COUNTIFS(SalesData[Customer_ID],SalesData[[#This Row],[Customer_ID]])&gt;1,"Repeat","New")</f>
        <v>Repeat</v>
      </c>
      <c r="V142" s="2" t="str">
        <f>IF(SalesData[[#This Row],[Sales]]&gt;AVERAGE(SalesData[Sales]),"Above Avg","Below Avg")</f>
        <v>Below Avg</v>
      </c>
      <c r="W142" s="2" t="str">
        <f>IF(SalesData[[#This Row],[Profit]]&gt;0,"Profit","Loss")</f>
        <v>Profit</v>
      </c>
      <c r="X142" s="2">
        <f>RANK(SalesData[[#This Row],[Sales]],SalesData[Sales])</f>
        <v>273</v>
      </c>
    </row>
    <row r="143" spans="1:24" x14ac:dyDescent="0.3">
      <c r="A143">
        <v>142</v>
      </c>
      <c r="B143" s="1">
        <v>45433</v>
      </c>
      <c r="C143">
        <v>1013</v>
      </c>
      <c r="D143" t="s">
        <v>43</v>
      </c>
      <c r="E143" t="s">
        <v>24</v>
      </c>
      <c r="F143" t="s">
        <v>28</v>
      </c>
      <c r="G143" t="s">
        <v>17</v>
      </c>
      <c r="H143" t="s">
        <v>29</v>
      </c>
      <c r="I143">
        <v>2445</v>
      </c>
      <c r="J143">
        <v>3</v>
      </c>
      <c r="K143">
        <v>7.0000000000000007E-2</v>
      </c>
      <c r="L143">
        <v>834</v>
      </c>
      <c r="M143" t="s">
        <v>31</v>
      </c>
      <c r="N143">
        <v>6821.5499999999902</v>
      </c>
      <c r="O143" t="str">
        <f>TEXT(SalesData[[#This Row],[Order_Date]],"mmm")</f>
        <v>May</v>
      </c>
      <c r="P143">
        <f>YEAR(SalesData[[#This Row],[Order_Date]])</f>
        <v>2024</v>
      </c>
      <c r="Q143" t="str">
        <f>"Q"&amp;ROUNDUP(MONTH(SalesData[[#This Row],[Order_Date]])/3,0)</f>
        <v>Q2</v>
      </c>
      <c r="R143" s="2">
        <f>IFERROR(SalesData[[#This Row],[Profit]]/SalesData[[#This Row],[Sales]],0)</f>
        <v>0.12225960375574484</v>
      </c>
      <c r="S143" s="2">
        <f>SalesData[[#This Row],[Price]]*SalesData[[#This Row],[Quantity]]*SalesData[[#This Row],[Discount]]</f>
        <v>513.45000000000005</v>
      </c>
      <c r="T143" s="2" t="str">
        <f>IF(SalesData[[#This Row],[Sales]]&gt;5000,"High",IF(SalesData[[#This Row],[Sales]]&gt;2000,"Medium","Low"))</f>
        <v>High</v>
      </c>
      <c r="U143" s="2" t="str">
        <f>IF(COUNTIFS(SalesData[Customer_ID],SalesData[[#This Row],[Customer_ID]])&gt;1,"Repeat","New")</f>
        <v>Repeat</v>
      </c>
      <c r="V143" s="2" t="str">
        <f>IF(SalesData[[#This Row],[Sales]]&gt;AVERAGE(SalesData[Sales]),"Above Avg","Below Avg")</f>
        <v>Below Avg</v>
      </c>
      <c r="W143" s="2" t="str">
        <f>IF(SalesData[[#This Row],[Profit]]&gt;0,"Profit","Loss")</f>
        <v>Profit</v>
      </c>
      <c r="X143" s="2">
        <f>RANK(SalesData[[#This Row],[Sales]],SalesData[Sales])</f>
        <v>277</v>
      </c>
    </row>
    <row r="144" spans="1:24" x14ac:dyDescent="0.3">
      <c r="A144">
        <v>143</v>
      </c>
      <c r="B144" s="1">
        <v>45434</v>
      </c>
      <c r="C144">
        <v>1028</v>
      </c>
      <c r="D144" t="s">
        <v>57</v>
      </c>
      <c r="E144" t="s">
        <v>15</v>
      </c>
      <c r="F144" t="s">
        <v>33</v>
      </c>
      <c r="G144" t="s">
        <v>34</v>
      </c>
      <c r="H144" t="s">
        <v>37</v>
      </c>
      <c r="I144">
        <v>4838</v>
      </c>
      <c r="J144">
        <v>5</v>
      </c>
      <c r="K144">
        <v>0.17</v>
      </c>
      <c r="L144">
        <v>-431</v>
      </c>
      <c r="M144" t="s">
        <v>19</v>
      </c>
      <c r="N144">
        <v>20077.7</v>
      </c>
      <c r="O144" t="str">
        <f>TEXT(SalesData[[#This Row],[Order_Date]],"mmm")</f>
        <v>May</v>
      </c>
      <c r="P144">
        <f>YEAR(SalesData[[#This Row],[Order_Date]])</f>
        <v>2024</v>
      </c>
      <c r="Q144" t="str">
        <f>"Q"&amp;ROUNDUP(MONTH(SalesData[[#This Row],[Order_Date]])/3,0)</f>
        <v>Q2</v>
      </c>
      <c r="R144" s="2">
        <f>IFERROR(SalesData[[#This Row],[Profit]]/SalesData[[#This Row],[Sales]],0)</f>
        <v>-2.1466602250257746E-2</v>
      </c>
      <c r="S144" s="2">
        <f>SalesData[[#This Row],[Price]]*SalesData[[#This Row],[Quantity]]*SalesData[[#This Row],[Discount]]</f>
        <v>4112.3</v>
      </c>
      <c r="T144" s="2" t="str">
        <f>IF(SalesData[[#This Row],[Sales]]&gt;5000,"High",IF(SalesData[[#This Row],[Sales]]&gt;2000,"Medium","Low"))</f>
        <v>High</v>
      </c>
      <c r="U144" s="2" t="str">
        <f>IF(COUNTIFS(SalesData[Customer_ID],SalesData[[#This Row],[Customer_ID]])&gt;1,"Repeat","New")</f>
        <v>Repeat</v>
      </c>
      <c r="V144" s="2" t="str">
        <f>IF(SalesData[[#This Row],[Sales]]&gt;AVERAGE(SalesData[Sales]),"Above Avg","Below Avg")</f>
        <v>Above Avg</v>
      </c>
      <c r="W144" s="2" t="str">
        <f>IF(SalesData[[#This Row],[Profit]]&gt;0,"Profit","Loss")</f>
        <v>Loss</v>
      </c>
      <c r="X144" s="2">
        <f>RANK(SalesData[[#This Row],[Sales]],SalesData[Sales])</f>
        <v>79</v>
      </c>
    </row>
    <row r="145" spans="1:24" x14ac:dyDescent="0.3">
      <c r="A145">
        <v>144</v>
      </c>
      <c r="B145" s="1">
        <v>45435</v>
      </c>
      <c r="C145">
        <v>1063</v>
      </c>
      <c r="D145" t="s">
        <v>129</v>
      </c>
      <c r="E145" t="s">
        <v>15</v>
      </c>
      <c r="F145" t="s">
        <v>28</v>
      </c>
      <c r="G145" t="s">
        <v>34</v>
      </c>
      <c r="H145" t="s">
        <v>18</v>
      </c>
      <c r="I145">
        <v>3533</v>
      </c>
      <c r="J145">
        <v>3</v>
      </c>
      <c r="K145">
        <v>0.22</v>
      </c>
      <c r="L145">
        <v>1071</v>
      </c>
      <c r="M145" t="s">
        <v>19</v>
      </c>
      <c r="N145">
        <v>8267.2199999999993</v>
      </c>
      <c r="O145" t="str">
        <f>TEXT(SalesData[[#This Row],[Order_Date]],"mmm")</f>
        <v>May</v>
      </c>
      <c r="P145">
        <f>YEAR(SalesData[[#This Row],[Order_Date]])</f>
        <v>2024</v>
      </c>
      <c r="Q145" t="str">
        <f>"Q"&amp;ROUNDUP(MONTH(SalesData[[#This Row],[Order_Date]])/3,0)</f>
        <v>Q2</v>
      </c>
      <c r="R145" s="2">
        <f>IFERROR(SalesData[[#This Row],[Profit]]/SalesData[[#This Row],[Sales]],0)</f>
        <v>0.1295477802695465</v>
      </c>
      <c r="S145" s="2">
        <f>SalesData[[#This Row],[Price]]*SalesData[[#This Row],[Quantity]]*SalesData[[#This Row],[Discount]]</f>
        <v>2331.7800000000002</v>
      </c>
      <c r="T145" s="2" t="str">
        <f>IF(SalesData[[#This Row],[Sales]]&gt;5000,"High",IF(SalesData[[#This Row],[Sales]]&gt;2000,"Medium","Low"))</f>
        <v>High</v>
      </c>
      <c r="U145" s="2" t="str">
        <f>IF(COUNTIFS(SalesData[Customer_ID],SalesData[[#This Row],[Customer_ID]])&gt;1,"Repeat","New")</f>
        <v>Repeat</v>
      </c>
      <c r="V145" s="2" t="str">
        <f>IF(SalesData[[#This Row],[Sales]]&gt;AVERAGE(SalesData[Sales]),"Above Avg","Below Avg")</f>
        <v>Below Avg</v>
      </c>
      <c r="W145" s="2" t="str">
        <f>IF(SalesData[[#This Row],[Profit]]&gt;0,"Profit","Loss")</f>
        <v>Profit</v>
      </c>
      <c r="X145" s="2">
        <f>RANK(SalesData[[#This Row],[Sales]],SalesData[Sales])</f>
        <v>242</v>
      </c>
    </row>
    <row r="146" spans="1:24" x14ac:dyDescent="0.3">
      <c r="A146">
        <v>145</v>
      </c>
      <c r="B146" s="1">
        <v>45436</v>
      </c>
      <c r="C146">
        <v>1084</v>
      </c>
      <c r="D146" t="s">
        <v>130</v>
      </c>
      <c r="E146" t="s">
        <v>24</v>
      </c>
      <c r="F146" t="s">
        <v>28</v>
      </c>
      <c r="G146" t="s">
        <v>34</v>
      </c>
      <c r="H146" t="s">
        <v>25</v>
      </c>
      <c r="I146">
        <v>3727</v>
      </c>
      <c r="J146">
        <v>5</v>
      </c>
      <c r="K146">
        <v>0.06</v>
      </c>
      <c r="L146">
        <v>1304</v>
      </c>
      <c r="M146" t="s">
        <v>31</v>
      </c>
      <c r="N146">
        <v>17516.8999999999</v>
      </c>
      <c r="O146" t="str">
        <f>TEXT(SalesData[[#This Row],[Order_Date]],"mmm")</f>
        <v>May</v>
      </c>
      <c r="P146">
        <f>YEAR(SalesData[[#This Row],[Order_Date]])</f>
        <v>2024</v>
      </c>
      <c r="Q146" t="str">
        <f>"Q"&amp;ROUNDUP(MONTH(SalesData[[#This Row],[Order_Date]])/3,0)</f>
        <v>Q2</v>
      </c>
      <c r="R146" s="2">
        <f>IFERROR(SalesData[[#This Row],[Profit]]/SalesData[[#This Row],[Sales]],0)</f>
        <v>7.4442395629364069E-2</v>
      </c>
      <c r="S146" s="2">
        <f>SalesData[[#This Row],[Price]]*SalesData[[#This Row],[Quantity]]*SalesData[[#This Row],[Discount]]</f>
        <v>1118.0999999999999</v>
      </c>
      <c r="T146" s="2" t="str">
        <f>IF(SalesData[[#This Row],[Sales]]&gt;5000,"High",IF(SalesData[[#This Row],[Sales]]&gt;2000,"Medium","Low"))</f>
        <v>High</v>
      </c>
      <c r="U146" s="2" t="str">
        <f>IF(COUNTIFS(SalesData[Customer_ID],SalesData[[#This Row],[Customer_ID]])&gt;1,"Repeat","New")</f>
        <v>Repeat</v>
      </c>
      <c r="V146" s="2" t="str">
        <f>IF(SalesData[[#This Row],[Sales]]&gt;AVERAGE(SalesData[Sales]),"Above Avg","Below Avg")</f>
        <v>Above Avg</v>
      </c>
      <c r="W146" s="2" t="str">
        <f>IF(SalesData[[#This Row],[Profit]]&gt;0,"Profit","Loss")</f>
        <v>Profit</v>
      </c>
      <c r="X146" s="2">
        <f>RANK(SalesData[[#This Row],[Sales]],SalesData[Sales])</f>
        <v>97</v>
      </c>
    </row>
    <row r="147" spans="1:24" x14ac:dyDescent="0.3">
      <c r="A147">
        <v>146</v>
      </c>
      <c r="B147" s="1">
        <v>45437</v>
      </c>
      <c r="C147">
        <v>1036</v>
      </c>
      <c r="D147" t="s">
        <v>52</v>
      </c>
      <c r="E147" t="s">
        <v>15</v>
      </c>
      <c r="F147" t="s">
        <v>33</v>
      </c>
      <c r="G147" t="s">
        <v>22</v>
      </c>
      <c r="H147" t="s">
        <v>25</v>
      </c>
      <c r="I147">
        <v>3173</v>
      </c>
      <c r="J147">
        <v>8</v>
      </c>
      <c r="K147">
        <v>0.14000000000000001</v>
      </c>
      <c r="L147">
        <v>1176</v>
      </c>
      <c r="M147" t="s">
        <v>26</v>
      </c>
      <c r="N147">
        <v>21830.2399999999</v>
      </c>
      <c r="O147" t="str">
        <f>TEXT(SalesData[[#This Row],[Order_Date]],"mmm")</f>
        <v>May</v>
      </c>
      <c r="P147">
        <f>YEAR(SalesData[[#This Row],[Order_Date]])</f>
        <v>2024</v>
      </c>
      <c r="Q147" t="str">
        <f>"Q"&amp;ROUNDUP(MONTH(SalesData[[#This Row],[Order_Date]])/3,0)</f>
        <v>Q2</v>
      </c>
      <c r="R147" s="2">
        <f>IFERROR(SalesData[[#This Row],[Profit]]/SalesData[[#This Row],[Sales]],0)</f>
        <v>5.3870227720813214E-2</v>
      </c>
      <c r="S147" s="2">
        <f>SalesData[[#This Row],[Price]]*SalesData[[#This Row],[Quantity]]*SalesData[[#This Row],[Discount]]</f>
        <v>3553.76</v>
      </c>
      <c r="T147" s="2" t="str">
        <f>IF(SalesData[[#This Row],[Sales]]&gt;5000,"High",IF(SalesData[[#This Row],[Sales]]&gt;2000,"Medium","Low"))</f>
        <v>High</v>
      </c>
      <c r="U147" s="2" t="str">
        <f>IF(COUNTIFS(SalesData[Customer_ID],SalesData[[#This Row],[Customer_ID]])&gt;1,"Repeat","New")</f>
        <v>Repeat</v>
      </c>
      <c r="V147" s="2" t="str">
        <f>IF(SalesData[[#This Row],[Sales]]&gt;AVERAGE(SalesData[Sales]),"Above Avg","Below Avg")</f>
        <v>Above Avg</v>
      </c>
      <c r="W147" s="2" t="str">
        <f>IF(SalesData[[#This Row],[Profit]]&gt;0,"Profit","Loss")</f>
        <v>Profit</v>
      </c>
      <c r="X147" s="2">
        <f>RANK(SalesData[[#This Row],[Sales]],SalesData[Sales])</f>
        <v>69</v>
      </c>
    </row>
    <row r="148" spans="1:24" x14ac:dyDescent="0.3">
      <c r="A148">
        <v>147</v>
      </c>
      <c r="B148" s="1">
        <v>45438</v>
      </c>
      <c r="C148">
        <v>1096</v>
      </c>
      <c r="D148" t="s">
        <v>131</v>
      </c>
      <c r="E148" t="s">
        <v>15</v>
      </c>
      <c r="F148" t="s">
        <v>21</v>
      </c>
      <c r="G148" t="s">
        <v>34</v>
      </c>
      <c r="H148" t="s">
        <v>18</v>
      </c>
      <c r="I148">
        <v>4473</v>
      </c>
      <c r="J148">
        <v>8</v>
      </c>
      <c r="K148">
        <v>0</v>
      </c>
      <c r="L148">
        <v>126</v>
      </c>
      <c r="M148" t="s">
        <v>26</v>
      </c>
      <c r="N148">
        <v>35784</v>
      </c>
      <c r="O148" t="str">
        <f>TEXT(SalesData[[#This Row],[Order_Date]],"mmm")</f>
        <v>May</v>
      </c>
      <c r="P148">
        <f>YEAR(SalesData[[#This Row],[Order_Date]])</f>
        <v>2024</v>
      </c>
      <c r="Q148" t="str">
        <f>"Q"&amp;ROUNDUP(MONTH(SalesData[[#This Row],[Order_Date]])/3,0)</f>
        <v>Q2</v>
      </c>
      <c r="R148" s="2">
        <f>IFERROR(SalesData[[#This Row],[Profit]]/SalesData[[#This Row],[Sales]],0)</f>
        <v>3.5211267605633804E-3</v>
      </c>
      <c r="S148" s="2">
        <f>SalesData[[#This Row],[Price]]*SalesData[[#This Row],[Quantity]]*SalesData[[#This Row],[Discount]]</f>
        <v>0</v>
      </c>
      <c r="T148" s="2" t="str">
        <f>IF(SalesData[[#This Row],[Sales]]&gt;5000,"High",IF(SalesData[[#This Row],[Sales]]&gt;2000,"Medium","Low"))</f>
        <v>High</v>
      </c>
      <c r="U148" s="2" t="str">
        <f>IF(COUNTIFS(SalesData[Customer_ID],SalesData[[#This Row],[Customer_ID]])&gt;1,"Repeat","New")</f>
        <v>Repeat</v>
      </c>
      <c r="V148" s="2" t="str">
        <f>IF(SalesData[[#This Row],[Sales]]&gt;AVERAGE(SalesData[Sales]),"Above Avg","Below Avg")</f>
        <v>Above Avg</v>
      </c>
      <c r="W148" s="2" t="str">
        <f>IF(SalesData[[#This Row],[Profit]]&gt;0,"Profit","Loss")</f>
        <v>Profit</v>
      </c>
      <c r="X148" s="2">
        <f>RANK(SalesData[[#This Row],[Sales]],SalesData[Sales])</f>
        <v>8</v>
      </c>
    </row>
    <row r="149" spans="1:24" x14ac:dyDescent="0.3">
      <c r="A149">
        <v>148</v>
      </c>
      <c r="B149" s="1">
        <v>45439</v>
      </c>
      <c r="C149">
        <v>1040</v>
      </c>
      <c r="D149" t="s">
        <v>128</v>
      </c>
      <c r="E149" t="s">
        <v>15</v>
      </c>
      <c r="F149" t="s">
        <v>33</v>
      </c>
      <c r="G149" t="s">
        <v>22</v>
      </c>
      <c r="H149" t="s">
        <v>29</v>
      </c>
      <c r="I149">
        <v>3339</v>
      </c>
      <c r="J149">
        <v>3</v>
      </c>
      <c r="K149">
        <v>0.01</v>
      </c>
      <c r="L149">
        <v>-386</v>
      </c>
      <c r="M149" t="s">
        <v>26</v>
      </c>
      <c r="N149">
        <v>9916.83</v>
      </c>
      <c r="O149" t="str">
        <f>TEXT(SalesData[[#This Row],[Order_Date]],"mmm")</f>
        <v>May</v>
      </c>
      <c r="P149">
        <f>YEAR(SalesData[[#This Row],[Order_Date]])</f>
        <v>2024</v>
      </c>
      <c r="Q149" t="str">
        <f>"Q"&amp;ROUNDUP(MONTH(SalesData[[#This Row],[Order_Date]])/3,0)</f>
        <v>Q2</v>
      </c>
      <c r="R149" s="2">
        <f>IFERROR(SalesData[[#This Row],[Profit]]/SalesData[[#This Row],[Sales]],0)</f>
        <v>-3.8923728651191966E-2</v>
      </c>
      <c r="S149" s="2">
        <f>SalesData[[#This Row],[Price]]*SalesData[[#This Row],[Quantity]]*SalesData[[#This Row],[Discount]]</f>
        <v>100.17</v>
      </c>
      <c r="T149" s="2" t="str">
        <f>IF(SalesData[[#This Row],[Sales]]&gt;5000,"High",IF(SalesData[[#This Row],[Sales]]&gt;2000,"Medium","Low"))</f>
        <v>High</v>
      </c>
      <c r="U149" s="2" t="str">
        <f>IF(COUNTIFS(SalesData[Customer_ID],SalesData[[#This Row],[Customer_ID]])&gt;1,"Repeat","New")</f>
        <v>Repeat</v>
      </c>
      <c r="V149" s="2" t="str">
        <f>IF(SalesData[[#This Row],[Sales]]&gt;AVERAGE(SalesData[Sales]),"Above Avg","Below Avg")</f>
        <v>Below Avg</v>
      </c>
      <c r="W149" s="2" t="str">
        <f>IF(SalesData[[#This Row],[Profit]]&gt;0,"Profit","Loss")</f>
        <v>Loss</v>
      </c>
      <c r="X149" s="2">
        <f>RANK(SalesData[[#This Row],[Sales]],SalesData[Sales])</f>
        <v>202</v>
      </c>
    </row>
    <row r="150" spans="1:24" x14ac:dyDescent="0.3">
      <c r="A150">
        <v>149</v>
      </c>
      <c r="B150" s="1">
        <v>45440</v>
      </c>
      <c r="C150">
        <v>1088</v>
      </c>
      <c r="D150" t="s">
        <v>63</v>
      </c>
      <c r="E150" t="s">
        <v>24</v>
      </c>
      <c r="F150" t="s">
        <v>16</v>
      </c>
      <c r="G150" t="s">
        <v>22</v>
      </c>
      <c r="H150" t="s">
        <v>25</v>
      </c>
      <c r="I150">
        <v>1472</v>
      </c>
      <c r="J150">
        <v>5</v>
      </c>
      <c r="K150">
        <v>0.08</v>
      </c>
      <c r="L150">
        <v>788</v>
      </c>
      <c r="M150" t="s">
        <v>19</v>
      </c>
      <c r="N150">
        <v>6771.2</v>
      </c>
      <c r="O150" t="str">
        <f>TEXT(SalesData[[#This Row],[Order_Date]],"mmm")</f>
        <v>May</v>
      </c>
      <c r="P150">
        <f>YEAR(SalesData[[#This Row],[Order_Date]])</f>
        <v>2024</v>
      </c>
      <c r="Q150" t="str">
        <f>"Q"&amp;ROUNDUP(MONTH(SalesData[[#This Row],[Order_Date]])/3,0)</f>
        <v>Q2</v>
      </c>
      <c r="R150" s="2">
        <f>IFERROR(SalesData[[#This Row],[Profit]]/SalesData[[#This Row],[Sales]],0)</f>
        <v>0.11637523629489603</v>
      </c>
      <c r="S150" s="2">
        <f>SalesData[[#This Row],[Price]]*SalesData[[#This Row],[Quantity]]*SalesData[[#This Row],[Discount]]</f>
        <v>588.80000000000007</v>
      </c>
      <c r="T150" s="2" t="str">
        <f>IF(SalesData[[#This Row],[Sales]]&gt;5000,"High",IF(SalesData[[#This Row],[Sales]]&gt;2000,"Medium","Low"))</f>
        <v>High</v>
      </c>
      <c r="U150" s="2" t="str">
        <f>IF(COUNTIFS(SalesData[Customer_ID],SalesData[[#This Row],[Customer_ID]])&gt;1,"Repeat","New")</f>
        <v>Repeat</v>
      </c>
      <c r="V150" s="2" t="str">
        <f>IF(SalesData[[#This Row],[Sales]]&gt;AVERAGE(SalesData[Sales]),"Above Avg","Below Avg")</f>
        <v>Below Avg</v>
      </c>
      <c r="W150" s="2" t="str">
        <f>IF(SalesData[[#This Row],[Profit]]&gt;0,"Profit","Loss")</f>
        <v>Profit</v>
      </c>
      <c r="X150" s="2">
        <f>RANK(SalesData[[#This Row],[Sales]],SalesData[Sales])</f>
        <v>279</v>
      </c>
    </row>
    <row r="151" spans="1:24" x14ac:dyDescent="0.3">
      <c r="A151">
        <v>150</v>
      </c>
      <c r="B151" s="1">
        <v>45441</v>
      </c>
      <c r="C151">
        <v>1063</v>
      </c>
      <c r="D151" t="s">
        <v>132</v>
      </c>
      <c r="E151" t="s">
        <v>24</v>
      </c>
      <c r="F151" t="s">
        <v>21</v>
      </c>
      <c r="G151" t="s">
        <v>22</v>
      </c>
      <c r="H151" t="s">
        <v>29</v>
      </c>
      <c r="I151">
        <v>2138</v>
      </c>
      <c r="J151">
        <v>1</v>
      </c>
      <c r="K151">
        <v>0.2</v>
      </c>
      <c r="L151">
        <v>725</v>
      </c>
      <c r="M151" t="s">
        <v>26</v>
      </c>
      <c r="N151">
        <v>1710.4</v>
      </c>
      <c r="O151" t="str">
        <f>TEXT(SalesData[[#This Row],[Order_Date]],"mmm")</f>
        <v>May</v>
      </c>
      <c r="P151">
        <f>YEAR(SalesData[[#This Row],[Order_Date]])</f>
        <v>2024</v>
      </c>
      <c r="Q151" t="str">
        <f>"Q"&amp;ROUNDUP(MONTH(SalesData[[#This Row],[Order_Date]])/3,0)</f>
        <v>Q2</v>
      </c>
      <c r="R151" s="2">
        <f>IFERROR(SalesData[[#This Row],[Profit]]/SalesData[[#This Row],[Sales]],0)</f>
        <v>0.42387745556594947</v>
      </c>
      <c r="S151" s="2">
        <f>SalesData[[#This Row],[Price]]*SalesData[[#This Row],[Quantity]]*SalesData[[#This Row],[Discount]]</f>
        <v>427.6</v>
      </c>
      <c r="T151" s="2" t="str">
        <f>IF(SalesData[[#This Row],[Sales]]&gt;5000,"High",IF(SalesData[[#This Row],[Sales]]&gt;2000,"Medium","Low"))</f>
        <v>Low</v>
      </c>
      <c r="U151" s="2" t="str">
        <f>IF(COUNTIFS(SalesData[Customer_ID],SalesData[[#This Row],[Customer_ID]])&gt;1,"Repeat","New")</f>
        <v>Repeat</v>
      </c>
      <c r="V151" s="2" t="str">
        <f>IF(SalesData[[#This Row],[Sales]]&gt;AVERAGE(SalesData[Sales]),"Above Avg","Below Avg")</f>
        <v>Below Avg</v>
      </c>
      <c r="W151" s="2" t="str">
        <f>IF(SalesData[[#This Row],[Profit]]&gt;0,"Profit","Loss")</f>
        <v>Profit</v>
      </c>
      <c r="X151" s="2">
        <f>RANK(SalesData[[#This Row],[Sales]],SalesData[Sales])</f>
        <v>446</v>
      </c>
    </row>
    <row r="152" spans="1:24" x14ac:dyDescent="0.3">
      <c r="A152">
        <v>151</v>
      </c>
      <c r="B152" s="1">
        <v>45442</v>
      </c>
      <c r="C152">
        <v>1058</v>
      </c>
      <c r="D152" t="s">
        <v>133</v>
      </c>
      <c r="E152" t="s">
        <v>15</v>
      </c>
      <c r="F152" t="s">
        <v>21</v>
      </c>
      <c r="G152" t="s">
        <v>34</v>
      </c>
      <c r="H152" t="s">
        <v>25</v>
      </c>
      <c r="I152">
        <v>4818</v>
      </c>
      <c r="J152">
        <v>7</v>
      </c>
      <c r="K152">
        <v>0.27</v>
      </c>
      <c r="L152">
        <v>841</v>
      </c>
      <c r="M152" t="s">
        <v>26</v>
      </c>
      <c r="N152">
        <v>24619.98</v>
      </c>
      <c r="O152" t="str">
        <f>TEXT(SalesData[[#This Row],[Order_Date]],"mmm")</f>
        <v>May</v>
      </c>
      <c r="P152">
        <f>YEAR(SalesData[[#This Row],[Order_Date]])</f>
        <v>2024</v>
      </c>
      <c r="Q152" t="str">
        <f>"Q"&amp;ROUNDUP(MONTH(SalesData[[#This Row],[Order_Date]])/3,0)</f>
        <v>Q2</v>
      </c>
      <c r="R152" s="2">
        <f>IFERROR(SalesData[[#This Row],[Profit]]/SalesData[[#This Row],[Sales]],0)</f>
        <v>3.4159247895408529E-2</v>
      </c>
      <c r="S152" s="2">
        <f>SalesData[[#This Row],[Price]]*SalesData[[#This Row],[Quantity]]*SalesData[[#This Row],[Discount]]</f>
        <v>9106.02</v>
      </c>
      <c r="T152" s="2" t="str">
        <f>IF(SalesData[[#This Row],[Sales]]&gt;5000,"High",IF(SalesData[[#This Row],[Sales]]&gt;2000,"Medium","Low"))</f>
        <v>High</v>
      </c>
      <c r="U152" s="2" t="str">
        <f>IF(COUNTIFS(SalesData[Customer_ID],SalesData[[#This Row],[Customer_ID]])&gt;1,"Repeat","New")</f>
        <v>Repeat</v>
      </c>
      <c r="V152" s="2" t="str">
        <f>IF(SalesData[[#This Row],[Sales]]&gt;AVERAGE(SalesData[Sales]),"Above Avg","Below Avg")</f>
        <v>Above Avg</v>
      </c>
      <c r="W152" s="2" t="str">
        <f>IF(SalesData[[#This Row],[Profit]]&gt;0,"Profit","Loss")</f>
        <v>Profit</v>
      </c>
      <c r="X152" s="2">
        <f>RANK(SalesData[[#This Row],[Sales]],SalesData[Sales])</f>
        <v>44</v>
      </c>
    </row>
    <row r="153" spans="1:24" x14ac:dyDescent="0.3">
      <c r="A153">
        <v>152</v>
      </c>
      <c r="B153" s="1">
        <v>45443</v>
      </c>
      <c r="C153">
        <v>1077</v>
      </c>
      <c r="D153" t="s">
        <v>134</v>
      </c>
      <c r="E153" t="s">
        <v>15</v>
      </c>
      <c r="F153" t="s">
        <v>28</v>
      </c>
      <c r="G153" t="s">
        <v>17</v>
      </c>
      <c r="H153" t="s">
        <v>18</v>
      </c>
      <c r="I153">
        <v>3953</v>
      </c>
      <c r="J153">
        <v>3</v>
      </c>
      <c r="K153">
        <v>0.13</v>
      </c>
      <c r="L153">
        <v>1405</v>
      </c>
      <c r="M153" t="s">
        <v>31</v>
      </c>
      <c r="N153">
        <v>10317.33</v>
      </c>
      <c r="O153" t="str">
        <f>TEXT(SalesData[[#This Row],[Order_Date]],"mmm")</f>
        <v>May</v>
      </c>
      <c r="P153">
        <f>YEAR(SalesData[[#This Row],[Order_Date]])</f>
        <v>2024</v>
      </c>
      <c r="Q153" t="str">
        <f>"Q"&amp;ROUNDUP(MONTH(SalesData[[#This Row],[Order_Date]])/3,0)</f>
        <v>Q2</v>
      </c>
      <c r="R153" s="2">
        <f>IFERROR(SalesData[[#This Row],[Profit]]/SalesData[[#This Row],[Sales]],0)</f>
        <v>0.13617864311793845</v>
      </c>
      <c r="S153" s="2">
        <f>SalesData[[#This Row],[Price]]*SalesData[[#This Row],[Quantity]]*SalesData[[#This Row],[Discount]]</f>
        <v>1541.67</v>
      </c>
      <c r="T153" s="2" t="str">
        <f>IF(SalesData[[#This Row],[Sales]]&gt;5000,"High",IF(SalesData[[#This Row],[Sales]]&gt;2000,"Medium","Low"))</f>
        <v>High</v>
      </c>
      <c r="U153" s="2" t="str">
        <f>IF(COUNTIFS(SalesData[Customer_ID],SalesData[[#This Row],[Customer_ID]])&gt;1,"Repeat","New")</f>
        <v>Repeat</v>
      </c>
      <c r="V153" s="2" t="str">
        <f>IF(SalesData[[#This Row],[Sales]]&gt;AVERAGE(SalesData[Sales]),"Above Avg","Below Avg")</f>
        <v>Below Avg</v>
      </c>
      <c r="W153" s="2" t="str">
        <f>IF(SalesData[[#This Row],[Profit]]&gt;0,"Profit","Loss")</f>
        <v>Profit</v>
      </c>
      <c r="X153" s="2">
        <f>RANK(SalesData[[#This Row],[Sales]],SalesData[Sales])</f>
        <v>197</v>
      </c>
    </row>
    <row r="154" spans="1:24" x14ac:dyDescent="0.3">
      <c r="A154">
        <v>153</v>
      </c>
      <c r="B154" s="1">
        <v>45444</v>
      </c>
      <c r="C154">
        <v>1008</v>
      </c>
      <c r="D154" t="s">
        <v>135</v>
      </c>
      <c r="E154" t="s">
        <v>24</v>
      </c>
      <c r="F154" t="s">
        <v>33</v>
      </c>
      <c r="G154" t="s">
        <v>34</v>
      </c>
      <c r="H154" t="s">
        <v>37</v>
      </c>
      <c r="I154">
        <v>3443</v>
      </c>
      <c r="J154">
        <v>7</v>
      </c>
      <c r="K154">
        <v>0.01</v>
      </c>
      <c r="L154">
        <v>1505</v>
      </c>
      <c r="M154" t="s">
        <v>26</v>
      </c>
      <c r="N154">
        <v>23859.99</v>
      </c>
      <c r="O154" t="str">
        <f>TEXT(SalesData[[#This Row],[Order_Date]],"mmm")</f>
        <v>Jun</v>
      </c>
      <c r="P154">
        <f>YEAR(SalesData[[#This Row],[Order_Date]])</f>
        <v>2024</v>
      </c>
      <c r="Q154" t="str">
        <f>"Q"&amp;ROUNDUP(MONTH(SalesData[[#This Row],[Order_Date]])/3,0)</f>
        <v>Q2</v>
      </c>
      <c r="R154" s="2">
        <f>IFERROR(SalesData[[#This Row],[Profit]]/SalesData[[#This Row],[Sales]],0)</f>
        <v>6.3076304726028806E-2</v>
      </c>
      <c r="S154" s="2">
        <f>SalesData[[#This Row],[Price]]*SalesData[[#This Row],[Quantity]]*SalesData[[#This Row],[Discount]]</f>
        <v>241.01</v>
      </c>
      <c r="T154" s="2" t="str">
        <f>IF(SalesData[[#This Row],[Sales]]&gt;5000,"High",IF(SalesData[[#This Row],[Sales]]&gt;2000,"Medium","Low"))</f>
        <v>High</v>
      </c>
      <c r="U154" s="2" t="str">
        <f>IF(COUNTIFS(SalesData[Customer_ID],SalesData[[#This Row],[Customer_ID]])&gt;1,"Repeat","New")</f>
        <v>Repeat</v>
      </c>
      <c r="V154" s="2" t="str">
        <f>IF(SalesData[[#This Row],[Sales]]&gt;AVERAGE(SalesData[Sales]),"Above Avg","Below Avg")</f>
        <v>Above Avg</v>
      </c>
      <c r="W154" s="2" t="str">
        <f>IF(SalesData[[#This Row],[Profit]]&gt;0,"Profit","Loss")</f>
        <v>Profit</v>
      </c>
      <c r="X154" s="2">
        <f>RANK(SalesData[[#This Row],[Sales]],SalesData[Sales])</f>
        <v>52</v>
      </c>
    </row>
    <row r="155" spans="1:24" x14ac:dyDescent="0.3">
      <c r="A155">
        <v>154</v>
      </c>
      <c r="B155" s="1">
        <v>45445</v>
      </c>
      <c r="C155">
        <v>1078</v>
      </c>
      <c r="D155" t="s">
        <v>51</v>
      </c>
      <c r="E155" t="s">
        <v>15</v>
      </c>
      <c r="F155" t="s">
        <v>21</v>
      </c>
      <c r="G155" t="s">
        <v>34</v>
      </c>
      <c r="H155" t="s">
        <v>37</v>
      </c>
      <c r="I155">
        <v>4783</v>
      </c>
      <c r="J155">
        <v>8</v>
      </c>
      <c r="K155">
        <v>0.09</v>
      </c>
      <c r="L155">
        <v>605</v>
      </c>
      <c r="M155" t="s">
        <v>31</v>
      </c>
      <c r="N155">
        <v>34820.239999999998</v>
      </c>
      <c r="O155" t="str">
        <f>TEXT(SalesData[[#This Row],[Order_Date]],"mmm")</f>
        <v>Jun</v>
      </c>
      <c r="P155">
        <f>YEAR(SalesData[[#This Row],[Order_Date]])</f>
        <v>2024</v>
      </c>
      <c r="Q155" t="str">
        <f>"Q"&amp;ROUNDUP(MONTH(SalesData[[#This Row],[Order_Date]])/3,0)</f>
        <v>Q2</v>
      </c>
      <c r="R155" s="2">
        <f>IFERROR(SalesData[[#This Row],[Profit]]/SalesData[[#This Row],[Sales]],0)</f>
        <v>1.7374952039388585E-2</v>
      </c>
      <c r="S155" s="2">
        <f>SalesData[[#This Row],[Price]]*SalesData[[#This Row],[Quantity]]*SalesData[[#This Row],[Discount]]</f>
        <v>3443.7599999999998</v>
      </c>
      <c r="T155" s="2" t="str">
        <f>IF(SalesData[[#This Row],[Sales]]&gt;5000,"High",IF(SalesData[[#This Row],[Sales]]&gt;2000,"Medium","Low"))</f>
        <v>High</v>
      </c>
      <c r="U155" s="2" t="str">
        <f>IF(COUNTIFS(SalesData[Customer_ID],SalesData[[#This Row],[Customer_ID]])&gt;1,"Repeat","New")</f>
        <v>Repeat</v>
      </c>
      <c r="V155" s="2" t="str">
        <f>IF(SalesData[[#This Row],[Sales]]&gt;AVERAGE(SalesData[Sales]),"Above Avg","Below Avg")</f>
        <v>Above Avg</v>
      </c>
      <c r="W155" s="2" t="str">
        <f>IF(SalesData[[#This Row],[Profit]]&gt;0,"Profit","Loss")</f>
        <v>Profit</v>
      </c>
      <c r="X155" s="2">
        <f>RANK(SalesData[[#This Row],[Sales]],SalesData[Sales])</f>
        <v>12</v>
      </c>
    </row>
    <row r="156" spans="1:24" x14ac:dyDescent="0.3">
      <c r="A156">
        <v>155</v>
      </c>
      <c r="B156" s="1">
        <v>45446</v>
      </c>
      <c r="C156">
        <v>1006</v>
      </c>
      <c r="D156" t="s">
        <v>136</v>
      </c>
      <c r="E156" t="s">
        <v>15</v>
      </c>
      <c r="F156" t="s">
        <v>16</v>
      </c>
      <c r="G156" t="s">
        <v>34</v>
      </c>
      <c r="H156" t="s">
        <v>29</v>
      </c>
      <c r="I156">
        <v>4252</v>
      </c>
      <c r="J156">
        <v>7</v>
      </c>
      <c r="K156">
        <v>0.28999999999999998</v>
      </c>
      <c r="L156">
        <v>-483</v>
      </c>
      <c r="M156" t="s">
        <v>26</v>
      </c>
      <c r="N156">
        <v>21132.44</v>
      </c>
      <c r="O156" t="str">
        <f>TEXT(SalesData[[#This Row],[Order_Date]],"mmm")</f>
        <v>Jun</v>
      </c>
      <c r="P156">
        <f>YEAR(SalesData[[#This Row],[Order_Date]])</f>
        <v>2024</v>
      </c>
      <c r="Q156" t="str">
        <f>"Q"&amp;ROUNDUP(MONTH(SalesData[[#This Row],[Order_Date]])/3,0)</f>
        <v>Q2</v>
      </c>
      <c r="R156" s="2">
        <f>IFERROR(SalesData[[#This Row],[Profit]]/SalesData[[#This Row],[Sales]],0)</f>
        <v>-2.2855855736488549E-2</v>
      </c>
      <c r="S156" s="2">
        <f>SalesData[[#This Row],[Price]]*SalesData[[#This Row],[Quantity]]*SalesData[[#This Row],[Discount]]</f>
        <v>8631.56</v>
      </c>
      <c r="T156" s="2" t="str">
        <f>IF(SalesData[[#This Row],[Sales]]&gt;5000,"High",IF(SalesData[[#This Row],[Sales]]&gt;2000,"Medium","Low"))</f>
        <v>High</v>
      </c>
      <c r="U156" s="2" t="str">
        <f>IF(COUNTIFS(SalesData[Customer_ID],SalesData[[#This Row],[Customer_ID]])&gt;1,"Repeat","New")</f>
        <v>Repeat</v>
      </c>
      <c r="V156" s="2" t="str">
        <f>IF(SalesData[[#This Row],[Sales]]&gt;AVERAGE(SalesData[Sales]),"Above Avg","Below Avg")</f>
        <v>Above Avg</v>
      </c>
      <c r="W156" s="2" t="str">
        <f>IF(SalesData[[#This Row],[Profit]]&gt;0,"Profit","Loss")</f>
        <v>Loss</v>
      </c>
      <c r="X156" s="2">
        <f>RANK(SalesData[[#This Row],[Sales]],SalesData[Sales])</f>
        <v>74</v>
      </c>
    </row>
    <row r="157" spans="1:24" x14ac:dyDescent="0.3">
      <c r="A157">
        <v>156</v>
      </c>
      <c r="B157" s="1">
        <v>45447</v>
      </c>
      <c r="C157">
        <v>1065</v>
      </c>
      <c r="D157" t="s">
        <v>107</v>
      </c>
      <c r="E157" t="s">
        <v>24</v>
      </c>
      <c r="F157" t="s">
        <v>16</v>
      </c>
      <c r="G157" t="s">
        <v>34</v>
      </c>
      <c r="H157" t="s">
        <v>18</v>
      </c>
      <c r="I157">
        <v>1868</v>
      </c>
      <c r="J157">
        <v>5</v>
      </c>
      <c r="K157">
        <v>0.03</v>
      </c>
      <c r="L157">
        <v>200</v>
      </c>
      <c r="M157" t="s">
        <v>26</v>
      </c>
      <c r="N157">
        <v>9059.7999999999993</v>
      </c>
      <c r="O157" t="str">
        <f>TEXT(SalesData[[#This Row],[Order_Date]],"mmm")</f>
        <v>Jun</v>
      </c>
      <c r="P157">
        <f>YEAR(SalesData[[#This Row],[Order_Date]])</f>
        <v>2024</v>
      </c>
      <c r="Q157" t="str">
        <f>"Q"&amp;ROUNDUP(MONTH(SalesData[[#This Row],[Order_Date]])/3,0)</f>
        <v>Q2</v>
      </c>
      <c r="R157" s="2">
        <f>IFERROR(SalesData[[#This Row],[Profit]]/SalesData[[#This Row],[Sales]],0)</f>
        <v>2.2075542506457099E-2</v>
      </c>
      <c r="S157" s="2">
        <f>SalesData[[#This Row],[Price]]*SalesData[[#This Row],[Quantity]]*SalesData[[#This Row],[Discount]]</f>
        <v>280.2</v>
      </c>
      <c r="T157" s="2" t="str">
        <f>IF(SalesData[[#This Row],[Sales]]&gt;5000,"High",IF(SalesData[[#This Row],[Sales]]&gt;2000,"Medium","Low"))</f>
        <v>High</v>
      </c>
      <c r="U157" s="2" t="str">
        <f>IF(COUNTIFS(SalesData[Customer_ID],SalesData[[#This Row],[Customer_ID]])&gt;1,"Repeat","New")</f>
        <v>Repeat</v>
      </c>
      <c r="V157" s="2" t="str">
        <f>IF(SalesData[[#This Row],[Sales]]&gt;AVERAGE(SalesData[Sales]),"Above Avg","Below Avg")</f>
        <v>Below Avg</v>
      </c>
      <c r="W157" s="2" t="str">
        <f>IF(SalesData[[#This Row],[Profit]]&gt;0,"Profit","Loss")</f>
        <v>Profit</v>
      </c>
      <c r="X157" s="2">
        <f>RANK(SalesData[[#This Row],[Sales]],SalesData[Sales])</f>
        <v>230</v>
      </c>
    </row>
    <row r="158" spans="1:24" x14ac:dyDescent="0.3">
      <c r="A158">
        <v>157</v>
      </c>
      <c r="B158" s="1">
        <v>45448</v>
      </c>
      <c r="C158">
        <v>1094</v>
      </c>
      <c r="D158" t="s">
        <v>137</v>
      </c>
      <c r="E158" t="s">
        <v>15</v>
      </c>
      <c r="F158" t="s">
        <v>21</v>
      </c>
      <c r="G158" t="s">
        <v>22</v>
      </c>
      <c r="H158" t="s">
        <v>25</v>
      </c>
      <c r="I158">
        <v>138</v>
      </c>
      <c r="J158">
        <v>9</v>
      </c>
      <c r="K158">
        <v>0.23</v>
      </c>
      <c r="L158">
        <v>486</v>
      </c>
      <c r="M158" t="s">
        <v>31</v>
      </c>
      <c r="N158">
        <v>956.34</v>
      </c>
      <c r="O158" t="str">
        <f>TEXT(SalesData[[#This Row],[Order_Date]],"mmm")</f>
        <v>Jun</v>
      </c>
      <c r="P158">
        <f>YEAR(SalesData[[#This Row],[Order_Date]])</f>
        <v>2024</v>
      </c>
      <c r="Q158" t="str">
        <f>"Q"&amp;ROUNDUP(MONTH(SalesData[[#This Row],[Order_Date]])/3,0)</f>
        <v>Q2</v>
      </c>
      <c r="R158" s="2">
        <f>IFERROR(SalesData[[#This Row],[Profit]]/SalesData[[#This Row],[Sales]],0)</f>
        <v>0.50818746470920384</v>
      </c>
      <c r="S158" s="2">
        <f>SalesData[[#This Row],[Price]]*SalesData[[#This Row],[Quantity]]*SalesData[[#This Row],[Discount]]</f>
        <v>285.66000000000003</v>
      </c>
      <c r="T158" s="2" t="str">
        <f>IF(SalesData[[#This Row],[Sales]]&gt;5000,"High",IF(SalesData[[#This Row],[Sales]]&gt;2000,"Medium","Low"))</f>
        <v>Low</v>
      </c>
      <c r="U158" s="2" t="str">
        <f>IF(COUNTIFS(SalesData[Customer_ID],SalesData[[#This Row],[Customer_ID]])&gt;1,"Repeat","New")</f>
        <v>Repeat</v>
      </c>
      <c r="V158" s="2" t="str">
        <f>IF(SalesData[[#This Row],[Sales]]&gt;AVERAGE(SalesData[Sales]),"Above Avg","Below Avg")</f>
        <v>Below Avg</v>
      </c>
      <c r="W158" s="2" t="str">
        <f>IF(SalesData[[#This Row],[Profit]]&gt;0,"Profit","Loss")</f>
        <v>Profit</v>
      </c>
      <c r="X158" s="2">
        <f>RANK(SalesData[[#This Row],[Sales]],SalesData[Sales])</f>
        <v>481</v>
      </c>
    </row>
    <row r="159" spans="1:24" x14ac:dyDescent="0.3">
      <c r="A159">
        <v>158</v>
      </c>
      <c r="B159" s="1">
        <v>45449</v>
      </c>
      <c r="C159">
        <v>1070</v>
      </c>
      <c r="D159" t="s">
        <v>111</v>
      </c>
      <c r="E159" t="s">
        <v>15</v>
      </c>
      <c r="F159" t="s">
        <v>16</v>
      </c>
      <c r="G159" t="s">
        <v>17</v>
      </c>
      <c r="H159" t="s">
        <v>29</v>
      </c>
      <c r="I159">
        <v>3662</v>
      </c>
      <c r="J159">
        <v>1</v>
      </c>
      <c r="K159">
        <v>0.22</v>
      </c>
      <c r="L159">
        <v>-184</v>
      </c>
      <c r="M159" t="s">
        <v>26</v>
      </c>
      <c r="N159">
        <v>2856.36</v>
      </c>
      <c r="O159" t="str">
        <f>TEXT(SalesData[[#This Row],[Order_Date]],"mmm")</f>
        <v>Jun</v>
      </c>
      <c r="P159">
        <f>YEAR(SalesData[[#This Row],[Order_Date]])</f>
        <v>2024</v>
      </c>
      <c r="Q159" t="str">
        <f>"Q"&amp;ROUNDUP(MONTH(SalesData[[#This Row],[Order_Date]])/3,0)</f>
        <v>Q2</v>
      </c>
      <c r="R159" s="2">
        <f>IFERROR(SalesData[[#This Row],[Profit]]/SalesData[[#This Row],[Sales]],0)</f>
        <v>-6.4417650436219526E-2</v>
      </c>
      <c r="S159" s="2">
        <f>SalesData[[#This Row],[Price]]*SalesData[[#This Row],[Quantity]]*SalesData[[#This Row],[Discount]]</f>
        <v>805.64</v>
      </c>
      <c r="T159" s="2" t="str">
        <f>IF(SalesData[[#This Row],[Sales]]&gt;5000,"High",IF(SalesData[[#This Row],[Sales]]&gt;2000,"Medium","Low"))</f>
        <v>Medium</v>
      </c>
      <c r="U159" s="2" t="str">
        <f>IF(COUNTIFS(SalesData[Customer_ID],SalesData[[#This Row],[Customer_ID]])&gt;1,"Repeat","New")</f>
        <v>Repeat</v>
      </c>
      <c r="V159" s="2" t="str">
        <f>IF(SalesData[[#This Row],[Sales]]&gt;AVERAGE(SalesData[Sales]),"Above Avg","Below Avg")</f>
        <v>Below Avg</v>
      </c>
      <c r="W159" s="2" t="str">
        <f>IF(SalesData[[#This Row],[Profit]]&gt;0,"Profit","Loss")</f>
        <v>Loss</v>
      </c>
      <c r="X159" s="2">
        <f>RANK(SalesData[[#This Row],[Sales]],SalesData[Sales])</f>
        <v>397</v>
      </c>
    </row>
    <row r="160" spans="1:24" x14ac:dyDescent="0.3">
      <c r="A160">
        <v>159</v>
      </c>
      <c r="B160" s="1">
        <v>45450</v>
      </c>
      <c r="C160">
        <v>1040</v>
      </c>
      <c r="D160" t="s">
        <v>138</v>
      </c>
      <c r="E160" t="s">
        <v>24</v>
      </c>
      <c r="F160" t="s">
        <v>33</v>
      </c>
      <c r="G160" t="s">
        <v>34</v>
      </c>
      <c r="H160" t="s">
        <v>18</v>
      </c>
      <c r="I160">
        <v>1929</v>
      </c>
      <c r="J160">
        <v>6</v>
      </c>
      <c r="K160">
        <v>0.18</v>
      </c>
      <c r="L160">
        <v>1743</v>
      </c>
      <c r="M160" t="s">
        <v>31</v>
      </c>
      <c r="N160">
        <v>9490.68</v>
      </c>
      <c r="O160" t="str">
        <f>TEXT(SalesData[[#This Row],[Order_Date]],"mmm")</f>
        <v>Jun</v>
      </c>
      <c r="P160">
        <f>YEAR(SalesData[[#This Row],[Order_Date]])</f>
        <v>2024</v>
      </c>
      <c r="Q160" t="str">
        <f>"Q"&amp;ROUNDUP(MONTH(SalesData[[#This Row],[Order_Date]])/3,0)</f>
        <v>Q2</v>
      </c>
      <c r="R160" s="2">
        <f>IFERROR(SalesData[[#This Row],[Profit]]/SalesData[[#This Row],[Sales]],0)</f>
        <v>0.18365385831152245</v>
      </c>
      <c r="S160" s="2">
        <f>SalesData[[#This Row],[Price]]*SalesData[[#This Row],[Quantity]]*SalesData[[#This Row],[Discount]]</f>
        <v>2083.3199999999997</v>
      </c>
      <c r="T160" s="2" t="str">
        <f>IF(SalesData[[#This Row],[Sales]]&gt;5000,"High",IF(SalesData[[#This Row],[Sales]]&gt;2000,"Medium","Low"))</f>
        <v>High</v>
      </c>
      <c r="U160" s="2" t="str">
        <f>IF(COUNTIFS(SalesData[Customer_ID],SalesData[[#This Row],[Customer_ID]])&gt;1,"Repeat","New")</f>
        <v>Repeat</v>
      </c>
      <c r="V160" s="2" t="str">
        <f>IF(SalesData[[#This Row],[Sales]]&gt;AVERAGE(SalesData[Sales]),"Above Avg","Below Avg")</f>
        <v>Below Avg</v>
      </c>
      <c r="W160" s="2" t="str">
        <f>IF(SalesData[[#This Row],[Profit]]&gt;0,"Profit","Loss")</f>
        <v>Profit</v>
      </c>
      <c r="X160" s="2">
        <f>RANK(SalesData[[#This Row],[Sales]],SalesData[Sales])</f>
        <v>217</v>
      </c>
    </row>
    <row r="161" spans="1:24" x14ac:dyDescent="0.3">
      <c r="A161">
        <v>160</v>
      </c>
      <c r="B161" s="1">
        <v>45451</v>
      </c>
      <c r="C161">
        <v>1074</v>
      </c>
      <c r="D161" t="s">
        <v>88</v>
      </c>
      <c r="E161" t="s">
        <v>15</v>
      </c>
      <c r="F161" t="s">
        <v>16</v>
      </c>
      <c r="G161" t="s">
        <v>34</v>
      </c>
      <c r="H161" t="s">
        <v>37</v>
      </c>
      <c r="I161">
        <v>2271</v>
      </c>
      <c r="J161">
        <v>6</v>
      </c>
      <c r="K161">
        <v>0.28000000000000003</v>
      </c>
      <c r="L161">
        <v>1840</v>
      </c>
      <c r="M161" t="s">
        <v>31</v>
      </c>
      <c r="N161">
        <v>9810.7199999999993</v>
      </c>
      <c r="O161" t="str">
        <f>TEXT(SalesData[[#This Row],[Order_Date]],"mmm")</f>
        <v>Jun</v>
      </c>
      <c r="P161">
        <f>YEAR(SalesData[[#This Row],[Order_Date]])</f>
        <v>2024</v>
      </c>
      <c r="Q161" t="str">
        <f>"Q"&amp;ROUNDUP(MONTH(SalesData[[#This Row],[Order_Date]])/3,0)</f>
        <v>Q2</v>
      </c>
      <c r="R161" s="2">
        <f>IFERROR(SalesData[[#This Row],[Profit]]/SalesData[[#This Row],[Sales]],0)</f>
        <v>0.18754994536588548</v>
      </c>
      <c r="S161" s="2">
        <f>SalesData[[#This Row],[Price]]*SalesData[[#This Row],[Quantity]]*SalesData[[#This Row],[Discount]]</f>
        <v>3815.28</v>
      </c>
      <c r="T161" s="2" t="str">
        <f>IF(SalesData[[#This Row],[Sales]]&gt;5000,"High",IF(SalesData[[#This Row],[Sales]]&gt;2000,"Medium","Low"))</f>
        <v>High</v>
      </c>
      <c r="U161" s="2" t="str">
        <f>IF(COUNTIFS(SalesData[Customer_ID],SalesData[[#This Row],[Customer_ID]])&gt;1,"Repeat","New")</f>
        <v>Repeat</v>
      </c>
      <c r="V161" s="2" t="str">
        <f>IF(SalesData[[#This Row],[Sales]]&gt;AVERAGE(SalesData[Sales]),"Above Avg","Below Avg")</f>
        <v>Below Avg</v>
      </c>
      <c r="W161" s="2" t="str">
        <f>IF(SalesData[[#This Row],[Profit]]&gt;0,"Profit","Loss")</f>
        <v>Profit</v>
      </c>
      <c r="X161" s="2">
        <f>RANK(SalesData[[#This Row],[Sales]],SalesData[Sales])</f>
        <v>207</v>
      </c>
    </row>
    <row r="162" spans="1:24" x14ac:dyDescent="0.3">
      <c r="A162">
        <v>161</v>
      </c>
      <c r="B162" s="1">
        <v>45452</v>
      </c>
      <c r="C162">
        <v>1076</v>
      </c>
      <c r="D162" t="s">
        <v>139</v>
      </c>
      <c r="E162" t="s">
        <v>15</v>
      </c>
      <c r="F162" t="s">
        <v>21</v>
      </c>
      <c r="G162" t="s">
        <v>22</v>
      </c>
      <c r="H162" t="s">
        <v>37</v>
      </c>
      <c r="I162">
        <v>208</v>
      </c>
      <c r="J162">
        <v>7</v>
      </c>
      <c r="K162">
        <v>0.19</v>
      </c>
      <c r="L162">
        <v>1079</v>
      </c>
      <c r="M162" t="s">
        <v>26</v>
      </c>
      <c r="N162">
        <v>1179.3599999999999</v>
      </c>
      <c r="O162" t="str">
        <f>TEXT(SalesData[[#This Row],[Order_Date]],"mmm")</f>
        <v>Jun</v>
      </c>
      <c r="P162">
        <f>YEAR(SalesData[[#This Row],[Order_Date]])</f>
        <v>2024</v>
      </c>
      <c r="Q162" t="str">
        <f>"Q"&amp;ROUNDUP(MONTH(SalesData[[#This Row],[Order_Date]])/3,0)</f>
        <v>Q2</v>
      </c>
      <c r="R162" s="2">
        <f>IFERROR(SalesData[[#This Row],[Profit]]/SalesData[[#This Row],[Sales]],0)</f>
        <v>0.9149029982363317</v>
      </c>
      <c r="S162" s="2">
        <f>SalesData[[#This Row],[Price]]*SalesData[[#This Row],[Quantity]]*SalesData[[#This Row],[Discount]]</f>
        <v>276.64</v>
      </c>
      <c r="T162" s="2" t="str">
        <f>IF(SalesData[[#This Row],[Sales]]&gt;5000,"High",IF(SalesData[[#This Row],[Sales]]&gt;2000,"Medium","Low"))</f>
        <v>Low</v>
      </c>
      <c r="U162" s="2" t="str">
        <f>IF(COUNTIFS(SalesData[Customer_ID],SalesData[[#This Row],[Customer_ID]])&gt;1,"Repeat","New")</f>
        <v>Repeat</v>
      </c>
      <c r="V162" s="2" t="str">
        <f>IF(SalesData[[#This Row],[Sales]]&gt;AVERAGE(SalesData[Sales]),"Above Avg","Below Avg")</f>
        <v>Below Avg</v>
      </c>
      <c r="W162" s="2" t="str">
        <f>IF(SalesData[[#This Row],[Profit]]&gt;0,"Profit","Loss")</f>
        <v>Profit</v>
      </c>
      <c r="X162" s="2">
        <f>RANK(SalesData[[#This Row],[Sales]],SalesData[Sales])</f>
        <v>469</v>
      </c>
    </row>
    <row r="163" spans="1:24" x14ac:dyDescent="0.3">
      <c r="A163">
        <v>162</v>
      </c>
      <c r="B163" s="1">
        <v>45453</v>
      </c>
      <c r="C163">
        <v>1076</v>
      </c>
      <c r="D163" t="s">
        <v>140</v>
      </c>
      <c r="E163" t="s">
        <v>15</v>
      </c>
      <c r="F163" t="s">
        <v>16</v>
      </c>
      <c r="G163" t="s">
        <v>22</v>
      </c>
      <c r="H163" t="s">
        <v>37</v>
      </c>
      <c r="I163">
        <v>4940</v>
      </c>
      <c r="J163">
        <v>7</v>
      </c>
      <c r="K163">
        <v>0.28999999999999998</v>
      </c>
      <c r="L163">
        <v>-154</v>
      </c>
      <c r="M163" t="s">
        <v>26</v>
      </c>
      <c r="N163">
        <v>24551.8</v>
      </c>
      <c r="O163" t="str">
        <f>TEXT(SalesData[[#This Row],[Order_Date]],"mmm")</f>
        <v>Jun</v>
      </c>
      <c r="P163">
        <f>YEAR(SalesData[[#This Row],[Order_Date]])</f>
        <v>2024</v>
      </c>
      <c r="Q163" t="str">
        <f>"Q"&amp;ROUNDUP(MONTH(SalesData[[#This Row],[Order_Date]])/3,0)</f>
        <v>Q2</v>
      </c>
      <c r="R163" s="2">
        <f>IFERROR(SalesData[[#This Row],[Profit]]/SalesData[[#This Row],[Sales]],0)</f>
        <v>-6.272452528938815E-3</v>
      </c>
      <c r="S163" s="2">
        <f>SalesData[[#This Row],[Price]]*SalesData[[#This Row],[Quantity]]*SalesData[[#This Row],[Discount]]</f>
        <v>10028.199999999999</v>
      </c>
      <c r="T163" s="2" t="str">
        <f>IF(SalesData[[#This Row],[Sales]]&gt;5000,"High",IF(SalesData[[#This Row],[Sales]]&gt;2000,"Medium","Low"))</f>
        <v>High</v>
      </c>
      <c r="U163" s="2" t="str">
        <f>IF(COUNTIFS(SalesData[Customer_ID],SalesData[[#This Row],[Customer_ID]])&gt;1,"Repeat","New")</f>
        <v>Repeat</v>
      </c>
      <c r="V163" s="2" t="str">
        <f>IF(SalesData[[#This Row],[Sales]]&gt;AVERAGE(SalesData[Sales]),"Above Avg","Below Avg")</f>
        <v>Above Avg</v>
      </c>
      <c r="W163" s="2" t="str">
        <f>IF(SalesData[[#This Row],[Profit]]&gt;0,"Profit","Loss")</f>
        <v>Loss</v>
      </c>
      <c r="X163" s="2">
        <f>RANK(SalesData[[#This Row],[Sales]],SalesData[Sales])</f>
        <v>45</v>
      </c>
    </row>
    <row r="164" spans="1:24" x14ac:dyDescent="0.3">
      <c r="A164">
        <v>163</v>
      </c>
      <c r="B164" s="1">
        <v>45454</v>
      </c>
      <c r="C164">
        <v>1025</v>
      </c>
      <c r="D164" t="s">
        <v>66</v>
      </c>
      <c r="E164" t="s">
        <v>15</v>
      </c>
      <c r="F164" t="s">
        <v>28</v>
      </c>
      <c r="G164" t="s">
        <v>22</v>
      </c>
      <c r="H164" t="s">
        <v>29</v>
      </c>
      <c r="I164">
        <v>4228</v>
      </c>
      <c r="J164">
        <v>2</v>
      </c>
      <c r="K164">
        <v>0.25</v>
      </c>
      <c r="L164">
        <v>115</v>
      </c>
      <c r="M164" t="s">
        <v>26</v>
      </c>
      <c r="N164">
        <v>6342</v>
      </c>
      <c r="O164" t="str">
        <f>TEXT(SalesData[[#This Row],[Order_Date]],"mmm")</f>
        <v>Jun</v>
      </c>
      <c r="P164">
        <f>YEAR(SalesData[[#This Row],[Order_Date]])</f>
        <v>2024</v>
      </c>
      <c r="Q164" t="str">
        <f>"Q"&amp;ROUNDUP(MONTH(SalesData[[#This Row],[Order_Date]])/3,0)</f>
        <v>Q2</v>
      </c>
      <c r="R164" s="2">
        <f>IFERROR(SalesData[[#This Row],[Profit]]/SalesData[[#This Row],[Sales]],0)</f>
        <v>1.8133081046988332E-2</v>
      </c>
      <c r="S164" s="2">
        <f>SalesData[[#This Row],[Price]]*SalesData[[#This Row],[Quantity]]*SalesData[[#This Row],[Discount]]</f>
        <v>2114</v>
      </c>
      <c r="T164" s="2" t="str">
        <f>IF(SalesData[[#This Row],[Sales]]&gt;5000,"High",IF(SalesData[[#This Row],[Sales]]&gt;2000,"Medium","Low"))</f>
        <v>High</v>
      </c>
      <c r="U164" s="2" t="str">
        <f>IF(COUNTIFS(SalesData[Customer_ID],SalesData[[#This Row],[Customer_ID]])&gt;1,"Repeat","New")</f>
        <v>Repeat</v>
      </c>
      <c r="V164" s="2" t="str">
        <f>IF(SalesData[[#This Row],[Sales]]&gt;AVERAGE(SalesData[Sales]),"Above Avg","Below Avg")</f>
        <v>Below Avg</v>
      </c>
      <c r="W164" s="2" t="str">
        <f>IF(SalesData[[#This Row],[Profit]]&gt;0,"Profit","Loss")</f>
        <v>Profit</v>
      </c>
      <c r="X164" s="2">
        <f>RANK(SalesData[[#This Row],[Sales]],SalesData[Sales])</f>
        <v>287</v>
      </c>
    </row>
    <row r="165" spans="1:24" x14ac:dyDescent="0.3">
      <c r="A165">
        <v>164</v>
      </c>
      <c r="B165" s="1">
        <v>45455</v>
      </c>
      <c r="C165">
        <v>1007</v>
      </c>
      <c r="D165" t="s">
        <v>91</v>
      </c>
      <c r="E165" t="s">
        <v>15</v>
      </c>
      <c r="F165" t="s">
        <v>16</v>
      </c>
      <c r="G165" t="s">
        <v>17</v>
      </c>
      <c r="H165" t="s">
        <v>37</v>
      </c>
      <c r="I165">
        <v>4335</v>
      </c>
      <c r="J165">
        <v>5</v>
      </c>
      <c r="K165">
        <v>0.24</v>
      </c>
      <c r="L165">
        <v>1958</v>
      </c>
      <c r="M165" t="s">
        <v>19</v>
      </c>
      <c r="N165">
        <v>16473</v>
      </c>
      <c r="O165" t="str">
        <f>TEXT(SalesData[[#This Row],[Order_Date]],"mmm")</f>
        <v>Jun</v>
      </c>
      <c r="P165">
        <f>YEAR(SalesData[[#This Row],[Order_Date]])</f>
        <v>2024</v>
      </c>
      <c r="Q165" t="str">
        <f>"Q"&amp;ROUNDUP(MONTH(SalesData[[#This Row],[Order_Date]])/3,0)</f>
        <v>Q2</v>
      </c>
      <c r="R165" s="2">
        <f>IFERROR(SalesData[[#This Row],[Profit]]/SalesData[[#This Row],[Sales]],0)</f>
        <v>0.11886116675772476</v>
      </c>
      <c r="S165" s="2">
        <f>SalesData[[#This Row],[Price]]*SalesData[[#This Row],[Quantity]]*SalesData[[#This Row],[Discount]]</f>
        <v>5202</v>
      </c>
      <c r="T165" s="2" t="str">
        <f>IF(SalesData[[#This Row],[Sales]]&gt;5000,"High",IF(SalesData[[#This Row],[Sales]]&gt;2000,"Medium","Low"))</f>
        <v>High</v>
      </c>
      <c r="U165" s="2" t="str">
        <f>IF(COUNTIFS(SalesData[Customer_ID],SalesData[[#This Row],[Customer_ID]])&gt;1,"Repeat","New")</f>
        <v>Repeat</v>
      </c>
      <c r="V165" s="2" t="str">
        <f>IF(SalesData[[#This Row],[Sales]]&gt;AVERAGE(SalesData[Sales]),"Above Avg","Below Avg")</f>
        <v>Above Avg</v>
      </c>
      <c r="W165" s="2" t="str">
        <f>IF(SalesData[[#This Row],[Profit]]&gt;0,"Profit","Loss")</f>
        <v>Profit</v>
      </c>
      <c r="X165" s="2">
        <f>RANK(SalesData[[#This Row],[Sales]],SalesData[Sales])</f>
        <v>116</v>
      </c>
    </row>
    <row r="166" spans="1:24" x14ac:dyDescent="0.3">
      <c r="A166">
        <v>165</v>
      </c>
      <c r="B166" s="1">
        <v>45456</v>
      </c>
      <c r="C166">
        <v>1013</v>
      </c>
      <c r="D166" t="s">
        <v>52</v>
      </c>
      <c r="E166" t="s">
        <v>15</v>
      </c>
      <c r="F166" t="s">
        <v>28</v>
      </c>
      <c r="G166" t="s">
        <v>22</v>
      </c>
      <c r="H166" t="s">
        <v>29</v>
      </c>
      <c r="I166">
        <v>4277</v>
      </c>
      <c r="J166">
        <v>6</v>
      </c>
      <c r="K166">
        <v>0.28999999999999998</v>
      </c>
      <c r="L166">
        <v>-94</v>
      </c>
      <c r="M166" t="s">
        <v>31</v>
      </c>
      <c r="N166">
        <v>18220.02</v>
      </c>
      <c r="O166" t="str">
        <f>TEXT(SalesData[[#This Row],[Order_Date]],"mmm")</f>
        <v>Jun</v>
      </c>
      <c r="P166">
        <f>YEAR(SalesData[[#This Row],[Order_Date]])</f>
        <v>2024</v>
      </c>
      <c r="Q166" t="str">
        <f>"Q"&amp;ROUNDUP(MONTH(SalesData[[#This Row],[Order_Date]])/3,0)</f>
        <v>Q2</v>
      </c>
      <c r="R166" s="2">
        <f>IFERROR(SalesData[[#This Row],[Profit]]/SalesData[[#This Row],[Sales]],0)</f>
        <v>-5.1591600887375532E-3</v>
      </c>
      <c r="S166" s="2">
        <f>SalesData[[#This Row],[Price]]*SalesData[[#This Row],[Quantity]]*SalesData[[#This Row],[Discount]]</f>
        <v>7441.98</v>
      </c>
      <c r="T166" s="2" t="str">
        <f>IF(SalesData[[#This Row],[Sales]]&gt;5000,"High",IF(SalesData[[#This Row],[Sales]]&gt;2000,"Medium","Low"))</f>
        <v>High</v>
      </c>
      <c r="U166" s="2" t="str">
        <f>IF(COUNTIFS(SalesData[Customer_ID],SalesData[[#This Row],[Customer_ID]])&gt;1,"Repeat","New")</f>
        <v>Repeat</v>
      </c>
      <c r="V166" s="2" t="str">
        <f>IF(SalesData[[#This Row],[Sales]]&gt;AVERAGE(SalesData[Sales]),"Above Avg","Below Avg")</f>
        <v>Above Avg</v>
      </c>
      <c r="W166" s="2" t="str">
        <f>IF(SalesData[[#This Row],[Profit]]&gt;0,"Profit","Loss")</f>
        <v>Loss</v>
      </c>
      <c r="X166" s="2">
        <f>RANK(SalesData[[#This Row],[Sales]],SalesData[Sales])</f>
        <v>89</v>
      </c>
    </row>
    <row r="167" spans="1:24" x14ac:dyDescent="0.3">
      <c r="A167">
        <v>166</v>
      </c>
      <c r="B167" s="1">
        <v>45457</v>
      </c>
      <c r="C167">
        <v>1044</v>
      </c>
      <c r="D167" t="s">
        <v>141</v>
      </c>
      <c r="E167" t="s">
        <v>24</v>
      </c>
      <c r="F167" t="s">
        <v>33</v>
      </c>
      <c r="G167" t="s">
        <v>17</v>
      </c>
      <c r="H167" t="s">
        <v>25</v>
      </c>
      <c r="I167">
        <v>3206</v>
      </c>
      <c r="J167">
        <v>2</v>
      </c>
      <c r="K167">
        <v>0.19</v>
      </c>
      <c r="L167">
        <v>1742</v>
      </c>
      <c r="M167" t="s">
        <v>31</v>
      </c>
      <c r="N167">
        <v>5193.72</v>
      </c>
      <c r="O167" t="str">
        <f>TEXT(SalesData[[#This Row],[Order_Date]],"mmm")</f>
        <v>Jun</v>
      </c>
      <c r="P167">
        <f>YEAR(SalesData[[#This Row],[Order_Date]])</f>
        <v>2024</v>
      </c>
      <c r="Q167" t="str">
        <f>"Q"&amp;ROUNDUP(MONTH(SalesData[[#This Row],[Order_Date]])/3,0)</f>
        <v>Q2</v>
      </c>
      <c r="R167" s="2">
        <f>IFERROR(SalesData[[#This Row],[Profit]]/SalesData[[#This Row],[Sales]],0)</f>
        <v>0.33540506611831211</v>
      </c>
      <c r="S167" s="2">
        <f>SalesData[[#This Row],[Price]]*SalesData[[#This Row],[Quantity]]*SalesData[[#This Row],[Discount]]</f>
        <v>1218.28</v>
      </c>
      <c r="T167" s="2" t="str">
        <f>IF(SalesData[[#This Row],[Sales]]&gt;5000,"High",IF(SalesData[[#This Row],[Sales]]&gt;2000,"Medium","Low"))</f>
        <v>High</v>
      </c>
      <c r="U167" s="2" t="str">
        <f>IF(COUNTIFS(SalesData[Customer_ID],SalesData[[#This Row],[Customer_ID]])&gt;1,"Repeat","New")</f>
        <v>Repeat</v>
      </c>
      <c r="V167" s="2" t="str">
        <f>IF(SalesData[[#This Row],[Sales]]&gt;AVERAGE(SalesData[Sales]),"Above Avg","Below Avg")</f>
        <v>Below Avg</v>
      </c>
      <c r="W167" s="2" t="str">
        <f>IF(SalesData[[#This Row],[Profit]]&gt;0,"Profit","Loss")</f>
        <v>Profit</v>
      </c>
      <c r="X167" s="2">
        <f>RANK(SalesData[[#This Row],[Sales]],SalesData[Sales])</f>
        <v>319</v>
      </c>
    </row>
    <row r="168" spans="1:24" x14ac:dyDescent="0.3">
      <c r="A168">
        <v>167</v>
      </c>
      <c r="B168" s="1">
        <v>45458</v>
      </c>
      <c r="C168">
        <v>1001</v>
      </c>
      <c r="D168" t="s">
        <v>62</v>
      </c>
      <c r="E168" t="s">
        <v>15</v>
      </c>
      <c r="F168" t="s">
        <v>33</v>
      </c>
      <c r="G168" t="s">
        <v>34</v>
      </c>
      <c r="H168" t="s">
        <v>37</v>
      </c>
      <c r="I168">
        <v>236</v>
      </c>
      <c r="J168">
        <v>9</v>
      </c>
      <c r="K168">
        <v>0.1</v>
      </c>
      <c r="L168">
        <v>-188</v>
      </c>
      <c r="M168" t="s">
        <v>31</v>
      </c>
      <c r="N168">
        <v>1911.6</v>
      </c>
      <c r="O168" t="str">
        <f>TEXT(SalesData[[#This Row],[Order_Date]],"mmm")</f>
        <v>Jun</v>
      </c>
      <c r="P168">
        <f>YEAR(SalesData[[#This Row],[Order_Date]])</f>
        <v>2024</v>
      </c>
      <c r="Q168" t="str">
        <f>"Q"&amp;ROUNDUP(MONTH(SalesData[[#This Row],[Order_Date]])/3,0)</f>
        <v>Q2</v>
      </c>
      <c r="R168" s="2">
        <f>IFERROR(SalesData[[#This Row],[Profit]]/SalesData[[#This Row],[Sales]],0)</f>
        <v>-9.8346934505126604E-2</v>
      </c>
      <c r="S168" s="2">
        <f>SalesData[[#This Row],[Price]]*SalesData[[#This Row],[Quantity]]*SalesData[[#This Row],[Discount]]</f>
        <v>212.4</v>
      </c>
      <c r="T168" s="2" t="str">
        <f>IF(SalesData[[#This Row],[Sales]]&gt;5000,"High",IF(SalesData[[#This Row],[Sales]]&gt;2000,"Medium","Low"))</f>
        <v>Low</v>
      </c>
      <c r="U168" s="2" t="str">
        <f>IF(COUNTIFS(SalesData[Customer_ID],SalesData[[#This Row],[Customer_ID]])&gt;1,"Repeat","New")</f>
        <v>Repeat</v>
      </c>
      <c r="V168" s="2" t="str">
        <f>IF(SalesData[[#This Row],[Sales]]&gt;AVERAGE(SalesData[Sales]),"Above Avg","Below Avg")</f>
        <v>Below Avg</v>
      </c>
      <c r="W168" s="2" t="str">
        <f>IF(SalesData[[#This Row],[Profit]]&gt;0,"Profit","Loss")</f>
        <v>Loss</v>
      </c>
      <c r="X168" s="2">
        <f>RANK(SalesData[[#This Row],[Sales]],SalesData[Sales])</f>
        <v>436</v>
      </c>
    </row>
    <row r="169" spans="1:24" x14ac:dyDescent="0.3">
      <c r="A169">
        <v>168</v>
      </c>
      <c r="B169" s="1">
        <v>45459</v>
      </c>
      <c r="C169">
        <v>1041</v>
      </c>
      <c r="D169" t="s">
        <v>142</v>
      </c>
      <c r="E169" t="s">
        <v>24</v>
      </c>
      <c r="F169" t="s">
        <v>33</v>
      </c>
      <c r="G169" t="s">
        <v>22</v>
      </c>
      <c r="H169" t="s">
        <v>37</v>
      </c>
      <c r="I169">
        <v>3837</v>
      </c>
      <c r="J169">
        <v>6</v>
      </c>
      <c r="K169">
        <v>0.03</v>
      </c>
      <c r="L169">
        <v>-151</v>
      </c>
      <c r="M169" t="s">
        <v>31</v>
      </c>
      <c r="N169">
        <v>22331.34</v>
      </c>
      <c r="O169" t="str">
        <f>TEXT(SalesData[[#This Row],[Order_Date]],"mmm")</f>
        <v>Jun</v>
      </c>
      <c r="P169">
        <f>YEAR(SalesData[[#This Row],[Order_Date]])</f>
        <v>2024</v>
      </c>
      <c r="Q169" t="str">
        <f>"Q"&amp;ROUNDUP(MONTH(SalesData[[#This Row],[Order_Date]])/3,0)</f>
        <v>Q2</v>
      </c>
      <c r="R169" s="2">
        <f>IFERROR(SalesData[[#This Row],[Profit]]/SalesData[[#This Row],[Sales]],0)</f>
        <v>-6.7617975455122707E-3</v>
      </c>
      <c r="S169" s="2">
        <f>SalesData[[#This Row],[Price]]*SalesData[[#This Row],[Quantity]]*SalesData[[#This Row],[Discount]]</f>
        <v>690.66</v>
      </c>
      <c r="T169" s="2" t="str">
        <f>IF(SalesData[[#This Row],[Sales]]&gt;5000,"High",IF(SalesData[[#This Row],[Sales]]&gt;2000,"Medium","Low"))</f>
        <v>High</v>
      </c>
      <c r="U169" s="2" t="str">
        <f>IF(COUNTIFS(SalesData[Customer_ID],SalesData[[#This Row],[Customer_ID]])&gt;1,"Repeat","New")</f>
        <v>Repeat</v>
      </c>
      <c r="V169" s="2" t="str">
        <f>IF(SalesData[[#This Row],[Sales]]&gt;AVERAGE(SalesData[Sales]),"Above Avg","Below Avg")</f>
        <v>Above Avg</v>
      </c>
      <c r="W169" s="2" t="str">
        <f>IF(SalesData[[#This Row],[Profit]]&gt;0,"Profit","Loss")</f>
        <v>Loss</v>
      </c>
      <c r="X169" s="2">
        <f>RANK(SalesData[[#This Row],[Sales]],SalesData[Sales])</f>
        <v>64</v>
      </c>
    </row>
    <row r="170" spans="1:24" x14ac:dyDescent="0.3">
      <c r="A170">
        <v>169</v>
      </c>
      <c r="B170" s="1">
        <v>45460</v>
      </c>
      <c r="C170">
        <v>1078</v>
      </c>
      <c r="D170" t="s">
        <v>143</v>
      </c>
      <c r="E170" t="s">
        <v>15</v>
      </c>
      <c r="F170" t="s">
        <v>33</v>
      </c>
      <c r="G170" t="s">
        <v>34</v>
      </c>
      <c r="H170" t="s">
        <v>37</v>
      </c>
      <c r="I170">
        <v>3951</v>
      </c>
      <c r="J170">
        <v>5</v>
      </c>
      <c r="K170">
        <v>0.21</v>
      </c>
      <c r="L170">
        <v>1112</v>
      </c>
      <c r="M170" t="s">
        <v>31</v>
      </c>
      <c r="N170">
        <v>15606.45</v>
      </c>
      <c r="O170" t="str">
        <f>TEXT(SalesData[[#This Row],[Order_Date]],"mmm")</f>
        <v>Jun</v>
      </c>
      <c r="P170">
        <f>YEAR(SalesData[[#This Row],[Order_Date]])</f>
        <v>2024</v>
      </c>
      <c r="Q170" t="str">
        <f>"Q"&amp;ROUNDUP(MONTH(SalesData[[#This Row],[Order_Date]])/3,0)</f>
        <v>Q2</v>
      </c>
      <c r="R170" s="2">
        <f>IFERROR(SalesData[[#This Row],[Profit]]/SalesData[[#This Row],[Sales]],0)</f>
        <v>7.1252591076125568E-2</v>
      </c>
      <c r="S170" s="2">
        <f>SalesData[[#This Row],[Price]]*SalesData[[#This Row],[Quantity]]*SalesData[[#This Row],[Discount]]</f>
        <v>4148.55</v>
      </c>
      <c r="T170" s="2" t="str">
        <f>IF(SalesData[[#This Row],[Sales]]&gt;5000,"High",IF(SalesData[[#This Row],[Sales]]&gt;2000,"Medium","Low"))</f>
        <v>High</v>
      </c>
      <c r="U170" s="2" t="str">
        <f>IF(COUNTIFS(SalesData[Customer_ID],SalesData[[#This Row],[Customer_ID]])&gt;1,"Repeat","New")</f>
        <v>Repeat</v>
      </c>
      <c r="V170" s="2" t="str">
        <f>IF(SalesData[[#This Row],[Sales]]&gt;AVERAGE(SalesData[Sales]),"Above Avg","Below Avg")</f>
        <v>Above Avg</v>
      </c>
      <c r="W170" s="2" t="str">
        <f>IF(SalesData[[#This Row],[Profit]]&gt;0,"Profit","Loss")</f>
        <v>Profit</v>
      </c>
      <c r="X170" s="2">
        <f>RANK(SalesData[[#This Row],[Sales]],SalesData[Sales])</f>
        <v>134</v>
      </c>
    </row>
    <row r="171" spans="1:24" x14ac:dyDescent="0.3">
      <c r="A171">
        <v>170</v>
      </c>
      <c r="B171" s="1">
        <v>45461</v>
      </c>
      <c r="C171">
        <v>1056</v>
      </c>
      <c r="D171" t="s">
        <v>92</v>
      </c>
      <c r="E171" t="s">
        <v>24</v>
      </c>
      <c r="F171" t="s">
        <v>28</v>
      </c>
      <c r="G171" t="s">
        <v>34</v>
      </c>
      <c r="H171" t="s">
        <v>37</v>
      </c>
      <c r="I171">
        <v>430</v>
      </c>
      <c r="J171">
        <v>8</v>
      </c>
      <c r="K171">
        <v>0.16</v>
      </c>
      <c r="L171">
        <v>403</v>
      </c>
      <c r="M171" t="s">
        <v>26</v>
      </c>
      <c r="N171">
        <v>2889.6</v>
      </c>
      <c r="O171" t="str">
        <f>TEXT(SalesData[[#This Row],[Order_Date]],"mmm")</f>
        <v>Jun</v>
      </c>
      <c r="P171">
        <f>YEAR(SalesData[[#This Row],[Order_Date]])</f>
        <v>2024</v>
      </c>
      <c r="Q171" t="str">
        <f>"Q"&amp;ROUNDUP(MONTH(SalesData[[#This Row],[Order_Date]])/3,0)</f>
        <v>Q2</v>
      </c>
      <c r="R171" s="2">
        <f>IFERROR(SalesData[[#This Row],[Profit]]/SalesData[[#This Row],[Sales]],0)</f>
        <v>0.13946566998892582</v>
      </c>
      <c r="S171" s="2">
        <f>SalesData[[#This Row],[Price]]*SalesData[[#This Row],[Quantity]]*SalesData[[#This Row],[Discount]]</f>
        <v>550.4</v>
      </c>
      <c r="T171" s="2" t="str">
        <f>IF(SalesData[[#This Row],[Sales]]&gt;5000,"High",IF(SalesData[[#This Row],[Sales]]&gt;2000,"Medium","Low"))</f>
        <v>Medium</v>
      </c>
      <c r="U171" s="2" t="str">
        <f>IF(COUNTIFS(SalesData[Customer_ID],SalesData[[#This Row],[Customer_ID]])&gt;1,"Repeat","New")</f>
        <v>Repeat</v>
      </c>
      <c r="V171" s="2" t="str">
        <f>IF(SalesData[[#This Row],[Sales]]&gt;AVERAGE(SalesData[Sales]),"Above Avg","Below Avg")</f>
        <v>Below Avg</v>
      </c>
      <c r="W171" s="2" t="str">
        <f>IF(SalesData[[#This Row],[Profit]]&gt;0,"Profit","Loss")</f>
        <v>Profit</v>
      </c>
      <c r="X171" s="2">
        <f>RANK(SalesData[[#This Row],[Sales]],SalesData[Sales])</f>
        <v>396</v>
      </c>
    </row>
    <row r="172" spans="1:24" x14ac:dyDescent="0.3">
      <c r="A172">
        <v>171</v>
      </c>
      <c r="B172" s="1">
        <v>45462</v>
      </c>
      <c r="C172">
        <v>1087</v>
      </c>
      <c r="D172" t="s">
        <v>40</v>
      </c>
      <c r="E172" t="s">
        <v>15</v>
      </c>
      <c r="F172" t="s">
        <v>28</v>
      </c>
      <c r="G172" t="s">
        <v>34</v>
      </c>
      <c r="H172" t="s">
        <v>25</v>
      </c>
      <c r="I172">
        <v>296</v>
      </c>
      <c r="J172">
        <v>8</v>
      </c>
      <c r="K172">
        <v>0.12</v>
      </c>
      <c r="L172">
        <v>-8</v>
      </c>
      <c r="M172" t="s">
        <v>26</v>
      </c>
      <c r="N172">
        <v>2083.84</v>
      </c>
      <c r="O172" t="str">
        <f>TEXT(SalesData[[#This Row],[Order_Date]],"mmm")</f>
        <v>Jun</v>
      </c>
      <c r="P172">
        <f>YEAR(SalesData[[#This Row],[Order_Date]])</f>
        <v>2024</v>
      </c>
      <c r="Q172" t="str">
        <f>"Q"&amp;ROUNDUP(MONTH(SalesData[[#This Row],[Order_Date]])/3,0)</f>
        <v>Q2</v>
      </c>
      <c r="R172" s="2">
        <f>IFERROR(SalesData[[#This Row],[Profit]]/SalesData[[#This Row],[Sales]],0)</f>
        <v>-3.8390663390663387E-3</v>
      </c>
      <c r="S172" s="2">
        <f>SalesData[[#This Row],[Price]]*SalesData[[#This Row],[Quantity]]*SalesData[[#This Row],[Discount]]</f>
        <v>284.15999999999997</v>
      </c>
      <c r="T172" s="2" t="str">
        <f>IF(SalesData[[#This Row],[Sales]]&gt;5000,"High",IF(SalesData[[#This Row],[Sales]]&gt;2000,"Medium","Low"))</f>
        <v>Medium</v>
      </c>
      <c r="U172" s="2" t="str">
        <f>IF(COUNTIFS(SalesData[Customer_ID],SalesData[[#This Row],[Customer_ID]])&gt;1,"Repeat","New")</f>
        <v>Repeat</v>
      </c>
      <c r="V172" s="2" t="str">
        <f>IF(SalesData[[#This Row],[Sales]]&gt;AVERAGE(SalesData[Sales]),"Above Avg","Below Avg")</f>
        <v>Below Avg</v>
      </c>
      <c r="W172" s="2" t="str">
        <f>IF(SalesData[[#This Row],[Profit]]&gt;0,"Profit","Loss")</f>
        <v>Loss</v>
      </c>
      <c r="X172" s="2">
        <f>RANK(SalesData[[#This Row],[Sales]],SalesData[Sales])</f>
        <v>424</v>
      </c>
    </row>
    <row r="173" spans="1:24" x14ac:dyDescent="0.3">
      <c r="A173">
        <v>172</v>
      </c>
      <c r="B173" s="1">
        <v>45463</v>
      </c>
      <c r="C173">
        <v>1063</v>
      </c>
      <c r="D173" t="s">
        <v>108</v>
      </c>
      <c r="E173" t="s">
        <v>24</v>
      </c>
      <c r="F173" t="s">
        <v>28</v>
      </c>
      <c r="G173" t="s">
        <v>34</v>
      </c>
      <c r="H173" t="s">
        <v>29</v>
      </c>
      <c r="I173">
        <v>1515</v>
      </c>
      <c r="J173">
        <v>1</v>
      </c>
      <c r="K173">
        <v>0.28000000000000003</v>
      </c>
      <c r="L173">
        <v>1470</v>
      </c>
      <c r="M173" t="s">
        <v>19</v>
      </c>
      <c r="N173">
        <v>1090.8</v>
      </c>
      <c r="O173" t="str">
        <f>TEXT(SalesData[[#This Row],[Order_Date]],"mmm")</f>
        <v>Jun</v>
      </c>
      <c r="P173">
        <f>YEAR(SalesData[[#This Row],[Order_Date]])</f>
        <v>2024</v>
      </c>
      <c r="Q173" t="str">
        <f>"Q"&amp;ROUNDUP(MONTH(SalesData[[#This Row],[Order_Date]])/3,0)</f>
        <v>Q2</v>
      </c>
      <c r="R173" s="2">
        <f>IFERROR(SalesData[[#This Row],[Profit]]/SalesData[[#This Row],[Sales]],0)</f>
        <v>1.3476347634763477</v>
      </c>
      <c r="S173" s="2">
        <f>SalesData[[#This Row],[Price]]*SalesData[[#This Row],[Quantity]]*SalesData[[#This Row],[Discount]]</f>
        <v>424.20000000000005</v>
      </c>
      <c r="T173" s="2" t="str">
        <f>IF(SalesData[[#This Row],[Sales]]&gt;5000,"High",IF(SalesData[[#This Row],[Sales]]&gt;2000,"Medium","Low"))</f>
        <v>Low</v>
      </c>
      <c r="U173" s="2" t="str">
        <f>IF(COUNTIFS(SalesData[Customer_ID],SalesData[[#This Row],[Customer_ID]])&gt;1,"Repeat","New")</f>
        <v>Repeat</v>
      </c>
      <c r="V173" s="2" t="str">
        <f>IF(SalesData[[#This Row],[Sales]]&gt;AVERAGE(SalesData[Sales]),"Above Avg","Below Avg")</f>
        <v>Below Avg</v>
      </c>
      <c r="W173" s="2" t="str">
        <f>IF(SalesData[[#This Row],[Profit]]&gt;0,"Profit","Loss")</f>
        <v>Profit</v>
      </c>
      <c r="X173" s="2">
        <f>RANK(SalesData[[#This Row],[Sales]],SalesData[Sales])</f>
        <v>477</v>
      </c>
    </row>
    <row r="174" spans="1:24" x14ac:dyDescent="0.3">
      <c r="A174">
        <v>173</v>
      </c>
      <c r="B174" s="1">
        <v>45464</v>
      </c>
      <c r="C174">
        <v>1097</v>
      </c>
      <c r="D174" t="s">
        <v>49</v>
      </c>
      <c r="E174" t="s">
        <v>15</v>
      </c>
      <c r="F174" t="s">
        <v>16</v>
      </c>
      <c r="G174" t="s">
        <v>22</v>
      </c>
      <c r="H174" t="s">
        <v>25</v>
      </c>
      <c r="I174">
        <v>3396</v>
      </c>
      <c r="J174">
        <v>7</v>
      </c>
      <c r="K174">
        <v>0.27</v>
      </c>
      <c r="L174">
        <v>1252</v>
      </c>
      <c r="M174" t="s">
        <v>31</v>
      </c>
      <c r="N174">
        <v>17353.560000000001</v>
      </c>
      <c r="O174" t="str">
        <f>TEXT(SalesData[[#This Row],[Order_Date]],"mmm")</f>
        <v>Jun</v>
      </c>
      <c r="P174">
        <f>YEAR(SalesData[[#This Row],[Order_Date]])</f>
        <v>2024</v>
      </c>
      <c r="Q174" t="str">
        <f>"Q"&amp;ROUNDUP(MONTH(SalesData[[#This Row],[Order_Date]])/3,0)</f>
        <v>Q2</v>
      </c>
      <c r="R174" s="2">
        <f>IFERROR(SalesData[[#This Row],[Profit]]/SalesData[[#This Row],[Sales]],0)</f>
        <v>7.2146579721970583E-2</v>
      </c>
      <c r="S174" s="2">
        <f>SalesData[[#This Row],[Price]]*SalesData[[#This Row],[Quantity]]*SalesData[[#This Row],[Discount]]</f>
        <v>6418.4400000000005</v>
      </c>
      <c r="T174" s="2" t="str">
        <f>IF(SalesData[[#This Row],[Sales]]&gt;5000,"High",IF(SalesData[[#This Row],[Sales]]&gt;2000,"Medium","Low"))</f>
        <v>High</v>
      </c>
      <c r="U174" s="2" t="str">
        <f>IF(COUNTIFS(SalesData[Customer_ID],SalesData[[#This Row],[Customer_ID]])&gt;1,"Repeat","New")</f>
        <v>Repeat</v>
      </c>
      <c r="V174" s="2" t="str">
        <f>IF(SalesData[[#This Row],[Sales]]&gt;AVERAGE(SalesData[Sales]),"Above Avg","Below Avg")</f>
        <v>Above Avg</v>
      </c>
      <c r="W174" s="2" t="str">
        <f>IF(SalesData[[#This Row],[Profit]]&gt;0,"Profit","Loss")</f>
        <v>Profit</v>
      </c>
      <c r="X174" s="2">
        <f>RANK(SalesData[[#This Row],[Sales]],SalesData[Sales])</f>
        <v>99</v>
      </c>
    </row>
    <row r="175" spans="1:24" x14ac:dyDescent="0.3">
      <c r="A175">
        <v>174</v>
      </c>
      <c r="B175" s="1">
        <v>45465</v>
      </c>
      <c r="C175">
        <v>1003</v>
      </c>
      <c r="D175" t="s">
        <v>123</v>
      </c>
      <c r="E175" t="s">
        <v>15</v>
      </c>
      <c r="F175" t="s">
        <v>21</v>
      </c>
      <c r="G175" t="s">
        <v>17</v>
      </c>
      <c r="H175" t="s">
        <v>18</v>
      </c>
      <c r="I175">
        <v>3120</v>
      </c>
      <c r="J175">
        <v>6</v>
      </c>
      <c r="K175">
        <v>0.11</v>
      </c>
      <c r="L175">
        <v>-429</v>
      </c>
      <c r="M175" t="s">
        <v>19</v>
      </c>
      <c r="N175">
        <v>16660.8</v>
      </c>
      <c r="O175" t="str">
        <f>TEXT(SalesData[[#This Row],[Order_Date]],"mmm")</f>
        <v>Jun</v>
      </c>
      <c r="P175">
        <f>YEAR(SalesData[[#This Row],[Order_Date]])</f>
        <v>2024</v>
      </c>
      <c r="Q175" t="str">
        <f>"Q"&amp;ROUNDUP(MONTH(SalesData[[#This Row],[Order_Date]])/3,0)</f>
        <v>Q2</v>
      </c>
      <c r="R175" s="2">
        <f>IFERROR(SalesData[[#This Row],[Profit]]/SalesData[[#This Row],[Sales]],0)</f>
        <v>-2.5749063670411985E-2</v>
      </c>
      <c r="S175" s="2">
        <f>SalesData[[#This Row],[Price]]*SalesData[[#This Row],[Quantity]]*SalesData[[#This Row],[Discount]]</f>
        <v>2059.1999999999998</v>
      </c>
      <c r="T175" s="2" t="str">
        <f>IF(SalesData[[#This Row],[Sales]]&gt;5000,"High",IF(SalesData[[#This Row],[Sales]]&gt;2000,"Medium","Low"))</f>
        <v>High</v>
      </c>
      <c r="U175" s="2" t="str">
        <f>IF(COUNTIFS(SalesData[Customer_ID],SalesData[[#This Row],[Customer_ID]])&gt;1,"Repeat","New")</f>
        <v>Repeat</v>
      </c>
      <c r="V175" s="2" t="str">
        <f>IF(SalesData[[#This Row],[Sales]]&gt;AVERAGE(SalesData[Sales]),"Above Avg","Below Avg")</f>
        <v>Above Avg</v>
      </c>
      <c r="W175" s="2" t="str">
        <f>IF(SalesData[[#This Row],[Profit]]&gt;0,"Profit","Loss")</f>
        <v>Loss</v>
      </c>
      <c r="X175" s="2">
        <f>RANK(SalesData[[#This Row],[Sales]],SalesData[Sales])</f>
        <v>110</v>
      </c>
    </row>
    <row r="176" spans="1:24" x14ac:dyDescent="0.3">
      <c r="A176">
        <v>175</v>
      </c>
      <c r="B176" s="1">
        <v>45466</v>
      </c>
      <c r="C176">
        <v>1017</v>
      </c>
      <c r="D176" t="s">
        <v>48</v>
      </c>
      <c r="E176" t="s">
        <v>24</v>
      </c>
      <c r="F176" t="s">
        <v>21</v>
      </c>
      <c r="G176" t="s">
        <v>22</v>
      </c>
      <c r="H176" t="s">
        <v>25</v>
      </c>
      <c r="I176">
        <v>3469</v>
      </c>
      <c r="J176">
        <v>3</v>
      </c>
      <c r="K176">
        <v>0.28000000000000003</v>
      </c>
      <c r="L176">
        <v>431</v>
      </c>
      <c r="M176" t="s">
        <v>19</v>
      </c>
      <c r="N176">
        <v>7493.04</v>
      </c>
      <c r="O176" t="str">
        <f>TEXT(SalesData[[#This Row],[Order_Date]],"mmm")</f>
        <v>Jun</v>
      </c>
      <c r="P176">
        <f>YEAR(SalesData[[#This Row],[Order_Date]])</f>
        <v>2024</v>
      </c>
      <c r="Q176" t="str">
        <f>"Q"&amp;ROUNDUP(MONTH(SalesData[[#This Row],[Order_Date]])/3,0)</f>
        <v>Q2</v>
      </c>
      <c r="R176" s="2">
        <f>IFERROR(SalesData[[#This Row],[Profit]]/SalesData[[#This Row],[Sales]],0)</f>
        <v>5.7520045268675997E-2</v>
      </c>
      <c r="S176" s="2">
        <f>SalesData[[#This Row],[Price]]*SalesData[[#This Row],[Quantity]]*SalesData[[#This Row],[Discount]]</f>
        <v>2913.9600000000005</v>
      </c>
      <c r="T176" s="2" t="str">
        <f>IF(SalesData[[#This Row],[Sales]]&gt;5000,"High",IF(SalesData[[#This Row],[Sales]]&gt;2000,"Medium","Low"))</f>
        <v>High</v>
      </c>
      <c r="U176" s="2" t="str">
        <f>IF(COUNTIFS(SalesData[Customer_ID],SalesData[[#This Row],[Customer_ID]])&gt;1,"Repeat","New")</f>
        <v>Repeat</v>
      </c>
      <c r="V176" s="2" t="str">
        <f>IF(SalesData[[#This Row],[Sales]]&gt;AVERAGE(SalesData[Sales]),"Above Avg","Below Avg")</f>
        <v>Below Avg</v>
      </c>
      <c r="W176" s="2" t="str">
        <f>IF(SalesData[[#This Row],[Profit]]&gt;0,"Profit","Loss")</f>
        <v>Profit</v>
      </c>
      <c r="X176" s="2">
        <f>RANK(SalesData[[#This Row],[Sales]],SalesData[Sales])</f>
        <v>264</v>
      </c>
    </row>
    <row r="177" spans="1:24" x14ac:dyDescent="0.3">
      <c r="A177">
        <v>176</v>
      </c>
      <c r="B177" s="1">
        <v>45467</v>
      </c>
      <c r="C177">
        <v>1088</v>
      </c>
      <c r="D177" t="s">
        <v>133</v>
      </c>
      <c r="E177" t="s">
        <v>24</v>
      </c>
      <c r="F177" t="s">
        <v>21</v>
      </c>
      <c r="G177" t="s">
        <v>22</v>
      </c>
      <c r="H177" t="s">
        <v>29</v>
      </c>
      <c r="I177">
        <v>4955</v>
      </c>
      <c r="J177">
        <v>1</v>
      </c>
      <c r="K177">
        <v>0.13</v>
      </c>
      <c r="L177">
        <v>-182</v>
      </c>
      <c r="M177" t="s">
        <v>26</v>
      </c>
      <c r="N177">
        <v>4310.8500000000004</v>
      </c>
      <c r="O177" t="str">
        <f>TEXT(SalesData[[#This Row],[Order_Date]],"mmm")</f>
        <v>Jun</v>
      </c>
      <c r="P177">
        <f>YEAR(SalesData[[#This Row],[Order_Date]])</f>
        <v>2024</v>
      </c>
      <c r="Q177" t="str">
        <f>"Q"&amp;ROUNDUP(MONTH(SalesData[[#This Row],[Order_Date]])/3,0)</f>
        <v>Q2</v>
      </c>
      <c r="R177" s="2">
        <f>IFERROR(SalesData[[#This Row],[Profit]]/SalesData[[#This Row],[Sales]],0)</f>
        <v>-4.2219051927114136E-2</v>
      </c>
      <c r="S177" s="2">
        <f>SalesData[[#This Row],[Price]]*SalesData[[#This Row],[Quantity]]*SalesData[[#This Row],[Discount]]</f>
        <v>644.15</v>
      </c>
      <c r="T177" s="2" t="str">
        <f>IF(SalesData[[#This Row],[Sales]]&gt;5000,"High",IF(SalesData[[#This Row],[Sales]]&gt;2000,"Medium","Low"))</f>
        <v>Medium</v>
      </c>
      <c r="U177" s="2" t="str">
        <f>IF(COUNTIFS(SalesData[Customer_ID],SalesData[[#This Row],[Customer_ID]])&gt;1,"Repeat","New")</f>
        <v>Repeat</v>
      </c>
      <c r="V177" s="2" t="str">
        <f>IF(SalesData[[#This Row],[Sales]]&gt;AVERAGE(SalesData[Sales]),"Above Avg","Below Avg")</f>
        <v>Below Avg</v>
      </c>
      <c r="W177" s="2" t="str">
        <f>IF(SalesData[[#This Row],[Profit]]&gt;0,"Profit","Loss")</f>
        <v>Loss</v>
      </c>
      <c r="X177" s="2">
        <f>RANK(SalesData[[#This Row],[Sales]],SalesData[Sales])</f>
        <v>341</v>
      </c>
    </row>
    <row r="178" spans="1:24" x14ac:dyDescent="0.3">
      <c r="A178">
        <v>177</v>
      </c>
      <c r="B178" s="1">
        <v>45468</v>
      </c>
      <c r="C178">
        <v>1087</v>
      </c>
      <c r="D178" t="s">
        <v>27</v>
      </c>
      <c r="E178" t="s">
        <v>24</v>
      </c>
      <c r="F178" t="s">
        <v>16</v>
      </c>
      <c r="G178" t="s">
        <v>22</v>
      </c>
      <c r="H178" t="s">
        <v>18</v>
      </c>
      <c r="I178">
        <v>940</v>
      </c>
      <c r="J178">
        <v>2</v>
      </c>
      <c r="K178">
        <v>0.06</v>
      </c>
      <c r="L178">
        <v>1960</v>
      </c>
      <c r="M178" t="s">
        <v>26</v>
      </c>
      <c r="N178">
        <v>1767.19999999999</v>
      </c>
      <c r="O178" t="str">
        <f>TEXT(SalesData[[#This Row],[Order_Date]],"mmm")</f>
        <v>Jun</v>
      </c>
      <c r="P178">
        <f>YEAR(SalesData[[#This Row],[Order_Date]])</f>
        <v>2024</v>
      </c>
      <c r="Q178" t="str">
        <f>"Q"&amp;ROUNDUP(MONTH(SalesData[[#This Row],[Order_Date]])/3,0)</f>
        <v>Q2</v>
      </c>
      <c r="R178" s="2">
        <f>IFERROR(SalesData[[#This Row],[Profit]]/SalesData[[#This Row],[Sales]],0)</f>
        <v>1.109099139882306</v>
      </c>
      <c r="S178" s="2">
        <f>SalesData[[#This Row],[Price]]*SalesData[[#This Row],[Quantity]]*SalesData[[#This Row],[Discount]]</f>
        <v>112.8</v>
      </c>
      <c r="T178" s="2" t="str">
        <f>IF(SalesData[[#This Row],[Sales]]&gt;5000,"High",IF(SalesData[[#This Row],[Sales]]&gt;2000,"Medium","Low"))</f>
        <v>Low</v>
      </c>
      <c r="U178" s="2" t="str">
        <f>IF(COUNTIFS(SalesData[Customer_ID],SalesData[[#This Row],[Customer_ID]])&gt;1,"Repeat","New")</f>
        <v>Repeat</v>
      </c>
      <c r="V178" s="2" t="str">
        <f>IF(SalesData[[#This Row],[Sales]]&gt;AVERAGE(SalesData[Sales]),"Above Avg","Below Avg")</f>
        <v>Below Avg</v>
      </c>
      <c r="W178" s="2" t="str">
        <f>IF(SalesData[[#This Row],[Profit]]&gt;0,"Profit","Loss")</f>
        <v>Profit</v>
      </c>
      <c r="X178" s="2">
        <f>RANK(SalesData[[#This Row],[Sales]],SalesData[Sales])</f>
        <v>442</v>
      </c>
    </row>
    <row r="179" spans="1:24" x14ac:dyDescent="0.3">
      <c r="A179">
        <v>178</v>
      </c>
      <c r="B179" s="1">
        <v>45469</v>
      </c>
      <c r="C179">
        <v>1069</v>
      </c>
      <c r="D179" t="s">
        <v>57</v>
      </c>
      <c r="E179" t="s">
        <v>15</v>
      </c>
      <c r="F179" t="s">
        <v>28</v>
      </c>
      <c r="G179" t="s">
        <v>34</v>
      </c>
      <c r="H179" t="s">
        <v>37</v>
      </c>
      <c r="I179">
        <v>3742</v>
      </c>
      <c r="J179">
        <v>1</v>
      </c>
      <c r="K179">
        <v>0.19</v>
      </c>
      <c r="L179">
        <v>1388</v>
      </c>
      <c r="M179" t="s">
        <v>26</v>
      </c>
      <c r="N179">
        <v>3031.02</v>
      </c>
      <c r="O179" t="str">
        <f>TEXT(SalesData[[#This Row],[Order_Date]],"mmm")</f>
        <v>Jun</v>
      </c>
      <c r="P179">
        <f>YEAR(SalesData[[#This Row],[Order_Date]])</f>
        <v>2024</v>
      </c>
      <c r="Q179" t="str">
        <f>"Q"&amp;ROUNDUP(MONTH(SalesData[[#This Row],[Order_Date]])/3,0)</f>
        <v>Q2</v>
      </c>
      <c r="R179" s="2">
        <f>IFERROR(SalesData[[#This Row],[Profit]]/SalesData[[#This Row],[Sales]],0)</f>
        <v>0.45793165337081249</v>
      </c>
      <c r="S179" s="2">
        <f>SalesData[[#This Row],[Price]]*SalesData[[#This Row],[Quantity]]*SalesData[[#This Row],[Discount]]</f>
        <v>710.98</v>
      </c>
      <c r="T179" s="2" t="str">
        <f>IF(SalesData[[#This Row],[Sales]]&gt;5000,"High",IF(SalesData[[#This Row],[Sales]]&gt;2000,"Medium","Low"))</f>
        <v>Medium</v>
      </c>
      <c r="U179" s="2" t="str">
        <f>IF(COUNTIFS(SalesData[Customer_ID],SalesData[[#This Row],[Customer_ID]])&gt;1,"Repeat","New")</f>
        <v>Repeat</v>
      </c>
      <c r="V179" s="2" t="str">
        <f>IF(SalesData[[#This Row],[Sales]]&gt;AVERAGE(SalesData[Sales]),"Above Avg","Below Avg")</f>
        <v>Below Avg</v>
      </c>
      <c r="W179" s="2" t="str">
        <f>IF(SalesData[[#This Row],[Profit]]&gt;0,"Profit","Loss")</f>
        <v>Profit</v>
      </c>
      <c r="X179" s="2">
        <f>RANK(SalesData[[#This Row],[Sales]],SalesData[Sales])</f>
        <v>390</v>
      </c>
    </row>
    <row r="180" spans="1:24" x14ac:dyDescent="0.3">
      <c r="A180">
        <v>179</v>
      </c>
      <c r="B180" s="1">
        <v>45470</v>
      </c>
      <c r="C180">
        <v>1097</v>
      </c>
      <c r="D180" t="s">
        <v>144</v>
      </c>
      <c r="E180" t="s">
        <v>24</v>
      </c>
      <c r="F180" t="s">
        <v>16</v>
      </c>
      <c r="G180" t="s">
        <v>22</v>
      </c>
      <c r="H180" t="s">
        <v>37</v>
      </c>
      <c r="I180">
        <v>2769</v>
      </c>
      <c r="J180">
        <v>3</v>
      </c>
      <c r="K180">
        <v>0.03</v>
      </c>
      <c r="L180">
        <v>-283</v>
      </c>
      <c r="M180" t="s">
        <v>26</v>
      </c>
      <c r="N180">
        <v>8057.79</v>
      </c>
      <c r="O180" t="str">
        <f>TEXT(SalesData[[#This Row],[Order_Date]],"mmm")</f>
        <v>Jun</v>
      </c>
      <c r="P180">
        <f>YEAR(SalesData[[#This Row],[Order_Date]])</f>
        <v>2024</v>
      </c>
      <c r="Q180" t="str">
        <f>"Q"&amp;ROUNDUP(MONTH(SalesData[[#This Row],[Order_Date]])/3,0)</f>
        <v>Q2</v>
      </c>
      <c r="R180" s="2">
        <f>IFERROR(SalesData[[#This Row],[Profit]]/SalesData[[#This Row],[Sales]],0)</f>
        <v>-3.512129256284912E-2</v>
      </c>
      <c r="S180" s="2">
        <f>SalesData[[#This Row],[Price]]*SalesData[[#This Row],[Quantity]]*SalesData[[#This Row],[Discount]]</f>
        <v>249.20999999999998</v>
      </c>
      <c r="T180" s="2" t="str">
        <f>IF(SalesData[[#This Row],[Sales]]&gt;5000,"High",IF(SalesData[[#This Row],[Sales]]&gt;2000,"Medium","Low"))</f>
        <v>High</v>
      </c>
      <c r="U180" s="2" t="str">
        <f>IF(COUNTIFS(SalesData[Customer_ID],SalesData[[#This Row],[Customer_ID]])&gt;1,"Repeat","New")</f>
        <v>Repeat</v>
      </c>
      <c r="V180" s="2" t="str">
        <f>IF(SalesData[[#This Row],[Sales]]&gt;AVERAGE(SalesData[Sales]),"Above Avg","Below Avg")</f>
        <v>Below Avg</v>
      </c>
      <c r="W180" s="2" t="str">
        <f>IF(SalesData[[#This Row],[Profit]]&gt;0,"Profit","Loss")</f>
        <v>Loss</v>
      </c>
      <c r="X180" s="2">
        <f>RANK(SalesData[[#This Row],[Sales]],SalesData[Sales])</f>
        <v>251</v>
      </c>
    </row>
    <row r="181" spans="1:24" x14ac:dyDescent="0.3">
      <c r="A181">
        <v>180</v>
      </c>
      <c r="B181" s="1">
        <v>45471</v>
      </c>
      <c r="C181">
        <v>1050</v>
      </c>
      <c r="D181" t="s">
        <v>145</v>
      </c>
      <c r="E181" t="s">
        <v>15</v>
      </c>
      <c r="F181" t="s">
        <v>33</v>
      </c>
      <c r="G181" t="s">
        <v>34</v>
      </c>
      <c r="H181" t="s">
        <v>37</v>
      </c>
      <c r="I181">
        <v>1277</v>
      </c>
      <c r="J181">
        <v>6</v>
      </c>
      <c r="K181">
        <v>0.05</v>
      </c>
      <c r="L181">
        <v>-393</v>
      </c>
      <c r="M181" t="s">
        <v>26</v>
      </c>
      <c r="N181">
        <v>7278.9</v>
      </c>
      <c r="O181" t="str">
        <f>TEXT(SalesData[[#This Row],[Order_Date]],"mmm")</f>
        <v>Jun</v>
      </c>
      <c r="P181">
        <f>YEAR(SalesData[[#This Row],[Order_Date]])</f>
        <v>2024</v>
      </c>
      <c r="Q181" t="str">
        <f>"Q"&amp;ROUNDUP(MONTH(SalesData[[#This Row],[Order_Date]])/3,0)</f>
        <v>Q2</v>
      </c>
      <c r="R181" s="2">
        <f>IFERROR(SalesData[[#This Row],[Profit]]/SalesData[[#This Row],[Sales]],0)</f>
        <v>-5.3991674566211928E-2</v>
      </c>
      <c r="S181" s="2">
        <f>SalesData[[#This Row],[Price]]*SalesData[[#This Row],[Quantity]]*SalesData[[#This Row],[Discount]]</f>
        <v>383.1</v>
      </c>
      <c r="T181" s="2" t="str">
        <f>IF(SalesData[[#This Row],[Sales]]&gt;5000,"High",IF(SalesData[[#This Row],[Sales]]&gt;2000,"Medium","Low"))</f>
        <v>High</v>
      </c>
      <c r="U181" s="2" t="str">
        <f>IF(COUNTIFS(SalesData[Customer_ID],SalesData[[#This Row],[Customer_ID]])&gt;1,"Repeat","New")</f>
        <v>Repeat</v>
      </c>
      <c r="V181" s="2" t="str">
        <f>IF(SalesData[[#This Row],[Sales]]&gt;AVERAGE(SalesData[Sales]),"Above Avg","Below Avg")</f>
        <v>Below Avg</v>
      </c>
      <c r="W181" s="2" t="str">
        <f>IF(SalesData[[#This Row],[Profit]]&gt;0,"Profit","Loss")</f>
        <v>Loss</v>
      </c>
      <c r="X181" s="2">
        <f>RANK(SalesData[[#This Row],[Sales]],SalesData[Sales])</f>
        <v>269</v>
      </c>
    </row>
    <row r="182" spans="1:24" x14ac:dyDescent="0.3">
      <c r="A182">
        <v>181</v>
      </c>
      <c r="B182" s="1">
        <v>45472</v>
      </c>
      <c r="C182">
        <v>1002</v>
      </c>
      <c r="D182" t="s">
        <v>146</v>
      </c>
      <c r="E182" t="s">
        <v>15</v>
      </c>
      <c r="F182" t="s">
        <v>16</v>
      </c>
      <c r="G182" t="s">
        <v>34</v>
      </c>
      <c r="H182" t="s">
        <v>18</v>
      </c>
      <c r="I182">
        <v>1043</v>
      </c>
      <c r="J182">
        <v>2</v>
      </c>
      <c r="K182">
        <v>0.24</v>
      </c>
      <c r="L182">
        <v>1350</v>
      </c>
      <c r="M182" t="s">
        <v>26</v>
      </c>
      <c r="N182">
        <v>1585.36</v>
      </c>
      <c r="O182" t="str">
        <f>TEXT(SalesData[[#This Row],[Order_Date]],"mmm")</f>
        <v>Jun</v>
      </c>
      <c r="P182">
        <f>YEAR(SalesData[[#This Row],[Order_Date]])</f>
        <v>2024</v>
      </c>
      <c r="Q182" t="str">
        <f>"Q"&amp;ROUNDUP(MONTH(SalesData[[#This Row],[Order_Date]])/3,0)</f>
        <v>Q2</v>
      </c>
      <c r="R182" s="2">
        <f>IFERROR(SalesData[[#This Row],[Profit]]/SalesData[[#This Row],[Sales]],0)</f>
        <v>0.85154160569208259</v>
      </c>
      <c r="S182" s="2">
        <f>SalesData[[#This Row],[Price]]*SalesData[[#This Row],[Quantity]]*SalesData[[#This Row],[Discount]]</f>
        <v>500.64</v>
      </c>
      <c r="T182" s="2" t="str">
        <f>IF(SalesData[[#This Row],[Sales]]&gt;5000,"High",IF(SalesData[[#This Row],[Sales]]&gt;2000,"Medium","Low"))</f>
        <v>Low</v>
      </c>
      <c r="U182" s="2" t="str">
        <f>IF(COUNTIFS(SalesData[Customer_ID],SalesData[[#This Row],[Customer_ID]])&gt;1,"Repeat","New")</f>
        <v>Repeat</v>
      </c>
      <c r="V182" s="2" t="str">
        <f>IF(SalesData[[#This Row],[Sales]]&gt;AVERAGE(SalesData[Sales]),"Above Avg","Below Avg")</f>
        <v>Below Avg</v>
      </c>
      <c r="W182" s="2" t="str">
        <f>IF(SalesData[[#This Row],[Profit]]&gt;0,"Profit","Loss")</f>
        <v>Profit</v>
      </c>
      <c r="X182" s="2">
        <f>RANK(SalesData[[#This Row],[Sales]],SalesData[Sales])</f>
        <v>454</v>
      </c>
    </row>
    <row r="183" spans="1:24" x14ac:dyDescent="0.3">
      <c r="A183">
        <v>182</v>
      </c>
      <c r="B183" s="1">
        <v>45473</v>
      </c>
      <c r="C183">
        <v>1018</v>
      </c>
      <c r="D183" t="s">
        <v>126</v>
      </c>
      <c r="E183" t="s">
        <v>15</v>
      </c>
      <c r="F183" t="s">
        <v>16</v>
      </c>
      <c r="G183" t="s">
        <v>17</v>
      </c>
      <c r="H183" t="s">
        <v>29</v>
      </c>
      <c r="I183">
        <v>3546</v>
      </c>
      <c r="J183">
        <v>6</v>
      </c>
      <c r="K183">
        <v>0.25</v>
      </c>
      <c r="L183">
        <v>1825</v>
      </c>
      <c r="M183" t="s">
        <v>19</v>
      </c>
      <c r="N183">
        <v>15957</v>
      </c>
      <c r="O183" t="str">
        <f>TEXT(SalesData[[#This Row],[Order_Date]],"mmm")</f>
        <v>Jun</v>
      </c>
      <c r="P183">
        <f>YEAR(SalesData[[#This Row],[Order_Date]])</f>
        <v>2024</v>
      </c>
      <c r="Q183" t="str">
        <f>"Q"&amp;ROUNDUP(MONTH(SalesData[[#This Row],[Order_Date]])/3,0)</f>
        <v>Q2</v>
      </c>
      <c r="R183" s="2">
        <f>IFERROR(SalesData[[#This Row],[Profit]]/SalesData[[#This Row],[Sales]],0)</f>
        <v>0.11436986902299931</v>
      </c>
      <c r="S183" s="2">
        <f>SalesData[[#This Row],[Price]]*SalesData[[#This Row],[Quantity]]*SalesData[[#This Row],[Discount]]</f>
        <v>5319</v>
      </c>
      <c r="T183" s="2" t="str">
        <f>IF(SalesData[[#This Row],[Sales]]&gt;5000,"High",IF(SalesData[[#This Row],[Sales]]&gt;2000,"Medium","Low"))</f>
        <v>High</v>
      </c>
      <c r="U183" s="2" t="str">
        <f>IF(COUNTIFS(SalesData[Customer_ID],SalesData[[#This Row],[Customer_ID]])&gt;1,"Repeat","New")</f>
        <v>Repeat</v>
      </c>
      <c r="V183" s="2" t="str">
        <f>IF(SalesData[[#This Row],[Sales]]&gt;AVERAGE(SalesData[Sales]),"Above Avg","Below Avg")</f>
        <v>Above Avg</v>
      </c>
      <c r="W183" s="2" t="str">
        <f>IF(SalesData[[#This Row],[Profit]]&gt;0,"Profit","Loss")</f>
        <v>Profit</v>
      </c>
      <c r="X183" s="2">
        <f>RANK(SalesData[[#This Row],[Sales]],SalesData[Sales])</f>
        <v>129</v>
      </c>
    </row>
    <row r="184" spans="1:24" x14ac:dyDescent="0.3">
      <c r="A184">
        <v>183</v>
      </c>
      <c r="B184" s="1">
        <v>45474</v>
      </c>
      <c r="C184">
        <v>1046</v>
      </c>
      <c r="D184" t="s">
        <v>116</v>
      </c>
      <c r="E184" t="s">
        <v>24</v>
      </c>
      <c r="F184" t="s">
        <v>16</v>
      </c>
      <c r="G184" t="s">
        <v>34</v>
      </c>
      <c r="H184" t="s">
        <v>18</v>
      </c>
      <c r="I184">
        <v>951</v>
      </c>
      <c r="J184">
        <v>8</v>
      </c>
      <c r="K184">
        <v>7.0000000000000007E-2</v>
      </c>
      <c r="L184">
        <v>1104</v>
      </c>
      <c r="M184" t="s">
        <v>31</v>
      </c>
      <c r="N184">
        <v>7075.44</v>
      </c>
      <c r="O184" t="str">
        <f>TEXT(SalesData[[#This Row],[Order_Date]],"mmm")</f>
        <v>Jul</v>
      </c>
      <c r="P184">
        <f>YEAR(SalesData[[#This Row],[Order_Date]])</f>
        <v>2024</v>
      </c>
      <c r="Q184" t="str">
        <f>"Q"&amp;ROUNDUP(MONTH(SalesData[[#This Row],[Order_Date]])/3,0)</f>
        <v>Q3</v>
      </c>
      <c r="R184" s="2">
        <f>IFERROR(SalesData[[#This Row],[Profit]]/SalesData[[#This Row],[Sales]],0)</f>
        <v>0.15603269902649164</v>
      </c>
      <c r="S184" s="2">
        <f>SalesData[[#This Row],[Price]]*SalesData[[#This Row],[Quantity]]*SalesData[[#This Row],[Discount]]</f>
        <v>532.56000000000006</v>
      </c>
      <c r="T184" s="2" t="str">
        <f>IF(SalesData[[#This Row],[Sales]]&gt;5000,"High",IF(SalesData[[#This Row],[Sales]]&gt;2000,"Medium","Low"))</f>
        <v>High</v>
      </c>
      <c r="U184" s="2" t="str">
        <f>IF(COUNTIFS(SalesData[Customer_ID],SalesData[[#This Row],[Customer_ID]])&gt;1,"Repeat","New")</f>
        <v>Repeat</v>
      </c>
      <c r="V184" s="2" t="str">
        <f>IF(SalesData[[#This Row],[Sales]]&gt;AVERAGE(SalesData[Sales]),"Above Avg","Below Avg")</f>
        <v>Below Avg</v>
      </c>
      <c r="W184" s="2" t="str">
        <f>IF(SalesData[[#This Row],[Profit]]&gt;0,"Profit","Loss")</f>
        <v>Profit</v>
      </c>
      <c r="X184" s="2">
        <f>RANK(SalesData[[#This Row],[Sales]],SalesData[Sales])</f>
        <v>274</v>
      </c>
    </row>
    <row r="185" spans="1:24" x14ac:dyDescent="0.3">
      <c r="A185">
        <v>184</v>
      </c>
      <c r="B185" s="1">
        <v>45475</v>
      </c>
      <c r="C185">
        <v>1045</v>
      </c>
      <c r="D185" t="s">
        <v>147</v>
      </c>
      <c r="E185" t="s">
        <v>24</v>
      </c>
      <c r="F185" t="s">
        <v>33</v>
      </c>
      <c r="G185" t="s">
        <v>34</v>
      </c>
      <c r="H185" t="s">
        <v>37</v>
      </c>
      <c r="I185">
        <v>4700</v>
      </c>
      <c r="J185">
        <v>3</v>
      </c>
      <c r="K185">
        <v>0.22</v>
      </c>
      <c r="L185">
        <v>140</v>
      </c>
      <c r="M185" t="s">
        <v>31</v>
      </c>
      <c r="N185">
        <v>10998</v>
      </c>
      <c r="O185" t="str">
        <f>TEXT(SalesData[[#This Row],[Order_Date]],"mmm")</f>
        <v>Jul</v>
      </c>
      <c r="P185">
        <f>YEAR(SalesData[[#This Row],[Order_Date]])</f>
        <v>2024</v>
      </c>
      <c r="Q185" t="str">
        <f>"Q"&amp;ROUNDUP(MONTH(SalesData[[#This Row],[Order_Date]])/3,0)</f>
        <v>Q3</v>
      </c>
      <c r="R185" s="2">
        <f>IFERROR(SalesData[[#This Row],[Profit]]/SalesData[[#This Row],[Sales]],0)</f>
        <v>1.2729587197672304E-2</v>
      </c>
      <c r="S185" s="2">
        <f>SalesData[[#This Row],[Price]]*SalesData[[#This Row],[Quantity]]*SalesData[[#This Row],[Discount]]</f>
        <v>3102</v>
      </c>
      <c r="T185" s="2" t="str">
        <f>IF(SalesData[[#This Row],[Sales]]&gt;5000,"High",IF(SalesData[[#This Row],[Sales]]&gt;2000,"Medium","Low"))</f>
        <v>High</v>
      </c>
      <c r="U185" s="2" t="str">
        <f>IF(COUNTIFS(SalesData[Customer_ID],SalesData[[#This Row],[Customer_ID]])&gt;1,"Repeat","New")</f>
        <v>Repeat</v>
      </c>
      <c r="V185" s="2" t="str">
        <f>IF(SalesData[[#This Row],[Sales]]&gt;AVERAGE(SalesData[Sales]),"Above Avg","Below Avg")</f>
        <v>Above Avg</v>
      </c>
      <c r="W185" s="2" t="str">
        <f>IF(SalesData[[#This Row],[Profit]]&gt;0,"Profit","Loss")</f>
        <v>Profit</v>
      </c>
      <c r="X185" s="2">
        <f>RANK(SalesData[[#This Row],[Sales]],SalesData[Sales])</f>
        <v>190</v>
      </c>
    </row>
    <row r="186" spans="1:24" x14ac:dyDescent="0.3">
      <c r="A186">
        <v>185</v>
      </c>
      <c r="B186" s="1">
        <v>45476</v>
      </c>
      <c r="C186">
        <v>1057</v>
      </c>
      <c r="D186" t="s">
        <v>148</v>
      </c>
      <c r="E186" t="s">
        <v>15</v>
      </c>
      <c r="F186" t="s">
        <v>21</v>
      </c>
      <c r="G186" t="s">
        <v>17</v>
      </c>
      <c r="H186" t="s">
        <v>37</v>
      </c>
      <c r="I186">
        <v>1851</v>
      </c>
      <c r="J186">
        <v>3</v>
      </c>
      <c r="K186">
        <v>0.28999999999999998</v>
      </c>
      <c r="L186">
        <v>589</v>
      </c>
      <c r="M186" t="s">
        <v>26</v>
      </c>
      <c r="N186">
        <v>3942.6299999999901</v>
      </c>
      <c r="O186" t="str">
        <f>TEXT(SalesData[[#This Row],[Order_Date]],"mmm")</f>
        <v>Jul</v>
      </c>
      <c r="P186">
        <f>YEAR(SalesData[[#This Row],[Order_Date]])</f>
        <v>2024</v>
      </c>
      <c r="Q186" t="str">
        <f>"Q"&amp;ROUNDUP(MONTH(SalesData[[#This Row],[Order_Date]])/3,0)</f>
        <v>Q3</v>
      </c>
      <c r="R186" s="2">
        <f>IFERROR(SalesData[[#This Row],[Profit]]/SalesData[[#This Row],[Sales]],0)</f>
        <v>0.14939266428754447</v>
      </c>
      <c r="S186" s="2">
        <f>SalesData[[#This Row],[Price]]*SalesData[[#This Row],[Quantity]]*SalesData[[#This Row],[Discount]]</f>
        <v>1610.37</v>
      </c>
      <c r="T186" s="2" t="str">
        <f>IF(SalesData[[#This Row],[Sales]]&gt;5000,"High",IF(SalesData[[#This Row],[Sales]]&gt;2000,"Medium","Low"))</f>
        <v>Medium</v>
      </c>
      <c r="U186" s="2" t="str">
        <f>IF(COUNTIFS(SalesData[Customer_ID],SalesData[[#This Row],[Customer_ID]])&gt;1,"Repeat","New")</f>
        <v>Repeat</v>
      </c>
      <c r="V186" s="2" t="str">
        <f>IF(SalesData[[#This Row],[Sales]]&gt;AVERAGE(SalesData[Sales]),"Above Avg","Below Avg")</f>
        <v>Below Avg</v>
      </c>
      <c r="W186" s="2" t="str">
        <f>IF(SalesData[[#This Row],[Profit]]&gt;0,"Profit","Loss")</f>
        <v>Profit</v>
      </c>
      <c r="X186" s="2">
        <f>RANK(SalesData[[#This Row],[Sales]],SalesData[Sales])</f>
        <v>356</v>
      </c>
    </row>
    <row r="187" spans="1:24" x14ac:dyDescent="0.3">
      <c r="A187">
        <v>186</v>
      </c>
      <c r="B187" s="1">
        <v>45477</v>
      </c>
      <c r="C187">
        <v>1035</v>
      </c>
      <c r="D187" t="s">
        <v>149</v>
      </c>
      <c r="E187" t="s">
        <v>24</v>
      </c>
      <c r="F187" t="s">
        <v>21</v>
      </c>
      <c r="G187" t="s">
        <v>34</v>
      </c>
      <c r="H187" t="s">
        <v>37</v>
      </c>
      <c r="I187">
        <v>1945</v>
      </c>
      <c r="J187">
        <v>1</v>
      </c>
      <c r="K187">
        <v>0.28999999999999998</v>
      </c>
      <c r="L187">
        <v>7</v>
      </c>
      <c r="M187" t="s">
        <v>26</v>
      </c>
      <c r="N187">
        <v>1380.94999999999</v>
      </c>
      <c r="O187" t="str">
        <f>TEXT(SalesData[[#This Row],[Order_Date]],"mmm")</f>
        <v>Jul</v>
      </c>
      <c r="P187">
        <f>YEAR(SalesData[[#This Row],[Order_Date]])</f>
        <v>2024</v>
      </c>
      <c r="Q187" t="str">
        <f>"Q"&amp;ROUNDUP(MONTH(SalesData[[#This Row],[Order_Date]])/3,0)</f>
        <v>Q3</v>
      </c>
      <c r="R187" s="2">
        <f>IFERROR(SalesData[[#This Row],[Profit]]/SalesData[[#This Row],[Sales]],0)</f>
        <v>5.068974256852204E-3</v>
      </c>
      <c r="S187" s="2">
        <f>SalesData[[#This Row],[Price]]*SalesData[[#This Row],[Quantity]]*SalesData[[#This Row],[Discount]]</f>
        <v>564.04999999999995</v>
      </c>
      <c r="T187" s="2" t="str">
        <f>IF(SalesData[[#This Row],[Sales]]&gt;5000,"High",IF(SalesData[[#This Row],[Sales]]&gt;2000,"Medium","Low"))</f>
        <v>Low</v>
      </c>
      <c r="U187" s="2" t="str">
        <f>IF(COUNTIFS(SalesData[Customer_ID],SalesData[[#This Row],[Customer_ID]])&gt;1,"Repeat","New")</f>
        <v>Repeat</v>
      </c>
      <c r="V187" s="2" t="str">
        <f>IF(SalesData[[#This Row],[Sales]]&gt;AVERAGE(SalesData[Sales]),"Above Avg","Below Avg")</f>
        <v>Below Avg</v>
      </c>
      <c r="W187" s="2" t="str">
        <f>IF(SalesData[[#This Row],[Profit]]&gt;0,"Profit","Loss")</f>
        <v>Profit</v>
      </c>
      <c r="X187" s="2">
        <f>RANK(SalesData[[#This Row],[Sales]],SalesData[Sales])</f>
        <v>462</v>
      </c>
    </row>
    <row r="188" spans="1:24" x14ac:dyDescent="0.3">
      <c r="A188">
        <v>187</v>
      </c>
      <c r="B188" s="1">
        <v>45478</v>
      </c>
      <c r="C188">
        <v>1018</v>
      </c>
      <c r="D188" t="s">
        <v>150</v>
      </c>
      <c r="E188" t="s">
        <v>24</v>
      </c>
      <c r="F188" t="s">
        <v>33</v>
      </c>
      <c r="G188" t="s">
        <v>22</v>
      </c>
      <c r="H188" t="s">
        <v>18</v>
      </c>
      <c r="I188">
        <v>4924</v>
      </c>
      <c r="J188">
        <v>3</v>
      </c>
      <c r="K188">
        <v>0.13</v>
      </c>
      <c r="L188">
        <v>1357</v>
      </c>
      <c r="M188" t="s">
        <v>19</v>
      </c>
      <c r="N188">
        <v>12851.64</v>
      </c>
      <c r="O188" t="str">
        <f>TEXT(SalesData[[#This Row],[Order_Date]],"mmm")</f>
        <v>Jul</v>
      </c>
      <c r="P188">
        <f>YEAR(SalesData[[#This Row],[Order_Date]])</f>
        <v>2024</v>
      </c>
      <c r="Q188" t="str">
        <f>"Q"&amp;ROUNDUP(MONTH(SalesData[[#This Row],[Order_Date]])/3,0)</f>
        <v>Q3</v>
      </c>
      <c r="R188" s="2">
        <f>IFERROR(SalesData[[#This Row],[Profit]]/SalesData[[#This Row],[Sales]],0)</f>
        <v>0.1055896368089987</v>
      </c>
      <c r="S188" s="2">
        <f>SalesData[[#This Row],[Price]]*SalesData[[#This Row],[Quantity]]*SalesData[[#This Row],[Discount]]</f>
        <v>1920.3600000000001</v>
      </c>
      <c r="T188" s="2" t="str">
        <f>IF(SalesData[[#This Row],[Sales]]&gt;5000,"High",IF(SalesData[[#This Row],[Sales]]&gt;2000,"Medium","Low"))</f>
        <v>High</v>
      </c>
      <c r="U188" s="2" t="str">
        <f>IF(COUNTIFS(SalesData[Customer_ID],SalesData[[#This Row],[Customer_ID]])&gt;1,"Repeat","New")</f>
        <v>Repeat</v>
      </c>
      <c r="V188" s="2" t="str">
        <f>IF(SalesData[[#This Row],[Sales]]&gt;AVERAGE(SalesData[Sales]),"Above Avg","Below Avg")</f>
        <v>Above Avg</v>
      </c>
      <c r="W188" s="2" t="str">
        <f>IF(SalesData[[#This Row],[Profit]]&gt;0,"Profit","Loss")</f>
        <v>Profit</v>
      </c>
      <c r="X188" s="2">
        <f>RANK(SalesData[[#This Row],[Sales]],SalesData[Sales])</f>
        <v>160</v>
      </c>
    </row>
    <row r="189" spans="1:24" x14ac:dyDescent="0.3">
      <c r="A189">
        <v>188</v>
      </c>
      <c r="B189" s="1">
        <v>45479</v>
      </c>
      <c r="C189">
        <v>1091</v>
      </c>
      <c r="D189" t="s">
        <v>121</v>
      </c>
      <c r="E189" t="s">
        <v>24</v>
      </c>
      <c r="F189" t="s">
        <v>21</v>
      </c>
      <c r="G189" t="s">
        <v>34</v>
      </c>
      <c r="H189" t="s">
        <v>18</v>
      </c>
      <c r="I189">
        <v>1821</v>
      </c>
      <c r="J189">
        <v>7</v>
      </c>
      <c r="K189">
        <v>0.26</v>
      </c>
      <c r="L189">
        <v>-309</v>
      </c>
      <c r="M189" t="s">
        <v>26</v>
      </c>
      <c r="N189">
        <v>9432.7800000000007</v>
      </c>
      <c r="O189" t="str">
        <f>TEXT(SalesData[[#This Row],[Order_Date]],"mmm")</f>
        <v>Jul</v>
      </c>
      <c r="P189">
        <f>YEAR(SalesData[[#This Row],[Order_Date]])</f>
        <v>2024</v>
      </c>
      <c r="Q189" t="str">
        <f>"Q"&amp;ROUNDUP(MONTH(SalesData[[#This Row],[Order_Date]])/3,0)</f>
        <v>Q3</v>
      </c>
      <c r="R189" s="2">
        <f>IFERROR(SalesData[[#This Row],[Profit]]/SalesData[[#This Row],[Sales]],0)</f>
        <v>-3.2758105245749396E-2</v>
      </c>
      <c r="S189" s="2">
        <f>SalesData[[#This Row],[Price]]*SalesData[[#This Row],[Quantity]]*SalesData[[#This Row],[Discount]]</f>
        <v>3314.2200000000003</v>
      </c>
      <c r="T189" s="2" t="str">
        <f>IF(SalesData[[#This Row],[Sales]]&gt;5000,"High",IF(SalesData[[#This Row],[Sales]]&gt;2000,"Medium","Low"))</f>
        <v>High</v>
      </c>
      <c r="U189" s="2" t="str">
        <f>IF(COUNTIFS(SalesData[Customer_ID],SalesData[[#This Row],[Customer_ID]])&gt;1,"Repeat","New")</f>
        <v>Repeat</v>
      </c>
      <c r="V189" s="2" t="str">
        <f>IF(SalesData[[#This Row],[Sales]]&gt;AVERAGE(SalesData[Sales]),"Above Avg","Below Avg")</f>
        <v>Below Avg</v>
      </c>
      <c r="W189" s="2" t="str">
        <f>IF(SalesData[[#This Row],[Profit]]&gt;0,"Profit","Loss")</f>
        <v>Loss</v>
      </c>
      <c r="X189" s="2">
        <f>RANK(SalesData[[#This Row],[Sales]],SalesData[Sales])</f>
        <v>220</v>
      </c>
    </row>
    <row r="190" spans="1:24" x14ac:dyDescent="0.3">
      <c r="A190">
        <v>189</v>
      </c>
      <c r="B190" s="1">
        <v>45480</v>
      </c>
      <c r="C190">
        <v>1046</v>
      </c>
      <c r="D190" t="s">
        <v>60</v>
      </c>
      <c r="E190" t="s">
        <v>24</v>
      </c>
      <c r="F190" t="s">
        <v>21</v>
      </c>
      <c r="G190" t="s">
        <v>22</v>
      </c>
      <c r="H190" t="s">
        <v>29</v>
      </c>
      <c r="I190">
        <v>1873</v>
      </c>
      <c r="J190">
        <v>9</v>
      </c>
      <c r="K190">
        <v>0.17</v>
      </c>
      <c r="L190">
        <v>-234</v>
      </c>
      <c r="M190" t="s">
        <v>19</v>
      </c>
      <c r="N190">
        <v>13991.31</v>
      </c>
      <c r="O190" t="str">
        <f>TEXT(SalesData[[#This Row],[Order_Date]],"mmm")</f>
        <v>Jul</v>
      </c>
      <c r="P190">
        <f>YEAR(SalesData[[#This Row],[Order_Date]])</f>
        <v>2024</v>
      </c>
      <c r="Q190" t="str">
        <f>"Q"&amp;ROUNDUP(MONTH(SalesData[[#This Row],[Order_Date]])/3,0)</f>
        <v>Q3</v>
      </c>
      <c r="R190" s="2">
        <f>IFERROR(SalesData[[#This Row],[Profit]]/SalesData[[#This Row],[Sales]],0)</f>
        <v>-1.672466695398787E-2</v>
      </c>
      <c r="S190" s="2">
        <f>SalesData[[#This Row],[Price]]*SalesData[[#This Row],[Quantity]]*SalesData[[#This Row],[Discount]]</f>
        <v>2865.69</v>
      </c>
      <c r="T190" s="2" t="str">
        <f>IF(SalesData[[#This Row],[Sales]]&gt;5000,"High",IF(SalesData[[#This Row],[Sales]]&gt;2000,"Medium","Low"))</f>
        <v>High</v>
      </c>
      <c r="U190" s="2" t="str">
        <f>IF(COUNTIFS(SalesData[Customer_ID],SalesData[[#This Row],[Customer_ID]])&gt;1,"Repeat","New")</f>
        <v>Repeat</v>
      </c>
      <c r="V190" s="2" t="str">
        <f>IF(SalesData[[#This Row],[Sales]]&gt;AVERAGE(SalesData[Sales]),"Above Avg","Below Avg")</f>
        <v>Above Avg</v>
      </c>
      <c r="W190" s="2" t="str">
        <f>IF(SalesData[[#This Row],[Profit]]&gt;0,"Profit","Loss")</f>
        <v>Loss</v>
      </c>
      <c r="X190" s="2">
        <f>RANK(SalesData[[#This Row],[Sales]],SalesData[Sales])</f>
        <v>147</v>
      </c>
    </row>
    <row r="191" spans="1:24" x14ac:dyDescent="0.3">
      <c r="A191">
        <v>190</v>
      </c>
      <c r="B191" s="1">
        <v>45481</v>
      </c>
      <c r="C191">
        <v>1054</v>
      </c>
      <c r="D191" t="s">
        <v>151</v>
      </c>
      <c r="E191" t="s">
        <v>15</v>
      </c>
      <c r="F191" t="s">
        <v>28</v>
      </c>
      <c r="G191" t="s">
        <v>34</v>
      </c>
      <c r="H191" t="s">
        <v>37</v>
      </c>
      <c r="I191">
        <v>750</v>
      </c>
      <c r="J191">
        <v>8</v>
      </c>
      <c r="K191">
        <v>0.17</v>
      </c>
      <c r="L191">
        <v>-108</v>
      </c>
      <c r="M191" t="s">
        <v>26</v>
      </c>
      <c r="N191">
        <v>4980</v>
      </c>
      <c r="O191" t="str">
        <f>TEXT(SalesData[[#This Row],[Order_Date]],"mmm")</f>
        <v>Jul</v>
      </c>
      <c r="P191">
        <f>YEAR(SalesData[[#This Row],[Order_Date]])</f>
        <v>2024</v>
      </c>
      <c r="Q191" t="str">
        <f>"Q"&amp;ROUNDUP(MONTH(SalesData[[#This Row],[Order_Date]])/3,0)</f>
        <v>Q3</v>
      </c>
      <c r="R191" s="2">
        <f>IFERROR(SalesData[[#This Row],[Profit]]/SalesData[[#This Row],[Sales]],0)</f>
        <v>-2.1686746987951807E-2</v>
      </c>
      <c r="S191" s="2">
        <f>SalesData[[#This Row],[Price]]*SalesData[[#This Row],[Quantity]]*SalesData[[#This Row],[Discount]]</f>
        <v>1020.0000000000001</v>
      </c>
      <c r="T191" s="2" t="str">
        <f>IF(SalesData[[#This Row],[Sales]]&gt;5000,"High",IF(SalesData[[#This Row],[Sales]]&gt;2000,"Medium","Low"))</f>
        <v>Medium</v>
      </c>
      <c r="U191" s="2" t="str">
        <f>IF(COUNTIFS(SalesData[Customer_ID],SalesData[[#This Row],[Customer_ID]])&gt;1,"Repeat","New")</f>
        <v>Repeat</v>
      </c>
      <c r="V191" s="2" t="str">
        <f>IF(SalesData[[#This Row],[Sales]]&gt;AVERAGE(SalesData[Sales]),"Above Avg","Below Avg")</f>
        <v>Below Avg</v>
      </c>
      <c r="W191" s="2" t="str">
        <f>IF(SalesData[[#This Row],[Profit]]&gt;0,"Profit","Loss")</f>
        <v>Loss</v>
      </c>
      <c r="X191" s="2">
        <f>RANK(SalesData[[#This Row],[Sales]],SalesData[Sales])</f>
        <v>324</v>
      </c>
    </row>
    <row r="192" spans="1:24" x14ac:dyDescent="0.3">
      <c r="A192">
        <v>191</v>
      </c>
      <c r="B192" s="1">
        <v>45482</v>
      </c>
      <c r="C192">
        <v>1073</v>
      </c>
      <c r="D192" t="s">
        <v>152</v>
      </c>
      <c r="E192" t="s">
        <v>15</v>
      </c>
      <c r="F192" t="s">
        <v>21</v>
      </c>
      <c r="G192" t="s">
        <v>34</v>
      </c>
      <c r="H192" t="s">
        <v>18</v>
      </c>
      <c r="I192">
        <v>1461</v>
      </c>
      <c r="J192">
        <v>3</v>
      </c>
      <c r="K192">
        <v>7.0000000000000007E-2</v>
      </c>
      <c r="L192">
        <v>-371</v>
      </c>
      <c r="M192" t="s">
        <v>31</v>
      </c>
      <c r="N192">
        <v>4076.1899999999901</v>
      </c>
      <c r="O192" t="str">
        <f>TEXT(SalesData[[#This Row],[Order_Date]],"mmm")</f>
        <v>Jul</v>
      </c>
      <c r="P192">
        <f>YEAR(SalesData[[#This Row],[Order_Date]])</f>
        <v>2024</v>
      </c>
      <c r="Q192" t="str">
        <f>"Q"&amp;ROUNDUP(MONTH(SalesData[[#This Row],[Order_Date]])/3,0)</f>
        <v>Q3</v>
      </c>
      <c r="R192" s="2">
        <f>IFERROR(SalesData[[#This Row],[Profit]]/SalesData[[#This Row],[Sales]],0)</f>
        <v>-9.1016365772940144E-2</v>
      </c>
      <c r="S192" s="2">
        <f>SalesData[[#This Row],[Price]]*SalesData[[#This Row],[Quantity]]*SalesData[[#This Row],[Discount]]</f>
        <v>306.81</v>
      </c>
      <c r="T192" s="2" t="str">
        <f>IF(SalesData[[#This Row],[Sales]]&gt;5000,"High",IF(SalesData[[#This Row],[Sales]]&gt;2000,"Medium","Low"))</f>
        <v>Medium</v>
      </c>
      <c r="U192" s="2" t="str">
        <f>IF(COUNTIFS(SalesData[Customer_ID],SalesData[[#This Row],[Customer_ID]])&gt;1,"Repeat","New")</f>
        <v>Repeat</v>
      </c>
      <c r="V192" s="2" t="str">
        <f>IF(SalesData[[#This Row],[Sales]]&gt;AVERAGE(SalesData[Sales]),"Above Avg","Below Avg")</f>
        <v>Below Avg</v>
      </c>
      <c r="W192" s="2" t="str">
        <f>IF(SalesData[[#This Row],[Profit]]&gt;0,"Profit","Loss")</f>
        <v>Loss</v>
      </c>
      <c r="X192" s="2">
        <f>RANK(SalesData[[#This Row],[Sales]],SalesData[Sales])</f>
        <v>351</v>
      </c>
    </row>
    <row r="193" spans="1:24" x14ac:dyDescent="0.3">
      <c r="A193">
        <v>192</v>
      </c>
      <c r="B193" s="1">
        <v>45483</v>
      </c>
      <c r="C193">
        <v>1081</v>
      </c>
      <c r="D193" t="s">
        <v>153</v>
      </c>
      <c r="E193" t="s">
        <v>24</v>
      </c>
      <c r="F193" t="s">
        <v>16</v>
      </c>
      <c r="G193" t="s">
        <v>22</v>
      </c>
      <c r="H193" t="s">
        <v>18</v>
      </c>
      <c r="I193">
        <v>3609</v>
      </c>
      <c r="J193">
        <v>5</v>
      </c>
      <c r="K193">
        <v>0.12</v>
      </c>
      <c r="L193">
        <v>514</v>
      </c>
      <c r="M193" t="s">
        <v>31</v>
      </c>
      <c r="N193">
        <v>15879.6</v>
      </c>
      <c r="O193" t="str">
        <f>TEXT(SalesData[[#This Row],[Order_Date]],"mmm")</f>
        <v>Jul</v>
      </c>
      <c r="P193">
        <f>YEAR(SalesData[[#This Row],[Order_Date]])</f>
        <v>2024</v>
      </c>
      <c r="Q193" t="str">
        <f>"Q"&amp;ROUNDUP(MONTH(SalesData[[#This Row],[Order_Date]])/3,0)</f>
        <v>Q3</v>
      </c>
      <c r="R193" s="2">
        <f>IFERROR(SalesData[[#This Row],[Profit]]/SalesData[[#This Row],[Sales]],0)</f>
        <v>3.2368573515705684E-2</v>
      </c>
      <c r="S193" s="2">
        <f>SalesData[[#This Row],[Price]]*SalesData[[#This Row],[Quantity]]*SalesData[[#This Row],[Discount]]</f>
        <v>2165.4</v>
      </c>
      <c r="T193" s="2" t="str">
        <f>IF(SalesData[[#This Row],[Sales]]&gt;5000,"High",IF(SalesData[[#This Row],[Sales]]&gt;2000,"Medium","Low"))</f>
        <v>High</v>
      </c>
      <c r="U193" s="2" t="str">
        <f>IF(COUNTIFS(SalesData[Customer_ID],SalesData[[#This Row],[Customer_ID]])&gt;1,"Repeat","New")</f>
        <v>Repeat</v>
      </c>
      <c r="V193" s="2" t="str">
        <f>IF(SalesData[[#This Row],[Sales]]&gt;AVERAGE(SalesData[Sales]),"Above Avg","Below Avg")</f>
        <v>Above Avg</v>
      </c>
      <c r="W193" s="2" t="str">
        <f>IF(SalesData[[#This Row],[Profit]]&gt;0,"Profit","Loss")</f>
        <v>Profit</v>
      </c>
      <c r="X193" s="2">
        <f>RANK(SalesData[[#This Row],[Sales]],SalesData[Sales])</f>
        <v>131</v>
      </c>
    </row>
    <row r="194" spans="1:24" x14ac:dyDescent="0.3">
      <c r="A194">
        <v>193</v>
      </c>
      <c r="B194" s="1">
        <v>45484</v>
      </c>
      <c r="C194">
        <v>1062</v>
      </c>
      <c r="D194" t="s">
        <v>154</v>
      </c>
      <c r="E194" t="s">
        <v>24</v>
      </c>
      <c r="F194" t="s">
        <v>16</v>
      </c>
      <c r="G194" t="s">
        <v>17</v>
      </c>
      <c r="H194" t="s">
        <v>25</v>
      </c>
      <c r="I194">
        <v>1568</v>
      </c>
      <c r="J194">
        <v>1</v>
      </c>
      <c r="K194">
        <v>0.06</v>
      </c>
      <c r="L194">
        <v>1807</v>
      </c>
      <c r="M194" t="s">
        <v>19</v>
      </c>
      <c r="N194">
        <v>1473.9199999999901</v>
      </c>
      <c r="O194" t="str">
        <f>TEXT(SalesData[[#This Row],[Order_Date]],"mmm")</f>
        <v>Jul</v>
      </c>
      <c r="P194">
        <f>YEAR(SalesData[[#This Row],[Order_Date]])</f>
        <v>2024</v>
      </c>
      <c r="Q194" t="str">
        <f>"Q"&amp;ROUNDUP(MONTH(SalesData[[#This Row],[Order_Date]])/3,0)</f>
        <v>Q3</v>
      </c>
      <c r="R194" s="2">
        <f>IFERROR(SalesData[[#This Row],[Profit]]/SalesData[[#This Row],[Sales]],0)</f>
        <v>1.225982414242301</v>
      </c>
      <c r="S194" s="2">
        <f>SalesData[[#This Row],[Price]]*SalesData[[#This Row],[Quantity]]*SalesData[[#This Row],[Discount]]</f>
        <v>94.08</v>
      </c>
      <c r="T194" s="2" t="str">
        <f>IF(SalesData[[#This Row],[Sales]]&gt;5000,"High",IF(SalesData[[#This Row],[Sales]]&gt;2000,"Medium","Low"))</f>
        <v>Low</v>
      </c>
      <c r="U194" s="2" t="str">
        <f>IF(COUNTIFS(SalesData[Customer_ID],SalesData[[#This Row],[Customer_ID]])&gt;1,"Repeat","New")</f>
        <v>Repeat</v>
      </c>
      <c r="V194" s="2" t="str">
        <f>IF(SalesData[[#This Row],[Sales]]&gt;AVERAGE(SalesData[Sales]),"Above Avg","Below Avg")</f>
        <v>Below Avg</v>
      </c>
      <c r="W194" s="2" t="str">
        <f>IF(SalesData[[#This Row],[Profit]]&gt;0,"Profit","Loss")</f>
        <v>Profit</v>
      </c>
      <c r="X194" s="2">
        <f>RANK(SalesData[[#This Row],[Sales]],SalesData[Sales])</f>
        <v>459</v>
      </c>
    </row>
    <row r="195" spans="1:24" x14ac:dyDescent="0.3">
      <c r="A195">
        <v>194</v>
      </c>
      <c r="B195" s="1">
        <v>45485</v>
      </c>
      <c r="C195">
        <v>1067</v>
      </c>
      <c r="D195" t="s">
        <v>155</v>
      </c>
      <c r="E195" t="s">
        <v>15</v>
      </c>
      <c r="F195" t="s">
        <v>28</v>
      </c>
      <c r="G195" t="s">
        <v>34</v>
      </c>
      <c r="H195" t="s">
        <v>37</v>
      </c>
      <c r="I195">
        <v>584</v>
      </c>
      <c r="J195">
        <v>1</v>
      </c>
      <c r="K195">
        <v>0.22</v>
      </c>
      <c r="L195">
        <v>858</v>
      </c>
      <c r="M195" t="s">
        <v>26</v>
      </c>
      <c r="N195">
        <v>455.52</v>
      </c>
      <c r="O195" t="str">
        <f>TEXT(SalesData[[#This Row],[Order_Date]],"mmm")</f>
        <v>Jul</v>
      </c>
      <c r="P195">
        <f>YEAR(SalesData[[#This Row],[Order_Date]])</f>
        <v>2024</v>
      </c>
      <c r="Q195" t="str">
        <f>"Q"&amp;ROUNDUP(MONTH(SalesData[[#This Row],[Order_Date]])/3,0)</f>
        <v>Q3</v>
      </c>
      <c r="R195" s="2">
        <f>IFERROR(SalesData[[#This Row],[Profit]]/SalesData[[#This Row],[Sales]],0)</f>
        <v>1.8835616438356164</v>
      </c>
      <c r="S195" s="2">
        <f>SalesData[[#This Row],[Price]]*SalesData[[#This Row],[Quantity]]*SalesData[[#This Row],[Discount]]</f>
        <v>128.47999999999999</v>
      </c>
      <c r="T195" s="2" t="str">
        <f>IF(SalesData[[#This Row],[Sales]]&gt;5000,"High",IF(SalesData[[#This Row],[Sales]]&gt;2000,"Medium","Low"))</f>
        <v>Low</v>
      </c>
      <c r="U195" s="2" t="str">
        <f>IF(COUNTIFS(SalesData[Customer_ID],SalesData[[#This Row],[Customer_ID]])&gt;1,"Repeat","New")</f>
        <v>Repeat</v>
      </c>
      <c r="V195" s="2" t="str">
        <f>IF(SalesData[[#This Row],[Sales]]&gt;AVERAGE(SalesData[Sales]),"Above Avg","Below Avg")</f>
        <v>Below Avg</v>
      </c>
      <c r="W195" s="2" t="str">
        <f>IF(SalesData[[#This Row],[Profit]]&gt;0,"Profit","Loss")</f>
        <v>Profit</v>
      </c>
      <c r="X195" s="2">
        <f>RANK(SalesData[[#This Row],[Sales]],SalesData[Sales])</f>
        <v>494</v>
      </c>
    </row>
    <row r="196" spans="1:24" x14ac:dyDescent="0.3">
      <c r="A196">
        <v>195</v>
      </c>
      <c r="B196" s="1">
        <v>45486</v>
      </c>
      <c r="C196">
        <v>1011</v>
      </c>
      <c r="D196" t="s">
        <v>156</v>
      </c>
      <c r="E196" t="s">
        <v>24</v>
      </c>
      <c r="F196" t="s">
        <v>16</v>
      </c>
      <c r="G196" t="s">
        <v>34</v>
      </c>
      <c r="H196" t="s">
        <v>37</v>
      </c>
      <c r="I196">
        <v>851</v>
      </c>
      <c r="J196">
        <v>9</v>
      </c>
      <c r="K196">
        <v>0.19</v>
      </c>
      <c r="L196">
        <v>1126</v>
      </c>
      <c r="M196" t="s">
        <v>26</v>
      </c>
      <c r="N196">
        <v>6203.79</v>
      </c>
      <c r="O196" t="str">
        <f>TEXT(SalesData[[#This Row],[Order_Date]],"mmm")</f>
        <v>Jul</v>
      </c>
      <c r="P196">
        <f>YEAR(SalesData[[#This Row],[Order_Date]])</f>
        <v>2024</v>
      </c>
      <c r="Q196" t="str">
        <f>"Q"&amp;ROUNDUP(MONTH(SalesData[[#This Row],[Order_Date]])/3,0)</f>
        <v>Q3</v>
      </c>
      <c r="R196" s="2">
        <f>IFERROR(SalesData[[#This Row],[Profit]]/SalesData[[#This Row],[Sales]],0)</f>
        <v>0.18150195283850679</v>
      </c>
      <c r="S196" s="2">
        <f>SalesData[[#This Row],[Price]]*SalesData[[#This Row],[Quantity]]*SalesData[[#This Row],[Discount]]</f>
        <v>1455.21</v>
      </c>
      <c r="T196" s="2" t="str">
        <f>IF(SalesData[[#This Row],[Sales]]&gt;5000,"High",IF(SalesData[[#This Row],[Sales]]&gt;2000,"Medium","Low"))</f>
        <v>High</v>
      </c>
      <c r="U196" s="2" t="str">
        <f>IF(COUNTIFS(SalesData[Customer_ID],SalesData[[#This Row],[Customer_ID]])&gt;1,"Repeat","New")</f>
        <v>Repeat</v>
      </c>
      <c r="V196" s="2" t="str">
        <f>IF(SalesData[[#This Row],[Sales]]&gt;AVERAGE(SalesData[Sales]),"Above Avg","Below Avg")</f>
        <v>Below Avg</v>
      </c>
      <c r="W196" s="2" t="str">
        <f>IF(SalesData[[#This Row],[Profit]]&gt;0,"Profit","Loss")</f>
        <v>Profit</v>
      </c>
      <c r="X196" s="2">
        <f>RANK(SalesData[[#This Row],[Sales]],SalesData[Sales])</f>
        <v>292</v>
      </c>
    </row>
    <row r="197" spans="1:24" x14ac:dyDescent="0.3">
      <c r="A197">
        <v>196</v>
      </c>
      <c r="B197" s="1">
        <v>45487</v>
      </c>
      <c r="C197">
        <v>1026</v>
      </c>
      <c r="D197" t="s">
        <v>70</v>
      </c>
      <c r="E197" t="s">
        <v>24</v>
      </c>
      <c r="F197" t="s">
        <v>28</v>
      </c>
      <c r="G197" t="s">
        <v>17</v>
      </c>
      <c r="H197" t="s">
        <v>18</v>
      </c>
      <c r="I197">
        <v>209</v>
      </c>
      <c r="J197">
        <v>7</v>
      </c>
      <c r="K197">
        <v>0.24</v>
      </c>
      <c r="L197">
        <v>-125</v>
      </c>
      <c r="M197" t="s">
        <v>19</v>
      </c>
      <c r="N197">
        <v>1111.8800000000001</v>
      </c>
      <c r="O197" t="str">
        <f>TEXT(SalesData[[#This Row],[Order_Date]],"mmm")</f>
        <v>Jul</v>
      </c>
      <c r="P197">
        <f>YEAR(SalesData[[#This Row],[Order_Date]])</f>
        <v>2024</v>
      </c>
      <c r="Q197" t="str">
        <f>"Q"&amp;ROUNDUP(MONTH(SalesData[[#This Row],[Order_Date]])/3,0)</f>
        <v>Q3</v>
      </c>
      <c r="R197" s="2">
        <f>IFERROR(SalesData[[#This Row],[Profit]]/SalesData[[#This Row],[Sales]],0)</f>
        <v>-0.11242220383494621</v>
      </c>
      <c r="S197" s="2">
        <f>SalesData[[#This Row],[Price]]*SalesData[[#This Row],[Quantity]]*SalesData[[#This Row],[Discount]]</f>
        <v>351.12</v>
      </c>
      <c r="T197" s="2" t="str">
        <f>IF(SalesData[[#This Row],[Sales]]&gt;5000,"High",IF(SalesData[[#This Row],[Sales]]&gt;2000,"Medium","Low"))</f>
        <v>Low</v>
      </c>
      <c r="U197" s="2" t="str">
        <f>IF(COUNTIFS(SalesData[Customer_ID],SalesData[[#This Row],[Customer_ID]])&gt;1,"Repeat","New")</f>
        <v>Repeat</v>
      </c>
      <c r="V197" s="2" t="str">
        <f>IF(SalesData[[#This Row],[Sales]]&gt;AVERAGE(SalesData[Sales]),"Above Avg","Below Avg")</f>
        <v>Below Avg</v>
      </c>
      <c r="W197" s="2" t="str">
        <f>IF(SalesData[[#This Row],[Profit]]&gt;0,"Profit","Loss")</f>
        <v>Loss</v>
      </c>
      <c r="X197" s="2">
        <f>RANK(SalesData[[#This Row],[Sales]],SalesData[Sales])</f>
        <v>476</v>
      </c>
    </row>
    <row r="198" spans="1:24" x14ac:dyDescent="0.3">
      <c r="A198">
        <v>197</v>
      </c>
      <c r="B198" s="1">
        <v>45488</v>
      </c>
      <c r="C198">
        <v>1092</v>
      </c>
      <c r="D198" t="s">
        <v>48</v>
      </c>
      <c r="E198" t="s">
        <v>24</v>
      </c>
      <c r="F198" t="s">
        <v>16</v>
      </c>
      <c r="G198" t="s">
        <v>17</v>
      </c>
      <c r="H198" t="s">
        <v>25</v>
      </c>
      <c r="I198">
        <v>2452</v>
      </c>
      <c r="J198">
        <v>4</v>
      </c>
      <c r="K198">
        <v>0.19</v>
      </c>
      <c r="L198">
        <v>1641</v>
      </c>
      <c r="M198" t="s">
        <v>26</v>
      </c>
      <c r="N198">
        <v>7944.48</v>
      </c>
      <c r="O198" t="str">
        <f>TEXT(SalesData[[#This Row],[Order_Date]],"mmm")</f>
        <v>Jul</v>
      </c>
      <c r="P198">
        <f>YEAR(SalesData[[#This Row],[Order_Date]])</f>
        <v>2024</v>
      </c>
      <c r="Q198" t="str">
        <f>"Q"&amp;ROUNDUP(MONTH(SalesData[[#This Row],[Order_Date]])/3,0)</f>
        <v>Q3</v>
      </c>
      <c r="R198" s="2">
        <f>IFERROR(SalesData[[#This Row],[Profit]]/SalesData[[#This Row],[Sales]],0)</f>
        <v>0.20655851610174614</v>
      </c>
      <c r="S198" s="2">
        <f>SalesData[[#This Row],[Price]]*SalesData[[#This Row],[Quantity]]*SalesData[[#This Row],[Discount]]</f>
        <v>1863.52</v>
      </c>
      <c r="T198" s="2" t="str">
        <f>IF(SalesData[[#This Row],[Sales]]&gt;5000,"High",IF(SalesData[[#This Row],[Sales]]&gt;2000,"Medium","Low"))</f>
        <v>High</v>
      </c>
      <c r="U198" s="2" t="str">
        <f>IF(COUNTIFS(SalesData[Customer_ID],SalesData[[#This Row],[Customer_ID]])&gt;1,"Repeat","New")</f>
        <v>Repeat</v>
      </c>
      <c r="V198" s="2" t="str">
        <f>IF(SalesData[[#This Row],[Sales]]&gt;AVERAGE(SalesData[Sales]),"Above Avg","Below Avg")</f>
        <v>Below Avg</v>
      </c>
      <c r="W198" s="2" t="str">
        <f>IF(SalesData[[#This Row],[Profit]]&gt;0,"Profit","Loss")</f>
        <v>Profit</v>
      </c>
      <c r="X198" s="2">
        <f>RANK(SalesData[[#This Row],[Sales]],SalesData[Sales])</f>
        <v>254</v>
      </c>
    </row>
    <row r="199" spans="1:24" x14ac:dyDescent="0.3">
      <c r="A199">
        <v>198</v>
      </c>
      <c r="B199" s="1">
        <v>45489</v>
      </c>
      <c r="C199">
        <v>1075</v>
      </c>
      <c r="D199" t="s">
        <v>157</v>
      </c>
      <c r="E199" t="s">
        <v>15</v>
      </c>
      <c r="F199" t="s">
        <v>21</v>
      </c>
      <c r="G199" t="s">
        <v>17</v>
      </c>
      <c r="H199" t="s">
        <v>37</v>
      </c>
      <c r="I199">
        <v>4378</v>
      </c>
      <c r="J199">
        <v>4</v>
      </c>
      <c r="K199">
        <v>0.08</v>
      </c>
      <c r="L199">
        <v>-266</v>
      </c>
      <c r="M199" t="s">
        <v>31</v>
      </c>
      <c r="N199">
        <v>16111.04</v>
      </c>
      <c r="O199" t="str">
        <f>TEXT(SalesData[[#This Row],[Order_Date]],"mmm")</f>
        <v>Jul</v>
      </c>
      <c r="P199">
        <f>YEAR(SalesData[[#This Row],[Order_Date]])</f>
        <v>2024</v>
      </c>
      <c r="Q199" t="str">
        <f>"Q"&amp;ROUNDUP(MONTH(SalesData[[#This Row],[Order_Date]])/3,0)</f>
        <v>Q3</v>
      </c>
      <c r="R199" s="2">
        <f>IFERROR(SalesData[[#This Row],[Profit]]/SalesData[[#This Row],[Sales]],0)</f>
        <v>-1.6510417701153992E-2</v>
      </c>
      <c r="S199" s="2">
        <f>SalesData[[#This Row],[Price]]*SalesData[[#This Row],[Quantity]]*SalesData[[#This Row],[Discount]]</f>
        <v>1400.96</v>
      </c>
      <c r="T199" s="2" t="str">
        <f>IF(SalesData[[#This Row],[Sales]]&gt;5000,"High",IF(SalesData[[#This Row],[Sales]]&gt;2000,"Medium","Low"))</f>
        <v>High</v>
      </c>
      <c r="U199" s="2" t="str">
        <f>IF(COUNTIFS(SalesData[Customer_ID],SalesData[[#This Row],[Customer_ID]])&gt;1,"Repeat","New")</f>
        <v>Repeat</v>
      </c>
      <c r="V199" s="2" t="str">
        <f>IF(SalesData[[#This Row],[Sales]]&gt;AVERAGE(SalesData[Sales]),"Above Avg","Below Avg")</f>
        <v>Above Avg</v>
      </c>
      <c r="W199" s="2" t="str">
        <f>IF(SalesData[[#This Row],[Profit]]&gt;0,"Profit","Loss")</f>
        <v>Loss</v>
      </c>
      <c r="X199" s="2">
        <f>RANK(SalesData[[#This Row],[Sales]],SalesData[Sales])</f>
        <v>125</v>
      </c>
    </row>
    <row r="200" spans="1:24" x14ac:dyDescent="0.3">
      <c r="A200">
        <v>199</v>
      </c>
      <c r="B200" s="1">
        <v>45490</v>
      </c>
      <c r="C200">
        <v>1010</v>
      </c>
      <c r="D200" t="s">
        <v>32</v>
      </c>
      <c r="E200" t="s">
        <v>24</v>
      </c>
      <c r="F200" t="s">
        <v>16</v>
      </c>
      <c r="G200" t="s">
        <v>34</v>
      </c>
      <c r="H200" t="s">
        <v>37</v>
      </c>
      <c r="I200">
        <v>3624</v>
      </c>
      <c r="J200">
        <v>3</v>
      </c>
      <c r="K200">
        <v>0.28999999999999998</v>
      </c>
      <c r="L200">
        <v>-429</v>
      </c>
      <c r="M200" t="s">
        <v>31</v>
      </c>
      <c r="N200">
        <v>7719.12</v>
      </c>
      <c r="O200" t="str">
        <f>TEXT(SalesData[[#This Row],[Order_Date]],"mmm")</f>
        <v>Jul</v>
      </c>
      <c r="P200">
        <f>YEAR(SalesData[[#This Row],[Order_Date]])</f>
        <v>2024</v>
      </c>
      <c r="Q200" t="str">
        <f>"Q"&amp;ROUNDUP(MONTH(SalesData[[#This Row],[Order_Date]])/3,0)</f>
        <v>Q3</v>
      </c>
      <c r="R200" s="2">
        <f>IFERROR(SalesData[[#This Row],[Profit]]/SalesData[[#This Row],[Sales]],0)</f>
        <v>-5.557628330690545E-2</v>
      </c>
      <c r="S200" s="2">
        <f>SalesData[[#This Row],[Price]]*SalesData[[#This Row],[Quantity]]*SalesData[[#This Row],[Discount]]</f>
        <v>3152.8799999999997</v>
      </c>
      <c r="T200" s="2" t="str">
        <f>IF(SalesData[[#This Row],[Sales]]&gt;5000,"High",IF(SalesData[[#This Row],[Sales]]&gt;2000,"Medium","Low"))</f>
        <v>High</v>
      </c>
      <c r="U200" s="2" t="str">
        <f>IF(COUNTIFS(SalesData[Customer_ID],SalesData[[#This Row],[Customer_ID]])&gt;1,"Repeat","New")</f>
        <v>Repeat</v>
      </c>
      <c r="V200" s="2" t="str">
        <f>IF(SalesData[[#This Row],[Sales]]&gt;AVERAGE(SalesData[Sales]),"Above Avg","Below Avg")</f>
        <v>Below Avg</v>
      </c>
      <c r="W200" s="2" t="str">
        <f>IF(SalesData[[#This Row],[Profit]]&gt;0,"Profit","Loss")</f>
        <v>Loss</v>
      </c>
      <c r="X200" s="2">
        <f>RANK(SalesData[[#This Row],[Sales]],SalesData[Sales])</f>
        <v>259</v>
      </c>
    </row>
    <row r="201" spans="1:24" x14ac:dyDescent="0.3">
      <c r="A201">
        <v>200</v>
      </c>
      <c r="B201" s="1">
        <v>45491</v>
      </c>
      <c r="C201">
        <v>1003</v>
      </c>
      <c r="D201" t="s">
        <v>68</v>
      </c>
      <c r="E201" t="s">
        <v>24</v>
      </c>
      <c r="F201" t="s">
        <v>16</v>
      </c>
      <c r="G201" t="s">
        <v>22</v>
      </c>
      <c r="H201" t="s">
        <v>37</v>
      </c>
      <c r="I201">
        <v>1158</v>
      </c>
      <c r="J201">
        <v>5</v>
      </c>
      <c r="K201">
        <v>0.2</v>
      </c>
      <c r="L201">
        <v>1597</v>
      </c>
      <c r="M201" t="s">
        <v>31</v>
      </c>
      <c r="N201">
        <v>4632</v>
      </c>
      <c r="O201" t="str">
        <f>TEXT(SalesData[[#This Row],[Order_Date]],"mmm")</f>
        <v>Jul</v>
      </c>
      <c r="P201">
        <f>YEAR(SalesData[[#This Row],[Order_Date]])</f>
        <v>2024</v>
      </c>
      <c r="Q201" t="str">
        <f>"Q"&amp;ROUNDUP(MONTH(SalesData[[#This Row],[Order_Date]])/3,0)</f>
        <v>Q3</v>
      </c>
      <c r="R201" s="2">
        <f>IFERROR(SalesData[[#This Row],[Profit]]/SalesData[[#This Row],[Sales]],0)</f>
        <v>0.34477547495682209</v>
      </c>
      <c r="S201" s="2">
        <f>SalesData[[#This Row],[Price]]*SalesData[[#This Row],[Quantity]]*SalesData[[#This Row],[Discount]]</f>
        <v>1158</v>
      </c>
      <c r="T201" s="2" t="str">
        <f>IF(SalesData[[#This Row],[Sales]]&gt;5000,"High",IF(SalesData[[#This Row],[Sales]]&gt;2000,"Medium","Low"))</f>
        <v>Medium</v>
      </c>
      <c r="U201" s="2" t="str">
        <f>IF(COUNTIFS(SalesData[Customer_ID],SalesData[[#This Row],[Customer_ID]])&gt;1,"Repeat","New")</f>
        <v>Repeat</v>
      </c>
      <c r="V201" s="2" t="str">
        <f>IF(SalesData[[#This Row],[Sales]]&gt;AVERAGE(SalesData[Sales]),"Above Avg","Below Avg")</f>
        <v>Below Avg</v>
      </c>
      <c r="W201" s="2" t="str">
        <f>IF(SalesData[[#This Row],[Profit]]&gt;0,"Profit","Loss")</f>
        <v>Profit</v>
      </c>
      <c r="X201" s="2">
        <f>RANK(SalesData[[#This Row],[Sales]],SalesData[Sales])</f>
        <v>335</v>
      </c>
    </row>
    <row r="202" spans="1:24" x14ac:dyDescent="0.3">
      <c r="A202">
        <v>201</v>
      </c>
      <c r="B202" s="1">
        <v>45492</v>
      </c>
      <c r="C202">
        <v>1045</v>
      </c>
      <c r="D202" t="s">
        <v>146</v>
      </c>
      <c r="E202" t="s">
        <v>24</v>
      </c>
      <c r="F202" t="s">
        <v>28</v>
      </c>
      <c r="G202" t="s">
        <v>34</v>
      </c>
      <c r="H202" t="s">
        <v>18</v>
      </c>
      <c r="I202">
        <v>300</v>
      </c>
      <c r="J202">
        <v>8</v>
      </c>
      <c r="K202">
        <v>0.14000000000000001</v>
      </c>
      <c r="L202">
        <v>1580</v>
      </c>
      <c r="M202" t="s">
        <v>19</v>
      </c>
      <c r="N202">
        <v>2064</v>
      </c>
      <c r="O202" t="str">
        <f>TEXT(SalesData[[#This Row],[Order_Date]],"mmm")</f>
        <v>Jul</v>
      </c>
      <c r="P202">
        <f>YEAR(SalesData[[#This Row],[Order_Date]])</f>
        <v>2024</v>
      </c>
      <c r="Q202" t="str">
        <f>"Q"&amp;ROUNDUP(MONTH(SalesData[[#This Row],[Order_Date]])/3,0)</f>
        <v>Q3</v>
      </c>
      <c r="R202" s="2">
        <f>IFERROR(SalesData[[#This Row],[Profit]]/SalesData[[#This Row],[Sales]],0)</f>
        <v>0.76550387596899228</v>
      </c>
      <c r="S202" s="2">
        <f>SalesData[[#This Row],[Price]]*SalesData[[#This Row],[Quantity]]*SalesData[[#This Row],[Discount]]</f>
        <v>336.00000000000006</v>
      </c>
      <c r="T202" s="2" t="str">
        <f>IF(SalesData[[#This Row],[Sales]]&gt;5000,"High",IF(SalesData[[#This Row],[Sales]]&gt;2000,"Medium","Low"))</f>
        <v>Medium</v>
      </c>
      <c r="U202" s="2" t="str">
        <f>IF(COUNTIFS(SalesData[Customer_ID],SalesData[[#This Row],[Customer_ID]])&gt;1,"Repeat","New")</f>
        <v>Repeat</v>
      </c>
      <c r="V202" s="2" t="str">
        <f>IF(SalesData[[#This Row],[Sales]]&gt;AVERAGE(SalesData[Sales]),"Above Avg","Below Avg")</f>
        <v>Below Avg</v>
      </c>
      <c r="W202" s="2" t="str">
        <f>IF(SalesData[[#This Row],[Profit]]&gt;0,"Profit","Loss")</f>
        <v>Profit</v>
      </c>
      <c r="X202" s="2">
        <f>RANK(SalesData[[#This Row],[Sales]],SalesData[Sales])</f>
        <v>425</v>
      </c>
    </row>
    <row r="203" spans="1:24" x14ac:dyDescent="0.3">
      <c r="A203">
        <v>202</v>
      </c>
      <c r="B203" s="1">
        <v>45493</v>
      </c>
      <c r="C203">
        <v>1058</v>
      </c>
      <c r="D203" t="s">
        <v>158</v>
      </c>
      <c r="E203" t="s">
        <v>15</v>
      </c>
      <c r="F203" t="s">
        <v>28</v>
      </c>
      <c r="G203" t="s">
        <v>22</v>
      </c>
      <c r="H203" t="s">
        <v>18</v>
      </c>
      <c r="I203">
        <v>4590</v>
      </c>
      <c r="J203">
        <v>3</v>
      </c>
      <c r="K203">
        <v>0.23</v>
      </c>
      <c r="L203">
        <v>458</v>
      </c>
      <c r="M203" t="s">
        <v>26</v>
      </c>
      <c r="N203">
        <v>10602.9</v>
      </c>
      <c r="O203" t="str">
        <f>TEXT(SalesData[[#This Row],[Order_Date]],"mmm")</f>
        <v>Jul</v>
      </c>
      <c r="P203">
        <f>YEAR(SalesData[[#This Row],[Order_Date]])</f>
        <v>2024</v>
      </c>
      <c r="Q203" t="str">
        <f>"Q"&amp;ROUNDUP(MONTH(SalesData[[#This Row],[Order_Date]])/3,0)</f>
        <v>Q3</v>
      </c>
      <c r="R203" s="2">
        <f>IFERROR(SalesData[[#This Row],[Profit]]/SalesData[[#This Row],[Sales]],0)</f>
        <v>4.3195729470239273E-2</v>
      </c>
      <c r="S203" s="2">
        <f>SalesData[[#This Row],[Price]]*SalesData[[#This Row],[Quantity]]*SalesData[[#This Row],[Discount]]</f>
        <v>3167.1000000000004</v>
      </c>
      <c r="T203" s="2" t="str">
        <f>IF(SalesData[[#This Row],[Sales]]&gt;5000,"High",IF(SalesData[[#This Row],[Sales]]&gt;2000,"Medium","Low"))</f>
        <v>High</v>
      </c>
      <c r="U203" s="2" t="str">
        <f>IF(COUNTIFS(SalesData[Customer_ID],SalesData[[#This Row],[Customer_ID]])&gt;1,"Repeat","New")</f>
        <v>Repeat</v>
      </c>
      <c r="V203" s="2" t="str">
        <f>IF(SalesData[[#This Row],[Sales]]&gt;AVERAGE(SalesData[Sales]),"Above Avg","Below Avg")</f>
        <v>Below Avg</v>
      </c>
      <c r="W203" s="2" t="str">
        <f>IF(SalesData[[#This Row],[Profit]]&gt;0,"Profit","Loss")</f>
        <v>Profit</v>
      </c>
      <c r="X203" s="2">
        <f>RANK(SalesData[[#This Row],[Sales]],SalesData[Sales])</f>
        <v>195</v>
      </c>
    </row>
    <row r="204" spans="1:24" x14ac:dyDescent="0.3">
      <c r="A204">
        <v>203</v>
      </c>
      <c r="B204" s="1">
        <v>45494</v>
      </c>
      <c r="C204">
        <v>1059</v>
      </c>
      <c r="D204" t="s">
        <v>117</v>
      </c>
      <c r="E204" t="s">
        <v>15</v>
      </c>
      <c r="F204" t="s">
        <v>28</v>
      </c>
      <c r="G204" t="s">
        <v>17</v>
      </c>
      <c r="H204" t="s">
        <v>29</v>
      </c>
      <c r="I204">
        <v>3815</v>
      </c>
      <c r="J204">
        <v>6</v>
      </c>
      <c r="K204">
        <v>0.08</v>
      </c>
      <c r="L204">
        <v>971</v>
      </c>
      <c r="M204" t="s">
        <v>26</v>
      </c>
      <c r="N204">
        <v>21058.799999999999</v>
      </c>
      <c r="O204" t="str">
        <f>TEXT(SalesData[[#This Row],[Order_Date]],"mmm")</f>
        <v>Jul</v>
      </c>
      <c r="P204">
        <f>YEAR(SalesData[[#This Row],[Order_Date]])</f>
        <v>2024</v>
      </c>
      <c r="Q204" t="str">
        <f>"Q"&amp;ROUNDUP(MONTH(SalesData[[#This Row],[Order_Date]])/3,0)</f>
        <v>Q3</v>
      </c>
      <c r="R204" s="2">
        <f>IFERROR(SalesData[[#This Row],[Profit]]/SalesData[[#This Row],[Sales]],0)</f>
        <v>4.6108990065910689E-2</v>
      </c>
      <c r="S204" s="2">
        <f>SalesData[[#This Row],[Price]]*SalesData[[#This Row],[Quantity]]*SalesData[[#This Row],[Discount]]</f>
        <v>1831.2</v>
      </c>
      <c r="T204" s="2" t="str">
        <f>IF(SalesData[[#This Row],[Sales]]&gt;5000,"High",IF(SalesData[[#This Row],[Sales]]&gt;2000,"Medium","Low"))</f>
        <v>High</v>
      </c>
      <c r="U204" s="2" t="str">
        <f>IF(COUNTIFS(SalesData[Customer_ID],SalesData[[#This Row],[Customer_ID]])&gt;1,"Repeat","New")</f>
        <v>Repeat</v>
      </c>
      <c r="V204" s="2" t="str">
        <f>IF(SalesData[[#This Row],[Sales]]&gt;AVERAGE(SalesData[Sales]),"Above Avg","Below Avg")</f>
        <v>Above Avg</v>
      </c>
      <c r="W204" s="2" t="str">
        <f>IF(SalesData[[#This Row],[Profit]]&gt;0,"Profit","Loss")</f>
        <v>Profit</v>
      </c>
      <c r="X204" s="2">
        <f>RANK(SalesData[[#This Row],[Sales]],SalesData[Sales])</f>
        <v>76</v>
      </c>
    </row>
    <row r="205" spans="1:24" x14ac:dyDescent="0.3">
      <c r="A205">
        <v>204</v>
      </c>
      <c r="B205" s="1">
        <v>45495</v>
      </c>
      <c r="C205">
        <v>1023</v>
      </c>
      <c r="D205" t="s">
        <v>159</v>
      </c>
      <c r="E205" t="s">
        <v>15</v>
      </c>
      <c r="F205" t="s">
        <v>33</v>
      </c>
      <c r="G205" t="s">
        <v>34</v>
      </c>
      <c r="H205" t="s">
        <v>29</v>
      </c>
      <c r="I205">
        <v>1315</v>
      </c>
      <c r="J205">
        <v>4</v>
      </c>
      <c r="K205">
        <v>0.24</v>
      </c>
      <c r="L205">
        <v>-35</v>
      </c>
      <c r="M205" t="s">
        <v>31</v>
      </c>
      <c r="N205">
        <v>3997.6</v>
      </c>
      <c r="O205" t="str">
        <f>TEXT(SalesData[[#This Row],[Order_Date]],"mmm")</f>
        <v>Jul</v>
      </c>
      <c r="P205">
        <f>YEAR(SalesData[[#This Row],[Order_Date]])</f>
        <v>2024</v>
      </c>
      <c r="Q205" t="str">
        <f>"Q"&amp;ROUNDUP(MONTH(SalesData[[#This Row],[Order_Date]])/3,0)</f>
        <v>Q3</v>
      </c>
      <c r="R205" s="2">
        <f>IFERROR(SalesData[[#This Row],[Profit]]/SalesData[[#This Row],[Sales]],0)</f>
        <v>-8.7552531518911344E-3</v>
      </c>
      <c r="S205" s="2">
        <f>SalesData[[#This Row],[Price]]*SalesData[[#This Row],[Quantity]]*SalesData[[#This Row],[Discount]]</f>
        <v>1262.3999999999999</v>
      </c>
      <c r="T205" s="2" t="str">
        <f>IF(SalesData[[#This Row],[Sales]]&gt;5000,"High",IF(SalesData[[#This Row],[Sales]]&gt;2000,"Medium","Low"))</f>
        <v>Medium</v>
      </c>
      <c r="U205" s="2" t="str">
        <f>IF(COUNTIFS(SalesData[Customer_ID],SalesData[[#This Row],[Customer_ID]])&gt;1,"Repeat","New")</f>
        <v>Repeat</v>
      </c>
      <c r="V205" s="2" t="str">
        <f>IF(SalesData[[#This Row],[Sales]]&gt;AVERAGE(SalesData[Sales]),"Above Avg","Below Avg")</f>
        <v>Below Avg</v>
      </c>
      <c r="W205" s="2" t="str">
        <f>IF(SalesData[[#This Row],[Profit]]&gt;0,"Profit","Loss")</f>
        <v>Loss</v>
      </c>
      <c r="X205" s="2">
        <f>RANK(SalesData[[#This Row],[Sales]],SalesData[Sales])</f>
        <v>353</v>
      </c>
    </row>
    <row r="206" spans="1:24" x14ac:dyDescent="0.3">
      <c r="A206">
        <v>205</v>
      </c>
      <c r="B206" s="1">
        <v>45496</v>
      </c>
      <c r="C206">
        <v>1025</v>
      </c>
      <c r="D206" t="s">
        <v>160</v>
      </c>
      <c r="E206" t="s">
        <v>15</v>
      </c>
      <c r="F206" t="s">
        <v>21</v>
      </c>
      <c r="G206" t="s">
        <v>34</v>
      </c>
      <c r="H206" t="s">
        <v>37</v>
      </c>
      <c r="I206">
        <v>831</v>
      </c>
      <c r="J206">
        <v>3</v>
      </c>
      <c r="K206">
        <v>0.1</v>
      </c>
      <c r="L206">
        <v>1324</v>
      </c>
      <c r="M206" t="s">
        <v>19</v>
      </c>
      <c r="N206">
        <v>2243.6999999999998</v>
      </c>
      <c r="O206" t="str">
        <f>TEXT(SalesData[[#This Row],[Order_Date]],"mmm")</f>
        <v>Jul</v>
      </c>
      <c r="P206">
        <f>YEAR(SalesData[[#This Row],[Order_Date]])</f>
        <v>2024</v>
      </c>
      <c r="Q206" t="str">
        <f>"Q"&amp;ROUNDUP(MONTH(SalesData[[#This Row],[Order_Date]])/3,0)</f>
        <v>Q3</v>
      </c>
      <c r="R206" s="2">
        <f>IFERROR(SalesData[[#This Row],[Profit]]/SalesData[[#This Row],[Sales]],0)</f>
        <v>0.59009671524713647</v>
      </c>
      <c r="S206" s="2">
        <f>SalesData[[#This Row],[Price]]*SalesData[[#This Row],[Quantity]]*SalesData[[#This Row],[Discount]]</f>
        <v>249.3</v>
      </c>
      <c r="T206" s="2" t="str">
        <f>IF(SalesData[[#This Row],[Sales]]&gt;5000,"High",IF(SalesData[[#This Row],[Sales]]&gt;2000,"Medium","Low"))</f>
        <v>Medium</v>
      </c>
      <c r="U206" s="2" t="str">
        <f>IF(COUNTIFS(SalesData[Customer_ID],SalesData[[#This Row],[Customer_ID]])&gt;1,"Repeat","New")</f>
        <v>Repeat</v>
      </c>
      <c r="V206" s="2" t="str">
        <f>IF(SalesData[[#This Row],[Sales]]&gt;AVERAGE(SalesData[Sales]),"Above Avg","Below Avg")</f>
        <v>Below Avg</v>
      </c>
      <c r="W206" s="2" t="str">
        <f>IF(SalesData[[#This Row],[Profit]]&gt;0,"Profit","Loss")</f>
        <v>Profit</v>
      </c>
      <c r="X206" s="2">
        <f>RANK(SalesData[[#This Row],[Sales]],SalesData[Sales])</f>
        <v>417</v>
      </c>
    </row>
    <row r="207" spans="1:24" x14ac:dyDescent="0.3">
      <c r="A207">
        <v>206</v>
      </c>
      <c r="B207" s="1">
        <v>45497</v>
      </c>
      <c r="C207">
        <v>1027</v>
      </c>
      <c r="D207" t="s">
        <v>161</v>
      </c>
      <c r="E207" t="s">
        <v>15</v>
      </c>
      <c r="F207" t="s">
        <v>33</v>
      </c>
      <c r="G207" t="s">
        <v>34</v>
      </c>
      <c r="H207" t="s">
        <v>25</v>
      </c>
      <c r="I207">
        <v>473</v>
      </c>
      <c r="J207">
        <v>1</v>
      </c>
      <c r="K207">
        <v>0.02</v>
      </c>
      <c r="L207">
        <v>-233</v>
      </c>
      <c r="M207" t="s">
        <v>19</v>
      </c>
      <c r="N207">
        <v>463.539999999999</v>
      </c>
      <c r="O207" t="str">
        <f>TEXT(SalesData[[#This Row],[Order_Date]],"mmm")</f>
        <v>Jul</v>
      </c>
      <c r="P207">
        <f>YEAR(SalesData[[#This Row],[Order_Date]])</f>
        <v>2024</v>
      </c>
      <c r="Q207" t="str">
        <f>"Q"&amp;ROUNDUP(MONTH(SalesData[[#This Row],[Order_Date]])/3,0)</f>
        <v>Q3</v>
      </c>
      <c r="R207" s="2">
        <f>IFERROR(SalesData[[#This Row],[Profit]]/SalesData[[#This Row],[Sales]],0)</f>
        <v>-0.50265349268671633</v>
      </c>
      <c r="S207" s="2">
        <f>SalesData[[#This Row],[Price]]*SalesData[[#This Row],[Quantity]]*SalesData[[#This Row],[Discount]]</f>
        <v>9.4600000000000009</v>
      </c>
      <c r="T207" s="2" t="str">
        <f>IF(SalesData[[#This Row],[Sales]]&gt;5000,"High",IF(SalesData[[#This Row],[Sales]]&gt;2000,"Medium","Low"))</f>
        <v>Low</v>
      </c>
      <c r="U207" s="2" t="str">
        <f>IF(COUNTIFS(SalesData[Customer_ID],SalesData[[#This Row],[Customer_ID]])&gt;1,"Repeat","New")</f>
        <v>Repeat</v>
      </c>
      <c r="V207" s="2" t="str">
        <f>IF(SalesData[[#This Row],[Sales]]&gt;AVERAGE(SalesData[Sales]),"Above Avg","Below Avg")</f>
        <v>Below Avg</v>
      </c>
      <c r="W207" s="2" t="str">
        <f>IF(SalesData[[#This Row],[Profit]]&gt;0,"Profit","Loss")</f>
        <v>Loss</v>
      </c>
      <c r="X207" s="2">
        <f>RANK(SalesData[[#This Row],[Sales]],SalesData[Sales])</f>
        <v>493</v>
      </c>
    </row>
    <row r="208" spans="1:24" x14ac:dyDescent="0.3">
      <c r="A208">
        <v>207</v>
      </c>
      <c r="B208" s="1">
        <v>45498</v>
      </c>
      <c r="C208">
        <v>1057</v>
      </c>
      <c r="D208" t="s">
        <v>122</v>
      </c>
      <c r="E208" t="s">
        <v>15</v>
      </c>
      <c r="F208" t="s">
        <v>16</v>
      </c>
      <c r="G208" t="s">
        <v>34</v>
      </c>
      <c r="H208" t="s">
        <v>37</v>
      </c>
      <c r="I208">
        <v>3249</v>
      </c>
      <c r="J208">
        <v>8</v>
      </c>
      <c r="K208">
        <v>0.23</v>
      </c>
      <c r="L208">
        <v>1197</v>
      </c>
      <c r="M208" t="s">
        <v>19</v>
      </c>
      <c r="N208">
        <v>20013.84</v>
      </c>
      <c r="O208" t="str">
        <f>TEXT(SalesData[[#This Row],[Order_Date]],"mmm")</f>
        <v>Jul</v>
      </c>
      <c r="P208">
        <f>YEAR(SalesData[[#This Row],[Order_Date]])</f>
        <v>2024</v>
      </c>
      <c r="Q208" t="str">
        <f>"Q"&amp;ROUNDUP(MONTH(SalesData[[#This Row],[Order_Date]])/3,0)</f>
        <v>Q3</v>
      </c>
      <c r="R208" s="2">
        <f>IFERROR(SalesData[[#This Row],[Profit]]/SalesData[[#This Row],[Sales]],0)</f>
        <v>5.9808612440191387E-2</v>
      </c>
      <c r="S208" s="2">
        <f>SalesData[[#This Row],[Price]]*SalesData[[#This Row],[Quantity]]*SalesData[[#This Row],[Discount]]</f>
        <v>5978.16</v>
      </c>
      <c r="T208" s="2" t="str">
        <f>IF(SalesData[[#This Row],[Sales]]&gt;5000,"High",IF(SalesData[[#This Row],[Sales]]&gt;2000,"Medium","Low"))</f>
        <v>High</v>
      </c>
      <c r="U208" s="2" t="str">
        <f>IF(COUNTIFS(SalesData[Customer_ID],SalesData[[#This Row],[Customer_ID]])&gt;1,"Repeat","New")</f>
        <v>Repeat</v>
      </c>
      <c r="V208" s="2" t="str">
        <f>IF(SalesData[[#This Row],[Sales]]&gt;AVERAGE(SalesData[Sales]),"Above Avg","Below Avg")</f>
        <v>Above Avg</v>
      </c>
      <c r="W208" s="2" t="str">
        <f>IF(SalesData[[#This Row],[Profit]]&gt;0,"Profit","Loss")</f>
        <v>Profit</v>
      </c>
      <c r="X208" s="2">
        <f>RANK(SalesData[[#This Row],[Sales]],SalesData[Sales])</f>
        <v>80</v>
      </c>
    </row>
    <row r="209" spans="1:24" x14ac:dyDescent="0.3">
      <c r="A209">
        <v>208</v>
      </c>
      <c r="B209" s="1">
        <v>45499</v>
      </c>
      <c r="C209">
        <v>1003</v>
      </c>
      <c r="D209" t="s">
        <v>162</v>
      </c>
      <c r="E209" t="s">
        <v>24</v>
      </c>
      <c r="F209" t="s">
        <v>16</v>
      </c>
      <c r="G209" t="s">
        <v>17</v>
      </c>
      <c r="H209" t="s">
        <v>25</v>
      </c>
      <c r="I209">
        <v>3344</v>
      </c>
      <c r="J209">
        <v>7</v>
      </c>
      <c r="K209">
        <v>0.06</v>
      </c>
      <c r="L209">
        <v>581</v>
      </c>
      <c r="M209" t="s">
        <v>31</v>
      </c>
      <c r="N209">
        <v>22003.52</v>
      </c>
      <c r="O209" t="str">
        <f>TEXT(SalesData[[#This Row],[Order_Date]],"mmm")</f>
        <v>Jul</v>
      </c>
      <c r="P209">
        <f>YEAR(SalesData[[#This Row],[Order_Date]])</f>
        <v>2024</v>
      </c>
      <c r="Q209" t="str">
        <f>"Q"&amp;ROUNDUP(MONTH(SalesData[[#This Row],[Order_Date]])/3,0)</f>
        <v>Q3</v>
      </c>
      <c r="R209" s="2">
        <f>IFERROR(SalesData[[#This Row],[Profit]]/SalesData[[#This Row],[Sales]],0)</f>
        <v>2.6404866130510025E-2</v>
      </c>
      <c r="S209" s="2">
        <f>SalesData[[#This Row],[Price]]*SalesData[[#This Row],[Quantity]]*SalesData[[#This Row],[Discount]]</f>
        <v>1404.48</v>
      </c>
      <c r="T209" s="2" t="str">
        <f>IF(SalesData[[#This Row],[Sales]]&gt;5000,"High",IF(SalesData[[#This Row],[Sales]]&gt;2000,"Medium","Low"))</f>
        <v>High</v>
      </c>
      <c r="U209" s="2" t="str">
        <f>IF(COUNTIFS(SalesData[Customer_ID],SalesData[[#This Row],[Customer_ID]])&gt;1,"Repeat","New")</f>
        <v>Repeat</v>
      </c>
      <c r="V209" s="2" t="str">
        <f>IF(SalesData[[#This Row],[Sales]]&gt;AVERAGE(SalesData[Sales]),"Above Avg","Below Avg")</f>
        <v>Above Avg</v>
      </c>
      <c r="W209" s="2" t="str">
        <f>IF(SalesData[[#This Row],[Profit]]&gt;0,"Profit","Loss")</f>
        <v>Profit</v>
      </c>
      <c r="X209" s="2">
        <f>RANK(SalesData[[#This Row],[Sales]],SalesData[Sales])</f>
        <v>67</v>
      </c>
    </row>
    <row r="210" spans="1:24" x14ac:dyDescent="0.3">
      <c r="A210">
        <v>209</v>
      </c>
      <c r="B210" s="1">
        <v>45500</v>
      </c>
      <c r="C210">
        <v>1099</v>
      </c>
      <c r="D210" t="s">
        <v>157</v>
      </c>
      <c r="E210" t="s">
        <v>24</v>
      </c>
      <c r="F210" t="s">
        <v>28</v>
      </c>
      <c r="G210" t="s">
        <v>17</v>
      </c>
      <c r="H210" t="s">
        <v>18</v>
      </c>
      <c r="I210">
        <v>4041</v>
      </c>
      <c r="J210">
        <v>7</v>
      </c>
      <c r="K210">
        <v>0.19</v>
      </c>
      <c r="L210">
        <v>1642</v>
      </c>
      <c r="M210" t="s">
        <v>19</v>
      </c>
      <c r="N210">
        <v>22912.47</v>
      </c>
      <c r="O210" t="str">
        <f>TEXT(SalesData[[#This Row],[Order_Date]],"mmm")</f>
        <v>Jul</v>
      </c>
      <c r="P210">
        <f>YEAR(SalesData[[#This Row],[Order_Date]])</f>
        <v>2024</v>
      </c>
      <c r="Q210" t="str">
        <f>"Q"&amp;ROUNDUP(MONTH(SalesData[[#This Row],[Order_Date]])/3,0)</f>
        <v>Q3</v>
      </c>
      <c r="R210" s="2">
        <f>IFERROR(SalesData[[#This Row],[Profit]]/SalesData[[#This Row],[Sales]],0)</f>
        <v>7.1664032729775534E-2</v>
      </c>
      <c r="S210" s="2">
        <f>SalesData[[#This Row],[Price]]*SalesData[[#This Row],[Quantity]]*SalesData[[#This Row],[Discount]]</f>
        <v>5374.53</v>
      </c>
      <c r="T210" s="2" t="str">
        <f>IF(SalesData[[#This Row],[Sales]]&gt;5000,"High",IF(SalesData[[#This Row],[Sales]]&gt;2000,"Medium","Low"))</f>
        <v>High</v>
      </c>
      <c r="U210" s="2" t="str">
        <f>IF(COUNTIFS(SalesData[Customer_ID],SalesData[[#This Row],[Customer_ID]])&gt;1,"Repeat","New")</f>
        <v>Repeat</v>
      </c>
      <c r="V210" s="2" t="str">
        <f>IF(SalesData[[#This Row],[Sales]]&gt;AVERAGE(SalesData[Sales]),"Above Avg","Below Avg")</f>
        <v>Above Avg</v>
      </c>
      <c r="W210" s="2" t="str">
        <f>IF(SalesData[[#This Row],[Profit]]&gt;0,"Profit","Loss")</f>
        <v>Profit</v>
      </c>
      <c r="X210" s="2">
        <f>RANK(SalesData[[#This Row],[Sales]],SalesData[Sales])</f>
        <v>60</v>
      </c>
    </row>
    <row r="211" spans="1:24" x14ac:dyDescent="0.3">
      <c r="A211">
        <v>210</v>
      </c>
      <c r="B211" s="1">
        <v>45501</v>
      </c>
      <c r="C211">
        <v>1078</v>
      </c>
      <c r="D211" t="s">
        <v>163</v>
      </c>
      <c r="E211" t="s">
        <v>15</v>
      </c>
      <c r="F211" t="s">
        <v>28</v>
      </c>
      <c r="G211" t="s">
        <v>17</v>
      </c>
      <c r="H211" t="s">
        <v>29</v>
      </c>
      <c r="I211">
        <v>4048</v>
      </c>
      <c r="J211">
        <v>8</v>
      </c>
      <c r="K211">
        <v>0.08</v>
      </c>
      <c r="L211">
        <v>-375</v>
      </c>
      <c r="M211" t="s">
        <v>31</v>
      </c>
      <c r="N211">
        <v>29793.279999999999</v>
      </c>
      <c r="O211" t="str">
        <f>TEXT(SalesData[[#This Row],[Order_Date]],"mmm")</f>
        <v>Jul</v>
      </c>
      <c r="P211">
        <f>YEAR(SalesData[[#This Row],[Order_Date]])</f>
        <v>2024</v>
      </c>
      <c r="Q211" t="str">
        <f>"Q"&amp;ROUNDUP(MONTH(SalesData[[#This Row],[Order_Date]])/3,0)</f>
        <v>Q3</v>
      </c>
      <c r="R211" s="2">
        <f>IFERROR(SalesData[[#This Row],[Profit]]/SalesData[[#This Row],[Sales]],0)</f>
        <v>-1.2586730967520193E-2</v>
      </c>
      <c r="S211" s="2">
        <f>SalesData[[#This Row],[Price]]*SalesData[[#This Row],[Quantity]]*SalesData[[#This Row],[Discount]]</f>
        <v>2590.7200000000003</v>
      </c>
      <c r="T211" s="2" t="str">
        <f>IF(SalesData[[#This Row],[Sales]]&gt;5000,"High",IF(SalesData[[#This Row],[Sales]]&gt;2000,"Medium","Low"))</f>
        <v>High</v>
      </c>
      <c r="U211" s="2" t="str">
        <f>IF(COUNTIFS(SalesData[Customer_ID],SalesData[[#This Row],[Customer_ID]])&gt;1,"Repeat","New")</f>
        <v>Repeat</v>
      </c>
      <c r="V211" s="2" t="str">
        <f>IF(SalesData[[#This Row],[Sales]]&gt;AVERAGE(SalesData[Sales]),"Above Avg","Below Avg")</f>
        <v>Above Avg</v>
      </c>
      <c r="W211" s="2" t="str">
        <f>IF(SalesData[[#This Row],[Profit]]&gt;0,"Profit","Loss")</f>
        <v>Loss</v>
      </c>
      <c r="X211" s="2">
        <f>RANK(SalesData[[#This Row],[Sales]],SalesData[Sales])</f>
        <v>24</v>
      </c>
    </row>
    <row r="212" spans="1:24" x14ac:dyDescent="0.3">
      <c r="A212">
        <v>211</v>
      </c>
      <c r="B212" s="1">
        <v>45502</v>
      </c>
      <c r="C212">
        <v>1085</v>
      </c>
      <c r="D212" t="s">
        <v>164</v>
      </c>
      <c r="E212" t="s">
        <v>15</v>
      </c>
      <c r="F212" t="s">
        <v>16</v>
      </c>
      <c r="G212" t="s">
        <v>34</v>
      </c>
      <c r="H212" t="s">
        <v>18</v>
      </c>
      <c r="I212">
        <v>745</v>
      </c>
      <c r="J212">
        <v>9</v>
      </c>
      <c r="K212">
        <v>0.21</v>
      </c>
      <c r="L212">
        <v>515</v>
      </c>
      <c r="M212" t="s">
        <v>26</v>
      </c>
      <c r="N212">
        <v>5296.95</v>
      </c>
      <c r="O212" t="str">
        <f>TEXT(SalesData[[#This Row],[Order_Date]],"mmm")</f>
        <v>Jul</v>
      </c>
      <c r="P212">
        <f>YEAR(SalesData[[#This Row],[Order_Date]])</f>
        <v>2024</v>
      </c>
      <c r="Q212" t="str">
        <f>"Q"&amp;ROUNDUP(MONTH(SalesData[[#This Row],[Order_Date]])/3,0)</f>
        <v>Q3</v>
      </c>
      <c r="R212" s="2">
        <f>IFERROR(SalesData[[#This Row],[Profit]]/SalesData[[#This Row],[Sales]],0)</f>
        <v>9.7225761995110391E-2</v>
      </c>
      <c r="S212" s="2">
        <f>SalesData[[#This Row],[Price]]*SalesData[[#This Row],[Quantity]]*SalesData[[#This Row],[Discount]]</f>
        <v>1408.05</v>
      </c>
      <c r="T212" s="2" t="str">
        <f>IF(SalesData[[#This Row],[Sales]]&gt;5000,"High",IF(SalesData[[#This Row],[Sales]]&gt;2000,"Medium","Low"))</f>
        <v>High</v>
      </c>
      <c r="U212" s="2" t="str">
        <f>IF(COUNTIFS(SalesData[Customer_ID],SalesData[[#This Row],[Customer_ID]])&gt;1,"Repeat","New")</f>
        <v>Repeat</v>
      </c>
      <c r="V212" s="2" t="str">
        <f>IF(SalesData[[#This Row],[Sales]]&gt;AVERAGE(SalesData[Sales]),"Above Avg","Below Avg")</f>
        <v>Below Avg</v>
      </c>
      <c r="W212" s="2" t="str">
        <f>IF(SalesData[[#This Row],[Profit]]&gt;0,"Profit","Loss")</f>
        <v>Profit</v>
      </c>
      <c r="X212" s="2">
        <f>RANK(SalesData[[#This Row],[Sales]],SalesData[Sales])</f>
        <v>316</v>
      </c>
    </row>
    <row r="213" spans="1:24" x14ac:dyDescent="0.3">
      <c r="A213">
        <v>212</v>
      </c>
      <c r="B213" s="1">
        <v>45503</v>
      </c>
      <c r="C213">
        <v>1059</v>
      </c>
      <c r="D213" t="s">
        <v>47</v>
      </c>
      <c r="E213" t="s">
        <v>15</v>
      </c>
      <c r="F213" t="s">
        <v>33</v>
      </c>
      <c r="G213" t="s">
        <v>34</v>
      </c>
      <c r="H213" t="s">
        <v>25</v>
      </c>
      <c r="I213">
        <v>3695</v>
      </c>
      <c r="J213">
        <v>3</v>
      </c>
      <c r="K213">
        <v>0.04</v>
      </c>
      <c r="L213">
        <v>333</v>
      </c>
      <c r="M213" t="s">
        <v>26</v>
      </c>
      <c r="N213">
        <v>10641.6</v>
      </c>
      <c r="O213" t="str">
        <f>TEXT(SalesData[[#This Row],[Order_Date]],"mmm")</f>
        <v>Jul</v>
      </c>
      <c r="P213">
        <f>YEAR(SalesData[[#This Row],[Order_Date]])</f>
        <v>2024</v>
      </c>
      <c r="Q213" t="str">
        <f>"Q"&amp;ROUNDUP(MONTH(SalesData[[#This Row],[Order_Date]])/3,0)</f>
        <v>Q3</v>
      </c>
      <c r="R213" s="2">
        <f>IFERROR(SalesData[[#This Row],[Profit]]/SalesData[[#This Row],[Sales]],0)</f>
        <v>3.1292286874154258E-2</v>
      </c>
      <c r="S213" s="2">
        <f>SalesData[[#This Row],[Price]]*SalesData[[#This Row],[Quantity]]*SalesData[[#This Row],[Discount]]</f>
        <v>443.40000000000003</v>
      </c>
      <c r="T213" s="2" t="str">
        <f>IF(SalesData[[#This Row],[Sales]]&gt;5000,"High",IF(SalesData[[#This Row],[Sales]]&gt;2000,"Medium","Low"))</f>
        <v>High</v>
      </c>
      <c r="U213" s="2" t="str">
        <f>IF(COUNTIFS(SalesData[Customer_ID],SalesData[[#This Row],[Customer_ID]])&gt;1,"Repeat","New")</f>
        <v>Repeat</v>
      </c>
      <c r="V213" s="2" t="str">
        <f>IF(SalesData[[#This Row],[Sales]]&gt;AVERAGE(SalesData[Sales]),"Above Avg","Below Avg")</f>
        <v>Above Avg</v>
      </c>
      <c r="W213" s="2" t="str">
        <f>IF(SalesData[[#This Row],[Profit]]&gt;0,"Profit","Loss")</f>
        <v>Profit</v>
      </c>
      <c r="X213" s="2">
        <f>RANK(SalesData[[#This Row],[Sales]],SalesData[Sales])</f>
        <v>194</v>
      </c>
    </row>
    <row r="214" spans="1:24" x14ac:dyDescent="0.3">
      <c r="A214">
        <v>213</v>
      </c>
      <c r="B214" s="1">
        <v>45504</v>
      </c>
      <c r="C214">
        <v>1048</v>
      </c>
      <c r="D214" t="s">
        <v>30</v>
      </c>
      <c r="E214" t="s">
        <v>24</v>
      </c>
      <c r="F214" t="s">
        <v>28</v>
      </c>
      <c r="G214" t="s">
        <v>22</v>
      </c>
      <c r="H214" t="s">
        <v>25</v>
      </c>
      <c r="I214">
        <v>4178</v>
      </c>
      <c r="J214">
        <v>2</v>
      </c>
      <c r="K214">
        <v>0.19</v>
      </c>
      <c r="L214">
        <v>1860</v>
      </c>
      <c r="M214" t="s">
        <v>26</v>
      </c>
      <c r="N214">
        <v>6768.36</v>
      </c>
      <c r="O214" t="str">
        <f>TEXT(SalesData[[#This Row],[Order_Date]],"mmm")</f>
        <v>Jul</v>
      </c>
      <c r="P214">
        <f>YEAR(SalesData[[#This Row],[Order_Date]])</f>
        <v>2024</v>
      </c>
      <c r="Q214" t="str">
        <f>"Q"&amp;ROUNDUP(MONTH(SalesData[[#This Row],[Order_Date]])/3,0)</f>
        <v>Q3</v>
      </c>
      <c r="R214" s="2">
        <f>IFERROR(SalesData[[#This Row],[Profit]]/SalesData[[#This Row],[Sales]],0)</f>
        <v>0.27480807758452563</v>
      </c>
      <c r="S214" s="2">
        <f>SalesData[[#This Row],[Price]]*SalesData[[#This Row],[Quantity]]*SalesData[[#This Row],[Discount]]</f>
        <v>1587.64</v>
      </c>
      <c r="T214" s="2" t="str">
        <f>IF(SalesData[[#This Row],[Sales]]&gt;5000,"High",IF(SalesData[[#This Row],[Sales]]&gt;2000,"Medium","Low"))</f>
        <v>High</v>
      </c>
      <c r="U214" s="2" t="str">
        <f>IF(COUNTIFS(SalesData[Customer_ID],SalesData[[#This Row],[Customer_ID]])&gt;1,"Repeat","New")</f>
        <v>Repeat</v>
      </c>
      <c r="V214" s="2" t="str">
        <f>IF(SalesData[[#This Row],[Sales]]&gt;AVERAGE(SalesData[Sales]),"Above Avg","Below Avg")</f>
        <v>Below Avg</v>
      </c>
      <c r="W214" s="2" t="str">
        <f>IF(SalesData[[#This Row],[Profit]]&gt;0,"Profit","Loss")</f>
        <v>Profit</v>
      </c>
      <c r="X214" s="2">
        <f>RANK(SalesData[[#This Row],[Sales]],SalesData[Sales])</f>
        <v>280</v>
      </c>
    </row>
    <row r="215" spans="1:24" x14ac:dyDescent="0.3">
      <c r="A215">
        <v>214</v>
      </c>
      <c r="B215" s="1">
        <v>45505</v>
      </c>
      <c r="C215">
        <v>1056</v>
      </c>
      <c r="D215" t="s">
        <v>121</v>
      </c>
      <c r="E215" t="s">
        <v>15</v>
      </c>
      <c r="F215" t="s">
        <v>28</v>
      </c>
      <c r="G215" t="s">
        <v>22</v>
      </c>
      <c r="H215" t="s">
        <v>29</v>
      </c>
      <c r="I215">
        <v>2035</v>
      </c>
      <c r="J215">
        <v>4</v>
      </c>
      <c r="K215">
        <v>0.06</v>
      </c>
      <c r="L215">
        <v>1215</v>
      </c>
      <c r="M215" t="s">
        <v>19</v>
      </c>
      <c r="N215">
        <v>7651.5999999999904</v>
      </c>
      <c r="O215" t="str">
        <f>TEXT(SalesData[[#This Row],[Order_Date]],"mmm")</f>
        <v>Aug</v>
      </c>
      <c r="P215">
        <f>YEAR(SalesData[[#This Row],[Order_Date]])</f>
        <v>2024</v>
      </c>
      <c r="Q215" t="str">
        <f>"Q"&amp;ROUNDUP(MONTH(SalesData[[#This Row],[Order_Date]])/3,0)</f>
        <v>Q3</v>
      </c>
      <c r="R215" s="2">
        <f>IFERROR(SalesData[[#This Row],[Profit]]/SalesData[[#This Row],[Sales]],0)</f>
        <v>0.15879031836478666</v>
      </c>
      <c r="S215" s="2">
        <f>SalesData[[#This Row],[Price]]*SalesData[[#This Row],[Quantity]]*SalesData[[#This Row],[Discount]]</f>
        <v>488.4</v>
      </c>
      <c r="T215" s="2" t="str">
        <f>IF(SalesData[[#This Row],[Sales]]&gt;5000,"High",IF(SalesData[[#This Row],[Sales]]&gt;2000,"Medium","Low"))</f>
        <v>High</v>
      </c>
      <c r="U215" s="2" t="str">
        <f>IF(COUNTIFS(SalesData[Customer_ID],SalesData[[#This Row],[Customer_ID]])&gt;1,"Repeat","New")</f>
        <v>Repeat</v>
      </c>
      <c r="V215" s="2" t="str">
        <f>IF(SalesData[[#This Row],[Sales]]&gt;AVERAGE(SalesData[Sales]),"Above Avg","Below Avg")</f>
        <v>Below Avg</v>
      </c>
      <c r="W215" s="2" t="str">
        <f>IF(SalesData[[#This Row],[Profit]]&gt;0,"Profit","Loss")</f>
        <v>Profit</v>
      </c>
      <c r="X215" s="2">
        <f>RANK(SalesData[[#This Row],[Sales]],SalesData[Sales])</f>
        <v>262</v>
      </c>
    </row>
    <row r="216" spans="1:24" x14ac:dyDescent="0.3">
      <c r="A216">
        <v>215</v>
      </c>
      <c r="B216" s="1">
        <v>45506</v>
      </c>
      <c r="C216">
        <v>1087</v>
      </c>
      <c r="D216" t="s">
        <v>165</v>
      </c>
      <c r="E216" t="s">
        <v>15</v>
      </c>
      <c r="F216" t="s">
        <v>16</v>
      </c>
      <c r="G216" t="s">
        <v>22</v>
      </c>
      <c r="H216" t="s">
        <v>18</v>
      </c>
      <c r="I216">
        <v>2833</v>
      </c>
      <c r="J216">
        <v>4</v>
      </c>
      <c r="K216">
        <v>0.15</v>
      </c>
      <c r="L216">
        <v>-499</v>
      </c>
      <c r="M216" t="s">
        <v>31</v>
      </c>
      <c r="N216">
        <v>9632.1999999999898</v>
      </c>
      <c r="O216" t="str">
        <f>TEXT(SalesData[[#This Row],[Order_Date]],"mmm")</f>
        <v>Aug</v>
      </c>
      <c r="P216">
        <f>YEAR(SalesData[[#This Row],[Order_Date]])</f>
        <v>2024</v>
      </c>
      <c r="Q216" t="str">
        <f>"Q"&amp;ROUNDUP(MONTH(SalesData[[#This Row],[Order_Date]])/3,0)</f>
        <v>Q3</v>
      </c>
      <c r="R216" s="2">
        <f>IFERROR(SalesData[[#This Row],[Profit]]/SalesData[[#This Row],[Sales]],0)</f>
        <v>-5.1805402711737766E-2</v>
      </c>
      <c r="S216" s="2">
        <f>SalesData[[#This Row],[Price]]*SalesData[[#This Row],[Quantity]]*SalesData[[#This Row],[Discount]]</f>
        <v>1699.8</v>
      </c>
      <c r="T216" s="2" t="str">
        <f>IF(SalesData[[#This Row],[Sales]]&gt;5000,"High",IF(SalesData[[#This Row],[Sales]]&gt;2000,"Medium","Low"))</f>
        <v>High</v>
      </c>
      <c r="U216" s="2" t="str">
        <f>IF(COUNTIFS(SalesData[Customer_ID],SalesData[[#This Row],[Customer_ID]])&gt;1,"Repeat","New")</f>
        <v>Repeat</v>
      </c>
      <c r="V216" s="2" t="str">
        <f>IF(SalesData[[#This Row],[Sales]]&gt;AVERAGE(SalesData[Sales]),"Above Avg","Below Avg")</f>
        <v>Below Avg</v>
      </c>
      <c r="W216" s="2" t="str">
        <f>IF(SalesData[[#This Row],[Profit]]&gt;0,"Profit","Loss")</f>
        <v>Loss</v>
      </c>
      <c r="X216" s="2">
        <f>RANK(SalesData[[#This Row],[Sales]],SalesData[Sales])</f>
        <v>211</v>
      </c>
    </row>
    <row r="217" spans="1:24" x14ac:dyDescent="0.3">
      <c r="A217">
        <v>216</v>
      </c>
      <c r="B217" s="1">
        <v>45507</v>
      </c>
      <c r="C217">
        <v>1087</v>
      </c>
      <c r="D217" t="s">
        <v>166</v>
      </c>
      <c r="E217" t="s">
        <v>15</v>
      </c>
      <c r="F217" t="s">
        <v>21</v>
      </c>
      <c r="G217" t="s">
        <v>34</v>
      </c>
      <c r="H217" t="s">
        <v>37</v>
      </c>
      <c r="I217">
        <v>2661</v>
      </c>
      <c r="J217">
        <v>8</v>
      </c>
      <c r="K217">
        <v>0.26</v>
      </c>
      <c r="L217">
        <v>-152</v>
      </c>
      <c r="M217" t="s">
        <v>31</v>
      </c>
      <c r="N217">
        <v>15753.119999999901</v>
      </c>
      <c r="O217" t="str">
        <f>TEXT(SalesData[[#This Row],[Order_Date]],"mmm")</f>
        <v>Aug</v>
      </c>
      <c r="P217">
        <f>YEAR(SalesData[[#This Row],[Order_Date]])</f>
        <v>2024</v>
      </c>
      <c r="Q217" t="str">
        <f>"Q"&amp;ROUNDUP(MONTH(SalesData[[#This Row],[Order_Date]])/3,0)</f>
        <v>Q3</v>
      </c>
      <c r="R217" s="2">
        <f>IFERROR(SalesData[[#This Row],[Profit]]/SalesData[[#This Row],[Sales]],0)</f>
        <v>-9.6488822531664176E-3</v>
      </c>
      <c r="S217" s="2">
        <f>SalesData[[#This Row],[Price]]*SalesData[[#This Row],[Quantity]]*SalesData[[#This Row],[Discount]]</f>
        <v>5534.88</v>
      </c>
      <c r="T217" s="2" t="str">
        <f>IF(SalesData[[#This Row],[Sales]]&gt;5000,"High",IF(SalesData[[#This Row],[Sales]]&gt;2000,"Medium","Low"))</f>
        <v>High</v>
      </c>
      <c r="U217" s="2" t="str">
        <f>IF(COUNTIFS(SalesData[Customer_ID],SalesData[[#This Row],[Customer_ID]])&gt;1,"Repeat","New")</f>
        <v>Repeat</v>
      </c>
      <c r="V217" s="2" t="str">
        <f>IF(SalesData[[#This Row],[Sales]]&gt;AVERAGE(SalesData[Sales]),"Above Avg","Below Avg")</f>
        <v>Above Avg</v>
      </c>
      <c r="W217" s="2" t="str">
        <f>IF(SalesData[[#This Row],[Profit]]&gt;0,"Profit","Loss")</f>
        <v>Loss</v>
      </c>
      <c r="X217" s="2">
        <f>RANK(SalesData[[#This Row],[Sales]],SalesData[Sales])</f>
        <v>133</v>
      </c>
    </row>
    <row r="218" spans="1:24" x14ac:dyDescent="0.3">
      <c r="A218">
        <v>217</v>
      </c>
      <c r="B218" s="1">
        <v>45508</v>
      </c>
      <c r="C218">
        <v>1004</v>
      </c>
      <c r="D218" t="s">
        <v>100</v>
      </c>
      <c r="E218" t="s">
        <v>15</v>
      </c>
      <c r="F218" t="s">
        <v>28</v>
      </c>
      <c r="G218" t="s">
        <v>34</v>
      </c>
      <c r="H218" t="s">
        <v>18</v>
      </c>
      <c r="I218">
        <v>2152</v>
      </c>
      <c r="J218">
        <v>8</v>
      </c>
      <c r="K218">
        <v>0.14000000000000001</v>
      </c>
      <c r="L218">
        <v>925</v>
      </c>
      <c r="M218" t="s">
        <v>31</v>
      </c>
      <c r="N218">
        <v>14805.76</v>
      </c>
      <c r="O218" t="str">
        <f>TEXT(SalesData[[#This Row],[Order_Date]],"mmm")</f>
        <v>Aug</v>
      </c>
      <c r="P218">
        <f>YEAR(SalesData[[#This Row],[Order_Date]])</f>
        <v>2024</v>
      </c>
      <c r="Q218" t="str">
        <f>"Q"&amp;ROUNDUP(MONTH(SalesData[[#This Row],[Order_Date]])/3,0)</f>
        <v>Q3</v>
      </c>
      <c r="R218" s="2">
        <f>IFERROR(SalesData[[#This Row],[Profit]]/SalesData[[#This Row],[Sales]],0)</f>
        <v>6.2475685138756808E-2</v>
      </c>
      <c r="S218" s="2">
        <f>SalesData[[#This Row],[Price]]*SalesData[[#This Row],[Quantity]]*SalesData[[#This Row],[Discount]]</f>
        <v>2410.2400000000002</v>
      </c>
      <c r="T218" s="2" t="str">
        <f>IF(SalesData[[#This Row],[Sales]]&gt;5000,"High",IF(SalesData[[#This Row],[Sales]]&gt;2000,"Medium","Low"))</f>
        <v>High</v>
      </c>
      <c r="U218" s="2" t="str">
        <f>IF(COUNTIFS(SalesData[Customer_ID],SalesData[[#This Row],[Customer_ID]])&gt;1,"Repeat","New")</f>
        <v>Repeat</v>
      </c>
      <c r="V218" s="2" t="str">
        <f>IF(SalesData[[#This Row],[Sales]]&gt;AVERAGE(SalesData[Sales]),"Above Avg","Below Avg")</f>
        <v>Above Avg</v>
      </c>
      <c r="W218" s="2" t="str">
        <f>IF(SalesData[[#This Row],[Profit]]&gt;0,"Profit","Loss")</f>
        <v>Profit</v>
      </c>
      <c r="X218" s="2">
        <f>RANK(SalesData[[#This Row],[Sales]],SalesData[Sales])</f>
        <v>142</v>
      </c>
    </row>
    <row r="219" spans="1:24" x14ac:dyDescent="0.3">
      <c r="A219">
        <v>218</v>
      </c>
      <c r="B219" s="1">
        <v>45509</v>
      </c>
      <c r="C219">
        <v>1069</v>
      </c>
      <c r="D219" t="s">
        <v>167</v>
      </c>
      <c r="E219" t="s">
        <v>15</v>
      </c>
      <c r="F219" t="s">
        <v>33</v>
      </c>
      <c r="G219" t="s">
        <v>22</v>
      </c>
      <c r="H219" t="s">
        <v>25</v>
      </c>
      <c r="I219">
        <v>2039</v>
      </c>
      <c r="J219">
        <v>7</v>
      </c>
      <c r="K219">
        <v>0.23</v>
      </c>
      <c r="L219">
        <v>-462</v>
      </c>
      <c r="M219" t="s">
        <v>19</v>
      </c>
      <c r="N219">
        <v>10990.21</v>
      </c>
      <c r="O219" t="str">
        <f>TEXT(SalesData[[#This Row],[Order_Date]],"mmm")</f>
        <v>Aug</v>
      </c>
      <c r="P219">
        <f>YEAR(SalesData[[#This Row],[Order_Date]])</f>
        <v>2024</v>
      </c>
      <c r="Q219" t="str">
        <f>"Q"&amp;ROUNDUP(MONTH(SalesData[[#This Row],[Order_Date]])/3,0)</f>
        <v>Q3</v>
      </c>
      <c r="R219" s="2">
        <f>IFERROR(SalesData[[#This Row],[Profit]]/SalesData[[#This Row],[Sales]],0)</f>
        <v>-4.2037413297835079E-2</v>
      </c>
      <c r="S219" s="2">
        <f>SalesData[[#This Row],[Price]]*SalesData[[#This Row],[Quantity]]*SalesData[[#This Row],[Discount]]</f>
        <v>3282.79</v>
      </c>
      <c r="T219" s="2" t="str">
        <f>IF(SalesData[[#This Row],[Sales]]&gt;5000,"High",IF(SalesData[[#This Row],[Sales]]&gt;2000,"Medium","Low"))</f>
        <v>High</v>
      </c>
      <c r="U219" s="2" t="str">
        <f>IF(COUNTIFS(SalesData[Customer_ID],SalesData[[#This Row],[Customer_ID]])&gt;1,"Repeat","New")</f>
        <v>Repeat</v>
      </c>
      <c r="V219" s="2" t="str">
        <f>IF(SalesData[[#This Row],[Sales]]&gt;AVERAGE(SalesData[Sales]),"Above Avg","Below Avg")</f>
        <v>Above Avg</v>
      </c>
      <c r="W219" s="2" t="str">
        <f>IF(SalesData[[#This Row],[Profit]]&gt;0,"Profit","Loss")</f>
        <v>Loss</v>
      </c>
      <c r="X219" s="2">
        <f>RANK(SalesData[[#This Row],[Sales]],SalesData[Sales])</f>
        <v>192</v>
      </c>
    </row>
    <row r="220" spans="1:24" x14ac:dyDescent="0.3">
      <c r="A220">
        <v>219</v>
      </c>
      <c r="B220" s="1">
        <v>45510</v>
      </c>
      <c r="C220">
        <v>1056</v>
      </c>
      <c r="D220" t="s">
        <v>93</v>
      </c>
      <c r="E220" t="s">
        <v>15</v>
      </c>
      <c r="F220" t="s">
        <v>21</v>
      </c>
      <c r="G220" t="s">
        <v>22</v>
      </c>
      <c r="H220" t="s">
        <v>18</v>
      </c>
      <c r="I220">
        <v>802</v>
      </c>
      <c r="J220">
        <v>5</v>
      </c>
      <c r="K220">
        <v>0.04</v>
      </c>
      <c r="L220">
        <v>1193</v>
      </c>
      <c r="M220" t="s">
        <v>31</v>
      </c>
      <c r="N220">
        <v>3849.6</v>
      </c>
      <c r="O220" t="str">
        <f>TEXT(SalesData[[#This Row],[Order_Date]],"mmm")</f>
        <v>Aug</v>
      </c>
      <c r="P220">
        <f>YEAR(SalesData[[#This Row],[Order_Date]])</f>
        <v>2024</v>
      </c>
      <c r="Q220" t="str">
        <f>"Q"&amp;ROUNDUP(MONTH(SalesData[[#This Row],[Order_Date]])/3,0)</f>
        <v>Q3</v>
      </c>
      <c r="R220" s="2">
        <f>IFERROR(SalesData[[#This Row],[Profit]]/SalesData[[#This Row],[Sales]],0)</f>
        <v>0.30990232751454699</v>
      </c>
      <c r="S220" s="2">
        <f>SalesData[[#This Row],[Price]]*SalesData[[#This Row],[Quantity]]*SalesData[[#This Row],[Discount]]</f>
        <v>160.4</v>
      </c>
      <c r="T220" s="2" t="str">
        <f>IF(SalesData[[#This Row],[Sales]]&gt;5000,"High",IF(SalesData[[#This Row],[Sales]]&gt;2000,"Medium","Low"))</f>
        <v>Medium</v>
      </c>
      <c r="U220" s="2" t="str">
        <f>IF(COUNTIFS(SalesData[Customer_ID],SalesData[[#This Row],[Customer_ID]])&gt;1,"Repeat","New")</f>
        <v>Repeat</v>
      </c>
      <c r="V220" s="2" t="str">
        <f>IF(SalesData[[#This Row],[Sales]]&gt;AVERAGE(SalesData[Sales]),"Above Avg","Below Avg")</f>
        <v>Below Avg</v>
      </c>
      <c r="W220" s="2" t="str">
        <f>IF(SalesData[[#This Row],[Profit]]&gt;0,"Profit","Loss")</f>
        <v>Profit</v>
      </c>
      <c r="X220" s="2">
        <f>RANK(SalesData[[#This Row],[Sales]],SalesData[Sales])</f>
        <v>361</v>
      </c>
    </row>
    <row r="221" spans="1:24" x14ac:dyDescent="0.3">
      <c r="A221">
        <v>220</v>
      </c>
      <c r="B221" s="1">
        <v>45511</v>
      </c>
      <c r="C221">
        <v>1060</v>
      </c>
      <c r="D221" t="s">
        <v>168</v>
      </c>
      <c r="E221" t="s">
        <v>24</v>
      </c>
      <c r="F221" t="s">
        <v>16</v>
      </c>
      <c r="G221" t="s">
        <v>22</v>
      </c>
      <c r="H221" t="s">
        <v>29</v>
      </c>
      <c r="I221">
        <v>2899</v>
      </c>
      <c r="J221">
        <v>1</v>
      </c>
      <c r="K221">
        <v>0.2</v>
      </c>
      <c r="L221">
        <v>569</v>
      </c>
      <c r="M221" t="s">
        <v>31</v>
      </c>
      <c r="N221">
        <v>2319.1999999999998</v>
      </c>
      <c r="O221" t="str">
        <f>TEXT(SalesData[[#This Row],[Order_Date]],"mmm")</f>
        <v>Aug</v>
      </c>
      <c r="P221">
        <f>YEAR(SalesData[[#This Row],[Order_Date]])</f>
        <v>2024</v>
      </c>
      <c r="Q221" t="str">
        <f>"Q"&amp;ROUNDUP(MONTH(SalesData[[#This Row],[Order_Date]])/3,0)</f>
        <v>Q3</v>
      </c>
      <c r="R221" s="2">
        <f>IFERROR(SalesData[[#This Row],[Profit]]/SalesData[[#This Row],[Sales]],0)</f>
        <v>0.24534322180062093</v>
      </c>
      <c r="S221" s="2">
        <f>SalesData[[#This Row],[Price]]*SalesData[[#This Row],[Quantity]]*SalesData[[#This Row],[Discount]]</f>
        <v>579.80000000000007</v>
      </c>
      <c r="T221" s="2" t="str">
        <f>IF(SalesData[[#This Row],[Sales]]&gt;5000,"High",IF(SalesData[[#This Row],[Sales]]&gt;2000,"Medium","Low"))</f>
        <v>Medium</v>
      </c>
      <c r="U221" s="2" t="str">
        <f>IF(COUNTIFS(SalesData[Customer_ID],SalesData[[#This Row],[Customer_ID]])&gt;1,"Repeat","New")</f>
        <v>Repeat</v>
      </c>
      <c r="V221" s="2" t="str">
        <f>IF(SalesData[[#This Row],[Sales]]&gt;AVERAGE(SalesData[Sales]),"Above Avg","Below Avg")</f>
        <v>Below Avg</v>
      </c>
      <c r="W221" s="2" t="str">
        <f>IF(SalesData[[#This Row],[Profit]]&gt;0,"Profit","Loss")</f>
        <v>Profit</v>
      </c>
      <c r="X221" s="2">
        <f>RANK(SalesData[[#This Row],[Sales]],SalesData[Sales])</f>
        <v>415</v>
      </c>
    </row>
    <row r="222" spans="1:24" x14ac:dyDescent="0.3">
      <c r="A222">
        <v>221</v>
      </c>
      <c r="B222" s="1">
        <v>45512</v>
      </c>
      <c r="C222">
        <v>1009</v>
      </c>
      <c r="D222" t="s">
        <v>169</v>
      </c>
      <c r="E222" t="s">
        <v>24</v>
      </c>
      <c r="F222" t="s">
        <v>28</v>
      </c>
      <c r="G222" t="s">
        <v>17</v>
      </c>
      <c r="H222" t="s">
        <v>18</v>
      </c>
      <c r="I222">
        <v>607</v>
      </c>
      <c r="J222">
        <v>6</v>
      </c>
      <c r="K222">
        <v>0.05</v>
      </c>
      <c r="L222">
        <v>1509</v>
      </c>
      <c r="M222" t="s">
        <v>26</v>
      </c>
      <c r="N222">
        <v>3459.8999999999901</v>
      </c>
      <c r="O222" t="str">
        <f>TEXT(SalesData[[#This Row],[Order_Date]],"mmm")</f>
        <v>Aug</v>
      </c>
      <c r="P222">
        <f>YEAR(SalesData[[#This Row],[Order_Date]])</f>
        <v>2024</v>
      </c>
      <c r="Q222" t="str">
        <f>"Q"&amp;ROUNDUP(MONTH(SalesData[[#This Row],[Order_Date]])/3,0)</f>
        <v>Q3</v>
      </c>
      <c r="R222" s="2">
        <f>IFERROR(SalesData[[#This Row],[Profit]]/SalesData[[#This Row],[Sales]],0)</f>
        <v>0.43613977282580546</v>
      </c>
      <c r="S222" s="2">
        <f>SalesData[[#This Row],[Price]]*SalesData[[#This Row],[Quantity]]*SalesData[[#This Row],[Discount]]</f>
        <v>182.10000000000002</v>
      </c>
      <c r="T222" s="2" t="str">
        <f>IF(SalesData[[#This Row],[Sales]]&gt;5000,"High",IF(SalesData[[#This Row],[Sales]]&gt;2000,"Medium","Low"))</f>
        <v>Medium</v>
      </c>
      <c r="U222" s="2" t="str">
        <f>IF(COUNTIFS(SalesData[Customer_ID],SalesData[[#This Row],[Customer_ID]])&gt;1,"Repeat","New")</f>
        <v>Repeat</v>
      </c>
      <c r="V222" s="2" t="str">
        <f>IF(SalesData[[#This Row],[Sales]]&gt;AVERAGE(SalesData[Sales]),"Above Avg","Below Avg")</f>
        <v>Below Avg</v>
      </c>
      <c r="W222" s="2" t="str">
        <f>IF(SalesData[[#This Row],[Profit]]&gt;0,"Profit","Loss")</f>
        <v>Profit</v>
      </c>
      <c r="X222" s="2">
        <f>RANK(SalesData[[#This Row],[Sales]],SalesData[Sales])</f>
        <v>378</v>
      </c>
    </row>
    <row r="223" spans="1:24" x14ac:dyDescent="0.3">
      <c r="A223">
        <v>222</v>
      </c>
      <c r="B223" s="1">
        <v>45513</v>
      </c>
      <c r="C223">
        <v>1066</v>
      </c>
      <c r="D223" t="s">
        <v>97</v>
      </c>
      <c r="E223" t="s">
        <v>24</v>
      </c>
      <c r="F223" t="s">
        <v>21</v>
      </c>
      <c r="G223" t="s">
        <v>22</v>
      </c>
      <c r="H223" t="s">
        <v>18</v>
      </c>
      <c r="I223">
        <v>1523</v>
      </c>
      <c r="J223">
        <v>1</v>
      </c>
      <c r="K223">
        <v>0.23</v>
      </c>
      <c r="L223">
        <v>1244</v>
      </c>
      <c r="M223" t="s">
        <v>31</v>
      </c>
      <c r="N223">
        <v>1172.71</v>
      </c>
      <c r="O223" t="str">
        <f>TEXT(SalesData[[#This Row],[Order_Date]],"mmm")</f>
        <v>Aug</v>
      </c>
      <c r="P223">
        <f>YEAR(SalesData[[#This Row],[Order_Date]])</f>
        <v>2024</v>
      </c>
      <c r="Q223" t="str">
        <f>"Q"&amp;ROUNDUP(MONTH(SalesData[[#This Row],[Order_Date]])/3,0)</f>
        <v>Q3</v>
      </c>
      <c r="R223" s="2">
        <f>IFERROR(SalesData[[#This Row],[Profit]]/SalesData[[#This Row],[Sales]],0)</f>
        <v>1.0607908178492551</v>
      </c>
      <c r="S223" s="2">
        <f>SalesData[[#This Row],[Price]]*SalesData[[#This Row],[Quantity]]*SalesData[[#This Row],[Discount]]</f>
        <v>350.29</v>
      </c>
      <c r="T223" s="2" t="str">
        <f>IF(SalesData[[#This Row],[Sales]]&gt;5000,"High",IF(SalesData[[#This Row],[Sales]]&gt;2000,"Medium","Low"))</f>
        <v>Low</v>
      </c>
      <c r="U223" s="2" t="str">
        <f>IF(COUNTIFS(SalesData[Customer_ID],SalesData[[#This Row],[Customer_ID]])&gt;1,"Repeat","New")</f>
        <v>Repeat</v>
      </c>
      <c r="V223" s="2" t="str">
        <f>IF(SalesData[[#This Row],[Sales]]&gt;AVERAGE(SalesData[Sales]),"Above Avg","Below Avg")</f>
        <v>Below Avg</v>
      </c>
      <c r="W223" s="2" t="str">
        <f>IF(SalesData[[#This Row],[Profit]]&gt;0,"Profit","Loss")</f>
        <v>Profit</v>
      </c>
      <c r="X223" s="2">
        <f>RANK(SalesData[[#This Row],[Sales]],SalesData[Sales])</f>
        <v>471</v>
      </c>
    </row>
    <row r="224" spans="1:24" x14ac:dyDescent="0.3">
      <c r="A224">
        <v>223</v>
      </c>
      <c r="B224" s="1">
        <v>45514</v>
      </c>
      <c r="C224">
        <v>1033</v>
      </c>
      <c r="D224" t="s">
        <v>170</v>
      </c>
      <c r="E224" t="s">
        <v>24</v>
      </c>
      <c r="F224" t="s">
        <v>16</v>
      </c>
      <c r="G224" t="s">
        <v>34</v>
      </c>
      <c r="H224" t="s">
        <v>25</v>
      </c>
      <c r="I224">
        <v>2167</v>
      </c>
      <c r="J224">
        <v>2</v>
      </c>
      <c r="K224">
        <v>0.21</v>
      </c>
      <c r="L224">
        <v>1682</v>
      </c>
      <c r="M224" t="s">
        <v>26</v>
      </c>
      <c r="N224">
        <v>3423.86</v>
      </c>
      <c r="O224" t="str">
        <f>TEXT(SalesData[[#This Row],[Order_Date]],"mmm")</f>
        <v>Aug</v>
      </c>
      <c r="P224">
        <f>YEAR(SalesData[[#This Row],[Order_Date]])</f>
        <v>2024</v>
      </c>
      <c r="Q224" t="str">
        <f>"Q"&amp;ROUNDUP(MONTH(SalesData[[#This Row],[Order_Date]])/3,0)</f>
        <v>Q3</v>
      </c>
      <c r="R224" s="2">
        <f>IFERROR(SalesData[[#This Row],[Profit]]/SalesData[[#This Row],[Sales]],0)</f>
        <v>0.49125840425718337</v>
      </c>
      <c r="S224" s="2">
        <f>SalesData[[#This Row],[Price]]*SalesData[[#This Row],[Quantity]]*SalesData[[#This Row],[Discount]]</f>
        <v>910.14</v>
      </c>
      <c r="T224" s="2" t="str">
        <f>IF(SalesData[[#This Row],[Sales]]&gt;5000,"High",IF(SalesData[[#This Row],[Sales]]&gt;2000,"Medium","Low"))</f>
        <v>Medium</v>
      </c>
      <c r="U224" s="2" t="str">
        <f>IF(COUNTIFS(SalesData[Customer_ID],SalesData[[#This Row],[Customer_ID]])&gt;1,"Repeat","New")</f>
        <v>New</v>
      </c>
      <c r="V224" s="2" t="str">
        <f>IF(SalesData[[#This Row],[Sales]]&gt;AVERAGE(SalesData[Sales]),"Above Avg","Below Avg")</f>
        <v>Below Avg</v>
      </c>
      <c r="W224" s="2" t="str">
        <f>IF(SalesData[[#This Row],[Profit]]&gt;0,"Profit","Loss")</f>
        <v>Profit</v>
      </c>
      <c r="X224" s="2">
        <f>RANK(SalesData[[#This Row],[Sales]],SalesData[Sales])</f>
        <v>379</v>
      </c>
    </row>
    <row r="225" spans="1:24" x14ac:dyDescent="0.3">
      <c r="A225">
        <v>224</v>
      </c>
      <c r="B225" s="1">
        <v>45515</v>
      </c>
      <c r="C225">
        <v>1069</v>
      </c>
      <c r="D225" t="s">
        <v>60</v>
      </c>
      <c r="E225" t="s">
        <v>24</v>
      </c>
      <c r="F225" t="s">
        <v>33</v>
      </c>
      <c r="G225" t="s">
        <v>34</v>
      </c>
      <c r="H225" t="s">
        <v>37</v>
      </c>
      <c r="I225">
        <v>4265</v>
      </c>
      <c r="J225">
        <v>6</v>
      </c>
      <c r="K225">
        <v>0.12</v>
      </c>
      <c r="L225">
        <v>490</v>
      </c>
      <c r="M225" t="s">
        <v>31</v>
      </c>
      <c r="N225">
        <v>22519.200000000001</v>
      </c>
      <c r="O225" t="str">
        <f>TEXT(SalesData[[#This Row],[Order_Date]],"mmm")</f>
        <v>Aug</v>
      </c>
      <c r="P225">
        <f>YEAR(SalesData[[#This Row],[Order_Date]])</f>
        <v>2024</v>
      </c>
      <c r="Q225" t="str">
        <f>"Q"&amp;ROUNDUP(MONTH(SalesData[[#This Row],[Order_Date]])/3,0)</f>
        <v>Q3</v>
      </c>
      <c r="R225" s="2">
        <f>IFERROR(SalesData[[#This Row],[Profit]]/SalesData[[#This Row],[Sales]],0)</f>
        <v>2.1759209918647198E-2</v>
      </c>
      <c r="S225" s="2">
        <f>SalesData[[#This Row],[Price]]*SalesData[[#This Row],[Quantity]]*SalesData[[#This Row],[Discount]]</f>
        <v>3070.7999999999997</v>
      </c>
      <c r="T225" s="2" t="str">
        <f>IF(SalesData[[#This Row],[Sales]]&gt;5000,"High",IF(SalesData[[#This Row],[Sales]]&gt;2000,"Medium","Low"))</f>
        <v>High</v>
      </c>
      <c r="U225" s="2" t="str">
        <f>IF(COUNTIFS(SalesData[Customer_ID],SalesData[[#This Row],[Customer_ID]])&gt;1,"Repeat","New")</f>
        <v>Repeat</v>
      </c>
      <c r="V225" s="2" t="str">
        <f>IF(SalesData[[#This Row],[Sales]]&gt;AVERAGE(SalesData[Sales]),"Above Avg","Below Avg")</f>
        <v>Above Avg</v>
      </c>
      <c r="W225" s="2" t="str">
        <f>IF(SalesData[[#This Row],[Profit]]&gt;0,"Profit","Loss")</f>
        <v>Profit</v>
      </c>
      <c r="X225" s="2">
        <f>RANK(SalesData[[#This Row],[Sales]],SalesData[Sales])</f>
        <v>63</v>
      </c>
    </row>
    <row r="226" spans="1:24" x14ac:dyDescent="0.3">
      <c r="A226">
        <v>225</v>
      </c>
      <c r="B226" s="1">
        <v>45516</v>
      </c>
      <c r="C226">
        <v>1009</v>
      </c>
      <c r="D226" t="s">
        <v>67</v>
      </c>
      <c r="E226" t="s">
        <v>15</v>
      </c>
      <c r="F226" t="s">
        <v>28</v>
      </c>
      <c r="G226" t="s">
        <v>22</v>
      </c>
      <c r="H226" t="s">
        <v>37</v>
      </c>
      <c r="I226">
        <v>851</v>
      </c>
      <c r="J226">
        <v>1</v>
      </c>
      <c r="K226">
        <v>0.14000000000000001</v>
      </c>
      <c r="L226">
        <v>1419</v>
      </c>
      <c r="M226" t="s">
        <v>19</v>
      </c>
      <c r="N226">
        <v>731.86</v>
      </c>
      <c r="O226" t="str">
        <f>TEXT(SalesData[[#This Row],[Order_Date]],"mmm")</f>
        <v>Aug</v>
      </c>
      <c r="P226">
        <f>YEAR(SalesData[[#This Row],[Order_Date]])</f>
        <v>2024</v>
      </c>
      <c r="Q226" t="str">
        <f>"Q"&amp;ROUNDUP(MONTH(SalesData[[#This Row],[Order_Date]])/3,0)</f>
        <v>Q3</v>
      </c>
      <c r="R226" s="2">
        <f>IFERROR(SalesData[[#This Row],[Profit]]/SalesData[[#This Row],[Sales]],0)</f>
        <v>1.9388954171562867</v>
      </c>
      <c r="S226" s="2">
        <f>SalesData[[#This Row],[Price]]*SalesData[[#This Row],[Quantity]]*SalesData[[#This Row],[Discount]]</f>
        <v>119.14000000000001</v>
      </c>
      <c r="T226" s="2" t="str">
        <f>IF(SalesData[[#This Row],[Sales]]&gt;5000,"High",IF(SalesData[[#This Row],[Sales]]&gt;2000,"Medium","Low"))</f>
        <v>Low</v>
      </c>
      <c r="U226" s="2" t="str">
        <f>IF(COUNTIFS(SalesData[Customer_ID],SalesData[[#This Row],[Customer_ID]])&gt;1,"Repeat","New")</f>
        <v>Repeat</v>
      </c>
      <c r="V226" s="2" t="str">
        <f>IF(SalesData[[#This Row],[Sales]]&gt;AVERAGE(SalesData[Sales]),"Above Avg","Below Avg")</f>
        <v>Below Avg</v>
      </c>
      <c r="W226" s="2" t="str">
        <f>IF(SalesData[[#This Row],[Profit]]&gt;0,"Profit","Loss")</f>
        <v>Profit</v>
      </c>
      <c r="X226" s="2">
        <f>RANK(SalesData[[#This Row],[Sales]],SalesData[Sales])</f>
        <v>484</v>
      </c>
    </row>
    <row r="227" spans="1:24" x14ac:dyDescent="0.3">
      <c r="A227">
        <v>226</v>
      </c>
      <c r="B227" s="1">
        <v>45517</v>
      </c>
      <c r="C227">
        <v>1079</v>
      </c>
      <c r="D227" t="s">
        <v>171</v>
      </c>
      <c r="E227" t="s">
        <v>24</v>
      </c>
      <c r="F227" t="s">
        <v>16</v>
      </c>
      <c r="G227" t="s">
        <v>34</v>
      </c>
      <c r="H227" t="s">
        <v>29</v>
      </c>
      <c r="I227">
        <v>2116</v>
      </c>
      <c r="J227">
        <v>6</v>
      </c>
      <c r="K227">
        <v>0.05</v>
      </c>
      <c r="L227">
        <v>1516</v>
      </c>
      <c r="M227" t="s">
        <v>19</v>
      </c>
      <c r="N227">
        <v>12061.199999999901</v>
      </c>
      <c r="O227" t="str">
        <f>TEXT(SalesData[[#This Row],[Order_Date]],"mmm")</f>
        <v>Aug</v>
      </c>
      <c r="P227">
        <f>YEAR(SalesData[[#This Row],[Order_Date]])</f>
        <v>2024</v>
      </c>
      <c r="Q227" t="str">
        <f>"Q"&amp;ROUNDUP(MONTH(SalesData[[#This Row],[Order_Date]])/3,0)</f>
        <v>Q3</v>
      </c>
      <c r="R227" s="2">
        <f>IFERROR(SalesData[[#This Row],[Profit]]/SalesData[[#This Row],[Sales]],0)</f>
        <v>0.12569230259012473</v>
      </c>
      <c r="S227" s="2">
        <f>SalesData[[#This Row],[Price]]*SalesData[[#This Row],[Quantity]]*SalesData[[#This Row],[Discount]]</f>
        <v>634.80000000000007</v>
      </c>
      <c r="T227" s="2" t="str">
        <f>IF(SalesData[[#This Row],[Sales]]&gt;5000,"High",IF(SalesData[[#This Row],[Sales]]&gt;2000,"Medium","Low"))</f>
        <v>High</v>
      </c>
      <c r="U227" s="2" t="str">
        <f>IF(COUNTIFS(SalesData[Customer_ID],SalesData[[#This Row],[Customer_ID]])&gt;1,"Repeat","New")</f>
        <v>Repeat</v>
      </c>
      <c r="V227" s="2" t="str">
        <f>IF(SalesData[[#This Row],[Sales]]&gt;AVERAGE(SalesData[Sales]),"Above Avg","Below Avg")</f>
        <v>Above Avg</v>
      </c>
      <c r="W227" s="2" t="str">
        <f>IF(SalesData[[#This Row],[Profit]]&gt;0,"Profit","Loss")</f>
        <v>Profit</v>
      </c>
      <c r="X227" s="2">
        <f>RANK(SalesData[[#This Row],[Sales]],SalesData[Sales])</f>
        <v>167</v>
      </c>
    </row>
    <row r="228" spans="1:24" x14ac:dyDescent="0.3">
      <c r="A228">
        <v>227</v>
      </c>
      <c r="B228" s="1">
        <v>45518</v>
      </c>
      <c r="C228">
        <v>1028</v>
      </c>
      <c r="D228" t="s">
        <v>170</v>
      </c>
      <c r="E228" t="s">
        <v>15</v>
      </c>
      <c r="F228" t="s">
        <v>28</v>
      </c>
      <c r="G228" t="s">
        <v>34</v>
      </c>
      <c r="H228" t="s">
        <v>29</v>
      </c>
      <c r="I228">
        <v>648</v>
      </c>
      <c r="J228">
        <v>9</v>
      </c>
      <c r="K228">
        <v>0.19</v>
      </c>
      <c r="L228">
        <v>730</v>
      </c>
      <c r="M228" t="s">
        <v>26</v>
      </c>
      <c r="N228">
        <v>4723.92</v>
      </c>
      <c r="O228" t="str">
        <f>TEXT(SalesData[[#This Row],[Order_Date]],"mmm")</f>
        <v>Aug</v>
      </c>
      <c r="P228">
        <f>YEAR(SalesData[[#This Row],[Order_Date]])</f>
        <v>2024</v>
      </c>
      <c r="Q228" t="str">
        <f>"Q"&amp;ROUNDUP(MONTH(SalesData[[#This Row],[Order_Date]])/3,0)</f>
        <v>Q3</v>
      </c>
      <c r="R228" s="2">
        <f>IFERROR(SalesData[[#This Row],[Profit]]/SalesData[[#This Row],[Sales]],0)</f>
        <v>0.15453267625192638</v>
      </c>
      <c r="S228" s="2">
        <f>SalesData[[#This Row],[Price]]*SalesData[[#This Row],[Quantity]]*SalesData[[#This Row],[Discount]]</f>
        <v>1108.08</v>
      </c>
      <c r="T228" s="2" t="str">
        <f>IF(SalesData[[#This Row],[Sales]]&gt;5000,"High",IF(SalesData[[#This Row],[Sales]]&gt;2000,"Medium","Low"))</f>
        <v>Medium</v>
      </c>
      <c r="U228" s="2" t="str">
        <f>IF(COUNTIFS(SalesData[Customer_ID],SalesData[[#This Row],[Customer_ID]])&gt;1,"Repeat","New")</f>
        <v>Repeat</v>
      </c>
      <c r="V228" s="2" t="str">
        <f>IF(SalesData[[#This Row],[Sales]]&gt;AVERAGE(SalesData[Sales]),"Above Avg","Below Avg")</f>
        <v>Below Avg</v>
      </c>
      <c r="W228" s="2" t="str">
        <f>IF(SalesData[[#This Row],[Profit]]&gt;0,"Profit","Loss")</f>
        <v>Profit</v>
      </c>
      <c r="X228" s="2">
        <f>RANK(SalesData[[#This Row],[Sales]],SalesData[Sales])</f>
        <v>331</v>
      </c>
    </row>
    <row r="229" spans="1:24" x14ac:dyDescent="0.3">
      <c r="A229">
        <v>228</v>
      </c>
      <c r="B229" s="1">
        <v>45519</v>
      </c>
      <c r="C229">
        <v>1066</v>
      </c>
      <c r="D229" t="s">
        <v>72</v>
      </c>
      <c r="E229" t="s">
        <v>15</v>
      </c>
      <c r="F229" t="s">
        <v>28</v>
      </c>
      <c r="G229" t="s">
        <v>34</v>
      </c>
      <c r="H229" t="s">
        <v>18</v>
      </c>
      <c r="I229">
        <v>2655</v>
      </c>
      <c r="J229">
        <v>6</v>
      </c>
      <c r="K229">
        <v>0.27</v>
      </c>
      <c r="L229">
        <v>1403</v>
      </c>
      <c r="M229" t="s">
        <v>31</v>
      </c>
      <c r="N229">
        <v>11628.9</v>
      </c>
      <c r="O229" t="str">
        <f>TEXT(SalesData[[#This Row],[Order_Date]],"mmm")</f>
        <v>Aug</v>
      </c>
      <c r="P229">
        <f>YEAR(SalesData[[#This Row],[Order_Date]])</f>
        <v>2024</v>
      </c>
      <c r="Q229" t="str">
        <f>"Q"&amp;ROUNDUP(MONTH(SalesData[[#This Row],[Order_Date]])/3,0)</f>
        <v>Q3</v>
      </c>
      <c r="R229" s="2">
        <f>IFERROR(SalesData[[#This Row],[Profit]]/SalesData[[#This Row],[Sales]],0)</f>
        <v>0.12064769668670296</v>
      </c>
      <c r="S229" s="2">
        <f>SalesData[[#This Row],[Price]]*SalesData[[#This Row],[Quantity]]*SalesData[[#This Row],[Discount]]</f>
        <v>4301.1000000000004</v>
      </c>
      <c r="T229" s="2" t="str">
        <f>IF(SalesData[[#This Row],[Sales]]&gt;5000,"High",IF(SalesData[[#This Row],[Sales]]&gt;2000,"Medium","Low"))</f>
        <v>High</v>
      </c>
      <c r="U229" s="2" t="str">
        <f>IF(COUNTIFS(SalesData[Customer_ID],SalesData[[#This Row],[Customer_ID]])&gt;1,"Repeat","New")</f>
        <v>Repeat</v>
      </c>
      <c r="V229" s="2" t="str">
        <f>IF(SalesData[[#This Row],[Sales]]&gt;AVERAGE(SalesData[Sales]),"Above Avg","Below Avg")</f>
        <v>Above Avg</v>
      </c>
      <c r="W229" s="2" t="str">
        <f>IF(SalesData[[#This Row],[Profit]]&gt;0,"Profit","Loss")</f>
        <v>Profit</v>
      </c>
      <c r="X229" s="2">
        <f>RANK(SalesData[[#This Row],[Sales]],SalesData[Sales])</f>
        <v>179</v>
      </c>
    </row>
    <row r="230" spans="1:24" x14ac:dyDescent="0.3">
      <c r="A230">
        <v>229</v>
      </c>
      <c r="B230" s="1">
        <v>45520</v>
      </c>
      <c r="C230">
        <v>1010</v>
      </c>
      <c r="D230" t="s">
        <v>100</v>
      </c>
      <c r="E230" t="s">
        <v>15</v>
      </c>
      <c r="F230" t="s">
        <v>33</v>
      </c>
      <c r="G230" t="s">
        <v>22</v>
      </c>
      <c r="H230" t="s">
        <v>37</v>
      </c>
      <c r="I230">
        <v>738</v>
      </c>
      <c r="J230">
        <v>1</v>
      </c>
      <c r="K230">
        <v>0.17</v>
      </c>
      <c r="L230">
        <v>1581</v>
      </c>
      <c r="M230" t="s">
        <v>19</v>
      </c>
      <c r="N230">
        <v>612.54</v>
      </c>
      <c r="O230" t="str">
        <f>TEXT(SalesData[[#This Row],[Order_Date]],"mmm")</f>
        <v>Aug</v>
      </c>
      <c r="P230">
        <f>YEAR(SalesData[[#This Row],[Order_Date]])</f>
        <v>2024</v>
      </c>
      <c r="Q230" t="str">
        <f>"Q"&amp;ROUNDUP(MONTH(SalesData[[#This Row],[Order_Date]])/3,0)</f>
        <v>Q3</v>
      </c>
      <c r="R230" s="2">
        <f>IFERROR(SalesData[[#This Row],[Profit]]/SalesData[[#This Row],[Sales]],0)</f>
        <v>2.5810559310412384</v>
      </c>
      <c r="S230" s="2">
        <f>SalesData[[#This Row],[Price]]*SalesData[[#This Row],[Quantity]]*SalesData[[#This Row],[Discount]]</f>
        <v>125.46000000000001</v>
      </c>
      <c r="T230" s="2" t="str">
        <f>IF(SalesData[[#This Row],[Sales]]&gt;5000,"High",IF(SalesData[[#This Row],[Sales]]&gt;2000,"Medium","Low"))</f>
        <v>Low</v>
      </c>
      <c r="U230" s="2" t="str">
        <f>IF(COUNTIFS(SalesData[Customer_ID],SalesData[[#This Row],[Customer_ID]])&gt;1,"Repeat","New")</f>
        <v>Repeat</v>
      </c>
      <c r="V230" s="2" t="str">
        <f>IF(SalesData[[#This Row],[Sales]]&gt;AVERAGE(SalesData[Sales]),"Above Avg","Below Avg")</f>
        <v>Below Avg</v>
      </c>
      <c r="W230" s="2" t="str">
        <f>IF(SalesData[[#This Row],[Profit]]&gt;0,"Profit","Loss")</f>
        <v>Profit</v>
      </c>
      <c r="X230" s="2">
        <f>RANK(SalesData[[#This Row],[Sales]],SalesData[Sales])</f>
        <v>486</v>
      </c>
    </row>
    <row r="231" spans="1:24" x14ac:dyDescent="0.3">
      <c r="A231">
        <v>230</v>
      </c>
      <c r="B231" s="1">
        <v>45521</v>
      </c>
      <c r="C231">
        <v>1003</v>
      </c>
      <c r="D231" t="s">
        <v>172</v>
      </c>
      <c r="E231" t="s">
        <v>15</v>
      </c>
      <c r="F231" t="s">
        <v>21</v>
      </c>
      <c r="G231" t="s">
        <v>34</v>
      </c>
      <c r="H231" t="s">
        <v>29</v>
      </c>
      <c r="I231">
        <v>1820</v>
      </c>
      <c r="J231">
        <v>9</v>
      </c>
      <c r="K231">
        <v>0.09</v>
      </c>
      <c r="L231">
        <v>631</v>
      </c>
      <c r="M231" t="s">
        <v>19</v>
      </c>
      <c r="N231">
        <v>14905.8</v>
      </c>
      <c r="O231" t="str">
        <f>TEXT(SalesData[[#This Row],[Order_Date]],"mmm")</f>
        <v>Aug</v>
      </c>
      <c r="P231">
        <f>YEAR(SalesData[[#This Row],[Order_Date]])</f>
        <v>2024</v>
      </c>
      <c r="Q231" t="str">
        <f>"Q"&amp;ROUNDUP(MONTH(SalesData[[#This Row],[Order_Date]])/3,0)</f>
        <v>Q3</v>
      </c>
      <c r="R231" s="2">
        <f>IFERROR(SalesData[[#This Row],[Profit]]/SalesData[[#This Row],[Sales]],0)</f>
        <v>4.2332514859987389E-2</v>
      </c>
      <c r="S231" s="2">
        <f>SalesData[[#This Row],[Price]]*SalesData[[#This Row],[Quantity]]*SalesData[[#This Row],[Discount]]</f>
        <v>1474.2</v>
      </c>
      <c r="T231" s="2" t="str">
        <f>IF(SalesData[[#This Row],[Sales]]&gt;5000,"High",IF(SalesData[[#This Row],[Sales]]&gt;2000,"Medium","Low"))</f>
        <v>High</v>
      </c>
      <c r="U231" s="2" t="str">
        <f>IF(COUNTIFS(SalesData[Customer_ID],SalesData[[#This Row],[Customer_ID]])&gt;1,"Repeat","New")</f>
        <v>Repeat</v>
      </c>
      <c r="V231" s="2" t="str">
        <f>IF(SalesData[[#This Row],[Sales]]&gt;AVERAGE(SalesData[Sales]),"Above Avg","Below Avg")</f>
        <v>Above Avg</v>
      </c>
      <c r="W231" s="2" t="str">
        <f>IF(SalesData[[#This Row],[Profit]]&gt;0,"Profit","Loss")</f>
        <v>Profit</v>
      </c>
      <c r="X231" s="2">
        <f>RANK(SalesData[[#This Row],[Sales]],SalesData[Sales])</f>
        <v>141</v>
      </c>
    </row>
    <row r="232" spans="1:24" x14ac:dyDescent="0.3">
      <c r="A232">
        <v>231</v>
      </c>
      <c r="B232" s="1">
        <v>45522</v>
      </c>
      <c r="C232">
        <v>1048</v>
      </c>
      <c r="D232" t="s">
        <v>91</v>
      </c>
      <c r="E232" t="s">
        <v>15</v>
      </c>
      <c r="F232" t="s">
        <v>33</v>
      </c>
      <c r="G232" t="s">
        <v>17</v>
      </c>
      <c r="H232" t="s">
        <v>37</v>
      </c>
      <c r="I232">
        <v>3916</v>
      </c>
      <c r="J232">
        <v>7</v>
      </c>
      <c r="K232">
        <v>0.12</v>
      </c>
      <c r="L232">
        <v>1533</v>
      </c>
      <c r="M232" t="s">
        <v>19</v>
      </c>
      <c r="N232">
        <v>24122.560000000001</v>
      </c>
      <c r="O232" t="str">
        <f>TEXT(SalesData[[#This Row],[Order_Date]],"mmm")</f>
        <v>Aug</v>
      </c>
      <c r="P232">
        <f>YEAR(SalesData[[#This Row],[Order_Date]])</f>
        <v>2024</v>
      </c>
      <c r="Q232" t="str">
        <f>"Q"&amp;ROUNDUP(MONTH(SalesData[[#This Row],[Order_Date]])/3,0)</f>
        <v>Q3</v>
      </c>
      <c r="R232" s="2">
        <f>IFERROR(SalesData[[#This Row],[Profit]]/SalesData[[#This Row],[Sales]],0)</f>
        <v>6.3550468938620111E-2</v>
      </c>
      <c r="S232" s="2">
        <f>SalesData[[#This Row],[Price]]*SalesData[[#This Row],[Quantity]]*SalesData[[#This Row],[Discount]]</f>
        <v>3289.44</v>
      </c>
      <c r="T232" s="2" t="str">
        <f>IF(SalesData[[#This Row],[Sales]]&gt;5000,"High",IF(SalesData[[#This Row],[Sales]]&gt;2000,"Medium","Low"))</f>
        <v>High</v>
      </c>
      <c r="U232" s="2" t="str">
        <f>IF(COUNTIFS(SalesData[Customer_ID],SalesData[[#This Row],[Customer_ID]])&gt;1,"Repeat","New")</f>
        <v>Repeat</v>
      </c>
      <c r="V232" s="2" t="str">
        <f>IF(SalesData[[#This Row],[Sales]]&gt;AVERAGE(SalesData[Sales]),"Above Avg","Below Avg")</f>
        <v>Above Avg</v>
      </c>
      <c r="W232" s="2" t="str">
        <f>IF(SalesData[[#This Row],[Profit]]&gt;0,"Profit","Loss")</f>
        <v>Profit</v>
      </c>
      <c r="X232" s="2">
        <f>RANK(SalesData[[#This Row],[Sales]],SalesData[Sales])</f>
        <v>51</v>
      </c>
    </row>
    <row r="233" spans="1:24" x14ac:dyDescent="0.3">
      <c r="A233">
        <v>232</v>
      </c>
      <c r="B233" s="1">
        <v>45523</v>
      </c>
      <c r="C233">
        <v>1003</v>
      </c>
      <c r="D233" t="s">
        <v>60</v>
      </c>
      <c r="E233" t="s">
        <v>15</v>
      </c>
      <c r="F233" t="s">
        <v>28</v>
      </c>
      <c r="G233" t="s">
        <v>22</v>
      </c>
      <c r="H233" t="s">
        <v>25</v>
      </c>
      <c r="I233">
        <v>3888</v>
      </c>
      <c r="J233">
        <v>5</v>
      </c>
      <c r="K233">
        <v>7.0000000000000007E-2</v>
      </c>
      <c r="L233">
        <v>1032</v>
      </c>
      <c r="M233" t="s">
        <v>26</v>
      </c>
      <c r="N233">
        <v>18079.199999999899</v>
      </c>
      <c r="O233" t="str">
        <f>TEXT(SalesData[[#This Row],[Order_Date]],"mmm")</f>
        <v>Aug</v>
      </c>
      <c r="P233">
        <f>YEAR(SalesData[[#This Row],[Order_Date]])</f>
        <v>2024</v>
      </c>
      <c r="Q233" t="str">
        <f>"Q"&amp;ROUNDUP(MONTH(SalesData[[#This Row],[Order_Date]])/3,0)</f>
        <v>Q3</v>
      </c>
      <c r="R233" s="2">
        <f>IFERROR(SalesData[[#This Row],[Profit]]/SalesData[[#This Row],[Sales]],0)</f>
        <v>5.7082171777512597E-2</v>
      </c>
      <c r="S233" s="2">
        <f>SalesData[[#This Row],[Price]]*SalesData[[#This Row],[Quantity]]*SalesData[[#This Row],[Discount]]</f>
        <v>1360.8000000000002</v>
      </c>
      <c r="T233" s="2" t="str">
        <f>IF(SalesData[[#This Row],[Sales]]&gt;5000,"High",IF(SalesData[[#This Row],[Sales]]&gt;2000,"Medium","Low"))</f>
        <v>High</v>
      </c>
      <c r="U233" s="2" t="str">
        <f>IF(COUNTIFS(SalesData[Customer_ID],SalesData[[#This Row],[Customer_ID]])&gt;1,"Repeat","New")</f>
        <v>Repeat</v>
      </c>
      <c r="V233" s="2" t="str">
        <f>IF(SalesData[[#This Row],[Sales]]&gt;AVERAGE(SalesData[Sales]),"Above Avg","Below Avg")</f>
        <v>Above Avg</v>
      </c>
      <c r="W233" s="2" t="str">
        <f>IF(SalesData[[#This Row],[Profit]]&gt;0,"Profit","Loss")</f>
        <v>Profit</v>
      </c>
      <c r="X233" s="2">
        <f>RANK(SalesData[[#This Row],[Sales]],SalesData[Sales])</f>
        <v>91</v>
      </c>
    </row>
    <row r="234" spans="1:24" x14ac:dyDescent="0.3">
      <c r="A234">
        <v>233</v>
      </c>
      <c r="B234" s="1">
        <v>45524</v>
      </c>
      <c r="C234">
        <v>1023</v>
      </c>
      <c r="D234" t="s">
        <v>173</v>
      </c>
      <c r="E234" t="s">
        <v>15</v>
      </c>
      <c r="F234" t="s">
        <v>33</v>
      </c>
      <c r="G234" t="s">
        <v>22</v>
      </c>
      <c r="H234" t="s">
        <v>29</v>
      </c>
      <c r="I234">
        <v>1813</v>
      </c>
      <c r="J234">
        <v>7</v>
      </c>
      <c r="K234">
        <v>0.13</v>
      </c>
      <c r="L234">
        <v>937</v>
      </c>
      <c r="M234" t="s">
        <v>31</v>
      </c>
      <c r="N234">
        <v>11041.17</v>
      </c>
      <c r="O234" t="str">
        <f>TEXT(SalesData[[#This Row],[Order_Date]],"mmm")</f>
        <v>Aug</v>
      </c>
      <c r="P234">
        <f>YEAR(SalesData[[#This Row],[Order_Date]])</f>
        <v>2024</v>
      </c>
      <c r="Q234" t="str">
        <f>"Q"&amp;ROUNDUP(MONTH(SalesData[[#This Row],[Order_Date]])/3,0)</f>
        <v>Q3</v>
      </c>
      <c r="R234" s="2">
        <f>IFERROR(SalesData[[#This Row],[Profit]]/SalesData[[#This Row],[Sales]],0)</f>
        <v>8.4864194646038421E-2</v>
      </c>
      <c r="S234" s="2">
        <f>SalesData[[#This Row],[Price]]*SalesData[[#This Row],[Quantity]]*SalesData[[#This Row],[Discount]]</f>
        <v>1649.8300000000002</v>
      </c>
      <c r="T234" s="2" t="str">
        <f>IF(SalesData[[#This Row],[Sales]]&gt;5000,"High",IF(SalesData[[#This Row],[Sales]]&gt;2000,"Medium","Low"))</f>
        <v>High</v>
      </c>
      <c r="U234" s="2" t="str">
        <f>IF(COUNTIFS(SalesData[Customer_ID],SalesData[[#This Row],[Customer_ID]])&gt;1,"Repeat","New")</f>
        <v>Repeat</v>
      </c>
      <c r="V234" s="2" t="str">
        <f>IF(SalesData[[#This Row],[Sales]]&gt;AVERAGE(SalesData[Sales]),"Above Avg","Below Avg")</f>
        <v>Above Avg</v>
      </c>
      <c r="W234" s="2" t="str">
        <f>IF(SalesData[[#This Row],[Profit]]&gt;0,"Profit","Loss")</f>
        <v>Profit</v>
      </c>
      <c r="X234" s="2">
        <f>RANK(SalesData[[#This Row],[Sales]],SalesData[Sales])</f>
        <v>189</v>
      </c>
    </row>
    <row r="235" spans="1:24" x14ac:dyDescent="0.3">
      <c r="A235">
        <v>234</v>
      </c>
      <c r="B235" s="1">
        <v>45525</v>
      </c>
      <c r="C235">
        <v>1091</v>
      </c>
      <c r="D235" t="s">
        <v>147</v>
      </c>
      <c r="E235" t="s">
        <v>24</v>
      </c>
      <c r="F235" t="s">
        <v>28</v>
      </c>
      <c r="G235" t="s">
        <v>34</v>
      </c>
      <c r="H235" t="s">
        <v>37</v>
      </c>
      <c r="I235">
        <v>4283</v>
      </c>
      <c r="J235">
        <v>6</v>
      </c>
      <c r="K235">
        <v>0.15</v>
      </c>
      <c r="L235">
        <v>436</v>
      </c>
      <c r="M235" t="s">
        <v>31</v>
      </c>
      <c r="N235">
        <v>21843.3</v>
      </c>
      <c r="O235" t="str">
        <f>TEXT(SalesData[[#This Row],[Order_Date]],"mmm")</f>
        <v>Aug</v>
      </c>
      <c r="P235">
        <f>YEAR(SalesData[[#This Row],[Order_Date]])</f>
        <v>2024</v>
      </c>
      <c r="Q235" t="str">
        <f>"Q"&amp;ROUNDUP(MONTH(SalesData[[#This Row],[Order_Date]])/3,0)</f>
        <v>Q3</v>
      </c>
      <c r="R235" s="2">
        <f>IFERROR(SalesData[[#This Row],[Profit]]/SalesData[[#This Row],[Sales]],0)</f>
        <v>1.9960353975818673E-2</v>
      </c>
      <c r="S235" s="2">
        <f>SalesData[[#This Row],[Price]]*SalesData[[#This Row],[Quantity]]*SalesData[[#This Row],[Discount]]</f>
        <v>3854.7</v>
      </c>
      <c r="T235" s="2" t="str">
        <f>IF(SalesData[[#This Row],[Sales]]&gt;5000,"High",IF(SalesData[[#This Row],[Sales]]&gt;2000,"Medium","Low"))</f>
        <v>High</v>
      </c>
      <c r="U235" s="2" t="str">
        <f>IF(COUNTIFS(SalesData[Customer_ID],SalesData[[#This Row],[Customer_ID]])&gt;1,"Repeat","New")</f>
        <v>Repeat</v>
      </c>
      <c r="V235" s="2" t="str">
        <f>IF(SalesData[[#This Row],[Sales]]&gt;AVERAGE(SalesData[Sales]),"Above Avg","Below Avg")</f>
        <v>Above Avg</v>
      </c>
      <c r="W235" s="2" t="str">
        <f>IF(SalesData[[#This Row],[Profit]]&gt;0,"Profit","Loss")</f>
        <v>Profit</v>
      </c>
      <c r="X235" s="2">
        <f>RANK(SalesData[[#This Row],[Sales]],SalesData[Sales])</f>
        <v>68</v>
      </c>
    </row>
    <row r="236" spans="1:24" x14ac:dyDescent="0.3">
      <c r="A236">
        <v>235</v>
      </c>
      <c r="B236" s="1">
        <v>45526</v>
      </c>
      <c r="C236">
        <v>1055</v>
      </c>
      <c r="D236" t="s">
        <v>174</v>
      </c>
      <c r="E236" t="s">
        <v>24</v>
      </c>
      <c r="F236" t="s">
        <v>33</v>
      </c>
      <c r="G236" t="s">
        <v>22</v>
      </c>
      <c r="H236" t="s">
        <v>37</v>
      </c>
      <c r="I236">
        <v>4730</v>
      </c>
      <c r="J236">
        <v>8</v>
      </c>
      <c r="K236">
        <v>0.28000000000000003</v>
      </c>
      <c r="L236">
        <v>1356</v>
      </c>
      <c r="M236" t="s">
        <v>26</v>
      </c>
      <c r="N236">
        <v>27244.799999999999</v>
      </c>
      <c r="O236" t="str">
        <f>TEXT(SalesData[[#This Row],[Order_Date]],"mmm")</f>
        <v>Aug</v>
      </c>
      <c r="P236">
        <f>YEAR(SalesData[[#This Row],[Order_Date]])</f>
        <v>2024</v>
      </c>
      <c r="Q236" t="str">
        <f>"Q"&amp;ROUNDUP(MONTH(SalesData[[#This Row],[Order_Date]])/3,0)</f>
        <v>Q3</v>
      </c>
      <c r="R236" s="2">
        <f>IFERROR(SalesData[[#This Row],[Profit]]/SalesData[[#This Row],[Sales]],0)</f>
        <v>4.9770965468639891E-2</v>
      </c>
      <c r="S236" s="2">
        <f>SalesData[[#This Row],[Price]]*SalesData[[#This Row],[Quantity]]*SalesData[[#This Row],[Discount]]</f>
        <v>10595.2</v>
      </c>
      <c r="T236" s="2" t="str">
        <f>IF(SalesData[[#This Row],[Sales]]&gt;5000,"High",IF(SalesData[[#This Row],[Sales]]&gt;2000,"Medium","Low"))</f>
        <v>High</v>
      </c>
      <c r="U236" s="2" t="str">
        <f>IF(COUNTIFS(SalesData[Customer_ID],SalesData[[#This Row],[Customer_ID]])&gt;1,"Repeat","New")</f>
        <v>Repeat</v>
      </c>
      <c r="V236" s="2" t="str">
        <f>IF(SalesData[[#This Row],[Sales]]&gt;AVERAGE(SalesData[Sales]),"Above Avg","Below Avg")</f>
        <v>Above Avg</v>
      </c>
      <c r="W236" s="2" t="str">
        <f>IF(SalesData[[#This Row],[Profit]]&gt;0,"Profit","Loss")</f>
        <v>Profit</v>
      </c>
      <c r="X236" s="2">
        <f>RANK(SalesData[[#This Row],[Sales]],SalesData[Sales])</f>
        <v>34</v>
      </c>
    </row>
    <row r="237" spans="1:24" x14ac:dyDescent="0.3">
      <c r="A237">
        <v>236</v>
      </c>
      <c r="B237" s="1">
        <v>45527</v>
      </c>
      <c r="C237">
        <v>1034</v>
      </c>
      <c r="D237" t="s">
        <v>163</v>
      </c>
      <c r="E237" t="s">
        <v>15</v>
      </c>
      <c r="F237" t="s">
        <v>28</v>
      </c>
      <c r="G237" t="s">
        <v>34</v>
      </c>
      <c r="H237" t="s">
        <v>37</v>
      </c>
      <c r="I237">
        <v>4044</v>
      </c>
      <c r="J237">
        <v>8</v>
      </c>
      <c r="K237">
        <v>0.13</v>
      </c>
      <c r="L237">
        <v>-288</v>
      </c>
      <c r="M237" t="s">
        <v>19</v>
      </c>
      <c r="N237">
        <v>28146.240000000002</v>
      </c>
      <c r="O237" t="str">
        <f>TEXT(SalesData[[#This Row],[Order_Date]],"mmm")</f>
        <v>Aug</v>
      </c>
      <c r="P237">
        <f>YEAR(SalesData[[#This Row],[Order_Date]])</f>
        <v>2024</v>
      </c>
      <c r="Q237" t="str">
        <f>"Q"&amp;ROUNDUP(MONTH(SalesData[[#This Row],[Order_Date]])/3,0)</f>
        <v>Q3</v>
      </c>
      <c r="R237" s="2">
        <f>IFERROR(SalesData[[#This Row],[Profit]]/SalesData[[#This Row],[Sales]],0)</f>
        <v>-1.0232272587741736E-2</v>
      </c>
      <c r="S237" s="2">
        <f>SalesData[[#This Row],[Price]]*SalesData[[#This Row],[Quantity]]*SalesData[[#This Row],[Discount]]</f>
        <v>4205.76</v>
      </c>
      <c r="T237" s="2" t="str">
        <f>IF(SalesData[[#This Row],[Sales]]&gt;5000,"High",IF(SalesData[[#This Row],[Sales]]&gt;2000,"Medium","Low"))</f>
        <v>High</v>
      </c>
      <c r="U237" s="2" t="str">
        <f>IF(COUNTIFS(SalesData[Customer_ID],SalesData[[#This Row],[Customer_ID]])&gt;1,"Repeat","New")</f>
        <v>Repeat</v>
      </c>
      <c r="V237" s="2" t="str">
        <f>IF(SalesData[[#This Row],[Sales]]&gt;AVERAGE(SalesData[Sales]),"Above Avg","Below Avg")</f>
        <v>Above Avg</v>
      </c>
      <c r="W237" s="2" t="str">
        <f>IF(SalesData[[#This Row],[Profit]]&gt;0,"Profit","Loss")</f>
        <v>Loss</v>
      </c>
      <c r="X237" s="2">
        <f>RANK(SalesData[[#This Row],[Sales]],SalesData[Sales])</f>
        <v>29</v>
      </c>
    </row>
    <row r="238" spans="1:24" x14ac:dyDescent="0.3">
      <c r="A238">
        <v>237</v>
      </c>
      <c r="B238" s="1">
        <v>45528</v>
      </c>
      <c r="C238">
        <v>1037</v>
      </c>
      <c r="D238" t="s">
        <v>175</v>
      </c>
      <c r="E238" t="s">
        <v>24</v>
      </c>
      <c r="F238" t="s">
        <v>33</v>
      </c>
      <c r="G238" t="s">
        <v>17</v>
      </c>
      <c r="H238" t="s">
        <v>25</v>
      </c>
      <c r="I238">
        <v>1901</v>
      </c>
      <c r="J238">
        <v>8</v>
      </c>
      <c r="K238">
        <v>0.26</v>
      </c>
      <c r="L238">
        <v>1933</v>
      </c>
      <c r="M238" t="s">
        <v>19</v>
      </c>
      <c r="N238">
        <v>11253.92</v>
      </c>
      <c r="O238" t="str">
        <f>TEXT(SalesData[[#This Row],[Order_Date]],"mmm")</f>
        <v>Aug</v>
      </c>
      <c r="P238">
        <f>YEAR(SalesData[[#This Row],[Order_Date]])</f>
        <v>2024</v>
      </c>
      <c r="Q238" t="str">
        <f>"Q"&amp;ROUNDUP(MONTH(SalesData[[#This Row],[Order_Date]])/3,0)</f>
        <v>Q3</v>
      </c>
      <c r="R238" s="2">
        <f>IFERROR(SalesData[[#This Row],[Profit]]/SalesData[[#This Row],[Sales]],0)</f>
        <v>0.17176237257773291</v>
      </c>
      <c r="S238" s="2">
        <f>SalesData[[#This Row],[Price]]*SalesData[[#This Row],[Quantity]]*SalesData[[#This Row],[Discount]]</f>
        <v>3954.08</v>
      </c>
      <c r="T238" s="2" t="str">
        <f>IF(SalesData[[#This Row],[Sales]]&gt;5000,"High",IF(SalesData[[#This Row],[Sales]]&gt;2000,"Medium","Low"))</f>
        <v>High</v>
      </c>
      <c r="U238" s="2" t="str">
        <f>IF(COUNTIFS(SalesData[Customer_ID],SalesData[[#This Row],[Customer_ID]])&gt;1,"Repeat","New")</f>
        <v>Repeat</v>
      </c>
      <c r="V238" s="2" t="str">
        <f>IF(SalesData[[#This Row],[Sales]]&gt;AVERAGE(SalesData[Sales]),"Above Avg","Below Avg")</f>
        <v>Above Avg</v>
      </c>
      <c r="W238" s="2" t="str">
        <f>IF(SalesData[[#This Row],[Profit]]&gt;0,"Profit","Loss")</f>
        <v>Profit</v>
      </c>
      <c r="X238" s="2">
        <f>RANK(SalesData[[#This Row],[Sales]],SalesData[Sales])</f>
        <v>186</v>
      </c>
    </row>
    <row r="239" spans="1:24" x14ac:dyDescent="0.3">
      <c r="A239">
        <v>238</v>
      </c>
      <c r="B239" s="1">
        <v>45529</v>
      </c>
      <c r="C239">
        <v>1049</v>
      </c>
      <c r="D239" t="s">
        <v>79</v>
      </c>
      <c r="E239" t="s">
        <v>15</v>
      </c>
      <c r="F239" t="s">
        <v>16</v>
      </c>
      <c r="G239" t="s">
        <v>17</v>
      </c>
      <c r="H239" t="s">
        <v>18</v>
      </c>
      <c r="I239">
        <v>4270</v>
      </c>
      <c r="J239">
        <v>6</v>
      </c>
      <c r="K239">
        <v>0.05</v>
      </c>
      <c r="L239">
        <v>1845</v>
      </c>
      <c r="M239" t="s">
        <v>26</v>
      </c>
      <c r="N239">
        <v>24339</v>
      </c>
      <c r="O239" t="str">
        <f>TEXT(SalesData[[#This Row],[Order_Date]],"mmm")</f>
        <v>Aug</v>
      </c>
      <c r="P239">
        <f>YEAR(SalesData[[#This Row],[Order_Date]])</f>
        <v>2024</v>
      </c>
      <c r="Q239" t="str">
        <f>"Q"&amp;ROUNDUP(MONTH(SalesData[[#This Row],[Order_Date]])/3,0)</f>
        <v>Q3</v>
      </c>
      <c r="R239" s="2">
        <f>IFERROR(SalesData[[#This Row],[Profit]]/SalesData[[#This Row],[Sales]],0)</f>
        <v>7.5804264760261308E-2</v>
      </c>
      <c r="S239" s="2">
        <f>SalesData[[#This Row],[Price]]*SalesData[[#This Row],[Quantity]]*SalesData[[#This Row],[Discount]]</f>
        <v>1281</v>
      </c>
      <c r="T239" s="2" t="str">
        <f>IF(SalesData[[#This Row],[Sales]]&gt;5000,"High",IF(SalesData[[#This Row],[Sales]]&gt;2000,"Medium","Low"))</f>
        <v>High</v>
      </c>
      <c r="U239" s="2" t="str">
        <f>IF(COUNTIFS(SalesData[Customer_ID],SalesData[[#This Row],[Customer_ID]])&gt;1,"Repeat","New")</f>
        <v>Repeat</v>
      </c>
      <c r="V239" s="2" t="str">
        <f>IF(SalesData[[#This Row],[Sales]]&gt;AVERAGE(SalesData[Sales]),"Above Avg","Below Avg")</f>
        <v>Above Avg</v>
      </c>
      <c r="W239" s="2" t="str">
        <f>IF(SalesData[[#This Row],[Profit]]&gt;0,"Profit","Loss")</f>
        <v>Profit</v>
      </c>
      <c r="X239" s="2">
        <f>RANK(SalesData[[#This Row],[Sales]],SalesData[Sales])</f>
        <v>48</v>
      </c>
    </row>
    <row r="240" spans="1:24" x14ac:dyDescent="0.3">
      <c r="A240">
        <v>239</v>
      </c>
      <c r="B240" s="1">
        <v>45530</v>
      </c>
      <c r="C240">
        <v>1087</v>
      </c>
      <c r="D240" t="s">
        <v>93</v>
      </c>
      <c r="E240" t="s">
        <v>24</v>
      </c>
      <c r="F240" t="s">
        <v>33</v>
      </c>
      <c r="G240" t="s">
        <v>34</v>
      </c>
      <c r="H240" t="s">
        <v>29</v>
      </c>
      <c r="I240">
        <v>3460</v>
      </c>
      <c r="J240">
        <v>2</v>
      </c>
      <c r="K240">
        <v>0.16</v>
      </c>
      <c r="L240">
        <v>898</v>
      </c>
      <c r="M240" t="s">
        <v>19</v>
      </c>
      <c r="N240">
        <v>5812.8</v>
      </c>
      <c r="O240" t="str">
        <f>TEXT(SalesData[[#This Row],[Order_Date]],"mmm")</f>
        <v>Aug</v>
      </c>
      <c r="P240">
        <f>YEAR(SalesData[[#This Row],[Order_Date]])</f>
        <v>2024</v>
      </c>
      <c r="Q240" t="str">
        <f>"Q"&amp;ROUNDUP(MONTH(SalesData[[#This Row],[Order_Date]])/3,0)</f>
        <v>Q3</v>
      </c>
      <c r="R240" s="2">
        <f>IFERROR(SalesData[[#This Row],[Profit]]/SalesData[[#This Row],[Sales]],0)</f>
        <v>0.15448665015139004</v>
      </c>
      <c r="S240" s="2">
        <f>SalesData[[#This Row],[Price]]*SalesData[[#This Row],[Quantity]]*SalesData[[#This Row],[Discount]]</f>
        <v>1107.2</v>
      </c>
      <c r="T240" s="2" t="str">
        <f>IF(SalesData[[#This Row],[Sales]]&gt;5000,"High",IF(SalesData[[#This Row],[Sales]]&gt;2000,"Medium","Low"))</f>
        <v>High</v>
      </c>
      <c r="U240" s="2" t="str">
        <f>IF(COUNTIFS(SalesData[Customer_ID],SalesData[[#This Row],[Customer_ID]])&gt;1,"Repeat","New")</f>
        <v>Repeat</v>
      </c>
      <c r="V240" s="2" t="str">
        <f>IF(SalesData[[#This Row],[Sales]]&gt;AVERAGE(SalesData[Sales]),"Above Avg","Below Avg")</f>
        <v>Below Avg</v>
      </c>
      <c r="W240" s="2" t="str">
        <f>IF(SalesData[[#This Row],[Profit]]&gt;0,"Profit","Loss")</f>
        <v>Profit</v>
      </c>
      <c r="X240" s="2">
        <f>RANK(SalesData[[#This Row],[Sales]],SalesData[Sales])</f>
        <v>300</v>
      </c>
    </row>
    <row r="241" spans="1:24" x14ac:dyDescent="0.3">
      <c r="A241">
        <v>240</v>
      </c>
      <c r="B241" s="1">
        <v>45531</v>
      </c>
      <c r="C241">
        <v>1085</v>
      </c>
      <c r="D241" t="s">
        <v>176</v>
      </c>
      <c r="E241" t="s">
        <v>15</v>
      </c>
      <c r="F241" t="s">
        <v>21</v>
      </c>
      <c r="G241" t="s">
        <v>34</v>
      </c>
      <c r="H241" t="s">
        <v>37</v>
      </c>
      <c r="I241">
        <v>4062</v>
      </c>
      <c r="J241">
        <v>1</v>
      </c>
      <c r="K241">
        <v>0.18</v>
      </c>
      <c r="L241">
        <v>630</v>
      </c>
      <c r="M241" t="s">
        <v>26</v>
      </c>
      <c r="N241">
        <v>3330.84</v>
      </c>
      <c r="O241" t="str">
        <f>TEXT(SalesData[[#This Row],[Order_Date]],"mmm")</f>
        <v>Aug</v>
      </c>
      <c r="P241">
        <f>YEAR(SalesData[[#This Row],[Order_Date]])</f>
        <v>2024</v>
      </c>
      <c r="Q241" t="str">
        <f>"Q"&amp;ROUNDUP(MONTH(SalesData[[#This Row],[Order_Date]])/3,0)</f>
        <v>Q3</v>
      </c>
      <c r="R241" s="2">
        <f>IFERROR(SalesData[[#This Row],[Profit]]/SalesData[[#This Row],[Sales]],0)</f>
        <v>0.18914147782541341</v>
      </c>
      <c r="S241" s="2">
        <f>SalesData[[#This Row],[Price]]*SalesData[[#This Row],[Quantity]]*SalesData[[#This Row],[Discount]]</f>
        <v>731.16</v>
      </c>
      <c r="T241" s="2" t="str">
        <f>IF(SalesData[[#This Row],[Sales]]&gt;5000,"High",IF(SalesData[[#This Row],[Sales]]&gt;2000,"Medium","Low"))</f>
        <v>Medium</v>
      </c>
      <c r="U241" s="2" t="str">
        <f>IF(COUNTIFS(SalesData[Customer_ID],SalesData[[#This Row],[Customer_ID]])&gt;1,"Repeat","New")</f>
        <v>Repeat</v>
      </c>
      <c r="V241" s="2" t="str">
        <f>IF(SalesData[[#This Row],[Sales]]&gt;AVERAGE(SalesData[Sales]),"Above Avg","Below Avg")</f>
        <v>Below Avg</v>
      </c>
      <c r="W241" s="2" t="str">
        <f>IF(SalesData[[#This Row],[Profit]]&gt;0,"Profit","Loss")</f>
        <v>Profit</v>
      </c>
      <c r="X241" s="2">
        <f>RANK(SalesData[[#This Row],[Sales]],SalesData[Sales])</f>
        <v>385</v>
      </c>
    </row>
    <row r="242" spans="1:24" x14ac:dyDescent="0.3">
      <c r="A242">
        <v>241</v>
      </c>
      <c r="B242" s="1">
        <v>45532</v>
      </c>
      <c r="C242">
        <v>1025</v>
      </c>
      <c r="D242" t="s">
        <v>70</v>
      </c>
      <c r="E242" t="s">
        <v>24</v>
      </c>
      <c r="F242" t="s">
        <v>16</v>
      </c>
      <c r="G242" t="s">
        <v>34</v>
      </c>
      <c r="H242" t="s">
        <v>37</v>
      </c>
      <c r="I242">
        <v>3312</v>
      </c>
      <c r="J242">
        <v>6</v>
      </c>
      <c r="K242">
        <v>0.18</v>
      </c>
      <c r="L242">
        <v>1603</v>
      </c>
      <c r="M242" t="s">
        <v>19</v>
      </c>
      <c r="N242">
        <v>16295.04</v>
      </c>
      <c r="O242" t="str">
        <f>TEXT(SalesData[[#This Row],[Order_Date]],"mmm")</f>
        <v>Aug</v>
      </c>
      <c r="P242">
        <f>YEAR(SalesData[[#This Row],[Order_Date]])</f>
        <v>2024</v>
      </c>
      <c r="Q242" t="str">
        <f>"Q"&amp;ROUNDUP(MONTH(SalesData[[#This Row],[Order_Date]])/3,0)</f>
        <v>Q3</v>
      </c>
      <c r="R242" s="2">
        <f>IFERROR(SalesData[[#This Row],[Profit]]/SalesData[[#This Row],[Sales]],0)</f>
        <v>9.8373492792898934E-2</v>
      </c>
      <c r="S242" s="2">
        <f>SalesData[[#This Row],[Price]]*SalesData[[#This Row],[Quantity]]*SalesData[[#This Row],[Discount]]</f>
        <v>3576.96</v>
      </c>
      <c r="T242" s="2" t="str">
        <f>IF(SalesData[[#This Row],[Sales]]&gt;5000,"High",IF(SalesData[[#This Row],[Sales]]&gt;2000,"Medium","Low"))</f>
        <v>High</v>
      </c>
      <c r="U242" s="2" t="str">
        <f>IF(COUNTIFS(SalesData[Customer_ID],SalesData[[#This Row],[Customer_ID]])&gt;1,"Repeat","New")</f>
        <v>Repeat</v>
      </c>
      <c r="V242" s="2" t="str">
        <f>IF(SalesData[[#This Row],[Sales]]&gt;AVERAGE(SalesData[Sales]),"Above Avg","Below Avg")</f>
        <v>Above Avg</v>
      </c>
      <c r="W242" s="2" t="str">
        <f>IF(SalesData[[#This Row],[Profit]]&gt;0,"Profit","Loss")</f>
        <v>Profit</v>
      </c>
      <c r="X242" s="2">
        <f>RANK(SalesData[[#This Row],[Sales]],SalesData[Sales])</f>
        <v>119</v>
      </c>
    </row>
    <row r="243" spans="1:24" x14ac:dyDescent="0.3">
      <c r="A243">
        <v>242</v>
      </c>
      <c r="B243" s="1">
        <v>45533</v>
      </c>
      <c r="C243">
        <v>1017</v>
      </c>
      <c r="D243" t="s">
        <v>52</v>
      </c>
      <c r="E243" t="s">
        <v>24</v>
      </c>
      <c r="F243" t="s">
        <v>16</v>
      </c>
      <c r="G243" t="s">
        <v>17</v>
      </c>
      <c r="H243" t="s">
        <v>29</v>
      </c>
      <c r="I243">
        <v>2687</v>
      </c>
      <c r="J243">
        <v>2</v>
      </c>
      <c r="K243">
        <v>0.15</v>
      </c>
      <c r="L243">
        <v>564</v>
      </c>
      <c r="M243" t="s">
        <v>19</v>
      </c>
      <c r="N243">
        <v>4567.8999999999996</v>
      </c>
      <c r="O243" t="str">
        <f>TEXT(SalesData[[#This Row],[Order_Date]],"mmm")</f>
        <v>Aug</v>
      </c>
      <c r="P243">
        <f>YEAR(SalesData[[#This Row],[Order_Date]])</f>
        <v>2024</v>
      </c>
      <c r="Q243" t="str">
        <f>"Q"&amp;ROUNDUP(MONTH(SalesData[[#This Row],[Order_Date]])/3,0)</f>
        <v>Q3</v>
      </c>
      <c r="R243" s="2">
        <f>IFERROR(SalesData[[#This Row],[Profit]]/SalesData[[#This Row],[Sales]],0)</f>
        <v>0.12347030364062261</v>
      </c>
      <c r="S243" s="2">
        <f>SalesData[[#This Row],[Price]]*SalesData[[#This Row],[Quantity]]*SalesData[[#This Row],[Discount]]</f>
        <v>806.1</v>
      </c>
      <c r="T243" s="2" t="str">
        <f>IF(SalesData[[#This Row],[Sales]]&gt;5000,"High",IF(SalesData[[#This Row],[Sales]]&gt;2000,"Medium","Low"))</f>
        <v>Medium</v>
      </c>
      <c r="U243" s="2" t="str">
        <f>IF(COUNTIFS(SalesData[Customer_ID],SalesData[[#This Row],[Customer_ID]])&gt;1,"Repeat","New")</f>
        <v>Repeat</v>
      </c>
      <c r="V243" s="2" t="str">
        <f>IF(SalesData[[#This Row],[Sales]]&gt;AVERAGE(SalesData[Sales]),"Above Avg","Below Avg")</f>
        <v>Below Avg</v>
      </c>
      <c r="W243" s="2" t="str">
        <f>IF(SalesData[[#This Row],[Profit]]&gt;0,"Profit","Loss")</f>
        <v>Profit</v>
      </c>
      <c r="X243" s="2">
        <f>RANK(SalesData[[#This Row],[Sales]],SalesData[Sales])</f>
        <v>336</v>
      </c>
    </row>
    <row r="244" spans="1:24" x14ac:dyDescent="0.3">
      <c r="A244">
        <v>243</v>
      </c>
      <c r="B244" s="1">
        <v>45534</v>
      </c>
      <c r="C244">
        <v>1058</v>
      </c>
      <c r="D244" t="s">
        <v>133</v>
      </c>
      <c r="E244" t="s">
        <v>24</v>
      </c>
      <c r="F244" t="s">
        <v>33</v>
      </c>
      <c r="G244" t="s">
        <v>34</v>
      </c>
      <c r="H244" t="s">
        <v>29</v>
      </c>
      <c r="I244">
        <v>4904</v>
      </c>
      <c r="J244">
        <v>7</v>
      </c>
      <c r="K244">
        <v>0.23</v>
      </c>
      <c r="L244">
        <v>984</v>
      </c>
      <c r="M244" t="s">
        <v>26</v>
      </c>
      <c r="N244">
        <v>26432.560000000001</v>
      </c>
      <c r="O244" t="str">
        <f>TEXT(SalesData[[#This Row],[Order_Date]],"mmm")</f>
        <v>Aug</v>
      </c>
      <c r="P244">
        <f>YEAR(SalesData[[#This Row],[Order_Date]])</f>
        <v>2024</v>
      </c>
      <c r="Q244" t="str">
        <f>"Q"&amp;ROUNDUP(MONTH(SalesData[[#This Row],[Order_Date]])/3,0)</f>
        <v>Q3</v>
      </c>
      <c r="R244" s="2">
        <f>IFERROR(SalesData[[#This Row],[Profit]]/SalesData[[#This Row],[Sales]],0)</f>
        <v>3.7226814201878289E-2</v>
      </c>
      <c r="S244" s="2">
        <f>SalesData[[#This Row],[Price]]*SalesData[[#This Row],[Quantity]]*SalesData[[#This Row],[Discount]]</f>
        <v>7895.4400000000005</v>
      </c>
      <c r="T244" s="2" t="str">
        <f>IF(SalesData[[#This Row],[Sales]]&gt;5000,"High",IF(SalesData[[#This Row],[Sales]]&gt;2000,"Medium","Low"))</f>
        <v>High</v>
      </c>
      <c r="U244" s="2" t="str">
        <f>IF(COUNTIFS(SalesData[Customer_ID],SalesData[[#This Row],[Customer_ID]])&gt;1,"Repeat","New")</f>
        <v>Repeat</v>
      </c>
      <c r="V244" s="2" t="str">
        <f>IF(SalesData[[#This Row],[Sales]]&gt;AVERAGE(SalesData[Sales]),"Above Avg","Below Avg")</f>
        <v>Above Avg</v>
      </c>
      <c r="W244" s="2" t="str">
        <f>IF(SalesData[[#This Row],[Profit]]&gt;0,"Profit","Loss")</f>
        <v>Profit</v>
      </c>
      <c r="X244" s="2">
        <f>RANK(SalesData[[#This Row],[Sales]],SalesData[Sales])</f>
        <v>38</v>
      </c>
    </row>
    <row r="245" spans="1:24" x14ac:dyDescent="0.3">
      <c r="A245">
        <v>244</v>
      </c>
      <c r="B245" s="1">
        <v>45535</v>
      </c>
      <c r="C245">
        <v>1066</v>
      </c>
      <c r="D245" t="s">
        <v>106</v>
      </c>
      <c r="E245" t="s">
        <v>15</v>
      </c>
      <c r="F245" t="s">
        <v>33</v>
      </c>
      <c r="G245" t="s">
        <v>17</v>
      </c>
      <c r="H245" t="s">
        <v>25</v>
      </c>
      <c r="I245">
        <v>1799</v>
      </c>
      <c r="J245">
        <v>2</v>
      </c>
      <c r="K245">
        <v>0.05</v>
      </c>
      <c r="L245">
        <v>241</v>
      </c>
      <c r="M245" t="s">
        <v>26</v>
      </c>
      <c r="N245">
        <v>3418.1</v>
      </c>
      <c r="O245" t="str">
        <f>TEXT(SalesData[[#This Row],[Order_Date]],"mmm")</f>
        <v>Aug</v>
      </c>
      <c r="P245">
        <f>YEAR(SalesData[[#This Row],[Order_Date]])</f>
        <v>2024</v>
      </c>
      <c r="Q245" t="str">
        <f>"Q"&amp;ROUNDUP(MONTH(SalesData[[#This Row],[Order_Date]])/3,0)</f>
        <v>Q3</v>
      </c>
      <c r="R245" s="2">
        <f>IFERROR(SalesData[[#This Row],[Profit]]/SalesData[[#This Row],[Sales]],0)</f>
        <v>7.0507006816652534E-2</v>
      </c>
      <c r="S245" s="2">
        <f>SalesData[[#This Row],[Price]]*SalesData[[#This Row],[Quantity]]*SalesData[[#This Row],[Discount]]</f>
        <v>179.9</v>
      </c>
      <c r="T245" s="2" t="str">
        <f>IF(SalesData[[#This Row],[Sales]]&gt;5000,"High",IF(SalesData[[#This Row],[Sales]]&gt;2000,"Medium","Low"))</f>
        <v>Medium</v>
      </c>
      <c r="U245" s="2" t="str">
        <f>IF(COUNTIFS(SalesData[Customer_ID],SalesData[[#This Row],[Customer_ID]])&gt;1,"Repeat","New")</f>
        <v>Repeat</v>
      </c>
      <c r="V245" s="2" t="str">
        <f>IF(SalesData[[#This Row],[Sales]]&gt;AVERAGE(SalesData[Sales]),"Above Avg","Below Avg")</f>
        <v>Below Avg</v>
      </c>
      <c r="W245" s="2" t="str">
        <f>IF(SalesData[[#This Row],[Profit]]&gt;0,"Profit","Loss")</f>
        <v>Profit</v>
      </c>
      <c r="X245" s="2">
        <f>RANK(SalesData[[#This Row],[Sales]],SalesData[Sales])</f>
        <v>380</v>
      </c>
    </row>
    <row r="246" spans="1:24" x14ac:dyDescent="0.3">
      <c r="A246">
        <v>245</v>
      </c>
      <c r="B246" s="1">
        <v>45536</v>
      </c>
      <c r="C246">
        <v>1045</v>
      </c>
      <c r="D246" t="s">
        <v>177</v>
      </c>
      <c r="E246" t="s">
        <v>15</v>
      </c>
      <c r="F246" t="s">
        <v>28</v>
      </c>
      <c r="G246" t="s">
        <v>22</v>
      </c>
      <c r="H246" t="s">
        <v>18</v>
      </c>
      <c r="I246">
        <v>247</v>
      </c>
      <c r="J246">
        <v>7</v>
      </c>
      <c r="K246">
        <v>0.02</v>
      </c>
      <c r="L246">
        <v>452</v>
      </c>
      <c r="M246" t="s">
        <v>19</v>
      </c>
      <c r="N246">
        <v>1694.42</v>
      </c>
      <c r="O246" t="str">
        <f>TEXT(SalesData[[#This Row],[Order_Date]],"mmm")</f>
        <v>Sep</v>
      </c>
      <c r="P246">
        <f>YEAR(SalesData[[#This Row],[Order_Date]])</f>
        <v>2024</v>
      </c>
      <c r="Q246" t="str">
        <f>"Q"&amp;ROUNDUP(MONTH(SalesData[[#This Row],[Order_Date]])/3,0)</f>
        <v>Q3</v>
      </c>
      <c r="R246" s="2">
        <f>IFERROR(SalesData[[#This Row],[Profit]]/SalesData[[#This Row],[Sales]],0)</f>
        <v>0.26675794667201758</v>
      </c>
      <c r="S246" s="2">
        <f>SalesData[[#This Row],[Price]]*SalesData[[#This Row],[Quantity]]*SalesData[[#This Row],[Discount]]</f>
        <v>34.58</v>
      </c>
      <c r="T246" s="2" t="str">
        <f>IF(SalesData[[#This Row],[Sales]]&gt;5000,"High",IF(SalesData[[#This Row],[Sales]]&gt;2000,"Medium","Low"))</f>
        <v>Low</v>
      </c>
      <c r="U246" s="2" t="str">
        <f>IF(COUNTIFS(SalesData[Customer_ID],SalesData[[#This Row],[Customer_ID]])&gt;1,"Repeat","New")</f>
        <v>Repeat</v>
      </c>
      <c r="V246" s="2" t="str">
        <f>IF(SalesData[[#This Row],[Sales]]&gt;AVERAGE(SalesData[Sales]),"Above Avg","Below Avg")</f>
        <v>Below Avg</v>
      </c>
      <c r="W246" s="2" t="str">
        <f>IF(SalesData[[#This Row],[Profit]]&gt;0,"Profit","Loss")</f>
        <v>Profit</v>
      </c>
      <c r="X246" s="2">
        <f>RANK(SalesData[[#This Row],[Sales]],SalesData[Sales])</f>
        <v>447</v>
      </c>
    </row>
    <row r="247" spans="1:24" x14ac:dyDescent="0.3">
      <c r="A247">
        <v>246</v>
      </c>
      <c r="B247" s="1">
        <v>45537</v>
      </c>
      <c r="C247">
        <v>1010</v>
      </c>
      <c r="D247" t="s">
        <v>80</v>
      </c>
      <c r="E247" t="s">
        <v>24</v>
      </c>
      <c r="F247" t="s">
        <v>21</v>
      </c>
      <c r="G247" t="s">
        <v>34</v>
      </c>
      <c r="H247" t="s">
        <v>37</v>
      </c>
      <c r="I247">
        <v>3111</v>
      </c>
      <c r="J247">
        <v>1</v>
      </c>
      <c r="K247">
        <v>0.04</v>
      </c>
      <c r="L247">
        <v>120</v>
      </c>
      <c r="M247" t="s">
        <v>26</v>
      </c>
      <c r="N247">
        <v>2986.56</v>
      </c>
      <c r="O247" t="str">
        <f>TEXT(SalesData[[#This Row],[Order_Date]],"mmm")</f>
        <v>Sep</v>
      </c>
      <c r="P247">
        <f>YEAR(SalesData[[#This Row],[Order_Date]])</f>
        <v>2024</v>
      </c>
      <c r="Q247" t="str">
        <f>"Q"&amp;ROUNDUP(MONTH(SalesData[[#This Row],[Order_Date]])/3,0)</f>
        <v>Q3</v>
      </c>
      <c r="R247" s="2">
        <f>IFERROR(SalesData[[#This Row],[Profit]]/SalesData[[#This Row],[Sales]],0)</f>
        <v>4.0180006428801027E-2</v>
      </c>
      <c r="S247" s="2">
        <f>SalesData[[#This Row],[Price]]*SalesData[[#This Row],[Quantity]]*SalesData[[#This Row],[Discount]]</f>
        <v>124.44</v>
      </c>
      <c r="T247" s="2" t="str">
        <f>IF(SalesData[[#This Row],[Sales]]&gt;5000,"High",IF(SalesData[[#This Row],[Sales]]&gt;2000,"Medium","Low"))</f>
        <v>Medium</v>
      </c>
      <c r="U247" s="2" t="str">
        <f>IF(COUNTIFS(SalesData[Customer_ID],SalesData[[#This Row],[Customer_ID]])&gt;1,"Repeat","New")</f>
        <v>Repeat</v>
      </c>
      <c r="V247" s="2" t="str">
        <f>IF(SalesData[[#This Row],[Sales]]&gt;AVERAGE(SalesData[Sales]),"Above Avg","Below Avg")</f>
        <v>Below Avg</v>
      </c>
      <c r="W247" s="2" t="str">
        <f>IF(SalesData[[#This Row],[Profit]]&gt;0,"Profit","Loss")</f>
        <v>Profit</v>
      </c>
      <c r="X247" s="2">
        <f>RANK(SalesData[[#This Row],[Sales]],SalesData[Sales])</f>
        <v>394</v>
      </c>
    </row>
    <row r="248" spans="1:24" x14ac:dyDescent="0.3">
      <c r="A248">
        <v>247</v>
      </c>
      <c r="B248" s="1">
        <v>45538</v>
      </c>
      <c r="C248">
        <v>1008</v>
      </c>
      <c r="D248" t="s">
        <v>38</v>
      </c>
      <c r="E248" t="s">
        <v>24</v>
      </c>
      <c r="F248" t="s">
        <v>33</v>
      </c>
      <c r="G248" t="s">
        <v>17</v>
      </c>
      <c r="H248" t="s">
        <v>29</v>
      </c>
      <c r="I248">
        <v>1629</v>
      </c>
      <c r="J248">
        <v>6</v>
      </c>
      <c r="K248">
        <v>0.17</v>
      </c>
      <c r="L248">
        <v>1561</v>
      </c>
      <c r="M248" t="s">
        <v>19</v>
      </c>
      <c r="N248">
        <v>8112.4199999999901</v>
      </c>
      <c r="O248" t="str">
        <f>TEXT(SalesData[[#This Row],[Order_Date]],"mmm")</f>
        <v>Sep</v>
      </c>
      <c r="P248">
        <f>YEAR(SalesData[[#This Row],[Order_Date]])</f>
        <v>2024</v>
      </c>
      <c r="Q248" t="str">
        <f>"Q"&amp;ROUNDUP(MONTH(SalesData[[#This Row],[Order_Date]])/3,0)</f>
        <v>Q3</v>
      </c>
      <c r="R248" s="2">
        <f>IFERROR(SalesData[[#This Row],[Profit]]/SalesData[[#This Row],[Sales]],0)</f>
        <v>0.19242100384348959</v>
      </c>
      <c r="S248" s="2">
        <f>SalesData[[#This Row],[Price]]*SalesData[[#This Row],[Quantity]]*SalesData[[#This Row],[Discount]]</f>
        <v>1661.5800000000002</v>
      </c>
      <c r="T248" s="2" t="str">
        <f>IF(SalesData[[#This Row],[Sales]]&gt;5000,"High",IF(SalesData[[#This Row],[Sales]]&gt;2000,"Medium","Low"))</f>
        <v>High</v>
      </c>
      <c r="U248" s="2" t="str">
        <f>IF(COUNTIFS(SalesData[Customer_ID],SalesData[[#This Row],[Customer_ID]])&gt;1,"Repeat","New")</f>
        <v>Repeat</v>
      </c>
      <c r="V248" s="2" t="str">
        <f>IF(SalesData[[#This Row],[Sales]]&gt;AVERAGE(SalesData[Sales]),"Above Avg","Below Avg")</f>
        <v>Below Avg</v>
      </c>
      <c r="W248" s="2" t="str">
        <f>IF(SalesData[[#This Row],[Profit]]&gt;0,"Profit","Loss")</f>
        <v>Profit</v>
      </c>
      <c r="X248" s="2">
        <f>RANK(SalesData[[#This Row],[Sales]],SalesData[Sales])</f>
        <v>247</v>
      </c>
    </row>
    <row r="249" spans="1:24" x14ac:dyDescent="0.3">
      <c r="A249">
        <v>248</v>
      </c>
      <c r="B249" s="1">
        <v>45539</v>
      </c>
      <c r="C249">
        <v>1096</v>
      </c>
      <c r="D249" t="s">
        <v>86</v>
      </c>
      <c r="E249" t="s">
        <v>24</v>
      </c>
      <c r="F249" t="s">
        <v>21</v>
      </c>
      <c r="G249" t="s">
        <v>17</v>
      </c>
      <c r="H249" t="s">
        <v>18</v>
      </c>
      <c r="I249">
        <v>4607</v>
      </c>
      <c r="J249">
        <v>8</v>
      </c>
      <c r="K249">
        <v>7.0000000000000007E-2</v>
      </c>
      <c r="L249">
        <v>746</v>
      </c>
      <c r="M249" t="s">
        <v>19</v>
      </c>
      <c r="N249">
        <v>34276.0799999999</v>
      </c>
      <c r="O249" t="str">
        <f>TEXT(SalesData[[#This Row],[Order_Date]],"mmm")</f>
        <v>Sep</v>
      </c>
      <c r="P249">
        <f>YEAR(SalesData[[#This Row],[Order_Date]])</f>
        <v>2024</v>
      </c>
      <c r="Q249" t="str">
        <f>"Q"&amp;ROUNDUP(MONTH(SalesData[[#This Row],[Order_Date]])/3,0)</f>
        <v>Q3</v>
      </c>
      <c r="R249" s="2">
        <f>IFERROR(SalesData[[#This Row],[Profit]]/SalesData[[#This Row],[Sales]],0)</f>
        <v>2.1764449143542731E-2</v>
      </c>
      <c r="S249" s="2">
        <f>SalesData[[#This Row],[Price]]*SalesData[[#This Row],[Quantity]]*SalesData[[#This Row],[Discount]]</f>
        <v>2579.92</v>
      </c>
      <c r="T249" s="2" t="str">
        <f>IF(SalesData[[#This Row],[Sales]]&gt;5000,"High",IF(SalesData[[#This Row],[Sales]]&gt;2000,"Medium","Low"))</f>
        <v>High</v>
      </c>
      <c r="U249" s="2" t="str">
        <f>IF(COUNTIFS(SalesData[Customer_ID],SalesData[[#This Row],[Customer_ID]])&gt;1,"Repeat","New")</f>
        <v>Repeat</v>
      </c>
      <c r="V249" s="2" t="str">
        <f>IF(SalesData[[#This Row],[Sales]]&gt;AVERAGE(SalesData[Sales]),"Above Avg","Below Avg")</f>
        <v>Above Avg</v>
      </c>
      <c r="W249" s="2" t="str">
        <f>IF(SalesData[[#This Row],[Profit]]&gt;0,"Profit","Loss")</f>
        <v>Profit</v>
      </c>
      <c r="X249" s="2">
        <f>RANK(SalesData[[#This Row],[Sales]],SalesData[Sales])</f>
        <v>13</v>
      </c>
    </row>
    <row r="250" spans="1:24" x14ac:dyDescent="0.3">
      <c r="A250">
        <v>249</v>
      </c>
      <c r="B250" s="1">
        <v>45540</v>
      </c>
      <c r="C250">
        <v>1025</v>
      </c>
      <c r="D250" t="s">
        <v>165</v>
      </c>
      <c r="E250" t="s">
        <v>24</v>
      </c>
      <c r="F250" t="s">
        <v>28</v>
      </c>
      <c r="G250" t="s">
        <v>22</v>
      </c>
      <c r="H250" t="s">
        <v>18</v>
      </c>
      <c r="I250">
        <v>217</v>
      </c>
      <c r="J250">
        <v>4</v>
      </c>
      <c r="K250">
        <v>0.22</v>
      </c>
      <c r="L250">
        <v>-1</v>
      </c>
      <c r="M250" t="s">
        <v>31</v>
      </c>
      <c r="N250">
        <v>677.04</v>
      </c>
      <c r="O250" t="str">
        <f>TEXT(SalesData[[#This Row],[Order_Date]],"mmm")</f>
        <v>Sep</v>
      </c>
      <c r="P250">
        <f>YEAR(SalesData[[#This Row],[Order_Date]])</f>
        <v>2024</v>
      </c>
      <c r="Q250" t="str">
        <f>"Q"&amp;ROUNDUP(MONTH(SalesData[[#This Row],[Order_Date]])/3,0)</f>
        <v>Q3</v>
      </c>
      <c r="R250" s="2">
        <f>IFERROR(SalesData[[#This Row],[Profit]]/SalesData[[#This Row],[Sales]],0)</f>
        <v>-1.4770176060498641E-3</v>
      </c>
      <c r="S250" s="2">
        <f>SalesData[[#This Row],[Price]]*SalesData[[#This Row],[Quantity]]*SalesData[[#This Row],[Discount]]</f>
        <v>190.96</v>
      </c>
      <c r="T250" s="2" t="str">
        <f>IF(SalesData[[#This Row],[Sales]]&gt;5000,"High",IF(SalesData[[#This Row],[Sales]]&gt;2000,"Medium","Low"))</f>
        <v>Low</v>
      </c>
      <c r="U250" s="2" t="str">
        <f>IF(COUNTIFS(SalesData[Customer_ID],SalesData[[#This Row],[Customer_ID]])&gt;1,"Repeat","New")</f>
        <v>Repeat</v>
      </c>
      <c r="V250" s="2" t="str">
        <f>IF(SalesData[[#This Row],[Sales]]&gt;AVERAGE(SalesData[Sales]),"Above Avg","Below Avg")</f>
        <v>Below Avg</v>
      </c>
      <c r="W250" s="2" t="str">
        <f>IF(SalesData[[#This Row],[Profit]]&gt;0,"Profit","Loss")</f>
        <v>Loss</v>
      </c>
      <c r="X250" s="2">
        <f>RANK(SalesData[[#This Row],[Sales]],SalesData[Sales])</f>
        <v>485</v>
      </c>
    </row>
    <row r="251" spans="1:24" x14ac:dyDescent="0.3">
      <c r="A251">
        <v>250</v>
      </c>
      <c r="B251" s="1">
        <v>45541</v>
      </c>
      <c r="C251">
        <v>1099</v>
      </c>
      <c r="D251" t="s">
        <v>78</v>
      </c>
      <c r="E251" t="s">
        <v>24</v>
      </c>
      <c r="F251" t="s">
        <v>21</v>
      </c>
      <c r="G251" t="s">
        <v>17</v>
      </c>
      <c r="H251" t="s">
        <v>18</v>
      </c>
      <c r="I251">
        <v>4979</v>
      </c>
      <c r="J251">
        <v>2</v>
      </c>
      <c r="K251">
        <v>0.02</v>
      </c>
      <c r="L251">
        <v>1538</v>
      </c>
      <c r="M251" t="s">
        <v>31</v>
      </c>
      <c r="N251">
        <v>9758.84</v>
      </c>
      <c r="O251" t="str">
        <f>TEXT(SalesData[[#This Row],[Order_Date]],"mmm")</f>
        <v>Sep</v>
      </c>
      <c r="P251">
        <f>YEAR(SalesData[[#This Row],[Order_Date]])</f>
        <v>2024</v>
      </c>
      <c r="Q251" t="str">
        <f>"Q"&amp;ROUNDUP(MONTH(SalesData[[#This Row],[Order_Date]])/3,0)</f>
        <v>Q3</v>
      </c>
      <c r="R251" s="2">
        <f>IFERROR(SalesData[[#This Row],[Profit]]/SalesData[[#This Row],[Sales]],0)</f>
        <v>0.15760069844366748</v>
      </c>
      <c r="S251" s="2">
        <f>SalesData[[#This Row],[Price]]*SalesData[[#This Row],[Quantity]]*SalesData[[#This Row],[Discount]]</f>
        <v>199.16</v>
      </c>
      <c r="T251" s="2" t="str">
        <f>IF(SalesData[[#This Row],[Sales]]&gt;5000,"High",IF(SalesData[[#This Row],[Sales]]&gt;2000,"Medium","Low"))</f>
        <v>High</v>
      </c>
      <c r="U251" s="2" t="str">
        <f>IF(COUNTIFS(SalesData[Customer_ID],SalesData[[#This Row],[Customer_ID]])&gt;1,"Repeat","New")</f>
        <v>Repeat</v>
      </c>
      <c r="V251" s="2" t="str">
        <f>IF(SalesData[[#This Row],[Sales]]&gt;AVERAGE(SalesData[Sales]),"Above Avg","Below Avg")</f>
        <v>Below Avg</v>
      </c>
      <c r="W251" s="2" t="str">
        <f>IF(SalesData[[#This Row],[Profit]]&gt;0,"Profit","Loss")</f>
        <v>Profit</v>
      </c>
      <c r="X251" s="2">
        <f>RANK(SalesData[[#This Row],[Sales]],SalesData[Sales])</f>
        <v>208</v>
      </c>
    </row>
    <row r="252" spans="1:24" x14ac:dyDescent="0.3">
      <c r="A252">
        <v>251</v>
      </c>
      <c r="B252" s="1">
        <v>45542</v>
      </c>
      <c r="C252">
        <v>1067</v>
      </c>
      <c r="D252" t="s">
        <v>178</v>
      </c>
      <c r="E252" t="s">
        <v>15</v>
      </c>
      <c r="F252" t="s">
        <v>16</v>
      </c>
      <c r="G252" t="s">
        <v>34</v>
      </c>
      <c r="H252" t="s">
        <v>18</v>
      </c>
      <c r="I252">
        <v>586</v>
      </c>
      <c r="J252">
        <v>9</v>
      </c>
      <c r="K252">
        <v>0.27</v>
      </c>
      <c r="L252">
        <v>781</v>
      </c>
      <c r="M252" t="s">
        <v>31</v>
      </c>
      <c r="N252">
        <v>3850.02</v>
      </c>
      <c r="O252" t="str">
        <f>TEXT(SalesData[[#This Row],[Order_Date]],"mmm")</f>
        <v>Sep</v>
      </c>
      <c r="P252">
        <f>YEAR(SalesData[[#This Row],[Order_Date]])</f>
        <v>2024</v>
      </c>
      <c r="Q252" t="str">
        <f>"Q"&amp;ROUNDUP(MONTH(SalesData[[#This Row],[Order_Date]])/3,0)</f>
        <v>Q3</v>
      </c>
      <c r="R252" s="2">
        <f>IFERROR(SalesData[[#This Row],[Profit]]/SalesData[[#This Row],[Sales]],0)</f>
        <v>0.20285608905927763</v>
      </c>
      <c r="S252" s="2">
        <f>SalesData[[#This Row],[Price]]*SalesData[[#This Row],[Quantity]]*SalesData[[#This Row],[Discount]]</f>
        <v>1423.98</v>
      </c>
      <c r="T252" s="2" t="str">
        <f>IF(SalesData[[#This Row],[Sales]]&gt;5000,"High",IF(SalesData[[#This Row],[Sales]]&gt;2000,"Medium","Low"))</f>
        <v>Medium</v>
      </c>
      <c r="U252" s="2" t="str">
        <f>IF(COUNTIFS(SalesData[Customer_ID],SalesData[[#This Row],[Customer_ID]])&gt;1,"Repeat","New")</f>
        <v>Repeat</v>
      </c>
      <c r="V252" s="2" t="str">
        <f>IF(SalesData[[#This Row],[Sales]]&gt;AVERAGE(SalesData[Sales]),"Above Avg","Below Avg")</f>
        <v>Below Avg</v>
      </c>
      <c r="W252" s="2" t="str">
        <f>IF(SalesData[[#This Row],[Profit]]&gt;0,"Profit","Loss")</f>
        <v>Profit</v>
      </c>
      <c r="X252" s="2">
        <f>RANK(SalesData[[#This Row],[Sales]],SalesData[Sales])</f>
        <v>360</v>
      </c>
    </row>
    <row r="253" spans="1:24" x14ac:dyDescent="0.3">
      <c r="A253">
        <v>252</v>
      </c>
      <c r="B253" s="1">
        <v>45543</v>
      </c>
      <c r="C253">
        <v>1065</v>
      </c>
      <c r="D253" t="s">
        <v>174</v>
      </c>
      <c r="E253" t="s">
        <v>15</v>
      </c>
      <c r="F253" t="s">
        <v>28</v>
      </c>
      <c r="G253" t="s">
        <v>34</v>
      </c>
      <c r="H253" t="s">
        <v>37</v>
      </c>
      <c r="I253">
        <v>1335</v>
      </c>
      <c r="J253">
        <v>6</v>
      </c>
      <c r="K253">
        <v>0.28999999999999998</v>
      </c>
      <c r="L253">
        <v>598</v>
      </c>
      <c r="M253" t="s">
        <v>26</v>
      </c>
      <c r="N253">
        <v>5687.0999999999904</v>
      </c>
      <c r="O253" t="str">
        <f>TEXT(SalesData[[#This Row],[Order_Date]],"mmm")</f>
        <v>Sep</v>
      </c>
      <c r="P253">
        <f>YEAR(SalesData[[#This Row],[Order_Date]])</f>
        <v>2024</v>
      </c>
      <c r="Q253" t="str">
        <f>"Q"&amp;ROUNDUP(MONTH(SalesData[[#This Row],[Order_Date]])/3,0)</f>
        <v>Q3</v>
      </c>
      <c r="R253" s="2">
        <f>IFERROR(SalesData[[#This Row],[Profit]]/SalesData[[#This Row],[Sales]],0)</f>
        <v>0.10515025232543845</v>
      </c>
      <c r="S253" s="2">
        <f>SalesData[[#This Row],[Price]]*SalesData[[#This Row],[Quantity]]*SalesData[[#This Row],[Discount]]</f>
        <v>2322.8999999999996</v>
      </c>
      <c r="T253" s="2" t="str">
        <f>IF(SalesData[[#This Row],[Sales]]&gt;5000,"High",IF(SalesData[[#This Row],[Sales]]&gt;2000,"Medium","Low"))</f>
        <v>High</v>
      </c>
      <c r="U253" s="2" t="str">
        <f>IF(COUNTIFS(SalesData[Customer_ID],SalesData[[#This Row],[Customer_ID]])&gt;1,"Repeat","New")</f>
        <v>Repeat</v>
      </c>
      <c r="V253" s="2" t="str">
        <f>IF(SalesData[[#This Row],[Sales]]&gt;AVERAGE(SalesData[Sales]),"Above Avg","Below Avg")</f>
        <v>Below Avg</v>
      </c>
      <c r="W253" s="2" t="str">
        <f>IF(SalesData[[#This Row],[Profit]]&gt;0,"Profit","Loss")</f>
        <v>Profit</v>
      </c>
      <c r="X253" s="2">
        <f>RANK(SalesData[[#This Row],[Sales]],SalesData[Sales])</f>
        <v>304</v>
      </c>
    </row>
    <row r="254" spans="1:24" x14ac:dyDescent="0.3">
      <c r="A254">
        <v>253</v>
      </c>
      <c r="B254" s="1">
        <v>45544</v>
      </c>
      <c r="C254">
        <v>1007</v>
      </c>
      <c r="D254" t="s">
        <v>179</v>
      </c>
      <c r="E254" t="s">
        <v>15</v>
      </c>
      <c r="F254" t="s">
        <v>16</v>
      </c>
      <c r="G254" t="s">
        <v>17</v>
      </c>
      <c r="H254" t="s">
        <v>18</v>
      </c>
      <c r="I254">
        <v>2947</v>
      </c>
      <c r="J254">
        <v>2</v>
      </c>
      <c r="K254">
        <v>0.24</v>
      </c>
      <c r="L254">
        <v>48</v>
      </c>
      <c r="M254" t="s">
        <v>31</v>
      </c>
      <c r="N254">
        <v>4479.4399999999996</v>
      </c>
      <c r="O254" t="str">
        <f>TEXT(SalesData[[#This Row],[Order_Date]],"mmm")</f>
        <v>Sep</v>
      </c>
      <c r="P254">
        <f>YEAR(SalesData[[#This Row],[Order_Date]])</f>
        <v>2024</v>
      </c>
      <c r="Q254" t="str">
        <f>"Q"&amp;ROUNDUP(MONTH(SalesData[[#This Row],[Order_Date]])/3,0)</f>
        <v>Q3</v>
      </c>
      <c r="R254" s="2">
        <f>IFERROR(SalesData[[#This Row],[Profit]]/SalesData[[#This Row],[Sales]],0)</f>
        <v>1.0715625167431644E-2</v>
      </c>
      <c r="S254" s="2">
        <f>SalesData[[#This Row],[Price]]*SalesData[[#This Row],[Quantity]]*SalesData[[#This Row],[Discount]]</f>
        <v>1414.56</v>
      </c>
      <c r="T254" s="2" t="str">
        <f>IF(SalesData[[#This Row],[Sales]]&gt;5000,"High",IF(SalesData[[#This Row],[Sales]]&gt;2000,"Medium","Low"))</f>
        <v>Medium</v>
      </c>
      <c r="U254" s="2" t="str">
        <f>IF(COUNTIFS(SalesData[Customer_ID],SalesData[[#This Row],[Customer_ID]])&gt;1,"Repeat","New")</f>
        <v>Repeat</v>
      </c>
      <c r="V254" s="2" t="str">
        <f>IF(SalesData[[#This Row],[Sales]]&gt;AVERAGE(SalesData[Sales]),"Above Avg","Below Avg")</f>
        <v>Below Avg</v>
      </c>
      <c r="W254" s="2" t="str">
        <f>IF(SalesData[[#This Row],[Profit]]&gt;0,"Profit","Loss")</f>
        <v>Profit</v>
      </c>
      <c r="X254" s="2">
        <f>RANK(SalesData[[#This Row],[Sales]],SalesData[Sales])</f>
        <v>339</v>
      </c>
    </row>
    <row r="255" spans="1:24" x14ac:dyDescent="0.3">
      <c r="A255">
        <v>254</v>
      </c>
      <c r="B255" s="1">
        <v>45545</v>
      </c>
      <c r="C255">
        <v>1070</v>
      </c>
      <c r="D255" t="s">
        <v>180</v>
      </c>
      <c r="E255" t="s">
        <v>24</v>
      </c>
      <c r="F255" t="s">
        <v>21</v>
      </c>
      <c r="G255" t="s">
        <v>17</v>
      </c>
      <c r="H255" t="s">
        <v>37</v>
      </c>
      <c r="I255">
        <v>1121</v>
      </c>
      <c r="J255">
        <v>5</v>
      </c>
      <c r="K255">
        <v>0.26</v>
      </c>
      <c r="L255">
        <v>1771</v>
      </c>
      <c r="M255" t="s">
        <v>31</v>
      </c>
      <c r="N255">
        <v>4147.7</v>
      </c>
      <c r="O255" t="str">
        <f>TEXT(SalesData[[#This Row],[Order_Date]],"mmm")</f>
        <v>Sep</v>
      </c>
      <c r="P255">
        <f>YEAR(SalesData[[#This Row],[Order_Date]])</f>
        <v>2024</v>
      </c>
      <c r="Q255" t="str">
        <f>"Q"&amp;ROUNDUP(MONTH(SalesData[[#This Row],[Order_Date]])/3,0)</f>
        <v>Q3</v>
      </c>
      <c r="R255" s="2">
        <f>IFERROR(SalesData[[#This Row],[Profit]]/SalesData[[#This Row],[Sales]],0)</f>
        <v>0.42698362948139934</v>
      </c>
      <c r="S255" s="2">
        <f>SalesData[[#This Row],[Price]]*SalesData[[#This Row],[Quantity]]*SalesData[[#This Row],[Discount]]</f>
        <v>1457.3</v>
      </c>
      <c r="T255" s="2" t="str">
        <f>IF(SalesData[[#This Row],[Sales]]&gt;5000,"High",IF(SalesData[[#This Row],[Sales]]&gt;2000,"Medium","Low"))</f>
        <v>Medium</v>
      </c>
      <c r="U255" s="2" t="str">
        <f>IF(COUNTIFS(SalesData[Customer_ID],SalesData[[#This Row],[Customer_ID]])&gt;1,"Repeat","New")</f>
        <v>Repeat</v>
      </c>
      <c r="V255" s="2" t="str">
        <f>IF(SalesData[[#This Row],[Sales]]&gt;AVERAGE(SalesData[Sales]),"Above Avg","Below Avg")</f>
        <v>Below Avg</v>
      </c>
      <c r="W255" s="2" t="str">
        <f>IF(SalesData[[#This Row],[Profit]]&gt;0,"Profit","Loss")</f>
        <v>Profit</v>
      </c>
      <c r="X255" s="2">
        <f>RANK(SalesData[[#This Row],[Sales]],SalesData[Sales])</f>
        <v>347</v>
      </c>
    </row>
    <row r="256" spans="1:24" x14ac:dyDescent="0.3">
      <c r="A256">
        <v>255</v>
      </c>
      <c r="B256" s="1">
        <v>45546</v>
      </c>
      <c r="C256">
        <v>1099</v>
      </c>
      <c r="D256" t="s">
        <v>181</v>
      </c>
      <c r="E256" t="s">
        <v>15</v>
      </c>
      <c r="F256" t="s">
        <v>16</v>
      </c>
      <c r="G256" t="s">
        <v>17</v>
      </c>
      <c r="H256" t="s">
        <v>29</v>
      </c>
      <c r="I256">
        <v>2319</v>
      </c>
      <c r="J256">
        <v>7</v>
      </c>
      <c r="K256">
        <v>0.11</v>
      </c>
      <c r="L256">
        <v>-105</v>
      </c>
      <c r="M256" t="s">
        <v>19</v>
      </c>
      <c r="N256">
        <v>14447.37</v>
      </c>
      <c r="O256" t="str">
        <f>TEXT(SalesData[[#This Row],[Order_Date]],"mmm")</f>
        <v>Sep</v>
      </c>
      <c r="P256">
        <f>YEAR(SalesData[[#This Row],[Order_Date]])</f>
        <v>2024</v>
      </c>
      <c r="Q256" t="str">
        <f>"Q"&amp;ROUNDUP(MONTH(SalesData[[#This Row],[Order_Date]])/3,0)</f>
        <v>Q3</v>
      </c>
      <c r="R256" s="2">
        <f>IFERROR(SalesData[[#This Row],[Profit]]/SalesData[[#This Row],[Sales]],0)</f>
        <v>-7.2677587685509538E-3</v>
      </c>
      <c r="S256" s="2">
        <f>SalesData[[#This Row],[Price]]*SalesData[[#This Row],[Quantity]]*SalesData[[#This Row],[Discount]]</f>
        <v>1785.63</v>
      </c>
      <c r="T256" s="2" t="str">
        <f>IF(SalesData[[#This Row],[Sales]]&gt;5000,"High",IF(SalesData[[#This Row],[Sales]]&gt;2000,"Medium","Low"))</f>
        <v>High</v>
      </c>
      <c r="U256" s="2" t="str">
        <f>IF(COUNTIFS(SalesData[Customer_ID],SalesData[[#This Row],[Customer_ID]])&gt;1,"Repeat","New")</f>
        <v>Repeat</v>
      </c>
      <c r="V256" s="2" t="str">
        <f>IF(SalesData[[#This Row],[Sales]]&gt;AVERAGE(SalesData[Sales]),"Above Avg","Below Avg")</f>
        <v>Above Avg</v>
      </c>
      <c r="W256" s="2" t="str">
        <f>IF(SalesData[[#This Row],[Profit]]&gt;0,"Profit","Loss")</f>
        <v>Loss</v>
      </c>
      <c r="X256" s="2">
        <f>RANK(SalesData[[#This Row],[Sales]],SalesData[Sales])</f>
        <v>143</v>
      </c>
    </row>
    <row r="257" spans="1:24" x14ac:dyDescent="0.3">
      <c r="A257">
        <v>256</v>
      </c>
      <c r="B257" s="1">
        <v>45547</v>
      </c>
      <c r="C257">
        <v>1097</v>
      </c>
      <c r="D257" t="s">
        <v>182</v>
      </c>
      <c r="E257" t="s">
        <v>24</v>
      </c>
      <c r="F257" t="s">
        <v>16</v>
      </c>
      <c r="G257" t="s">
        <v>22</v>
      </c>
      <c r="H257" t="s">
        <v>37</v>
      </c>
      <c r="I257">
        <v>3265</v>
      </c>
      <c r="J257">
        <v>3</v>
      </c>
      <c r="K257">
        <v>0.05</v>
      </c>
      <c r="L257">
        <v>1937</v>
      </c>
      <c r="M257" t="s">
        <v>26</v>
      </c>
      <c r="N257">
        <v>9305.25</v>
      </c>
      <c r="O257" t="str">
        <f>TEXT(SalesData[[#This Row],[Order_Date]],"mmm")</f>
        <v>Sep</v>
      </c>
      <c r="P257">
        <f>YEAR(SalesData[[#This Row],[Order_Date]])</f>
        <v>2024</v>
      </c>
      <c r="Q257" t="str">
        <f>"Q"&amp;ROUNDUP(MONTH(SalesData[[#This Row],[Order_Date]])/3,0)</f>
        <v>Q3</v>
      </c>
      <c r="R257" s="2">
        <f>IFERROR(SalesData[[#This Row],[Profit]]/SalesData[[#This Row],[Sales]],0)</f>
        <v>0.20816205905268531</v>
      </c>
      <c r="S257" s="2">
        <f>SalesData[[#This Row],[Price]]*SalesData[[#This Row],[Quantity]]*SalesData[[#This Row],[Discount]]</f>
        <v>489.75</v>
      </c>
      <c r="T257" s="2" t="str">
        <f>IF(SalesData[[#This Row],[Sales]]&gt;5000,"High",IF(SalesData[[#This Row],[Sales]]&gt;2000,"Medium","Low"))</f>
        <v>High</v>
      </c>
      <c r="U257" s="2" t="str">
        <f>IF(COUNTIFS(SalesData[Customer_ID],SalesData[[#This Row],[Customer_ID]])&gt;1,"Repeat","New")</f>
        <v>Repeat</v>
      </c>
      <c r="V257" s="2" t="str">
        <f>IF(SalesData[[#This Row],[Sales]]&gt;AVERAGE(SalesData[Sales]),"Above Avg","Below Avg")</f>
        <v>Below Avg</v>
      </c>
      <c r="W257" s="2" t="str">
        <f>IF(SalesData[[#This Row],[Profit]]&gt;0,"Profit","Loss")</f>
        <v>Profit</v>
      </c>
      <c r="X257" s="2">
        <f>RANK(SalesData[[#This Row],[Sales]],SalesData[Sales])</f>
        <v>225</v>
      </c>
    </row>
    <row r="258" spans="1:24" x14ac:dyDescent="0.3">
      <c r="A258">
        <v>257</v>
      </c>
      <c r="B258" s="1">
        <v>45548</v>
      </c>
      <c r="C258">
        <v>1039</v>
      </c>
      <c r="D258" t="s">
        <v>183</v>
      </c>
      <c r="E258" t="s">
        <v>24</v>
      </c>
      <c r="F258" t="s">
        <v>28</v>
      </c>
      <c r="G258" t="s">
        <v>34</v>
      </c>
      <c r="H258" t="s">
        <v>18</v>
      </c>
      <c r="I258">
        <v>3199</v>
      </c>
      <c r="J258">
        <v>1</v>
      </c>
      <c r="K258">
        <v>0.06</v>
      </c>
      <c r="L258">
        <v>1657</v>
      </c>
      <c r="M258" t="s">
        <v>26</v>
      </c>
      <c r="N258">
        <v>3007.06</v>
      </c>
      <c r="O258" t="str">
        <f>TEXT(SalesData[[#This Row],[Order_Date]],"mmm")</f>
        <v>Sep</v>
      </c>
      <c r="P258">
        <f>YEAR(SalesData[[#This Row],[Order_Date]])</f>
        <v>2024</v>
      </c>
      <c r="Q258" t="str">
        <f>"Q"&amp;ROUNDUP(MONTH(SalesData[[#This Row],[Order_Date]])/3,0)</f>
        <v>Q3</v>
      </c>
      <c r="R258" s="2">
        <f>IFERROR(SalesData[[#This Row],[Profit]]/SalesData[[#This Row],[Sales]],0)</f>
        <v>0.55103656062732376</v>
      </c>
      <c r="S258" s="2">
        <f>SalesData[[#This Row],[Price]]*SalesData[[#This Row],[Quantity]]*SalesData[[#This Row],[Discount]]</f>
        <v>191.94</v>
      </c>
      <c r="T258" s="2" t="str">
        <f>IF(SalesData[[#This Row],[Sales]]&gt;5000,"High",IF(SalesData[[#This Row],[Sales]]&gt;2000,"Medium","Low"))</f>
        <v>Medium</v>
      </c>
      <c r="U258" s="2" t="str">
        <f>IF(COUNTIFS(SalesData[Customer_ID],SalesData[[#This Row],[Customer_ID]])&gt;1,"Repeat","New")</f>
        <v>Repeat</v>
      </c>
      <c r="V258" s="2" t="str">
        <f>IF(SalesData[[#This Row],[Sales]]&gt;AVERAGE(SalesData[Sales]),"Above Avg","Below Avg")</f>
        <v>Below Avg</v>
      </c>
      <c r="W258" s="2" t="str">
        <f>IF(SalesData[[#This Row],[Profit]]&gt;0,"Profit","Loss")</f>
        <v>Profit</v>
      </c>
      <c r="X258" s="2">
        <f>RANK(SalesData[[#This Row],[Sales]],SalesData[Sales])</f>
        <v>392</v>
      </c>
    </row>
    <row r="259" spans="1:24" x14ac:dyDescent="0.3">
      <c r="A259">
        <v>258</v>
      </c>
      <c r="B259" s="1">
        <v>45549</v>
      </c>
      <c r="C259">
        <v>1082</v>
      </c>
      <c r="D259" t="s">
        <v>176</v>
      </c>
      <c r="E259" t="s">
        <v>24</v>
      </c>
      <c r="F259" t="s">
        <v>16</v>
      </c>
      <c r="G259" t="s">
        <v>17</v>
      </c>
      <c r="H259" t="s">
        <v>29</v>
      </c>
      <c r="I259">
        <v>316</v>
      </c>
      <c r="J259">
        <v>5</v>
      </c>
      <c r="K259">
        <v>0.15</v>
      </c>
      <c r="L259">
        <v>897</v>
      </c>
      <c r="M259" t="s">
        <v>19</v>
      </c>
      <c r="N259">
        <v>1343</v>
      </c>
      <c r="O259" t="str">
        <f>TEXT(SalesData[[#This Row],[Order_Date]],"mmm")</f>
        <v>Sep</v>
      </c>
      <c r="P259">
        <f>YEAR(SalesData[[#This Row],[Order_Date]])</f>
        <v>2024</v>
      </c>
      <c r="Q259" t="str">
        <f>"Q"&amp;ROUNDUP(MONTH(SalesData[[#This Row],[Order_Date]])/3,0)</f>
        <v>Q3</v>
      </c>
      <c r="R259" s="2">
        <f>IFERROR(SalesData[[#This Row],[Profit]]/SalesData[[#This Row],[Sales]],0)</f>
        <v>0.66790766939687263</v>
      </c>
      <c r="S259" s="2">
        <f>SalesData[[#This Row],[Price]]*SalesData[[#This Row],[Quantity]]*SalesData[[#This Row],[Discount]]</f>
        <v>237</v>
      </c>
      <c r="T259" s="2" t="str">
        <f>IF(SalesData[[#This Row],[Sales]]&gt;5000,"High",IF(SalesData[[#This Row],[Sales]]&gt;2000,"Medium","Low"))</f>
        <v>Low</v>
      </c>
      <c r="U259" s="2" t="str">
        <f>IF(COUNTIFS(SalesData[Customer_ID],SalesData[[#This Row],[Customer_ID]])&gt;1,"Repeat","New")</f>
        <v>Repeat</v>
      </c>
      <c r="V259" s="2" t="str">
        <f>IF(SalesData[[#This Row],[Sales]]&gt;AVERAGE(SalesData[Sales]),"Above Avg","Below Avg")</f>
        <v>Below Avg</v>
      </c>
      <c r="W259" s="2" t="str">
        <f>IF(SalesData[[#This Row],[Profit]]&gt;0,"Profit","Loss")</f>
        <v>Profit</v>
      </c>
      <c r="X259" s="2">
        <f>RANK(SalesData[[#This Row],[Sales]],SalesData[Sales])</f>
        <v>465</v>
      </c>
    </row>
    <row r="260" spans="1:24" x14ac:dyDescent="0.3">
      <c r="A260">
        <v>259</v>
      </c>
      <c r="B260" s="1">
        <v>45550</v>
      </c>
      <c r="C260">
        <v>1092</v>
      </c>
      <c r="D260" t="s">
        <v>90</v>
      </c>
      <c r="E260" t="s">
        <v>15</v>
      </c>
      <c r="F260" t="s">
        <v>16</v>
      </c>
      <c r="G260" t="s">
        <v>34</v>
      </c>
      <c r="H260" t="s">
        <v>37</v>
      </c>
      <c r="I260">
        <v>4046</v>
      </c>
      <c r="J260">
        <v>5</v>
      </c>
      <c r="K260">
        <v>0.2</v>
      </c>
      <c r="L260">
        <v>-246</v>
      </c>
      <c r="M260" t="s">
        <v>31</v>
      </c>
      <c r="N260">
        <v>16184</v>
      </c>
      <c r="O260" t="str">
        <f>TEXT(SalesData[[#This Row],[Order_Date]],"mmm")</f>
        <v>Sep</v>
      </c>
      <c r="P260">
        <f>YEAR(SalesData[[#This Row],[Order_Date]])</f>
        <v>2024</v>
      </c>
      <c r="Q260" t="str">
        <f>"Q"&amp;ROUNDUP(MONTH(SalesData[[#This Row],[Order_Date]])/3,0)</f>
        <v>Q3</v>
      </c>
      <c r="R260" s="2">
        <f>IFERROR(SalesData[[#This Row],[Profit]]/SalesData[[#This Row],[Sales]],0)</f>
        <v>-1.5200197726149283E-2</v>
      </c>
      <c r="S260" s="2">
        <f>SalesData[[#This Row],[Price]]*SalesData[[#This Row],[Quantity]]*SalesData[[#This Row],[Discount]]</f>
        <v>4046</v>
      </c>
      <c r="T260" s="2" t="str">
        <f>IF(SalesData[[#This Row],[Sales]]&gt;5000,"High",IF(SalesData[[#This Row],[Sales]]&gt;2000,"Medium","Low"))</f>
        <v>High</v>
      </c>
      <c r="U260" s="2" t="str">
        <f>IF(COUNTIFS(SalesData[Customer_ID],SalesData[[#This Row],[Customer_ID]])&gt;1,"Repeat","New")</f>
        <v>Repeat</v>
      </c>
      <c r="V260" s="2" t="str">
        <f>IF(SalesData[[#This Row],[Sales]]&gt;AVERAGE(SalesData[Sales]),"Above Avg","Below Avg")</f>
        <v>Above Avg</v>
      </c>
      <c r="W260" s="2" t="str">
        <f>IF(SalesData[[#This Row],[Profit]]&gt;0,"Profit","Loss")</f>
        <v>Loss</v>
      </c>
      <c r="X260" s="2">
        <f>RANK(SalesData[[#This Row],[Sales]],SalesData[Sales])</f>
        <v>122</v>
      </c>
    </row>
    <row r="261" spans="1:24" x14ac:dyDescent="0.3">
      <c r="A261">
        <v>260</v>
      </c>
      <c r="B261" s="1">
        <v>45551</v>
      </c>
      <c r="C261">
        <v>1038</v>
      </c>
      <c r="D261" t="s">
        <v>105</v>
      </c>
      <c r="E261" t="s">
        <v>24</v>
      </c>
      <c r="F261" t="s">
        <v>28</v>
      </c>
      <c r="G261" t="s">
        <v>22</v>
      </c>
      <c r="H261" t="s">
        <v>37</v>
      </c>
      <c r="I261">
        <v>2805</v>
      </c>
      <c r="J261">
        <v>7</v>
      </c>
      <c r="K261">
        <v>0.17</v>
      </c>
      <c r="L261">
        <v>1777</v>
      </c>
      <c r="M261" t="s">
        <v>26</v>
      </c>
      <c r="N261">
        <v>16297.05</v>
      </c>
      <c r="O261" t="str">
        <f>TEXT(SalesData[[#This Row],[Order_Date]],"mmm")</f>
        <v>Sep</v>
      </c>
      <c r="P261">
        <f>YEAR(SalesData[[#This Row],[Order_Date]])</f>
        <v>2024</v>
      </c>
      <c r="Q261" t="str">
        <f>"Q"&amp;ROUNDUP(MONTH(SalesData[[#This Row],[Order_Date]])/3,0)</f>
        <v>Q3</v>
      </c>
      <c r="R261" s="2">
        <f>IFERROR(SalesData[[#This Row],[Profit]]/SalesData[[#This Row],[Sales]],0)</f>
        <v>0.10903813880426212</v>
      </c>
      <c r="S261" s="2">
        <f>SalesData[[#This Row],[Price]]*SalesData[[#This Row],[Quantity]]*SalesData[[#This Row],[Discount]]</f>
        <v>3337.9500000000003</v>
      </c>
      <c r="T261" s="2" t="str">
        <f>IF(SalesData[[#This Row],[Sales]]&gt;5000,"High",IF(SalesData[[#This Row],[Sales]]&gt;2000,"Medium","Low"))</f>
        <v>High</v>
      </c>
      <c r="U261" s="2" t="str">
        <f>IF(COUNTIFS(SalesData[Customer_ID],SalesData[[#This Row],[Customer_ID]])&gt;1,"Repeat","New")</f>
        <v>Repeat</v>
      </c>
      <c r="V261" s="2" t="str">
        <f>IF(SalesData[[#This Row],[Sales]]&gt;AVERAGE(SalesData[Sales]),"Above Avg","Below Avg")</f>
        <v>Above Avg</v>
      </c>
      <c r="W261" s="2" t="str">
        <f>IF(SalesData[[#This Row],[Profit]]&gt;0,"Profit","Loss")</f>
        <v>Profit</v>
      </c>
      <c r="X261" s="2">
        <f>RANK(SalesData[[#This Row],[Sales]],SalesData[Sales])</f>
        <v>118</v>
      </c>
    </row>
    <row r="262" spans="1:24" x14ac:dyDescent="0.3">
      <c r="A262">
        <v>261</v>
      </c>
      <c r="B262" s="1">
        <v>45552</v>
      </c>
      <c r="C262">
        <v>1005</v>
      </c>
      <c r="D262" t="s">
        <v>139</v>
      </c>
      <c r="E262" t="s">
        <v>24</v>
      </c>
      <c r="F262" t="s">
        <v>16</v>
      </c>
      <c r="G262" t="s">
        <v>22</v>
      </c>
      <c r="H262" t="s">
        <v>29</v>
      </c>
      <c r="I262">
        <v>1983</v>
      </c>
      <c r="J262">
        <v>6</v>
      </c>
      <c r="K262">
        <v>0.03</v>
      </c>
      <c r="L262">
        <v>722</v>
      </c>
      <c r="M262" t="s">
        <v>19</v>
      </c>
      <c r="N262">
        <v>11541.06</v>
      </c>
      <c r="O262" t="str">
        <f>TEXT(SalesData[[#This Row],[Order_Date]],"mmm")</f>
        <v>Sep</v>
      </c>
      <c r="P262">
        <f>YEAR(SalesData[[#This Row],[Order_Date]])</f>
        <v>2024</v>
      </c>
      <c r="Q262" t="str">
        <f>"Q"&amp;ROUNDUP(MONTH(SalesData[[#This Row],[Order_Date]])/3,0)</f>
        <v>Q3</v>
      </c>
      <c r="R262" s="2">
        <f>IFERROR(SalesData[[#This Row],[Profit]]/SalesData[[#This Row],[Sales]],0)</f>
        <v>6.2559244991361285E-2</v>
      </c>
      <c r="S262" s="2">
        <f>SalesData[[#This Row],[Price]]*SalesData[[#This Row],[Quantity]]*SalesData[[#This Row],[Discount]]</f>
        <v>356.94</v>
      </c>
      <c r="T262" s="2" t="str">
        <f>IF(SalesData[[#This Row],[Sales]]&gt;5000,"High",IF(SalesData[[#This Row],[Sales]]&gt;2000,"Medium","Low"))</f>
        <v>High</v>
      </c>
      <c r="U262" s="2" t="str">
        <f>IF(COUNTIFS(SalesData[Customer_ID],SalesData[[#This Row],[Customer_ID]])&gt;1,"Repeat","New")</f>
        <v>Repeat</v>
      </c>
      <c r="V262" s="2" t="str">
        <f>IF(SalesData[[#This Row],[Sales]]&gt;AVERAGE(SalesData[Sales]),"Above Avg","Below Avg")</f>
        <v>Above Avg</v>
      </c>
      <c r="W262" s="2" t="str">
        <f>IF(SalesData[[#This Row],[Profit]]&gt;0,"Profit","Loss")</f>
        <v>Profit</v>
      </c>
      <c r="X262" s="2">
        <f>RANK(SalesData[[#This Row],[Sales]],SalesData[Sales])</f>
        <v>180</v>
      </c>
    </row>
    <row r="263" spans="1:24" x14ac:dyDescent="0.3">
      <c r="A263">
        <v>262</v>
      </c>
      <c r="B263" s="1">
        <v>45553</v>
      </c>
      <c r="C263">
        <v>1009</v>
      </c>
      <c r="D263" t="s">
        <v>52</v>
      </c>
      <c r="E263" t="s">
        <v>24</v>
      </c>
      <c r="F263" t="s">
        <v>21</v>
      </c>
      <c r="G263" t="s">
        <v>34</v>
      </c>
      <c r="H263" t="s">
        <v>37</v>
      </c>
      <c r="I263">
        <v>1606</v>
      </c>
      <c r="J263">
        <v>1</v>
      </c>
      <c r="K263">
        <v>0.22</v>
      </c>
      <c r="L263">
        <v>1195</v>
      </c>
      <c r="M263" t="s">
        <v>31</v>
      </c>
      <c r="N263">
        <v>1252.68</v>
      </c>
      <c r="O263" t="str">
        <f>TEXT(SalesData[[#This Row],[Order_Date]],"mmm")</f>
        <v>Sep</v>
      </c>
      <c r="P263">
        <f>YEAR(SalesData[[#This Row],[Order_Date]])</f>
        <v>2024</v>
      </c>
      <c r="Q263" t="str">
        <f>"Q"&amp;ROUNDUP(MONTH(SalesData[[#This Row],[Order_Date]])/3,0)</f>
        <v>Q3</v>
      </c>
      <c r="R263" s="2">
        <f>IFERROR(SalesData[[#This Row],[Profit]]/SalesData[[#This Row],[Sales]],0)</f>
        <v>0.95395472107800872</v>
      </c>
      <c r="S263" s="2">
        <f>SalesData[[#This Row],[Price]]*SalesData[[#This Row],[Quantity]]*SalesData[[#This Row],[Discount]]</f>
        <v>353.32</v>
      </c>
      <c r="T263" s="2" t="str">
        <f>IF(SalesData[[#This Row],[Sales]]&gt;5000,"High",IF(SalesData[[#This Row],[Sales]]&gt;2000,"Medium","Low"))</f>
        <v>Low</v>
      </c>
      <c r="U263" s="2" t="str">
        <f>IF(COUNTIFS(SalesData[Customer_ID],SalesData[[#This Row],[Customer_ID]])&gt;1,"Repeat","New")</f>
        <v>Repeat</v>
      </c>
      <c r="V263" s="2" t="str">
        <f>IF(SalesData[[#This Row],[Sales]]&gt;AVERAGE(SalesData[Sales]),"Above Avg","Below Avg")</f>
        <v>Below Avg</v>
      </c>
      <c r="W263" s="2" t="str">
        <f>IF(SalesData[[#This Row],[Profit]]&gt;0,"Profit","Loss")</f>
        <v>Profit</v>
      </c>
      <c r="X263" s="2">
        <f>RANK(SalesData[[#This Row],[Sales]],SalesData[Sales])</f>
        <v>468</v>
      </c>
    </row>
    <row r="264" spans="1:24" x14ac:dyDescent="0.3">
      <c r="A264">
        <v>263</v>
      </c>
      <c r="B264" s="1">
        <v>45554</v>
      </c>
      <c r="C264">
        <v>1040</v>
      </c>
      <c r="D264" t="s">
        <v>90</v>
      </c>
      <c r="E264" t="s">
        <v>24</v>
      </c>
      <c r="F264" t="s">
        <v>16</v>
      </c>
      <c r="G264" t="s">
        <v>22</v>
      </c>
      <c r="H264" t="s">
        <v>25</v>
      </c>
      <c r="I264">
        <v>4264</v>
      </c>
      <c r="J264">
        <v>1</v>
      </c>
      <c r="K264">
        <v>0.24</v>
      </c>
      <c r="L264">
        <v>-20</v>
      </c>
      <c r="M264" t="s">
        <v>19</v>
      </c>
      <c r="N264">
        <v>3240.64</v>
      </c>
      <c r="O264" t="str">
        <f>TEXT(SalesData[[#This Row],[Order_Date]],"mmm")</f>
        <v>Sep</v>
      </c>
      <c r="P264">
        <f>YEAR(SalesData[[#This Row],[Order_Date]])</f>
        <v>2024</v>
      </c>
      <c r="Q264" t="str">
        <f>"Q"&amp;ROUNDUP(MONTH(SalesData[[#This Row],[Order_Date]])/3,0)</f>
        <v>Q3</v>
      </c>
      <c r="R264" s="2">
        <f>IFERROR(SalesData[[#This Row],[Profit]]/SalesData[[#This Row],[Sales]],0)</f>
        <v>-6.1716204206576485E-3</v>
      </c>
      <c r="S264" s="2">
        <f>SalesData[[#This Row],[Price]]*SalesData[[#This Row],[Quantity]]*SalesData[[#This Row],[Discount]]</f>
        <v>1023.36</v>
      </c>
      <c r="T264" s="2" t="str">
        <f>IF(SalesData[[#This Row],[Sales]]&gt;5000,"High",IF(SalesData[[#This Row],[Sales]]&gt;2000,"Medium","Low"))</f>
        <v>Medium</v>
      </c>
      <c r="U264" s="2" t="str">
        <f>IF(COUNTIFS(SalesData[Customer_ID],SalesData[[#This Row],[Customer_ID]])&gt;1,"Repeat","New")</f>
        <v>Repeat</v>
      </c>
      <c r="V264" s="2" t="str">
        <f>IF(SalesData[[#This Row],[Sales]]&gt;AVERAGE(SalesData[Sales]),"Above Avg","Below Avg")</f>
        <v>Below Avg</v>
      </c>
      <c r="W264" s="2" t="str">
        <f>IF(SalesData[[#This Row],[Profit]]&gt;0,"Profit","Loss")</f>
        <v>Loss</v>
      </c>
      <c r="X264" s="2">
        <f>RANK(SalesData[[#This Row],[Sales]],SalesData[Sales])</f>
        <v>386</v>
      </c>
    </row>
    <row r="265" spans="1:24" x14ac:dyDescent="0.3">
      <c r="A265">
        <v>264</v>
      </c>
      <c r="B265" s="1">
        <v>45555</v>
      </c>
      <c r="C265">
        <v>1068</v>
      </c>
      <c r="D265" t="s">
        <v>175</v>
      </c>
      <c r="E265" t="s">
        <v>24</v>
      </c>
      <c r="F265" t="s">
        <v>21</v>
      </c>
      <c r="G265" t="s">
        <v>34</v>
      </c>
      <c r="H265" t="s">
        <v>18</v>
      </c>
      <c r="I265">
        <v>2397</v>
      </c>
      <c r="J265">
        <v>7</v>
      </c>
      <c r="K265">
        <v>0.01</v>
      </c>
      <c r="L265">
        <v>-217</v>
      </c>
      <c r="M265" t="s">
        <v>31</v>
      </c>
      <c r="N265">
        <v>16611.21</v>
      </c>
      <c r="O265" t="str">
        <f>TEXT(SalesData[[#This Row],[Order_Date]],"mmm")</f>
        <v>Sep</v>
      </c>
      <c r="P265">
        <f>YEAR(SalesData[[#This Row],[Order_Date]])</f>
        <v>2024</v>
      </c>
      <c r="Q265" t="str">
        <f>"Q"&amp;ROUNDUP(MONTH(SalesData[[#This Row],[Order_Date]])/3,0)</f>
        <v>Q3</v>
      </c>
      <c r="R265" s="2">
        <f>IFERROR(SalesData[[#This Row],[Profit]]/SalesData[[#This Row],[Sales]],0)</f>
        <v>-1.3063467381364754E-2</v>
      </c>
      <c r="S265" s="2">
        <f>SalesData[[#This Row],[Price]]*SalesData[[#This Row],[Quantity]]*SalesData[[#This Row],[Discount]]</f>
        <v>167.79</v>
      </c>
      <c r="T265" s="2" t="str">
        <f>IF(SalesData[[#This Row],[Sales]]&gt;5000,"High",IF(SalesData[[#This Row],[Sales]]&gt;2000,"Medium","Low"))</f>
        <v>High</v>
      </c>
      <c r="U265" s="2" t="str">
        <f>IF(COUNTIFS(SalesData[Customer_ID],SalesData[[#This Row],[Customer_ID]])&gt;1,"Repeat","New")</f>
        <v>Repeat</v>
      </c>
      <c r="V265" s="2" t="str">
        <f>IF(SalesData[[#This Row],[Sales]]&gt;AVERAGE(SalesData[Sales]),"Above Avg","Below Avg")</f>
        <v>Above Avg</v>
      </c>
      <c r="W265" s="2" t="str">
        <f>IF(SalesData[[#This Row],[Profit]]&gt;0,"Profit","Loss")</f>
        <v>Loss</v>
      </c>
      <c r="X265" s="2">
        <f>RANK(SalesData[[#This Row],[Sales]],SalesData[Sales])</f>
        <v>113</v>
      </c>
    </row>
    <row r="266" spans="1:24" x14ac:dyDescent="0.3">
      <c r="A266">
        <v>265</v>
      </c>
      <c r="B266" s="1">
        <v>45556</v>
      </c>
      <c r="C266">
        <v>1087</v>
      </c>
      <c r="D266" t="s">
        <v>72</v>
      </c>
      <c r="E266" t="s">
        <v>24</v>
      </c>
      <c r="F266" t="s">
        <v>28</v>
      </c>
      <c r="G266" t="s">
        <v>34</v>
      </c>
      <c r="H266" t="s">
        <v>29</v>
      </c>
      <c r="I266">
        <v>1811</v>
      </c>
      <c r="J266">
        <v>2</v>
      </c>
      <c r="K266">
        <v>0.14000000000000001</v>
      </c>
      <c r="L266">
        <v>1730</v>
      </c>
      <c r="M266" t="s">
        <v>19</v>
      </c>
      <c r="N266">
        <v>3114.92</v>
      </c>
      <c r="O266" t="str">
        <f>TEXT(SalesData[[#This Row],[Order_Date]],"mmm")</f>
        <v>Sep</v>
      </c>
      <c r="P266">
        <f>YEAR(SalesData[[#This Row],[Order_Date]])</f>
        <v>2024</v>
      </c>
      <c r="Q266" t="str">
        <f>"Q"&amp;ROUNDUP(MONTH(SalesData[[#This Row],[Order_Date]])/3,0)</f>
        <v>Q3</v>
      </c>
      <c r="R266" s="2">
        <f>IFERROR(SalesData[[#This Row],[Profit]]/SalesData[[#This Row],[Sales]],0)</f>
        <v>0.55539147072798012</v>
      </c>
      <c r="S266" s="2">
        <f>SalesData[[#This Row],[Price]]*SalesData[[#This Row],[Quantity]]*SalesData[[#This Row],[Discount]]</f>
        <v>507.08000000000004</v>
      </c>
      <c r="T266" s="2" t="str">
        <f>IF(SalesData[[#This Row],[Sales]]&gt;5000,"High",IF(SalesData[[#This Row],[Sales]]&gt;2000,"Medium","Low"))</f>
        <v>Medium</v>
      </c>
      <c r="U266" s="2" t="str">
        <f>IF(COUNTIFS(SalesData[Customer_ID],SalesData[[#This Row],[Customer_ID]])&gt;1,"Repeat","New")</f>
        <v>Repeat</v>
      </c>
      <c r="V266" s="2" t="str">
        <f>IF(SalesData[[#This Row],[Sales]]&gt;AVERAGE(SalesData[Sales]),"Above Avg","Below Avg")</f>
        <v>Below Avg</v>
      </c>
      <c r="W266" s="2" t="str">
        <f>IF(SalesData[[#This Row],[Profit]]&gt;0,"Profit","Loss")</f>
        <v>Profit</v>
      </c>
      <c r="X266" s="2">
        <f>RANK(SalesData[[#This Row],[Sales]],SalesData[Sales])</f>
        <v>389</v>
      </c>
    </row>
    <row r="267" spans="1:24" x14ac:dyDescent="0.3">
      <c r="A267">
        <v>266</v>
      </c>
      <c r="B267" s="1">
        <v>45557</v>
      </c>
      <c r="C267">
        <v>1021</v>
      </c>
      <c r="D267" t="s">
        <v>56</v>
      </c>
      <c r="E267" t="s">
        <v>24</v>
      </c>
      <c r="F267" t="s">
        <v>28</v>
      </c>
      <c r="G267" t="s">
        <v>17</v>
      </c>
      <c r="H267" t="s">
        <v>18</v>
      </c>
      <c r="I267">
        <v>1107</v>
      </c>
      <c r="J267">
        <v>9</v>
      </c>
      <c r="K267">
        <v>0.13</v>
      </c>
      <c r="L267">
        <v>655</v>
      </c>
      <c r="M267" t="s">
        <v>26</v>
      </c>
      <c r="N267">
        <v>8667.81</v>
      </c>
      <c r="O267" t="str">
        <f>TEXT(SalesData[[#This Row],[Order_Date]],"mmm")</f>
        <v>Sep</v>
      </c>
      <c r="P267">
        <f>YEAR(SalesData[[#This Row],[Order_Date]])</f>
        <v>2024</v>
      </c>
      <c r="Q267" t="str">
        <f>"Q"&amp;ROUNDUP(MONTH(SalesData[[#This Row],[Order_Date]])/3,0)</f>
        <v>Q3</v>
      </c>
      <c r="R267" s="2">
        <f>IFERROR(SalesData[[#This Row],[Profit]]/SalesData[[#This Row],[Sales]],0)</f>
        <v>7.5566954051830865E-2</v>
      </c>
      <c r="S267" s="2">
        <f>SalesData[[#This Row],[Price]]*SalesData[[#This Row],[Quantity]]*SalesData[[#This Row],[Discount]]</f>
        <v>1295.19</v>
      </c>
      <c r="T267" s="2" t="str">
        <f>IF(SalesData[[#This Row],[Sales]]&gt;5000,"High",IF(SalesData[[#This Row],[Sales]]&gt;2000,"Medium","Low"))</f>
        <v>High</v>
      </c>
      <c r="U267" s="2" t="str">
        <f>IF(COUNTIFS(SalesData[Customer_ID],SalesData[[#This Row],[Customer_ID]])&gt;1,"Repeat","New")</f>
        <v>Repeat</v>
      </c>
      <c r="V267" s="2" t="str">
        <f>IF(SalesData[[#This Row],[Sales]]&gt;AVERAGE(SalesData[Sales]),"Above Avg","Below Avg")</f>
        <v>Below Avg</v>
      </c>
      <c r="W267" s="2" t="str">
        <f>IF(SalesData[[#This Row],[Profit]]&gt;0,"Profit","Loss")</f>
        <v>Profit</v>
      </c>
      <c r="X267" s="2">
        <f>RANK(SalesData[[#This Row],[Sales]],SalesData[Sales])</f>
        <v>235</v>
      </c>
    </row>
    <row r="268" spans="1:24" x14ac:dyDescent="0.3">
      <c r="A268">
        <v>267</v>
      </c>
      <c r="B268" s="1">
        <v>45558</v>
      </c>
      <c r="C268">
        <v>1089</v>
      </c>
      <c r="D268" t="s">
        <v>94</v>
      </c>
      <c r="E268" t="s">
        <v>15</v>
      </c>
      <c r="F268" t="s">
        <v>16</v>
      </c>
      <c r="G268" t="s">
        <v>17</v>
      </c>
      <c r="H268" t="s">
        <v>25</v>
      </c>
      <c r="I268">
        <v>2696</v>
      </c>
      <c r="J268">
        <v>9</v>
      </c>
      <c r="K268">
        <v>0.02</v>
      </c>
      <c r="L268">
        <v>445</v>
      </c>
      <c r="M268" t="s">
        <v>26</v>
      </c>
      <c r="N268">
        <v>23778.720000000001</v>
      </c>
      <c r="O268" t="str">
        <f>TEXT(SalesData[[#This Row],[Order_Date]],"mmm")</f>
        <v>Sep</v>
      </c>
      <c r="P268">
        <f>YEAR(SalesData[[#This Row],[Order_Date]])</f>
        <v>2024</v>
      </c>
      <c r="Q268" t="str">
        <f>"Q"&amp;ROUNDUP(MONTH(SalesData[[#This Row],[Order_Date]])/3,0)</f>
        <v>Q3</v>
      </c>
      <c r="R268" s="2">
        <f>IFERROR(SalesData[[#This Row],[Profit]]/SalesData[[#This Row],[Sales]],0)</f>
        <v>1.8714211698527085E-2</v>
      </c>
      <c r="S268" s="2">
        <f>SalesData[[#This Row],[Price]]*SalesData[[#This Row],[Quantity]]*SalesData[[#This Row],[Discount]]</f>
        <v>485.28000000000003</v>
      </c>
      <c r="T268" s="2" t="str">
        <f>IF(SalesData[[#This Row],[Sales]]&gt;5000,"High",IF(SalesData[[#This Row],[Sales]]&gt;2000,"Medium","Low"))</f>
        <v>High</v>
      </c>
      <c r="U268" s="2" t="str">
        <f>IF(COUNTIFS(SalesData[Customer_ID],SalesData[[#This Row],[Customer_ID]])&gt;1,"Repeat","New")</f>
        <v>Repeat</v>
      </c>
      <c r="V268" s="2" t="str">
        <f>IF(SalesData[[#This Row],[Sales]]&gt;AVERAGE(SalesData[Sales]),"Above Avg","Below Avg")</f>
        <v>Above Avg</v>
      </c>
      <c r="W268" s="2" t="str">
        <f>IF(SalesData[[#This Row],[Profit]]&gt;0,"Profit","Loss")</f>
        <v>Profit</v>
      </c>
      <c r="X268" s="2">
        <f>RANK(SalesData[[#This Row],[Sales]],SalesData[Sales])</f>
        <v>53</v>
      </c>
    </row>
    <row r="269" spans="1:24" x14ac:dyDescent="0.3">
      <c r="A269">
        <v>268</v>
      </c>
      <c r="B269" s="1">
        <v>45559</v>
      </c>
      <c r="C269">
        <v>1050</v>
      </c>
      <c r="D269" t="s">
        <v>47</v>
      </c>
      <c r="E269" t="s">
        <v>24</v>
      </c>
      <c r="F269" t="s">
        <v>28</v>
      </c>
      <c r="G269" t="s">
        <v>34</v>
      </c>
      <c r="H269" t="s">
        <v>29</v>
      </c>
      <c r="I269">
        <v>3486</v>
      </c>
      <c r="J269">
        <v>4</v>
      </c>
      <c r="K269">
        <v>0.05</v>
      </c>
      <c r="L269">
        <v>1943</v>
      </c>
      <c r="M269" t="s">
        <v>31</v>
      </c>
      <c r="N269">
        <v>13246.8</v>
      </c>
      <c r="O269" t="str">
        <f>TEXT(SalesData[[#This Row],[Order_Date]],"mmm")</f>
        <v>Sep</v>
      </c>
      <c r="P269">
        <f>YEAR(SalesData[[#This Row],[Order_Date]])</f>
        <v>2024</v>
      </c>
      <c r="Q269" t="str">
        <f>"Q"&amp;ROUNDUP(MONTH(SalesData[[#This Row],[Order_Date]])/3,0)</f>
        <v>Q3</v>
      </c>
      <c r="R269" s="2">
        <f>IFERROR(SalesData[[#This Row],[Profit]]/SalesData[[#This Row],[Sales]],0)</f>
        <v>0.14667693329709819</v>
      </c>
      <c r="S269" s="2">
        <f>SalesData[[#This Row],[Price]]*SalesData[[#This Row],[Quantity]]*SalesData[[#This Row],[Discount]]</f>
        <v>697.2</v>
      </c>
      <c r="T269" s="2" t="str">
        <f>IF(SalesData[[#This Row],[Sales]]&gt;5000,"High",IF(SalesData[[#This Row],[Sales]]&gt;2000,"Medium","Low"))</f>
        <v>High</v>
      </c>
      <c r="U269" s="2" t="str">
        <f>IF(COUNTIFS(SalesData[Customer_ID],SalesData[[#This Row],[Customer_ID]])&gt;1,"Repeat","New")</f>
        <v>Repeat</v>
      </c>
      <c r="V269" s="2" t="str">
        <f>IF(SalesData[[#This Row],[Sales]]&gt;AVERAGE(SalesData[Sales]),"Above Avg","Below Avg")</f>
        <v>Above Avg</v>
      </c>
      <c r="W269" s="2" t="str">
        <f>IF(SalesData[[#This Row],[Profit]]&gt;0,"Profit","Loss")</f>
        <v>Profit</v>
      </c>
      <c r="X269" s="2">
        <f>RANK(SalesData[[#This Row],[Sales]],SalesData[Sales])</f>
        <v>158</v>
      </c>
    </row>
    <row r="270" spans="1:24" x14ac:dyDescent="0.3">
      <c r="A270">
        <v>269</v>
      </c>
      <c r="B270" s="1">
        <v>45560</v>
      </c>
      <c r="C270">
        <v>1036</v>
      </c>
      <c r="D270" t="s">
        <v>170</v>
      </c>
      <c r="E270" t="s">
        <v>24</v>
      </c>
      <c r="F270" t="s">
        <v>28</v>
      </c>
      <c r="G270" t="s">
        <v>17</v>
      </c>
      <c r="H270" t="s">
        <v>18</v>
      </c>
      <c r="I270">
        <v>1882</v>
      </c>
      <c r="J270">
        <v>3</v>
      </c>
      <c r="K270">
        <v>0.24</v>
      </c>
      <c r="L270">
        <v>1096</v>
      </c>
      <c r="M270" t="s">
        <v>31</v>
      </c>
      <c r="N270">
        <v>4290.96</v>
      </c>
      <c r="O270" t="str">
        <f>TEXT(SalesData[[#This Row],[Order_Date]],"mmm")</f>
        <v>Sep</v>
      </c>
      <c r="P270">
        <f>YEAR(SalesData[[#This Row],[Order_Date]])</f>
        <v>2024</v>
      </c>
      <c r="Q270" t="str">
        <f>"Q"&amp;ROUNDUP(MONTH(SalesData[[#This Row],[Order_Date]])/3,0)</f>
        <v>Q3</v>
      </c>
      <c r="R270" s="2">
        <f>IFERROR(SalesData[[#This Row],[Profit]]/SalesData[[#This Row],[Sales]],0)</f>
        <v>0.25542069839849357</v>
      </c>
      <c r="S270" s="2">
        <f>SalesData[[#This Row],[Price]]*SalesData[[#This Row],[Quantity]]*SalesData[[#This Row],[Discount]]</f>
        <v>1355.04</v>
      </c>
      <c r="T270" s="2" t="str">
        <f>IF(SalesData[[#This Row],[Sales]]&gt;5000,"High",IF(SalesData[[#This Row],[Sales]]&gt;2000,"Medium","Low"))</f>
        <v>Medium</v>
      </c>
      <c r="U270" s="2" t="str">
        <f>IF(COUNTIFS(SalesData[Customer_ID],SalesData[[#This Row],[Customer_ID]])&gt;1,"Repeat","New")</f>
        <v>Repeat</v>
      </c>
      <c r="V270" s="2" t="str">
        <f>IF(SalesData[[#This Row],[Sales]]&gt;AVERAGE(SalesData[Sales]),"Above Avg","Below Avg")</f>
        <v>Below Avg</v>
      </c>
      <c r="W270" s="2" t="str">
        <f>IF(SalesData[[#This Row],[Profit]]&gt;0,"Profit","Loss")</f>
        <v>Profit</v>
      </c>
      <c r="X270" s="2">
        <f>RANK(SalesData[[#This Row],[Sales]],SalesData[Sales])</f>
        <v>342</v>
      </c>
    </row>
    <row r="271" spans="1:24" x14ac:dyDescent="0.3">
      <c r="A271">
        <v>270</v>
      </c>
      <c r="B271" s="1">
        <v>45561</v>
      </c>
      <c r="C271">
        <v>1044</v>
      </c>
      <c r="D271" t="s">
        <v>169</v>
      </c>
      <c r="E271" t="s">
        <v>24</v>
      </c>
      <c r="F271" t="s">
        <v>33</v>
      </c>
      <c r="G271" t="s">
        <v>34</v>
      </c>
      <c r="H271" t="s">
        <v>37</v>
      </c>
      <c r="I271">
        <v>4244</v>
      </c>
      <c r="J271">
        <v>8</v>
      </c>
      <c r="K271">
        <v>0.18</v>
      </c>
      <c r="L271">
        <v>1997</v>
      </c>
      <c r="M271" t="s">
        <v>19</v>
      </c>
      <c r="N271">
        <v>27840.639999999999</v>
      </c>
      <c r="O271" t="str">
        <f>TEXT(SalesData[[#This Row],[Order_Date]],"mmm")</f>
        <v>Sep</v>
      </c>
      <c r="P271">
        <f>YEAR(SalesData[[#This Row],[Order_Date]])</f>
        <v>2024</v>
      </c>
      <c r="Q271" t="str">
        <f>"Q"&amp;ROUNDUP(MONTH(SalesData[[#This Row],[Order_Date]])/3,0)</f>
        <v>Q3</v>
      </c>
      <c r="R271" s="2">
        <f>IFERROR(SalesData[[#This Row],[Profit]]/SalesData[[#This Row],[Sales]],0)</f>
        <v>7.1729672881083201E-2</v>
      </c>
      <c r="S271" s="2">
        <f>SalesData[[#This Row],[Price]]*SalesData[[#This Row],[Quantity]]*SalesData[[#This Row],[Discount]]</f>
        <v>6111.36</v>
      </c>
      <c r="T271" s="2" t="str">
        <f>IF(SalesData[[#This Row],[Sales]]&gt;5000,"High",IF(SalesData[[#This Row],[Sales]]&gt;2000,"Medium","Low"))</f>
        <v>High</v>
      </c>
      <c r="U271" s="2" t="str">
        <f>IF(COUNTIFS(SalesData[Customer_ID],SalesData[[#This Row],[Customer_ID]])&gt;1,"Repeat","New")</f>
        <v>Repeat</v>
      </c>
      <c r="V271" s="2" t="str">
        <f>IF(SalesData[[#This Row],[Sales]]&gt;AVERAGE(SalesData[Sales]),"Above Avg","Below Avg")</f>
        <v>Above Avg</v>
      </c>
      <c r="W271" s="2" t="str">
        <f>IF(SalesData[[#This Row],[Profit]]&gt;0,"Profit","Loss")</f>
        <v>Profit</v>
      </c>
      <c r="X271" s="2">
        <f>RANK(SalesData[[#This Row],[Sales]],SalesData[Sales])</f>
        <v>33</v>
      </c>
    </row>
    <row r="272" spans="1:24" x14ac:dyDescent="0.3">
      <c r="A272">
        <v>271</v>
      </c>
      <c r="B272" s="1">
        <v>45562</v>
      </c>
      <c r="C272">
        <v>1092</v>
      </c>
      <c r="D272" t="s">
        <v>178</v>
      </c>
      <c r="E272" t="s">
        <v>15</v>
      </c>
      <c r="F272" t="s">
        <v>21</v>
      </c>
      <c r="G272" t="s">
        <v>22</v>
      </c>
      <c r="H272" t="s">
        <v>25</v>
      </c>
      <c r="I272">
        <v>2461</v>
      </c>
      <c r="J272">
        <v>4</v>
      </c>
      <c r="K272">
        <v>7.0000000000000007E-2</v>
      </c>
      <c r="L272">
        <v>1327</v>
      </c>
      <c r="M272" t="s">
        <v>26</v>
      </c>
      <c r="N272">
        <v>9154.92</v>
      </c>
      <c r="O272" t="str">
        <f>TEXT(SalesData[[#This Row],[Order_Date]],"mmm")</f>
        <v>Sep</v>
      </c>
      <c r="P272">
        <f>YEAR(SalesData[[#This Row],[Order_Date]])</f>
        <v>2024</v>
      </c>
      <c r="Q272" t="str">
        <f>"Q"&amp;ROUNDUP(MONTH(SalesData[[#This Row],[Order_Date]])/3,0)</f>
        <v>Q3</v>
      </c>
      <c r="R272" s="2">
        <f>IFERROR(SalesData[[#This Row],[Profit]]/SalesData[[#This Row],[Sales]],0)</f>
        <v>0.14494938240858468</v>
      </c>
      <c r="S272" s="2">
        <f>SalesData[[#This Row],[Price]]*SalesData[[#This Row],[Quantity]]*SalesData[[#This Row],[Discount]]</f>
        <v>689.08</v>
      </c>
      <c r="T272" s="2" t="str">
        <f>IF(SalesData[[#This Row],[Sales]]&gt;5000,"High",IF(SalesData[[#This Row],[Sales]]&gt;2000,"Medium","Low"))</f>
        <v>High</v>
      </c>
      <c r="U272" s="2" t="str">
        <f>IF(COUNTIFS(SalesData[Customer_ID],SalesData[[#This Row],[Customer_ID]])&gt;1,"Repeat","New")</f>
        <v>Repeat</v>
      </c>
      <c r="V272" s="2" t="str">
        <f>IF(SalesData[[#This Row],[Sales]]&gt;AVERAGE(SalesData[Sales]),"Above Avg","Below Avg")</f>
        <v>Below Avg</v>
      </c>
      <c r="W272" s="2" t="str">
        <f>IF(SalesData[[#This Row],[Profit]]&gt;0,"Profit","Loss")</f>
        <v>Profit</v>
      </c>
      <c r="X272" s="2">
        <f>RANK(SalesData[[#This Row],[Sales]],SalesData[Sales])</f>
        <v>228</v>
      </c>
    </row>
    <row r="273" spans="1:24" x14ac:dyDescent="0.3">
      <c r="A273">
        <v>272</v>
      </c>
      <c r="B273" s="1">
        <v>45563</v>
      </c>
      <c r="C273">
        <v>1099</v>
      </c>
      <c r="D273" t="s">
        <v>92</v>
      </c>
      <c r="E273" t="s">
        <v>24</v>
      </c>
      <c r="F273" t="s">
        <v>16</v>
      </c>
      <c r="G273" t="s">
        <v>17</v>
      </c>
      <c r="H273" t="s">
        <v>29</v>
      </c>
      <c r="I273">
        <v>4549</v>
      </c>
      <c r="J273">
        <v>3</v>
      </c>
      <c r="K273">
        <v>0.14000000000000001</v>
      </c>
      <c r="L273">
        <v>1353</v>
      </c>
      <c r="M273" t="s">
        <v>31</v>
      </c>
      <c r="N273">
        <v>11736.42</v>
      </c>
      <c r="O273" t="str">
        <f>TEXT(SalesData[[#This Row],[Order_Date]],"mmm")</f>
        <v>Sep</v>
      </c>
      <c r="P273">
        <f>YEAR(SalesData[[#This Row],[Order_Date]])</f>
        <v>2024</v>
      </c>
      <c r="Q273" t="str">
        <f>"Q"&amp;ROUNDUP(MONTH(SalesData[[#This Row],[Order_Date]])/3,0)</f>
        <v>Q3</v>
      </c>
      <c r="R273" s="2">
        <f>IFERROR(SalesData[[#This Row],[Profit]]/SalesData[[#This Row],[Sales]],0)</f>
        <v>0.11528217292837169</v>
      </c>
      <c r="S273" s="2">
        <f>SalesData[[#This Row],[Price]]*SalesData[[#This Row],[Quantity]]*SalesData[[#This Row],[Discount]]</f>
        <v>1910.5800000000002</v>
      </c>
      <c r="T273" s="2" t="str">
        <f>IF(SalesData[[#This Row],[Sales]]&gt;5000,"High",IF(SalesData[[#This Row],[Sales]]&gt;2000,"Medium","Low"))</f>
        <v>High</v>
      </c>
      <c r="U273" s="2" t="str">
        <f>IF(COUNTIFS(SalesData[Customer_ID],SalesData[[#This Row],[Customer_ID]])&gt;1,"Repeat","New")</f>
        <v>Repeat</v>
      </c>
      <c r="V273" s="2" t="str">
        <f>IF(SalesData[[#This Row],[Sales]]&gt;AVERAGE(SalesData[Sales]),"Above Avg","Below Avg")</f>
        <v>Above Avg</v>
      </c>
      <c r="W273" s="2" t="str">
        <f>IF(SalesData[[#This Row],[Profit]]&gt;0,"Profit","Loss")</f>
        <v>Profit</v>
      </c>
      <c r="X273" s="2">
        <f>RANK(SalesData[[#This Row],[Sales]],SalesData[Sales])</f>
        <v>176</v>
      </c>
    </row>
    <row r="274" spans="1:24" x14ac:dyDescent="0.3">
      <c r="A274">
        <v>273</v>
      </c>
      <c r="B274" s="1">
        <v>45564</v>
      </c>
      <c r="C274">
        <v>1083</v>
      </c>
      <c r="D274" t="s">
        <v>67</v>
      </c>
      <c r="E274" t="s">
        <v>24</v>
      </c>
      <c r="F274" t="s">
        <v>16</v>
      </c>
      <c r="G274" t="s">
        <v>34</v>
      </c>
      <c r="H274" t="s">
        <v>25</v>
      </c>
      <c r="I274">
        <v>1134</v>
      </c>
      <c r="J274">
        <v>3</v>
      </c>
      <c r="K274">
        <v>0.26</v>
      </c>
      <c r="L274">
        <v>1911</v>
      </c>
      <c r="M274" t="s">
        <v>19</v>
      </c>
      <c r="N274">
        <v>2517.48</v>
      </c>
      <c r="O274" t="str">
        <f>TEXT(SalesData[[#This Row],[Order_Date]],"mmm")</f>
        <v>Sep</v>
      </c>
      <c r="P274">
        <f>YEAR(SalesData[[#This Row],[Order_Date]])</f>
        <v>2024</v>
      </c>
      <c r="Q274" t="str">
        <f>"Q"&amp;ROUNDUP(MONTH(SalesData[[#This Row],[Order_Date]])/3,0)</f>
        <v>Q3</v>
      </c>
      <c r="R274" s="2">
        <f>IFERROR(SalesData[[#This Row],[Profit]]/SalesData[[#This Row],[Sales]],0)</f>
        <v>0.75909242575909242</v>
      </c>
      <c r="S274" s="2">
        <f>SalesData[[#This Row],[Price]]*SalesData[[#This Row],[Quantity]]*SalesData[[#This Row],[Discount]]</f>
        <v>884.52</v>
      </c>
      <c r="T274" s="2" t="str">
        <f>IF(SalesData[[#This Row],[Sales]]&gt;5000,"High",IF(SalesData[[#This Row],[Sales]]&gt;2000,"Medium","Low"))</f>
        <v>Medium</v>
      </c>
      <c r="U274" s="2" t="str">
        <f>IF(COUNTIFS(SalesData[Customer_ID],SalesData[[#This Row],[Customer_ID]])&gt;1,"Repeat","New")</f>
        <v>Repeat</v>
      </c>
      <c r="V274" s="2" t="str">
        <f>IF(SalesData[[#This Row],[Sales]]&gt;AVERAGE(SalesData[Sales]),"Above Avg","Below Avg")</f>
        <v>Below Avg</v>
      </c>
      <c r="W274" s="2" t="str">
        <f>IF(SalesData[[#This Row],[Profit]]&gt;0,"Profit","Loss")</f>
        <v>Profit</v>
      </c>
      <c r="X274" s="2">
        <f>RANK(SalesData[[#This Row],[Sales]],SalesData[Sales])</f>
        <v>409</v>
      </c>
    </row>
    <row r="275" spans="1:24" x14ac:dyDescent="0.3">
      <c r="A275">
        <v>274</v>
      </c>
      <c r="B275" s="1">
        <v>45565</v>
      </c>
      <c r="C275">
        <v>1081</v>
      </c>
      <c r="D275" t="s">
        <v>136</v>
      </c>
      <c r="E275" t="s">
        <v>15</v>
      </c>
      <c r="F275" t="s">
        <v>28</v>
      </c>
      <c r="G275" t="s">
        <v>17</v>
      </c>
      <c r="H275" t="s">
        <v>37</v>
      </c>
      <c r="I275">
        <v>3921</v>
      </c>
      <c r="J275">
        <v>3</v>
      </c>
      <c r="K275">
        <v>0.03</v>
      </c>
      <c r="L275">
        <v>-471</v>
      </c>
      <c r="M275" t="s">
        <v>31</v>
      </c>
      <c r="N275">
        <v>11410.11</v>
      </c>
      <c r="O275" t="str">
        <f>TEXT(SalesData[[#This Row],[Order_Date]],"mmm")</f>
        <v>Sep</v>
      </c>
      <c r="P275">
        <f>YEAR(SalesData[[#This Row],[Order_Date]])</f>
        <v>2024</v>
      </c>
      <c r="Q275" t="str">
        <f>"Q"&amp;ROUNDUP(MONTH(SalesData[[#This Row],[Order_Date]])/3,0)</f>
        <v>Q3</v>
      </c>
      <c r="R275" s="2">
        <f>IFERROR(SalesData[[#This Row],[Profit]]/SalesData[[#This Row],[Sales]],0)</f>
        <v>-4.1279181357585508E-2</v>
      </c>
      <c r="S275" s="2">
        <f>SalesData[[#This Row],[Price]]*SalesData[[#This Row],[Quantity]]*SalesData[[#This Row],[Discount]]</f>
        <v>352.89</v>
      </c>
      <c r="T275" s="2" t="str">
        <f>IF(SalesData[[#This Row],[Sales]]&gt;5000,"High",IF(SalesData[[#This Row],[Sales]]&gt;2000,"Medium","Low"))</f>
        <v>High</v>
      </c>
      <c r="U275" s="2" t="str">
        <f>IF(COUNTIFS(SalesData[Customer_ID],SalesData[[#This Row],[Customer_ID]])&gt;1,"Repeat","New")</f>
        <v>Repeat</v>
      </c>
      <c r="V275" s="2" t="str">
        <f>IF(SalesData[[#This Row],[Sales]]&gt;AVERAGE(SalesData[Sales]),"Above Avg","Below Avg")</f>
        <v>Above Avg</v>
      </c>
      <c r="W275" s="2" t="str">
        <f>IF(SalesData[[#This Row],[Profit]]&gt;0,"Profit","Loss")</f>
        <v>Loss</v>
      </c>
      <c r="X275" s="2">
        <f>RANK(SalesData[[#This Row],[Sales]],SalesData[Sales])</f>
        <v>182</v>
      </c>
    </row>
    <row r="276" spans="1:24" x14ac:dyDescent="0.3">
      <c r="A276">
        <v>275</v>
      </c>
      <c r="B276" s="1">
        <v>45566</v>
      </c>
      <c r="C276">
        <v>1061</v>
      </c>
      <c r="D276" t="s">
        <v>87</v>
      </c>
      <c r="E276" t="s">
        <v>15</v>
      </c>
      <c r="F276" t="s">
        <v>33</v>
      </c>
      <c r="G276" t="s">
        <v>17</v>
      </c>
      <c r="H276" t="s">
        <v>37</v>
      </c>
      <c r="I276">
        <v>3876</v>
      </c>
      <c r="J276">
        <v>1</v>
      </c>
      <c r="K276">
        <v>0.28999999999999998</v>
      </c>
      <c r="L276">
        <v>71</v>
      </c>
      <c r="M276" t="s">
        <v>19</v>
      </c>
      <c r="N276">
        <v>2751.96</v>
      </c>
      <c r="O276" t="str">
        <f>TEXT(SalesData[[#This Row],[Order_Date]],"mmm")</f>
        <v>Oct</v>
      </c>
      <c r="P276">
        <f>YEAR(SalesData[[#This Row],[Order_Date]])</f>
        <v>2024</v>
      </c>
      <c r="Q276" t="str">
        <f>"Q"&amp;ROUNDUP(MONTH(SalesData[[#This Row],[Order_Date]])/3,0)</f>
        <v>Q4</v>
      </c>
      <c r="R276" s="2">
        <f>IFERROR(SalesData[[#This Row],[Profit]]/SalesData[[#This Row],[Sales]],0)</f>
        <v>2.5799793601651185E-2</v>
      </c>
      <c r="S276" s="2">
        <f>SalesData[[#This Row],[Price]]*SalesData[[#This Row],[Quantity]]*SalesData[[#This Row],[Discount]]</f>
        <v>1124.04</v>
      </c>
      <c r="T276" s="2" t="str">
        <f>IF(SalesData[[#This Row],[Sales]]&gt;5000,"High",IF(SalesData[[#This Row],[Sales]]&gt;2000,"Medium","Low"))</f>
        <v>Medium</v>
      </c>
      <c r="U276" s="2" t="str">
        <f>IF(COUNTIFS(SalesData[Customer_ID],SalesData[[#This Row],[Customer_ID]])&gt;1,"Repeat","New")</f>
        <v>Repeat</v>
      </c>
      <c r="V276" s="2" t="str">
        <f>IF(SalesData[[#This Row],[Sales]]&gt;AVERAGE(SalesData[Sales]),"Above Avg","Below Avg")</f>
        <v>Below Avg</v>
      </c>
      <c r="W276" s="2" t="str">
        <f>IF(SalesData[[#This Row],[Profit]]&gt;0,"Profit","Loss")</f>
        <v>Profit</v>
      </c>
      <c r="X276" s="2">
        <f>RANK(SalesData[[#This Row],[Sales]],SalesData[Sales])</f>
        <v>401</v>
      </c>
    </row>
    <row r="277" spans="1:24" x14ac:dyDescent="0.3">
      <c r="A277">
        <v>276</v>
      </c>
      <c r="B277" s="1">
        <v>45567</v>
      </c>
      <c r="C277">
        <v>1014</v>
      </c>
      <c r="D277" t="s">
        <v>65</v>
      </c>
      <c r="E277" t="s">
        <v>24</v>
      </c>
      <c r="F277" t="s">
        <v>28</v>
      </c>
      <c r="G277" t="s">
        <v>34</v>
      </c>
      <c r="H277" t="s">
        <v>29</v>
      </c>
      <c r="I277">
        <v>4808</v>
      </c>
      <c r="J277">
        <v>5</v>
      </c>
      <c r="K277">
        <v>0.04</v>
      </c>
      <c r="L277">
        <v>860</v>
      </c>
      <c r="M277" t="s">
        <v>31</v>
      </c>
      <c r="N277">
        <v>23078.3999999999</v>
      </c>
      <c r="O277" t="str">
        <f>TEXT(SalesData[[#This Row],[Order_Date]],"mmm")</f>
        <v>Oct</v>
      </c>
      <c r="P277">
        <f>YEAR(SalesData[[#This Row],[Order_Date]])</f>
        <v>2024</v>
      </c>
      <c r="Q277" t="str">
        <f>"Q"&amp;ROUNDUP(MONTH(SalesData[[#This Row],[Order_Date]])/3,0)</f>
        <v>Q4</v>
      </c>
      <c r="R277" s="2">
        <f>IFERROR(SalesData[[#This Row],[Profit]]/SalesData[[#This Row],[Sales]],0)</f>
        <v>3.7264281752634659E-2</v>
      </c>
      <c r="S277" s="2">
        <f>SalesData[[#This Row],[Price]]*SalesData[[#This Row],[Quantity]]*SalesData[[#This Row],[Discount]]</f>
        <v>961.6</v>
      </c>
      <c r="T277" s="2" t="str">
        <f>IF(SalesData[[#This Row],[Sales]]&gt;5000,"High",IF(SalesData[[#This Row],[Sales]]&gt;2000,"Medium","Low"))</f>
        <v>High</v>
      </c>
      <c r="U277" s="2" t="str">
        <f>IF(COUNTIFS(SalesData[Customer_ID],SalesData[[#This Row],[Customer_ID]])&gt;1,"Repeat","New")</f>
        <v>Repeat</v>
      </c>
      <c r="V277" s="2" t="str">
        <f>IF(SalesData[[#This Row],[Sales]]&gt;AVERAGE(SalesData[Sales]),"Above Avg","Below Avg")</f>
        <v>Above Avg</v>
      </c>
      <c r="W277" s="2" t="str">
        <f>IF(SalesData[[#This Row],[Profit]]&gt;0,"Profit","Loss")</f>
        <v>Profit</v>
      </c>
      <c r="X277" s="2">
        <f>RANK(SalesData[[#This Row],[Sales]],SalesData[Sales])</f>
        <v>58</v>
      </c>
    </row>
    <row r="278" spans="1:24" x14ac:dyDescent="0.3">
      <c r="A278">
        <v>277</v>
      </c>
      <c r="B278" s="1">
        <v>45568</v>
      </c>
      <c r="C278">
        <v>1078</v>
      </c>
      <c r="D278" t="s">
        <v>184</v>
      </c>
      <c r="E278" t="s">
        <v>15</v>
      </c>
      <c r="F278" t="s">
        <v>16</v>
      </c>
      <c r="G278" t="s">
        <v>34</v>
      </c>
      <c r="H278" t="s">
        <v>29</v>
      </c>
      <c r="I278">
        <v>1839</v>
      </c>
      <c r="J278">
        <v>2</v>
      </c>
      <c r="K278">
        <v>0.09</v>
      </c>
      <c r="L278">
        <v>1136</v>
      </c>
      <c r="M278" t="s">
        <v>31</v>
      </c>
      <c r="N278">
        <v>3346.98</v>
      </c>
      <c r="O278" t="str">
        <f>TEXT(SalesData[[#This Row],[Order_Date]],"mmm")</f>
        <v>Oct</v>
      </c>
      <c r="P278">
        <f>YEAR(SalesData[[#This Row],[Order_Date]])</f>
        <v>2024</v>
      </c>
      <c r="Q278" t="str">
        <f>"Q"&amp;ROUNDUP(MONTH(SalesData[[#This Row],[Order_Date]])/3,0)</f>
        <v>Q4</v>
      </c>
      <c r="R278" s="2">
        <f>IFERROR(SalesData[[#This Row],[Profit]]/SalesData[[#This Row],[Sales]],0)</f>
        <v>0.33941045360294952</v>
      </c>
      <c r="S278" s="2">
        <f>SalesData[[#This Row],[Price]]*SalesData[[#This Row],[Quantity]]*SalesData[[#This Row],[Discount]]</f>
        <v>331.02</v>
      </c>
      <c r="T278" s="2" t="str">
        <f>IF(SalesData[[#This Row],[Sales]]&gt;5000,"High",IF(SalesData[[#This Row],[Sales]]&gt;2000,"Medium","Low"))</f>
        <v>Medium</v>
      </c>
      <c r="U278" s="2" t="str">
        <f>IF(COUNTIFS(SalesData[Customer_ID],SalesData[[#This Row],[Customer_ID]])&gt;1,"Repeat","New")</f>
        <v>Repeat</v>
      </c>
      <c r="V278" s="2" t="str">
        <f>IF(SalesData[[#This Row],[Sales]]&gt;AVERAGE(SalesData[Sales]),"Above Avg","Below Avg")</f>
        <v>Below Avg</v>
      </c>
      <c r="W278" s="2" t="str">
        <f>IF(SalesData[[#This Row],[Profit]]&gt;0,"Profit","Loss")</f>
        <v>Profit</v>
      </c>
      <c r="X278" s="2">
        <f>RANK(SalesData[[#This Row],[Sales]],SalesData[Sales])</f>
        <v>384</v>
      </c>
    </row>
    <row r="279" spans="1:24" x14ac:dyDescent="0.3">
      <c r="A279">
        <v>278</v>
      </c>
      <c r="B279" s="1">
        <v>45569</v>
      </c>
      <c r="C279">
        <v>1023</v>
      </c>
      <c r="D279" t="s">
        <v>113</v>
      </c>
      <c r="E279" t="s">
        <v>15</v>
      </c>
      <c r="F279" t="s">
        <v>28</v>
      </c>
      <c r="G279" t="s">
        <v>34</v>
      </c>
      <c r="H279" t="s">
        <v>25</v>
      </c>
      <c r="I279">
        <v>535</v>
      </c>
      <c r="J279">
        <v>7</v>
      </c>
      <c r="K279">
        <v>0.05</v>
      </c>
      <c r="L279">
        <v>-213</v>
      </c>
      <c r="M279" t="s">
        <v>31</v>
      </c>
      <c r="N279">
        <v>3557.75</v>
      </c>
      <c r="O279" t="str">
        <f>TEXT(SalesData[[#This Row],[Order_Date]],"mmm")</f>
        <v>Oct</v>
      </c>
      <c r="P279">
        <f>YEAR(SalesData[[#This Row],[Order_Date]])</f>
        <v>2024</v>
      </c>
      <c r="Q279" t="str">
        <f>"Q"&amp;ROUNDUP(MONTH(SalesData[[#This Row],[Order_Date]])/3,0)</f>
        <v>Q4</v>
      </c>
      <c r="R279" s="2">
        <f>IFERROR(SalesData[[#This Row],[Profit]]/SalesData[[#This Row],[Sales]],0)</f>
        <v>-5.9869299416766213E-2</v>
      </c>
      <c r="S279" s="2">
        <f>SalesData[[#This Row],[Price]]*SalesData[[#This Row],[Quantity]]*SalesData[[#This Row],[Discount]]</f>
        <v>187.25</v>
      </c>
      <c r="T279" s="2" t="str">
        <f>IF(SalesData[[#This Row],[Sales]]&gt;5000,"High",IF(SalesData[[#This Row],[Sales]]&gt;2000,"Medium","Low"))</f>
        <v>Medium</v>
      </c>
      <c r="U279" s="2" t="str">
        <f>IF(COUNTIFS(SalesData[Customer_ID],SalesData[[#This Row],[Customer_ID]])&gt;1,"Repeat","New")</f>
        <v>Repeat</v>
      </c>
      <c r="V279" s="2" t="str">
        <f>IF(SalesData[[#This Row],[Sales]]&gt;AVERAGE(SalesData[Sales]),"Above Avg","Below Avg")</f>
        <v>Below Avg</v>
      </c>
      <c r="W279" s="2" t="str">
        <f>IF(SalesData[[#This Row],[Profit]]&gt;0,"Profit","Loss")</f>
        <v>Loss</v>
      </c>
      <c r="X279" s="2">
        <f>RANK(SalesData[[#This Row],[Sales]],SalesData[Sales])</f>
        <v>374</v>
      </c>
    </row>
    <row r="280" spans="1:24" x14ac:dyDescent="0.3">
      <c r="A280">
        <v>279</v>
      </c>
      <c r="B280" s="1">
        <v>45570</v>
      </c>
      <c r="C280">
        <v>1062</v>
      </c>
      <c r="D280" t="s">
        <v>75</v>
      </c>
      <c r="E280" t="s">
        <v>24</v>
      </c>
      <c r="F280" t="s">
        <v>33</v>
      </c>
      <c r="G280" t="s">
        <v>17</v>
      </c>
      <c r="H280" t="s">
        <v>29</v>
      </c>
      <c r="I280">
        <v>592</v>
      </c>
      <c r="J280">
        <v>4</v>
      </c>
      <c r="K280">
        <v>0.14000000000000001</v>
      </c>
      <c r="L280">
        <v>549</v>
      </c>
      <c r="M280" t="s">
        <v>31</v>
      </c>
      <c r="N280">
        <v>2036.48</v>
      </c>
      <c r="O280" t="str">
        <f>TEXT(SalesData[[#This Row],[Order_Date]],"mmm")</f>
        <v>Oct</v>
      </c>
      <c r="P280">
        <f>YEAR(SalesData[[#This Row],[Order_Date]])</f>
        <v>2024</v>
      </c>
      <c r="Q280" t="str">
        <f>"Q"&amp;ROUNDUP(MONTH(SalesData[[#This Row],[Order_Date]])/3,0)</f>
        <v>Q4</v>
      </c>
      <c r="R280" s="2">
        <f>IFERROR(SalesData[[#This Row],[Profit]]/SalesData[[#This Row],[Sales]],0)</f>
        <v>0.26958280955373981</v>
      </c>
      <c r="S280" s="2">
        <f>SalesData[[#This Row],[Price]]*SalesData[[#This Row],[Quantity]]*SalesData[[#This Row],[Discount]]</f>
        <v>331.52000000000004</v>
      </c>
      <c r="T280" s="2" t="str">
        <f>IF(SalesData[[#This Row],[Sales]]&gt;5000,"High",IF(SalesData[[#This Row],[Sales]]&gt;2000,"Medium","Low"))</f>
        <v>Medium</v>
      </c>
      <c r="U280" s="2" t="str">
        <f>IF(COUNTIFS(SalesData[Customer_ID],SalesData[[#This Row],[Customer_ID]])&gt;1,"Repeat","New")</f>
        <v>Repeat</v>
      </c>
      <c r="V280" s="2" t="str">
        <f>IF(SalesData[[#This Row],[Sales]]&gt;AVERAGE(SalesData[Sales]),"Above Avg","Below Avg")</f>
        <v>Below Avg</v>
      </c>
      <c r="W280" s="2" t="str">
        <f>IF(SalesData[[#This Row],[Profit]]&gt;0,"Profit","Loss")</f>
        <v>Profit</v>
      </c>
      <c r="X280" s="2">
        <f>RANK(SalesData[[#This Row],[Sales]],SalesData[Sales])</f>
        <v>428</v>
      </c>
    </row>
    <row r="281" spans="1:24" x14ac:dyDescent="0.3">
      <c r="A281">
        <v>280</v>
      </c>
      <c r="B281" s="1">
        <v>45571</v>
      </c>
      <c r="C281">
        <v>1028</v>
      </c>
      <c r="D281" t="s">
        <v>173</v>
      </c>
      <c r="E281" t="s">
        <v>15</v>
      </c>
      <c r="F281" t="s">
        <v>28</v>
      </c>
      <c r="G281" t="s">
        <v>17</v>
      </c>
      <c r="H281" t="s">
        <v>18</v>
      </c>
      <c r="I281">
        <v>4041</v>
      </c>
      <c r="J281">
        <v>2</v>
      </c>
      <c r="K281">
        <v>0.09</v>
      </c>
      <c r="L281">
        <v>-358</v>
      </c>
      <c r="M281" t="s">
        <v>19</v>
      </c>
      <c r="N281">
        <v>7354.62</v>
      </c>
      <c r="O281" t="str">
        <f>TEXT(SalesData[[#This Row],[Order_Date]],"mmm")</f>
        <v>Oct</v>
      </c>
      <c r="P281">
        <f>YEAR(SalesData[[#This Row],[Order_Date]])</f>
        <v>2024</v>
      </c>
      <c r="Q281" t="str">
        <f>"Q"&amp;ROUNDUP(MONTH(SalesData[[#This Row],[Order_Date]])/3,0)</f>
        <v>Q4</v>
      </c>
      <c r="R281" s="2">
        <f>IFERROR(SalesData[[#This Row],[Profit]]/SalesData[[#This Row],[Sales]],0)</f>
        <v>-4.8676886093367164E-2</v>
      </c>
      <c r="S281" s="2">
        <f>SalesData[[#This Row],[Price]]*SalesData[[#This Row],[Quantity]]*SalesData[[#This Row],[Discount]]</f>
        <v>727.38</v>
      </c>
      <c r="T281" s="2" t="str">
        <f>IF(SalesData[[#This Row],[Sales]]&gt;5000,"High",IF(SalesData[[#This Row],[Sales]]&gt;2000,"Medium","Low"))</f>
        <v>High</v>
      </c>
      <c r="U281" s="2" t="str">
        <f>IF(COUNTIFS(SalesData[Customer_ID],SalesData[[#This Row],[Customer_ID]])&gt;1,"Repeat","New")</f>
        <v>Repeat</v>
      </c>
      <c r="V281" s="2" t="str">
        <f>IF(SalesData[[#This Row],[Sales]]&gt;AVERAGE(SalesData[Sales]),"Above Avg","Below Avg")</f>
        <v>Below Avg</v>
      </c>
      <c r="W281" s="2" t="str">
        <f>IF(SalesData[[#This Row],[Profit]]&gt;0,"Profit","Loss")</f>
        <v>Loss</v>
      </c>
      <c r="X281" s="2">
        <f>RANK(SalesData[[#This Row],[Sales]],SalesData[Sales])</f>
        <v>267</v>
      </c>
    </row>
    <row r="282" spans="1:24" x14ac:dyDescent="0.3">
      <c r="A282">
        <v>281</v>
      </c>
      <c r="B282" s="1">
        <v>45572</v>
      </c>
      <c r="C282">
        <v>1080</v>
      </c>
      <c r="D282" t="s">
        <v>185</v>
      </c>
      <c r="E282" t="s">
        <v>15</v>
      </c>
      <c r="F282" t="s">
        <v>33</v>
      </c>
      <c r="G282" t="s">
        <v>34</v>
      </c>
      <c r="H282" t="s">
        <v>25</v>
      </c>
      <c r="I282">
        <v>2216</v>
      </c>
      <c r="J282">
        <v>8</v>
      </c>
      <c r="K282">
        <v>0.3</v>
      </c>
      <c r="L282">
        <v>618</v>
      </c>
      <c r="M282" t="s">
        <v>31</v>
      </c>
      <c r="N282">
        <v>12409.5999999999</v>
      </c>
      <c r="O282" t="str">
        <f>TEXT(SalesData[[#This Row],[Order_Date]],"mmm")</f>
        <v>Oct</v>
      </c>
      <c r="P282">
        <f>YEAR(SalesData[[#This Row],[Order_Date]])</f>
        <v>2024</v>
      </c>
      <c r="Q282" t="str">
        <f>"Q"&amp;ROUNDUP(MONTH(SalesData[[#This Row],[Order_Date]])/3,0)</f>
        <v>Q4</v>
      </c>
      <c r="R282" s="2">
        <f>IFERROR(SalesData[[#This Row],[Profit]]/SalesData[[#This Row],[Sales]],0)</f>
        <v>4.9800154718927681E-2</v>
      </c>
      <c r="S282" s="2">
        <f>SalesData[[#This Row],[Price]]*SalesData[[#This Row],[Quantity]]*SalesData[[#This Row],[Discount]]</f>
        <v>5318.4</v>
      </c>
      <c r="T282" s="2" t="str">
        <f>IF(SalesData[[#This Row],[Sales]]&gt;5000,"High",IF(SalesData[[#This Row],[Sales]]&gt;2000,"Medium","Low"))</f>
        <v>High</v>
      </c>
      <c r="U282" s="2" t="str">
        <f>IF(COUNTIFS(SalesData[Customer_ID],SalesData[[#This Row],[Customer_ID]])&gt;1,"Repeat","New")</f>
        <v>Repeat</v>
      </c>
      <c r="V282" s="2" t="str">
        <f>IF(SalesData[[#This Row],[Sales]]&gt;AVERAGE(SalesData[Sales]),"Above Avg","Below Avg")</f>
        <v>Above Avg</v>
      </c>
      <c r="W282" s="2" t="str">
        <f>IF(SalesData[[#This Row],[Profit]]&gt;0,"Profit","Loss")</f>
        <v>Profit</v>
      </c>
      <c r="X282" s="2">
        <f>RANK(SalesData[[#This Row],[Sales]],SalesData[Sales])</f>
        <v>164</v>
      </c>
    </row>
    <row r="283" spans="1:24" x14ac:dyDescent="0.3">
      <c r="A283">
        <v>282</v>
      </c>
      <c r="B283" s="1">
        <v>45573</v>
      </c>
      <c r="C283">
        <v>1024</v>
      </c>
      <c r="D283" t="s">
        <v>186</v>
      </c>
      <c r="E283" t="s">
        <v>15</v>
      </c>
      <c r="F283" t="s">
        <v>33</v>
      </c>
      <c r="G283" t="s">
        <v>34</v>
      </c>
      <c r="H283" t="s">
        <v>18</v>
      </c>
      <c r="I283">
        <v>2168</v>
      </c>
      <c r="J283">
        <v>8</v>
      </c>
      <c r="K283">
        <v>0</v>
      </c>
      <c r="L283">
        <v>853</v>
      </c>
      <c r="M283" t="s">
        <v>26</v>
      </c>
      <c r="N283">
        <v>17344</v>
      </c>
      <c r="O283" t="str">
        <f>TEXT(SalesData[[#This Row],[Order_Date]],"mmm")</f>
        <v>Oct</v>
      </c>
      <c r="P283">
        <f>YEAR(SalesData[[#This Row],[Order_Date]])</f>
        <v>2024</v>
      </c>
      <c r="Q283" t="str">
        <f>"Q"&amp;ROUNDUP(MONTH(SalesData[[#This Row],[Order_Date]])/3,0)</f>
        <v>Q4</v>
      </c>
      <c r="R283" s="2">
        <f>IFERROR(SalesData[[#This Row],[Profit]]/SalesData[[#This Row],[Sales]],0)</f>
        <v>4.9181273062730631E-2</v>
      </c>
      <c r="S283" s="2">
        <f>SalesData[[#This Row],[Price]]*SalesData[[#This Row],[Quantity]]*SalesData[[#This Row],[Discount]]</f>
        <v>0</v>
      </c>
      <c r="T283" s="2" t="str">
        <f>IF(SalesData[[#This Row],[Sales]]&gt;5000,"High",IF(SalesData[[#This Row],[Sales]]&gt;2000,"Medium","Low"))</f>
        <v>High</v>
      </c>
      <c r="U283" s="2" t="str">
        <f>IF(COUNTIFS(SalesData[Customer_ID],SalesData[[#This Row],[Customer_ID]])&gt;1,"Repeat","New")</f>
        <v>Repeat</v>
      </c>
      <c r="V283" s="2" t="str">
        <f>IF(SalesData[[#This Row],[Sales]]&gt;AVERAGE(SalesData[Sales]),"Above Avg","Below Avg")</f>
        <v>Above Avg</v>
      </c>
      <c r="W283" s="2" t="str">
        <f>IF(SalesData[[#This Row],[Profit]]&gt;0,"Profit","Loss")</f>
        <v>Profit</v>
      </c>
      <c r="X283" s="2">
        <f>RANK(SalesData[[#This Row],[Sales]],SalesData[Sales])</f>
        <v>101</v>
      </c>
    </row>
    <row r="284" spans="1:24" x14ac:dyDescent="0.3">
      <c r="A284">
        <v>283</v>
      </c>
      <c r="B284" s="1">
        <v>45574</v>
      </c>
      <c r="C284">
        <v>1015</v>
      </c>
      <c r="D284" t="s">
        <v>173</v>
      </c>
      <c r="E284" t="s">
        <v>15</v>
      </c>
      <c r="F284" t="s">
        <v>28</v>
      </c>
      <c r="G284" t="s">
        <v>22</v>
      </c>
      <c r="H284" t="s">
        <v>25</v>
      </c>
      <c r="I284">
        <v>1828</v>
      </c>
      <c r="J284">
        <v>1</v>
      </c>
      <c r="K284">
        <v>0.1</v>
      </c>
      <c r="L284">
        <v>892</v>
      </c>
      <c r="M284" t="s">
        <v>31</v>
      </c>
      <c r="N284">
        <v>1645.2</v>
      </c>
      <c r="O284" t="str">
        <f>TEXT(SalesData[[#This Row],[Order_Date]],"mmm")</f>
        <v>Oct</v>
      </c>
      <c r="P284">
        <f>YEAR(SalesData[[#This Row],[Order_Date]])</f>
        <v>2024</v>
      </c>
      <c r="Q284" t="str">
        <f>"Q"&amp;ROUNDUP(MONTH(SalesData[[#This Row],[Order_Date]])/3,0)</f>
        <v>Q4</v>
      </c>
      <c r="R284" s="2">
        <f>IFERROR(SalesData[[#This Row],[Profit]]/SalesData[[#This Row],[Sales]],0)</f>
        <v>0.54218332117675661</v>
      </c>
      <c r="S284" s="2">
        <f>SalesData[[#This Row],[Price]]*SalesData[[#This Row],[Quantity]]*SalesData[[#This Row],[Discount]]</f>
        <v>182.8</v>
      </c>
      <c r="T284" s="2" t="str">
        <f>IF(SalesData[[#This Row],[Sales]]&gt;5000,"High",IF(SalesData[[#This Row],[Sales]]&gt;2000,"Medium","Low"))</f>
        <v>Low</v>
      </c>
      <c r="U284" s="2" t="str">
        <f>IF(COUNTIFS(SalesData[Customer_ID],SalesData[[#This Row],[Customer_ID]])&gt;1,"Repeat","New")</f>
        <v>Repeat</v>
      </c>
      <c r="V284" s="2" t="str">
        <f>IF(SalesData[[#This Row],[Sales]]&gt;AVERAGE(SalesData[Sales]),"Above Avg","Below Avg")</f>
        <v>Below Avg</v>
      </c>
      <c r="W284" s="2" t="str">
        <f>IF(SalesData[[#This Row],[Profit]]&gt;0,"Profit","Loss")</f>
        <v>Profit</v>
      </c>
      <c r="X284" s="2">
        <f>RANK(SalesData[[#This Row],[Sales]],SalesData[Sales])</f>
        <v>450</v>
      </c>
    </row>
    <row r="285" spans="1:24" x14ac:dyDescent="0.3">
      <c r="A285">
        <v>284</v>
      </c>
      <c r="B285" s="1">
        <v>45575</v>
      </c>
      <c r="C285">
        <v>1049</v>
      </c>
      <c r="D285" t="s">
        <v>187</v>
      </c>
      <c r="E285" t="s">
        <v>24</v>
      </c>
      <c r="F285" t="s">
        <v>16</v>
      </c>
      <c r="G285" t="s">
        <v>17</v>
      </c>
      <c r="H285" t="s">
        <v>29</v>
      </c>
      <c r="I285">
        <v>2743</v>
      </c>
      <c r="J285">
        <v>5</v>
      </c>
      <c r="K285">
        <v>0.18</v>
      </c>
      <c r="L285">
        <v>-288</v>
      </c>
      <c r="M285" t="s">
        <v>31</v>
      </c>
      <c r="N285">
        <v>11246.3</v>
      </c>
      <c r="O285" t="str">
        <f>TEXT(SalesData[[#This Row],[Order_Date]],"mmm")</f>
        <v>Oct</v>
      </c>
      <c r="P285">
        <f>YEAR(SalesData[[#This Row],[Order_Date]])</f>
        <v>2024</v>
      </c>
      <c r="Q285" t="str">
        <f>"Q"&amp;ROUNDUP(MONTH(SalesData[[#This Row],[Order_Date]])/3,0)</f>
        <v>Q4</v>
      </c>
      <c r="R285" s="2">
        <f>IFERROR(SalesData[[#This Row],[Profit]]/SalesData[[#This Row],[Sales]],0)</f>
        <v>-2.5608422325564855E-2</v>
      </c>
      <c r="S285" s="2">
        <f>SalesData[[#This Row],[Price]]*SalesData[[#This Row],[Quantity]]*SalesData[[#This Row],[Discount]]</f>
        <v>2468.6999999999998</v>
      </c>
      <c r="T285" s="2" t="str">
        <f>IF(SalesData[[#This Row],[Sales]]&gt;5000,"High",IF(SalesData[[#This Row],[Sales]]&gt;2000,"Medium","Low"))</f>
        <v>High</v>
      </c>
      <c r="U285" s="2" t="str">
        <f>IF(COUNTIFS(SalesData[Customer_ID],SalesData[[#This Row],[Customer_ID]])&gt;1,"Repeat","New")</f>
        <v>Repeat</v>
      </c>
      <c r="V285" s="2" t="str">
        <f>IF(SalesData[[#This Row],[Sales]]&gt;AVERAGE(SalesData[Sales]),"Above Avg","Below Avg")</f>
        <v>Above Avg</v>
      </c>
      <c r="W285" s="2" t="str">
        <f>IF(SalesData[[#This Row],[Profit]]&gt;0,"Profit","Loss")</f>
        <v>Loss</v>
      </c>
      <c r="X285" s="2">
        <f>RANK(SalesData[[#This Row],[Sales]],SalesData[Sales])</f>
        <v>187</v>
      </c>
    </row>
    <row r="286" spans="1:24" x14ac:dyDescent="0.3">
      <c r="A286">
        <v>285</v>
      </c>
      <c r="B286" s="1">
        <v>45576</v>
      </c>
      <c r="C286">
        <v>1080</v>
      </c>
      <c r="D286" t="s">
        <v>188</v>
      </c>
      <c r="E286" t="s">
        <v>24</v>
      </c>
      <c r="F286" t="s">
        <v>33</v>
      </c>
      <c r="G286" t="s">
        <v>22</v>
      </c>
      <c r="H286" t="s">
        <v>37</v>
      </c>
      <c r="I286">
        <v>3747</v>
      </c>
      <c r="J286">
        <v>2</v>
      </c>
      <c r="K286">
        <v>0.1</v>
      </c>
      <c r="L286">
        <v>-334</v>
      </c>
      <c r="M286" t="s">
        <v>26</v>
      </c>
      <c r="N286">
        <v>6744.6</v>
      </c>
      <c r="O286" t="str">
        <f>TEXT(SalesData[[#This Row],[Order_Date]],"mmm")</f>
        <v>Oct</v>
      </c>
      <c r="P286">
        <f>YEAR(SalesData[[#This Row],[Order_Date]])</f>
        <v>2024</v>
      </c>
      <c r="Q286" t="str">
        <f>"Q"&amp;ROUNDUP(MONTH(SalesData[[#This Row],[Order_Date]])/3,0)</f>
        <v>Q4</v>
      </c>
      <c r="R286" s="2">
        <f>IFERROR(SalesData[[#This Row],[Profit]]/SalesData[[#This Row],[Sales]],0)</f>
        <v>-4.9521098360169616E-2</v>
      </c>
      <c r="S286" s="2">
        <f>SalesData[[#This Row],[Price]]*SalesData[[#This Row],[Quantity]]*SalesData[[#This Row],[Discount]]</f>
        <v>749.40000000000009</v>
      </c>
      <c r="T286" s="2" t="str">
        <f>IF(SalesData[[#This Row],[Sales]]&gt;5000,"High",IF(SalesData[[#This Row],[Sales]]&gt;2000,"Medium","Low"))</f>
        <v>High</v>
      </c>
      <c r="U286" s="2" t="str">
        <f>IF(COUNTIFS(SalesData[Customer_ID],SalesData[[#This Row],[Customer_ID]])&gt;1,"Repeat","New")</f>
        <v>Repeat</v>
      </c>
      <c r="V286" s="2" t="str">
        <f>IF(SalesData[[#This Row],[Sales]]&gt;AVERAGE(SalesData[Sales]),"Above Avg","Below Avg")</f>
        <v>Below Avg</v>
      </c>
      <c r="W286" s="2" t="str">
        <f>IF(SalesData[[#This Row],[Profit]]&gt;0,"Profit","Loss")</f>
        <v>Loss</v>
      </c>
      <c r="X286" s="2">
        <f>RANK(SalesData[[#This Row],[Sales]],SalesData[Sales])</f>
        <v>281</v>
      </c>
    </row>
    <row r="287" spans="1:24" x14ac:dyDescent="0.3">
      <c r="A287">
        <v>286</v>
      </c>
      <c r="B287" s="1">
        <v>45577</v>
      </c>
      <c r="C287">
        <v>1084</v>
      </c>
      <c r="D287" t="s">
        <v>140</v>
      </c>
      <c r="E287" t="s">
        <v>24</v>
      </c>
      <c r="F287" t="s">
        <v>16</v>
      </c>
      <c r="G287" t="s">
        <v>17</v>
      </c>
      <c r="H287" t="s">
        <v>37</v>
      </c>
      <c r="I287">
        <v>3612</v>
      </c>
      <c r="J287">
        <v>9</v>
      </c>
      <c r="K287">
        <v>0.14000000000000001</v>
      </c>
      <c r="L287">
        <v>74</v>
      </c>
      <c r="M287" t="s">
        <v>31</v>
      </c>
      <c r="N287">
        <v>27956.880000000001</v>
      </c>
      <c r="O287" t="str">
        <f>TEXT(SalesData[[#This Row],[Order_Date]],"mmm")</f>
        <v>Oct</v>
      </c>
      <c r="P287">
        <f>YEAR(SalesData[[#This Row],[Order_Date]])</f>
        <v>2024</v>
      </c>
      <c r="Q287" t="str">
        <f>"Q"&amp;ROUNDUP(MONTH(SalesData[[#This Row],[Order_Date]])/3,0)</f>
        <v>Q4</v>
      </c>
      <c r="R287" s="2">
        <f>IFERROR(SalesData[[#This Row],[Profit]]/SalesData[[#This Row],[Sales]],0)</f>
        <v>2.6469334203244425E-3</v>
      </c>
      <c r="S287" s="2">
        <f>SalesData[[#This Row],[Price]]*SalesData[[#This Row],[Quantity]]*SalesData[[#This Row],[Discount]]</f>
        <v>4551.1200000000008</v>
      </c>
      <c r="T287" s="2" t="str">
        <f>IF(SalesData[[#This Row],[Sales]]&gt;5000,"High",IF(SalesData[[#This Row],[Sales]]&gt;2000,"Medium","Low"))</f>
        <v>High</v>
      </c>
      <c r="U287" s="2" t="str">
        <f>IF(COUNTIFS(SalesData[Customer_ID],SalesData[[#This Row],[Customer_ID]])&gt;1,"Repeat","New")</f>
        <v>Repeat</v>
      </c>
      <c r="V287" s="2" t="str">
        <f>IF(SalesData[[#This Row],[Sales]]&gt;AVERAGE(SalesData[Sales]),"Above Avg","Below Avg")</f>
        <v>Above Avg</v>
      </c>
      <c r="W287" s="2" t="str">
        <f>IF(SalesData[[#This Row],[Profit]]&gt;0,"Profit","Loss")</f>
        <v>Profit</v>
      </c>
      <c r="X287" s="2">
        <f>RANK(SalesData[[#This Row],[Sales]],SalesData[Sales])</f>
        <v>31</v>
      </c>
    </row>
    <row r="288" spans="1:24" x14ac:dyDescent="0.3">
      <c r="A288">
        <v>287</v>
      </c>
      <c r="B288" s="1">
        <v>45578</v>
      </c>
      <c r="C288">
        <v>1090</v>
      </c>
      <c r="D288" t="s">
        <v>116</v>
      </c>
      <c r="E288" t="s">
        <v>24</v>
      </c>
      <c r="F288" t="s">
        <v>33</v>
      </c>
      <c r="G288" t="s">
        <v>17</v>
      </c>
      <c r="H288" t="s">
        <v>25</v>
      </c>
      <c r="I288">
        <v>1459</v>
      </c>
      <c r="J288">
        <v>2</v>
      </c>
      <c r="K288">
        <v>0.13</v>
      </c>
      <c r="L288">
        <v>-190</v>
      </c>
      <c r="M288" t="s">
        <v>19</v>
      </c>
      <c r="N288">
        <v>2538.66</v>
      </c>
      <c r="O288" t="str">
        <f>TEXT(SalesData[[#This Row],[Order_Date]],"mmm")</f>
        <v>Oct</v>
      </c>
      <c r="P288">
        <f>YEAR(SalesData[[#This Row],[Order_Date]])</f>
        <v>2024</v>
      </c>
      <c r="Q288" t="str">
        <f>"Q"&amp;ROUNDUP(MONTH(SalesData[[#This Row],[Order_Date]])/3,0)</f>
        <v>Q4</v>
      </c>
      <c r="R288" s="2">
        <f>IFERROR(SalesData[[#This Row],[Profit]]/SalesData[[#This Row],[Sales]],0)</f>
        <v>-7.4842633515319112E-2</v>
      </c>
      <c r="S288" s="2">
        <f>SalesData[[#This Row],[Price]]*SalesData[[#This Row],[Quantity]]*SalesData[[#This Row],[Discount]]</f>
        <v>379.34000000000003</v>
      </c>
      <c r="T288" s="2" t="str">
        <f>IF(SalesData[[#This Row],[Sales]]&gt;5000,"High",IF(SalesData[[#This Row],[Sales]]&gt;2000,"Medium","Low"))</f>
        <v>Medium</v>
      </c>
      <c r="U288" s="2" t="str">
        <f>IF(COUNTIFS(SalesData[Customer_ID],SalesData[[#This Row],[Customer_ID]])&gt;1,"Repeat","New")</f>
        <v>Repeat</v>
      </c>
      <c r="V288" s="2" t="str">
        <f>IF(SalesData[[#This Row],[Sales]]&gt;AVERAGE(SalesData[Sales]),"Above Avg","Below Avg")</f>
        <v>Below Avg</v>
      </c>
      <c r="W288" s="2" t="str">
        <f>IF(SalesData[[#This Row],[Profit]]&gt;0,"Profit","Loss")</f>
        <v>Loss</v>
      </c>
      <c r="X288" s="2">
        <f>RANK(SalesData[[#This Row],[Sales]],SalesData[Sales])</f>
        <v>408</v>
      </c>
    </row>
    <row r="289" spans="1:24" x14ac:dyDescent="0.3">
      <c r="A289">
        <v>288</v>
      </c>
      <c r="B289" s="1">
        <v>45579</v>
      </c>
      <c r="C289">
        <v>1004</v>
      </c>
      <c r="D289" t="s">
        <v>32</v>
      </c>
      <c r="E289" t="s">
        <v>24</v>
      </c>
      <c r="F289" t="s">
        <v>16</v>
      </c>
      <c r="G289" t="s">
        <v>17</v>
      </c>
      <c r="H289" t="s">
        <v>18</v>
      </c>
      <c r="I289">
        <v>2607</v>
      </c>
      <c r="J289">
        <v>7</v>
      </c>
      <c r="K289">
        <v>0.03</v>
      </c>
      <c r="L289">
        <v>431</v>
      </c>
      <c r="M289" t="s">
        <v>19</v>
      </c>
      <c r="N289">
        <v>17701.53</v>
      </c>
      <c r="O289" t="str">
        <f>TEXT(SalesData[[#This Row],[Order_Date]],"mmm")</f>
        <v>Oct</v>
      </c>
      <c r="P289">
        <f>YEAR(SalesData[[#This Row],[Order_Date]])</f>
        <v>2024</v>
      </c>
      <c r="Q289" t="str">
        <f>"Q"&amp;ROUNDUP(MONTH(SalesData[[#This Row],[Order_Date]])/3,0)</f>
        <v>Q4</v>
      </c>
      <c r="R289" s="2">
        <f>IFERROR(SalesData[[#This Row],[Profit]]/SalesData[[#This Row],[Sales]],0)</f>
        <v>2.4348177812878322E-2</v>
      </c>
      <c r="S289" s="2">
        <f>SalesData[[#This Row],[Price]]*SalesData[[#This Row],[Quantity]]*SalesData[[#This Row],[Discount]]</f>
        <v>547.47</v>
      </c>
      <c r="T289" s="2" t="str">
        <f>IF(SalesData[[#This Row],[Sales]]&gt;5000,"High",IF(SalesData[[#This Row],[Sales]]&gt;2000,"Medium","Low"))</f>
        <v>High</v>
      </c>
      <c r="U289" s="2" t="str">
        <f>IF(COUNTIFS(SalesData[Customer_ID],SalesData[[#This Row],[Customer_ID]])&gt;1,"Repeat","New")</f>
        <v>Repeat</v>
      </c>
      <c r="V289" s="2" t="str">
        <f>IF(SalesData[[#This Row],[Sales]]&gt;AVERAGE(SalesData[Sales]),"Above Avg","Below Avg")</f>
        <v>Above Avg</v>
      </c>
      <c r="W289" s="2" t="str">
        <f>IF(SalesData[[#This Row],[Profit]]&gt;0,"Profit","Loss")</f>
        <v>Profit</v>
      </c>
      <c r="X289" s="2">
        <f>RANK(SalesData[[#This Row],[Sales]],SalesData[Sales])</f>
        <v>93</v>
      </c>
    </row>
    <row r="290" spans="1:24" x14ac:dyDescent="0.3">
      <c r="A290">
        <v>289</v>
      </c>
      <c r="B290" s="1">
        <v>45580</v>
      </c>
      <c r="C290">
        <v>1021</v>
      </c>
      <c r="D290" t="s">
        <v>76</v>
      </c>
      <c r="E290" t="s">
        <v>15</v>
      </c>
      <c r="F290" t="s">
        <v>16</v>
      </c>
      <c r="G290" t="s">
        <v>34</v>
      </c>
      <c r="H290" t="s">
        <v>37</v>
      </c>
      <c r="I290">
        <v>3261</v>
      </c>
      <c r="J290">
        <v>2</v>
      </c>
      <c r="K290">
        <v>0.19</v>
      </c>
      <c r="L290">
        <v>1891</v>
      </c>
      <c r="M290" t="s">
        <v>31</v>
      </c>
      <c r="N290">
        <v>5282.82</v>
      </c>
      <c r="O290" t="str">
        <f>TEXT(SalesData[[#This Row],[Order_Date]],"mmm")</f>
        <v>Oct</v>
      </c>
      <c r="P290">
        <f>YEAR(SalesData[[#This Row],[Order_Date]])</f>
        <v>2024</v>
      </c>
      <c r="Q290" t="str">
        <f>"Q"&amp;ROUNDUP(MONTH(SalesData[[#This Row],[Order_Date]])/3,0)</f>
        <v>Q4</v>
      </c>
      <c r="R290" s="2">
        <f>IFERROR(SalesData[[#This Row],[Profit]]/SalesData[[#This Row],[Sales]],0)</f>
        <v>0.35795276007889726</v>
      </c>
      <c r="S290" s="2">
        <f>SalesData[[#This Row],[Price]]*SalesData[[#This Row],[Quantity]]*SalesData[[#This Row],[Discount]]</f>
        <v>1239.18</v>
      </c>
      <c r="T290" s="2" t="str">
        <f>IF(SalesData[[#This Row],[Sales]]&gt;5000,"High",IF(SalesData[[#This Row],[Sales]]&gt;2000,"Medium","Low"))</f>
        <v>High</v>
      </c>
      <c r="U290" s="2" t="str">
        <f>IF(COUNTIFS(SalesData[Customer_ID],SalesData[[#This Row],[Customer_ID]])&gt;1,"Repeat","New")</f>
        <v>Repeat</v>
      </c>
      <c r="V290" s="2" t="str">
        <f>IF(SalesData[[#This Row],[Sales]]&gt;AVERAGE(SalesData[Sales]),"Above Avg","Below Avg")</f>
        <v>Below Avg</v>
      </c>
      <c r="W290" s="2" t="str">
        <f>IF(SalesData[[#This Row],[Profit]]&gt;0,"Profit","Loss")</f>
        <v>Profit</v>
      </c>
      <c r="X290" s="2">
        <f>RANK(SalesData[[#This Row],[Sales]],SalesData[Sales])</f>
        <v>317</v>
      </c>
    </row>
    <row r="291" spans="1:24" x14ac:dyDescent="0.3">
      <c r="A291">
        <v>290</v>
      </c>
      <c r="B291" s="1">
        <v>45581</v>
      </c>
      <c r="C291">
        <v>1032</v>
      </c>
      <c r="D291" t="s">
        <v>138</v>
      </c>
      <c r="E291" t="s">
        <v>24</v>
      </c>
      <c r="F291" t="s">
        <v>28</v>
      </c>
      <c r="G291" t="s">
        <v>34</v>
      </c>
      <c r="H291" t="s">
        <v>25</v>
      </c>
      <c r="I291">
        <v>3495</v>
      </c>
      <c r="J291">
        <v>2</v>
      </c>
      <c r="K291">
        <v>0.25</v>
      </c>
      <c r="L291">
        <v>1055</v>
      </c>
      <c r="M291" t="s">
        <v>19</v>
      </c>
      <c r="N291">
        <v>5242.5</v>
      </c>
      <c r="O291" t="str">
        <f>TEXT(SalesData[[#This Row],[Order_Date]],"mmm")</f>
        <v>Oct</v>
      </c>
      <c r="P291">
        <f>YEAR(SalesData[[#This Row],[Order_Date]])</f>
        <v>2024</v>
      </c>
      <c r="Q291" t="str">
        <f>"Q"&amp;ROUNDUP(MONTH(SalesData[[#This Row],[Order_Date]])/3,0)</f>
        <v>Q4</v>
      </c>
      <c r="R291" s="2">
        <f>IFERROR(SalesData[[#This Row],[Profit]]/SalesData[[#This Row],[Sales]],0)</f>
        <v>0.20123986647591799</v>
      </c>
      <c r="S291" s="2">
        <f>SalesData[[#This Row],[Price]]*SalesData[[#This Row],[Quantity]]*SalesData[[#This Row],[Discount]]</f>
        <v>1747.5</v>
      </c>
      <c r="T291" s="2" t="str">
        <f>IF(SalesData[[#This Row],[Sales]]&gt;5000,"High",IF(SalesData[[#This Row],[Sales]]&gt;2000,"Medium","Low"))</f>
        <v>High</v>
      </c>
      <c r="U291" s="2" t="str">
        <f>IF(COUNTIFS(SalesData[Customer_ID],SalesData[[#This Row],[Customer_ID]])&gt;1,"Repeat","New")</f>
        <v>Repeat</v>
      </c>
      <c r="V291" s="2" t="str">
        <f>IF(SalesData[[#This Row],[Sales]]&gt;AVERAGE(SalesData[Sales]),"Above Avg","Below Avg")</f>
        <v>Below Avg</v>
      </c>
      <c r="W291" s="2" t="str">
        <f>IF(SalesData[[#This Row],[Profit]]&gt;0,"Profit","Loss")</f>
        <v>Profit</v>
      </c>
      <c r="X291" s="2">
        <f>RANK(SalesData[[#This Row],[Sales]],SalesData[Sales])</f>
        <v>318</v>
      </c>
    </row>
    <row r="292" spans="1:24" x14ac:dyDescent="0.3">
      <c r="A292">
        <v>291</v>
      </c>
      <c r="B292" s="1">
        <v>45582</v>
      </c>
      <c r="C292">
        <v>1039</v>
      </c>
      <c r="D292" t="s">
        <v>41</v>
      </c>
      <c r="E292" t="s">
        <v>15</v>
      </c>
      <c r="F292" t="s">
        <v>28</v>
      </c>
      <c r="G292" t="s">
        <v>34</v>
      </c>
      <c r="H292" t="s">
        <v>25</v>
      </c>
      <c r="I292">
        <v>3159</v>
      </c>
      <c r="J292">
        <v>1</v>
      </c>
      <c r="K292">
        <v>0.16</v>
      </c>
      <c r="L292">
        <v>528</v>
      </c>
      <c r="M292" t="s">
        <v>31</v>
      </c>
      <c r="N292">
        <v>2653.56</v>
      </c>
      <c r="O292" t="str">
        <f>TEXT(SalesData[[#This Row],[Order_Date]],"mmm")</f>
        <v>Oct</v>
      </c>
      <c r="P292">
        <f>YEAR(SalesData[[#This Row],[Order_Date]])</f>
        <v>2024</v>
      </c>
      <c r="Q292" t="str">
        <f>"Q"&amp;ROUNDUP(MONTH(SalesData[[#This Row],[Order_Date]])/3,0)</f>
        <v>Q4</v>
      </c>
      <c r="R292" s="2">
        <f>IFERROR(SalesData[[#This Row],[Profit]]/SalesData[[#This Row],[Sales]],0)</f>
        <v>0.19897797675575454</v>
      </c>
      <c r="S292" s="2">
        <f>SalesData[[#This Row],[Price]]*SalesData[[#This Row],[Quantity]]*SalesData[[#This Row],[Discount]]</f>
        <v>505.44</v>
      </c>
      <c r="T292" s="2" t="str">
        <f>IF(SalesData[[#This Row],[Sales]]&gt;5000,"High",IF(SalesData[[#This Row],[Sales]]&gt;2000,"Medium","Low"))</f>
        <v>Medium</v>
      </c>
      <c r="U292" s="2" t="str">
        <f>IF(COUNTIFS(SalesData[Customer_ID],SalesData[[#This Row],[Customer_ID]])&gt;1,"Repeat","New")</f>
        <v>Repeat</v>
      </c>
      <c r="V292" s="2" t="str">
        <f>IF(SalesData[[#This Row],[Sales]]&gt;AVERAGE(SalesData[Sales]),"Above Avg","Below Avg")</f>
        <v>Below Avg</v>
      </c>
      <c r="W292" s="2" t="str">
        <f>IF(SalesData[[#This Row],[Profit]]&gt;0,"Profit","Loss")</f>
        <v>Profit</v>
      </c>
      <c r="X292" s="2">
        <f>RANK(SalesData[[#This Row],[Sales]],SalesData[Sales])</f>
        <v>406</v>
      </c>
    </row>
    <row r="293" spans="1:24" x14ac:dyDescent="0.3">
      <c r="A293">
        <v>292</v>
      </c>
      <c r="B293" s="1">
        <v>45583</v>
      </c>
      <c r="C293">
        <v>1001</v>
      </c>
      <c r="D293" t="s">
        <v>86</v>
      </c>
      <c r="E293" t="s">
        <v>24</v>
      </c>
      <c r="F293" t="s">
        <v>16</v>
      </c>
      <c r="G293" t="s">
        <v>34</v>
      </c>
      <c r="H293" t="s">
        <v>37</v>
      </c>
      <c r="I293">
        <v>2792</v>
      </c>
      <c r="J293">
        <v>1</v>
      </c>
      <c r="K293">
        <v>0.04</v>
      </c>
      <c r="L293">
        <v>1424</v>
      </c>
      <c r="M293" t="s">
        <v>26</v>
      </c>
      <c r="N293">
        <v>2680.3199999999902</v>
      </c>
      <c r="O293" t="str">
        <f>TEXT(SalesData[[#This Row],[Order_Date]],"mmm")</f>
        <v>Oct</v>
      </c>
      <c r="P293">
        <f>YEAR(SalesData[[#This Row],[Order_Date]])</f>
        <v>2024</v>
      </c>
      <c r="Q293" t="str">
        <f>"Q"&amp;ROUNDUP(MONTH(SalesData[[#This Row],[Order_Date]])/3,0)</f>
        <v>Q4</v>
      </c>
      <c r="R293" s="2">
        <f>IFERROR(SalesData[[#This Row],[Profit]]/SalesData[[#This Row],[Sales]],0)</f>
        <v>0.53127984718242793</v>
      </c>
      <c r="S293" s="2">
        <f>SalesData[[#This Row],[Price]]*SalesData[[#This Row],[Quantity]]*SalesData[[#This Row],[Discount]]</f>
        <v>111.68</v>
      </c>
      <c r="T293" s="2" t="str">
        <f>IF(SalesData[[#This Row],[Sales]]&gt;5000,"High",IF(SalesData[[#This Row],[Sales]]&gt;2000,"Medium","Low"))</f>
        <v>Medium</v>
      </c>
      <c r="U293" s="2" t="str">
        <f>IF(COUNTIFS(SalesData[Customer_ID],SalesData[[#This Row],[Customer_ID]])&gt;1,"Repeat","New")</f>
        <v>Repeat</v>
      </c>
      <c r="V293" s="2" t="str">
        <f>IF(SalesData[[#This Row],[Sales]]&gt;AVERAGE(SalesData[Sales]),"Above Avg","Below Avg")</f>
        <v>Below Avg</v>
      </c>
      <c r="W293" s="2" t="str">
        <f>IF(SalesData[[#This Row],[Profit]]&gt;0,"Profit","Loss")</f>
        <v>Profit</v>
      </c>
      <c r="X293" s="2">
        <f>RANK(SalesData[[#This Row],[Sales]],SalesData[Sales])</f>
        <v>404</v>
      </c>
    </row>
    <row r="294" spans="1:24" x14ac:dyDescent="0.3">
      <c r="A294">
        <v>293</v>
      </c>
      <c r="B294" s="1">
        <v>45584</v>
      </c>
      <c r="C294">
        <v>1098</v>
      </c>
      <c r="D294" t="s">
        <v>138</v>
      </c>
      <c r="E294" t="s">
        <v>24</v>
      </c>
      <c r="F294" t="s">
        <v>28</v>
      </c>
      <c r="G294" t="s">
        <v>34</v>
      </c>
      <c r="H294" t="s">
        <v>37</v>
      </c>
      <c r="I294">
        <v>462</v>
      </c>
      <c r="J294">
        <v>9</v>
      </c>
      <c r="K294">
        <v>0.14000000000000001</v>
      </c>
      <c r="L294">
        <v>448</v>
      </c>
      <c r="M294" t="s">
        <v>19</v>
      </c>
      <c r="N294">
        <v>3575.88</v>
      </c>
      <c r="O294" t="str">
        <f>TEXT(SalesData[[#This Row],[Order_Date]],"mmm")</f>
        <v>Oct</v>
      </c>
      <c r="P294">
        <f>YEAR(SalesData[[#This Row],[Order_Date]])</f>
        <v>2024</v>
      </c>
      <c r="Q294" t="str">
        <f>"Q"&amp;ROUNDUP(MONTH(SalesData[[#This Row],[Order_Date]])/3,0)</f>
        <v>Q4</v>
      </c>
      <c r="R294" s="2">
        <f>IFERROR(SalesData[[#This Row],[Profit]]/SalesData[[#This Row],[Sales]],0)</f>
        <v>0.12528384621407876</v>
      </c>
      <c r="S294" s="2">
        <f>SalesData[[#This Row],[Price]]*SalesData[[#This Row],[Quantity]]*SalesData[[#This Row],[Discount]]</f>
        <v>582.12</v>
      </c>
      <c r="T294" s="2" t="str">
        <f>IF(SalesData[[#This Row],[Sales]]&gt;5000,"High",IF(SalesData[[#This Row],[Sales]]&gt;2000,"Medium","Low"))</f>
        <v>Medium</v>
      </c>
      <c r="U294" s="2" t="str">
        <f>IF(COUNTIFS(SalesData[Customer_ID],SalesData[[#This Row],[Customer_ID]])&gt;1,"Repeat","New")</f>
        <v>Repeat</v>
      </c>
      <c r="V294" s="2" t="str">
        <f>IF(SalesData[[#This Row],[Sales]]&gt;AVERAGE(SalesData[Sales]),"Above Avg","Below Avg")</f>
        <v>Below Avg</v>
      </c>
      <c r="W294" s="2" t="str">
        <f>IF(SalesData[[#This Row],[Profit]]&gt;0,"Profit","Loss")</f>
        <v>Profit</v>
      </c>
      <c r="X294" s="2">
        <f>RANK(SalesData[[#This Row],[Sales]],SalesData[Sales])</f>
        <v>372</v>
      </c>
    </row>
    <row r="295" spans="1:24" x14ac:dyDescent="0.3">
      <c r="A295">
        <v>294</v>
      </c>
      <c r="B295" s="1">
        <v>45585</v>
      </c>
      <c r="C295">
        <v>1082</v>
      </c>
      <c r="D295" t="s">
        <v>189</v>
      </c>
      <c r="E295" t="s">
        <v>24</v>
      </c>
      <c r="F295" t="s">
        <v>33</v>
      </c>
      <c r="G295" t="s">
        <v>17</v>
      </c>
      <c r="H295" t="s">
        <v>18</v>
      </c>
      <c r="I295">
        <v>373</v>
      </c>
      <c r="J295">
        <v>2</v>
      </c>
      <c r="K295">
        <v>0</v>
      </c>
      <c r="L295">
        <v>509</v>
      </c>
      <c r="M295" t="s">
        <v>31</v>
      </c>
      <c r="N295">
        <v>746</v>
      </c>
      <c r="O295" t="str">
        <f>TEXT(SalesData[[#This Row],[Order_Date]],"mmm")</f>
        <v>Oct</v>
      </c>
      <c r="P295">
        <f>YEAR(SalesData[[#This Row],[Order_Date]])</f>
        <v>2024</v>
      </c>
      <c r="Q295" t="str">
        <f>"Q"&amp;ROUNDUP(MONTH(SalesData[[#This Row],[Order_Date]])/3,0)</f>
        <v>Q4</v>
      </c>
      <c r="R295" s="2">
        <f>IFERROR(SalesData[[#This Row],[Profit]]/SalesData[[#This Row],[Sales]],0)</f>
        <v>0.68230563002680966</v>
      </c>
      <c r="S295" s="2">
        <f>SalesData[[#This Row],[Price]]*SalesData[[#This Row],[Quantity]]*SalesData[[#This Row],[Discount]]</f>
        <v>0</v>
      </c>
      <c r="T295" s="2" t="str">
        <f>IF(SalesData[[#This Row],[Sales]]&gt;5000,"High",IF(SalesData[[#This Row],[Sales]]&gt;2000,"Medium","Low"))</f>
        <v>Low</v>
      </c>
      <c r="U295" s="2" t="str">
        <f>IF(COUNTIFS(SalesData[Customer_ID],SalesData[[#This Row],[Customer_ID]])&gt;1,"Repeat","New")</f>
        <v>Repeat</v>
      </c>
      <c r="V295" s="2" t="str">
        <f>IF(SalesData[[#This Row],[Sales]]&gt;AVERAGE(SalesData[Sales]),"Above Avg","Below Avg")</f>
        <v>Below Avg</v>
      </c>
      <c r="W295" s="2" t="str">
        <f>IF(SalesData[[#This Row],[Profit]]&gt;0,"Profit","Loss")</f>
        <v>Profit</v>
      </c>
      <c r="X295" s="2">
        <f>RANK(SalesData[[#This Row],[Sales]],SalesData[Sales])</f>
        <v>483</v>
      </c>
    </row>
    <row r="296" spans="1:24" x14ac:dyDescent="0.3">
      <c r="A296">
        <v>295</v>
      </c>
      <c r="B296" s="1">
        <v>45586</v>
      </c>
      <c r="C296">
        <v>1090</v>
      </c>
      <c r="D296" t="s">
        <v>190</v>
      </c>
      <c r="E296" t="s">
        <v>24</v>
      </c>
      <c r="F296" t="s">
        <v>16</v>
      </c>
      <c r="G296" t="s">
        <v>22</v>
      </c>
      <c r="H296" t="s">
        <v>29</v>
      </c>
      <c r="I296">
        <v>4106</v>
      </c>
      <c r="J296">
        <v>3</v>
      </c>
      <c r="K296">
        <v>0.27</v>
      </c>
      <c r="L296">
        <v>1883</v>
      </c>
      <c r="M296" t="s">
        <v>19</v>
      </c>
      <c r="N296">
        <v>8992.14</v>
      </c>
      <c r="O296" t="str">
        <f>TEXT(SalesData[[#This Row],[Order_Date]],"mmm")</f>
        <v>Oct</v>
      </c>
      <c r="P296">
        <f>YEAR(SalesData[[#This Row],[Order_Date]])</f>
        <v>2024</v>
      </c>
      <c r="Q296" t="str">
        <f>"Q"&amp;ROUNDUP(MONTH(SalesData[[#This Row],[Order_Date]])/3,0)</f>
        <v>Q4</v>
      </c>
      <c r="R296" s="2">
        <f>IFERROR(SalesData[[#This Row],[Profit]]/SalesData[[#This Row],[Sales]],0)</f>
        <v>0.20940510267856152</v>
      </c>
      <c r="S296" s="2">
        <f>SalesData[[#This Row],[Price]]*SalesData[[#This Row],[Quantity]]*SalesData[[#This Row],[Discount]]</f>
        <v>3325.86</v>
      </c>
      <c r="T296" s="2" t="str">
        <f>IF(SalesData[[#This Row],[Sales]]&gt;5000,"High",IF(SalesData[[#This Row],[Sales]]&gt;2000,"Medium","Low"))</f>
        <v>High</v>
      </c>
      <c r="U296" s="2" t="str">
        <f>IF(COUNTIFS(SalesData[Customer_ID],SalesData[[#This Row],[Customer_ID]])&gt;1,"Repeat","New")</f>
        <v>Repeat</v>
      </c>
      <c r="V296" s="2" t="str">
        <f>IF(SalesData[[#This Row],[Sales]]&gt;AVERAGE(SalesData[Sales]),"Above Avg","Below Avg")</f>
        <v>Below Avg</v>
      </c>
      <c r="W296" s="2" t="str">
        <f>IF(SalesData[[#This Row],[Profit]]&gt;0,"Profit","Loss")</f>
        <v>Profit</v>
      </c>
      <c r="X296" s="2">
        <f>RANK(SalesData[[#This Row],[Sales]],SalesData[Sales])</f>
        <v>231</v>
      </c>
    </row>
    <row r="297" spans="1:24" x14ac:dyDescent="0.3">
      <c r="A297">
        <v>296</v>
      </c>
      <c r="B297" s="1">
        <v>45587</v>
      </c>
      <c r="C297">
        <v>1035</v>
      </c>
      <c r="D297" t="s">
        <v>93</v>
      </c>
      <c r="E297" t="s">
        <v>24</v>
      </c>
      <c r="F297" t="s">
        <v>21</v>
      </c>
      <c r="G297" t="s">
        <v>22</v>
      </c>
      <c r="H297" t="s">
        <v>18</v>
      </c>
      <c r="I297">
        <v>3188</v>
      </c>
      <c r="J297">
        <v>9</v>
      </c>
      <c r="K297">
        <v>7.0000000000000007E-2</v>
      </c>
      <c r="L297">
        <v>956</v>
      </c>
      <c r="M297" t="s">
        <v>31</v>
      </c>
      <c r="N297">
        <v>26683.559999999899</v>
      </c>
      <c r="O297" t="str">
        <f>TEXT(SalesData[[#This Row],[Order_Date]],"mmm")</f>
        <v>Oct</v>
      </c>
      <c r="P297">
        <f>YEAR(SalesData[[#This Row],[Order_Date]])</f>
        <v>2024</v>
      </c>
      <c r="Q297" t="str">
        <f>"Q"&amp;ROUNDUP(MONTH(SalesData[[#This Row],[Order_Date]])/3,0)</f>
        <v>Q4</v>
      </c>
      <c r="R297" s="2">
        <f>IFERROR(SalesData[[#This Row],[Profit]]/SalesData[[#This Row],[Sales]],0)</f>
        <v>3.5827303403294146E-2</v>
      </c>
      <c r="S297" s="2">
        <f>SalesData[[#This Row],[Price]]*SalesData[[#This Row],[Quantity]]*SalesData[[#This Row],[Discount]]</f>
        <v>2008.4400000000003</v>
      </c>
      <c r="T297" s="2" t="str">
        <f>IF(SalesData[[#This Row],[Sales]]&gt;5000,"High",IF(SalesData[[#This Row],[Sales]]&gt;2000,"Medium","Low"))</f>
        <v>High</v>
      </c>
      <c r="U297" s="2" t="str">
        <f>IF(COUNTIFS(SalesData[Customer_ID],SalesData[[#This Row],[Customer_ID]])&gt;1,"Repeat","New")</f>
        <v>Repeat</v>
      </c>
      <c r="V297" s="2" t="str">
        <f>IF(SalesData[[#This Row],[Sales]]&gt;AVERAGE(SalesData[Sales]),"Above Avg","Below Avg")</f>
        <v>Above Avg</v>
      </c>
      <c r="W297" s="2" t="str">
        <f>IF(SalesData[[#This Row],[Profit]]&gt;0,"Profit","Loss")</f>
        <v>Profit</v>
      </c>
      <c r="X297" s="2">
        <f>RANK(SalesData[[#This Row],[Sales]],SalesData[Sales])</f>
        <v>35</v>
      </c>
    </row>
    <row r="298" spans="1:24" x14ac:dyDescent="0.3">
      <c r="A298">
        <v>297</v>
      </c>
      <c r="B298" s="1">
        <v>45588</v>
      </c>
      <c r="C298">
        <v>1058</v>
      </c>
      <c r="D298" t="s">
        <v>135</v>
      </c>
      <c r="E298" t="s">
        <v>15</v>
      </c>
      <c r="F298" t="s">
        <v>16</v>
      </c>
      <c r="G298" t="s">
        <v>22</v>
      </c>
      <c r="H298" t="s">
        <v>25</v>
      </c>
      <c r="I298">
        <v>3427</v>
      </c>
      <c r="J298">
        <v>6</v>
      </c>
      <c r="K298">
        <v>0.27</v>
      </c>
      <c r="L298">
        <v>803</v>
      </c>
      <c r="M298" t="s">
        <v>26</v>
      </c>
      <c r="N298">
        <v>15010.26</v>
      </c>
      <c r="O298" t="str">
        <f>TEXT(SalesData[[#This Row],[Order_Date]],"mmm")</f>
        <v>Oct</v>
      </c>
      <c r="P298">
        <f>YEAR(SalesData[[#This Row],[Order_Date]])</f>
        <v>2024</v>
      </c>
      <c r="Q298" t="str">
        <f>"Q"&amp;ROUNDUP(MONTH(SalesData[[#This Row],[Order_Date]])/3,0)</f>
        <v>Q4</v>
      </c>
      <c r="R298" s="2">
        <f>IFERROR(SalesData[[#This Row],[Profit]]/SalesData[[#This Row],[Sales]],0)</f>
        <v>5.3496741562104856E-2</v>
      </c>
      <c r="S298" s="2">
        <f>SalesData[[#This Row],[Price]]*SalesData[[#This Row],[Quantity]]*SalesData[[#This Row],[Discount]]</f>
        <v>5551.7400000000007</v>
      </c>
      <c r="T298" s="2" t="str">
        <f>IF(SalesData[[#This Row],[Sales]]&gt;5000,"High",IF(SalesData[[#This Row],[Sales]]&gt;2000,"Medium","Low"))</f>
        <v>High</v>
      </c>
      <c r="U298" s="2" t="str">
        <f>IF(COUNTIFS(SalesData[Customer_ID],SalesData[[#This Row],[Customer_ID]])&gt;1,"Repeat","New")</f>
        <v>Repeat</v>
      </c>
      <c r="V298" s="2" t="str">
        <f>IF(SalesData[[#This Row],[Sales]]&gt;AVERAGE(SalesData[Sales]),"Above Avg","Below Avg")</f>
        <v>Above Avg</v>
      </c>
      <c r="W298" s="2" t="str">
        <f>IF(SalesData[[#This Row],[Profit]]&gt;0,"Profit","Loss")</f>
        <v>Profit</v>
      </c>
      <c r="X298" s="2">
        <f>RANK(SalesData[[#This Row],[Sales]],SalesData[Sales])</f>
        <v>138</v>
      </c>
    </row>
    <row r="299" spans="1:24" x14ac:dyDescent="0.3">
      <c r="A299">
        <v>298</v>
      </c>
      <c r="B299" s="1">
        <v>45589</v>
      </c>
      <c r="C299">
        <v>1038</v>
      </c>
      <c r="D299" t="s">
        <v>190</v>
      </c>
      <c r="E299" t="s">
        <v>15</v>
      </c>
      <c r="F299" t="s">
        <v>33</v>
      </c>
      <c r="G299" t="s">
        <v>22</v>
      </c>
      <c r="H299" t="s">
        <v>25</v>
      </c>
      <c r="I299">
        <v>227</v>
      </c>
      <c r="J299">
        <v>6</v>
      </c>
      <c r="K299">
        <v>0.18</v>
      </c>
      <c r="L299">
        <v>1807</v>
      </c>
      <c r="M299" t="s">
        <v>31</v>
      </c>
      <c r="N299">
        <v>1116.8399999999999</v>
      </c>
      <c r="O299" t="str">
        <f>TEXT(SalesData[[#This Row],[Order_Date]],"mmm")</f>
        <v>Oct</v>
      </c>
      <c r="P299">
        <f>YEAR(SalesData[[#This Row],[Order_Date]])</f>
        <v>2024</v>
      </c>
      <c r="Q299" t="str">
        <f>"Q"&amp;ROUNDUP(MONTH(SalesData[[#This Row],[Order_Date]])/3,0)</f>
        <v>Q4</v>
      </c>
      <c r="R299" s="2">
        <f>IFERROR(SalesData[[#This Row],[Profit]]/SalesData[[#This Row],[Sales]],0)</f>
        <v>1.6179578095340426</v>
      </c>
      <c r="S299" s="2">
        <f>SalesData[[#This Row],[Price]]*SalesData[[#This Row],[Quantity]]*SalesData[[#This Row],[Discount]]</f>
        <v>245.16</v>
      </c>
      <c r="T299" s="2" t="str">
        <f>IF(SalesData[[#This Row],[Sales]]&gt;5000,"High",IF(SalesData[[#This Row],[Sales]]&gt;2000,"Medium","Low"))</f>
        <v>Low</v>
      </c>
      <c r="U299" s="2" t="str">
        <f>IF(COUNTIFS(SalesData[Customer_ID],SalesData[[#This Row],[Customer_ID]])&gt;1,"Repeat","New")</f>
        <v>Repeat</v>
      </c>
      <c r="V299" s="2" t="str">
        <f>IF(SalesData[[#This Row],[Sales]]&gt;AVERAGE(SalesData[Sales]),"Above Avg","Below Avg")</f>
        <v>Below Avg</v>
      </c>
      <c r="W299" s="2" t="str">
        <f>IF(SalesData[[#This Row],[Profit]]&gt;0,"Profit","Loss")</f>
        <v>Profit</v>
      </c>
      <c r="X299" s="2">
        <f>RANK(SalesData[[#This Row],[Sales]],SalesData[Sales])</f>
        <v>475</v>
      </c>
    </row>
    <row r="300" spans="1:24" x14ac:dyDescent="0.3">
      <c r="A300">
        <v>299</v>
      </c>
      <c r="B300" s="1">
        <v>45590</v>
      </c>
      <c r="C300">
        <v>1001</v>
      </c>
      <c r="D300" t="s">
        <v>140</v>
      </c>
      <c r="E300" t="s">
        <v>24</v>
      </c>
      <c r="F300" t="s">
        <v>33</v>
      </c>
      <c r="G300" t="s">
        <v>34</v>
      </c>
      <c r="H300" t="s">
        <v>29</v>
      </c>
      <c r="I300">
        <v>3346</v>
      </c>
      <c r="J300">
        <v>9</v>
      </c>
      <c r="K300">
        <v>0.28999999999999998</v>
      </c>
      <c r="L300">
        <v>784</v>
      </c>
      <c r="M300" t="s">
        <v>19</v>
      </c>
      <c r="N300">
        <v>21380.94</v>
      </c>
      <c r="O300" t="str">
        <f>TEXT(SalesData[[#This Row],[Order_Date]],"mmm")</f>
        <v>Oct</v>
      </c>
      <c r="P300">
        <f>YEAR(SalesData[[#This Row],[Order_Date]])</f>
        <v>2024</v>
      </c>
      <c r="Q300" t="str">
        <f>"Q"&amp;ROUNDUP(MONTH(SalesData[[#This Row],[Order_Date]])/3,0)</f>
        <v>Q4</v>
      </c>
      <c r="R300" s="2">
        <f>IFERROR(SalesData[[#This Row],[Profit]]/SalesData[[#This Row],[Sales]],0)</f>
        <v>3.6668172680901778E-2</v>
      </c>
      <c r="S300" s="2">
        <f>SalesData[[#This Row],[Price]]*SalesData[[#This Row],[Quantity]]*SalesData[[#This Row],[Discount]]</f>
        <v>8733.06</v>
      </c>
      <c r="T300" s="2" t="str">
        <f>IF(SalesData[[#This Row],[Sales]]&gt;5000,"High",IF(SalesData[[#This Row],[Sales]]&gt;2000,"Medium","Low"))</f>
        <v>High</v>
      </c>
      <c r="U300" s="2" t="str">
        <f>IF(COUNTIFS(SalesData[Customer_ID],SalesData[[#This Row],[Customer_ID]])&gt;1,"Repeat","New")</f>
        <v>Repeat</v>
      </c>
      <c r="V300" s="2" t="str">
        <f>IF(SalesData[[#This Row],[Sales]]&gt;AVERAGE(SalesData[Sales]),"Above Avg","Below Avg")</f>
        <v>Above Avg</v>
      </c>
      <c r="W300" s="2" t="str">
        <f>IF(SalesData[[#This Row],[Profit]]&gt;0,"Profit","Loss")</f>
        <v>Profit</v>
      </c>
      <c r="X300" s="2">
        <f>RANK(SalesData[[#This Row],[Sales]],SalesData[Sales])</f>
        <v>72</v>
      </c>
    </row>
    <row r="301" spans="1:24" x14ac:dyDescent="0.3">
      <c r="A301">
        <v>300</v>
      </c>
      <c r="B301" s="1">
        <v>45591</v>
      </c>
      <c r="C301">
        <v>1052</v>
      </c>
      <c r="D301" t="s">
        <v>186</v>
      </c>
      <c r="E301" t="s">
        <v>24</v>
      </c>
      <c r="F301" t="s">
        <v>33</v>
      </c>
      <c r="G301" t="s">
        <v>22</v>
      </c>
      <c r="H301" t="s">
        <v>18</v>
      </c>
      <c r="I301">
        <v>1300</v>
      </c>
      <c r="J301">
        <v>7</v>
      </c>
      <c r="K301">
        <v>0.25</v>
      </c>
      <c r="L301">
        <v>-190</v>
      </c>
      <c r="M301" t="s">
        <v>19</v>
      </c>
      <c r="N301">
        <v>6825</v>
      </c>
      <c r="O301" t="str">
        <f>TEXT(SalesData[[#This Row],[Order_Date]],"mmm")</f>
        <v>Oct</v>
      </c>
      <c r="P301">
        <f>YEAR(SalesData[[#This Row],[Order_Date]])</f>
        <v>2024</v>
      </c>
      <c r="Q301" t="str">
        <f>"Q"&amp;ROUNDUP(MONTH(SalesData[[#This Row],[Order_Date]])/3,0)</f>
        <v>Q4</v>
      </c>
      <c r="R301" s="2">
        <f>IFERROR(SalesData[[#This Row],[Profit]]/SalesData[[#This Row],[Sales]],0)</f>
        <v>-2.7838827838827841E-2</v>
      </c>
      <c r="S301" s="2">
        <f>SalesData[[#This Row],[Price]]*SalesData[[#This Row],[Quantity]]*SalesData[[#This Row],[Discount]]</f>
        <v>2275</v>
      </c>
      <c r="T301" s="2" t="str">
        <f>IF(SalesData[[#This Row],[Sales]]&gt;5000,"High",IF(SalesData[[#This Row],[Sales]]&gt;2000,"Medium","Low"))</f>
        <v>High</v>
      </c>
      <c r="U301" s="2" t="str">
        <f>IF(COUNTIFS(SalesData[Customer_ID],SalesData[[#This Row],[Customer_ID]])&gt;1,"Repeat","New")</f>
        <v>Repeat</v>
      </c>
      <c r="V301" s="2" t="str">
        <f>IF(SalesData[[#This Row],[Sales]]&gt;AVERAGE(SalesData[Sales]),"Above Avg","Below Avg")</f>
        <v>Below Avg</v>
      </c>
      <c r="W301" s="2" t="str">
        <f>IF(SalesData[[#This Row],[Profit]]&gt;0,"Profit","Loss")</f>
        <v>Loss</v>
      </c>
      <c r="X301" s="2">
        <f>RANK(SalesData[[#This Row],[Sales]],SalesData[Sales])</f>
        <v>276</v>
      </c>
    </row>
    <row r="302" spans="1:24" x14ac:dyDescent="0.3">
      <c r="A302">
        <v>301</v>
      </c>
      <c r="B302" s="1">
        <v>45592</v>
      </c>
      <c r="C302">
        <v>1017</v>
      </c>
      <c r="D302" t="s">
        <v>114</v>
      </c>
      <c r="E302" t="s">
        <v>24</v>
      </c>
      <c r="F302" t="s">
        <v>33</v>
      </c>
      <c r="G302" t="s">
        <v>22</v>
      </c>
      <c r="H302" t="s">
        <v>18</v>
      </c>
      <c r="I302">
        <v>3165</v>
      </c>
      <c r="J302">
        <v>3</v>
      </c>
      <c r="K302">
        <v>0</v>
      </c>
      <c r="L302">
        <v>286</v>
      </c>
      <c r="M302" t="s">
        <v>26</v>
      </c>
      <c r="N302">
        <v>9495</v>
      </c>
      <c r="O302" t="str">
        <f>TEXT(SalesData[[#This Row],[Order_Date]],"mmm")</f>
        <v>Oct</v>
      </c>
      <c r="P302">
        <f>YEAR(SalesData[[#This Row],[Order_Date]])</f>
        <v>2024</v>
      </c>
      <c r="Q302" t="str">
        <f>"Q"&amp;ROUNDUP(MONTH(SalesData[[#This Row],[Order_Date]])/3,0)</f>
        <v>Q4</v>
      </c>
      <c r="R302" s="2">
        <f>IFERROR(SalesData[[#This Row],[Profit]]/SalesData[[#This Row],[Sales]],0)</f>
        <v>3.0121116377040548E-2</v>
      </c>
      <c r="S302" s="2">
        <f>SalesData[[#This Row],[Price]]*SalesData[[#This Row],[Quantity]]*SalesData[[#This Row],[Discount]]</f>
        <v>0</v>
      </c>
      <c r="T302" s="2" t="str">
        <f>IF(SalesData[[#This Row],[Sales]]&gt;5000,"High",IF(SalesData[[#This Row],[Sales]]&gt;2000,"Medium","Low"))</f>
        <v>High</v>
      </c>
      <c r="U302" s="2" t="str">
        <f>IF(COUNTIFS(SalesData[Customer_ID],SalesData[[#This Row],[Customer_ID]])&gt;1,"Repeat","New")</f>
        <v>Repeat</v>
      </c>
      <c r="V302" s="2" t="str">
        <f>IF(SalesData[[#This Row],[Sales]]&gt;AVERAGE(SalesData[Sales]),"Above Avg","Below Avg")</f>
        <v>Below Avg</v>
      </c>
      <c r="W302" s="2" t="str">
        <f>IF(SalesData[[#This Row],[Profit]]&gt;0,"Profit","Loss")</f>
        <v>Profit</v>
      </c>
      <c r="X302" s="2">
        <f>RANK(SalesData[[#This Row],[Sales]],SalesData[Sales])</f>
        <v>216</v>
      </c>
    </row>
    <row r="303" spans="1:24" x14ac:dyDescent="0.3">
      <c r="A303">
        <v>302</v>
      </c>
      <c r="B303" s="1">
        <v>45593</v>
      </c>
      <c r="C303">
        <v>1045</v>
      </c>
      <c r="D303" t="s">
        <v>176</v>
      </c>
      <c r="E303" t="s">
        <v>24</v>
      </c>
      <c r="F303" t="s">
        <v>16</v>
      </c>
      <c r="G303" t="s">
        <v>22</v>
      </c>
      <c r="H303" t="s">
        <v>18</v>
      </c>
      <c r="I303">
        <v>4359</v>
      </c>
      <c r="J303">
        <v>9</v>
      </c>
      <c r="K303">
        <v>0</v>
      </c>
      <c r="L303">
        <v>198</v>
      </c>
      <c r="M303" t="s">
        <v>26</v>
      </c>
      <c r="N303">
        <v>39231</v>
      </c>
      <c r="O303" t="str">
        <f>TEXT(SalesData[[#This Row],[Order_Date]],"mmm")</f>
        <v>Oct</v>
      </c>
      <c r="P303">
        <f>YEAR(SalesData[[#This Row],[Order_Date]])</f>
        <v>2024</v>
      </c>
      <c r="Q303" t="str">
        <f>"Q"&amp;ROUNDUP(MONTH(SalesData[[#This Row],[Order_Date]])/3,0)</f>
        <v>Q4</v>
      </c>
      <c r="R303" s="2">
        <f>IFERROR(SalesData[[#This Row],[Profit]]/SalesData[[#This Row],[Sales]],0)</f>
        <v>5.0470291351227348E-3</v>
      </c>
      <c r="S303" s="2">
        <f>SalesData[[#This Row],[Price]]*SalesData[[#This Row],[Quantity]]*SalesData[[#This Row],[Discount]]</f>
        <v>0</v>
      </c>
      <c r="T303" s="2" t="str">
        <f>IF(SalesData[[#This Row],[Sales]]&gt;5000,"High",IF(SalesData[[#This Row],[Sales]]&gt;2000,"Medium","Low"))</f>
        <v>High</v>
      </c>
      <c r="U303" s="2" t="str">
        <f>IF(COUNTIFS(SalesData[Customer_ID],SalesData[[#This Row],[Customer_ID]])&gt;1,"Repeat","New")</f>
        <v>Repeat</v>
      </c>
      <c r="V303" s="2" t="str">
        <f>IF(SalesData[[#This Row],[Sales]]&gt;AVERAGE(SalesData[Sales]),"Above Avg","Below Avg")</f>
        <v>Above Avg</v>
      </c>
      <c r="W303" s="2" t="str">
        <f>IF(SalesData[[#This Row],[Profit]]&gt;0,"Profit","Loss")</f>
        <v>Profit</v>
      </c>
      <c r="X303" s="2">
        <f>RANK(SalesData[[#This Row],[Sales]],SalesData[Sales])</f>
        <v>3</v>
      </c>
    </row>
    <row r="304" spans="1:24" x14ac:dyDescent="0.3">
      <c r="A304">
        <v>303</v>
      </c>
      <c r="B304" s="1">
        <v>45594</v>
      </c>
      <c r="C304">
        <v>1022</v>
      </c>
      <c r="D304" t="s">
        <v>97</v>
      </c>
      <c r="E304" t="s">
        <v>15</v>
      </c>
      <c r="F304" t="s">
        <v>28</v>
      </c>
      <c r="G304" t="s">
        <v>17</v>
      </c>
      <c r="H304" t="s">
        <v>37</v>
      </c>
      <c r="I304">
        <v>4615</v>
      </c>
      <c r="J304">
        <v>4</v>
      </c>
      <c r="K304">
        <v>0.22</v>
      </c>
      <c r="L304">
        <v>247</v>
      </c>
      <c r="M304" t="s">
        <v>31</v>
      </c>
      <c r="N304">
        <v>14398.8</v>
      </c>
      <c r="O304" t="str">
        <f>TEXT(SalesData[[#This Row],[Order_Date]],"mmm")</f>
        <v>Oct</v>
      </c>
      <c r="P304">
        <f>YEAR(SalesData[[#This Row],[Order_Date]])</f>
        <v>2024</v>
      </c>
      <c r="Q304" t="str">
        <f>"Q"&amp;ROUNDUP(MONTH(SalesData[[#This Row],[Order_Date]])/3,0)</f>
        <v>Q4</v>
      </c>
      <c r="R304" s="2">
        <f>IFERROR(SalesData[[#This Row],[Profit]]/SalesData[[#This Row],[Sales]],0)</f>
        <v>1.7154207295052366E-2</v>
      </c>
      <c r="S304" s="2">
        <f>SalesData[[#This Row],[Price]]*SalesData[[#This Row],[Quantity]]*SalesData[[#This Row],[Discount]]</f>
        <v>4061.2</v>
      </c>
      <c r="T304" s="2" t="str">
        <f>IF(SalesData[[#This Row],[Sales]]&gt;5000,"High",IF(SalesData[[#This Row],[Sales]]&gt;2000,"Medium","Low"))</f>
        <v>High</v>
      </c>
      <c r="U304" s="2" t="str">
        <f>IF(COUNTIFS(SalesData[Customer_ID],SalesData[[#This Row],[Customer_ID]])&gt;1,"Repeat","New")</f>
        <v>Repeat</v>
      </c>
      <c r="V304" s="2" t="str">
        <f>IF(SalesData[[#This Row],[Sales]]&gt;AVERAGE(SalesData[Sales]),"Above Avg","Below Avg")</f>
        <v>Above Avg</v>
      </c>
      <c r="W304" s="2" t="str">
        <f>IF(SalesData[[#This Row],[Profit]]&gt;0,"Profit","Loss")</f>
        <v>Profit</v>
      </c>
      <c r="X304" s="2">
        <f>RANK(SalesData[[#This Row],[Sales]],SalesData[Sales])</f>
        <v>145</v>
      </c>
    </row>
    <row r="305" spans="1:24" x14ac:dyDescent="0.3">
      <c r="A305">
        <v>304</v>
      </c>
      <c r="B305" s="1">
        <v>45595</v>
      </c>
      <c r="C305">
        <v>1053</v>
      </c>
      <c r="D305" t="s">
        <v>153</v>
      </c>
      <c r="E305" t="s">
        <v>15</v>
      </c>
      <c r="F305" t="s">
        <v>33</v>
      </c>
      <c r="G305" t="s">
        <v>22</v>
      </c>
      <c r="H305" t="s">
        <v>25</v>
      </c>
      <c r="I305">
        <v>3662</v>
      </c>
      <c r="J305">
        <v>3</v>
      </c>
      <c r="K305">
        <v>0.16</v>
      </c>
      <c r="L305">
        <v>1555</v>
      </c>
      <c r="M305" t="s">
        <v>31</v>
      </c>
      <c r="N305">
        <v>9228.24</v>
      </c>
      <c r="O305" t="str">
        <f>TEXT(SalesData[[#This Row],[Order_Date]],"mmm")</f>
        <v>Oct</v>
      </c>
      <c r="P305">
        <f>YEAR(SalesData[[#This Row],[Order_Date]])</f>
        <v>2024</v>
      </c>
      <c r="Q305" t="str">
        <f>"Q"&amp;ROUNDUP(MONTH(SalesData[[#This Row],[Order_Date]])/3,0)</f>
        <v>Q4</v>
      </c>
      <c r="R305" s="2">
        <f>IFERROR(SalesData[[#This Row],[Profit]]/SalesData[[#This Row],[Sales]],0)</f>
        <v>0.16850450356731078</v>
      </c>
      <c r="S305" s="2">
        <f>SalesData[[#This Row],[Price]]*SalesData[[#This Row],[Quantity]]*SalesData[[#This Row],[Discount]]</f>
        <v>1757.76</v>
      </c>
      <c r="T305" s="2" t="str">
        <f>IF(SalesData[[#This Row],[Sales]]&gt;5000,"High",IF(SalesData[[#This Row],[Sales]]&gt;2000,"Medium","Low"))</f>
        <v>High</v>
      </c>
      <c r="U305" s="2" t="str">
        <f>IF(COUNTIFS(SalesData[Customer_ID],SalesData[[#This Row],[Customer_ID]])&gt;1,"Repeat","New")</f>
        <v>New</v>
      </c>
      <c r="V305" s="2" t="str">
        <f>IF(SalesData[[#This Row],[Sales]]&gt;AVERAGE(SalesData[Sales]),"Above Avg","Below Avg")</f>
        <v>Below Avg</v>
      </c>
      <c r="W305" s="2" t="str">
        <f>IF(SalesData[[#This Row],[Profit]]&gt;0,"Profit","Loss")</f>
        <v>Profit</v>
      </c>
      <c r="X305" s="2">
        <f>RANK(SalesData[[#This Row],[Sales]],SalesData[Sales])</f>
        <v>226</v>
      </c>
    </row>
    <row r="306" spans="1:24" x14ac:dyDescent="0.3">
      <c r="A306">
        <v>305</v>
      </c>
      <c r="B306" s="1">
        <v>45596</v>
      </c>
      <c r="C306">
        <v>1089</v>
      </c>
      <c r="D306" t="s">
        <v>181</v>
      </c>
      <c r="E306" t="s">
        <v>24</v>
      </c>
      <c r="F306" t="s">
        <v>16</v>
      </c>
      <c r="G306" t="s">
        <v>17</v>
      </c>
      <c r="H306" t="s">
        <v>18</v>
      </c>
      <c r="I306">
        <v>170</v>
      </c>
      <c r="J306">
        <v>9</v>
      </c>
      <c r="K306">
        <v>0.23</v>
      </c>
      <c r="L306">
        <v>291</v>
      </c>
      <c r="M306" t="s">
        <v>31</v>
      </c>
      <c r="N306">
        <v>1178.0999999999999</v>
      </c>
      <c r="O306" t="str">
        <f>TEXT(SalesData[[#This Row],[Order_Date]],"mmm")</f>
        <v>Oct</v>
      </c>
      <c r="P306">
        <f>YEAR(SalesData[[#This Row],[Order_Date]])</f>
        <v>2024</v>
      </c>
      <c r="Q306" t="str">
        <f>"Q"&amp;ROUNDUP(MONTH(SalesData[[#This Row],[Order_Date]])/3,0)</f>
        <v>Q4</v>
      </c>
      <c r="R306" s="2">
        <f>IFERROR(SalesData[[#This Row],[Profit]]/SalesData[[#This Row],[Sales]],0)</f>
        <v>0.24700789406671761</v>
      </c>
      <c r="S306" s="2">
        <f>SalesData[[#This Row],[Price]]*SalesData[[#This Row],[Quantity]]*SalesData[[#This Row],[Discount]]</f>
        <v>351.90000000000003</v>
      </c>
      <c r="T306" s="2" t="str">
        <f>IF(SalesData[[#This Row],[Sales]]&gt;5000,"High",IF(SalesData[[#This Row],[Sales]]&gt;2000,"Medium","Low"))</f>
        <v>Low</v>
      </c>
      <c r="U306" s="2" t="str">
        <f>IF(COUNTIFS(SalesData[Customer_ID],SalesData[[#This Row],[Customer_ID]])&gt;1,"Repeat","New")</f>
        <v>Repeat</v>
      </c>
      <c r="V306" s="2" t="str">
        <f>IF(SalesData[[#This Row],[Sales]]&gt;AVERAGE(SalesData[Sales]),"Above Avg","Below Avg")</f>
        <v>Below Avg</v>
      </c>
      <c r="W306" s="2" t="str">
        <f>IF(SalesData[[#This Row],[Profit]]&gt;0,"Profit","Loss")</f>
        <v>Profit</v>
      </c>
      <c r="X306" s="2">
        <f>RANK(SalesData[[#This Row],[Sales]],SalesData[Sales])</f>
        <v>470</v>
      </c>
    </row>
    <row r="307" spans="1:24" x14ac:dyDescent="0.3">
      <c r="A307">
        <v>306</v>
      </c>
      <c r="B307" s="1">
        <v>45597</v>
      </c>
      <c r="C307">
        <v>1074</v>
      </c>
      <c r="D307" t="s">
        <v>191</v>
      </c>
      <c r="E307" t="s">
        <v>24</v>
      </c>
      <c r="F307" t="s">
        <v>16</v>
      </c>
      <c r="G307" t="s">
        <v>17</v>
      </c>
      <c r="H307" t="s">
        <v>37</v>
      </c>
      <c r="I307">
        <v>4005</v>
      </c>
      <c r="J307">
        <v>3</v>
      </c>
      <c r="K307">
        <v>0.18</v>
      </c>
      <c r="L307">
        <v>940</v>
      </c>
      <c r="M307" t="s">
        <v>31</v>
      </c>
      <c r="N307">
        <v>9852.2999999999993</v>
      </c>
      <c r="O307" t="str">
        <f>TEXT(SalesData[[#This Row],[Order_Date]],"mmm")</f>
        <v>Nov</v>
      </c>
      <c r="P307">
        <f>YEAR(SalesData[[#This Row],[Order_Date]])</f>
        <v>2024</v>
      </c>
      <c r="Q307" t="str">
        <f>"Q"&amp;ROUNDUP(MONTH(SalesData[[#This Row],[Order_Date]])/3,0)</f>
        <v>Q4</v>
      </c>
      <c r="R307" s="2">
        <f>IFERROR(SalesData[[#This Row],[Profit]]/SalesData[[#This Row],[Sales]],0)</f>
        <v>9.5409193792312469E-2</v>
      </c>
      <c r="S307" s="2">
        <f>SalesData[[#This Row],[Price]]*SalesData[[#This Row],[Quantity]]*SalesData[[#This Row],[Discount]]</f>
        <v>2162.6999999999998</v>
      </c>
      <c r="T307" s="2" t="str">
        <f>IF(SalesData[[#This Row],[Sales]]&gt;5000,"High",IF(SalesData[[#This Row],[Sales]]&gt;2000,"Medium","Low"))</f>
        <v>High</v>
      </c>
      <c r="U307" s="2" t="str">
        <f>IF(COUNTIFS(SalesData[Customer_ID],SalesData[[#This Row],[Customer_ID]])&gt;1,"Repeat","New")</f>
        <v>Repeat</v>
      </c>
      <c r="V307" s="2" t="str">
        <f>IF(SalesData[[#This Row],[Sales]]&gt;AVERAGE(SalesData[Sales]),"Above Avg","Below Avg")</f>
        <v>Below Avg</v>
      </c>
      <c r="W307" s="2" t="str">
        <f>IF(SalesData[[#This Row],[Profit]]&gt;0,"Profit","Loss")</f>
        <v>Profit</v>
      </c>
      <c r="X307" s="2">
        <f>RANK(SalesData[[#This Row],[Sales]],SalesData[Sales])</f>
        <v>206</v>
      </c>
    </row>
    <row r="308" spans="1:24" x14ac:dyDescent="0.3">
      <c r="A308">
        <v>307</v>
      </c>
      <c r="B308" s="1">
        <v>45598</v>
      </c>
      <c r="C308">
        <v>1000</v>
      </c>
      <c r="D308" t="s">
        <v>182</v>
      </c>
      <c r="E308" t="s">
        <v>15</v>
      </c>
      <c r="F308" t="s">
        <v>16</v>
      </c>
      <c r="G308" t="s">
        <v>17</v>
      </c>
      <c r="H308" t="s">
        <v>37</v>
      </c>
      <c r="I308">
        <v>568</v>
      </c>
      <c r="J308">
        <v>1</v>
      </c>
      <c r="K308">
        <v>7.0000000000000007E-2</v>
      </c>
      <c r="L308">
        <v>1894</v>
      </c>
      <c r="M308" t="s">
        <v>19</v>
      </c>
      <c r="N308">
        <v>528.24</v>
      </c>
      <c r="O308" t="str">
        <f>TEXT(SalesData[[#This Row],[Order_Date]],"mmm")</f>
        <v>Nov</v>
      </c>
      <c r="P308">
        <f>YEAR(SalesData[[#This Row],[Order_Date]])</f>
        <v>2024</v>
      </c>
      <c r="Q308" t="str">
        <f>"Q"&amp;ROUNDUP(MONTH(SalesData[[#This Row],[Order_Date]])/3,0)</f>
        <v>Q4</v>
      </c>
      <c r="R308" s="2">
        <f>IFERROR(SalesData[[#This Row],[Profit]]/SalesData[[#This Row],[Sales]],0)</f>
        <v>3.585491443283356</v>
      </c>
      <c r="S308" s="2">
        <f>SalesData[[#This Row],[Price]]*SalesData[[#This Row],[Quantity]]*SalesData[[#This Row],[Discount]]</f>
        <v>39.760000000000005</v>
      </c>
      <c r="T308" s="2" t="str">
        <f>IF(SalesData[[#This Row],[Sales]]&gt;5000,"High",IF(SalesData[[#This Row],[Sales]]&gt;2000,"Medium","Low"))</f>
        <v>Low</v>
      </c>
      <c r="U308" s="2" t="str">
        <f>IF(COUNTIFS(SalesData[Customer_ID],SalesData[[#This Row],[Customer_ID]])&gt;1,"Repeat","New")</f>
        <v>Repeat</v>
      </c>
      <c r="V308" s="2" t="str">
        <f>IF(SalesData[[#This Row],[Sales]]&gt;AVERAGE(SalesData[Sales]),"Above Avg","Below Avg")</f>
        <v>Below Avg</v>
      </c>
      <c r="W308" s="2" t="str">
        <f>IF(SalesData[[#This Row],[Profit]]&gt;0,"Profit","Loss")</f>
        <v>Profit</v>
      </c>
      <c r="X308" s="2">
        <f>RANK(SalesData[[#This Row],[Sales]],SalesData[Sales])</f>
        <v>490</v>
      </c>
    </row>
    <row r="309" spans="1:24" x14ac:dyDescent="0.3">
      <c r="A309">
        <v>308</v>
      </c>
      <c r="B309" s="1">
        <v>45599</v>
      </c>
      <c r="C309">
        <v>1035</v>
      </c>
      <c r="D309" t="s">
        <v>128</v>
      </c>
      <c r="E309" t="s">
        <v>15</v>
      </c>
      <c r="F309" t="s">
        <v>33</v>
      </c>
      <c r="G309" t="s">
        <v>22</v>
      </c>
      <c r="H309" t="s">
        <v>18</v>
      </c>
      <c r="I309">
        <v>3660</v>
      </c>
      <c r="J309">
        <v>3</v>
      </c>
      <c r="K309">
        <v>0.24</v>
      </c>
      <c r="L309">
        <v>1824</v>
      </c>
      <c r="M309" t="s">
        <v>31</v>
      </c>
      <c r="N309">
        <v>8344.7999999999993</v>
      </c>
      <c r="O309" t="str">
        <f>TEXT(SalesData[[#This Row],[Order_Date]],"mmm")</f>
        <v>Nov</v>
      </c>
      <c r="P309">
        <f>YEAR(SalesData[[#This Row],[Order_Date]])</f>
        <v>2024</v>
      </c>
      <c r="Q309" t="str">
        <f>"Q"&amp;ROUNDUP(MONTH(SalesData[[#This Row],[Order_Date]])/3,0)</f>
        <v>Q4</v>
      </c>
      <c r="R309" s="2">
        <f>IFERROR(SalesData[[#This Row],[Profit]]/SalesData[[#This Row],[Sales]],0)</f>
        <v>0.21857923497267762</v>
      </c>
      <c r="S309" s="2">
        <f>SalesData[[#This Row],[Price]]*SalesData[[#This Row],[Quantity]]*SalesData[[#This Row],[Discount]]</f>
        <v>2635.2</v>
      </c>
      <c r="T309" s="2" t="str">
        <f>IF(SalesData[[#This Row],[Sales]]&gt;5000,"High",IF(SalesData[[#This Row],[Sales]]&gt;2000,"Medium","Low"))</f>
        <v>High</v>
      </c>
      <c r="U309" s="2" t="str">
        <f>IF(COUNTIFS(SalesData[Customer_ID],SalesData[[#This Row],[Customer_ID]])&gt;1,"Repeat","New")</f>
        <v>Repeat</v>
      </c>
      <c r="V309" s="2" t="str">
        <f>IF(SalesData[[#This Row],[Sales]]&gt;AVERAGE(SalesData[Sales]),"Above Avg","Below Avg")</f>
        <v>Below Avg</v>
      </c>
      <c r="W309" s="2" t="str">
        <f>IF(SalesData[[#This Row],[Profit]]&gt;0,"Profit","Loss")</f>
        <v>Profit</v>
      </c>
      <c r="X309" s="2">
        <f>RANK(SalesData[[#This Row],[Sales]],SalesData[Sales])</f>
        <v>241</v>
      </c>
    </row>
    <row r="310" spans="1:24" x14ac:dyDescent="0.3">
      <c r="A310">
        <v>309</v>
      </c>
      <c r="B310" s="1">
        <v>45600</v>
      </c>
      <c r="C310">
        <v>1083</v>
      </c>
      <c r="D310" t="s">
        <v>102</v>
      </c>
      <c r="E310" t="s">
        <v>24</v>
      </c>
      <c r="F310" t="s">
        <v>21</v>
      </c>
      <c r="G310" t="s">
        <v>34</v>
      </c>
      <c r="H310" t="s">
        <v>25</v>
      </c>
      <c r="I310">
        <v>2023</v>
      </c>
      <c r="J310">
        <v>3</v>
      </c>
      <c r="K310">
        <v>0.01</v>
      </c>
      <c r="L310">
        <v>356</v>
      </c>
      <c r="M310" t="s">
        <v>26</v>
      </c>
      <c r="N310">
        <v>6008.31</v>
      </c>
      <c r="O310" t="str">
        <f>TEXT(SalesData[[#This Row],[Order_Date]],"mmm")</f>
        <v>Nov</v>
      </c>
      <c r="P310">
        <f>YEAR(SalesData[[#This Row],[Order_Date]])</f>
        <v>2024</v>
      </c>
      <c r="Q310" t="str">
        <f>"Q"&amp;ROUNDUP(MONTH(SalesData[[#This Row],[Order_Date]])/3,0)</f>
        <v>Q4</v>
      </c>
      <c r="R310" s="2">
        <f>IFERROR(SalesData[[#This Row],[Profit]]/SalesData[[#This Row],[Sales]],0)</f>
        <v>5.9251270323934679E-2</v>
      </c>
      <c r="S310" s="2">
        <f>SalesData[[#This Row],[Price]]*SalesData[[#This Row],[Quantity]]*SalesData[[#This Row],[Discount]]</f>
        <v>60.69</v>
      </c>
      <c r="T310" s="2" t="str">
        <f>IF(SalesData[[#This Row],[Sales]]&gt;5000,"High",IF(SalesData[[#This Row],[Sales]]&gt;2000,"Medium","Low"))</f>
        <v>High</v>
      </c>
      <c r="U310" s="2" t="str">
        <f>IF(COUNTIFS(SalesData[Customer_ID],SalesData[[#This Row],[Customer_ID]])&gt;1,"Repeat","New")</f>
        <v>Repeat</v>
      </c>
      <c r="V310" s="2" t="str">
        <f>IF(SalesData[[#This Row],[Sales]]&gt;AVERAGE(SalesData[Sales]),"Above Avg","Below Avg")</f>
        <v>Below Avg</v>
      </c>
      <c r="W310" s="2" t="str">
        <f>IF(SalesData[[#This Row],[Profit]]&gt;0,"Profit","Loss")</f>
        <v>Profit</v>
      </c>
      <c r="X310" s="2">
        <f>RANK(SalesData[[#This Row],[Sales]],SalesData[Sales])</f>
        <v>297</v>
      </c>
    </row>
    <row r="311" spans="1:24" x14ac:dyDescent="0.3">
      <c r="A311">
        <v>310</v>
      </c>
      <c r="B311" s="1">
        <v>45601</v>
      </c>
      <c r="C311">
        <v>1094</v>
      </c>
      <c r="D311" t="s">
        <v>192</v>
      </c>
      <c r="E311" t="s">
        <v>15</v>
      </c>
      <c r="F311" t="s">
        <v>33</v>
      </c>
      <c r="G311" t="s">
        <v>22</v>
      </c>
      <c r="H311" t="s">
        <v>29</v>
      </c>
      <c r="I311">
        <v>3079</v>
      </c>
      <c r="J311">
        <v>5</v>
      </c>
      <c r="K311">
        <v>0.24</v>
      </c>
      <c r="L311">
        <v>1522</v>
      </c>
      <c r="M311" t="s">
        <v>19</v>
      </c>
      <c r="N311">
        <v>11700.2</v>
      </c>
      <c r="O311" t="str">
        <f>TEXT(SalesData[[#This Row],[Order_Date]],"mmm")</f>
        <v>Nov</v>
      </c>
      <c r="P311">
        <f>YEAR(SalesData[[#This Row],[Order_Date]])</f>
        <v>2024</v>
      </c>
      <c r="Q311" t="str">
        <f>"Q"&amp;ROUNDUP(MONTH(SalesData[[#This Row],[Order_Date]])/3,0)</f>
        <v>Q4</v>
      </c>
      <c r="R311" s="2">
        <f>IFERROR(SalesData[[#This Row],[Profit]]/SalesData[[#This Row],[Sales]],0)</f>
        <v>0.13008324644023178</v>
      </c>
      <c r="S311" s="2">
        <f>SalesData[[#This Row],[Price]]*SalesData[[#This Row],[Quantity]]*SalesData[[#This Row],[Discount]]</f>
        <v>3694.7999999999997</v>
      </c>
      <c r="T311" s="2" t="str">
        <f>IF(SalesData[[#This Row],[Sales]]&gt;5000,"High",IF(SalesData[[#This Row],[Sales]]&gt;2000,"Medium","Low"))</f>
        <v>High</v>
      </c>
      <c r="U311" s="2" t="str">
        <f>IF(COUNTIFS(SalesData[Customer_ID],SalesData[[#This Row],[Customer_ID]])&gt;1,"Repeat","New")</f>
        <v>Repeat</v>
      </c>
      <c r="V311" s="2" t="str">
        <f>IF(SalesData[[#This Row],[Sales]]&gt;AVERAGE(SalesData[Sales]),"Above Avg","Below Avg")</f>
        <v>Above Avg</v>
      </c>
      <c r="W311" s="2" t="str">
        <f>IF(SalesData[[#This Row],[Profit]]&gt;0,"Profit","Loss")</f>
        <v>Profit</v>
      </c>
      <c r="X311" s="2">
        <f>RANK(SalesData[[#This Row],[Sales]],SalesData[Sales])</f>
        <v>178</v>
      </c>
    </row>
    <row r="312" spans="1:24" x14ac:dyDescent="0.3">
      <c r="A312">
        <v>311</v>
      </c>
      <c r="B312" s="1">
        <v>45602</v>
      </c>
      <c r="C312">
        <v>1071</v>
      </c>
      <c r="D312" t="s">
        <v>126</v>
      </c>
      <c r="E312" t="s">
        <v>24</v>
      </c>
      <c r="F312" t="s">
        <v>16</v>
      </c>
      <c r="G312" t="s">
        <v>34</v>
      </c>
      <c r="H312" t="s">
        <v>29</v>
      </c>
      <c r="I312">
        <v>4122</v>
      </c>
      <c r="J312">
        <v>9</v>
      </c>
      <c r="K312">
        <v>0.2</v>
      </c>
      <c r="L312">
        <v>-297</v>
      </c>
      <c r="M312" t="s">
        <v>26</v>
      </c>
      <c r="N312">
        <v>29678.400000000001</v>
      </c>
      <c r="O312" t="str">
        <f>TEXT(SalesData[[#This Row],[Order_Date]],"mmm")</f>
        <v>Nov</v>
      </c>
      <c r="P312">
        <f>YEAR(SalesData[[#This Row],[Order_Date]])</f>
        <v>2024</v>
      </c>
      <c r="Q312" t="str">
        <f>"Q"&amp;ROUNDUP(MONTH(SalesData[[#This Row],[Order_Date]])/3,0)</f>
        <v>Q4</v>
      </c>
      <c r="R312" s="2">
        <f>IFERROR(SalesData[[#This Row],[Profit]]/SalesData[[#This Row],[Sales]],0)</f>
        <v>-1.0007278020378457E-2</v>
      </c>
      <c r="S312" s="2">
        <f>SalesData[[#This Row],[Price]]*SalesData[[#This Row],[Quantity]]*SalesData[[#This Row],[Discount]]</f>
        <v>7419.6</v>
      </c>
      <c r="T312" s="2" t="str">
        <f>IF(SalesData[[#This Row],[Sales]]&gt;5000,"High",IF(SalesData[[#This Row],[Sales]]&gt;2000,"Medium","Low"))</f>
        <v>High</v>
      </c>
      <c r="U312" s="2" t="str">
        <f>IF(COUNTIFS(SalesData[Customer_ID],SalesData[[#This Row],[Customer_ID]])&gt;1,"Repeat","New")</f>
        <v>Repeat</v>
      </c>
      <c r="V312" s="2" t="str">
        <f>IF(SalesData[[#This Row],[Sales]]&gt;AVERAGE(SalesData[Sales]),"Above Avg","Below Avg")</f>
        <v>Above Avg</v>
      </c>
      <c r="W312" s="2" t="str">
        <f>IF(SalesData[[#This Row],[Profit]]&gt;0,"Profit","Loss")</f>
        <v>Loss</v>
      </c>
      <c r="X312" s="2">
        <f>RANK(SalesData[[#This Row],[Sales]],SalesData[Sales])</f>
        <v>25</v>
      </c>
    </row>
    <row r="313" spans="1:24" x14ac:dyDescent="0.3">
      <c r="A313">
        <v>312</v>
      </c>
      <c r="B313" s="1">
        <v>45603</v>
      </c>
      <c r="C313">
        <v>1039</v>
      </c>
      <c r="D313" t="s">
        <v>130</v>
      </c>
      <c r="E313" t="s">
        <v>24</v>
      </c>
      <c r="F313" t="s">
        <v>33</v>
      </c>
      <c r="G313" t="s">
        <v>22</v>
      </c>
      <c r="H313" t="s">
        <v>18</v>
      </c>
      <c r="I313">
        <v>4319</v>
      </c>
      <c r="J313">
        <v>7</v>
      </c>
      <c r="K313">
        <v>0.2</v>
      </c>
      <c r="L313">
        <v>1668</v>
      </c>
      <c r="M313" t="s">
        <v>19</v>
      </c>
      <c r="N313">
        <v>24186.400000000001</v>
      </c>
      <c r="O313" t="str">
        <f>TEXT(SalesData[[#This Row],[Order_Date]],"mmm")</f>
        <v>Nov</v>
      </c>
      <c r="P313">
        <f>YEAR(SalesData[[#This Row],[Order_Date]])</f>
        <v>2024</v>
      </c>
      <c r="Q313" t="str">
        <f>"Q"&amp;ROUNDUP(MONTH(SalesData[[#This Row],[Order_Date]])/3,0)</f>
        <v>Q4</v>
      </c>
      <c r="R313" s="2">
        <f>IFERROR(SalesData[[#This Row],[Profit]]/SalesData[[#This Row],[Sales]],0)</f>
        <v>6.896437667449476E-2</v>
      </c>
      <c r="S313" s="2">
        <f>SalesData[[#This Row],[Price]]*SalesData[[#This Row],[Quantity]]*SalesData[[#This Row],[Discount]]</f>
        <v>6046.6</v>
      </c>
      <c r="T313" s="2" t="str">
        <f>IF(SalesData[[#This Row],[Sales]]&gt;5000,"High",IF(SalesData[[#This Row],[Sales]]&gt;2000,"Medium","Low"))</f>
        <v>High</v>
      </c>
      <c r="U313" s="2" t="str">
        <f>IF(COUNTIFS(SalesData[Customer_ID],SalesData[[#This Row],[Customer_ID]])&gt;1,"Repeat","New")</f>
        <v>Repeat</v>
      </c>
      <c r="V313" s="2" t="str">
        <f>IF(SalesData[[#This Row],[Sales]]&gt;AVERAGE(SalesData[Sales]),"Above Avg","Below Avg")</f>
        <v>Above Avg</v>
      </c>
      <c r="W313" s="2" t="str">
        <f>IF(SalesData[[#This Row],[Profit]]&gt;0,"Profit","Loss")</f>
        <v>Profit</v>
      </c>
      <c r="X313" s="2">
        <f>RANK(SalesData[[#This Row],[Sales]],SalesData[Sales])</f>
        <v>50</v>
      </c>
    </row>
    <row r="314" spans="1:24" x14ac:dyDescent="0.3">
      <c r="A314">
        <v>313</v>
      </c>
      <c r="B314" s="1">
        <v>45604</v>
      </c>
      <c r="C314">
        <v>1087</v>
      </c>
      <c r="D314" t="s">
        <v>149</v>
      </c>
      <c r="E314" t="s">
        <v>15</v>
      </c>
      <c r="F314" t="s">
        <v>28</v>
      </c>
      <c r="G314" t="s">
        <v>22</v>
      </c>
      <c r="H314" t="s">
        <v>25</v>
      </c>
      <c r="I314">
        <v>4618</v>
      </c>
      <c r="J314">
        <v>3</v>
      </c>
      <c r="K314">
        <v>0.01</v>
      </c>
      <c r="L314">
        <v>1802</v>
      </c>
      <c r="M314" t="s">
        <v>31</v>
      </c>
      <c r="N314">
        <v>13715.46</v>
      </c>
      <c r="O314" t="str">
        <f>TEXT(SalesData[[#This Row],[Order_Date]],"mmm")</f>
        <v>Nov</v>
      </c>
      <c r="P314">
        <f>YEAR(SalesData[[#This Row],[Order_Date]])</f>
        <v>2024</v>
      </c>
      <c r="Q314" t="str">
        <f>"Q"&amp;ROUNDUP(MONTH(SalesData[[#This Row],[Order_Date]])/3,0)</f>
        <v>Q4</v>
      </c>
      <c r="R314" s="2">
        <f>IFERROR(SalesData[[#This Row],[Profit]]/SalesData[[#This Row],[Sales]],0)</f>
        <v>0.13138458352836874</v>
      </c>
      <c r="S314" s="2">
        <f>SalesData[[#This Row],[Price]]*SalesData[[#This Row],[Quantity]]*SalesData[[#This Row],[Discount]]</f>
        <v>138.54</v>
      </c>
      <c r="T314" s="2" t="str">
        <f>IF(SalesData[[#This Row],[Sales]]&gt;5000,"High",IF(SalesData[[#This Row],[Sales]]&gt;2000,"Medium","Low"))</f>
        <v>High</v>
      </c>
      <c r="U314" s="2" t="str">
        <f>IF(COUNTIFS(SalesData[Customer_ID],SalesData[[#This Row],[Customer_ID]])&gt;1,"Repeat","New")</f>
        <v>Repeat</v>
      </c>
      <c r="V314" s="2" t="str">
        <f>IF(SalesData[[#This Row],[Sales]]&gt;AVERAGE(SalesData[Sales]),"Above Avg","Below Avg")</f>
        <v>Above Avg</v>
      </c>
      <c r="W314" s="2" t="str">
        <f>IF(SalesData[[#This Row],[Profit]]&gt;0,"Profit","Loss")</f>
        <v>Profit</v>
      </c>
      <c r="X314" s="2">
        <f>RANK(SalesData[[#This Row],[Sales]],SalesData[Sales])</f>
        <v>150</v>
      </c>
    </row>
    <row r="315" spans="1:24" x14ac:dyDescent="0.3">
      <c r="A315">
        <v>314</v>
      </c>
      <c r="B315" s="1">
        <v>45605</v>
      </c>
      <c r="C315">
        <v>1083</v>
      </c>
      <c r="D315" t="s">
        <v>96</v>
      </c>
      <c r="E315" t="s">
        <v>24</v>
      </c>
      <c r="F315" t="s">
        <v>21</v>
      </c>
      <c r="G315" t="s">
        <v>34</v>
      </c>
      <c r="H315" t="s">
        <v>29</v>
      </c>
      <c r="I315">
        <v>666</v>
      </c>
      <c r="J315">
        <v>3</v>
      </c>
      <c r="K315">
        <v>0.06</v>
      </c>
      <c r="L315">
        <v>-107</v>
      </c>
      <c r="M315" t="s">
        <v>19</v>
      </c>
      <c r="N315">
        <v>1878.12</v>
      </c>
      <c r="O315" t="str">
        <f>TEXT(SalesData[[#This Row],[Order_Date]],"mmm")</f>
        <v>Nov</v>
      </c>
      <c r="P315">
        <f>YEAR(SalesData[[#This Row],[Order_Date]])</f>
        <v>2024</v>
      </c>
      <c r="Q315" t="str">
        <f>"Q"&amp;ROUNDUP(MONTH(SalesData[[#This Row],[Order_Date]])/3,0)</f>
        <v>Q4</v>
      </c>
      <c r="R315" s="2">
        <f>IFERROR(SalesData[[#This Row],[Profit]]/SalesData[[#This Row],[Sales]],0)</f>
        <v>-5.6971865482503783E-2</v>
      </c>
      <c r="S315" s="2">
        <f>SalesData[[#This Row],[Price]]*SalesData[[#This Row],[Quantity]]*SalesData[[#This Row],[Discount]]</f>
        <v>119.88</v>
      </c>
      <c r="T315" s="2" t="str">
        <f>IF(SalesData[[#This Row],[Sales]]&gt;5000,"High",IF(SalesData[[#This Row],[Sales]]&gt;2000,"Medium","Low"))</f>
        <v>Low</v>
      </c>
      <c r="U315" s="2" t="str">
        <f>IF(COUNTIFS(SalesData[Customer_ID],SalesData[[#This Row],[Customer_ID]])&gt;1,"Repeat","New")</f>
        <v>Repeat</v>
      </c>
      <c r="V315" s="2" t="str">
        <f>IF(SalesData[[#This Row],[Sales]]&gt;AVERAGE(SalesData[Sales]),"Above Avg","Below Avg")</f>
        <v>Below Avg</v>
      </c>
      <c r="W315" s="2" t="str">
        <f>IF(SalesData[[#This Row],[Profit]]&gt;0,"Profit","Loss")</f>
        <v>Loss</v>
      </c>
      <c r="X315" s="2">
        <f>RANK(SalesData[[#This Row],[Sales]],SalesData[Sales])</f>
        <v>437</v>
      </c>
    </row>
    <row r="316" spans="1:24" x14ac:dyDescent="0.3">
      <c r="A316">
        <v>315</v>
      </c>
      <c r="B316" s="1">
        <v>45606</v>
      </c>
      <c r="C316">
        <v>1078</v>
      </c>
      <c r="D316" t="s">
        <v>193</v>
      </c>
      <c r="E316" t="s">
        <v>24</v>
      </c>
      <c r="F316" t="s">
        <v>21</v>
      </c>
      <c r="G316" t="s">
        <v>17</v>
      </c>
      <c r="H316" t="s">
        <v>25</v>
      </c>
      <c r="I316">
        <v>3227</v>
      </c>
      <c r="J316">
        <v>4</v>
      </c>
      <c r="K316">
        <v>0.15</v>
      </c>
      <c r="L316">
        <v>200</v>
      </c>
      <c r="M316" t="s">
        <v>31</v>
      </c>
      <c r="N316">
        <v>10971.8</v>
      </c>
      <c r="O316" t="str">
        <f>TEXT(SalesData[[#This Row],[Order_Date]],"mmm")</f>
        <v>Nov</v>
      </c>
      <c r="P316">
        <f>YEAR(SalesData[[#This Row],[Order_Date]])</f>
        <v>2024</v>
      </c>
      <c r="Q316" t="str">
        <f>"Q"&amp;ROUNDUP(MONTH(SalesData[[#This Row],[Order_Date]])/3,0)</f>
        <v>Q4</v>
      </c>
      <c r="R316" s="2">
        <f>IFERROR(SalesData[[#This Row],[Profit]]/SalesData[[#This Row],[Sales]],0)</f>
        <v>1.8228549554311965E-2</v>
      </c>
      <c r="S316" s="2">
        <f>SalesData[[#This Row],[Price]]*SalesData[[#This Row],[Quantity]]*SalesData[[#This Row],[Discount]]</f>
        <v>1936.1999999999998</v>
      </c>
      <c r="T316" s="2" t="str">
        <f>IF(SalesData[[#This Row],[Sales]]&gt;5000,"High",IF(SalesData[[#This Row],[Sales]]&gt;2000,"Medium","Low"))</f>
        <v>High</v>
      </c>
      <c r="U316" s="2" t="str">
        <f>IF(COUNTIFS(SalesData[Customer_ID],SalesData[[#This Row],[Customer_ID]])&gt;1,"Repeat","New")</f>
        <v>Repeat</v>
      </c>
      <c r="V316" s="2" t="str">
        <f>IF(SalesData[[#This Row],[Sales]]&gt;AVERAGE(SalesData[Sales]),"Above Avg","Below Avg")</f>
        <v>Above Avg</v>
      </c>
      <c r="W316" s="2" t="str">
        <f>IF(SalesData[[#This Row],[Profit]]&gt;0,"Profit","Loss")</f>
        <v>Profit</v>
      </c>
      <c r="X316" s="2">
        <f>RANK(SalesData[[#This Row],[Sales]],SalesData[Sales])</f>
        <v>193</v>
      </c>
    </row>
    <row r="317" spans="1:24" x14ac:dyDescent="0.3">
      <c r="A317">
        <v>316</v>
      </c>
      <c r="B317" s="1">
        <v>45607</v>
      </c>
      <c r="C317">
        <v>1029</v>
      </c>
      <c r="D317" t="s">
        <v>194</v>
      </c>
      <c r="E317" t="s">
        <v>24</v>
      </c>
      <c r="F317" t="s">
        <v>33</v>
      </c>
      <c r="G317" t="s">
        <v>17</v>
      </c>
      <c r="H317" t="s">
        <v>29</v>
      </c>
      <c r="I317">
        <v>4116</v>
      </c>
      <c r="J317">
        <v>7</v>
      </c>
      <c r="K317">
        <v>0.13</v>
      </c>
      <c r="L317">
        <v>1791</v>
      </c>
      <c r="M317" t="s">
        <v>19</v>
      </c>
      <c r="N317">
        <v>25066.44</v>
      </c>
      <c r="O317" t="str">
        <f>TEXT(SalesData[[#This Row],[Order_Date]],"mmm")</f>
        <v>Nov</v>
      </c>
      <c r="P317">
        <f>YEAR(SalesData[[#This Row],[Order_Date]])</f>
        <v>2024</v>
      </c>
      <c r="Q317" t="str">
        <f>"Q"&amp;ROUNDUP(MONTH(SalesData[[#This Row],[Order_Date]])/3,0)</f>
        <v>Q4</v>
      </c>
      <c r="R317" s="2">
        <f>IFERROR(SalesData[[#This Row],[Profit]]/SalesData[[#This Row],[Sales]],0)</f>
        <v>7.1450114176564369E-2</v>
      </c>
      <c r="S317" s="2">
        <f>SalesData[[#This Row],[Price]]*SalesData[[#This Row],[Quantity]]*SalesData[[#This Row],[Discount]]</f>
        <v>3745.56</v>
      </c>
      <c r="T317" s="2" t="str">
        <f>IF(SalesData[[#This Row],[Sales]]&gt;5000,"High",IF(SalesData[[#This Row],[Sales]]&gt;2000,"Medium","Low"))</f>
        <v>High</v>
      </c>
      <c r="U317" s="2" t="str">
        <f>IF(COUNTIFS(SalesData[Customer_ID],SalesData[[#This Row],[Customer_ID]])&gt;1,"Repeat","New")</f>
        <v>Repeat</v>
      </c>
      <c r="V317" s="2" t="str">
        <f>IF(SalesData[[#This Row],[Sales]]&gt;AVERAGE(SalesData[Sales]),"Above Avg","Below Avg")</f>
        <v>Above Avg</v>
      </c>
      <c r="W317" s="2" t="str">
        <f>IF(SalesData[[#This Row],[Profit]]&gt;0,"Profit","Loss")</f>
        <v>Profit</v>
      </c>
      <c r="X317" s="2">
        <f>RANK(SalesData[[#This Row],[Sales]],SalesData[Sales])</f>
        <v>41</v>
      </c>
    </row>
    <row r="318" spans="1:24" x14ac:dyDescent="0.3">
      <c r="A318">
        <v>317</v>
      </c>
      <c r="B318" s="1">
        <v>45608</v>
      </c>
      <c r="C318">
        <v>1019</v>
      </c>
      <c r="D318" t="s">
        <v>195</v>
      </c>
      <c r="E318" t="s">
        <v>24</v>
      </c>
      <c r="F318" t="s">
        <v>21</v>
      </c>
      <c r="G318" t="s">
        <v>17</v>
      </c>
      <c r="H318" t="s">
        <v>37</v>
      </c>
      <c r="I318">
        <v>1265</v>
      </c>
      <c r="J318">
        <v>4</v>
      </c>
      <c r="K318">
        <v>0.01</v>
      </c>
      <c r="L318">
        <v>458</v>
      </c>
      <c r="M318" t="s">
        <v>26</v>
      </c>
      <c r="N318">
        <v>5009.3999999999996</v>
      </c>
      <c r="O318" t="str">
        <f>TEXT(SalesData[[#This Row],[Order_Date]],"mmm")</f>
        <v>Nov</v>
      </c>
      <c r="P318">
        <f>YEAR(SalesData[[#This Row],[Order_Date]])</f>
        <v>2024</v>
      </c>
      <c r="Q318" t="str">
        <f>"Q"&amp;ROUNDUP(MONTH(SalesData[[#This Row],[Order_Date]])/3,0)</f>
        <v>Q4</v>
      </c>
      <c r="R318" s="2">
        <f>IFERROR(SalesData[[#This Row],[Profit]]/SalesData[[#This Row],[Sales]],0)</f>
        <v>9.1428115143530164E-2</v>
      </c>
      <c r="S318" s="2">
        <f>SalesData[[#This Row],[Price]]*SalesData[[#This Row],[Quantity]]*SalesData[[#This Row],[Discount]]</f>
        <v>50.6</v>
      </c>
      <c r="T318" s="2" t="str">
        <f>IF(SalesData[[#This Row],[Sales]]&gt;5000,"High",IF(SalesData[[#This Row],[Sales]]&gt;2000,"Medium","Low"))</f>
        <v>High</v>
      </c>
      <c r="U318" s="2" t="str">
        <f>IF(COUNTIFS(SalesData[Customer_ID],SalesData[[#This Row],[Customer_ID]])&gt;1,"Repeat","New")</f>
        <v>Repeat</v>
      </c>
      <c r="V318" s="2" t="str">
        <f>IF(SalesData[[#This Row],[Sales]]&gt;AVERAGE(SalesData[Sales]),"Above Avg","Below Avg")</f>
        <v>Below Avg</v>
      </c>
      <c r="W318" s="2" t="str">
        <f>IF(SalesData[[#This Row],[Profit]]&gt;0,"Profit","Loss")</f>
        <v>Profit</v>
      </c>
      <c r="X318" s="2">
        <f>RANK(SalesData[[#This Row],[Sales]],SalesData[Sales])</f>
        <v>322</v>
      </c>
    </row>
    <row r="319" spans="1:24" x14ac:dyDescent="0.3">
      <c r="A319">
        <v>318</v>
      </c>
      <c r="B319" s="1">
        <v>45609</v>
      </c>
      <c r="C319">
        <v>1037</v>
      </c>
      <c r="D319" t="s">
        <v>196</v>
      </c>
      <c r="E319" t="s">
        <v>24</v>
      </c>
      <c r="F319" t="s">
        <v>21</v>
      </c>
      <c r="G319" t="s">
        <v>34</v>
      </c>
      <c r="H319" t="s">
        <v>25</v>
      </c>
      <c r="I319">
        <v>4336</v>
      </c>
      <c r="J319">
        <v>9</v>
      </c>
      <c r="K319">
        <v>0.1</v>
      </c>
      <c r="L319">
        <v>-99</v>
      </c>
      <c r="M319" t="s">
        <v>31</v>
      </c>
      <c r="N319">
        <v>35121.599999999999</v>
      </c>
      <c r="O319" t="str">
        <f>TEXT(SalesData[[#This Row],[Order_Date]],"mmm")</f>
        <v>Nov</v>
      </c>
      <c r="P319">
        <f>YEAR(SalesData[[#This Row],[Order_Date]])</f>
        <v>2024</v>
      </c>
      <c r="Q319" t="str">
        <f>"Q"&amp;ROUNDUP(MONTH(SalesData[[#This Row],[Order_Date]])/3,0)</f>
        <v>Q4</v>
      </c>
      <c r="R319" s="2">
        <f>IFERROR(SalesData[[#This Row],[Profit]]/SalesData[[#This Row],[Sales]],0)</f>
        <v>-2.8187781877818778E-3</v>
      </c>
      <c r="S319" s="2">
        <f>SalesData[[#This Row],[Price]]*SalesData[[#This Row],[Quantity]]*SalesData[[#This Row],[Discount]]</f>
        <v>3902.4</v>
      </c>
      <c r="T319" s="2" t="str">
        <f>IF(SalesData[[#This Row],[Sales]]&gt;5000,"High",IF(SalesData[[#This Row],[Sales]]&gt;2000,"Medium","Low"))</f>
        <v>High</v>
      </c>
      <c r="U319" s="2" t="str">
        <f>IF(COUNTIFS(SalesData[Customer_ID],SalesData[[#This Row],[Customer_ID]])&gt;1,"Repeat","New")</f>
        <v>Repeat</v>
      </c>
      <c r="V319" s="2" t="str">
        <f>IF(SalesData[[#This Row],[Sales]]&gt;AVERAGE(SalesData[Sales]),"Above Avg","Below Avg")</f>
        <v>Above Avg</v>
      </c>
      <c r="W319" s="2" t="str">
        <f>IF(SalesData[[#This Row],[Profit]]&gt;0,"Profit","Loss")</f>
        <v>Loss</v>
      </c>
      <c r="X319" s="2">
        <f>RANK(SalesData[[#This Row],[Sales]],SalesData[Sales])</f>
        <v>10</v>
      </c>
    </row>
    <row r="320" spans="1:24" x14ac:dyDescent="0.3">
      <c r="A320">
        <v>319</v>
      </c>
      <c r="B320" s="1">
        <v>45610</v>
      </c>
      <c r="C320">
        <v>1001</v>
      </c>
      <c r="D320" t="s">
        <v>175</v>
      </c>
      <c r="E320" t="s">
        <v>24</v>
      </c>
      <c r="F320" t="s">
        <v>16</v>
      </c>
      <c r="G320" t="s">
        <v>22</v>
      </c>
      <c r="H320" t="s">
        <v>29</v>
      </c>
      <c r="I320">
        <v>1915</v>
      </c>
      <c r="J320">
        <v>3</v>
      </c>
      <c r="K320">
        <v>0.28999999999999998</v>
      </c>
      <c r="L320">
        <v>1599</v>
      </c>
      <c r="M320" t="s">
        <v>26</v>
      </c>
      <c r="N320">
        <v>4078.95</v>
      </c>
      <c r="O320" t="str">
        <f>TEXT(SalesData[[#This Row],[Order_Date]],"mmm")</f>
        <v>Nov</v>
      </c>
      <c r="P320">
        <f>YEAR(SalesData[[#This Row],[Order_Date]])</f>
        <v>2024</v>
      </c>
      <c r="Q320" t="str">
        <f>"Q"&amp;ROUNDUP(MONTH(SalesData[[#This Row],[Order_Date]])/3,0)</f>
        <v>Q4</v>
      </c>
      <c r="R320" s="2">
        <f>IFERROR(SalesData[[#This Row],[Profit]]/SalesData[[#This Row],[Sales]],0)</f>
        <v>0.39201265031441918</v>
      </c>
      <c r="S320" s="2">
        <f>SalesData[[#This Row],[Price]]*SalesData[[#This Row],[Quantity]]*SalesData[[#This Row],[Discount]]</f>
        <v>1666.05</v>
      </c>
      <c r="T320" s="2" t="str">
        <f>IF(SalesData[[#This Row],[Sales]]&gt;5000,"High",IF(SalesData[[#This Row],[Sales]]&gt;2000,"Medium","Low"))</f>
        <v>Medium</v>
      </c>
      <c r="U320" s="2" t="str">
        <f>IF(COUNTIFS(SalesData[Customer_ID],SalesData[[#This Row],[Customer_ID]])&gt;1,"Repeat","New")</f>
        <v>Repeat</v>
      </c>
      <c r="V320" s="2" t="str">
        <f>IF(SalesData[[#This Row],[Sales]]&gt;AVERAGE(SalesData[Sales]),"Above Avg","Below Avg")</f>
        <v>Below Avg</v>
      </c>
      <c r="W320" s="2" t="str">
        <f>IF(SalesData[[#This Row],[Profit]]&gt;0,"Profit","Loss")</f>
        <v>Profit</v>
      </c>
      <c r="X320" s="2">
        <f>RANK(SalesData[[#This Row],[Sales]],SalesData[Sales])</f>
        <v>349</v>
      </c>
    </row>
    <row r="321" spans="1:24" x14ac:dyDescent="0.3">
      <c r="A321">
        <v>320</v>
      </c>
      <c r="B321" s="1">
        <v>45611</v>
      </c>
      <c r="C321">
        <v>1005</v>
      </c>
      <c r="D321" t="s">
        <v>122</v>
      </c>
      <c r="E321" t="s">
        <v>24</v>
      </c>
      <c r="F321" t="s">
        <v>16</v>
      </c>
      <c r="G321" t="s">
        <v>22</v>
      </c>
      <c r="H321" t="s">
        <v>18</v>
      </c>
      <c r="I321">
        <v>4067</v>
      </c>
      <c r="J321">
        <v>7</v>
      </c>
      <c r="K321">
        <v>0.09</v>
      </c>
      <c r="L321">
        <v>1720</v>
      </c>
      <c r="M321" t="s">
        <v>19</v>
      </c>
      <c r="N321">
        <v>25906.79</v>
      </c>
      <c r="O321" t="str">
        <f>TEXT(SalesData[[#This Row],[Order_Date]],"mmm")</f>
        <v>Nov</v>
      </c>
      <c r="P321">
        <f>YEAR(SalesData[[#This Row],[Order_Date]])</f>
        <v>2024</v>
      </c>
      <c r="Q321" t="str">
        <f>"Q"&amp;ROUNDUP(MONTH(SalesData[[#This Row],[Order_Date]])/3,0)</f>
        <v>Q4</v>
      </c>
      <c r="R321" s="2">
        <f>IFERROR(SalesData[[#This Row],[Profit]]/SalesData[[#This Row],[Sales]],0)</f>
        <v>6.6391860975443112E-2</v>
      </c>
      <c r="S321" s="2">
        <f>SalesData[[#This Row],[Price]]*SalesData[[#This Row],[Quantity]]*SalesData[[#This Row],[Discount]]</f>
        <v>2562.21</v>
      </c>
      <c r="T321" s="2" t="str">
        <f>IF(SalesData[[#This Row],[Sales]]&gt;5000,"High",IF(SalesData[[#This Row],[Sales]]&gt;2000,"Medium","Low"))</f>
        <v>High</v>
      </c>
      <c r="U321" s="2" t="str">
        <f>IF(COUNTIFS(SalesData[Customer_ID],SalesData[[#This Row],[Customer_ID]])&gt;1,"Repeat","New")</f>
        <v>Repeat</v>
      </c>
      <c r="V321" s="2" t="str">
        <f>IF(SalesData[[#This Row],[Sales]]&gt;AVERAGE(SalesData[Sales]),"Above Avg","Below Avg")</f>
        <v>Above Avg</v>
      </c>
      <c r="W321" s="2" t="str">
        <f>IF(SalesData[[#This Row],[Profit]]&gt;0,"Profit","Loss")</f>
        <v>Profit</v>
      </c>
      <c r="X321" s="2">
        <f>RANK(SalesData[[#This Row],[Sales]],SalesData[Sales])</f>
        <v>40</v>
      </c>
    </row>
    <row r="322" spans="1:24" x14ac:dyDescent="0.3">
      <c r="A322">
        <v>321</v>
      </c>
      <c r="B322" s="1">
        <v>45612</v>
      </c>
      <c r="C322">
        <v>1081</v>
      </c>
      <c r="D322" t="s">
        <v>62</v>
      </c>
      <c r="E322" t="s">
        <v>24</v>
      </c>
      <c r="F322" t="s">
        <v>21</v>
      </c>
      <c r="G322" t="s">
        <v>34</v>
      </c>
      <c r="H322" t="s">
        <v>25</v>
      </c>
      <c r="I322">
        <v>240</v>
      </c>
      <c r="J322">
        <v>9</v>
      </c>
      <c r="K322">
        <v>0.19</v>
      </c>
      <c r="L322">
        <v>271</v>
      </c>
      <c r="M322" t="s">
        <v>26</v>
      </c>
      <c r="N322">
        <v>1749.6</v>
      </c>
      <c r="O322" t="str">
        <f>TEXT(SalesData[[#This Row],[Order_Date]],"mmm")</f>
        <v>Nov</v>
      </c>
      <c r="P322">
        <f>YEAR(SalesData[[#This Row],[Order_Date]])</f>
        <v>2024</v>
      </c>
      <c r="Q322" t="str">
        <f>"Q"&amp;ROUNDUP(MONTH(SalesData[[#This Row],[Order_Date]])/3,0)</f>
        <v>Q4</v>
      </c>
      <c r="R322" s="2">
        <f>IFERROR(SalesData[[#This Row],[Profit]]/SalesData[[#This Row],[Sales]],0)</f>
        <v>0.15489254686785553</v>
      </c>
      <c r="S322" s="2">
        <f>SalesData[[#This Row],[Price]]*SalesData[[#This Row],[Quantity]]*SalesData[[#This Row],[Discount]]</f>
        <v>410.4</v>
      </c>
      <c r="T322" s="2" t="str">
        <f>IF(SalesData[[#This Row],[Sales]]&gt;5000,"High",IF(SalesData[[#This Row],[Sales]]&gt;2000,"Medium","Low"))</f>
        <v>Low</v>
      </c>
      <c r="U322" s="2" t="str">
        <f>IF(COUNTIFS(SalesData[Customer_ID],SalesData[[#This Row],[Customer_ID]])&gt;1,"Repeat","New")</f>
        <v>Repeat</v>
      </c>
      <c r="V322" s="2" t="str">
        <f>IF(SalesData[[#This Row],[Sales]]&gt;AVERAGE(SalesData[Sales]),"Above Avg","Below Avg")</f>
        <v>Below Avg</v>
      </c>
      <c r="W322" s="2" t="str">
        <f>IF(SalesData[[#This Row],[Profit]]&gt;0,"Profit","Loss")</f>
        <v>Profit</v>
      </c>
      <c r="X322" s="2">
        <f>RANK(SalesData[[#This Row],[Sales]],SalesData[Sales])</f>
        <v>443</v>
      </c>
    </row>
    <row r="323" spans="1:24" x14ac:dyDescent="0.3">
      <c r="A323">
        <v>322</v>
      </c>
      <c r="B323" s="1">
        <v>45613</v>
      </c>
      <c r="C323">
        <v>1035</v>
      </c>
      <c r="D323" t="s">
        <v>120</v>
      </c>
      <c r="E323" t="s">
        <v>15</v>
      </c>
      <c r="F323" t="s">
        <v>33</v>
      </c>
      <c r="G323" t="s">
        <v>17</v>
      </c>
      <c r="H323" t="s">
        <v>25</v>
      </c>
      <c r="I323">
        <v>3410</v>
      </c>
      <c r="J323">
        <v>5</v>
      </c>
      <c r="K323">
        <v>0.2</v>
      </c>
      <c r="L323">
        <v>1549</v>
      </c>
      <c r="M323" t="s">
        <v>26</v>
      </c>
      <c r="N323">
        <v>13640</v>
      </c>
      <c r="O323" t="str">
        <f>TEXT(SalesData[[#This Row],[Order_Date]],"mmm")</f>
        <v>Nov</v>
      </c>
      <c r="P323">
        <f>YEAR(SalesData[[#This Row],[Order_Date]])</f>
        <v>2024</v>
      </c>
      <c r="Q323" t="str">
        <f>"Q"&amp;ROUNDUP(MONTH(SalesData[[#This Row],[Order_Date]])/3,0)</f>
        <v>Q4</v>
      </c>
      <c r="R323" s="2">
        <f>IFERROR(SalesData[[#This Row],[Profit]]/SalesData[[#This Row],[Sales]],0)</f>
        <v>0.11356304985337243</v>
      </c>
      <c r="S323" s="2">
        <f>SalesData[[#This Row],[Price]]*SalesData[[#This Row],[Quantity]]*SalesData[[#This Row],[Discount]]</f>
        <v>3410</v>
      </c>
      <c r="T323" s="2" t="str">
        <f>IF(SalesData[[#This Row],[Sales]]&gt;5000,"High",IF(SalesData[[#This Row],[Sales]]&gt;2000,"Medium","Low"))</f>
        <v>High</v>
      </c>
      <c r="U323" s="2" t="str">
        <f>IF(COUNTIFS(SalesData[Customer_ID],SalesData[[#This Row],[Customer_ID]])&gt;1,"Repeat","New")</f>
        <v>Repeat</v>
      </c>
      <c r="V323" s="2" t="str">
        <f>IF(SalesData[[#This Row],[Sales]]&gt;AVERAGE(SalesData[Sales]),"Above Avg","Below Avg")</f>
        <v>Above Avg</v>
      </c>
      <c r="W323" s="2" t="str">
        <f>IF(SalesData[[#This Row],[Profit]]&gt;0,"Profit","Loss")</f>
        <v>Profit</v>
      </c>
      <c r="X323" s="2">
        <f>RANK(SalesData[[#This Row],[Sales]],SalesData[Sales])</f>
        <v>151</v>
      </c>
    </row>
    <row r="324" spans="1:24" x14ac:dyDescent="0.3">
      <c r="A324">
        <v>323</v>
      </c>
      <c r="B324" s="1">
        <v>45614</v>
      </c>
      <c r="C324">
        <v>1077</v>
      </c>
      <c r="D324" t="s">
        <v>103</v>
      </c>
      <c r="E324" t="s">
        <v>15</v>
      </c>
      <c r="F324" t="s">
        <v>21</v>
      </c>
      <c r="G324" t="s">
        <v>22</v>
      </c>
      <c r="H324" t="s">
        <v>25</v>
      </c>
      <c r="I324">
        <v>601</v>
      </c>
      <c r="J324">
        <v>4</v>
      </c>
      <c r="K324">
        <v>0.19</v>
      </c>
      <c r="L324">
        <v>-310</v>
      </c>
      <c r="M324" t="s">
        <v>31</v>
      </c>
      <c r="N324">
        <v>1947.24</v>
      </c>
      <c r="O324" t="str">
        <f>TEXT(SalesData[[#This Row],[Order_Date]],"mmm")</f>
        <v>Nov</v>
      </c>
      <c r="P324">
        <f>YEAR(SalesData[[#This Row],[Order_Date]])</f>
        <v>2024</v>
      </c>
      <c r="Q324" t="str">
        <f>"Q"&amp;ROUNDUP(MONTH(SalesData[[#This Row],[Order_Date]])/3,0)</f>
        <v>Q4</v>
      </c>
      <c r="R324" s="2">
        <f>IFERROR(SalesData[[#This Row],[Profit]]/SalesData[[#This Row],[Sales]],0)</f>
        <v>-0.15919968776319304</v>
      </c>
      <c r="S324" s="2">
        <f>SalesData[[#This Row],[Price]]*SalesData[[#This Row],[Quantity]]*SalesData[[#This Row],[Discount]]</f>
        <v>456.76</v>
      </c>
      <c r="T324" s="2" t="str">
        <f>IF(SalesData[[#This Row],[Sales]]&gt;5000,"High",IF(SalesData[[#This Row],[Sales]]&gt;2000,"Medium","Low"))</f>
        <v>Low</v>
      </c>
      <c r="U324" s="2" t="str">
        <f>IF(COUNTIFS(SalesData[Customer_ID],SalesData[[#This Row],[Customer_ID]])&gt;1,"Repeat","New")</f>
        <v>Repeat</v>
      </c>
      <c r="V324" s="2" t="str">
        <f>IF(SalesData[[#This Row],[Sales]]&gt;AVERAGE(SalesData[Sales]),"Above Avg","Below Avg")</f>
        <v>Below Avg</v>
      </c>
      <c r="W324" s="2" t="str">
        <f>IF(SalesData[[#This Row],[Profit]]&gt;0,"Profit","Loss")</f>
        <v>Loss</v>
      </c>
      <c r="X324" s="2">
        <f>RANK(SalesData[[#This Row],[Sales]],SalesData[Sales])</f>
        <v>433</v>
      </c>
    </row>
    <row r="325" spans="1:24" x14ac:dyDescent="0.3">
      <c r="A325">
        <v>324</v>
      </c>
      <c r="B325" s="1">
        <v>45615</v>
      </c>
      <c r="C325">
        <v>1025</v>
      </c>
      <c r="D325" t="s">
        <v>133</v>
      </c>
      <c r="E325" t="s">
        <v>24</v>
      </c>
      <c r="F325" t="s">
        <v>16</v>
      </c>
      <c r="G325" t="s">
        <v>34</v>
      </c>
      <c r="H325" t="s">
        <v>29</v>
      </c>
      <c r="I325">
        <v>1554</v>
      </c>
      <c r="J325">
        <v>2</v>
      </c>
      <c r="K325">
        <v>0.09</v>
      </c>
      <c r="L325">
        <v>1816</v>
      </c>
      <c r="M325" t="s">
        <v>31</v>
      </c>
      <c r="N325">
        <v>2828.28</v>
      </c>
      <c r="O325" t="str">
        <f>TEXT(SalesData[[#This Row],[Order_Date]],"mmm")</f>
        <v>Nov</v>
      </c>
      <c r="P325">
        <f>YEAR(SalesData[[#This Row],[Order_Date]])</f>
        <v>2024</v>
      </c>
      <c r="Q325" t="str">
        <f>"Q"&amp;ROUNDUP(MONTH(SalesData[[#This Row],[Order_Date]])/3,0)</f>
        <v>Q4</v>
      </c>
      <c r="R325" s="2">
        <f>IFERROR(SalesData[[#This Row],[Profit]]/SalesData[[#This Row],[Sales]],0)</f>
        <v>0.64208635637207057</v>
      </c>
      <c r="S325" s="2">
        <f>SalesData[[#This Row],[Price]]*SalesData[[#This Row],[Quantity]]*SalesData[[#This Row],[Discount]]</f>
        <v>279.71999999999997</v>
      </c>
      <c r="T325" s="2" t="str">
        <f>IF(SalesData[[#This Row],[Sales]]&gt;5000,"High",IF(SalesData[[#This Row],[Sales]]&gt;2000,"Medium","Low"))</f>
        <v>Medium</v>
      </c>
      <c r="U325" s="2" t="str">
        <f>IF(COUNTIFS(SalesData[Customer_ID],SalesData[[#This Row],[Customer_ID]])&gt;1,"Repeat","New")</f>
        <v>Repeat</v>
      </c>
      <c r="V325" s="2" t="str">
        <f>IF(SalesData[[#This Row],[Sales]]&gt;AVERAGE(SalesData[Sales]),"Above Avg","Below Avg")</f>
        <v>Below Avg</v>
      </c>
      <c r="W325" s="2" t="str">
        <f>IF(SalesData[[#This Row],[Profit]]&gt;0,"Profit","Loss")</f>
        <v>Profit</v>
      </c>
      <c r="X325" s="2">
        <f>RANK(SalesData[[#This Row],[Sales]],SalesData[Sales])</f>
        <v>398</v>
      </c>
    </row>
    <row r="326" spans="1:24" x14ac:dyDescent="0.3">
      <c r="A326">
        <v>325</v>
      </c>
      <c r="B326" s="1">
        <v>45616</v>
      </c>
      <c r="C326">
        <v>1097</v>
      </c>
      <c r="D326" t="s">
        <v>194</v>
      </c>
      <c r="E326" t="s">
        <v>15</v>
      </c>
      <c r="F326" t="s">
        <v>16</v>
      </c>
      <c r="G326" t="s">
        <v>34</v>
      </c>
      <c r="H326" t="s">
        <v>37</v>
      </c>
      <c r="I326">
        <v>4379</v>
      </c>
      <c r="J326">
        <v>5</v>
      </c>
      <c r="K326">
        <v>0.17</v>
      </c>
      <c r="L326">
        <v>884</v>
      </c>
      <c r="M326" t="s">
        <v>19</v>
      </c>
      <c r="N326">
        <v>18172.849999999999</v>
      </c>
      <c r="O326" t="str">
        <f>TEXT(SalesData[[#This Row],[Order_Date]],"mmm")</f>
        <v>Nov</v>
      </c>
      <c r="P326">
        <f>YEAR(SalesData[[#This Row],[Order_Date]])</f>
        <v>2024</v>
      </c>
      <c r="Q326" t="str">
        <f>"Q"&amp;ROUNDUP(MONTH(SalesData[[#This Row],[Order_Date]])/3,0)</f>
        <v>Q4</v>
      </c>
      <c r="R326" s="2">
        <f>IFERROR(SalesData[[#This Row],[Profit]]/SalesData[[#This Row],[Sales]],0)</f>
        <v>4.8643993649867802E-2</v>
      </c>
      <c r="S326" s="2">
        <f>SalesData[[#This Row],[Price]]*SalesData[[#This Row],[Quantity]]*SalesData[[#This Row],[Discount]]</f>
        <v>3722.15</v>
      </c>
      <c r="T326" s="2" t="str">
        <f>IF(SalesData[[#This Row],[Sales]]&gt;5000,"High",IF(SalesData[[#This Row],[Sales]]&gt;2000,"Medium","Low"))</f>
        <v>High</v>
      </c>
      <c r="U326" s="2" t="str">
        <f>IF(COUNTIFS(SalesData[Customer_ID],SalesData[[#This Row],[Customer_ID]])&gt;1,"Repeat","New")</f>
        <v>Repeat</v>
      </c>
      <c r="V326" s="2" t="str">
        <f>IF(SalesData[[#This Row],[Sales]]&gt;AVERAGE(SalesData[Sales]),"Above Avg","Below Avg")</f>
        <v>Above Avg</v>
      </c>
      <c r="W326" s="2" t="str">
        <f>IF(SalesData[[#This Row],[Profit]]&gt;0,"Profit","Loss")</f>
        <v>Profit</v>
      </c>
      <c r="X326" s="2">
        <f>RANK(SalesData[[#This Row],[Sales]],SalesData[Sales])</f>
        <v>90</v>
      </c>
    </row>
    <row r="327" spans="1:24" x14ac:dyDescent="0.3">
      <c r="A327">
        <v>326</v>
      </c>
      <c r="B327" s="1">
        <v>45617</v>
      </c>
      <c r="C327">
        <v>1093</v>
      </c>
      <c r="D327" t="s">
        <v>96</v>
      </c>
      <c r="E327" t="s">
        <v>24</v>
      </c>
      <c r="F327" t="s">
        <v>21</v>
      </c>
      <c r="G327" t="s">
        <v>22</v>
      </c>
      <c r="H327" t="s">
        <v>37</v>
      </c>
      <c r="I327">
        <v>635</v>
      </c>
      <c r="J327">
        <v>3</v>
      </c>
      <c r="K327">
        <v>0.21</v>
      </c>
      <c r="L327">
        <v>895</v>
      </c>
      <c r="M327" t="s">
        <v>26</v>
      </c>
      <c r="N327">
        <v>1504.95</v>
      </c>
      <c r="O327" t="str">
        <f>TEXT(SalesData[[#This Row],[Order_Date]],"mmm")</f>
        <v>Nov</v>
      </c>
      <c r="P327">
        <f>YEAR(SalesData[[#This Row],[Order_Date]])</f>
        <v>2024</v>
      </c>
      <c r="Q327" t="str">
        <f>"Q"&amp;ROUNDUP(MONTH(SalesData[[#This Row],[Order_Date]])/3,0)</f>
        <v>Q4</v>
      </c>
      <c r="R327" s="2">
        <f>IFERROR(SalesData[[#This Row],[Profit]]/SalesData[[#This Row],[Sales]],0)</f>
        <v>0.59470414299478391</v>
      </c>
      <c r="S327" s="2">
        <f>SalesData[[#This Row],[Price]]*SalesData[[#This Row],[Quantity]]*SalesData[[#This Row],[Discount]]</f>
        <v>400.05</v>
      </c>
      <c r="T327" s="2" t="str">
        <f>IF(SalesData[[#This Row],[Sales]]&gt;5000,"High",IF(SalesData[[#This Row],[Sales]]&gt;2000,"Medium","Low"))</f>
        <v>Low</v>
      </c>
      <c r="U327" s="2" t="str">
        <f>IF(COUNTIFS(SalesData[Customer_ID],SalesData[[#This Row],[Customer_ID]])&gt;1,"Repeat","New")</f>
        <v>Repeat</v>
      </c>
      <c r="V327" s="2" t="str">
        <f>IF(SalesData[[#This Row],[Sales]]&gt;AVERAGE(SalesData[Sales]),"Above Avg","Below Avg")</f>
        <v>Below Avg</v>
      </c>
      <c r="W327" s="2" t="str">
        <f>IF(SalesData[[#This Row],[Profit]]&gt;0,"Profit","Loss")</f>
        <v>Profit</v>
      </c>
      <c r="X327" s="2">
        <f>RANK(SalesData[[#This Row],[Sales]],SalesData[Sales])</f>
        <v>457</v>
      </c>
    </row>
    <row r="328" spans="1:24" x14ac:dyDescent="0.3">
      <c r="A328">
        <v>327</v>
      </c>
      <c r="B328" s="1">
        <v>45618</v>
      </c>
      <c r="C328">
        <v>1070</v>
      </c>
      <c r="D328" t="s">
        <v>20</v>
      </c>
      <c r="E328" t="s">
        <v>15</v>
      </c>
      <c r="F328" t="s">
        <v>21</v>
      </c>
      <c r="G328" t="s">
        <v>34</v>
      </c>
      <c r="H328" t="s">
        <v>29</v>
      </c>
      <c r="I328">
        <v>2260</v>
      </c>
      <c r="J328">
        <v>3</v>
      </c>
      <c r="K328">
        <v>0.11</v>
      </c>
      <c r="L328">
        <v>1691</v>
      </c>
      <c r="M328" t="s">
        <v>19</v>
      </c>
      <c r="N328">
        <v>6034.2</v>
      </c>
      <c r="O328" t="str">
        <f>TEXT(SalesData[[#This Row],[Order_Date]],"mmm")</f>
        <v>Nov</v>
      </c>
      <c r="P328">
        <f>YEAR(SalesData[[#This Row],[Order_Date]])</f>
        <v>2024</v>
      </c>
      <c r="Q328" t="str">
        <f>"Q"&amp;ROUNDUP(MONTH(SalesData[[#This Row],[Order_Date]])/3,0)</f>
        <v>Q4</v>
      </c>
      <c r="R328" s="2">
        <f>IFERROR(SalesData[[#This Row],[Profit]]/SalesData[[#This Row],[Sales]],0)</f>
        <v>0.28023598820058998</v>
      </c>
      <c r="S328" s="2">
        <f>SalesData[[#This Row],[Price]]*SalesData[[#This Row],[Quantity]]*SalesData[[#This Row],[Discount]]</f>
        <v>745.8</v>
      </c>
      <c r="T328" s="2" t="str">
        <f>IF(SalesData[[#This Row],[Sales]]&gt;5000,"High",IF(SalesData[[#This Row],[Sales]]&gt;2000,"Medium","Low"))</f>
        <v>High</v>
      </c>
      <c r="U328" s="2" t="str">
        <f>IF(COUNTIFS(SalesData[Customer_ID],SalesData[[#This Row],[Customer_ID]])&gt;1,"Repeat","New")</f>
        <v>Repeat</v>
      </c>
      <c r="V328" s="2" t="str">
        <f>IF(SalesData[[#This Row],[Sales]]&gt;AVERAGE(SalesData[Sales]),"Above Avg","Below Avg")</f>
        <v>Below Avg</v>
      </c>
      <c r="W328" s="2" t="str">
        <f>IF(SalesData[[#This Row],[Profit]]&gt;0,"Profit","Loss")</f>
        <v>Profit</v>
      </c>
      <c r="X328" s="2">
        <f>RANK(SalesData[[#This Row],[Sales]],SalesData[Sales])</f>
        <v>295</v>
      </c>
    </row>
    <row r="329" spans="1:24" x14ac:dyDescent="0.3">
      <c r="A329">
        <v>328</v>
      </c>
      <c r="B329" s="1">
        <v>45619</v>
      </c>
      <c r="C329">
        <v>1058</v>
      </c>
      <c r="D329" t="s">
        <v>168</v>
      </c>
      <c r="E329" t="s">
        <v>15</v>
      </c>
      <c r="F329" t="s">
        <v>28</v>
      </c>
      <c r="G329" t="s">
        <v>34</v>
      </c>
      <c r="H329" t="s">
        <v>37</v>
      </c>
      <c r="I329">
        <v>4341</v>
      </c>
      <c r="J329">
        <v>7</v>
      </c>
      <c r="K329">
        <v>0.08</v>
      </c>
      <c r="L329">
        <v>-164</v>
      </c>
      <c r="M329" t="s">
        <v>31</v>
      </c>
      <c r="N329">
        <v>27956.04</v>
      </c>
      <c r="O329" t="str">
        <f>TEXT(SalesData[[#This Row],[Order_Date]],"mmm")</f>
        <v>Nov</v>
      </c>
      <c r="P329">
        <f>YEAR(SalesData[[#This Row],[Order_Date]])</f>
        <v>2024</v>
      </c>
      <c r="Q329" t="str">
        <f>"Q"&amp;ROUNDUP(MONTH(SalesData[[#This Row],[Order_Date]])/3,0)</f>
        <v>Q4</v>
      </c>
      <c r="R329" s="2">
        <f>IFERROR(SalesData[[#This Row],[Profit]]/SalesData[[#This Row],[Sales]],0)</f>
        <v>-5.8663530314021581E-3</v>
      </c>
      <c r="S329" s="2">
        <f>SalesData[[#This Row],[Price]]*SalesData[[#This Row],[Quantity]]*SalesData[[#This Row],[Discount]]</f>
        <v>2430.96</v>
      </c>
      <c r="T329" s="2" t="str">
        <f>IF(SalesData[[#This Row],[Sales]]&gt;5000,"High",IF(SalesData[[#This Row],[Sales]]&gt;2000,"Medium","Low"))</f>
        <v>High</v>
      </c>
      <c r="U329" s="2" t="str">
        <f>IF(COUNTIFS(SalesData[Customer_ID],SalesData[[#This Row],[Customer_ID]])&gt;1,"Repeat","New")</f>
        <v>Repeat</v>
      </c>
      <c r="V329" s="2" t="str">
        <f>IF(SalesData[[#This Row],[Sales]]&gt;AVERAGE(SalesData[Sales]),"Above Avg","Below Avg")</f>
        <v>Above Avg</v>
      </c>
      <c r="W329" s="2" t="str">
        <f>IF(SalesData[[#This Row],[Profit]]&gt;0,"Profit","Loss")</f>
        <v>Loss</v>
      </c>
      <c r="X329" s="2">
        <f>RANK(SalesData[[#This Row],[Sales]],SalesData[Sales])</f>
        <v>32</v>
      </c>
    </row>
    <row r="330" spans="1:24" x14ac:dyDescent="0.3">
      <c r="A330">
        <v>329</v>
      </c>
      <c r="B330" s="1">
        <v>45620</v>
      </c>
      <c r="C330">
        <v>1029</v>
      </c>
      <c r="D330" t="s">
        <v>197</v>
      </c>
      <c r="E330" t="s">
        <v>15</v>
      </c>
      <c r="F330" t="s">
        <v>28</v>
      </c>
      <c r="G330" t="s">
        <v>17</v>
      </c>
      <c r="H330" t="s">
        <v>37</v>
      </c>
      <c r="I330">
        <v>2929</v>
      </c>
      <c r="J330">
        <v>6</v>
      </c>
      <c r="K330">
        <v>0.08</v>
      </c>
      <c r="L330">
        <v>122</v>
      </c>
      <c r="M330" t="s">
        <v>31</v>
      </c>
      <c r="N330">
        <v>16168.08</v>
      </c>
      <c r="O330" t="str">
        <f>TEXT(SalesData[[#This Row],[Order_Date]],"mmm")</f>
        <v>Nov</v>
      </c>
      <c r="P330">
        <f>YEAR(SalesData[[#This Row],[Order_Date]])</f>
        <v>2024</v>
      </c>
      <c r="Q330" t="str">
        <f>"Q"&amp;ROUNDUP(MONTH(SalesData[[#This Row],[Order_Date]])/3,0)</f>
        <v>Q4</v>
      </c>
      <c r="R330" s="2">
        <f>IFERROR(SalesData[[#This Row],[Profit]]/SalesData[[#This Row],[Sales]],0)</f>
        <v>7.5457320844528235E-3</v>
      </c>
      <c r="S330" s="2">
        <f>SalesData[[#This Row],[Price]]*SalesData[[#This Row],[Quantity]]*SalesData[[#This Row],[Discount]]</f>
        <v>1405.92</v>
      </c>
      <c r="T330" s="2" t="str">
        <f>IF(SalesData[[#This Row],[Sales]]&gt;5000,"High",IF(SalesData[[#This Row],[Sales]]&gt;2000,"Medium","Low"))</f>
        <v>High</v>
      </c>
      <c r="U330" s="2" t="str">
        <f>IF(COUNTIFS(SalesData[Customer_ID],SalesData[[#This Row],[Customer_ID]])&gt;1,"Repeat","New")</f>
        <v>Repeat</v>
      </c>
      <c r="V330" s="2" t="str">
        <f>IF(SalesData[[#This Row],[Sales]]&gt;AVERAGE(SalesData[Sales]),"Above Avg","Below Avg")</f>
        <v>Above Avg</v>
      </c>
      <c r="W330" s="2" t="str">
        <f>IF(SalesData[[#This Row],[Profit]]&gt;0,"Profit","Loss")</f>
        <v>Profit</v>
      </c>
      <c r="X330" s="2">
        <f>RANK(SalesData[[#This Row],[Sales]],SalesData[Sales])</f>
        <v>123</v>
      </c>
    </row>
    <row r="331" spans="1:24" x14ac:dyDescent="0.3">
      <c r="A331">
        <v>330</v>
      </c>
      <c r="B331" s="1">
        <v>45621</v>
      </c>
      <c r="C331">
        <v>1081</v>
      </c>
      <c r="D331" t="s">
        <v>164</v>
      </c>
      <c r="E331" t="s">
        <v>24</v>
      </c>
      <c r="F331" t="s">
        <v>33</v>
      </c>
      <c r="G331" t="s">
        <v>34</v>
      </c>
      <c r="H331" t="s">
        <v>18</v>
      </c>
      <c r="I331">
        <v>4483</v>
      </c>
      <c r="J331">
        <v>3</v>
      </c>
      <c r="K331">
        <v>0.28000000000000003</v>
      </c>
      <c r="L331">
        <v>1527</v>
      </c>
      <c r="M331" t="s">
        <v>26</v>
      </c>
      <c r="N331">
        <v>9683.2799999999897</v>
      </c>
      <c r="O331" t="str">
        <f>TEXT(SalesData[[#This Row],[Order_Date]],"mmm")</f>
        <v>Nov</v>
      </c>
      <c r="P331">
        <f>YEAR(SalesData[[#This Row],[Order_Date]])</f>
        <v>2024</v>
      </c>
      <c r="Q331" t="str">
        <f>"Q"&amp;ROUNDUP(MONTH(SalesData[[#This Row],[Order_Date]])/3,0)</f>
        <v>Q4</v>
      </c>
      <c r="R331" s="2">
        <f>IFERROR(SalesData[[#This Row],[Profit]]/SalesData[[#This Row],[Sales]],0)</f>
        <v>0.15769450021067258</v>
      </c>
      <c r="S331" s="2">
        <f>SalesData[[#This Row],[Price]]*SalesData[[#This Row],[Quantity]]*SalesData[[#This Row],[Discount]]</f>
        <v>3765.7200000000003</v>
      </c>
      <c r="T331" s="2" t="str">
        <f>IF(SalesData[[#This Row],[Sales]]&gt;5000,"High",IF(SalesData[[#This Row],[Sales]]&gt;2000,"Medium","Low"))</f>
        <v>High</v>
      </c>
      <c r="U331" s="2" t="str">
        <f>IF(COUNTIFS(SalesData[Customer_ID],SalesData[[#This Row],[Customer_ID]])&gt;1,"Repeat","New")</f>
        <v>Repeat</v>
      </c>
      <c r="V331" s="2" t="str">
        <f>IF(SalesData[[#This Row],[Sales]]&gt;AVERAGE(SalesData[Sales]),"Above Avg","Below Avg")</f>
        <v>Below Avg</v>
      </c>
      <c r="W331" s="2" t="str">
        <f>IF(SalesData[[#This Row],[Profit]]&gt;0,"Profit","Loss")</f>
        <v>Profit</v>
      </c>
      <c r="X331" s="2">
        <f>RANK(SalesData[[#This Row],[Sales]],SalesData[Sales])</f>
        <v>209</v>
      </c>
    </row>
    <row r="332" spans="1:24" x14ac:dyDescent="0.3">
      <c r="A332">
        <v>331</v>
      </c>
      <c r="B332" s="1">
        <v>45622</v>
      </c>
      <c r="C332">
        <v>1021</v>
      </c>
      <c r="D332" t="s">
        <v>137</v>
      </c>
      <c r="E332" t="s">
        <v>24</v>
      </c>
      <c r="F332" t="s">
        <v>16</v>
      </c>
      <c r="G332" t="s">
        <v>17</v>
      </c>
      <c r="H332" t="s">
        <v>37</v>
      </c>
      <c r="I332">
        <v>1725</v>
      </c>
      <c r="J332">
        <v>9</v>
      </c>
      <c r="K332">
        <v>0.19</v>
      </c>
      <c r="L332">
        <v>508</v>
      </c>
      <c r="M332" t="s">
        <v>31</v>
      </c>
      <c r="N332">
        <v>12575.25</v>
      </c>
      <c r="O332" t="str">
        <f>TEXT(SalesData[[#This Row],[Order_Date]],"mmm")</f>
        <v>Nov</v>
      </c>
      <c r="P332">
        <f>YEAR(SalesData[[#This Row],[Order_Date]])</f>
        <v>2024</v>
      </c>
      <c r="Q332" t="str">
        <f>"Q"&amp;ROUNDUP(MONTH(SalesData[[#This Row],[Order_Date]])/3,0)</f>
        <v>Q4</v>
      </c>
      <c r="R332" s="2">
        <f>IFERROR(SalesData[[#This Row],[Profit]]/SalesData[[#This Row],[Sales]],0)</f>
        <v>4.0396811196596487E-2</v>
      </c>
      <c r="S332" s="2">
        <f>SalesData[[#This Row],[Price]]*SalesData[[#This Row],[Quantity]]*SalesData[[#This Row],[Discount]]</f>
        <v>2949.75</v>
      </c>
      <c r="T332" s="2" t="str">
        <f>IF(SalesData[[#This Row],[Sales]]&gt;5000,"High",IF(SalesData[[#This Row],[Sales]]&gt;2000,"Medium","Low"))</f>
        <v>High</v>
      </c>
      <c r="U332" s="2" t="str">
        <f>IF(COUNTIFS(SalesData[Customer_ID],SalesData[[#This Row],[Customer_ID]])&gt;1,"Repeat","New")</f>
        <v>Repeat</v>
      </c>
      <c r="V332" s="2" t="str">
        <f>IF(SalesData[[#This Row],[Sales]]&gt;AVERAGE(SalesData[Sales]),"Above Avg","Below Avg")</f>
        <v>Above Avg</v>
      </c>
      <c r="W332" s="2" t="str">
        <f>IF(SalesData[[#This Row],[Profit]]&gt;0,"Profit","Loss")</f>
        <v>Profit</v>
      </c>
      <c r="X332" s="2">
        <f>RANK(SalesData[[#This Row],[Sales]],SalesData[Sales])</f>
        <v>162</v>
      </c>
    </row>
    <row r="333" spans="1:24" x14ac:dyDescent="0.3">
      <c r="A333">
        <v>332</v>
      </c>
      <c r="B333" s="1">
        <v>45623</v>
      </c>
      <c r="C333">
        <v>1016</v>
      </c>
      <c r="D333" t="s">
        <v>48</v>
      </c>
      <c r="E333" t="s">
        <v>15</v>
      </c>
      <c r="F333" t="s">
        <v>16</v>
      </c>
      <c r="G333" t="s">
        <v>34</v>
      </c>
      <c r="H333" t="s">
        <v>29</v>
      </c>
      <c r="I333">
        <v>4547</v>
      </c>
      <c r="J333">
        <v>7</v>
      </c>
      <c r="K333">
        <v>0.23</v>
      </c>
      <c r="L333">
        <v>695</v>
      </c>
      <c r="M333" t="s">
        <v>19</v>
      </c>
      <c r="N333">
        <v>24508.33</v>
      </c>
      <c r="O333" t="str">
        <f>TEXT(SalesData[[#This Row],[Order_Date]],"mmm")</f>
        <v>Nov</v>
      </c>
      <c r="P333">
        <f>YEAR(SalesData[[#This Row],[Order_Date]])</f>
        <v>2024</v>
      </c>
      <c r="Q333" t="str">
        <f>"Q"&amp;ROUNDUP(MONTH(SalesData[[#This Row],[Order_Date]])/3,0)</f>
        <v>Q4</v>
      </c>
      <c r="R333" s="2">
        <f>IFERROR(SalesData[[#This Row],[Profit]]/SalesData[[#This Row],[Sales]],0)</f>
        <v>2.8357705318967058E-2</v>
      </c>
      <c r="S333" s="2">
        <f>SalesData[[#This Row],[Price]]*SalesData[[#This Row],[Quantity]]*SalesData[[#This Row],[Discount]]</f>
        <v>7320.67</v>
      </c>
      <c r="T333" s="2" t="str">
        <f>IF(SalesData[[#This Row],[Sales]]&gt;5000,"High",IF(SalesData[[#This Row],[Sales]]&gt;2000,"Medium","Low"))</f>
        <v>High</v>
      </c>
      <c r="U333" s="2" t="str">
        <f>IF(COUNTIFS(SalesData[Customer_ID],SalesData[[#This Row],[Customer_ID]])&gt;1,"Repeat","New")</f>
        <v>Repeat</v>
      </c>
      <c r="V333" s="2" t="str">
        <f>IF(SalesData[[#This Row],[Sales]]&gt;AVERAGE(SalesData[Sales]),"Above Avg","Below Avg")</f>
        <v>Above Avg</v>
      </c>
      <c r="W333" s="2" t="str">
        <f>IF(SalesData[[#This Row],[Profit]]&gt;0,"Profit","Loss")</f>
        <v>Profit</v>
      </c>
      <c r="X333" s="2">
        <f>RANK(SalesData[[#This Row],[Sales]],SalesData[Sales])</f>
        <v>47</v>
      </c>
    </row>
    <row r="334" spans="1:24" x14ac:dyDescent="0.3">
      <c r="A334">
        <v>333</v>
      </c>
      <c r="B334" s="1">
        <v>45624</v>
      </c>
      <c r="C334">
        <v>1030</v>
      </c>
      <c r="D334" t="s">
        <v>14</v>
      </c>
      <c r="E334" t="s">
        <v>15</v>
      </c>
      <c r="F334" t="s">
        <v>16</v>
      </c>
      <c r="G334" t="s">
        <v>17</v>
      </c>
      <c r="H334" t="s">
        <v>29</v>
      </c>
      <c r="I334">
        <v>2252</v>
      </c>
      <c r="J334">
        <v>8</v>
      </c>
      <c r="K334">
        <v>0.17</v>
      </c>
      <c r="L334">
        <v>1739</v>
      </c>
      <c r="M334" t="s">
        <v>26</v>
      </c>
      <c r="N334">
        <v>14953.279999999901</v>
      </c>
      <c r="O334" t="str">
        <f>TEXT(SalesData[[#This Row],[Order_Date]],"mmm")</f>
        <v>Nov</v>
      </c>
      <c r="P334">
        <f>YEAR(SalesData[[#This Row],[Order_Date]])</f>
        <v>2024</v>
      </c>
      <c r="Q334" t="str">
        <f>"Q"&amp;ROUNDUP(MONTH(SalesData[[#This Row],[Order_Date]])/3,0)</f>
        <v>Q4</v>
      </c>
      <c r="R334" s="2">
        <f>IFERROR(SalesData[[#This Row],[Profit]]/SalesData[[#This Row],[Sales]],0)</f>
        <v>0.11629555522266764</v>
      </c>
      <c r="S334" s="2">
        <f>SalesData[[#This Row],[Price]]*SalesData[[#This Row],[Quantity]]*SalesData[[#This Row],[Discount]]</f>
        <v>3062.7200000000003</v>
      </c>
      <c r="T334" s="2" t="str">
        <f>IF(SalesData[[#This Row],[Sales]]&gt;5000,"High",IF(SalesData[[#This Row],[Sales]]&gt;2000,"Medium","Low"))</f>
        <v>High</v>
      </c>
      <c r="U334" s="2" t="str">
        <f>IF(COUNTIFS(SalesData[Customer_ID],SalesData[[#This Row],[Customer_ID]])&gt;1,"Repeat","New")</f>
        <v>Repeat</v>
      </c>
      <c r="V334" s="2" t="str">
        <f>IF(SalesData[[#This Row],[Sales]]&gt;AVERAGE(SalesData[Sales]),"Above Avg","Below Avg")</f>
        <v>Above Avg</v>
      </c>
      <c r="W334" s="2" t="str">
        <f>IF(SalesData[[#This Row],[Profit]]&gt;0,"Profit","Loss")</f>
        <v>Profit</v>
      </c>
      <c r="X334" s="2">
        <f>RANK(SalesData[[#This Row],[Sales]],SalesData[Sales])</f>
        <v>140</v>
      </c>
    </row>
    <row r="335" spans="1:24" x14ac:dyDescent="0.3">
      <c r="A335">
        <v>334</v>
      </c>
      <c r="B335" s="1">
        <v>45625</v>
      </c>
      <c r="C335">
        <v>1055</v>
      </c>
      <c r="D335" t="s">
        <v>40</v>
      </c>
      <c r="E335" t="s">
        <v>24</v>
      </c>
      <c r="F335" t="s">
        <v>28</v>
      </c>
      <c r="G335" t="s">
        <v>22</v>
      </c>
      <c r="H335" t="s">
        <v>29</v>
      </c>
      <c r="I335">
        <v>3427</v>
      </c>
      <c r="J335">
        <v>4</v>
      </c>
      <c r="K335">
        <v>0.19</v>
      </c>
      <c r="L335">
        <v>922</v>
      </c>
      <c r="M335" t="s">
        <v>26</v>
      </c>
      <c r="N335">
        <v>11103.48</v>
      </c>
      <c r="O335" t="str">
        <f>TEXT(SalesData[[#This Row],[Order_Date]],"mmm")</f>
        <v>Nov</v>
      </c>
      <c r="P335">
        <f>YEAR(SalesData[[#This Row],[Order_Date]])</f>
        <v>2024</v>
      </c>
      <c r="Q335" t="str">
        <f>"Q"&amp;ROUNDUP(MONTH(SalesData[[#This Row],[Order_Date]])/3,0)</f>
        <v>Q4</v>
      </c>
      <c r="R335" s="2">
        <f>IFERROR(SalesData[[#This Row],[Profit]]/SalesData[[#This Row],[Sales]],0)</f>
        <v>8.3037029832088688E-2</v>
      </c>
      <c r="S335" s="2">
        <f>SalesData[[#This Row],[Price]]*SalesData[[#This Row],[Quantity]]*SalesData[[#This Row],[Discount]]</f>
        <v>2604.52</v>
      </c>
      <c r="T335" s="2" t="str">
        <f>IF(SalesData[[#This Row],[Sales]]&gt;5000,"High",IF(SalesData[[#This Row],[Sales]]&gt;2000,"Medium","Low"))</f>
        <v>High</v>
      </c>
      <c r="U335" s="2" t="str">
        <f>IF(COUNTIFS(SalesData[Customer_ID],SalesData[[#This Row],[Customer_ID]])&gt;1,"Repeat","New")</f>
        <v>Repeat</v>
      </c>
      <c r="V335" s="2" t="str">
        <f>IF(SalesData[[#This Row],[Sales]]&gt;AVERAGE(SalesData[Sales]),"Above Avg","Below Avg")</f>
        <v>Above Avg</v>
      </c>
      <c r="W335" s="2" t="str">
        <f>IF(SalesData[[#This Row],[Profit]]&gt;0,"Profit","Loss")</f>
        <v>Profit</v>
      </c>
      <c r="X335" s="2">
        <f>RANK(SalesData[[#This Row],[Sales]],SalesData[Sales])</f>
        <v>188</v>
      </c>
    </row>
    <row r="336" spans="1:24" x14ac:dyDescent="0.3">
      <c r="A336">
        <v>335</v>
      </c>
      <c r="B336" s="1">
        <v>45626</v>
      </c>
      <c r="C336">
        <v>1080</v>
      </c>
      <c r="D336" t="s">
        <v>198</v>
      </c>
      <c r="E336" t="s">
        <v>15</v>
      </c>
      <c r="F336" t="s">
        <v>33</v>
      </c>
      <c r="G336" t="s">
        <v>22</v>
      </c>
      <c r="H336" t="s">
        <v>18</v>
      </c>
      <c r="I336">
        <v>370</v>
      </c>
      <c r="J336">
        <v>7</v>
      </c>
      <c r="K336">
        <v>0.08</v>
      </c>
      <c r="L336">
        <v>1381</v>
      </c>
      <c r="M336" t="s">
        <v>26</v>
      </c>
      <c r="N336">
        <v>2382.8000000000002</v>
      </c>
      <c r="O336" t="str">
        <f>TEXT(SalesData[[#This Row],[Order_Date]],"mmm")</f>
        <v>Nov</v>
      </c>
      <c r="P336">
        <f>YEAR(SalesData[[#This Row],[Order_Date]])</f>
        <v>2024</v>
      </c>
      <c r="Q336" t="str">
        <f>"Q"&amp;ROUNDUP(MONTH(SalesData[[#This Row],[Order_Date]])/3,0)</f>
        <v>Q4</v>
      </c>
      <c r="R336" s="2">
        <f>IFERROR(SalesData[[#This Row],[Profit]]/SalesData[[#This Row],[Sales]],0)</f>
        <v>0.57957025348329694</v>
      </c>
      <c r="S336" s="2">
        <f>SalesData[[#This Row],[Price]]*SalesData[[#This Row],[Quantity]]*SalesData[[#This Row],[Discount]]</f>
        <v>207.20000000000002</v>
      </c>
      <c r="T336" s="2" t="str">
        <f>IF(SalesData[[#This Row],[Sales]]&gt;5000,"High",IF(SalesData[[#This Row],[Sales]]&gt;2000,"Medium","Low"))</f>
        <v>Medium</v>
      </c>
      <c r="U336" s="2" t="str">
        <f>IF(COUNTIFS(SalesData[Customer_ID],SalesData[[#This Row],[Customer_ID]])&gt;1,"Repeat","New")</f>
        <v>Repeat</v>
      </c>
      <c r="V336" s="2" t="str">
        <f>IF(SalesData[[#This Row],[Sales]]&gt;AVERAGE(SalesData[Sales]),"Above Avg","Below Avg")</f>
        <v>Below Avg</v>
      </c>
      <c r="W336" s="2" t="str">
        <f>IF(SalesData[[#This Row],[Profit]]&gt;0,"Profit","Loss")</f>
        <v>Profit</v>
      </c>
      <c r="X336" s="2">
        <f>RANK(SalesData[[#This Row],[Sales]],SalesData[Sales])</f>
        <v>413</v>
      </c>
    </row>
    <row r="337" spans="1:24" x14ac:dyDescent="0.3">
      <c r="A337">
        <v>336</v>
      </c>
      <c r="B337" s="1">
        <v>45627</v>
      </c>
      <c r="C337">
        <v>1030</v>
      </c>
      <c r="D337" t="s">
        <v>118</v>
      </c>
      <c r="E337" t="s">
        <v>15</v>
      </c>
      <c r="F337" t="s">
        <v>16</v>
      </c>
      <c r="G337" t="s">
        <v>17</v>
      </c>
      <c r="H337" t="s">
        <v>25</v>
      </c>
      <c r="I337">
        <v>4426</v>
      </c>
      <c r="J337">
        <v>9</v>
      </c>
      <c r="K337">
        <v>0.27</v>
      </c>
      <c r="L337">
        <v>-447</v>
      </c>
      <c r="M337" t="s">
        <v>26</v>
      </c>
      <c r="N337">
        <v>29078.82</v>
      </c>
      <c r="O337" t="str">
        <f>TEXT(SalesData[[#This Row],[Order_Date]],"mmm")</f>
        <v>Dec</v>
      </c>
      <c r="P337">
        <f>YEAR(SalesData[[#This Row],[Order_Date]])</f>
        <v>2024</v>
      </c>
      <c r="Q337" t="str">
        <f>"Q"&amp;ROUNDUP(MONTH(SalesData[[#This Row],[Order_Date]])/3,0)</f>
        <v>Q4</v>
      </c>
      <c r="R337" s="2">
        <f>IFERROR(SalesData[[#This Row],[Profit]]/SalesData[[#This Row],[Sales]],0)</f>
        <v>-1.537201303216568E-2</v>
      </c>
      <c r="S337" s="2">
        <f>SalesData[[#This Row],[Price]]*SalesData[[#This Row],[Quantity]]*SalesData[[#This Row],[Discount]]</f>
        <v>10755.18</v>
      </c>
      <c r="T337" s="2" t="str">
        <f>IF(SalesData[[#This Row],[Sales]]&gt;5000,"High",IF(SalesData[[#This Row],[Sales]]&gt;2000,"Medium","Low"))</f>
        <v>High</v>
      </c>
      <c r="U337" s="2" t="str">
        <f>IF(COUNTIFS(SalesData[Customer_ID],SalesData[[#This Row],[Customer_ID]])&gt;1,"Repeat","New")</f>
        <v>Repeat</v>
      </c>
      <c r="V337" s="2" t="str">
        <f>IF(SalesData[[#This Row],[Sales]]&gt;AVERAGE(SalesData[Sales]),"Above Avg","Below Avg")</f>
        <v>Above Avg</v>
      </c>
      <c r="W337" s="2" t="str">
        <f>IF(SalesData[[#This Row],[Profit]]&gt;0,"Profit","Loss")</f>
        <v>Loss</v>
      </c>
      <c r="X337" s="2">
        <f>RANK(SalesData[[#This Row],[Sales]],SalesData[Sales])</f>
        <v>26</v>
      </c>
    </row>
    <row r="338" spans="1:24" x14ac:dyDescent="0.3">
      <c r="A338">
        <v>337</v>
      </c>
      <c r="B338" s="1">
        <v>45628</v>
      </c>
      <c r="C338">
        <v>1012</v>
      </c>
      <c r="D338" t="s">
        <v>59</v>
      </c>
      <c r="E338" t="s">
        <v>24</v>
      </c>
      <c r="F338" t="s">
        <v>28</v>
      </c>
      <c r="G338" t="s">
        <v>22</v>
      </c>
      <c r="H338" t="s">
        <v>37</v>
      </c>
      <c r="I338">
        <v>3915</v>
      </c>
      <c r="J338">
        <v>8</v>
      </c>
      <c r="K338">
        <v>0.15</v>
      </c>
      <c r="L338">
        <v>-47</v>
      </c>
      <c r="M338" t="s">
        <v>26</v>
      </c>
      <c r="N338">
        <v>26622</v>
      </c>
      <c r="O338" t="str">
        <f>TEXT(SalesData[[#This Row],[Order_Date]],"mmm")</f>
        <v>Dec</v>
      </c>
      <c r="P338">
        <f>YEAR(SalesData[[#This Row],[Order_Date]])</f>
        <v>2024</v>
      </c>
      <c r="Q338" t="str">
        <f>"Q"&amp;ROUNDUP(MONTH(SalesData[[#This Row],[Order_Date]])/3,0)</f>
        <v>Q4</v>
      </c>
      <c r="R338" s="2">
        <f>IFERROR(SalesData[[#This Row],[Profit]]/SalesData[[#This Row],[Sales]],0)</f>
        <v>-1.7654571407106905E-3</v>
      </c>
      <c r="S338" s="2">
        <f>SalesData[[#This Row],[Price]]*SalesData[[#This Row],[Quantity]]*SalesData[[#This Row],[Discount]]</f>
        <v>4698</v>
      </c>
      <c r="T338" s="2" t="str">
        <f>IF(SalesData[[#This Row],[Sales]]&gt;5000,"High",IF(SalesData[[#This Row],[Sales]]&gt;2000,"Medium","Low"))</f>
        <v>High</v>
      </c>
      <c r="U338" s="2" t="str">
        <f>IF(COUNTIFS(SalesData[Customer_ID],SalesData[[#This Row],[Customer_ID]])&gt;1,"Repeat","New")</f>
        <v>Repeat</v>
      </c>
      <c r="V338" s="2" t="str">
        <f>IF(SalesData[[#This Row],[Sales]]&gt;AVERAGE(SalesData[Sales]),"Above Avg","Below Avg")</f>
        <v>Above Avg</v>
      </c>
      <c r="W338" s="2" t="str">
        <f>IF(SalesData[[#This Row],[Profit]]&gt;0,"Profit","Loss")</f>
        <v>Loss</v>
      </c>
      <c r="X338" s="2">
        <f>RANK(SalesData[[#This Row],[Sales]],SalesData[Sales])</f>
        <v>36</v>
      </c>
    </row>
    <row r="339" spans="1:24" x14ac:dyDescent="0.3">
      <c r="A339">
        <v>338</v>
      </c>
      <c r="B339" s="1">
        <v>45629</v>
      </c>
      <c r="C339">
        <v>1090</v>
      </c>
      <c r="D339" t="s">
        <v>195</v>
      </c>
      <c r="E339" t="s">
        <v>15</v>
      </c>
      <c r="F339" t="s">
        <v>33</v>
      </c>
      <c r="G339" t="s">
        <v>34</v>
      </c>
      <c r="H339" t="s">
        <v>29</v>
      </c>
      <c r="I339">
        <v>1456</v>
      </c>
      <c r="J339">
        <v>7</v>
      </c>
      <c r="K339">
        <v>0.24</v>
      </c>
      <c r="L339">
        <v>-31</v>
      </c>
      <c r="M339" t="s">
        <v>26</v>
      </c>
      <c r="N339">
        <v>7745.92</v>
      </c>
      <c r="O339" t="str">
        <f>TEXT(SalesData[[#This Row],[Order_Date]],"mmm")</f>
        <v>Dec</v>
      </c>
      <c r="P339">
        <f>YEAR(SalesData[[#This Row],[Order_Date]])</f>
        <v>2024</v>
      </c>
      <c r="Q339" t="str">
        <f>"Q"&amp;ROUNDUP(MONTH(SalesData[[#This Row],[Order_Date]])/3,0)</f>
        <v>Q4</v>
      </c>
      <c r="R339" s="2">
        <f>IFERROR(SalesData[[#This Row],[Profit]]/SalesData[[#This Row],[Sales]],0)</f>
        <v>-4.0021069156407499E-3</v>
      </c>
      <c r="S339" s="2">
        <f>SalesData[[#This Row],[Price]]*SalesData[[#This Row],[Quantity]]*SalesData[[#This Row],[Discount]]</f>
        <v>2446.08</v>
      </c>
      <c r="T339" s="2" t="str">
        <f>IF(SalesData[[#This Row],[Sales]]&gt;5000,"High",IF(SalesData[[#This Row],[Sales]]&gt;2000,"Medium","Low"))</f>
        <v>High</v>
      </c>
      <c r="U339" s="2" t="str">
        <f>IF(COUNTIFS(SalesData[Customer_ID],SalesData[[#This Row],[Customer_ID]])&gt;1,"Repeat","New")</f>
        <v>Repeat</v>
      </c>
      <c r="V339" s="2" t="str">
        <f>IF(SalesData[[#This Row],[Sales]]&gt;AVERAGE(SalesData[Sales]),"Above Avg","Below Avg")</f>
        <v>Below Avg</v>
      </c>
      <c r="W339" s="2" t="str">
        <f>IF(SalesData[[#This Row],[Profit]]&gt;0,"Profit","Loss")</f>
        <v>Loss</v>
      </c>
      <c r="X339" s="2">
        <f>RANK(SalesData[[#This Row],[Sales]],SalesData[Sales])</f>
        <v>258</v>
      </c>
    </row>
    <row r="340" spans="1:24" x14ac:dyDescent="0.3">
      <c r="A340">
        <v>339</v>
      </c>
      <c r="B340" s="1">
        <v>45630</v>
      </c>
      <c r="C340">
        <v>1083</v>
      </c>
      <c r="D340" t="s">
        <v>199</v>
      </c>
      <c r="E340" t="s">
        <v>24</v>
      </c>
      <c r="F340" t="s">
        <v>21</v>
      </c>
      <c r="G340" t="s">
        <v>17</v>
      </c>
      <c r="H340" t="s">
        <v>18</v>
      </c>
      <c r="I340">
        <v>4189</v>
      </c>
      <c r="J340">
        <v>5</v>
      </c>
      <c r="K340">
        <v>0.16</v>
      </c>
      <c r="L340">
        <v>798</v>
      </c>
      <c r="M340" t="s">
        <v>26</v>
      </c>
      <c r="N340">
        <v>17593.8</v>
      </c>
      <c r="O340" t="str">
        <f>TEXT(SalesData[[#This Row],[Order_Date]],"mmm")</f>
        <v>Dec</v>
      </c>
      <c r="P340">
        <f>YEAR(SalesData[[#This Row],[Order_Date]])</f>
        <v>2024</v>
      </c>
      <c r="Q340" t="str">
        <f>"Q"&amp;ROUNDUP(MONTH(SalesData[[#This Row],[Order_Date]])/3,0)</f>
        <v>Q4</v>
      </c>
      <c r="R340" s="2">
        <f>IFERROR(SalesData[[#This Row],[Profit]]/SalesData[[#This Row],[Sales]],0)</f>
        <v>4.5356887085223209E-2</v>
      </c>
      <c r="S340" s="2">
        <f>SalesData[[#This Row],[Price]]*SalesData[[#This Row],[Quantity]]*SalesData[[#This Row],[Discount]]</f>
        <v>3351.2000000000003</v>
      </c>
      <c r="T340" s="2" t="str">
        <f>IF(SalesData[[#This Row],[Sales]]&gt;5000,"High",IF(SalesData[[#This Row],[Sales]]&gt;2000,"Medium","Low"))</f>
        <v>High</v>
      </c>
      <c r="U340" s="2" t="str">
        <f>IF(COUNTIFS(SalesData[Customer_ID],SalesData[[#This Row],[Customer_ID]])&gt;1,"Repeat","New")</f>
        <v>Repeat</v>
      </c>
      <c r="V340" s="2" t="str">
        <f>IF(SalesData[[#This Row],[Sales]]&gt;AVERAGE(SalesData[Sales]),"Above Avg","Below Avg")</f>
        <v>Above Avg</v>
      </c>
      <c r="W340" s="2" t="str">
        <f>IF(SalesData[[#This Row],[Profit]]&gt;0,"Profit","Loss")</f>
        <v>Profit</v>
      </c>
      <c r="X340" s="2">
        <f>RANK(SalesData[[#This Row],[Sales]],SalesData[Sales])</f>
        <v>95</v>
      </c>
    </row>
    <row r="341" spans="1:24" x14ac:dyDescent="0.3">
      <c r="A341">
        <v>340</v>
      </c>
      <c r="B341" s="1">
        <v>45631</v>
      </c>
      <c r="C341">
        <v>1016</v>
      </c>
      <c r="D341" t="s">
        <v>200</v>
      </c>
      <c r="E341" t="s">
        <v>15</v>
      </c>
      <c r="F341" t="s">
        <v>21</v>
      </c>
      <c r="G341" t="s">
        <v>17</v>
      </c>
      <c r="H341" t="s">
        <v>37</v>
      </c>
      <c r="I341">
        <v>190</v>
      </c>
      <c r="J341">
        <v>8</v>
      </c>
      <c r="K341">
        <v>0.03</v>
      </c>
      <c r="L341">
        <v>728</v>
      </c>
      <c r="M341" t="s">
        <v>26</v>
      </c>
      <c r="N341">
        <v>1474.3999999999901</v>
      </c>
      <c r="O341" t="str">
        <f>TEXT(SalesData[[#This Row],[Order_Date]],"mmm")</f>
        <v>Dec</v>
      </c>
      <c r="P341">
        <f>YEAR(SalesData[[#This Row],[Order_Date]])</f>
        <v>2024</v>
      </c>
      <c r="Q341" t="str">
        <f>"Q"&amp;ROUNDUP(MONTH(SalesData[[#This Row],[Order_Date]])/3,0)</f>
        <v>Q4</v>
      </c>
      <c r="R341" s="2">
        <f>IFERROR(SalesData[[#This Row],[Profit]]/SalesData[[#This Row],[Sales]],0)</f>
        <v>0.4937601736299545</v>
      </c>
      <c r="S341" s="2">
        <f>SalesData[[#This Row],[Price]]*SalesData[[#This Row],[Quantity]]*SalesData[[#This Row],[Discount]]</f>
        <v>45.6</v>
      </c>
      <c r="T341" s="2" t="str">
        <f>IF(SalesData[[#This Row],[Sales]]&gt;5000,"High",IF(SalesData[[#This Row],[Sales]]&gt;2000,"Medium","Low"))</f>
        <v>Low</v>
      </c>
      <c r="U341" s="2" t="str">
        <f>IF(COUNTIFS(SalesData[Customer_ID],SalesData[[#This Row],[Customer_ID]])&gt;1,"Repeat","New")</f>
        <v>Repeat</v>
      </c>
      <c r="V341" s="2" t="str">
        <f>IF(SalesData[[#This Row],[Sales]]&gt;AVERAGE(SalesData[Sales]),"Above Avg","Below Avg")</f>
        <v>Below Avg</v>
      </c>
      <c r="W341" s="2" t="str">
        <f>IF(SalesData[[#This Row],[Profit]]&gt;0,"Profit","Loss")</f>
        <v>Profit</v>
      </c>
      <c r="X341" s="2">
        <f>RANK(SalesData[[#This Row],[Sales]],SalesData[Sales])</f>
        <v>458</v>
      </c>
    </row>
    <row r="342" spans="1:24" x14ac:dyDescent="0.3">
      <c r="A342">
        <v>341</v>
      </c>
      <c r="B342" s="1">
        <v>45632</v>
      </c>
      <c r="C342">
        <v>1092</v>
      </c>
      <c r="D342" t="s">
        <v>23</v>
      </c>
      <c r="E342" t="s">
        <v>24</v>
      </c>
      <c r="F342" t="s">
        <v>21</v>
      </c>
      <c r="G342" t="s">
        <v>22</v>
      </c>
      <c r="H342" t="s">
        <v>25</v>
      </c>
      <c r="I342">
        <v>2277</v>
      </c>
      <c r="J342">
        <v>8</v>
      </c>
      <c r="K342">
        <v>0.03</v>
      </c>
      <c r="L342">
        <v>297</v>
      </c>
      <c r="M342" t="s">
        <v>19</v>
      </c>
      <c r="N342">
        <v>17669.52</v>
      </c>
      <c r="O342" t="str">
        <f>TEXT(SalesData[[#This Row],[Order_Date]],"mmm")</f>
        <v>Dec</v>
      </c>
      <c r="P342">
        <f>YEAR(SalesData[[#This Row],[Order_Date]])</f>
        <v>2024</v>
      </c>
      <c r="Q342" t="str">
        <f>"Q"&amp;ROUNDUP(MONTH(SalesData[[#This Row],[Order_Date]])/3,0)</f>
        <v>Q4</v>
      </c>
      <c r="R342" s="2">
        <f>IFERROR(SalesData[[#This Row],[Profit]]/SalesData[[#This Row],[Sales]],0)</f>
        <v>1.6808606006275213E-2</v>
      </c>
      <c r="S342" s="2">
        <f>SalesData[[#This Row],[Price]]*SalesData[[#This Row],[Quantity]]*SalesData[[#This Row],[Discount]]</f>
        <v>546.48</v>
      </c>
      <c r="T342" s="2" t="str">
        <f>IF(SalesData[[#This Row],[Sales]]&gt;5000,"High",IF(SalesData[[#This Row],[Sales]]&gt;2000,"Medium","Low"))</f>
        <v>High</v>
      </c>
      <c r="U342" s="2" t="str">
        <f>IF(COUNTIFS(SalesData[Customer_ID],SalesData[[#This Row],[Customer_ID]])&gt;1,"Repeat","New")</f>
        <v>Repeat</v>
      </c>
      <c r="V342" s="2" t="str">
        <f>IF(SalesData[[#This Row],[Sales]]&gt;AVERAGE(SalesData[Sales]),"Above Avg","Below Avg")</f>
        <v>Above Avg</v>
      </c>
      <c r="W342" s="2" t="str">
        <f>IF(SalesData[[#This Row],[Profit]]&gt;0,"Profit","Loss")</f>
        <v>Profit</v>
      </c>
      <c r="X342" s="2">
        <f>RANK(SalesData[[#This Row],[Sales]],SalesData[Sales])</f>
        <v>94</v>
      </c>
    </row>
    <row r="343" spans="1:24" x14ac:dyDescent="0.3">
      <c r="A343">
        <v>342</v>
      </c>
      <c r="B343" s="1">
        <v>45633</v>
      </c>
      <c r="C343">
        <v>1038</v>
      </c>
      <c r="D343" t="s">
        <v>38</v>
      </c>
      <c r="E343" t="s">
        <v>24</v>
      </c>
      <c r="F343" t="s">
        <v>28</v>
      </c>
      <c r="G343" t="s">
        <v>17</v>
      </c>
      <c r="H343" t="s">
        <v>18</v>
      </c>
      <c r="I343">
        <v>1830</v>
      </c>
      <c r="J343">
        <v>4</v>
      </c>
      <c r="K343">
        <v>0.14000000000000001</v>
      </c>
      <c r="L343">
        <v>898</v>
      </c>
      <c r="M343" t="s">
        <v>31</v>
      </c>
      <c r="N343">
        <v>6295.2</v>
      </c>
      <c r="O343" t="str">
        <f>TEXT(SalesData[[#This Row],[Order_Date]],"mmm")</f>
        <v>Dec</v>
      </c>
      <c r="P343">
        <f>YEAR(SalesData[[#This Row],[Order_Date]])</f>
        <v>2024</v>
      </c>
      <c r="Q343" t="str">
        <f>"Q"&amp;ROUNDUP(MONTH(SalesData[[#This Row],[Order_Date]])/3,0)</f>
        <v>Q4</v>
      </c>
      <c r="R343" s="2">
        <f>IFERROR(SalesData[[#This Row],[Profit]]/SalesData[[#This Row],[Sales]],0)</f>
        <v>0.14264836700978523</v>
      </c>
      <c r="S343" s="2">
        <f>SalesData[[#This Row],[Price]]*SalesData[[#This Row],[Quantity]]*SalesData[[#This Row],[Discount]]</f>
        <v>1024.8000000000002</v>
      </c>
      <c r="T343" s="2" t="str">
        <f>IF(SalesData[[#This Row],[Sales]]&gt;5000,"High",IF(SalesData[[#This Row],[Sales]]&gt;2000,"Medium","Low"))</f>
        <v>High</v>
      </c>
      <c r="U343" s="2" t="str">
        <f>IF(COUNTIFS(SalesData[Customer_ID],SalesData[[#This Row],[Customer_ID]])&gt;1,"Repeat","New")</f>
        <v>Repeat</v>
      </c>
      <c r="V343" s="2" t="str">
        <f>IF(SalesData[[#This Row],[Sales]]&gt;AVERAGE(SalesData[Sales]),"Above Avg","Below Avg")</f>
        <v>Below Avg</v>
      </c>
      <c r="W343" s="2" t="str">
        <f>IF(SalesData[[#This Row],[Profit]]&gt;0,"Profit","Loss")</f>
        <v>Profit</v>
      </c>
      <c r="X343" s="2">
        <f>RANK(SalesData[[#This Row],[Sales]],SalesData[Sales])</f>
        <v>291</v>
      </c>
    </row>
    <row r="344" spans="1:24" x14ac:dyDescent="0.3">
      <c r="A344">
        <v>343</v>
      </c>
      <c r="B344" s="1">
        <v>45634</v>
      </c>
      <c r="C344">
        <v>1098</v>
      </c>
      <c r="D344" t="s">
        <v>149</v>
      </c>
      <c r="E344" t="s">
        <v>24</v>
      </c>
      <c r="F344" t="s">
        <v>21</v>
      </c>
      <c r="G344" t="s">
        <v>22</v>
      </c>
      <c r="H344" t="s">
        <v>29</v>
      </c>
      <c r="I344">
        <v>2458</v>
      </c>
      <c r="J344">
        <v>9</v>
      </c>
      <c r="K344">
        <v>0.13</v>
      </c>
      <c r="L344">
        <v>-443</v>
      </c>
      <c r="M344" t="s">
        <v>31</v>
      </c>
      <c r="N344">
        <v>19246.14</v>
      </c>
      <c r="O344" t="str">
        <f>TEXT(SalesData[[#This Row],[Order_Date]],"mmm")</f>
        <v>Dec</v>
      </c>
      <c r="P344">
        <f>YEAR(SalesData[[#This Row],[Order_Date]])</f>
        <v>2024</v>
      </c>
      <c r="Q344" t="str">
        <f>"Q"&amp;ROUNDUP(MONTH(SalesData[[#This Row],[Order_Date]])/3,0)</f>
        <v>Q4</v>
      </c>
      <c r="R344" s="2">
        <f>IFERROR(SalesData[[#This Row],[Profit]]/SalesData[[#This Row],[Sales]],0)</f>
        <v>-2.3017602490681251E-2</v>
      </c>
      <c r="S344" s="2">
        <f>SalesData[[#This Row],[Price]]*SalesData[[#This Row],[Quantity]]*SalesData[[#This Row],[Discount]]</f>
        <v>2875.86</v>
      </c>
      <c r="T344" s="2" t="str">
        <f>IF(SalesData[[#This Row],[Sales]]&gt;5000,"High",IF(SalesData[[#This Row],[Sales]]&gt;2000,"Medium","Low"))</f>
        <v>High</v>
      </c>
      <c r="U344" s="2" t="str">
        <f>IF(COUNTIFS(SalesData[Customer_ID],SalesData[[#This Row],[Customer_ID]])&gt;1,"Repeat","New")</f>
        <v>Repeat</v>
      </c>
      <c r="V344" s="2" t="str">
        <f>IF(SalesData[[#This Row],[Sales]]&gt;AVERAGE(SalesData[Sales]),"Above Avg","Below Avg")</f>
        <v>Above Avg</v>
      </c>
      <c r="W344" s="2" t="str">
        <f>IF(SalesData[[#This Row],[Profit]]&gt;0,"Profit","Loss")</f>
        <v>Loss</v>
      </c>
      <c r="X344" s="2">
        <f>RANK(SalesData[[#This Row],[Sales]],SalesData[Sales])</f>
        <v>83</v>
      </c>
    </row>
    <row r="345" spans="1:24" x14ac:dyDescent="0.3">
      <c r="A345">
        <v>344</v>
      </c>
      <c r="B345" s="1">
        <v>45635</v>
      </c>
      <c r="C345">
        <v>1007</v>
      </c>
      <c r="D345" t="s">
        <v>201</v>
      </c>
      <c r="E345" t="s">
        <v>15</v>
      </c>
      <c r="F345" t="s">
        <v>21</v>
      </c>
      <c r="G345" t="s">
        <v>17</v>
      </c>
      <c r="H345" t="s">
        <v>29</v>
      </c>
      <c r="I345">
        <v>2809</v>
      </c>
      <c r="J345">
        <v>1</v>
      </c>
      <c r="K345">
        <v>0.27</v>
      </c>
      <c r="L345">
        <v>-352</v>
      </c>
      <c r="M345" t="s">
        <v>31</v>
      </c>
      <c r="N345">
        <v>2050.5700000000002</v>
      </c>
      <c r="O345" t="str">
        <f>TEXT(SalesData[[#This Row],[Order_Date]],"mmm")</f>
        <v>Dec</v>
      </c>
      <c r="P345">
        <f>YEAR(SalesData[[#This Row],[Order_Date]])</f>
        <v>2024</v>
      </c>
      <c r="Q345" t="str">
        <f>"Q"&amp;ROUNDUP(MONTH(SalesData[[#This Row],[Order_Date]])/3,0)</f>
        <v>Q4</v>
      </c>
      <c r="R345" s="2">
        <f>IFERROR(SalesData[[#This Row],[Profit]]/SalesData[[#This Row],[Sales]],0)</f>
        <v>-0.17165958733425338</v>
      </c>
      <c r="S345" s="2">
        <f>SalesData[[#This Row],[Price]]*SalesData[[#This Row],[Quantity]]*SalesData[[#This Row],[Discount]]</f>
        <v>758.43000000000006</v>
      </c>
      <c r="T345" s="2" t="str">
        <f>IF(SalesData[[#This Row],[Sales]]&gt;5000,"High",IF(SalesData[[#This Row],[Sales]]&gt;2000,"Medium","Low"))</f>
        <v>Medium</v>
      </c>
      <c r="U345" s="2" t="str">
        <f>IF(COUNTIFS(SalesData[Customer_ID],SalesData[[#This Row],[Customer_ID]])&gt;1,"Repeat","New")</f>
        <v>Repeat</v>
      </c>
      <c r="V345" s="2" t="str">
        <f>IF(SalesData[[#This Row],[Sales]]&gt;AVERAGE(SalesData[Sales]),"Above Avg","Below Avg")</f>
        <v>Below Avg</v>
      </c>
      <c r="W345" s="2" t="str">
        <f>IF(SalesData[[#This Row],[Profit]]&gt;0,"Profit","Loss")</f>
        <v>Loss</v>
      </c>
      <c r="X345" s="2">
        <f>RANK(SalesData[[#This Row],[Sales]],SalesData[Sales])</f>
        <v>426</v>
      </c>
    </row>
    <row r="346" spans="1:24" x14ac:dyDescent="0.3">
      <c r="A346">
        <v>345</v>
      </c>
      <c r="B346" s="1">
        <v>45636</v>
      </c>
      <c r="C346">
        <v>1037</v>
      </c>
      <c r="D346" t="s">
        <v>40</v>
      </c>
      <c r="E346" t="s">
        <v>15</v>
      </c>
      <c r="F346" t="s">
        <v>33</v>
      </c>
      <c r="G346" t="s">
        <v>22</v>
      </c>
      <c r="H346" t="s">
        <v>25</v>
      </c>
      <c r="I346">
        <v>448</v>
      </c>
      <c r="J346">
        <v>9</v>
      </c>
      <c r="K346">
        <v>0.04</v>
      </c>
      <c r="L346">
        <v>1096</v>
      </c>
      <c r="M346" t="s">
        <v>31</v>
      </c>
      <c r="N346">
        <v>3870.72</v>
      </c>
      <c r="O346" t="str">
        <f>TEXT(SalesData[[#This Row],[Order_Date]],"mmm")</f>
        <v>Dec</v>
      </c>
      <c r="P346">
        <f>YEAR(SalesData[[#This Row],[Order_Date]])</f>
        <v>2024</v>
      </c>
      <c r="Q346" t="str">
        <f>"Q"&amp;ROUNDUP(MONTH(SalesData[[#This Row],[Order_Date]])/3,0)</f>
        <v>Q4</v>
      </c>
      <c r="R346" s="2">
        <f>IFERROR(SalesData[[#This Row],[Profit]]/SalesData[[#This Row],[Sales]],0)</f>
        <v>0.28315145502645506</v>
      </c>
      <c r="S346" s="2">
        <f>SalesData[[#This Row],[Price]]*SalesData[[#This Row],[Quantity]]*SalesData[[#This Row],[Discount]]</f>
        <v>161.28</v>
      </c>
      <c r="T346" s="2" t="str">
        <f>IF(SalesData[[#This Row],[Sales]]&gt;5000,"High",IF(SalesData[[#This Row],[Sales]]&gt;2000,"Medium","Low"))</f>
        <v>Medium</v>
      </c>
      <c r="U346" s="2" t="str">
        <f>IF(COUNTIFS(SalesData[Customer_ID],SalesData[[#This Row],[Customer_ID]])&gt;1,"Repeat","New")</f>
        <v>Repeat</v>
      </c>
      <c r="V346" s="2" t="str">
        <f>IF(SalesData[[#This Row],[Sales]]&gt;AVERAGE(SalesData[Sales]),"Above Avg","Below Avg")</f>
        <v>Below Avg</v>
      </c>
      <c r="W346" s="2" t="str">
        <f>IF(SalesData[[#This Row],[Profit]]&gt;0,"Profit","Loss")</f>
        <v>Profit</v>
      </c>
      <c r="X346" s="2">
        <f>RANK(SalesData[[#This Row],[Sales]],SalesData[Sales])</f>
        <v>358</v>
      </c>
    </row>
    <row r="347" spans="1:24" x14ac:dyDescent="0.3">
      <c r="A347">
        <v>346</v>
      </c>
      <c r="B347" s="1">
        <v>45637</v>
      </c>
      <c r="C347">
        <v>1014</v>
      </c>
      <c r="D347" t="s">
        <v>79</v>
      </c>
      <c r="E347" t="s">
        <v>15</v>
      </c>
      <c r="F347" t="s">
        <v>21</v>
      </c>
      <c r="G347" t="s">
        <v>22</v>
      </c>
      <c r="H347" t="s">
        <v>37</v>
      </c>
      <c r="I347">
        <v>4977</v>
      </c>
      <c r="J347">
        <v>1</v>
      </c>
      <c r="K347">
        <v>0.21</v>
      </c>
      <c r="L347">
        <v>294</v>
      </c>
      <c r="M347" t="s">
        <v>26</v>
      </c>
      <c r="N347">
        <v>3931.83</v>
      </c>
      <c r="O347" t="str">
        <f>TEXT(SalesData[[#This Row],[Order_Date]],"mmm")</f>
        <v>Dec</v>
      </c>
      <c r="P347">
        <f>YEAR(SalesData[[#This Row],[Order_Date]])</f>
        <v>2024</v>
      </c>
      <c r="Q347" t="str">
        <f>"Q"&amp;ROUNDUP(MONTH(SalesData[[#This Row],[Order_Date]])/3,0)</f>
        <v>Q4</v>
      </c>
      <c r="R347" s="2">
        <f>IFERROR(SalesData[[#This Row],[Profit]]/SalesData[[#This Row],[Sales]],0)</f>
        <v>7.4774341718741658E-2</v>
      </c>
      <c r="S347" s="2">
        <f>SalesData[[#This Row],[Price]]*SalesData[[#This Row],[Quantity]]*SalesData[[#This Row],[Discount]]</f>
        <v>1045.17</v>
      </c>
      <c r="T347" s="2" t="str">
        <f>IF(SalesData[[#This Row],[Sales]]&gt;5000,"High",IF(SalesData[[#This Row],[Sales]]&gt;2000,"Medium","Low"))</f>
        <v>Medium</v>
      </c>
      <c r="U347" s="2" t="str">
        <f>IF(COUNTIFS(SalesData[Customer_ID],SalesData[[#This Row],[Customer_ID]])&gt;1,"Repeat","New")</f>
        <v>Repeat</v>
      </c>
      <c r="V347" s="2" t="str">
        <f>IF(SalesData[[#This Row],[Sales]]&gt;AVERAGE(SalesData[Sales]),"Above Avg","Below Avg")</f>
        <v>Below Avg</v>
      </c>
      <c r="W347" s="2" t="str">
        <f>IF(SalesData[[#This Row],[Profit]]&gt;0,"Profit","Loss")</f>
        <v>Profit</v>
      </c>
      <c r="X347" s="2">
        <f>RANK(SalesData[[#This Row],[Sales]],SalesData[Sales])</f>
        <v>357</v>
      </c>
    </row>
    <row r="348" spans="1:24" x14ac:dyDescent="0.3">
      <c r="A348">
        <v>347</v>
      </c>
      <c r="B348" s="1">
        <v>45638</v>
      </c>
      <c r="C348">
        <v>1000</v>
      </c>
      <c r="D348" t="s">
        <v>140</v>
      </c>
      <c r="E348" t="s">
        <v>15</v>
      </c>
      <c r="F348" t="s">
        <v>21</v>
      </c>
      <c r="G348" t="s">
        <v>34</v>
      </c>
      <c r="H348" t="s">
        <v>18</v>
      </c>
      <c r="I348">
        <v>4432</v>
      </c>
      <c r="J348">
        <v>5</v>
      </c>
      <c r="K348">
        <v>0.28000000000000003</v>
      </c>
      <c r="L348">
        <v>1809</v>
      </c>
      <c r="M348" t="s">
        <v>19</v>
      </c>
      <c r="N348">
        <v>15955.199999999901</v>
      </c>
      <c r="O348" t="str">
        <f>TEXT(SalesData[[#This Row],[Order_Date]],"mmm")</f>
        <v>Dec</v>
      </c>
      <c r="P348">
        <f>YEAR(SalesData[[#This Row],[Order_Date]])</f>
        <v>2024</v>
      </c>
      <c r="Q348" t="str">
        <f>"Q"&amp;ROUNDUP(MONTH(SalesData[[#This Row],[Order_Date]])/3,0)</f>
        <v>Q4</v>
      </c>
      <c r="R348" s="2">
        <f>IFERROR(SalesData[[#This Row],[Profit]]/SalesData[[#This Row],[Sales]],0)</f>
        <v>0.11337996389891768</v>
      </c>
      <c r="S348" s="2">
        <f>SalesData[[#This Row],[Price]]*SalesData[[#This Row],[Quantity]]*SalesData[[#This Row],[Discount]]</f>
        <v>6204.8</v>
      </c>
      <c r="T348" s="2" t="str">
        <f>IF(SalesData[[#This Row],[Sales]]&gt;5000,"High",IF(SalesData[[#This Row],[Sales]]&gt;2000,"Medium","Low"))</f>
        <v>High</v>
      </c>
      <c r="U348" s="2" t="str">
        <f>IF(COUNTIFS(SalesData[Customer_ID],SalesData[[#This Row],[Customer_ID]])&gt;1,"Repeat","New")</f>
        <v>Repeat</v>
      </c>
      <c r="V348" s="2" t="str">
        <f>IF(SalesData[[#This Row],[Sales]]&gt;AVERAGE(SalesData[Sales]),"Above Avg","Below Avg")</f>
        <v>Above Avg</v>
      </c>
      <c r="W348" s="2" t="str">
        <f>IF(SalesData[[#This Row],[Profit]]&gt;0,"Profit","Loss")</f>
        <v>Profit</v>
      </c>
      <c r="X348" s="2">
        <f>RANK(SalesData[[#This Row],[Sales]],SalesData[Sales])</f>
        <v>130</v>
      </c>
    </row>
    <row r="349" spans="1:24" x14ac:dyDescent="0.3">
      <c r="A349">
        <v>348</v>
      </c>
      <c r="B349" s="1">
        <v>45639</v>
      </c>
      <c r="C349">
        <v>1096</v>
      </c>
      <c r="D349" t="s">
        <v>62</v>
      </c>
      <c r="E349" t="s">
        <v>24</v>
      </c>
      <c r="F349" t="s">
        <v>28</v>
      </c>
      <c r="G349" t="s">
        <v>34</v>
      </c>
      <c r="H349" t="s">
        <v>18</v>
      </c>
      <c r="I349">
        <v>1393</v>
      </c>
      <c r="J349">
        <v>6</v>
      </c>
      <c r="K349">
        <v>0.12</v>
      </c>
      <c r="L349">
        <v>1693</v>
      </c>
      <c r="M349" t="s">
        <v>26</v>
      </c>
      <c r="N349">
        <v>7355.04</v>
      </c>
      <c r="O349" t="str">
        <f>TEXT(SalesData[[#This Row],[Order_Date]],"mmm")</f>
        <v>Dec</v>
      </c>
      <c r="P349">
        <f>YEAR(SalesData[[#This Row],[Order_Date]])</f>
        <v>2024</v>
      </c>
      <c r="Q349" t="str">
        <f>"Q"&amp;ROUNDUP(MONTH(SalesData[[#This Row],[Order_Date]])/3,0)</f>
        <v>Q4</v>
      </c>
      <c r="R349" s="2">
        <f>IFERROR(SalesData[[#This Row],[Profit]]/SalesData[[#This Row],[Sales]],0)</f>
        <v>0.23018229676521135</v>
      </c>
      <c r="S349" s="2">
        <f>SalesData[[#This Row],[Price]]*SalesData[[#This Row],[Quantity]]*SalesData[[#This Row],[Discount]]</f>
        <v>1002.9599999999999</v>
      </c>
      <c r="T349" s="2" t="str">
        <f>IF(SalesData[[#This Row],[Sales]]&gt;5000,"High",IF(SalesData[[#This Row],[Sales]]&gt;2000,"Medium","Low"))</f>
        <v>High</v>
      </c>
      <c r="U349" s="2" t="str">
        <f>IF(COUNTIFS(SalesData[Customer_ID],SalesData[[#This Row],[Customer_ID]])&gt;1,"Repeat","New")</f>
        <v>Repeat</v>
      </c>
      <c r="V349" s="2" t="str">
        <f>IF(SalesData[[#This Row],[Sales]]&gt;AVERAGE(SalesData[Sales]),"Above Avg","Below Avg")</f>
        <v>Below Avg</v>
      </c>
      <c r="W349" s="2" t="str">
        <f>IF(SalesData[[#This Row],[Profit]]&gt;0,"Profit","Loss")</f>
        <v>Profit</v>
      </c>
      <c r="X349" s="2">
        <f>RANK(SalesData[[#This Row],[Sales]],SalesData[Sales])</f>
        <v>266</v>
      </c>
    </row>
    <row r="350" spans="1:24" x14ac:dyDescent="0.3">
      <c r="A350">
        <v>349</v>
      </c>
      <c r="B350" s="1">
        <v>45640</v>
      </c>
      <c r="C350">
        <v>1002</v>
      </c>
      <c r="D350" t="s">
        <v>199</v>
      </c>
      <c r="E350" t="s">
        <v>15</v>
      </c>
      <c r="F350" t="s">
        <v>28</v>
      </c>
      <c r="G350" t="s">
        <v>17</v>
      </c>
      <c r="H350" t="s">
        <v>37</v>
      </c>
      <c r="I350">
        <v>4564</v>
      </c>
      <c r="J350">
        <v>5</v>
      </c>
      <c r="K350">
        <v>0.27</v>
      </c>
      <c r="L350">
        <v>710</v>
      </c>
      <c r="M350" t="s">
        <v>19</v>
      </c>
      <c r="N350">
        <v>16658.599999999999</v>
      </c>
      <c r="O350" t="str">
        <f>TEXT(SalesData[[#This Row],[Order_Date]],"mmm")</f>
        <v>Dec</v>
      </c>
      <c r="P350">
        <f>YEAR(SalesData[[#This Row],[Order_Date]])</f>
        <v>2024</v>
      </c>
      <c r="Q350" t="str">
        <f>"Q"&amp;ROUNDUP(MONTH(SalesData[[#This Row],[Order_Date]])/3,0)</f>
        <v>Q4</v>
      </c>
      <c r="R350" s="2">
        <f>IFERROR(SalesData[[#This Row],[Profit]]/SalesData[[#This Row],[Sales]],0)</f>
        <v>4.2620628384137924E-2</v>
      </c>
      <c r="S350" s="2">
        <f>SalesData[[#This Row],[Price]]*SalesData[[#This Row],[Quantity]]*SalesData[[#This Row],[Discount]]</f>
        <v>6161.4000000000005</v>
      </c>
      <c r="T350" s="2" t="str">
        <f>IF(SalesData[[#This Row],[Sales]]&gt;5000,"High",IF(SalesData[[#This Row],[Sales]]&gt;2000,"Medium","Low"))</f>
        <v>High</v>
      </c>
      <c r="U350" s="2" t="str">
        <f>IF(COUNTIFS(SalesData[Customer_ID],SalesData[[#This Row],[Customer_ID]])&gt;1,"Repeat","New")</f>
        <v>Repeat</v>
      </c>
      <c r="V350" s="2" t="str">
        <f>IF(SalesData[[#This Row],[Sales]]&gt;AVERAGE(SalesData[Sales]),"Above Avg","Below Avg")</f>
        <v>Above Avg</v>
      </c>
      <c r="W350" s="2" t="str">
        <f>IF(SalesData[[#This Row],[Profit]]&gt;0,"Profit","Loss")</f>
        <v>Profit</v>
      </c>
      <c r="X350" s="2">
        <f>RANK(SalesData[[#This Row],[Sales]],SalesData[Sales])</f>
        <v>111</v>
      </c>
    </row>
    <row r="351" spans="1:24" x14ac:dyDescent="0.3">
      <c r="A351">
        <v>350</v>
      </c>
      <c r="B351" s="1">
        <v>45641</v>
      </c>
      <c r="C351">
        <v>1037</v>
      </c>
      <c r="D351" t="s">
        <v>140</v>
      </c>
      <c r="E351" t="s">
        <v>15</v>
      </c>
      <c r="F351" t="s">
        <v>28</v>
      </c>
      <c r="G351" t="s">
        <v>22</v>
      </c>
      <c r="H351" t="s">
        <v>29</v>
      </c>
      <c r="I351">
        <v>2447</v>
      </c>
      <c r="J351">
        <v>4</v>
      </c>
      <c r="K351">
        <v>0.04</v>
      </c>
      <c r="L351">
        <v>-339</v>
      </c>
      <c r="M351" t="s">
        <v>19</v>
      </c>
      <c r="N351">
        <v>9396.48</v>
      </c>
      <c r="O351" t="str">
        <f>TEXT(SalesData[[#This Row],[Order_Date]],"mmm")</f>
        <v>Dec</v>
      </c>
      <c r="P351">
        <f>YEAR(SalesData[[#This Row],[Order_Date]])</f>
        <v>2024</v>
      </c>
      <c r="Q351" t="str">
        <f>"Q"&amp;ROUNDUP(MONTH(SalesData[[#This Row],[Order_Date]])/3,0)</f>
        <v>Q4</v>
      </c>
      <c r="R351" s="2">
        <f>IFERROR(SalesData[[#This Row],[Profit]]/SalesData[[#This Row],[Sales]],0)</f>
        <v>-3.6077339599509609E-2</v>
      </c>
      <c r="S351" s="2">
        <f>SalesData[[#This Row],[Price]]*SalesData[[#This Row],[Quantity]]*SalesData[[#This Row],[Discount]]</f>
        <v>391.52</v>
      </c>
      <c r="T351" s="2" t="str">
        <f>IF(SalesData[[#This Row],[Sales]]&gt;5000,"High",IF(SalesData[[#This Row],[Sales]]&gt;2000,"Medium","Low"))</f>
        <v>High</v>
      </c>
      <c r="U351" s="2" t="str">
        <f>IF(COUNTIFS(SalesData[Customer_ID],SalesData[[#This Row],[Customer_ID]])&gt;1,"Repeat","New")</f>
        <v>Repeat</v>
      </c>
      <c r="V351" s="2" t="str">
        <f>IF(SalesData[[#This Row],[Sales]]&gt;AVERAGE(SalesData[Sales]),"Above Avg","Below Avg")</f>
        <v>Below Avg</v>
      </c>
      <c r="W351" s="2" t="str">
        <f>IF(SalesData[[#This Row],[Profit]]&gt;0,"Profit","Loss")</f>
        <v>Loss</v>
      </c>
      <c r="X351" s="2">
        <f>RANK(SalesData[[#This Row],[Sales]],SalesData[Sales])</f>
        <v>221</v>
      </c>
    </row>
    <row r="352" spans="1:24" x14ac:dyDescent="0.3">
      <c r="A352">
        <v>351</v>
      </c>
      <c r="B352" s="1">
        <v>45642</v>
      </c>
      <c r="C352">
        <v>1047</v>
      </c>
      <c r="D352" t="s">
        <v>199</v>
      </c>
      <c r="E352" t="s">
        <v>15</v>
      </c>
      <c r="F352" t="s">
        <v>21</v>
      </c>
      <c r="G352" t="s">
        <v>34</v>
      </c>
      <c r="H352" t="s">
        <v>37</v>
      </c>
      <c r="I352">
        <v>3091</v>
      </c>
      <c r="J352">
        <v>5</v>
      </c>
      <c r="K352">
        <v>0.03</v>
      </c>
      <c r="L352">
        <v>644</v>
      </c>
      <c r="M352" t="s">
        <v>19</v>
      </c>
      <c r="N352">
        <v>14991.35</v>
      </c>
      <c r="O352" t="str">
        <f>TEXT(SalesData[[#This Row],[Order_Date]],"mmm")</f>
        <v>Dec</v>
      </c>
      <c r="P352">
        <f>YEAR(SalesData[[#This Row],[Order_Date]])</f>
        <v>2024</v>
      </c>
      <c r="Q352" t="str">
        <f>"Q"&amp;ROUNDUP(MONTH(SalesData[[#This Row],[Order_Date]])/3,0)</f>
        <v>Q4</v>
      </c>
      <c r="R352" s="2">
        <f>IFERROR(SalesData[[#This Row],[Profit]]/SalesData[[#This Row],[Sales]],0)</f>
        <v>4.2958105841034995E-2</v>
      </c>
      <c r="S352" s="2">
        <f>SalesData[[#This Row],[Price]]*SalesData[[#This Row],[Quantity]]*SalesData[[#This Row],[Discount]]</f>
        <v>463.65</v>
      </c>
      <c r="T352" s="2" t="str">
        <f>IF(SalesData[[#This Row],[Sales]]&gt;5000,"High",IF(SalesData[[#This Row],[Sales]]&gt;2000,"Medium","Low"))</f>
        <v>High</v>
      </c>
      <c r="U352" s="2" t="str">
        <f>IF(COUNTIFS(SalesData[Customer_ID],SalesData[[#This Row],[Customer_ID]])&gt;1,"Repeat","New")</f>
        <v>Repeat</v>
      </c>
      <c r="V352" s="2" t="str">
        <f>IF(SalesData[[#This Row],[Sales]]&gt;AVERAGE(SalesData[Sales]),"Above Avg","Below Avg")</f>
        <v>Above Avg</v>
      </c>
      <c r="W352" s="2" t="str">
        <f>IF(SalesData[[#This Row],[Profit]]&gt;0,"Profit","Loss")</f>
        <v>Profit</v>
      </c>
      <c r="X352" s="2">
        <f>RANK(SalesData[[#This Row],[Sales]],SalesData[Sales])</f>
        <v>139</v>
      </c>
    </row>
    <row r="353" spans="1:24" x14ac:dyDescent="0.3">
      <c r="A353">
        <v>352</v>
      </c>
      <c r="B353" s="1">
        <v>45643</v>
      </c>
      <c r="C353">
        <v>1062</v>
      </c>
      <c r="D353" t="s">
        <v>95</v>
      </c>
      <c r="E353" t="s">
        <v>15</v>
      </c>
      <c r="F353" t="s">
        <v>33</v>
      </c>
      <c r="G353" t="s">
        <v>17</v>
      </c>
      <c r="H353" t="s">
        <v>37</v>
      </c>
      <c r="I353">
        <v>2900</v>
      </c>
      <c r="J353">
        <v>7</v>
      </c>
      <c r="K353">
        <v>7.0000000000000007E-2</v>
      </c>
      <c r="L353">
        <v>1932</v>
      </c>
      <c r="M353" t="s">
        <v>19</v>
      </c>
      <c r="N353">
        <v>18879</v>
      </c>
      <c r="O353" t="str">
        <f>TEXT(SalesData[[#This Row],[Order_Date]],"mmm")</f>
        <v>Dec</v>
      </c>
      <c r="P353">
        <f>YEAR(SalesData[[#This Row],[Order_Date]])</f>
        <v>2024</v>
      </c>
      <c r="Q353" t="str">
        <f>"Q"&amp;ROUNDUP(MONTH(SalesData[[#This Row],[Order_Date]])/3,0)</f>
        <v>Q4</v>
      </c>
      <c r="R353" s="2">
        <f>IFERROR(SalesData[[#This Row],[Profit]]/SalesData[[#This Row],[Sales]],0)</f>
        <v>0.10233592880978866</v>
      </c>
      <c r="S353" s="2">
        <f>SalesData[[#This Row],[Price]]*SalesData[[#This Row],[Quantity]]*SalesData[[#This Row],[Discount]]</f>
        <v>1421.0000000000002</v>
      </c>
      <c r="T353" s="2" t="str">
        <f>IF(SalesData[[#This Row],[Sales]]&gt;5000,"High",IF(SalesData[[#This Row],[Sales]]&gt;2000,"Medium","Low"))</f>
        <v>High</v>
      </c>
      <c r="U353" s="2" t="str">
        <f>IF(COUNTIFS(SalesData[Customer_ID],SalesData[[#This Row],[Customer_ID]])&gt;1,"Repeat","New")</f>
        <v>Repeat</v>
      </c>
      <c r="V353" s="2" t="str">
        <f>IF(SalesData[[#This Row],[Sales]]&gt;AVERAGE(SalesData[Sales]),"Above Avg","Below Avg")</f>
        <v>Above Avg</v>
      </c>
      <c r="W353" s="2" t="str">
        <f>IF(SalesData[[#This Row],[Profit]]&gt;0,"Profit","Loss")</f>
        <v>Profit</v>
      </c>
      <c r="X353" s="2">
        <f>RANK(SalesData[[#This Row],[Sales]],SalesData[Sales])</f>
        <v>85</v>
      </c>
    </row>
    <row r="354" spans="1:24" x14ac:dyDescent="0.3">
      <c r="A354">
        <v>353</v>
      </c>
      <c r="B354" s="1">
        <v>45644</v>
      </c>
      <c r="C354">
        <v>1061</v>
      </c>
      <c r="D354" t="s">
        <v>62</v>
      </c>
      <c r="E354" t="s">
        <v>15</v>
      </c>
      <c r="F354" t="s">
        <v>16</v>
      </c>
      <c r="G354" t="s">
        <v>22</v>
      </c>
      <c r="H354" t="s">
        <v>37</v>
      </c>
      <c r="I354">
        <v>4356</v>
      </c>
      <c r="J354">
        <v>2</v>
      </c>
      <c r="K354">
        <v>0.16</v>
      </c>
      <c r="L354">
        <v>332</v>
      </c>
      <c r="M354" t="s">
        <v>31</v>
      </c>
      <c r="N354">
        <v>7318.08</v>
      </c>
      <c r="O354" t="str">
        <f>TEXT(SalesData[[#This Row],[Order_Date]],"mmm")</f>
        <v>Dec</v>
      </c>
      <c r="P354">
        <f>YEAR(SalesData[[#This Row],[Order_Date]])</f>
        <v>2024</v>
      </c>
      <c r="Q354" t="str">
        <f>"Q"&amp;ROUNDUP(MONTH(SalesData[[#This Row],[Order_Date]])/3,0)</f>
        <v>Q4</v>
      </c>
      <c r="R354" s="2">
        <f>IFERROR(SalesData[[#This Row],[Profit]]/SalesData[[#This Row],[Sales]],0)</f>
        <v>4.5367090821636279E-2</v>
      </c>
      <c r="S354" s="2">
        <f>SalesData[[#This Row],[Price]]*SalesData[[#This Row],[Quantity]]*SalesData[[#This Row],[Discount]]</f>
        <v>1393.92</v>
      </c>
      <c r="T354" s="2" t="str">
        <f>IF(SalesData[[#This Row],[Sales]]&gt;5000,"High",IF(SalesData[[#This Row],[Sales]]&gt;2000,"Medium","Low"))</f>
        <v>High</v>
      </c>
      <c r="U354" s="2" t="str">
        <f>IF(COUNTIFS(SalesData[Customer_ID],SalesData[[#This Row],[Customer_ID]])&gt;1,"Repeat","New")</f>
        <v>Repeat</v>
      </c>
      <c r="V354" s="2" t="str">
        <f>IF(SalesData[[#This Row],[Sales]]&gt;AVERAGE(SalesData[Sales]),"Above Avg","Below Avg")</f>
        <v>Below Avg</v>
      </c>
      <c r="W354" s="2" t="str">
        <f>IF(SalesData[[#This Row],[Profit]]&gt;0,"Profit","Loss")</f>
        <v>Profit</v>
      </c>
      <c r="X354" s="2">
        <f>RANK(SalesData[[#This Row],[Sales]],SalesData[Sales])</f>
        <v>268</v>
      </c>
    </row>
    <row r="355" spans="1:24" x14ac:dyDescent="0.3">
      <c r="A355">
        <v>354</v>
      </c>
      <c r="B355" s="1">
        <v>45645</v>
      </c>
      <c r="C355">
        <v>1014</v>
      </c>
      <c r="D355" t="s">
        <v>76</v>
      </c>
      <c r="E355" t="s">
        <v>24</v>
      </c>
      <c r="F355" t="s">
        <v>28</v>
      </c>
      <c r="G355" t="s">
        <v>34</v>
      </c>
      <c r="H355" t="s">
        <v>29</v>
      </c>
      <c r="I355">
        <v>1224</v>
      </c>
      <c r="J355">
        <v>7</v>
      </c>
      <c r="K355">
        <v>0.19</v>
      </c>
      <c r="L355">
        <v>210</v>
      </c>
      <c r="M355" t="s">
        <v>31</v>
      </c>
      <c r="N355">
        <v>6940.08</v>
      </c>
      <c r="O355" t="str">
        <f>TEXT(SalesData[[#This Row],[Order_Date]],"mmm")</f>
        <v>Dec</v>
      </c>
      <c r="P355">
        <f>YEAR(SalesData[[#This Row],[Order_Date]])</f>
        <v>2024</v>
      </c>
      <c r="Q355" t="str">
        <f>"Q"&amp;ROUNDUP(MONTH(SalesData[[#This Row],[Order_Date]])/3,0)</f>
        <v>Q4</v>
      </c>
      <c r="R355" s="2">
        <f>IFERROR(SalesData[[#This Row],[Profit]]/SalesData[[#This Row],[Sales]],0)</f>
        <v>3.0259017187121762E-2</v>
      </c>
      <c r="S355" s="2">
        <f>SalesData[[#This Row],[Price]]*SalesData[[#This Row],[Quantity]]*SalesData[[#This Row],[Discount]]</f>
        <v>1627.92</v>
      </c>
      <c r="T355" s="2" t="str">
        <f>IF(SalesData[[#This Row],[Sales]]&gt;5000,"High",IF(SalesData[[#This Row],[Sales]]&gt;2000,"Medium","Low"))</f>
        <v>High</v>
      </c>
      <c r="U355" s="2" t="str">
        <f>IF(COUNTIFS(SalesData[Customer_ID],SalesData[[#This Row],[Customer_ID]])&gt;1,"Repeat","New")</f>
        <v>Repeat</v>
      </c>
      <c r="V355" s="2" t="str">
        <f>IF(SalesData[[#This Row],[Sales]]&gt;AVERAGE(SalesData[Sales]),"Above Avg","Below Avg")</f>
        <v>Below Avg</v>
      </c>
      <c r="W355" s="2" t="str">
        <f>IF(SalesData[[#This Row],[Profit]]&gt;0,"Profit","Loss")</f>
        <v>Profit</v>
      </c>
      <c r="X355" s="2">
        <f>RANK(SalesData[[#This Row],[Sales]],SalesData[Sales])</f>
        <v>275</v>
      </c>
    </row>
    <row r="356" spans="1:24" x14ac:dyDescent="0.3">
      <c r="A356">
        <v>355</v>
      </c>
      <c r="B356" s="1">
        <v>45646</v>
      </c>
      <c r="C356">
        <v>1061</v>
      </c>
      <c r="D356" t="s">
        <v>104</v>
      </c>
      <c r="E356" t="s">
        <v>15</v>
      </c>
      <c r="F356" t="s">
        <v>33</v>
      </c>
      <c r="G356" t="s">
        <v>22</v>
      </c>
      <c r="H356" t="s">
        <v>29</v>
      </c>
      <c r="I356">
        <v>673</v>
      </c>
      <c r="J356">
        <v>9</v>
      </c>
      <c r="K356">
        <v>0.23</v>
      </c>
      <c r="L356">
        <v>944</v>
      </c>
      <c r="M356" t="s">
        <v>19</v>
      </c>
      <c r="N356">
        <v>4663.8900000000003</v>
      </c>
      <c r="O356" t="str">
        <f>TEXT(SalesData[[#This Row],[Order_Date]],"mmm")</f>
        <v>Dec</v>
      </c>
      <c r="P356">
        <f>YEAR(SalesData[[#This Row],[Order_Date]])</f>
        <v>2024</v>
      </c>
      <c r="Q356" t="str">
        <f>"Q"&amp;ROUNDUP(MONTH(SalesData[[#This Row],[Order_Date]])/3,0)</f>
        <v>Q4</v>
      </c>
      <c r="R356" s="2">
        <f>IFERROR(SalesData[[#This Row],[Profit]]/SalesData[[#This Row],[Sales]],0)</f>
        <v>0.20240614594255008</v>
      </c>
      <c r="S356" s="2">
        <f>SalesData[[#This Row],[Price]]*SalesData[[#This Row],[Quantity]]*SalesData[[#This Row],[Discount]]</f>
        <v>1393.1100000000001</v>
      </c>
      <c r="T356" s="2" t="str">
        <f>IF(SalesData[[#This Row],[Sales]]&gt;5000,"High",IF(SalesData[[#This Row],[Sales]]&gt;2000,"Medium","Low"))</f>
        <v>Medium</v>
      </c>
      <c r="U356" s="2" t="str">
        <f>IF(COUNTIFS(SalesData[Customer_ID],SalesData[[#This Row],[Customer_ID]])&gt;1,"Repeat","New")</f>
        <v>Repeat</v>
      </c>
      <c r="V356" s="2" t="str">
        <f>IF(SalesData[[#This Row],[Sales]]&gt;AVERAGE(SalesData[Sales]),"Above Avg","Below Avg")</f>
        <v>Below Avg</v>
      </c>
      <c r="W356" s="2" t="str">
        <f>IF(SalesData[[#This Row],[Profit]]&gt;0,"Profit","Loss")</f>
        <v>Profit</v>
      </c>
      <c r="X356" s="2">
        <f>RANK(SalesData[[#This Row],[Sales]],SalesData[Sales])</f>
        <v>332</v>
      </c>
    </row>
    <row r="357" spans="1:24" x14ac:dyDescent="0.3">
      <c r="A357">
        <v>356</v>
      </c>
      <c r="B357" s="1">
        <v>45647</v>
      </c>
      <c r="C357">
        <v>1081</v>
      </c>
      <c r="D357" t="s">
        <v>199</v>
      </c>
      <c r="E357" t="s">
        <v>24</v>
      </c>
      <c r="F357" t="s">
        <v>21</v>
      </c>
      <c r="G357" t="s">
        <v>34</v>
      </c>
      <c r="H357" t="s">
        <v>18</v>
      </c>
      <c r="I357">
        <v>4179</v>
      </c>
      <c r="J357">
        <v>7</v>
      </c>
      <c r="K357">
        <v>0.23</v>
      </c>
      <c r="L357">
        <v>-144</v>
      </c>
      <c r="M357" t="s">
        <v>19</v>
      </c>
      <c r="N357">
        <v>22524.81</v>
      </c>
      <c r="O357" t="str">
        <f>TEXT(SalesData[[#This Row],[Order_Date]],"mmm")</f>
        <v>Dec</v>
      </c>
      <c r="P357">
        <f>YEAR(SalesData[[#This Row],[Order_Date]])</f>
        <v>2024</v>
      </c>
      <c r="Q357" t="str">
        <f>"Q"&amp;ROUNDUP(MONTH(SalesData[[#This Row],[Order_Date]])/3,0)</f>
        <v>Q4</v>
      </c>
      <c r="R357" s="2">
        <f>IFERROR(SalesData[[#This Row],[Profit]]/SalesData[[#This Row],[Sales]],0)</f>
        <v>-6.3929507063544598E-3</v>
      </c>
      <c r="S357" s="2">
        <f>SalesData[[#This Row],[Price]]*SalesData[[#This Row],[Quantity]]*SalesData[[#This Row],[Discount]]</f>
        <v>6728.1900000000005</v>
      </c>
      <c r="T357" s="2" t="str">
        <f>IF(SalesData[[#This Row],[Sales]]&gt;5000,"High",IF(SalesData[[#This Row],[Sales]]&gt;2000,"Medium","Low"))</f>
        <v>High</v>
      </c>
      <c r="U357" s="2" t="str">
        <f>IF(COUNTIFS(SalesData[Customer_ID],SalesData[[#This Row],[Customer_ID]])&gt;1,"Repeat","New")</f>
        <v>Repeat</v>
      </c>
      <c r="V357" s="2" t="str">
        <f>IF(SalesData[[#This Row],[Sales]]&gt;AVERAGE(SalesData[Sales]),"Above Avg","Below Avg")</f>
        <v>Above Avg</v>
      </c>
      <c r="W357" s="2" t="str">
        <f>IF(SalesData[[#This Row],[Profit]]&gt;0,"Profit","Loss")</f>
        <v>Loss</v>
      </c>
      <c r="X357" s="2">
        <f>RANK(SalesData[[#This Row],[Sales]],SalesData[Sales])</f>
        <v>62</v>
      </c>
    </row>
    <row r="358" spans="1:24" x14ac:dyDescent="0.3">
      <c r="A358">
        <v>357</v>
      </c>
      <c r="B358" s="1">
        <v>45648</v>
      </c>
      <c r="C358">
        <v>1037</v>
      </c>
      <c r="D358" t="s">
        <v>131</v>
      </c>
      <c r="E358" t="s">
        <v>15</v>
      </c>
      <c r="F358" t="s">
        <v>28</v>
      </c>
      <c r="G358" t="s">
        <v>22</v>
      </c>
      <c r="H358" t="s">
        <v>37</v>
      </c>
      <c r="I358">
        <v>928</v>
      </c>
      <c r="J358">
        <v>4</v>
      </c>
      <c r="K358">
        <v>0.03</v>
      </c>
      <c r="L358">
        <v>182</v>
      </c>
      <c r="M358" t="s">
        <v>26</v>
      </c>
      <c r="N358">
        <v>3600.64</v>
      </c>
      <c r="O358" t="str">
        <f>TEXT(SalesData[[#This Row],[Order_Date]],"mmm")</f>
        <v>Dec</v>
      </c>
      <c r="P358">
        <f>YEAR(SalesData[[#This Row],[Order_Date]])</f>
        <v>2024</v>
      </c>
      <c r="Q358" t="str">
        <f>"Q"&amp;ROUNDUP(MONTH(SalesData[[#This Row],[Order_Date]])/3,0)</f>
        <v>Q4</v>
      </c>
      <c r="R358" s="2">
        <f>IFERROR(SalesData[[#This Row],[Profit]]/SalesData[[#This Row],[Sales]],0)</f>
        <v>5.0546569498755779E-2</v>
      </c>
      <c r="S358" s="2">
        <f>SalesData[[#This Row],[Price]]*SalesData[[#This Row],[Quantity]]*SalesData[[#This Row],[Discount]]</f>
        <v>111.36</v>
      </c>
      <c r="T358" s="2" t="str">
        <f>IF(SalesData[[#This Row],[Sales]]&gt;5000,"High",IF(SalesData[[#This Row],[Sales]]&gt;2000,"Medium","Low"))</f>
        <v>Medium</v>
      </c>
      <c r="U358" s="2" t="str">
        <f>IF(COUNTIFS(SalesData[Customer_ID],SalesData[[#This Row],[Customer_ID]])&gt;1,"Repeat","New")</f>
        <v>Repeat</v>
      </c>
      <c r="V358" s="2" t="str">
        <f>IF(SalesData[[#This Row],[Sales]]&gt;AVERAGE(SalesData[Sales]),"Above Avg","Below Avg")</f>
        <v>Below Avg</v>
      </c>
      <c r="W358" s="2" t="str">
        <f>IF(SalesData[[#This Row],[Profit]]&gt;0,"Profit","Loss")</f>
        <v>Profit</v>
      </c>
      <c r="X358" s="2">
        <f>RANK(SalesData[[#This Row],[Sales]],SalesData[Sales])</f>
        <v>368</v>
      </c>
    </row>
    <row r="359" spans="1:24" x14ac:dyDescent="0.3">
      <c r="A359">
        <v>358</v>
      </c>
      <c r="B359" s="1">
        <v>45649</v>
      </c>
      <c r="C359">
        <v>1094</v>
      </c>
      <c r="D359" t="s">
        <v>36</v>
      </c>
      <c r="E359" t="s">
        <v>15</v>
      </c>
      <c r="F359" t="s">
        <v>33</v>
      </c>
      <c r="G359" t="s">
        <v>17</v>
      </c>
      <c r="H359" t="s">
        <v>37</v>
      </c>
      <c r="I359">
        <v>570</v>
      </c>
      <c r="J359">
        <v>8</v>
      </c>
      <c r="K359">
        <v>0.26</v>
      </c>
      <c r="L359">
        <v>1134</v>
      </c>
      <c r="M359" t="s">
        <v>19</v>
      </c>
      <c r="N359">
        <v>3374.4</v>
      </c>
      <c r="O359" t="str">
        <f>TEXT(SalesData[[#This Row],[Order_Date]],"mmm")</f>
        <v>Dec</v>
      </c>
      <c r="P359">
        <f>YEAR(SalesData[[#This Row],[Order_Date]])</f>
        <v>2024</v>
      </c>
      <c r="Q359" t="str">
        <f>"Q"&amp;ROUNDUP(MONTH(SalesData[[#This Row],[Order_Date]])/3,0)</f>
        <v>Q4</v>
      </c>
      <c r="R359" s="2">
        <f>IFERROR(SalesData[[#This Row],[Profit]]/SalesData[[#This Row],[Sales]],0)</f>
        <v>0.33605974395448079</v>
      </c>
      <c r="S359" s="2">
        <f>SalesData[[#This Row],[Price]]*SalesData[[#This Row],[Quantity]]*SalesData[[#This Row],[Discount]]</f>
        <v>1185.6000000000001</v>
      </c>
      <c r="T359" s="2" t="str">
        <f>IF(SalesData[[#This Row],[Sales]]&gt;5000,"High",IF(SalesData[[#This Row],[Sales]]&gt;2000,"Medium","Low"))</f>
        <v>Medium</v>
      </c>
      <c r="U359" s="2" t="str">
        <f>IF(COUNTIFS(SalesData[Customer_ID],SalesData[[#This Row],[Customer_ID]])&gt;1,"Repeat","New")</f>
        <v>Repeat</v>
      </c>
      <c r="V359" s="2" t="str">
        <f>IF(SalesData[[#This Row],[Sales]]&gt;AVERAGE(SalesData[Sales]),"Above Avg","Below Avg")</f>
        <v>Below Avg</v>
      </c>
      <c r="W359" s="2" t="str">
        <f>IF(SalesData[[#This Row],[Profit]]&gt;0,"Profit","Loss")</f>
        <v>Profit</v>
      </c>
      <c r="X359" s="2">
        <f>RANK(SalesData[[#This Row],[Sales]],SalesData[Sales])</f>
        <v>382</v>
      </c>
    </row>
    <row r="360" spans="1:24" x14ac:dyDescent="0.3">
      <c r="A360">
        <v>359</v>
      </c>
      <c r="B360" s="1">
        <v>45650</v>
      </c>
      <c r="C360">
        <v>1019</v>
      </c>
      <c r="D360" t="s">
        <v>91</v>
      </c>
      <c r="E360" t="s">
        <v>24</v>
      </c>
      <c r="F360" t="s">
        <v>16</v>
      </c>
      <c r="G360" t="s">
        <v>34</v>
      </c>
      <c r="H360" t="s">
        <v>29</v>
      </c>
      <c r="I360">
        <v>4250</v>
      </c>
      <c r="J360">
        <v>8</v>
      </c>
      <c r="K360">
        <v>0.03</v>
      </c>
      <c r="L360">
        <v>335</v>
      </c>
      <c r="M360" t="s">
        <v>26</v>
      </c>
      <c r="N360">
        <v>32980</v>
      </c>
      <c r="O360" t="str">
        <f>TEXT(SalesData[[#This Row],[Order_Date]],"mmm")</f>
        <v>Dec</v>
      </c>
      <c r="P360">
        <f>YEAR(SalesData[[#This Row],[Order_Date]])</f>
        <v>2024</v>
      </c>
      <c r="Q360" t="str">
        <f>"Q"&amp;ROUNDUP(MONTH(SalesData[[#This Row],[Order_Date]])/3,0)</f>
        <v>Q4</v>
      </c>
      <c r="R360" s="2">
        <f>IFERROR(SalesData[[#This Row],[Profit]]/SalesData[[#This Row],[Sales]],0)</f>
        <v>1.015767131594906E-2</v>
      </c>
      <c r="S360" s="2">
        <f>SalesData[[#This Row],[Price]]*SalesData[[#This Row],[Quantity]]*SalesData[[#This Row],[Discount]]</f>
        <v>1020</v>
      </c>
      <c r="T360" s="2" t="str">
        <f>IF(SalesData[[#This Row],[Sales]]&gt;5000,"High",IF(SalesData[[#This Row],[Sales]]&gt;2000,"Medium","Low"))</f>
        <v>High</v>
      </c>
      <c r="U360" s="2" t="str">
        <f>IF(COUNTIFS(SalesData[Customer_ID],SalesData[[#This Row],[Customer_ID]])&gt;1,"Repeat","New")</f>
        <v>Repeat</v>
      </c>
      <c r="V360" s="2" t="str">
        <f>IF(SalesData[[#This Row],[Sales]]&gt;AVERAGE(SalesData[Sales]),"Above Avg","Below Avg")</f>
        <v>Above Avg</v>
      </c>
      <c r="W360" s="2" t="str">
        <f>IF(SalesData[[#This Row],[Profit]]&gt;0,"Profit","Loss")</f>
        <v>Profit</v>
      </c>
      <c r="X360" s="2">
        <f>RANK(SalesData[[#This Row],[Sales]],SalesData[Sales])</f>
        <v>17</v>
      </c>
    </row>
    <row r="361" spans="1:24" x14ac:dyDescent="0.3">
      <c r="A361">
        <v>360</v>
      </c>
      <c r="B361" s="1">
        <v>45651</v>
      </c>
      <c r="C361">
        <v>1058</v>
      </c>
      <c r="D361" t="s">
        <v>173</v>
      </c>
      <c r="E361" t="s">
        <v>24</v>
      </c>
      <c r="F361" t="s">
        <v>33</v>
      </c>
      <c r="G361" t="s">
        <v>22</v>
      </c>
      <c r="H361" t="s">
        <v>29</v>
      </c>
      <c r="I361">
        <v>2351</v>
      </c>
      <c r="J361">
        <v>9</v>
      </c>
      <c r="K361">
        <v>0.27</v>
      </c>
      <c r="L361">
        <v>28</v>
      </c>
      <c r="M361" t="s">
        <v>31</v>
      </c>
      <c r="N361">
        <v>15446.07</v>
      </c>
      <c r="O361" t="str">
        <f>TEXT(SalesData[[#This Row],[Order_Date]],"mmm")</f>
        <v>Dec</v>
      </c>
      <c r="P361">
        <f>YEAR(SalesData[[#This Row],[Order_Date]])</f>
        <v>2024</v>
      </c>
      <c r="Q361" t="str">
        <f>"Q"&amp;ROUNDUP(MONTH(SalesData[[#This Row],[Order_Date]])/3,0)</f>
        <v>Q4</v>
      </c>
      <c r="R361" s="2">
        <f>IFERROR(SalesData[[#This Row],[Profit]]/SalesData[[#This Row],[Sales]],0)</f>
        <v>1.8127588441590645E-3</v>
      </c>
      <c r="S361" s="2">
        <f>SalesData[[#This Row],[Price]]*SalesData[[#This Row],[Quantity]]*SalesData[[#This Row],[Discount]]</f>
        <v>5712.93</v>
      </c>
      <c r="T361" s="2" t="str">
        <f>IF(SalesData[[#This Row],[Sales]]&gt;5000,"High",IF(SalesData[[#This Row],[Sales]]&gt;2000,"Medium","Low"))</f>
        <v>High</v>
      </c>
      <c r="U361" s="2" t="str">
        <f>IF(COUNTIFS(SalesData[Customer_ID],SalesData[[#This Row],[Customer_ID]])&gt;1,"Repeat","New")</f>
        <v>Repeat</v>
      </c>
      <c r="V361" s="2" t="str">
        <f>IF(SalesData[[#This Row],[Sales]]&gt;AVERAGE(SalesData[Sales]),"Above Avg","Below Avg")</f>
        <v>Above Avg</v>
      </c>
      <c r="W361" s="2" t="str">
        <f>IF(SalesData[[#This Row],[Profit]]&gt;0,"Profit","Loss")</f>
        <v>Profit</v>
      </c>
      <c r="X361" s="2">
        <f>RANK(SalesData[[#This Row],[Sales]],SalesData[Sales])</f>
        <v>135</v>
      </c>
    </row>
    <row r="362" spans="1:24" x14ac:dyDescent="0.3">
      <c r="A362">
        <v>361</v>
      </c>
      <c r="B362" s="1">
        <v>45652</v>
      </c>
      <c r="C362">
        <v>1006</v>
      </c>
      <c r="D362" t="s">
        <v>148</v>
      </c>
      <c r="E362" t="s">
        <v>24</v>
      </c>
      <c r="F362" t="s">
        <v>21</v>
      </c>
      <c r="G362" t="s">
        <v>34</v>
      </c>
      <c r="H362" t="s">
        <v>37</v>
      </c>
      <c r="I362">
        <v>4067</v>
      </c>
      <c r="J362">
        <v>6</v>
      </c>
      <c r="K362">
        <v>0.28999999999999998</v>
      </c>
      <c r="L362">
        <v>1213</v>
      </c>
      <c r="M362" t="s">
        <v>19</v>
      </c>
      <c r="N362">
        <v>17325.419999999998</v>
      </c>
      <c r="O362" t="str">
        <f>TEXT(SalesData[[#This Row],[Order_Date]],"mmm")</f>
        <v>Dec</v>
      </c>
      <c r="P362">
        <f>YEAR(SalesData[[#This Row],[Order_Date]])</f>
        <v>2024</v>
      </c>
      <c r="Q362" t="str">
        <f>"Q"&amp;ROUNDUP(MONTH(SalesData[[#This Row],[Order_Date]])/3,0)</f>
        <v>Q4</v>
      </c>
      <c r="R362" s="2">
        <f>IFERROR(SalesData[[#This Row],[Profit]]/SalesData[[#This Row],[Sales]],0)</f>
        <v>7.0012732736060665E-2</v>
      </c>
      <c r="S362" s="2">
        <f>SalesData[[#This Row],[Price]]*SalesData[[#This Row],[Quantity]]*SalesData[[#This Row],[Discount]]</f>
        <v>7076.58</v>
      </c>
      <c r="T362" s="2" t="str">
        <f>IF(SalesData[[#This Row],[Sales]]&gt;5000,"High",IF(SalesData[[#This Row],[Sales]]&gt;2000,"Medium","Low"))</f>
        <v>High</v>
      </c>
      <c r="U362" s="2" t="str">
        <f>IF(COUNTIFS(SalesData[Customer_ID],SalesData[[#This Row],[Customer_ID]])&gt;1,"Repeat","New")</f>
        <v>Repeat</v>
      </c>
      <c r="V362" s="2" t="str">
        <f>IF(SalesData[[#This Row],[Sales]]&gt;AVERAGE(SalesData[Sales]),"Above Avg","Below Avg")</f>
        <v>Above Avg</v>
      </c>
      <c r="W362" s="2" t="str">
        <f>IF(SalesData[[#This Row],[Profit]]&gt;0,"Profit","Loss")</f>
        <v>Profit</v>
      </c>
      <c r="X362" s="2">
        <f>RANK(SalesData[[#This Row],[Sales]],SalesData[Sales])</f>
        <v>102</v>
      </c>
    </row>
    <row r="363" spans="1:24" x14ac:dyDescent="0.3">
      <c r="A363">
        <v>362</v>
      </c>
      <c r="B363" s="1">
        <v>45653</v>
      </c>
      <c r="C363">
        <v>1090</v>
      </c>
      <c r="D363" t="s">
        <v>145</v>
      </c>
      <c r="E363" t="s">
        <v>24</v>
      </c>
      <c r="F363" t="s">
        <v>28</v>
      </c>
      <c r="G363" t="s">
        <v>34</v>
      </c>
      <c r="H363" t="s">
        <v>25</v>
      </c>
      <c r="I363">
        <v>2732</v>
      </c>
      <c r="J363">
        <v>1</v>
      </c>
      <c r="K363">
        <v>0.18</v>
      </c>
      <c r="L363">
        <v>547</v>
      </c>
      <c r="M363" t="s">
        <v>31</v>
      </c>
      <c r="N363">
        <v>2240.2399999999998</v>
      </c>
      <c r="O363" t="str">
        <f>TEXT(SalesData[[#This Row],[Order_Date]],"mmm")</f>
        <v>Dec</v>
      </c>
      <c r="P363">
        <f>YEAR(SalesData[[#This Row],[Order_Date]])</f>
        <v>2024</v>
      </c>
      <c r="Q363" t="str">
        <f>"Q"&amp;ROUNDUP(MONTH(SalesData[[#This Row],[Order_Date]])/3,0)</f>
        <v>Q4</v>
      </c>
      <c r="R363" s="2">
        <f>IFERROR(SalesData[[#This Row],[Profit]]/SalesData[[#This Row],[Sales]],0)</f>
        <v>0.24417026747134238</v>
      </c>
      <c r="S363" s="2">
        <f>SalesData[[#This Row],[Price]]*SalesData[[#This Row],[Quantity]]*SalesData[[#This Row],[Discount]]</f>
        <v>491.76</v>
      </c>
      <c r="T363" s="2" t="str">
        <f>IF(SalesData[[#This Row],[Sales]]&gt;5000,"High",IF(SalesData[[#This Row],[Sales]]&gt;2000,"Medium","Low"))</f>
        <v>Medium</v>
      </c>
      <c r="U363" s="2" t="str">
        <f>IF(COUNTIFS(SalesData[Customer_ID],SalesData[[#This Row],[Customer_ID]])&gt;1,"Repeat","New")</f>
        <v>Repeat</v>
      </c>
      <c r="V363" s="2" t="str">
        <f>IF(SalesData[[#This Row],[Sales]]&gt;AVERAGE(SalesData[Sales]),"Above Avg","Below Avg")</f>
        <v>Below Avg</v>
      </c>
      <c r="W363" s="2" t="str">
        <f>IF(SalesData[[#This Row],[Profit]]&gt;0,"Profit","Loss")</f>
        <v>Profit</v>
      </c>
      <c r="X363" s="2">
        <f>RANK(SalesData[[#This Row],[Sales]],SalesData[Sales])</f>
        <v>418</v>
      </c>
    </row>
    <row r="364" spans="1:24" x14ac:dyDescent="0.3">
      <c r="A364">
        <v>363</v>
      </c>
      <c r="B364" s="1">
        <v>45654</v>
      </c>
      <c r="C364">
        <v>1071</v>
      </c>
      <c r="D364" t="s">
        <v>192</v>
      </c>
      <c r="E364" t="s">
        <v>15</v>
      </c>
      <c r="F364" t="s">
        <v>33</v>
      </c>
      <c r="G364" t="s">
        <v>22</v>
      </c>
      <c r="H364" t="s">
        <v>29</v>
      </c>
      <c r="I364">
        <v>4332</v>
      </c>
      <c r="J364">
        <v>9</v>
      </c>
      <c r="K364">
        <v>0.21</v>
      </c>
      <c r="L364">
        <v>1493</v>
      </c>
      <c r="M364" t="s">
        <v>31</v>
      </c>
      <c r="N364">
        <v>30800.52</v>
      </c>
      <c r="O364" t="str">
        <f>TEXT(SalesData[[#This Row],[Order_Date]],"mmm")</f>
        <v>Dec</v>
      </c>
      <c r="P364">
        <f>YEAR(SalesData[[#This Row],[Order_Date]])</f>
        <v>2024</v>
      </c>
      <c r="Q364" t="str">
        <f>"Q"&amp;ROUNDUP(MONTH(SalesData[[#This Row],[Order_Date]])/3,0)</f>
        <v>Q4</v>
      </c>
      <c r="R364" s="2">
        <f>IFERROR(SalesData[[#This Row],[Profit]]/SalesData[[#This Row],[Sales]],0)</f>
        <v>4.8473207595196445E-2</v>
      </c>
      <c r="S364" s="2">
        <f>SalesData[[#This Row],[Price]]*SalesData[[#This Row],[Quantity]]*SalesData[[#This Row],[Discount]]</f>
        <v>8187.48</v>
      </c>
      <c r="T364" s="2" t="str">
        <f>IF(SalesData[[#This Row],[Sales]]&gt;5000,"High",IF(SalesData[[#This Row],[Sales]]&gt;2000,"Medium","Low"))</f>
        <v>High</v>
      </c>
      <c r="U364" s="2" t="str">
        <f>IF(COUNTIFS(SalesData[Customer_ID],SalesData[[#This Row],[Customer_ID]])&gt;1,"Repeat","New")</f>
        <v>Repeat</v>
      </c>
      <c r="V364" s="2" t="str">
        <f>IF(SalesData[[#This Row],[Sales]]&gt;AVERAGE(SalesData[Sales]),"Above Avg","Below Avg")</f>
        <v>Above Avg</v>
      </c>
      <c r="W364" s="2" t="str">
        <f>IF(SalesData[[#This Row],[Profit]]&gt;0,"Profit","Loss")</f>
        <v>Profit</v>
      </c>
      <c r="X364" s="2">
        <f>RANK(SalesData[[#This Row],[Sales]],SalesData[Sales])</f>
        <v>22</v>
      </c>
    </row>
    <row r="365" spans="1:24" x14ac:dyDescent="0.3">
      <c r="A365">
        <v>364</v>
      </c>
      <c r="B365" s="1">
        <v>45655</v>
      </c>
      <c r="C365">
        <v>1077</v>
      </c>
      <c r="D365" t="s">
        <v>202</v>
      </c>
      <c r="E365" t="s">
        <v>15</v>
      </c>
      <c r="F365" t="s">
        <v>33</v>
      </c>
      <c r="G365" t="s">
        <v>17</v>
      </c>
      <c r="H365" t="s">
        <v>25</v>
      </c>
      <c r="I365">
        <v>1198</v>
      </c>
      <c r="J365">
        <v>9</v>
      </c>
      <c r="K365">
        <v>0.11</v>
      </c>
      <c r="L365">
        <v>-189</v>
      </c>
      <c r="M365" t="s">
        <v>19</v>
      </c>
      <c r="N365">
        <v>9595.98</v>
      </c>
      <c r="O365" t="str">
        <f>TEXT(SalesData[[#This Row],[Order_Date]],"mmm")</f>
        <v>Dec</v>
      </c>
      <c r="P365">
        <f>YEAR(SalesData[[#This Row],[Order_Date]])</f>
        <v>2024</v>
      </c>
      <c r="Q365" t="str">
        <f>"Q"&amp;ROUNDUP(MONTH(SalesData[[#This Row],[Order_Date]])/3,0)</f>
        <v>Q4</v>
      </c>
      <c r="R365" s="2">
        <f>IFERROR(SalesData[[#This Row],[Profit]]/SalesData[[#This Row],[Sales]],0)</f>
        <v>-1.9695747594305115E-2</v>
      </c>
      <c r="S365" s="2">
        <f>SalesData[[#This Row],[Price]]*SalesData[[#This Row],[Quantity]]*SalesData[[#This Row],[Discount]]</f>
        <v>1186.02</v>
      </c>
      <c r="T365" s="2" t="str">
        <f>IF(SalesData[[#This Row],[Sales]]&gt;5000,"High",IF(SalesData[[#This Row],[Sales]]&gt;2000,"Medium","Low"))</f>
        <v>High</v>
      </c>
      <c r="U365" s="2" t="str">
        <f>IF(COUNTIFS(SalesData[Customer_ID],SalesData[[#This Row],[Customer_ID]])&gt;1,"Repeat","New")</f>
        <v>Repeat</v>
      </c>
      <c r="V365" s="2" t="str">
        <f>IF(SalesData[[#This Row],[Sales]]&gt;AVERAGE(SalesData[Sales]),"Above Avg","Below Avg")</f>
        <v>Below Avg</v>
      </c>
      <c r="W365" s="2" t="str">
        <f>IF(SalesData[[#This Row],[Profit]]&gt;0,"Profit","Loss")</f>
        <v>Loss</v>
      </c>
      <c r="X365" s="2">
        <f>RANK(SalesData[[#This Row],[Sales]],SalesData[Sales])</f>
        <v>212</v>
      </c>
    </row>
    <row r="366" spans="1:24" x14ac:dyDescent="0.3">
      <c r="A366">
        <v>365</v>
      </c>
      <c r="B366" s="1">
        <v>45656</v>
      </c>
      <c r="C366">
        <v>1078</v>
      </c>
      <c r="D366" t="s">
        <v>83</v>
      </c>
      <c r="E366" t="s">
        <v>15</v>
      </c>
      <c r="F366" t="s">
        <v>33</v>
      </c>
      <c r="G366" t="s">
        <v>34</v>
      </c>
      <c r="H366" t="s">
        <v>37</v>
      </c>
      <c r="I366">
        <v>3189</v>
      </c>
      <c r="J366">
        <v>1</v>
      </c>
      <c r="K366">
        <v>0.17</v>
      </c>
      <c r="L366">
        <v>159</v>
      </c>
      <c r="M366" t="s">
        <v>19</v>
      </c>
      <c r="N366">
        <v>2646.87</v>
      </c>
      <c r="O366" t="str">
        <f>TEXT(SalesData[[#This Row],[Order_Date]],"mmm")</f>
        <v>Dec</v>
      </c>
      <c r="P366">
        <f>YEAR(SalesData[[#This Row],[Order_Date]])</f>
        <v>2024</v>
      </c>
      <c r="Q366" t="str">
        <f>"Q"&amp;ROUNDUP(MONTH(SalesData[[#This Row],[Order_Date]])/3,0)</f>
        <v>Q4</v>
      </c>
      <c r="R366" s="2">
        <f>IFERROR(SalesData[[#This Row],[Profit]]/SalesData[[#This Row],[Sales]],0)</f>
        <v>6.0070951727889926E-2</v>
      </c>
      <c r="S366" s="2">
        <f>SalesData[[#This Row],[Price]]*SalesData[[#This Row],[Quantity]]*SalesData[[#This Row],[Discount]]</f>
        <v>542.13</v>
      </c>
      <c r="T366" s="2" t="str">
        <f>IF(SalesData[[#This Row],[Sales]]&gt;5000,"High",IF(SalesData[[#This Row],[Sales]]&gt;2000,"Medium","Low"))</f>
        <v>Medium</v>
      </c>
      <c r="U366" s="2" t="str">
        <f>IF(COUNTIFS(SalesData[Customer_ID],SalesData[[#This Row],[Customer_ID]])&gt;1,"Repeat","New")</f>
        <v>Repeat</v>
      </c>
      <c r="V366" s="2" t="str">
        <f>IF(SalesData[[#This Row],[Sales]]&gt;AVERAGE(SalesData[Sales]),"Above Avg","Below Avg")</f>
        <v>Below Avg</v>
      </c>
      <c r="W366" s="2" t="str">
        <f>IF(SalesData[[#This Row],[Profit]]&gt;0,"Profit","Loss")</f>
        <v>Profit</v>
      </c>
      <c r="X366" s="2">
        <f>RANK(SalesData[[#This Row],[Sales]],SalesData[Sales])</f>
        <v>407</v>
      </c>
    </row>
    <row r="367" spans="1:24" x14ac:dyDescent="0.3">
      <c r="A367">
        <v>366</v>
      </c>
      <c r="B367" s="1">
        <v>45657</v>
      </c>
      <c r="C367">
        <v>1070</v>
      </c>
      <c r="D367" t="s">
        <v>183</v>
      </c>
      <c r="E367" t="s">
        <v>24</v>
      </c>
      <c r="F367" t="s">
        <v>28</v>
      </c>
      <c r="G367" t="s">
        <v>22</v>
      </c>
      <c r="H367" t="s">
        <v>37</v>
      </c>
      <c r="I367">
        <v>531</v>
      </c>
      <c r="J367">
        <v>9</v>
      </c>
      <c r="K367">
        <v>0.25</v>
      </c>
      <c r="L367">
        <v>1369</v>
      </c>
      <c r="M367" t="s">
        <v>31</v>
      </c>
      <c r="N367">
        <v>3584.25</v>
      </c>
      <c r="O367" t="str">
        <f>TEXT(SalesData[[#This Row],[Order_Date]],"mmm")</f>
        <v>Dec</v>
      </c>
      <c r="P367">
        <f>YEAR(SalesData[[#This Row],[Order_Date]])</f>
        <v>2024</v>
      </c>
      <c r="Q367" t="str">
        <f>"Q"&amp;ROUNDUP(MONTH(SalesData[[#This Row],[Order_Date]])/3,0)</f>
        <v>Q4</v>
      </c>
      <c r="R367" s="2">
        <f>IFERROR(SalesData[[#This Row],[Profit]]/SalesData[[#This Row],[Sales]],0)</f>
        <v>0.38194880379437818</v>
      </c>
      <c r="S367" s="2">
        <f>SalesData[[#This Row],[Price]]*SalesData[[#This Row],[Quantity]]*SalesData[[#This Row],[Discount]]</f>
        <v>1194.75</v>
      </c>
      <c r="T367" s="2" t="str">
        <f>IF(SalesData[[#This Row],[Sales]]&gt;5000,"High",IF(SalesData[[#This Row],[Sales]]&gt;2000,"Medium","Low"))</f>
        <v>Medium</v>
      </c>
      <c r="U367" s="2" t="str">
        <f>IF(COUNTIFS(SalesData[Customer_ID],SalesData[[#This Row],[Customer_ID]])&gt;1,"Repeat","New")</f>
        <v>Repeat</v>
      </c>
      <c r="V367" s="2" t="str">
        <f>IF(SalesData[[#This Row],[Sales]]&gt;AVERAGE(SalesData[Sales]),"Above Avg","Below Avg")</f>
        <v>Below Avg</v>
      </c>
      <c r="W367" s="2" t="str">
        <f>IF(SalesData[[#This Row],[Profit]]&gt;0,"Profit","Loss")</f>
        <v>Profit</v>
      </c>
      <c r="X367" s="2">
        <f>RANK(SalesData[[#This Row],[Sales]],SalesData[Sales])</f>
        <v>371</v>
      </c>
    </row>
    <row r="368" spans="1:24" x14ac:dyDescent="0.3">
      <c r="A368">
        <v>367</v>
      </c>
      <c r="B368" s="1">
        <v>45658</v>
      </c>
      <c r="C368">
        <v>1096</v>
      </c>
      <c r="D368" t="s">
        <v>58</v>
      </c>
      <c r="E368" t="s">
        <v>24</v>
      </c>
      <c r="F368" t="s">
        <v>33</v>
      </c>
      <c r="G368" t="s">
        <v>17</v>
      </c>
      <c r="H368" t="s">
        <v>25</v>
      </c>
      <c r="I368">
        <v>1333</v>
      </c>
      <c r="J368">
        <v>1</v>
      </c>
      <c r="K368">
        <v>0.05</v>
      </c>
      <c r="L368">
        <v>-123</v>
      </c>
      <c r="M368" t="s">
        <v>19</v>
      </c>
      <c r="N368">
        <v>1266.3499999999999</v>
      </c>
      <c r="O368" t="str">
        <f>TEXT(SalesData[[#This Row],[Order_Date]],"mmm")</f>
        <v>Jan</v>
      </c>
      <c r="P368">
        <f>YEAR(SalesData[[#This Row],[Order_Date]])</f>
        <v>2025</v>
      </c>
      <c r="Q368" t="str">
        <f>"Q"&amp;ROUNDUP(MONTH(SalesData[[#This Row],[Order_Date]])/3,0)</f>
        <v>Q1</v>
      </c>
      <c r="R368" s="2">
        <f>IFERROR(SalesData[[#This Row],[Profit]]/SalesData[[#This Row],[Sales]],0)</f>
        <v>-9.7129545544280813E-2</v>
      </c>
      <c r="S368" s="2">
        <f>SalesData[[#This Row],[Price]]*SalesData[[#This Row],[Quantity]]*SalesData[[#This Row],[Discount]]</f>
        <v>66.650000000000006</v>
      </c>
      <c r="T368" s="2" t="str">
        <f>IF(SalesData[[#This Row],[Sales]]&gt;5000,"High",IF(SalesData[[#This Row],[Sales]]&gt;2000,"Medium","Low"))</f>
        <v>Low</v>
      </c>
      <c r="U368" s="2" t="str">
        <f>IF(COUNTIFS(SalesData[Customer_ID],SalesData[[#This Row],[Customer_ID]])&gt;1,"Repeat","New")</f>
        <v>Repeat</v>
      </c>
      <c r="V368" s="2" t="str">
        <f>IF(SalesData[[#This Row],[Sales]]&gt;AVERAGE(SalesData[Sales]),"Above Avg","Below Avg")</f>
        <v>Below Avg</v>
      </c>
      <c r="W368" s="2" t="str">
        <f>IF(SalesData[[#This Row],[Profit]]&gt;0,"Profit","Loss")</f>
        <v>Loss</v>
      </c>
      <c r="X368" s="2">
        <f>RANK(SalesData[[#This Row],[Sales]],SalesData[Sales])</f>
        <v>466</v>
      </c>
    </row>
    <row r="369" spans="1:24" x14ac:dyDescent="0.3">
      <c r="A369">
        <v>368</v>
      </c>
      <c r="B369" s="1">
        <v>45659</v>
      </c>
      <c r="C369">
        <v>1051</v>
      </c>
      <c r="D369" t="s">
        <v>46</v>
      </c>
      <c r="E369" t="s">
        <v>15</v>
      </c>
      <c r="F369" t="s">
        <v>21</v>
      </c>
      <c r="G369" t="s">
        <v>22</v>
      </c>
      <c r="H369" t="s">
        <v>25</v>
      </c>
      <c r="I369">
        <v>1629</v>
      </c>
      <c r="J369">
        <v>2</v>
      </c>
      <c r="K369">
        <v>0.15</v>
      </c>
      <c r="L369">
        <v>-281</v>
      </c>
      <c r="M369" t="s">
        <v>26</v>
      </c>
      <c r="N369">
        <v>2769.2999999999902</v>
      </c>
      <c r="O369" t="str">
        <f>TEXT(SalesData[[#This Row],[Order_Date]],"mmm")</f>
        <v>Jan</v>
      </c>
      <c r="P369">
        <f>YEAR(SalesData[[#This Row],[Order_Date]])</f>
        <v>2025</v>
      </c>
      <c r="Q369" t="str">
        <f>"Q"&amp;ROUNDUP(MONTH(SalesData[[#This Row],[Order_Date]])/3,0)</f>
        <v>Q1</v>
      </c>
      <c r="R369" s="2">
        <f>IFERROR(SalesData[[#This Row],[Profit]]/SalesData[[#This Row],[Sales]],0)</f>
        <v>-0.10146968548008559</v>
      </c>
      <c r="S369" s="2">
        <f>SalesData[[#This Row],[Price]]*SalesData[[#This Row],[Quantity]]*SalesData[[#This Row],[Discount]]</f>
        <v>488.7</v>
      </c>
      <c r="T369" s="2" t="str">
        <f>IF(SalesData[[#This Row],[Sales]]&gt;5000,"High",IF(SalesData[[#This Row],[Sales]]&gt;2000,"Medium","Low"))</f>
        <v>Medium</v>
      </c>
      <c r="U369" s="2" t="str">
        <f>IF(COUNTIFS(SalesData[Customer_ID],SalesData[[#This Row],[Customer_ID]])&gt;1,"Repeat","New")</f>
        <v>Repeat</v>
      </c>
      <c r="V369" s="2" t="str">
        <f>IF(SalesData[[#This Row],[Sales]]&gt;AVERAGE(SalesData[Sales]),"Above Avg","Below Avg")</f>
        <v>Below Avg</v>
      </c>
      <c r="W369" s="2" t="str">
        <f>IF(SalesData[[#This Row],[Profit]]&gt;0,"Profit","Loss")</f>
        <v>Loss</v>
      </c>
      <c r="X369" s="2">
        <f>RANK(SalesData[[#This Row],[Sales]],SalesData[Sales])</f>
        <v>400</v>
      </c>
    </row>
    <row r="370" spans="1:24" x14ac:dyDescent="0.3">
      <c r="A370">
        <v>369</v>
      </c>
      <c r="B370" s="1">
        <v>45660</v>
      </c>
      <c r="C370">
        <v>1097</v>
      </c>
      <c r="D370" t="s">
        <v>124</v>
      </c>
      <c r="E370" t="s">
        <v>24</v>
      </c>
      <c r="F370" t="s">
        <v>21</v>
      </c>
      <c r="G370" t="s">
        <v>22</v>
      </c>
      <c r="H370" t="s">
        <v>37</v>
      </c>
      <c r="I370">
        <v>4451</v>
      </c>
      <c r="J370">
        <v>6</v>
      </c>
      <c r="K370">
        <v>0.12</v>
      </c>
      <c r="L370">
        <v>978</v>
      </c>
      <c r="M370" t="s">
        <v>19</v>
      </c>
      <c r="N370">
        <v>23501.279999999999</v>
      </c>
      <c r="O370" t="str">
        <f>TEXT(SalesData[[#This Row],[Order_Date]],"mmm")</f>
        <v>Jan</v>
      </c>
      <c r="P370">
        <f>YEAR(SalesData[[#This Row],[Order_Date]])</f>
        <v>2025</v>
      </c>
      <c r="Q370" t="str">
        <f>"Q"&amp;ROUNDUP(MONTH(SalesData[[#This Row],[Order_Date]])/3,0)</f>
        <v>Q1</v>
      </c>
      <c r="R370" s="2">
        <f>IFERROR(SalesData[[#This Row],[Profit]]/SalesData[[#This Row],[Sales]],0)</f>
        <v>4.1614754600600483E-2</v>
      </c>
      <c r="S370" s="2">
        <f>SalesData[[#This Row],[Price]]*SalesData[[#This Row],[Quantity]]*SalesData[[#This Row],[Discount]]</f>
        <v>3204.72</v>
      </c>
      <c r="T370" s="2" t="str">
        <f>IF(SalesData[[#This Row],[Sales]]&gt;5000,"High",IF(SalesData[[#This Row],[Sales]]&gt;2000,"Medium","Low"))</f>
        <v>High</v>
      </c>
      <c r="U370" s="2" t="str">
        <f>IF(COUNTIFS(SalesData[Customer_ID],SalesData[[#This Row],[Customer_ID]])&gt;1,"Repeat","New")</f>
        <v>Repeat</v>
      </c>
      <c r="V370" s="2" t="str">
        <f>IF(SalesData[[#This Row],[Sales]]&gt;AVERAGE(SalesData[Sales]),"Above Avg","Below Avg")</f>
        <v>Above Avg</v>
      </c>
      <c r="W370" s="2" t="str">
        <f>IF(SalesData[[#This Row],[Profit]]&gt;0,"Profit","Loss")</f>
        <v>Profit</v>
      </c>
      <c r="X370" s="2">
        <f>RANK(SalesData[[#This Row],[Sales]],SalesData[Sales])</f>
        <v>57</v>
      </c>
    </row>
    <row r="371" spans="1:24" x14ac:dyDescent="0.3">
      <c r="A371">
        <v>370</v>
      </c>
      <c r="B371" s="1">
        <v>45661</v>
      </c>
      <c r="C371">
        <v>1003</v>
      </c>
      <c r="D371" t="s">
        <v>178</v>
      </c>
      <c r="E371" t="s">
        <v>15</v>
      </c>
      <c r="F371" t="s">
        <v>16</v>
      </c>
      <c r="G371" t="s">
        <v>34</v>
      </c>
      <c r="H371" t="s">
        <v>25</v>
      </c>
      <c r="I371">
        <v>1480</v>
      </c>
      <c r="J371">
        <v>7</v>
      </c>
      <c r="K371">
        <v>0.26</v>
      </c>
      <c r="L371">
        <v>1989</v>
      </c>
      <c r="M371" t="s">
        <v>19</v>
      </c>
      <c r="N371">
        <v>7666.4</v>
      </c>
      <c r="O371" t="str">
        <f>TEXT(SalesData[[#This Row],[Order_Date]],"mmm")</f>
        <v>Jan</v>
      </c>
      <c r="P371">
        <f>YEAR(SalesData[[#This Row],[Order_Date]])</f>
        <v>2025</v>
      </c>
      <c r="Q371" t="str">
        <f>"Q"&amp;ROUNDUP(MONTH(SalesData[[#This Row],[Order_Date]])/3,0)</f>
        <v>Q1</v>
      </c>
      <c r="R371" s="2">
        <f>IFERROR(SalesData[[#This Row],[Profit]]/SalesData[[#This Row],[Sales]],0)</f>
        <v>0.25944380674110407</v>
      </c>
      <c r="S371" s="2">
        <f>SalesData[[#This Row],[Price]]*SalesData[[#This Row],[Quantity]]*SalesData[[#This Row],[Discount]]</f>
        <v>2693.6</v>
      </c>
      <c r="T371" s="2" t="str">
        <f>IF(SalesData[[#This Row],[Sales]]&gt;5000,"High",IF(SalesData[[#This Row],[Sales]]&gt;2000,"Medium","Low"))</f>
        <v>High</v>
      </c>
      <c r="U371" s="2" t="str">
        <f>IF(COUNTIFS(SalesData[Customer_ID],SalesData[[#This Row],[Customer_ID]])&gt;1,"Repeat","New")</f>
        <v>Repeat</v>
      </c>
      <c r="V371" s="2" t="str">
        <f>IF(SalesData[[#This Row],[Sales]]&gt;AVERAGE(SalesData[Sales]),"Above Avg","Below Avg")</f>
        <v>Below Avg</v>
      </c>
      <c r="W371" s="2" t="str">
        <f>IF(SalesData[[#This Row],[Profit]]&gt;0,"Profit","Loss")</f>
        <v>Profit</v>
      </c>
      <c r="X371" s="2">
        <f>RANK(SalesData[[#This Row],[Sales]],SalesData[Sales])</f>
        <v>261</v>
      </c>
    </row>
    <row r="372" spans="1:24" x14ac:dyDescent="0.3">
      <c r="A372">
        <v>371</v>
      </c>
      <c r="B372" s="1">
        <v>45662</v>
      </c>
      <c r="C372">
        <v>1000</v>
      </c>
      <c r="D372" t="s">
        <v>120</v>
      </c>
      <c r="E372" t="s">
        <v>24</v>
      </c>
      <c r="F372" t="s">
        <v>16</v>
      </c>
      <c r="G372" t="s">
        <v>22</v>
      </c>
      <c r="H372" t="s">
        <v>37</v>
      </c>
      <c r="I372">
        <v>241</v>
      </c>
      <c r="J372">
        <v>7</v>
      </c>
      <c r="K372">
        <v>0.04</v>
      </c>
      <c r="L372">
        <v>967</v>
      </c>
      <c r="M372" t="s">
        <v>31</v>
      </c>
      <c r="N372">
        <v>1619.52</v>
      </c>
      <c r="O372" t="str">
        <f>TEXT(SalesData[[#This Row],[Order_Date]],"mmm")</f>
        <v>Jan</v>
      </c>
      <c r="P372">
        <f>YEAR(SalesData[[#This Row],[Order_Date]])</f>
        <v>2025</v>
      </c>
      <c r="Q372" t="str">
        <f>"Q"&amp;ROUNDUP(MONTH(SalesData[[#This Row],[Order_Date]])/3,0)</f>
        <v>Q1</v>
      </c>
      <c r="R372" s="2">
        <f>IFERROR(SalesData[[#This Row],[Profit]]/SalesData[[#This Row],[Sales]],0)</f>
        <v>0.5970904959494171</v>
      </c>
      <c r="S372" s="2">
        <f>SalesData[[#This Row],[Price]]*SalesData[[#This Row],[Quantity]]*SalesData[[#This Row],[Discount]]</f>
        <v>67.48</v>
      </c>
      <c r="T372" s="2" t="str">
        <f>IF(SalesData[[#This Row],[Sales]]&gt;5000,"High",IF(SalesData[[#This Row],[Sales]]&gt;2000,"Medium","Low"))</f>
        <v>Low</v>
      </c>
      <c r="U372" s="2" t="str">
        <f>IF(COUNTIFS(SalesData[Customer_ID],SalesData[[#This Row],[Customer_ID]])&gt;1,"Repeat","New")</f>
        <v>Repeat</v>
      </c>
      <c r="V372" s="2" t="str">
        <f>IF(SalesData[[#This Row],[Sales]]&gt;AVERAGE(SalesData[Sales]),"Above Avg","Below Avg")</f>
        <v>Below Avg</v>
      </c>
      <c r="W372" s="2" t="str">
        <f>IF(SalesData[[#This Row],[Profit]]&gt;0,"Profit","Loss")</f>
        <v>Profit</v>
      </c>
      <c r="X372" s="2">
        <f>RANK(SalesData[[#This Row],[Sales]],SalesData[Sales])</f>
        <v>452</v>
      </c>
    </row>
    <row r="373" spans="1:24" x14ac:dyDescent="0.3">
      <c r="A373">
        <v>372</v>
      </c>
      <c r="B373" s="1">
        <v>45663</v>
      </c>
      <c r="C373">
        <v>1077</v>
      </c>
      <c r="D373" t="s">
        <v>47</v>
      </c>
      <c r="E373" t="s">
        <v>24</v>
      </c>
      <c r="F373" t="s">
        <v>16</v>
      </c>
      <c r="G373" t="s">
        <v>22</v>
      </c>
      <c r="H373" t="s">
        <v>25</v>
      </c>
      <c r="I373">
        <v>1316</v>
      </c>
      <c r="J373">
        <v>6</v>
      </c>
      <c r="K373">
        <v>0.27</v>
      </c>
      <c r="L373">
        <v>-31</v>
      </c>
      <c r="M373" t="s">
        <v>31</v>
      </c>
      <c r="N373">
        <v>5764.08</v>
      </c>
      <c r="O373" t="str">
        <f>TEXT(SalesData[[#This Row],[Order_Date]],"mmm")</f>
        <v>Jan</v>
      </c>
      <c r="P373">
        <f>YEAR(SalesData[[#This Row],[Order_Date]])</f>
        <v>2025</v>
      </c>
      <c r="Q373" t="str">
        <f>"Q"&amp;ROUNDUP(MONTH(SalesData[[#This Row],[Order_Date]])/3,0)</f>
        <v>Q1</v>
      </c>
      <c r="R373" s="2">
        <f>IFERROR(SalesData[[#This Row],[Profit]]/SalesData[[#This Row],[Sales]],0)</f>
        <v>-5.3781349322008024E-3</v>
      </c>
      <c r="S373" s="2">
        <f>SalesData[[#This Row],[Price]]*SalesData[[#This Row],[Quantity]]*SalesData[[#This Row],[Discount]]</f>
        <v>2131.92</v>
      </c>
      <c r="T373" s="2" t="str">
        <f>IF(SalesData[[#This Row],[Sales]]&gt;5000,"High",IF(SalesData[[#This Row],[Sales]]&gt;2000,"Medium","Low"))</f>
        <v>High</v>
      </c>
      <c r="U373" s="2" t="str">
        <f>IF(COUNTIFS(SalesData[Customer_ID],SalesData[[#This Row],[Customer_ID]])&gt;1,"Repeat","New")</f>
        <v>Repeat</v>
      </c>
      <c r="V373" s="2" t="str">
        <f>IF(SalesData[[#This Row],[Sales]]&gt;AVERAGE(SalesData[Sales]),"Above Avg","Below Avg")</f>
        <v>Below Avg</v>
      </c>
      <c r="W373" s="2" t="str">
        <f>IF(SalesData[[#This Row],[Profit]]&gt;0,"Profit","Loss")</f>
        <v>Loss</v>
      </c>
      <c r="X373" s="2">
        <f>RANK(SalesData[[#This Row],[Sales]],SalesData[Sales])</f>
        <v>302</v>
      </c>
    </row>
    <row r="374" spans="1:24" x14ac:dyDescent="0.3">
      <c r="A374">
        <v>373</v>
      </c>
      <c r="B374" s="1">
        <v>45664</v>
      </c>
      <c r="C374">
        <v>1094</v>
      </c>
      <c r="D374" t="s">
        <v>117</v>
      </c>
      <c r="E374" t="s">
        <v>15</v>
      </c>
      <c r="F374" t="s">
        <v>28</v>
      </c>
      <c r="G374" t="s">
        <v>17</v>
      </c>
      <c r="H374" t="s">
        <v>37</v>
      </c>
      <c r="I374">
        <v>3947</v>
      </c>
      <c r="J374">
        <v>8</v>
      </c>
      <c r="K374">
        <v>0.08</v>
      </c>
      <c r="L374">
        <v>655</v>
      </c>
      <c r="M374" t="s">
        <v>31</v>
      </c>
      <c r="N374">
        <v>29049.919999999998</v>
      </c>
      <c r="O374" t="str">
        <f>TEXT(SalesData[[#This Row],[Order_Date]],"mmm")</f>
        <v>Jan</v>
      </c>
      <c r="P374">
        <f>YEAR(SalesData[[#This Row],[Order_Date]])</f>
        <v>2025</v>
      </c>
      <c r="Q374" t="str">
        <f>"Q"&amp;ROUNDUP(MONTH(SalesData[[#This Row],[Order_Date]])/3,0)</f>
        <v>Q1</v>
      </c>
      <c r="R374" s="2">
        <f>IFERROR(SalesData[[#This Row],[Profit]]/SalesData[[#This Row],[Sales]],0)</f>
        <v>2.2547394278538462E-2</v>
      </c>
      <c r="S374" s="2">
        <f>SalesData[[#This Row],[Price]]*SalesData[[#This Row],[Quantity]]*SalesData[[#This Row],[Discount]]</f>
        <v>2526.08</v>
      </c>
      <c r="T374" s="2" t="str">
        <f>IF(SalesData[[#This Row],[Sales]]&gt;5000,"High",IF(SalesData[[#This Row],[Sales]]&gt;2000,"Medium","Low"))</f>
        <v>High</v>
      </c>
      <c r="U374" s="2" t="str">
        <f>IF(COUNTIFS(SalesData[Customer_ID],SalesData[[#This Row],[Customer_ID]])&gt;1,"Repeat","New")</f>
        <v>Repeat</v>
      </c>
      <c r="V374" s="2" t="str">
        <f>IF(SalesData[[#This Row],[Sales]]&gt;AVERAGE(SalesData[Sales]),"Above Avg","Below Avg")</f>
        <v>Above Avg</v>
      </c>
      <c r="W374" s="2" t="str">
        <f>IF(SalesData[[#This Row],[Profit]]&gt;0,"Profit","Loss")</f>
        <v>Profit</v>
      </c>
      <c r="X374" s="2">
        <f>RANK(SalesData[[#This Row],[Sales]],SalesData[Sales])</f>
        <v>27</v>
      </c>
    </row>
    <row r="375" spans="1:24" x14ac:dyDescent="0.3">
      <c r="A375">
        <v>374</v>
      </c>
      <c r="B375" s="1">
        <v>45665</v>
      </c>
      <c r="C375">
        <v>1037</v>
      </c>
      <c r="D375" t="s">
        <v>122</v>
      </c>
      <c r="E375" t="s">
        <v>15</v>
      </c>
      <c r="F375" t="s">
        <v>21</v>
      </c>
      <c r="G375" t="s">
        <v>34</v>
      </c>
      <c r="H375" t="s">
        <v>29</v>
      </c>
      <c r="I375">
        <v>4287</v>
      </c>
      <c r="J375">
        <v>8</v>
      </c>
      <c r="K375">
        <v>0.18</v>
      </c>
      <c r="L375">
        <v>312</v>
      </c>
      <c r="M375" t="s">
        <v>19</v>
      </c>
      <c r="N375">
        <v>28122.720000000001</v>
      </c>
      <c r="O375" t="str">
        <f>TEXT(SalesData[[#This Row],[Order_Date]],"mmm")</f>
        <v>Jan</v>
      </c>
      <c r="P375">
        <f>YEAR(SalesData[[#This Row],[Order_Date]])</f>
        <v>2025</v>
      </c>
      <c r="Q375" t="str">
        <f>"Q"&amp;ROUNDUP(MONTH(SalesData[[#This Row],[Order_Date]])/3,0)</f>
        <v>Q1</v>
      </c>
      <c r="R375" s="2">
        <f>IFERROR(SalesData[[#This Row],[Profit]]/SalesData[[#This Row],[Sales]],0)</f>
        <v>1.1094232705798016E-2</v>
      </c>
      <c r="S375" s="2">
        <f>SalesData[[#This Row],[Price]]*SalesData[[#This Row],[Quantity]]*SalesData[[#This Row],[Discount]]</f>
        <v>6173.28</v>
      </c>
      <c r="T375" s="2" t="str">
        <f>IF(SalesData[[#This Row],[Sales]]&gt;5000,"High",IF(SalesData[[#This Row],[Sales]]&gt;2000,"Medium","Low"))</f>
        <v>High</v>
      </c>
      <c r="U375" s="2" t="str">
        <f>IF(COUNTIFS(SalesData[Customer_ID],SalesData[[#This Row],[Customer_ID]])&gt;1,"Repeat","New")</f>
        <v>Repeat</v>
      </c>
      <c r="V375" s="2" t="str">
        <f>IF(SalesData[[#This Row],[Sales]]&gt;AVERAGE(SalesData[Sales]),"Above Avg","Below Avg")</f>
        <v>Above Avg</v>
      </c>
      <c r="W375" s="2" t="str">
        <f>IF(SalesData[[#This Row],[Profit]]&gt;0,"Profit","Loss")</f>
        <v>Profit</v>
      </c>
      <c r="X375" s="2">
        <f>RANK(SalesData[[#This Row],[Sales]],SalesData[Sales])</f>
        <v>30</v>
      </c>
    </row>
    <row r="376" spans="1:24" x14ac:dyDescent="0.3">
      <c r="A376">
        <v>375</v>
      </c>
      <c r="B376" s="1">
        <v>45666</v>
      </c>
      <c r="C376">
        <v>1052</v>
      </c>
      <c r="D376" t="s">
        <v>39</v>
      </c>
      <c r="E376" t="s">
        <v>24</v>
      </c>
      <c r="F376" t="s">
        <v>21</v>
      </c>
      <c r="G376" t="s">
        <v>22</v>
      </c>
      <c r="H376" t="s">
        <v>37</v>
      </c>
      <c r="I376">
        <v>1876</v>
      </c>
      <c r="J376">
        <v>1</v>
      </c>
      <c r="K376">
        <v>0.11</v>
      </c>
      <c r="L376">
        <v>486</v>
      </c>
      <c r="M376" t="s">
        <v>26</v>
      </c>
      <c r="N376">
        <v>1669.64</v>
      </c>
      <c r="O376" t="str">
        <f>TEXT(SalesData[[#This Row],[Order_Date]],"mmm")</f>
        <v>Jan</v>
      </c>
      <c r="P376">
        <f>YEAR(SalesData[[#This Row],[Order_Date]])</f>
        <v>2025</v>
      </c>
      <c r="Q376" t="str">
        <f>"Q"&amp;ROUNDUP(MONTH(SalesData[[#This Row],[Order_Date]])/3,0)</f>
        <v>Q1</v>
      </c>
      <c r="R376" s="2">
        <f>IFERROR(SalesData[[#This Row],[Profit]]/SalesData[[#This Row],[Sales]],0)</f>
        <v>0.29108071200977453</v>
      </c>
      <c r="S376" s="2">
        <f>SalesData[[#This Row],[Price]]*SalesData[[#This Row],[Quantity]]*SalesData[[#This Row],[Discount]]</f>
        <v>206.36</v>
      </c>
      <c r="T376" s="2" t="str">
        <f>IF(SalesData[[#This Row],[Sales]]&gt;5000,"High",IF(SalesData[[#This Row],[Sales]]&gt;2000,"Medium","Low"))</f>
        <v>Low</v>
      </c>
      <c r="U376" s="2" t="str">
        <f>IF(COUNTIFS(SalesData[Customer_ID],SalesData[[#This Row],[Customer_ID]])&gt;1,"Repeat","New")</f>
        <v>Repeat</v>
      </c>
      <c r="V376" s="2" t="str">
        <f>IF(SalesData[[#This Row],[Sales]]&gt;AVERAGE(SalesData[Sales]),"Above Avg","Below Avg")</f>
        <v>Below Avg</v>
      </c>
      <c r="W376" s="2" t="str">
        <f>IF(SalesData[[#This Row],[Profit]]&gt;0,"Profit","Loss")</f>
        <v>Profit</v>
      </c>
      <c r="X376" s="2">
        <f>RANK(SalesData[[#This Row],[Sales]],SalesData[Sales])</f>
        <v>448</v>
      </c>
    </row>
    <row r="377" spans="1:24" x14ac:dyDescent="0.3">
      <c r="A377">
        <v>376</v>
      </c>
      <c r="B377" s="1">
        <v>45667</v>
      </c>
      <c r="C377">
        <v>1083</v>
      </c>
      <c r="D377" t="s">
        <v>203</v>
      </c>
      <c r="E377" t="s">
        <v>24</v>
      </c>
      <c r="F377" t="s">
        <v>16</v>
      </c>
      <c r="G377" t="s">
        <v>34</v>
      </c>
      <c r="H377" t="s">
        <v>37</v>
      </c>
      <c r="I377">
        <v>3751</v>
      </c>
      <c r="J377">
        <v>9</v>
      </c>
      <c r="K377">
        <v>0.28000000000000003</v>
      </c>
      <c r="L377">
        <v>339</v>
      </c>
      <c r="M377" t="s">
        <v>31</v>
      </c>
      <c r="N377">
        <v>24306.48</v>
      </c>
      <c r="O377" t="str">
        <f>TEXT(SalesData[[#This Row],[Order_Date]],"mmm")</f>
        <v>Jan</v>
      </c>
      <c r="P377">
        <f>YEAR(SalesData[[#This Row],[Order_Date]])</f>
        <v>2025</v>
      </c>
      <c r="Q377" t="str">
        <f>"Q"&amp;ROUNDUP(MONTH(SalesData[[#This Row],[Order_Date]])/3,0)</f>
        <v>Q1</v>
      </c>
      <c r="R377" s="2">
        <f>IFERROR(SalesData[[#This Row],[Profit]]/SalesData[[#This Row],[Sales]],0)</f>
        <v>1.3946898111120985E-2</v>
      </c>
      <c r="S377" s="2">
        <f>SalesData[[#This Row],[Price]]*SalesData[[#This Row],[Quantity]]*SalesData[[#This Row],[Discount]]</f>
        <v>9452.52</v>
      </c>
      <c r="T377" s="2" t="str">
        <f>IF(SalesData[[#This Row],[Sales]]&gt;5000,"High",IF(SalesData[[#This Row],[Sales]]&gt;2000,"Medium","Low"))</f>
        <v>High</v>
      </c>
      <c r="U377" s="2" t="str">
        <f>IF(COUNTIFS(SalesData[Customer_ID],SalesData[[#This Row],[Customer_ID]])&gt;1,"Repeat","New")</f>
        <v>Repeat</v>
      </c>
      <c r="V377" s="2" t="str">
        <f>IF(SalesData[[#This Row],[Sales]]&gt;AVERAGE(SalesData[Sales]),"Above Avg","Below Avg")</f>
        <v>Above Avg</v>
      </c>
      <c r="W377" s="2" t="str">
        <f>IF(SalesData[[#This Row],[Profit]]&gt;0,"Profit","Loss")</f>
        <v>Profit</v>
      </c>
      <c r="X377" s="2">
        <f>RANK(SalesData[[#This Row],[Sales]],SalesData[Sales])</f>
        <v>49</v>
      </c>
    </row>
    <row r="378" spans="1:24" x14ac:dyDescent="0.3">
      <c r="A378">
        <v>377</v>
      </c>
      <c r="B378" s="1">
        <v>45668</v>
      </c>
      <c r="C378">
        <v>1002</v>
      </c>
      <c r="D378" t="s">
        <v>204</v>
      </c>
      <c r="E378" t="s">
        <v>15</v>
      </c>
      <c r="F378" t="s">
        <v>16</v>
      </c>
      <c r="G378" t="s">
        <v>17</v>
      </c>
      <c r="H378" t="s">
        <v>29</v>
      </c>
      <c r="I378">
        <v>2552</v>
      </c>
      <c r="J378">
        <v>4</v>
      </c>
      <c r="K378">
        <v>0.06</v>
      </c>
      <c r="L378">
        <v>-131</v>
      </c>
      <c r="M378" t="s">
        <v>19</v>
      </c>
      <c r="N378">
        <v>9595.5199999999895</v>
      </c>
      <c r="O378" t="str">
        <f>TEXT(SalesData[[#This Row],[Order_Date]],"mmm")</f>
        <v>Jan</v>
      </c>
      <c r="P378">
        <f>YEAR(SalesData[[#This Row],[Order_Date]])</f>
        <v>2025</v>
      </c>
      <c r="Q378" t="str">
        <f>"Q"&amp;ROUNDUP(MONTH(SalesData[[#This Row],[Order_Date]])/3,0)</f>
        <v>Q1</v>
      </c>
      <c r="R378" s="2">
        <f>IFERROR(SalesData[[#This Row],[Profit]]/SalesData[[#This Row],[Sales]],0)</f>
        <v>-1.3652204362035632E-2</v>
      </c>
      <c r="S378" s="2">
        <f>SalesData[[#This Row],[Price]]*SalesData[[#This Row],[Quantity]]*SalesData[[#This Row],[Discount]]</f>
        <v>612.48</v>
      </c>
      <c r="T378" s="2" t="str">
        <f>IF(SalesData[[#This Row],[Sales]]&gt;5000,"High",IF(SalesData[[#This Row],[Sales]]&gt;2000,"Medium","Low"))</f>
        <v>High</v>
      </c>
      <c r="U378" s="2" t="str">
        <f>IF(COUNTIFS(SalesData[Customer_ID],SalesData[[#This Row],[Customer_ID]])&gt;1,"Repeat","New")</f>
        <v>Repeat</v>
      </c>
      <c r="V378" s="2" t="str">
        <f>IF(SalesData[[#This Row],[Sales]]&gt;AVERAGE(SalesData[Sales]),"Above Avg","Below Avg")</f>
        <v>Below Avg</v>
      </c>
      <c r="W378" s="2" t="str">
        <f>IF(SalesData[[#This Row],[Profit]]&gt;0,"Profit","Loss")</f>
        <v>Loss</v>
      </c>
      <c r="X378" s="2">
        <f>RANK(SalesData[[#This Row],[Sales]],SalesData[Sales])</f>
        <v>213</v>
      </c>
    </row>
    <row r="379" spans="1:24" x14ac:dyDescent="0.3">
      <c r="A379">
        <v>378</v>
      </c>
      <c r="B379" s="1">
        <v>45669</v>
      </c>
      <c r="C379">
        <v>1098</v>
      </c>
      <c r="D379" t="s">
        <v>167</v>
      </c>
      <c r="E379" t="s">
        <v>24</v>
      </c>
      <c r="F379" t="s">
        <v>33</v>
      </c>
      <c r="G379" t="s">
        <v>17</v>
      </c>
      <c r="H379" t="s">
        <v>37</v>
      </c>
      <c r="I379">
        <v>817</v>
      </c>
      <c r="J379">
        <v>4</v>
      </c>
      <c r="K379">
        <v>0.15</v>
      </c>
      <c r="L379">
        <v>514</v>
      </c>
      <c r="M379" t="s">
        <v>19</v>
      </c>
      <c r="N379">
        <v>2777.7999999999902</v>
      </c>
      <c r="O379" t="str">
        <f>TEXT(SalesData[[#This Row],[Order_Date]],"mmm")</f>
        <v>Jan</v>
      </c>
      <c r="P379">
        <f>YEAR(SalesData[[#This Row],[Order_Date]])</f>
        <v>2025</v>
      </c>
      <c r="Q379" t="str">
        <f>"Q"&amp;ROUNDUP(MONTH(SalesData[[#This Row],[Order_Date]])/3,0)</f>
        <v>Q1</v>
      </c>
      <c r="R379" s="2">
        <f>IFERROR(SalesData[[#This Row],[Profit]]/SalesData[[#This Row],[Sales]],0)</f>
        <v>0.18503851969184312</v>
      </c>
      <c r="S379" s="2">
        <f>SalesData[[#This Row],[Price]]*SalesData[[#This Row],[Quantity]]*SalesData[[#This Row],[Discount]]</f>
        <v>490.2</v>
      </c>
      <c r="T379" s="2" t="str">
        <f>IF(SalesData[[#This Row],[Sales]]&gt;5000,"High",IF(SalesData[[#This Row],[Sales]]&gt;2000,"Medium","Low"))</f>
        <v>Medium</v>
      </c>
      <c r="U379" s="2" t="str">
        <f>IF(COUNTIFS(SalesData[Customer_ID],SalesData[[#This Row],[Customer_ID]])&gt;1,"Repeat","New")</f>
        <v>Repeat</v>
      </c>
      <c r="V379" s="2" t="str">
        <f>IF(SalesData[[#This Row],[Sales]]&gt;AVERAGE(SalesData[Sales]),"Above Avg","Below Avg")</f>
        <v>Below Avg</v>
      </c>
      <c r="W379" s="2" t="str">
        <f>IF(SalesData[[#This Row],[Profit]]&gt;0,"Profit","Loss")</f>
        <v>Profit</v>
      </c>
      <c r="X379" s="2">
        <f>RANK(SalesData[[#This Row],[Sales]],SalesData[Sales])</f>
        <v>399</v>
      </c>
    </row>
    <row r="380" spans="1:24" x14ac:dyDescent="0.3">
      <c r="A380">
        <v>379</v>
      </c>
      <c r="B380" s="1">
        <v>45670</v>
      </c>
      <c r="C380">
        <v>1096</v>
      </c>
      <c r="D380" t="s">
        <v>183</v>
      </c>
      <c r="E380" t="s">
        <v>24</v>
      </c>
      <c r="F380" t="s">
        <v>16</v>
      </c>
      <c r="G380" t="s">
        <v>22</v>
      </c>
      <c r="H380" t="s">
        <v>29</v>
      </c>
      <c r="I380">
        <v>660</v>
      </c>
      <c r="J380">
        <v>9</v>
      </c>
      <c r="K380">
        <v>7.0000000000000007E-2</v>
      </c>
      <c r="L380">
        <v>-250</v>
      </c>
      <c r="M380" t="s">
        <v>19</v>
      </c>
      <c r="N380">
        <v>5524.2</v>
      </c>
      <c r="O380" t="str">
        <f>TEXT(SalesData[[#This Row],[Order_Date]],"mmm")</f>
        <v>Jan</v>
      </c>
      <c r="P380">
        <f>YEAR(SalesData[[#This Row],[Order_Date]])</f>
        <v>2025</v>
      </c>
      <c r="Q380" t="str">
        <f>"Q"&amp;ROUNDUP(MONTH(SalesData[[#This Row],[Order_Date]])/3,0)</f>
        <v>Q1</v>
      </c>
      <c r="R380" s="2">
        <f>IFERROR(SalesData[[#This Row],[Profit]]/SalesData[[#This Row],[Sales]],0)</f>
        <v>-4.5255421599507621E-2</v>
      </c>
      <c r="S380" s="2">
        <f>SalesData[[#This Row],[Price]]*SalesData[[#This Row],[Quantity]]*SalesData[[#This Row],[Discount]]</f>
        <v>415.8</v>
      </c>
      <c r="T380" s="2" t="str">
        <f>IF(SalesData[[#This Row],[Sales]]&gt;5000,"High",IF(SalesData[[#This Row],[Sales]]&gt;2000,"Medium","Low"))</f>
        <v>High</v>
      </c>
      <c r="U380" s="2" t="str">
        <f>IF(COUNTIFS(SalesData[Customer_ID],SalesData[[#This Row],[Customer_ID]])&gt;1,"Repeat","New")</f>
        <v>Repeat</v>
      </c>
      <c r="V380" s="2" t="str">
        <f>IF(SalesData[[#This Row],[Sales]]&gt;AVERAGE(SalesData[Sales]),"Above Avg","Below Avg")</f>
        <v>Below Avg</v>
      </c>
      <c r="W380" s="2" t="str">
        <f>IF(SalesData[[#This Row],[Profit]]&gt;0,"Profit","Loss")</f>
        <v>Loss</v>
      </c>
      <c r="X380" s="2">
        <f>RANK(SalesData[[#This Row],[Sales]],SalesData[Sales])</f>
        <v>308</v>
      </c>
    </row>
    <row r="381" spans="1:24" x14ac:dyDescent="0.3">
      <c r="A381">
        <v>380</v>
      </c>
      <c r="B381" s="1">
        <v>45671</v>
      </c>
      <c r="C381">
        <v>1014</v>
      </c>
      <c r="D381" t="s">
        <v>80</v>
      </c>
      <c r="E381" t="s">
        <v>15</v>
      </c>
      <c r="F381" t="s">
        <v>28</v>
      </c>
      <c r="G381" t="s">
        <v>34</v>
      </c>
      <c r="H381" t="s">
        <v>29</v>
      </c>
      <c r="I381">
        <v>1004</v>
      </c>
      <c r="J381">
        <v>2</v>
      </c>
      <c r="K381">
        <v>0.24</v>
      </c>
      <c r="L381">
        <v>-339</v>
      </c>
      <c r="M381" t="s">
        <v>19</v>
      </c>
      <c r="N381">
        <v>1526.08</v>
      </c>
      <c r="O381" t="str">
        <f>TEXT(SalesData[[#This Row],[Order_Date]],"mmm")</f>
        <v>Jan</v>
      </c>
      <c r="P381">
        <f>YEAR(SalesData[[#This Row],[Order_Date]])</f>
        <v>2025</v>
      </c>
      <c r="Q381" t="str">
        <f>"Q"&amp;ROUNDUP(MONTH(SalesData[[#This Row],[Order_Date]])/3,0)</f>
        <v>Q1</v>
      </c>
      <c r="R381" s="2">
        <f>IFERROR(SalesData[[#This Row],[Profit]]/SalesData[[#This Row],[Sales]],0)</f>
        <v>-0.2221377647305515</v>
      </c>
      <c r="S381" s="2">
        <f>SalesData[[#This Row],[Price]]*SalesData[[#This Row],[Quantity]]*SalesData[[#This Row],[Discount]]</f>
        <v>481.91999999999996</v>
      </c>
      <c r="T381" s="2" t="str">
        <f>IF(SalesData[[#This Row],[Sales]]&gt;5000,"High",IF(SalesData[[#This Row],[Sales]]&gt;2000,"Medium","Low"))</f>
        <v>Low</v>
      </c>
      <c r="U381" s="2" t="str">
        <f>IF(COUNTIFS(SalesData[Customer_ID],SalesData[[#This Row],[Customer_ID]])&gt;1,"Repeat","New")</f>
        <v>Repeat</v>
      </c>
      <c r="V381" s="2" t="str">
        <f>IF(SalesData[[#This Row],[Sales]]&gt;AVERAGE(SalesData[Sales]),"Above Avg","Below Avg")</f>
        <v>Below Avg</v>
      </c>
      <c r="W381" s="2" t="str">
        <f>IF(SalesData[[#This Row],[Profit]]&gt;0,"Profit","Loss")</f>
        <v>Loss</v>
      </c>
      <c r="X381" s="2">
        <f>RANK(SalesData[[#This Row],[Sales]],SalesData[Sales])</f>
        <v>456</v>
      </c>
    </row>
    <row r="382" spans="1:24" x14ac:dyDescent="0.3">
      <c r="A382">
        <v>381</v>
      </c>
      <c r="B382" s="1">
        <v>45672</v>
      </c>
      <c r="C382">
        <v>1002</v>
      </c>
      <c r="D382" t="s">
        <v>172</v>
      </c>
      <c r="E382" t="s">
        <v>15</v>
      </c>
      <c r="F382" t="s">
        <v>16</v>
      </c>
      <c r="G382" t="s">
        <v>22</v>
      </c>
      <c r="H382" t="s">
        <v>25</v>
      </c>
      <c r="I382">
        <v>1036</v>
      </c>
      <c r="J382">
        <v>6</v>
      </c>
      <c r="K382">
        <v>0.08</v>
      </c>
      <c r="L382">
        <v>162</v>
      </c>
      <c r="M382" t="s">
        <v>31</v>
      </c>
      <c r="N382">
        <v>5718.72</v>
      </c>
      <c r="O382" t="str">
        <f>TEXT(SalesData[[#This Row],[Order_Date]],"mmm")</f>
        <v>Jan</v>
      </c>
      <c r="P382">
        <f>YEAR(SalesData[[#This Row],[Order_Date]])</f>
        <v>2025</v>
      </c>
      <c r="Q382" t="str">
        <f>"Q"&amp;ROUNDUP(MONTH(SalesData[[#This Row],[Order_Date]])/3,0)</f>
        <v>Q1</v>
      </c>
      <c r="R382" s="2">
        <f>IFERROR(SalesData[[#This Row],[Profit]]/SalesData[[#This Row],[Sales]],0)</f>
        <v>2.8328017458452238E-2</v>
      </c>
      <c r="S382" s="2">
        <f>SalesData[[#This Row],[Price]]*SalesData[[#This Row],[Quantity]]*SalesData[[#This Row],[Discount]]</f>
        <v>497.28000000000003</v>
      </c>
      <c r="T382" s="2" t="str">
        <f>IF(SalesData[[#This Row],[Sales]]&gt;5000,"High",IF(SalesData[[#This Row],[Sales]]&gt;2000,"Medium","Low"))</f>
        <v>High</v>
      </c>
      <c r="U382" s="2" t="str">
        <f>IF(COUNTIFS(SalesData[Customer_ID],SalesData[[#This Row],[Customer_ID]])&gt;1,"Repeat","New")</f>
        <v>Repeat</v>
      </c>
      <c r="V382" s="2" t="str">
        <f>IF(SalesData[[#This Row],[Sales]]&gt;AVERAGE(SalesData[Sales]),"Above Avg","Below Avg")</f>
        <v>Below Avg</v>
      </c>
      <c r="W382" s="2" t="str">
        <f>IF(SalesData[[#This Row],[Profit]]&gt;0,"Profit","Loss")</f>
        <v>Profit</v>
      </c>
      <c r="X382" s="2">
        <f>RANK(SalesData[[#This Row],[Sales]],SalesData[Sales])</f>
        <v>303</v>
      </c>
    </row>
    <row r="383" spans="1:24" x14ac:dyDescent="0.3">
      <c r="A383">
        <v>382</v>
      </c>
      <c r="B383" s="1">
        <v>45673</v>
      </c>
      <c r="C383">
        <v>1091</v>
      </c>
      <c r="D383" t="s">
        <v>42</v>
      </c>
      <c r="E383" t="s">
        <v>15</v>
      </c>
      <c r="F383" t="s">
        <v>21</v>
      </c>
      <c r="G383" t="s">
        <v>34</v>
      </c>
      <c r="H383" t="s">
        <v>37</v>
      </c>
      <c r="I383">
        <v>396</v>
      </c>
      <c r="J383">
        <v>2</v>
      </c>
      <c r="K383">
        <v>0.28999999999999998</v>
      </c>
      <c r="L383">
        <v>1960</v>
      </c>
      <c r="M383" t="s">
        <v>26</v>
      </c>
      <c r="N383">
        <v>562.31999999999903</v>
      </c>
      <c r="O383" t="str">
        <f>TEXT(SalesData[[#This Row],[Order_Date]],"mmm")</f>
        <v>Jan</v>
      </c>
      <c r="P383">
        <f>YEAR(SalesData[[#This Row],[Order_Date]])</f>
        <v>2025</v>
      </c>
      <c r="Q383" t="str">
        <f>"Q"&amp;ROUNDUP(MONTH(SalesData[[#This Row],[Order_Date]])/3,0)</f>
        <v>Q1</v>
      </c>
      <c r="R383" s="2">
        <f>IFERROR(SalesData[[#This Row],[Profit]]/SalesData[[#This Row],[Sales]],0)</f>
        <v>3.4855598235879985</v>
      </c>
      <c r="S383" s="2">
        <f>SalesData[[#This Row],[Price]]*SalesData[[#This Row],[Quantity]]*SalesData[[#This Row],[Discount]]</f>
        <v>229.67999999999998</v>
      </c>
      <c r="T383" s="2" t="str">
        <f>IF(SalesData[[#This Row],[Sales]]&gt;5000,"High",IF(SalesData[[#This Row],[Sales]]&gt;2000,"Medium","Low"))</f>
        <v>Low</v>
      </c>
      <c r="U383" s="2" t="str">
        <f>IF(COUNTIFS(SalesData[Customer_ID],SalesData[[#This Row],[Customer_ID]])&gt;1,"Repeat","New")</f>
        <v>Repeat</v>
      </c>
      <c r="V383" s="2" t="str">
        <f>IF(SalesData[[#This Row],[Sales]]&gt;AVERAGE(SalesData[Sales]),"Above Avg","Below Avg")</f>
        <v>Below Avg</v>
      </c>
      <c r="W383" s="2" t="str">
        <f>IF(SalesData[[#This Row],[Profit]]&gt;0,"Profit","Loss")</f>
        <v>Profit</v>
      </c>
      <c r="X383" s="2">
        <f>RANK(SalesData[[#This Row],[Sales]],SalesData[Sales])</f>
        <v>488</v>
      </c>
    </row>
    <row r="384" spans="1:24" x14ac:dyDescent="0.3">
      <c r="A384">
        <v>383</v>
      </c>
      <c r="B384" s="1">
        <v>45674</v>
      </c>
      <c r="C384">
        <v>1090</v>
      </c>
      <c r="D384" t="s">
        <v>135</v>
      </c>
      <c r="E384" t="s">
        <v>15</v>
      </c>
      <c r="F384" t="s">
        <v>28</v>
      </c>
      <c r="G384" t="s">
        <v>34</v>
      </c>
      <c r="H384" t="s">
        <v>29</v>
      </c>
      <c r="I384">
        <v>4994</v>
      </c>
      <c r="J384">
        <v>9</v>
      </c>
      <c r="K384">
        <v>0.28000000000000003</v>
      </c>
      <c r="L384">
        <v>992</v>
      </c>
      <c r="M384" t="s">
        <v>31</v>
      </c>
      <c r="N384">
        <v>32361.119999999999</v>
      </c>
      <c r="O384" t="str">
        <f>TEXT(SalesData[[#This Row],[Order_Date]],"mmm")</f>
        <v>Jan</v>
      </c>
      <c r="P384">
        <f>YEAR(SalesData[[#This Row],[Order_Date]])</f>
        <v>2025</v>
      </c>
      <c r="Q384" t="str">
        <f>"Q"&amp;ROUNDUP(MONTH(SalesData[[#This Row],[Order_Date]])/3,0)</f>
        <v>Q1</v>
      </c>
      <c r="R384" s="2">
        <f>IFERROR(SalesData[[#This Row],[Profit]]/SalesData[[#This Row],[Sales]],0)</f>
        <v>3.0654068833217144E-2</v>
      </c>
      <c r="S384" s="2">
        <f>SalesData[[#This Row],[Price]]*SalesData[[#This Row],[Quantity]]*SalesData[[#This Row],[Discount]]</f>
        <v>12584.880000000001</v>
      </c>
      <c r="T384" s="2" t="str">
        <f>IF(SalesData[[#This Row],[Sales]]&gt;5000,"High",IF(SalesData[[#This Row],[Sales]]&gt;2000,"Medium","Low"))</f>
        <v>High</v>
      </c>
      <c r="U384" s="2" t="str">
        <f>IF(COUNTIFS(SalesData[Customer_ID],SalesData[[#This Row],[Customer_ID]])&gt;1,"Repeat","New")</f>
        <v>Repeat</v>
      </c>
      <c r="V384" s="2" t="str">
        <f>IF(SalesData[[#This Row],[Sales]]&gt;AVERAGE(SalesData[Sales]),"Above Avg","Below Avg")</f>
        <v>Above Avg</v>
      </c>
      <c r="W384" s="2" t="str">
        <f>IF(SalesData[[#This Row],[Profit]]&gt;0,"Profit","Loss")</f>
        <v>Profit</v>
      </c>
      <c r="X384" s="2">
        <f>RANK(SalesData[[#This Row],[Sales]],SalesData[Sales])</f>
        <v>20</v>
      </c>
    </row>
    <row r="385" spans="1:24" x14ac:dyDescent="0.3">
      <c r="A385">
        <v>384</v>
      </c>
      <c r="B385" s="1">
        <v>45675</v>
      </c>
      <c r="C385">
        <v>1032</v>
      </c>
      <c r="D385" t="s">
        <v>49</v>
      </c>
      <c r="E385" t="s">
        <v>24</v>
      </c>
      <c r="F385" t="s">
        <v>33</v>
      </c>
      <c r="G385" t="s">
        <v>17</v>
      </c>
      <c r="H385" t="s">
        <v>18</v>
      </c>
      <c r="I385">
        <v>1860</v>
      </c>
      <c r="J385">
        <v>3</v>
      </c>
      <c r="K385">
        <v>0.14000000000000001</v>
      </c>
      <c r="L385">
        <v>1994</v>
      </c>
      <c r="M385" t="s">
        <v>26</v>
      </c>
      <c r="N385">
        <v>4798.8</v>
      </c>
      <c r="O385" t="str">
        <f>TEXT(SalesData[[#This Row],[Order_Date]],"mmm")</f>
        <v>Jan</v>
      </c>
      <c r="P385">
        <f>YEAR(SalesData[[#This Row],[Order_Date]])</f>
        <v>2025</v>
      </c>
      <c r="Q385" t="str">
        <f>"Q"&amp;ROUNDUP(MONTH(SalesData[[#This Row],[Order_Date]])/3,0)</f>
        <v>Q1</v>
      </c>
      <c r="R385" s="2">
        <f>IFERROR(SalesData[[#This Row],[Profit]]/SalesData[[#This Row],[Sales]],0)</f>
        <v>0.41552054680336747</v>
      </c>
      <c r="S385" s="2">
        <f>SalesData[[#This Row],[Price]]*SalesData[[#This Row],[Quantity]]*SalesData[[#This Row],[Discount]]</f>
        <v>781.2</v>
      </c>
      <c r="T385" s="2" t="str">
        <f>IF(SalesData[[#This Row],[Sales]]&gt;5000,"High",IF(SalesData[[#This Row],[Sales]]&gt;2000,"Medium","Low"))</f>
        <v>Medium</v>
      </c>
      <c r="U385" s="2" t="str">
        <f>IF(COUNTIFS(SalesData[Customer_ID],SalesData[[#This Row],[Customer_ID]])&gt;1,"Repeat","New")</f>
        <v>Repeat</v>
      </c>
      <c r="V385" s="2" t="str">
        <f>IF(SalesData[[#This Row],[Sales]]&gt;AVERAGE(SalesData[Sales]),"Above Avg","Below Avg")</f>
        <v>Below Avg</v>
      </c>
      <c r="W385" s="2" t="str">
        <f>IF(SalesData[[#This Row],[Profit]]&gt;0,"Profit","Loss")</f>
        <v>Profit</v>
      </c>
      <c r="X385" s="2">
        <f>RANK(SalesData[[#This Row],[Sales]],SalesData[Sales])</f>
        <v>330</v>
      </c>
    </row>
    <row r="386" spans="1:24" x14ac:dyDescent="0.3">
      <c r="A386">
        <v>385</v>
      </c>
      <c r="B386" s="1">
        <v>45676</v>
      </c>
      <c r="C386">
        <v>1082</v>
      </c>
      <c r="D386" t="s">
        <v>145</v>
      </c>
      <c r="E386" t="s">
        <v>24</v>
      </c>
      <c r="F386" t="s">
        <v>28</v>
      </c>
      <c r="G386" t="s">
        <v>22</v>
      </c>
      <c r="H386" t="s">
        <v>37</v>
      </c>
      <c r="I386">
        <v>1299</v>
      </c>
      <c r="J386">
        <v>6</v>
      </c>
      <c r="K386">
        <v>0</v>
      </c>
      <c r="L386">
        <v>92</v>
      </c>
      <c r="M386" t="s">
        <v>19</v>
      </c>
      <c r="N386">
        <v>7794</v>
      </c>
      <c r="O386" t="str">
        <f>TEXT(SalesData[[#This Row],[Order_Date]],"mmm")</f>
        <v>Jan</v>
      </c>
      <c r="P386">
        <f>YEAR(SalesData[[#This Row],[Order_Date]])</f>
        <v>2025</v>
      </c>
      <c r="Q386" t="str">
        <f>"Q"&amp;ROUNDUP(MONTH(SalesData[[#This Row],[Order_Date]])/3,0)</f>
        <v>Q1</v>
      </c>
      <c r="R386" s="2">
        <f>IFERROR(SalesData[[#This Row],[Profit]]/SalesData[[#This Row],[Sales]],0)</f>
        <v>1.1803951757762381E-2</v>
      </c>
      <c r="S386" s="2">
        <f>SalesData[[#This Row],[Price]]*SalesData[[#This Row],[Quantity]]*SalesData[[#This Row],[Discount]]</f>
        <v>0</v>
      </c>
      <c r="T386" s="2" t="str">
        <f>IF(SalesData[[#This Row],[Sales]]&gt;5000,"High",IF(SalesData[[#This Row],[Sales]]&gt;2000,"Medium","Low"))</f>
        <v>High</v>
      </c>
      <c r="U386" s="2" t="str">
        <f>IF(COUNTIFS(SalesData[Customer_ID],SalesData[[#This Row],[Customer_ID]])&gt;1,"Repeat","New")</f>
        <v>Repeat</v>
      </c>
      <c r="V386" s="2" t="str">
        <f>IF(SalesData[[#This Row],[Sales]]&gt;AVERAGE(SalesData[Sales]),"Above Avg","Below Avg")</f>
        <v>Below Avg</v>
      </c>
      <c r="W386" s="2" t="str">
        <f>IF(SalesData[[#This Row],[Profit]]&gt;0,"Profit","Loss")</f>
        <v>Profit</v>
      </c>
      <c r="X386" s="2">
        <f>RANK(SalesData[[#This Row],[Sales]],SalesData[Sales])</f>
        <v>256</v>
      </c>
    </row>
    <row r="387" spans="1:24" x14ac:dyDescent="0.3">
      <c r="A387">
        <v>386</v>
      </c>
      <c r="B387" s="1">
        <v>45677</v>
      </c>
      <c r="C387">
        <v>1055</v>
      </c>
      <c r="D387" t="s">
        <v>160</v>
      </c>
      <c r="E387" t="s">
        <v>15</v>
      </c>
      <c r="F387" t="s">
        <v>33</v>
      </c>
      <c r="G387" t="s">
        <v>34</v>
      </c>
      <c r="H387" t="s">
        <v>37</v>
      </c>
      <c r="I387">
        <v>4386</v>
      </c>
      <c r="J387">
        <v>3</v>
      </c>
      <c r="K387">
        <v>0.28999999999999998</v>
      </c>
      <c r="L387">
        <v>838</v>
      </c>
      <c r="M387" t="s">
        <v>31</v>
      </c>
      <c r="N387">
        <v>9342.18</v>
      </c>
      <c r="O387" t="str">
        <f>TEXT(SalesData[[#This Row],[Order_Date]],"mmm")</f>
        <v>Jan</v>
      </c>
      <c r="P387">
        <f>YEAR(SalesData[[#This Row],[Order_Date]])</f>
        <v>2025</v>
      </c>
      <c r="Q387" t="str">
        <f>"Q"&amp;ROUNDUP(MONTH(SalesData[[#This Row],[Order_Date]])/3,0)</f>
        <v>Q1</v>
      </c>
      <c r="R387" s="2">
        <f>IFERROR(SalesData[[#This Row],[Profit]]/SalesData[[#This Row],[Sales]],0)</f>
        <v>8.9700690845177455E-2</v>
      </c>
      <c r="S387" s="2">
        <f>SalesData[[#This Row],[Price]]*SalesData[[#This Row],[Quantity]]*SalesData[[#This Row],[Discount]]</f>
        <v>3815.8199999999997</v>
      </c>
      <c r="T387" s="2" t="str">
        <f>IF(SalesData[[#This Row],[Sales]]&gt;5000,"High",IF(SalesData[[#This Row],[Sales]]&gt;2000,"Medium","Low"))</f>
        <v>High</v>
      </c>
      <c r="U387" s="2" t="str">
        <f>IF(COUNTIFS(SalesData[Customer_ID],SalesData[[#This Row],[Customer_ID]])&gt;1,"Repeat","New")</f>
        <v>Repeat</v>
      </c>
      <c r="V387" s="2" t="str">
        <f>IF(SalesData[[#This Row],[Sales]]&gt;AVERAGE(SalesData[Sales]),"Above Avg","Below Avg")</f>
        <v>Below Avg</v>
      </c>
      <c r="W387" s="2" t="str">
        <f>IF(SalesData[[#This Row],[Profit]]&gt;0,"Profit","Loss")</f>
        <v>Profit</v>
      </c>
      <c r="X387" s="2">
        <f>RANK(SalesData[[#This Row],[Sales]],SalesData[Sales])</f>
        <v>224</v>
      </c>
    </row>
    <row r="388" spans="1:24" x14ac:dyDescent="0.3">
      <c r="A388">
        <v>387</v>
      </c>
      <c r="B388" s="1">
        <v>45678</v>
      </c>
      <c r="C388">
        <v>1032</v>
      </c>
      <c r="D388" t="s">
        <v>71</v>
      </c>
      <c r="E388" t="s">
        <v>15</v>
      </c>
      <c r="F388" t="s">
        <v>33</v>
      </c>
      <c r="G388" t="s">
        <v>17</v>
      </c>
      <c r="H388" t="s">
        <v>18</v>
      </c>
      <c r="I388">
        <v>3993</v>
      </c>
      <c r="J388">
        <v>5</v>
      </c>
      <c r="K388">
        <v>0.21</v>
      </c>
      <c r="L388">
        <v>1730</v>
      </c>
      <c r="M388" t="s">
        <v>31</v>
      </c>
      <c r="N388">
        <v>15772.35</v>
      </c>
      <c r="O388" t="str">
        <f>TEXT(SalesData[[#This Row],[Order_Date]],"mmm")</f>
        <v>Jan</v>
      </c>
      <c r="P388">
        <f>YEAR(SalesData[[#This Row],[Order_Date]])</f>
        <v>2025</v>
      </c>
      <c r="Q388" t="str">
        <f>"Q"&amp;ROUNDUP(MONTH(SalesData[[#This Row],[Order_Date]])/3,0)</f>
        <v>Q1</v>
      </c>
      <c r="R388" s="2">
        <f>IFERROR(SalesData[[#This Row],[Profit]]/SalesData[[#This Row],[Sales]],0)</f>
        <v>0.10968562072234005</v>
      </c>
      <c r="S388" s="2">
        <f>SalesData[[#This Row],[Price]]*SalesData[[#This Row],[Quantity]]*SalesData[[#This Row],[Discount]]</f>
        <v>4192.6499999999996</v>
      </c>
      <c r="T388" s="2" t="str">
        <f>IF(SalesData[[#This Row],[Sales]]&gt;5000,"High",IF(SalesData[[#This Row],[Sales]]&gt;2000,"Medium","Low"))</f>
        <v>High</v>
      </c>
      <c r="U388" s="2" t="str">
        <f>IF(COUNTIFS(SalesData[Customer_ID],SalesData[[#This Row],[Customer_ID]])&gt;1,"Repeat","New")</f>
        <v>Repeat</v>
      </c>
      <c r="V388" s="2" t="str">
        <f>IF(SalesData[[#This Row],[Sales]]&gt;AVERAGE(SalesData[Sales]),"Above Avg","Below Avg")</f>
        <v>Above Avg</v>
      </c>
      <c r="W388" s="2" t="str">
        <f>IF(SalesData[[#This Row],[Profit]]&gt;0,"Profit","Loss")</f>
        <v>Profit</v>
      </c>
      <c r="X388" s="2">
        <f>RANK(SalesData[[#This Row],[Sales]],SalesData[Sales])</f>
        <v>132</v>
      </c>
    </row>
    <row r="389" spans="1:24" x14ac:dyDescent="0.3">
      <c r="A389">
        <v>388</v>
      </c>
      <c r="B389" s="1">
        <v>45679</v>
      </c>
      <c r="C389">
        <v>1030</v>
      </c>
      <c r="D389" t="s">
        <v>100</v>
      </c>
      <c r="E389" t="s">
        <v>15</v>
      </c>
      <c r="F389" t="s">
        <v>21</v>
      </c>
      <c r="G389" t="s">
        <v>17</v>
      </c>
      <c r="H389" t="s">
        <v>29</v>
      </c>
      <c r="I389">
        <v>1045</v>
      </c>
      <c r="J389">
        <v>3</v>
      </c>
      <c r="K389">
        <v>0.15</v>
      </c>
      <c r="L389">
        <v>1869</v>
      </c>
      <c r="M389" t="s">
        <v>26</v>
      </c>
      <c r="N389">
        <v>2664.75</v>
      </c>
      <c r="O389" t="str">
        <f>TEXT(SalesData[[#This Row],[Order_Date]],"mmm")</f>
        <v>Jan</v>
      </c>
      <c r="P389">
        <f>YEAR(SalesData[[#This Row],[Order_Date]])</f>
        <v>2025</v>
      </c>
      <c r="Q389" t="str">
        <f>"Q"&amp;ROUNDUP(MONTH(SalesData[[#This Row],[Order_Date]])/3,0)</f>
        <v>Q1</v>
      </c>
      <c r="R389" s="2">
        <f>IFERROR(SalesData[[#This Row],[Profit]]/SalesData[[#This Row],[Sales]],0)</f>
        <v>0.70137911623979732</v>
      </c>
      <c r="S389" s="2">
        <f>SalesData[[#This Row],[Price]]*SalesData[[#This Row],[Quantity]]*SalesData[[#This Row],[Discount]]</f>
        <v>470.25</v>
      </c>
      <c r="T389" s="2" t="str">
        <f>IF(SalesData[[#This Row],[Sales]]&gt;5000,"High",IF(SalesData[[#This Row],[Sales]]&gt;2000,"Medium","Low"))</f>
        <v>Medium</v>
      </c>
      <c r="U389" s="2" t="str">
        <f>IF(COUNTIFS(SalesData[Customer_ID],SalesData[[#This Row],[Customer_ID]])&gt;1,"Repeat","New")</f>
        <v>Repeat</v>
      </c>
      <c r="V389" s="2" t="str">
        <f>IF(SalesData[[#This Row],[Sales]]&gt;AVERAGE(SalesData[Sales]),"Above Avg","Below Avg")</f>
        <v>Below Avg</v>
      </c>
      <c r="W389" s="2" t="str">
        <f>IF(SalesData[[#This Row],[Profit]]&gt;0,"Profit","Loss")</f>
        <v>Profit</v>
      </c>
      <c r="X389" s="2">
        <f>RANK(SalesData[[#This Row],[Sales]],SalesData[Sales])</f>
        <v>405</v>
      </c>
    </row>
    <row r="390" spans="1:24" x14ac:dyDescent="0.3">
      <c r="A390">
        <v>389</v>
      </c>
      <c r="B390" s="1">
        <v>45680</v>
      </c>
      <c r="C390">
        <v>1003</v>
      </c>
      <c r="D390" t="s">
        <v>170</v>
      </c>
      <c r="E390" t="s">
        <v>24</v>
      </c>
      <c r="F390" t="s">
        <v>28</v>
      </c>
      <c r="G390" t="s">
        <v>34</v>
      </c>
      <c r="H390" t="s">
        <v>37</v>
      </c>
      <c r="I390">
        <v>1736</v>
      </c>
      <c r="J390">
        <v>8</v>
      </c>
      <c r="K390">
        <v>0.18</v>
      </c>
      <c r="L390">
        <v>492</v>
      </c>
      <c r="M390" t="s">
        <v>31</v>
      </c>
      <c r="N390">
        <v>11388.16</v>
      </c>
      <c r="O390" t="str">
        <f>TEXT(SalesData[[#This Row],[Order_Date]],"mmm")</f>
        <v>Jan</v>
      </c>
      <c r="P390">
        <f>YEAR(SalesData[[#This Row],[Order_Date]])</f>
        <v>2025</v>
      </c>
      <c r="Q390" t="str">
        <f>"Q"&amp;ROUNDUP(MONTH(SalesData[[#This Row],[Order_Date]])/3,0)</f>
        <v>Q1</v>
      </c>
      <c r="R390" s="2">
        <f>IFERROR(SalesData[[#This Row],[Profit]]/SalesData[[#This Row],[Sales]],0)</f>
        <v>4.3202764976958526E-2</v>
      </c>
      <c r="S390" s="2">
        <f>SalesData[[#This Row],[Price]]*SalesData[[#This Row],[Quantity]]*SalesData[[#This Row],[Discount]]</f>
        <v>2499.8399999999997</v>
      </c>
      <c r="T390" s="2" t="str">
        <f>IF(SalesData[[#This Row],[Sales]]&gt;5000,"High",IF(SalesData[[#This Row],[Sales]]&gt;2000,"Medium","Low"))</f>
        <v>High</v>
      </c>
      <c r="U390" s="2" t="str">
        <f>IF(COUNTIFS(SalesData[Customer_ID],SalesData[[#This Row],[Customer_ID]])&gt;1,"Repeat","New")</f>
        <v>Repeat</v>
      </c>
      <c r="V390" s="2" t="str">
        <f>IF(SalesData[[#This Row],[Sales]]&gt;AVERAGE(SalesData[Sales]),"Above Avg","Below Avg")</f>
        <v>Above Avg</v>
      </c>
      <c r="W390" s="2" t="str">
        <f>IF(SalesData[[#This Row],[Profit]]&gt;0,"Profit","Loss")</f>
        <v>Profit</v>
      </c>
      <c r="X390" s="2">
        <f>RANK(SalesData[[#This Row],[Sales]],SalesData[Sales])</f>
        <v>183</v>
      </c>
    </row>
    <row r="391" spans="1:24" x14ac:dyDescent="0.3">
      <c r="A391">
        <v>390</v>
      </c>
      <c r="B391" s="1">
        <v>45681</v>
      </c>
      <c r="C391">
        <v>1095</v>
      </c>
      <c r="D391" t="s">
        <v>55</v>
      </c>
      <c r="E391" t="s">
        <v>15</v>
      </c>
      <c r="F391" t="s">
        <v>33</v>
      </c>
      <c r="G391" t="s">
        <v>22</v>
      </c>
      <c r="H391" t="s">
        <v>18</v>
      </c>
      <c r="I391">
        <v>2341</v>
      </c>
      <c r="J391">
        <v>4</v>
      </c>
      <c r="K391">
        <v>0.03</v>
      </c>
      <c r="L391">
        <v>1730</v>
      </c>
      <c r="M391" t="s">
        <v>26</v>
      </c>
      <c r="N391">
        <v>9083.08</v>
      </c>
      <c r="O391" t="str">
        <f>TEXT(SalesData[[#This Row],[Order_Date]],"mmm")</f>
        <v>Jan</v>
      </c>
      <c r="P391">
        <f>YEAR(SalesData[[#This Row],[Order_Date]])</f>
        <v>2025</v>
      </c>
      <c r="Q391" t="str">
        <f>"Q"&amp;ROUNDUP(MONTH(SalesData[[#This Row],[Order_Date]])/3,0)</f>
        <v>Q1</v>
      </c>
      <c r="R391" s="2">
        <f>IFERROR(SalesData[[#This Row],[Profit]]/SalesData[[#This Row],[Sales]],0)</f>
        <v>0.19046402762058684</v>
      </c>
      <c r="S391" s="2">
        <f>SalesData[[#This Row],[Price]]*SalesData[[#This Row],[Quantity]]*SalesData[[#This Row],[Discount]]</f>
        <v>280.92</v>
      </c>
      <c r="T391" s="2" t="str">
        <f>IF(SalesData[[#This Row],[Sales]]&gt;5000,"High",IF(SalesData[[#This Row],[Sales]]&gt;2000,"Medium","Low"))</f>
        <v>High</v>
      </c>
      <c r="U391" s="2" t="str">
        <f>IF(COUNTIFS(SalesData[Customer_ID],SalesData[[#This Row],[Customer_ID]])&gt;1,"Repeat","New")</f>
        <v>Repeat</v>
      </c>
      <c r="V391" s="2" t="str">
        <f>IF(SalesData[[#This Row],[Sales]]&gt;AVERAGE(SalesData[Sales]),"Above Avg","Below Avg")</f>
        <v>Below Avg</v>
      </c>
      <c r="W391" s="2" t="str">
        <f>IF(SalesData[[#This Row],[Profit]]&gt;0,"Profit","Loss")</f>
        <v>Profit</v>
      </c>
      <c r="X391" s="2">
        <f>RANK(SalesData[[#This Row],[Sales]],SalesData[Sales])</f>
        <v>229</v>
      </c>
    </row>
    <row r="392" spans="1:24" x14ac:dyDescent="0.3">
      <c r="A392">
        <v>391</v>
      </c>
      <c r="B392" s="1">
        <v>45682</v>
      </c>
      <c r="C392">
        <v>1091</v>
      </c>
      <c r="D392" t="s">
        <v>27</v>
      </c>
      <c r="E392" t="s">
        <v>15</v>
      </c>
      <c r="F392" t="s">
        <v>28</v>
      </c>
      <c r="G392" t="s">
        <v>22</v>
      </c>
      <c r="H392" t="s">
        <v>37</v>
      </c>
      <c r="I392">
        <v>3013</v>
      </c>
      <c r="J392">
        <v>3</v>
      </c>
      <c r="K392">
        <v>0.05</v>
      </c>
      <c r="L392">
        <v>1502</v>
      </c>
      <c r="M392" t="s">
        <v>31</v>
      </c>
      <c r="N392">
        <v>8587.0499999999993</v>
      </c>
      <c r="O392" t="str">
        <f>TEXT(SalesData[[#This Row],[Order_Date]],"mmm")</f>
        <v>Jan</v>
      </c>
      <c r="P392">
        <f>YEAR(SalesData[[#This Row],[Order_Date]])</f>
        <v>2025</v>
      </c>
      <c r="Q392" t="str">
        <f>"Q"&amp;ROUNDUP(MONTH(SalesData[[#This Row],[Order_Date]])/3,0)</f>
        <v>Q1</v>
      </c>
      <c r="R392" s="2">
        <f>IFERROR(SalesData[[#This Row],[Profit]]/SalesData[[#This Row],[Sales]],0)</f>
        <v>0.17491455156310959</v>
      </c>
      <c r="S392" s="2">
        <f>SalesData[[#This Row],[Price]]*SalesData[[#This Row],[Quantity]]*SalesData[[#This Row],[Discount]]</f>
        <v>451.95000000000005</v>
      </c>
      <c r="T392" s="2" t="str">
        <f>IF(SalesData[[#This Row],[Sales]]&gt;5000,"High",IF(SalesData[[#This Row],[Sales]]&gt;2000,"Medium","Low"))</f>
        <v>High</v>
      </c>
      <c r="U392" s="2" t="str">
        <f>IF(COUNTIFS(SalesData[Customer_ID],SalesData[[#This Row],[Customer_ID]])&gt;1,"Repeat","New")</f>
        <v>Repeat</v>
      </c>
      <c r="V392" s="2" t="str">
        <f>IF(SalesData[[#This Row],[Sales]]&gt;AVERAGE(SalesData[Sales]),"Above Avg","Below Avg")</f>
        <v>Below Avg</v>
      </c>
      <c r="W392" s="2" t="str">
        <f>IF(SalesData[[#This Row],[Profit]]&gt;0,"Profit","Loss")</f>
        <v>Profit</v>
      </c>
      <c r="X392" s="2">
        <f>RANK(SalesData[[#This Row],[Sales]],SalesData[Sales])</f>
        <v>237</v>
      </c>
    </row>
    <row r="393" spans="1:24" x14ac:dyDescent="0.3">
      <c r="A393">
        <v>392</v>
      </c>
      <c r="B393" s="1">
        <v>45683</v>
      </c>
      <c r="C393">
        <v>1079</v>
      </c>
      <c r="D393" t="s">
        <v>139</v>
      </c>
      <c r="E393" t="s">
        <v>24</v>
      </c>
      <c r="F393" t="s">
        <v>33</v>
      </c>
      <c r="G393" t="s">
        <v>22</v>
      </c>
      <c r="H393" t="s">
        <v>25</v>
      </c>
      <c r="I393">
        <v>3266</v>
      </c>
      <c r="J393">
        <v>8</v>
      </c>
      <c r="K393">
        <v>0.19</v>
      </c>
      <c r="L393">
        <v>658</v>
      </c>
      <c r="M393" t="s">
        <v>19</v>
      </c>
      <c r="N393">
        <v>21163.68</v>
      </c>
      <c r="O393" t="str">
        <f>TEXT(SalesData[[#This Row],[Order_Date]],"mmm")</f>
        <v>Jan</v>
      </c>
      <c r="P393">
        <f>YEAR(SalesData[[#This Row],[Order_Date]])</f>
        <v>2025</v>
      </c>
      <c r="Q393" t="str">
        <f>"Q"&amp;ROUNDUP(MONTH(SalesData[[#This Row],[Order_Date]])/3,0)</f>
        <v>Q1</v>
      </c>
      <c r="R393" s="2">
        <f>IFERROR(SalesData[[#This Row],[Profit]]/SalesData[[#This Row],[Sales]],0)</f>
        <v>3.1091001186939134E-2</v>
      </c>
      <c r="S393" s="2">
        <f>SalesData[[#This Row],[Price]]*SalesData[[#This Row],[Quantity]]*SalesData[[#This Row],[Discount]]</f>
        <v>4964.32</v>
      </c>
      <c r="T393" s="2" t="str">
        <f>IF(SalesData[[#This Row],[Sales]]&gt;5000,"High",IF(SalesData[[#This Row],[Sales]]&gt;2000,"Medium","Low"))</f>
        <v>High</v>
      </c>
      <c r="U393" s="2" t="str">
        <f>IF(COUNTIFS(SalesData[Customer_ID],SalesData[[#This Row],[Customer_ID]])&gt;1,"Repeat","New")</f>
        <v>Repeat</v>
      </c>
      <c r="V393" s="2" t="str">
        <f>IF(SalesData[[#This Row],[Sales]]&gt;AVERAGE(SalesData[Sales]),"Above Avg","Below Avg")</f>
        <v>Above Avg</v>
      </c>
      <c r="W393" s="2" t="str">
        <f>IF(SalesData[[#This Row],[Profit]]&gt;0,"Profit","Loss")</f>
        <v>Profit</v>
      </c>
      <c r="X393" s="2">
        <f>RANK(SalesData[[#This Row],[Sales]],SalesData[Sales])</f>
        <v>73</v>
      </c>
    </row>
    <row r="394" spans="1:24" x14ac:dyDescent="0.3">
      <c r="A394">
        <v>393</v>
      </c>
      <c r="B394" s="1">
        <v>45684</v>
      </c>
      <c r="C394">
        <v>1091</v>
      </c>
      <c r="D394" t="s">
        <v>80</v>
      </c>
      <c r="E394" t="s">
        <v>15</v>
      </c>
      <c r="F394" t="s">
        <v>16</v>
      </c>
      <c r="G394" t="s">
        <v>22</v>
      </c>
      <c r="H394" t="s">
        <v>37</v>
      </c>
      <c r="I394">
        <v>4888</v>
      </c>
      <c r="J394">
        <v>7</v>
      </c>
      <c r="K394">
        <v>0.01</v>
      </c>
      <c r="L394">
        <v>249</v>
      </c>
      <c r="M394" t="s">
        <v>31</v>
      </c>
      <c r="N394">
        <v>33873.839999999997</v>
      </c>
      <c r="O394" t="str">
        <f>TEXT(SalesData[[#This Row],[Order_Date]],"mmm")</f>
        <v>Jan</v>
      </c>
      <c r="P394">
        <f>YEAR(SalesData[[#This Row],[Order_Date]])</f>
        <v>2025</v>
      </c>
      <c r="Q394" t="str">
        <f>"Q"&amp;ROUNDUP(MONTH(SalesData[[#This Row],[Order_Date]])/3,0)</f>
        <v>Q1</v>
      </c>
      <c r="R394" s="2">
        <f>IFERROR(SalesData[[#This Row],[Profit]]/SalesData[[#This Row],[Sales]],0)</f>
        <v>7.3508052231456497E-3</v>
      </c>
      <c r="S394" s="2">
        <f>SalesData[[#This Row],[Price]]*SalesData[[#This Row],[Quantity]]*SalesData[[#This Row],[Discount]]</f>
        <v>342.16</v>
      </c>
      <c r="T394" s="2" t="str">
        <f>IF(SalesData[[#This Row],[Sales]]&gt;5000,"High",IF(SalesData[[#This Row],[Sales]]&gt;2000,"Medium","Low"))</f>
        <v>High</v>
      </c>
      <c r="U394" s="2" t="str">
        <f>IF(COUNTIFS(SalesData[Customer_ID],SalesData[[#This Row],[Customer_ID]])&gt;1,"Repeat","New")</f>
        <v>Repeat</v>
      </c>
      <c r="V394" s="2" t="str">
        <f>IF(SalesData[[#This Row],[Sales]]&gt;AVERAGE(SalesData[Sales]),"Above Avg","Below Avg")</f>
        <v>Above Avg</v>
      </c>
      <c r="W394" s="2" t="str">
        <f>IF(SalesData[[#This Row],[Profit]]&gt;0,"Profit","Loss")</f>
        <v>Profit</v>
      </c>
      <c r="X394" s="2">
        <f>RANK(SalesData[[#This Row],[Sales]],SalesData[Sales])</f>
        <v>15</v>
      </c>
    </row>
    <row r="395" spans="1:24" x14ac:dyDescent="0.3">
      <c r="A395">
        <v>394</v>
      </c>
      <c r="B395" s="1">
        <v>45685</v>
      </c>
      <c r="C395">
        <v>1078</v>
      </c>
      <c r="D395" t="s">
        <v>110</v>
      </c>
      <c r="E395" t="s">
        <v>24</v>
      </c>
      <c r="F395" t="s">
        <v>16</v>
      </c>
      <c r="G395" t="s">
        <v>17</v>
      </c>
      <c r="H395" t="s">
        <v>29</v>
      </c>
      <c r="I395">
        <v>4543</v>
      </c>
      <c r="J395">
        <v>1</v>
      </c>
      <c r="K395">
        <v>0.21</v>
      </c>
      <c r="L395">
        <v>62</v>
      </c>
      <c r="M395" t="s">
        <v>19</v>
      </c>
      <c r="N395">
        <v>3588.97</v>
      </c>
      <c r="O395" t="str">
        <f>TEXT(SalesData[[#This Row],[Order_Date]],"mmm")</f>
        <v>Jan</v>
      </c>
      <c r="P395">
        <f>YEAR(SalesData[[#This Row],[Order_Date]])</f>
        <v>2025</v>
      </c>
      <c r="Q395" t="str">
        <f>"Q"&amp;ROUNDUP(MONTH(SalesData[[#This Row],[Order_Date]])/3,0)</f>
        <v>Q1</v>
      </c>
      <c r="R395" s="2">
        <f>IFERROR(SalesData[[#This Row],[Profit]]/SalesData[[#This Row],[Sales]],0)</f>
        <v>1.7275151366548065E-2</v>
      </c>
      <c r="S395" s="2">
        <f>SalesData[[#This Row],[Price]]*SalesData[[#This Row],[Quantity]]*SalesData[[#This Row],[Discount]]</f>
        <v>954.03</v>
      </c>
      <c r="T395" s="2" t="str">
        <f>IF(SalesData[[#This Row],[Sales]]&gt;5000,"High",IF(SalesData[[#This Row],[Sales]]&gt;2000,"Medium","Low"))</f>
        <v>Medium</v>
      </c>
      <c r="U395" s="2" t="str">
        <f>IF(COUNTIFS(SalesData[Customer_ID],SalesData[[#This Row],[Customer_ID]])&gt;1,"Repeat","New")</f>
        <v>Repeat</v>
      </c>
      <c r="V395" s="2" t="str">
        <f>IF(SalesData[[#This Row],[Sales]]&gt;AVERAGE(SalesData[Sales]),"Above Avg","Below Avg")</f>
        <v>Below Avg</v>
      </c>
      <c r="W395" s="2" t="str">
        <f>IF(SalesData[[#This Row],[Profit]]&gt;0,"Profit","Loss")</f>
        <v>Profit</v>
      </c>
      <c r="X395" s="2">
        <f>RANK(SalesData[[#This Row],[Sales]],SalesData[Sales])</f>
        <v>370</v>
      </c>
    </row>
    <row r="396" spans="1:24" x14ac:dyDescent="0.3">
      <c r="A396">
        <v>395</v>
      </c>
      <c r="B396" s="1">
        <v>45686</v>
      </c>
      <c r="C396">
        <v>1021</v>
      </c>
      <c r="D396" t="s">
        <v>102</v>
      </c>
      <c r="E396" t="s">
        <v>24</v>
      </c>
      <c r="F396" t="s">
        <v>28</v>
      </c>
      <c r="G396" t="s">
        <v>22</v>
      </c>
      <c r="H396" t="s">
        <v>29</v>
      </c>
      <c r="I396">
        <v>2496</v>
      </c>
      <c r="J396">
        <v>3</v>
      </c>
      <c r="K396">
        <v>0.28000000000000003</v>
      </c>
      <c r="L396">
        <v>455</v>
      </c>
      <c r="M396" t="s">
        <v>26</v>
      </c>
      <c r="N396">
        <v>5391.36</v>
      </c>
      <c r="O396" t="str">
        <f>TEXT(SalesData[[#This Row],[Order_Date]],"mmm")</f>
        <v>Jan</v>
      </c>
      <c r="P396">
        <f>YEAR(SalesData[[#This Row],[Order_Date]])</f>
        <v>2025</v>
      </c>
      <c r="Q396" t="str">
        <f>"Q"&amp;ROUNDUP(MONTH(SalesData[[#This Row],[Order_Date]])/3,0)</f>
        <v>Q1</v>
      </c>
      <c r="R396" s="2">
        <f>IFERROR(SalesData[[#This Row],[Profit]]/SalesData[[#This Row],[Sales]],0)</f>
        <v>8.4394290123456797E-2</v>
      </c>
      <c r="S396" s="2">
        <f>SalesData[[#This Row],[Price]]*SalesData[[#This Row],[Quantity]]*SalesData[[#This Row],[Discount]]</f>
        <v>2096.6400000000003</v>
      </c>
      <c r="T396" s="2" t="str">
        <f>IF(SalesData[[#This Row],[Sales]]&gt;5000,"High",IF(SalesData[[#This Row],[Sales]]&gt;2000,"Medium","Low"))</f>
        <v>High</v>
      </c>
      <c r="U396" s="2" t="str">
        <f>IF(COUNTIFS(SalesData[Customer_ID],SalesData[[#This Row],[Customer_ID]])&gt;1,"Repeat","New")</f>
        <v>Repeat</v>
      </c>
      <c r="V396" s="2" t="str">
        <f>IF(SalesData[[#This Row],[Sales]]&gt;AVERAGE(SalesData[Sales]),"Above Avg","Below Avg")</f>
        <v>Below Avg</v>
      </c>
      <c r="W396" s="2" t="str">
        <f>IF(SalesData[[#This Row],[Profit]]&gt;0,"Profit","Loss")</f>
        <v>Profit</v>
      </c>
      <c r="X396" s="2">
        <f>RANK(SalesData[[#This Row],[Sales]],SalesData[Sales])</f>
        <v>313</v>
      </c>
    </row>
    <row r="397" spans="1:24" x14ac:dyDescent="0.3">
      <c r="A397">
        <v>396</v>
      </c>
      <c r="B397" s="1">
        <v>45687</v>
      </c>
      <c r="C397">
        <v>1030</v>
      </c>
      <c r="D397" t="s">
        <v>139</v>
      </c>
      <c r="E397" t="s">
        <v>15</v>
      </c>
      <c r="F397" t="s">
        <v>28</v>
      </c>
      <c r="G397" t="s">
        <v>22</v>
      </c>
      <c r="H397" t="s">
        <v>37</v>
      </c>
      <c r="I397">
        <v>1506</v>
      </c>
      <c r="J397">
        <v>3</v>
      </c>
      <c r="K397">
        <v>0.21</v>
      </c>
      <c r="L397">
        <v>-309</v>
      </c>
      <c r="M397" t="s">
        <v>19</v>
      </c>
      <c r="N397">
        <v>3569.22</v>
      </c>
      <c r="O397" t="str">
        <f>TEXT(SalesData[[#This Row],[Order_Date]],"mmm")</f>
        <v>Jan</v>
      </c>
      <c r="P397">
        <f>YEAR(SalesData[[#This Row],[Order_Date]])</f>
        <v>2025</v>
      </c>
      <c r="Q397" t="str">
        <f>"Q"&amp;ROUNDUP(MONTH(SalesData[[#This Row],[Order_Date]])/3,0)</f>
        <v>Q1</v>
      </c>
      <c r="R397" s="2">
        <f>IFERROR(SalesData[[#This Row],[Profit]]/SalesData[[#This Row],[Sales]],0)</f>
        <v>-8.6573537075327389E-2</v>
      </c>
      <c r="S397" s="2">
        <f>SalesData[[#This Row],[Price]]*SalesData[[#This Row],[Quantity]]*SalesData[[#This Row],[Discount]]</f>
        <v>948.78</v>
      </c>
      <c r="T397" s="2" t="str">
        <f>IF(SalesData[[#This Row],[Sales]]&gt;5000,"High",IF(SalesData[[#This Row],[Sales]]&gt;2000,"Medium","Low"))</f>
        <v>Medium</v>
      </c>
      <c r="U397" s="2" t="str">
        <f>IF(COUNTIFS(SalesData[Customer_ID],SalesData[[#This Row],[Customer_ID]])&gt;1,"Repeat","New")</f>
        <v>Repeat</v>
      </c>
      <c r="V397" s="2" t="str">
        <f>IF(SalesData[[#This Row],[Sales]]&gt;AVERAGE(SalesData[Sales]),"Above Avg","Below Avg")</f>
        <v>Below Avg</v>
      </c>
      <c r="W397" s="2" t="str">
        <f>IF(SalesData[[#This Row],[Profit]]&gt;0,"Profit","Loss")</f>
        <v>Loss</v>
      </c>
      <c r="X397" s="2">
        <f>RANK(SalesData[[#This Row],[Sales]],SalesData[Sales])</f>
        <v>373</v>
      </c>
    </row>
    <row r="398" spans="1:24" x14ac:dyDescent="0.3">
      <c r="A398">
        <v>397</v>
      </c>
      <c r="B398" s="1">
        <v>45688</v>
      </c>
      <c r="C398">
        <v>1059</v>
      </c>
      <c r="D398" t="s">
        <v>124</v>
      </c>
      <c r="E398" t="s">
        <v>24</v>
      </c>
      <c r="F398" t="s">
        <v>33</v>
      </c>
      <c r="G398" t="s">
        <v>34</v>
      </c>
      <c r="H398" t="s">
        <v>18</v>
      </c>
      <c r="I398">
        <v>593</v>
      </c>
      <c r="J398">
        <v>4</v>
      </c>
      <c r="K398">
        <v>0.17</v>
      </c>
      <c r="L398">
        <v>1059</v>
      </c>
      <c r="M398" t="s">
        <v>26</v>
      </c>
      <c r="N398">
        <v>1968.76</v>
      </c>
      <c r="O398" t="str">
        <f>TEXT(SalesData[[#This Row],[Order_Date]],"mmm")</f>
        <v>Jan</v>
      </c>
      <c r="P398">
        <f>YEAR(SalesData[[#This Row],[Order_Date]])</f>
        <v>2025</v>
      </c>
      <c r="Q398" t="str">
        <f>"Q"&amp;ROUNDUP(MONTH(SalesData[[#This Row],[Order_Date]])/3,0)</f>
        <v>Q1</v>
      </c>
      <c r="R398" s="2">
        <f>IFERROR(SalesData[[#This Row],[Profit]]/SalesData[[#This Row],[Sales]],0)</f>
        <v>0.53790202970397616</v>
      </c>
      <c r="S398" s="2">
        <f>SalesData[[#This Row],[Price]]*SalesData[[#This Row],[Quantity]]*SalesData[[#This Row],[Discount]]</f>
        <v>403.24</v>
      </c>
      <c r="T398" s="2" t="str">
        <f>IF(SalesData[[#This Row],[Sales]]&gt;5000,"High",IF(SalesData[[#This Row],[Sales]]&gt;2000,"Medium","Low"))</f>
        <v>Low</v>
      </c>
      <c r="U398" s="2" t="str">
        <f>IF(COUNTIFS(SalesData[Customer_ID],SalesData[[#This Row],[Customer_ID]])&gt;1,"Repeat","New")</f>
        <v>Repeat</v>
      </c>
      <c r="V398" s="2" t="str">
        <f>IF(SalesData[[#This Row],[Sales]]&gt;AVERAGE(SalesData[Sales]),"Above Avg","Below Avg")</f>
        <v>Below Avg</v>
      </c>
      <c r="W398" s="2" t="str">
        <f>IF(SalesData[[#This Row],[Profit]]&gt;0,"Profit","Loss")</f>
        <v>Profit</v>
      </c>
      <c r="X398" s="2">
        <f>RANK(SalesData[[#This Row],[Sales]],SalesData[Sales])</f>
        <v>432</v>
      </c>
    </row>
    <row r="399" spans="1:24" x14ac:dyDescent="0.3">
      <c r="A399">
        <v>398</v>
      </c>
      <c r="B399" s="1">
        <v>45689</v>
      </c>
      <c r="C399">
        <v>1084</v>
      </c>
      <c r="D399" t="s">
        <v>205</v>
      </c>
      <c r="E399" t="s">
        <v>24</v>
      </c>
      <c r="F399" t="s">
        <v>33</v>
      </c>
      <c r="G399" t="s">
        <v>34</v>
      </c>
      <c r="H399" t="s">
        <v>18</v>
      </c>
      <c r="I399">
        <v>2132</v>
      </c>
      <c r="J399">
        <v>1</v>
      </c>
      <c r="K399">
        <v>0.24</v>
      </c>
      <c r="L399">
        <v>1264</v>
      </c>
      <c r="M399" t="s">
        <v>31</v>
      </c>
      <c r="N399">
        <v>1620.32</v>
      </c>
      <c r="O399" t="str">
        <f>TEXT(SalesData[[#This Row],[Order_Date]],"mmm")</f>
        <v>Feb</v>
      </c>
      <c r="P399">
        <f>YEAR(SalesData[[#This Row],[Order_Date]])</f>
        <v>2025</v>
      </c>
      <c r="Q399" t="str">
        <f>"Q"&amp;ROUNDUP(MONTH(SalesData[[#This Row],[Order_Date]])/3,0)</f>
        <v>Q1</v>
      </c>
      <c r="R399" s="2">
        <f>IFERROR(SalesData[[#This Row],[Profit]]/SalesData[[#This Row],[Sales]],0)</f>
        <v>0.78009282117112677</v>
      </c>
      <c r="S399" s="2">
        <f>SalesData[[#This Row],[Price]]*SalesData[[#This Row],[Quantity]]*SalesData[[#This Row],[Discount]]</f>
        <v>511.68</v>
      </c>
      <c r="T399" s="2" t="str">
        <f>IF(SalesData[[#This Row],[Sales]]&gt;5000,"High",IF(SalesData[[#This Row],[Sales]]&gt;2000,"Medium","Low"))</f>
        <v>Low</v>
      </c>
      <c r="U399" s="2" t="str">
        <f>IF(COUNTIFS(SalesData[Customer_ID],SalesData[[#This Row],[Customer_ID]])&gt;1,"Repeat","New")</f>
        <v>Repeat</v>
      </c>
      <c r="V399" s="2" t="str">
        <f>IF(SalesData[[#This Row],[Sales]]&gt;AVERAGE(SalesData[Sales]),"Above Avg","Below Avg")</f>
        <v>Below Avg</v>
      </c>
      <c r="W399" s="2" t="str">
        <f>IF(SalesData[[#This Row],[Profit]]&gt;0,"Profit","Loss")</f>
        <v>Profit</v>
      </c>
      <c r="X399" s="2">
        <f>RANK(SalesData[[#This Row],[Sales]],SalesData[Sales])</f>
        <v>451</v>
      </c>
    </row>
    <row r="400" spans="1:24" x14ac:dyDescent="0.3">
      <c r="A400">
        <v>399</v>
      </c>
      <c r="B400" s="1">
        <v>45690</v>
      </c>
      <c r="C400">
        <v>1031</v>
      </c>
      <c r="D400" t="s">
        <v>169</v>
      </c>
      <c r="E400" t="s">
        <v>15</v>
      </c>
      <c r="F400" t="s">
        <v>33</v>
      </c>
      <c r="G400" t="s">
        <v>34</v>
      </c>
      <c r="H400" t="s">
        <v>18</v>
      </c>
      <c r="I400">
        <v>160</v>
      </c>
      <c r="J400">
        <v>9</v>
      </c>
      <c r="K400">
        <v>0.22</v>
      </c>
      <c r="L400">
        <v>121</v>
      </c>
      <c r="M400" t="s">
        <v>19</v>
      </c>
      <c r="N400">
        <v>1123.2</v>
      </c>
      <c r="O400" t="str">
        <f>TEXT(SalesData[[#This Row],[Order_Date]],"mmm")</f>
        <v>Feb</v>
      </c>
      <c r="P400">
        <f>YEAR(SalesData[[#This Row],[Order_Date]])</f>
        <v>2025</v>
      </c>
      <c r="Q400" t="str">
        <f>"Q"&amp;ROUNDUP(MONTH(SalesData[[#This Row],[Order_Date]])/3,0)</f>
        <v>Q1</v>
      </c>
      <c r="R400" s="2">
        <f>IFERROR(SalesData[[#This Row],[Profit]]/SalesData[[#This Row],[Sales]],0)</f>
        <v>0.10772792022792023</v>
      </c>
      <c r="S400" s="2">
        <f>SalesData[[#This Row],[Price]]*SalesData[[#This Row],[Quantity]]*SalesData[[#This Row],[Discount]]</f>
        <v>316.8</v>
      </c>
      <c r="T400" s="2" t="str">
        <f>IF(SalesData[[#This Row],[Sales]]&gt;5000,"High",IF(SalesData[[#This Row],[Sales]]&gt;2000,"Medium","Low"))</f>
        <v>Low</v>
      </c>
      <c r="U400" s="2" t="str">
        <f>IF(COUNTIFS(SalesData[Customer_ID],SalesData[[#This Row],[Customer_ID]])&gt;1,"Repeat","New")</f>
        <v>New</v>
      </c>
      <c r="V400" s="2" t="str">
        <f>IF(SalesData[[#This Row],[Sales]]&gt;AVERAGE(SalesData[Sales]),"Above Avg","Below Avg")</f>
        <v>Below Avg</v>
      </c>
      <c r="W400" s="2" t="str">
        <f>IF(SalesData[[#This Row],[Profit]]&gt;0,"Profit","Loss")</f>
        <v>Profit</v>
      </c>
      <c r="X400" s="2">
        <f>RANK(SalesData[[#This Row],[Sales]],SalesData[Sales])</f>
        <v>473</v>
      </c>
    </row>
    <row r="401" spans="1:24" x14ac:dyDescent="0.3">
      <c r="A401">
        <v>400</v>
      </c>
      <c r="B401" s="1">
        <v>45691</v>
      </c>
      <c r="C401">
        <v>1070</v>
      </c>
      <c r="D401" t="s">
        <v>130</v>
      </c>
      <c r="E401" t="s">
        <v>15</v>
      </c>
      <c r="F401" t="s">
        <v>21</v>
      </c>
      <c r="G401" t="s">
        <v>34</v>
      </c>
      <c r="H401" t="s">
        <v>29</v>
      </c>
      <c r="I401">
        <v>1845</v>
      </c>
      <c r="J401">
        <v>2</v>
      </c>
      <c r="K401">
        <v>0.18</v>
      </c>
      <c r="L401">
        <v>-188</v>
      </c>
      <c r="M401" t="s">
        <v>31</v>
      </c>
      <c r="N401">
        <v>3025.8</v>
      </c>
      <c r="O401" t="str">
        <f>TEXT(SalesData[[#This Row],[Order_Date]],"mmm")</f>
        <v>Feb</v>
      </c>
      <c r="P401">
        <f>YEAR(SalesData[[#This Row],[Order_Date]])</f>
        <v>2025</v>
      </c>
      <c r="Q401" t="str">
        <f>"Q"&amp;ROUNDUP(MONTH(SalesData[[#This Row],[Order_Date]])/3,0)</f>
        <v>Q1</v>
      </c>
      <c r="R401" s="2">
        <f>IFERROR(SalesData[[#This Row],[Profit]]/SalesData[[#This Row],[Sales]],0)</f>
        <v>-6.2132328640359571E-2</v>
      </c>
      <c r="S401" s="2">
        <f>SalesData[[#This Row],[Price]]*SalesData[[#This Row],[Quantity]]*SalesData[[#This Row],[Discount]]</f>
        <v>664.19999999999993</v>
      </c>
      <c r="T401" s="2" t="str">
        <f>IF(SalesData[[#This Row],[Sales]]&gt;5000,"High",IF(SalesData[[#This Row],[Sales]]&gt;2000,"Medium","Low"))</f>
        <v>Medium</v>
      </c>
      <c r="U401" s="2" t="str">
        <f>IF(COUNTIFS(SalesData[Customer_ID],SalesData[[#This Row],[Customer_ID]])&gt;1,"Repeat","New")</f>
        <v>Repeat</v>
      </c>
      <c r="V401" s="2" t="str">
        <f>IF(SalesData[[#This Row],[Sales]]&gt;AVERAGE(SalesData[Sales]),"Above Avg","Below Avg")</f>
        <v>Below Avg</v>
      </c>
      <c r="W401" s="2" t="str">
        <f>IF(SalesData[[#This Row],[Profit]]&gt;0,"Profit","Loss")</f>
        <v>Loss</v>
      </c>
      <c r="X401" s="2">
        <f>RANK(SalesData[[#This Row],[Sales]],SalesData[Sales])</f>
        <v>391</v>
      </c>
    </row>
    <row r="402" spans="1:24" x14ac:dyDescent="0.3">
      <c r="A402">
        <v>401</v>
      </c>
      <c r="B402" s="1">
        <v>45692</v>
      </c>
      <c r="C402">
        <v>1096</v>
      </c>
      <c r="D402" t="s">
        <v>121</v>
      </c>
      <c r="E402" t="s">
        <v>15</v>
      </c>
      <c r="F402" t="s">
        <v>21</v>
      </c>
      <c r="G402" t="s">
        <v>17</v>
      </c>
      <c r="H402" t="s">
        <v>37</v>
      </c>
      <c r="I402">
        <v>3601</v>
      </c>
      <c r="J402">
        <v>7</v>
      </c>
      <c r="K402">
        <v>0.06</v>
      </c>
      <c r="L402">
        <v>774</v>
      </c>
      <c r="M402" t="s">
        <v>26</v>
      </c>
      <c r="N402">
        <v>23694.5799999999</v>
      </c>
      <c r="O402" t="str">
        <f>TEXT(SalesData[[#This Row],[Order_Date]],"mmm")</f>
        <v>Feb</v>
      </c>
      <c r="P402">
        <f>YEAR(SalesData[[#This Row],[Order_Date]])</f>
        <v>2025</v>
      </c>
      <c r="Q402" t="str">
        <f>"Q"&amp;ROUNDUP(MONTH(SalesData[[#This Row],[Order_Date]])/3,0)</f>
        <v>Q1</v>
      </c>
      <c r="R402" s="2">
        <f>IFERROR(SalesData[[#This Row],[Profit]]/SalesData[[#This Row],[Sales]],0)</f>
        <v>3.2665698231410023E-2</v>
      </c>
      <c r="S402" s="2">
        <f>SalesData[[#This Row],[Price]]*SalesData[[#This Row],[Quantity]]*SalesData[[#This Row],[Discount]]</f>
        <v>1512.4199999999998</v>
      </c>
      <c r="T402" s="2" t="str">
        <f>IF(SalesData[[#This Row],[Sales]]&gt;5000,"High",IF(SalesData[[#This Row],[Sales]]&gt;2000,"Medium","Low"))</f>
        <v>High</v>
      </c>
      <c r="U402" s="2" t="str">
        <f>IF(COUNTIFS(SalesData[Customer_ID],SalesData[[#This Row],[Customer_ID]])&gt;1,"Repeat","New")</f>
        <v>Repeat</v>
      </c>
      <c r="V402" s="2" t="str">
        <f>IF(SalesData[[#This Row],[Sales]]&gt;AVERAGE(SalesData[Sales]),"Above Avg","Below Avg")</f>
        <v>Above Avg</v>
      </c>
      <c r="W402" s="2" t="str">
        <f>IF(SalesData[[#This Row],[Profit]]&gt;0,"Profit","Loss")</f>
        <v>Profit</v>
      </c>
      <c r="X402" s="2">
        <f>RANK(SalesData[[#This Row],[Sales]],SalesData[Sales])</f>
        <v>54</v>
      </c>
    </row>
    <row r="403" spans="1:24" x14ac:dyDescent="0.3">
      <c r="A403">
        <v>402</v>
      </c>
      <c r="B403" s="1">
        <v>45693</v>
      </c>
      <c r="C403">
        <v>1007</v>
      </c>
      <c r="D403" t="s">
        <v>56</v>
      </c>
      <c r="E403" t="s">
        <v>15</v>
      </c>
      <c r="F403" t="s">
        <v>28</v>
      </c>
      <c r="G403" t="s">
        <v>22</v>
      </c>
      <c r="H403" t="s">
        <v>25</v>
      </c>
      <c r="I403">
        <v>1056</v>
      </c>
      <c r="J403">
        <v>2</v>
      </c>
      <c r="K403">
        <v>0</v>
      </c>
      <c r="L403">
        <v>1283</v>
      </c>
      <c r="M403" t="s">
        <v>19</v>
      </c>
      <c r="N403">
        <v>2112</v>
      </c>
      <c r="O403" t="str">
        <f>TEXT(SalesData[[#This Row],[Order_Date]],"mmm")</f>
        <v>Feb</v>
      </c>
      <c r="P403">
        <f>YEAR(SalesData[[#This Row],[Order_Date]])</f>
        <v>2025</v>
      </c>
      <c r="Q403" t="str">
        <f>"Q"&amp;ROUNDUP(MONTH(SalesData[[#This Row],[Order_Date]])/3,0)</f>
        <v>Q1</v>
      </c>
      <c r="R403" s="2">
        <f>IFERROR(SalesData[[#This Row],[Profit]]/SalesData[[#This Row],[Sales]],0)</f>
        <v>0.60748106060606055</v>
      </c>
      <c r="S403" s="2">
        <f>SalesData[[#This Row],[Price]]*SalesData[[#This Row],[Quantity]]*SalesData[[#This Row],[Discount]]</f>
        <v>0</v>
      </c>
      <c r="T403" s="2" t="str">
        <f>IF(SalesData[[#This Row],[Sales]]&gt;5000,"High",IF(SalesData[[#This Row],[Sales]]&gt;2000,"Medium","Low"))</f>
        <v>Medium</v>
      </c>
      <c r="U403" s="2" t="str">
        <f>IF(COUNTIFS(SalesData[Customer_ID],SalesData[[#This Row],[Customer_ID]])&gt;1,"Repeat","New")</f>
        <v>Repeat</v>
      </c>
      <c r="V403" s="2" t="str">
        <f>IF(SalesData[[#This Row],[Sales]]&gt;AVERAGE(SalesData[Sales]),"Above Avg","Below Avg")</f>
        <v>Below Avg</v>
      </c>
      <c r="W403" s="2" t="str">
        <f>IF(SalesData[[#This Row],[Profit]]&gt;0,"Profit","Loss")</f>
        <v>Profit</v>
      </c>
      <c r="X403" s="2">
        <f>RANK(SalesData[[#This Row],[Sales]],SalesData[Sales])</f>
        <v>422</v>
      </c>
    </row>
    <row r="404" spans="1:24" x14ac:dyDescent="0.3">
      <c r="A404">
        <v>403</v>
      </c>
      <c r="B404" s="1">
        <v>45694</v>
      </c>
      <c r="C404">
        <v>1077</v>
      </c>
      <c r="D404" t="s">
        <v>114</v>
      </c>
      <c r="E404" t="s">
        <v>15</v>
      </c>
      <c r="F404" t="s">
        <v>28</v>
      </c>
      <c r="G404" t="s">
        <v>22</v>
      </c>
      <c r="H404" t="s">
        <v>25</v>
      </c>
      <c r="I404">
        <v>4889</v>
      </c>
      <c r="J404">
        <v>8</v>
      </c>
      <c r="K404">
        <v>0.14000000000000001</v>
      </c>
      <c r="L404">
        <v>517</v>
      </c>
      <c r="M404" t="s">
        <v>19</v>
      </c>
      <c r="N404">
        <v>33636.32</v>
      </c>
      <c r="O404" t="str">
        <f>TEXT(SalesData[[#This Row],[Order_Date]],"mmm")</f>
        <v>Feb</v>
      </c>
      <c r="P404">
        <f>YEAR(SalesData[[#This Row],[Order_Date]])</f>
        <v>2025</v>
      </c>
      <c r="Q404" t="str">
        <f>"Q"&amp;ROUNDUP(MONTH(SalesData[[#This Row],[Order_Date]])/3,0)</f>
        <v>Q1</v>
      </c>
      <c r="R404" s="2">
        <f>IFERROR(SalesData[[#This Row],[Profit]]/SalesData[[#This Row],[Sales]],0)</f>
        <v>1.5370290210106219E-2</v>
      </c>
      <c r="S404" s="2">
        <f>SalesData[[#This Row],[Price]]*SalesData[[#This Row],[Quantity]]*SalesData[[#This Row],[Discount]]</f>
        <v>5475.68</v>
      </c>
      <c r="T404" s="2" t="str">
        <f>IF(SalesData[[#This Row],[Sales]]&gt;5000,"High",IF(SalesData[[#This Row],[Sales]]&gt;2000,"Medium","Low"))</f>
        <v>High</v>
      </c>
      <c r="U404" s="2" t="str">
        <f>IF(COUNTIFS(SalesData[Customer_ID],SalesData[[#This Row],[Customer_ID]])&gt;1,"Repeat","New")</f>
        <v>Repeat</v>
      </c>
      <c r="V404" s="2" t="str">
        <f>IF(SalesData[[#This Row],[Sales]]&gt;AVERAGE(SalesData[Sales]),"Above Avg","Below Avg")</f>
        <v>Above Avg</v>
      </c>
      <c r="W404" s="2" t="str">
        <f>IF(SalesData[[#This Row],[Profit]]&gt;0,"Profit","Loss")</f>
        <v>Profit</v>
      </c>
      <c r="X404" s="2">
        <f>RANK(SalesData[[#This Row],[Sales]],SalesData[Sales])</f>
        <v>16</v>
      </c>
    </row>
    <row r="405" spans="1:24" x14ac:dyDescent="0.3">
      <c r="A405">
        <v>404</v>
      </c>
      <c r="B405" s="1">
        <v>45695</v>
      </c>
      <c r="C405">
        <v>1061</v>
      </c>
      <c r="D405" t="s">
        <v>138</v>
      </c>
      <c r="E405" t="s">
        <v>15</v>
      </c>
      <c r="F405" t="s">
        <v>16</v>
      </c>
      <c r="G405" t="s">
        <v>17</v>
      </c>
      <c r="H405" t="s">
        <v>25</v>
      </c>
      <c r="I405">
        <v>4231</v>
      </c>
      <c r="J405">
        <v>3</v>
      </c>
      <c r="K405">
        <v>7.0000000000000007E-2</v>
      </c>
      <c r="L405">
        <v>-225</v>
      </c>
      <c r="M405" t="s">
        <v>19</v>
      </c>
      <c r="N405">
        <v>11804.49</v>
      </c>
      <c r="O405" t="str">
        <f>TEXT(SalesData[[#This Row],[Order_Date]],"mmm")</f>
        <v>Feb</v>
      </c>
      <c r="P405">
        <f>YEAR(SalesData[[#This Row],[Order_Date]])</f>
        <v>2025</v>
      </c>
      <c r="Q405" t="str">
        <f>"Q"&amp;ROUNDUP(MONTH(SalesData[[#This Row],[Order_Date]])/3,0)</f>
        <v>Q1</v>
      </c>
      <c r="R405" s="2">
        <f>IFERROR(SalesData[[#This Row],[Profit]]/SalesData[[#This Row],[Sales]],0)</f>
        <v>-1.9060543911681063E-2</v>
      </c>
      <c r="S405" s="2">
        <f>SalesData[[#This Row],[Price]]*SalesData[[#This Row],[Quantity]]*SalesData[[#This Row],[Discount]]</f>
        <v>888.5100000000001</v>
      </c>
      <c r="T405" s="2" t="str">
        <f>IF(SalesData[[#This Row],[Sales]]&gt;5000,"High",IF(SalesData[[#This Row],[Sales]]&gt;2000,"Medium","Low"))</f>
        <v>High</v>
      </c>
      <c r="U405" s="2" t="str">
        <f>IF(COUNTIFS(SalesData[Customer_ID],SalesData[[#This Row],[Customer_ID]])&gt;1,"Repeat","New")</f>
        <v>Repeat</v>
      </c>
      <c r="V405" s="2" t="str">
        <f>IF(SalesData[[#This Row],[Sales]]&gt;AVERAGE(SalesData[Sales]),"Above Avg","Below Avg")</f>
        <v>Above Avg</v>
      </c>
      <c r="W405" s="2" t="str">
        <f>IF(SalesData[[#This Row],[Profit]]&gt;0,"Profit","Loss")</f>
        <v>Loss</v>
      </c>
      <c r="X405" s="2">
        <f>RANK(SalesData[[#This Row],[Sales]],SalesData[Sales])</f>
        <v>172</v>
      </c>
    </row>
    <row r="406" spans="1:24" x14ac:dyDescent="0.3">
      <c r="A406">
        <v>405</v>
      </c>
      <c r="B406" s="1">
        <v>45696</v>
      </c>
      <c r="C406">
        <v>1088</v>
      </c>
      <c r="D406" t="s">
        <v>73</v>
      </c>
      <c r="E406" t="s">
        <v>24</v>
      </c>
      <c r="F406" t="s">
        <v>16</v>
      </c>
      <c r="G406" t="s">
        <v>17</v>
      </c>
      <c r="H406" t="s">
        <v>29</v>
      </c>
      <c r="I406">
        <v>2954</v>
      </c>
      <c r="J406">
        <v>6</v>
      </c>
      <c r="K406">
        <v>7.0000000000000007E-2</v>
      </c>
      <c r="L406">
        <v>-111</v>
      </c>
      <c r="M406" t="s">
        <v>31</v>
      </c>
      <c r="N406">
        <v>16483.32</v>
      </c>
      <c r="O406" t="str">
        <f>TEXT(SalesData[[#This Row],[Order_Date]],"mmm")</f>
        <v>Feb</v>
      </c>
      <c r="P406">
        <f>YEAR(SalesData[[#This Row],[Order_Date]])</f>
        <v>2025</v>
      </c>
      <c r="Q406" t="str">
        <f>"Q"&amp;ROUNDUP(MONTH(SalesData[[#This Row],[Order_Date]])/3,0)</f>
        <v>Q1</v>
      </c>
      <c r="R406" s="2">
        <f>IFERROR(SalesData[[#This Row],[Profit]]/SalesData[[#This Row],[Sales]],0)</f>
        <v>-6.7340802702368216E-3</v>
      </c>
      <c r="S406" s="2">
        <f>SalesData[[#This Row],[Price]]*SalesData[[#This Row],[Quantity]]*SalesData[[#This Row],[Discount]]</f>
        <v>1240.68</v>
      </c>
      <c r="T406" s="2" t="str">
        <f>IF(SalesData[[#This Row],[Sales]]&gt;5000,"High",IF(SalesData[[#This Row],[Sales]]&gt;2000,"Medium","Low"))</f>
        <v>High</v>
      </c>
      <c r="U406" s="2" t="str">
        <f>IF(COUNTIFS(SalesData[Customer_ID],SalesData[[#This Row],[Customer_ID]])&gt;1,"Repeat","New")</f>
        <v>Repeat</v>
      </c>
      <c r="V406" s="2" t="str">
        <f>IF(SalesData[[#This Row],[Sales]]&gt;AVERAGE(SalesData[Sales]),"Above Avg","Below Avg")</f>
        <v>Above Avg</v>
      </c>
      <c r="W406" s="2" t="str">
        <f>IF(SalesData[[#This Row],[Profit]]&gt;0,"Profit","Loss")</f>
        <v>Loss</v>
      </c>
      <c r="X406" s="2">
        <f>RANK(SalesData[[#This Row],[Sales]],SalesData[Sales])</f>
        <v>115</v>
      </c>
    </row>
    <row r="407" spans="1:24" x14ac:dyDescent="0.3">
      <c r="A407">
        <v>406</v>
      </c>
      <c r="B407" s="1">
        <v>45697</v>
      </c>
      <c r="C407">
        <v>1095</v>
      </c>
      <c r="D407" t="s">
        <v>181</v>
      </c>
      <c r="E407" t="s">
        <v>24</v>
      </c>
      <c r="F407" t="s">
        <v>28</v>
      </c>
      <c r="G407" t="s">
        <v>17</v>
      </c>
      <c r="H407" t="s">
        <v>25</v>
      </c>
      <c r="I407">
        <v>3263</v>
      </c>
      <c r="J407">
        <v>8</v>
      </c>
      <c r="K407">
        <v>0.15</v>
      </c>
      <c r="L407">
        <v>562</v>
      </c>
      <c r="M407" t="s">
        <v>31</v>
      </c>
      <c r="N407">
        <v>22188.3999999999</v>
      </c>
      <c r="O407" t="str">
        <f>TEXT(SalesData[[#This Row],[Order_Date]],"mmm")</f>
        <v>Feb</v>
      </c>
      <c r="P407">
        <f>YEAR(SalesData[[#This Row],[Order_Date]])</f>
        <v>2025</v>
      </c>
      <c r="Q407" t="str">
        <f>"Q"&amp;ROUNDUP(MONTH(SalesData[[#This Row],[Order_Date]])/3,0)</f>
        <v>Q1</v>
      </c>
      <c r="R407" s="2">
        <f>IFERROR(SalesData[[#This Row],[Profit]]/SalesData[[#This Row],[Sales]],0)</f>
        <v>2.5328550053181055E-2</v>
      </c>
      <c r="S407" s="2">
        <f>SalesData[[#This Row],[Price]]*SalesData[[#This Row],[Quantity]]*SalesData[[#This Row],[Discount]]</f>
        <v>3915.6</v>
      </c>
      <c r="T407" s="2" t="str">
        <f>IF(SalesData[[#This Row],[Sales]]&gt;5000,"High",IF(SalesData[[#This Row],[Sales]]&gt;2000,"Medium","Low"))</f>
        <v>High</v>
      </c>
      <c r="U407" s="2" t="str">
        <f>IF(COUNTIFS(SalesData[Customer_ID],SalesData[[#This Row],[Customer_ID]])&gt;1,"Repeat","New")</f>
        <v>Repeat</v>
      </c>
      <c r="V407" s="2" t="str">
        <f>IF(SalesData[[#This Row],[Sales]]&gt;AVERAGE(SalesData[Sales]),"Above Avg","Below Avg")</f>
        <v>Above Avg</v>
      </c>
      <c r="W407" s="2" t="str">
        <f>IF(SalesData[[#This Row],[Profit]]&gt;0,"Profit","Loss")</f>
        <v>Profit</v>
      </c>
      <c r="X407" s="2">
        <f>RANK(SalesData[[#This Row],[Sales]],SalesData[Sales])</f>
        <v>65</v>
      </c>
    </row>
    <row r="408" spans="1:24" x14ac:dyDescent="0.3">
      <c r="A408">
        <v>407</v>
      </c>
      <c r="B408" s="1">
        <v>45698</v>
      </c>
      <c r="C408">
        <v>1027</v>
      </c>
      <c r="D408" t="s">
        <v>30</v>
      </c>
      <c r="E408" t="s">
        <v>24</v>
      </c>
      <c r="F408" t="s">
        <v>33</v>
      </c>
      <c r="G408" t="s">
        <v>17</v>
      </c>
      <c r="H408" t="s">
        <v>25</v>
      </c>
      <c r="I408">
        <v>1024</v>
      </c>
      <c r="J408">
        <v>5</v>
      </c>
      <c r="K408">
        <v>0.11</v>
      </c>
      <c r="L408">
        <v>538</v>
      </c>
      <c r="M408" t="s">
        <v>31</v>
      </c>
      <c r="N408">
        <v>4556.8</v>
      </c>
      <c r="O408" t="str">
        <f>TEXT(SalesData[[#This Row],[Order_Date]],"mmm")</f>
        <v>Feb</v>
      </c>
      <c r="P408">
        <f>YEAR(SalesData[[#This Row],[Order_Date]])</f>
        <v>2025</v>
      </c>
      <c r="Q408" t="str">
        <f>"Q"&amp;ROUNDUP(MONTH(SalesData[[#This Row],[Order_Date]])/3,0)</f>
        <v>Q1</v>
      </c>
      <c r="R408" s="2">
        <f>IFERROR(SalesData[[#This Row],[Profit]]/SalesData[[#This Row],[Sales]],0)</f>
        <v>0.11806530898876404</v>
      </c>
      <c r="S408" s="2">
        <f>SalesData[[#This Row],[Price]]*SalesData[[#This Row],[Quantity]]*SalesData[[#This Row],[Discount]]</f>
        <v>563.20000000000005</v>
      </c>
      <c r="T408" s="2" t="str">
        <f>IF(SalesData[[#This Row],[Sales]]&gt;5000,"High",IF(SalesData[[#This Row],[Sales]]&gt;2000,"Medium","Low"))</f>
        <v>Medium</v>
      </c>
      <c r="U408" s="2" t="str">
        <f>IF(COUNTIFS(SalesData[Customer_ID],SalesData[[#This Row],[Customer_ID]])&gt;1,"Repeat","New")</f>
        <v>Repeat</v>
      </c>
      <c r="V408" s="2" t="str">
        <f>IF(SalesData[[#This Row],[Sales]]&gt;AVERAGE(SalesData[Sales]),"Above Avg","Below Avg")</f>
        <v>Below Avg</v>
      </c>
      <c r="W408" s="2" t="str">
        <f>IF(SalesData[[#This Row],[Profit]]&gt;0,"Profit","Loss")</f>
        <v>Profit</v>
      </c>
      <c r="X408" s="2">
        <f>RANK(SalesData[[#This Row],[Sales]],SalesData[Sales])</f>
        <v>337</v>
      </c>
    </row>
    <row r="409" spans="1:24" x14ac:dyDescent="0.3">
      <c r="A409">
        <v>408</v>
      </c>
      <c r="B409" s="1">
        <v>45699</v>
      </c>
      <c r="C409">
        <v>1065</v>
      </c>
      <c r="D409" t="s">
        <v>69</v>
      </c>
      <c r="E409" t="s">
        <v>15</v>
      </c>
      <c r="F409" t="s">
        <v>21</v>
      </c>
      <c r="G409" t="s">
        <v>22</v>
      </c>
      <c r="H409" t="s">
        <v>18</v>
      </c>
      <c r="I409">
        <v>2288</v>
      </c>
      <c r="J409">
        <v>7</v>
      </c>
      <c r="K409">
        <v>0.15</v>
      </c>
      <c r="L409">
        <v>634</v>
      </c>
      <c r="M409" t="s">
        <v>26</v>
      </c>
      <c r="N409">
        <v>13613.6</v>
      </c>
      <c r="O409" t="str">
        <f>TEXT(SalesData[[#This Row],[Order_Date]],"mmm")</f>
        <v>Feb</v>
      </c>
      <c r="P409">
        <f>YEAR(SalesData[[#This Row],[Order_Date]])</f>
        <v>2025</v>
      </c>
      <c r="Q409" t="str">
        <f>"Q"&amp;ROUNDUP(MONTH(SalesData[[#This Row],[Order_Date]])/3,0)</f>
        <v>Q1</v>
      </c>
      <c r="R409" s="2">
        <f>IFERROR(SalesData[[#This Row],[Profit]]/SalesData[[#This Row],[Sales]],0)</f>
        <v>4.6571075982840687E-2</v>
      </c>
      <c r="S409" s="2">
        <f>SalesData[[#This Row],[Price]]*SalesData[[#This Row],[Quantity]]*SalesData[[#This Row],[Discount]]</f>
        <v>2402.4</v>
      </c>
      <c r="T409" s="2" t="str">
        <f>IF(SalesData[[#This Row],[Sales]]&gt;5000,"High",IF(SalesData[[#This Row],[Sales]]&gt;2000,"Medium","Low"))</f>
        <v>High</v>
      </c>
      <c r="U409" s="2" t="str">
        <f>IF(COUNTIFS(SalesData[Customer_ID],SalesData[[#This Row],[Customer_ID]])&gt;1,"Repeat","New")</f>
        <v>Repeat</v>
      </c>
      <c r="V409" s="2" t="str">
        <f>IF(SalesData[[#This Row],[Sales]]&gt;AVERAGE(SalesData[Sales]),"Above Avg","Below Avg")</f>
        <v>Above Avg</v>
      </c>
      <c r="W409" s="2" t="str">
        <f>IF(SalesData[[#This Row],[Profit]]&gt;0,"Profit","Loss")</f>
        <v>Profit</v>
      </c>
      <c r="X409" s="2">
        <f>RANK(SalesData[[#This Row],[Sales]],SalesData[Sales])</f>
        <v>152</v>
      </c>
    </row>
    <row r="410" spans="1:24" x14ac:dyDescent="0.3">
      <c r="A410">
        <v>409</v>
      </c>
      <c r="B410" s="1">
        <v>45700</v>
      </c>
      <c r="C410">
        <v>1016</v>
      </c>
      <c r="D410" t="s">
        <v>64</v>
      </c>
      <c r="E410" t="s">
        <v>15</v>
      </c>
      <c r="F410" t="s">
        <v>28</v>
      </c>
      <c r="G410" t="s">
        <v>17</v>
      </c>
      <c r="H410" t="s">
        <v>18</v>
      </c>
      <c r="I410">
        <v>4617</v>
      </c>
      <c r="J410">
        <v>9</v>
      </c>
      <c r="K410">
        <v>0.08</v>
      </c>
      <c r="L410">
        <v>1491</v>
      </c>
      <c r="M410" t="s">
        <v>26</v>
      </c>
      <c r="N410">
        <v>38228.76</v>
      </c>
      <c r="O410" t="str">
        <f>TEXT(SalesData[[#This Row],[Order_Date]],"mmm")</f>
        <v>Feb</v>
      </c>
      <c r="P410">
        <f>YEAR(SalesData[[#This Row],[Order_Date]])</f>
        <v>2025</v>
      </c>
      <c r="Q410" t="str">
        <f>"Q"&amp;ROUNDUP(MONTH(SalesData[[#This Row],[Order_Date]])/3,0)</f>
        <v>Q1</v>
      </c>
      <c r="R410" s="2">
        <f>IFERROR(SalesData[[#This Row],[Profit]]/SalesData[[#This Row],[Sales]],0)</f>
        <v>3.9002049765673799E-2</v>
      </c>
      <c r="S410" s="2">
        <f>SalesData[[#This Row],[Price]]*SalesData[[#This Row],[Quantity]]*SalesData[[#This Row],[Discount]]</f>
        <v>3324.2400000000002</v>
      </c>
      <c r="T410" s="2" t="str">
        <f>IF(SalesData[[#This Row],[Sales]]&gt;5000,"High",IF(SalesData[[#This Row],[Sales]]&gt;2000,"Medium","Low"))</f>
        <v>High</v>
      </c>
      <c r="U410" s="2" t="str">
        <f>IF(COUNTIFS(SalesData[Customer_ID],SalesData[[#This Row],[Customer_ID]])&gt;1,"Repeat","New")</f>
        <v>Repeat</v>
      </c>
      <c r="V410" s="2" t="str">
        <f>IF(SalesData[[#This Row],[Sales]]&gt;AVERAGE(SalesData[Sales]),"Above Avg","Below Avg")</f>
        <v>Above Avg</v>
      </c>
      <c r="W410" s="2" t="str">
        <f>IF(SalesData[[#This Row],[Profit]]&gt;0,"Profit","Loss")</f>
        <v>Profit</v>
      </c>
      <c r="X410" s="2">
        <f>RANK(SalesData[[#This Row],[Sales]],SalesData[Sales])</f>
        <v>5</v>
      </c>
    </row>
    <row r="411" spans="1:24" x14ac:dyDescent="0.3">
      <c r="A411">
        <v>410</v>
      </c>
      <c r="B411" s="1">
        <v>45701</v>
      </c>
      <c r="C411">
        <v>1090</v>
      </c>
      <c r="D411" t="s">
        <v>68</v>
      </c>
      <c r="E411" t="s">
        <v>15</v>
      </c>
      <c r="F411" t="s">
        <v>28</v>
      </c>
      <c r="G411" t="s">
        <v>22</v>
      </c>
      <c r="H411" t="s">
        <v>25</v>
      </c>
      <c r="I411">
        <v>1303</v>
      </c>
      <c r="J411">
        <v>5</v>
      </c>
      <c r="K411">
        <v>0.18</v>
      </c>
      <c r="L411">
        <v>826</v>
      </c>
      <c r="M411" t="s">
        <v>26</v>
      </c>
      <c r="N411">
        <v>5342.3</v>
      </c>
      <c r="O411" t="str">
        <f>TEXT(SalesData[[#This Row],[Order_Date]],"mmm")</f>
        <v>Feb</v>
      </c>
      <c r="P411">
        <f>YEAR(SalesData[[#This Row],[Order_Date]])</f>
        <v>2025</v>
      </c>
      <c r="Q411" t="str">
        <f>"Q"&amp;ROUNDUP(MONTH(SalesData[[#This Row],[Order_Date]])/3,0)</f>
        <v>Q1</v>
      </c>
      <c r="R411" s="2">
        <f>IFERROR(SalesData[[#This Row],[Profit]]/SalesData[[#This Row],[Sales]],0)</f>
        <v>0.15461505344140164</v>
      </c>
      <c r="S411" s="2">
        <f>SalesData[[#This Row],[Price]]*SalesData[[#This Row],[Quantity]]*SalesData[[#This Row],[Discount]]</f>
        <v>1172.7</v>
      </c>
      <c r="T411" s="2" t="str">
        <f>IF(SalesData[[#This Row],[Sales]]&gt;5000,"High",IF(SalesData[[#This Row],[Sales]]&gt;2000,"Medium","Low"))</f>
        <v>High</v>
      </c>
      <c r="U411" s="2" t="str">
        <f>IF(COUNTIFS(SalesData[Customer_ID],SalesData[[#This Row],[Customer_ID]])&gt;1,"Repeat","New")</f>
        <v>Repeat</v>
      </c>
      <c r="V411" s="2" t="str">
        <f>IF(SalesData[[#This Row],[Sales]]&gt;AVERAGE(SalesData[Sales]),"Above Avg","Below Avg")</f>
        <v>Below Avg</v>
      </c>
      <c r="W411" s="2" t="str">
        <f>IF(SalesData[[#This Row],[Profit]]&gt;0,"Profit","Loss")</f>
        <v>Profit</v>
      </c>
      <c r="X411" s="2">
        <f>RANK(SalesData[[#This Row],[Sales]],SalesData[Sales])</f>
        <v>315</v>
      </c>
    </row>
    <row r="412" spans="1:24" x14ac:dyDescent="0.3">
      <c r="A412">
        <v>411</v>
      </c>
      <c r="B412" s="1">
        <v>45702</v>
      </c>
      <c r="C412">
        <v>1001</v>
      </c>
      <c r="D412" t="s">
        <v>81</v>
      </c>
      <c r="E412" t="s">
        <v>15</v>
      </c>
      <c r="F412" t="s">
        <v>16</v>
      </c>
      <c r="G412" t="s">
        <v>34</v>
      </c>
      <c r="H412" t="s">
        <v>18</v>
      </c>
      <c r="I412">
        <v>2942</v>
      </c>
      <c r="J412">
        <v>7</v>
      </c>
      <c r="K412">
        <v>0.19</v>
      </c>
      <c r="L412">
        <v>90</v>
      </c>
      <c r="M412" t="s">
        <v>19</v>
      </c>
      <c r="N412">
        <v>16681.14</v>
      </c>
      <c r="O412" t="str">
        <f>TEXT(SalesData[[#This Row],[Order_Date]],"mmm")</f>
        <v>Feb</v>
      </c>
      <c r="P412">
        <f>YEAR(SalesData[[#This Row],[Order_Date]])</f>
        <v>2025</v>
      </c>
      <c r="Q412" t="str">
        <f>"Q"&amp;ROUNDUP(MONTH(SalesData[[#This Row],[Order_Date]])/3,0)</f>
        <v>Q1</v>
      </c>
      <c r="R412" s="2">
        <f>IFERROR(SalesData[[#This Row],[Profit]]/SalesData[[#This Row],[Sales]],0)</f>
        <v>5.3953147087069595E-3</v>
      </c>
      <c r="S412" s="2">
        <f>SalesData[[#This Row],[Price]]*SalesData[[#This Row],[Quantity]]*SalesData[[#This Row],[Discount]]</f>
        <v>3912.86</v>
      </c>
      <c r="T412" s="2" t="str">
        <f>IF(SalesData[[#This Row],[Sales]]&gt;5000,"High",IF(SalesData[[#This Row],[Sales]]&gt;2000,"Medium","Low"))</f>
        <v>High</v>
      </c>
      <c r="U412" s="2" t="str">
        <f>IF(COUNTIFS(SalesData[Customer_ID],SalesData[[#This Row],[Customer_ID]])&gt;1,"Repeat","New")</f>
        <v>Repeat</v>
      </c>
      <c r="V412" s="2" t="str">
        <f>IF(SalesData[[#This Row],[Sales]]&gt;AVERAGE(SalesData[Sales]),"Above Avg","Below Avg")</f>
        <v>Above Avg</v>
      </c>
      <c r="W412" s="2" t="str">
        <f>IF(SalesData[[#This Row],[Profit]]&gt;0,"Profit","Loss")</f>
        <v>Profit</v>
      </c>
      <c r="X412" s="2">
        <f>RANK(SalesData[[#This Row],[Sales]],SalesData[Sales])</f>
        <v>109</v>
      </c>
    </row>
    <row r="413" spans="1:24" x14ac:dyDescent="0.3">
      <c r="A413">
        <v>412</v>
      </c>
      <c r="B413" s="1">
        <v>45703</v>
      </c>
      <c r="C413">
        <v>1007</v>
      </c>
      <c r="D413" t="s">
        <v>43</v>
      </c>
      <c r="E413" t="s">
        <v>15</v>
      </c>
      <c r="F413" t="s">
        <v>28</v>
      </c>
      <c r="G413" t="s">
        <v>34</v>
      </c>
      <c r="H413" t="s">
        <v>37</v>
      </c>
      <c r="I413">
        <v>3138</v>
      </c>
      <c r="J413">
        <v>8</v>
      </c>
      <c r="K413">
        <v>0.06</v>
      </c>
      <c r="L413">
        <v>281</v>
      </c>
      <c r="M413" t="s">
        <v>31</v>
      </c>
      <c r="N413">
        <v>23597.759999999998</v>
      </c>
      <c r="O413" t="str">
        <f>TEXT(SalesData[[#This Row],[Order_Date]],"mmm")</f>
        <v>Feb</v>
      </c>
      <c r="P413">
        <f>YEAR(SalesData[[#This Row],[Order_Date]])</f>
        <v>2025</v>
      </c>
      <c r="Q413" t="str">
        <f>"Q"&amp;ROUNDUP(MONTH(SalesData[[#This Row],[Order_Date]])/3,0)</f>
        <v>Q1</v>
      </c>
      <c r="R413" s="2">
        <f>IFERROR(SalesData[[#This Row],[Profit]]/SalesData[[#This Row],[Sales]],0)</f>
        <v>1.1907909903312858E-2</v>
      </c>
      <c r="S413" s="2">
        <f>SalesData[[#This Row],[Price]]*SalesData[[#This Row],[Quantity]]*SalesData[[#This Row],[Discount]]</f>
        <v>1506.24</v>
      </c>
      <c r="T413" s="2" t="str">
        <f>IF(SalesData[[#This Row],[Sales]]&gt;5000,"High",IF(SalesData[[#This Row],[Sales]]&gt;2000,"Medium","Low"))</f>
        <v>High</v>
      </c>
      <c r="U413" s="2" t="str">
        <f>IF(COUNTIFS(SalesData[Customer_ID],SalesData[[#This Row],[Customer_ID]])&gt;1,"Repeat","New")</f>
        <v>Repeat</v>
      </c>
      <c r="V413" s="2" t="str">
        <f>IF(SalesData[[#This Row],[Sales]]&gt;AVERAGE(SalesData[Sales]),"Above Avg","Below Avg")</f>
        <v>Above Avg</v>
      </c>
      <c r="W413" s="2" t="str">
        <f>IF(SalesData[[#This Row],[Profit]]&gt;0,"Profit","Loss")</f>
        <v>Profit</v>
      </c>
      <c r="X413" s="2">
        <f>RANK(SalesData[[#This Row],[Sales]],SalesData[Sales])</f>
        <v>55</v>
      </c>
    </row>
    <row r="414" spans="1:24" x14ac:dyDescent="0.3">
      <c r="A414">
        <v>413</v>
      </c>
      <c r="B414" s="1">
        <v>45704</v>
      </c>
      <c r="C414">
        <v>1037</v>
      </c>
      <c r="D414" t="s">
        <v>206</v>
      </c>
      <c r="E414" t="s">
        <v>24</v>
      </c>
      <c r="F414" t="s">
        <v>16</v>
      </c>
      <c r="G414" t="s">
        <v>17</v>
      </c>
      <c r="H414" t="s">
        <v>37</v>
      </c>
      <c r="I414">
        <v>2851</v>
      </c>
      <c r="J414">
        <v>4</v>
      </c>
      <c r="K414">
        <v>0.17</v>
      </c>
      <c r="L414">
        <v>385</v>
      </c>
      <c r="M414" t="s">
        <v>26</v>
      </c>
      <c r="N414">
        <v>9465.32</v>
      </c>
      <c r="O414" t="str">
        <f>TEXT(SalesData[[#This Row],[Order_Date]],"mmm")</f>
        <v>Feb</v>
      </c>
      <c r="P414">
        <f>YEAR(SalesData[[#This Row],[Order_Date]])</f>
        <v>2025</v>
      </c>
      <c r="Q414" t="str">
        <f>"Q"&amp;ROUNDUP(MONTH(SalesData[[#This Row],[Order_Date]])/3,0)</f>
        <v>Q1</v>
      </c>
      <c r="R414" s="2">
        <f>IFERROR(SalesData[[#This Row],[Profit]]/SalesData[[#This Row],[Sales]],0)</f>
        <v>4.0674800218059193E-2</v>
      </c>
      <c r="S414" s="2">
        <f>SalesData[[#This Row],[Price]]*SalesData[[#This Row],[Quantity]]*SalesData[[#This Row],[Discount]]</f>
        <v>1938.68</v>
      </c>
      <c r="T414" s="2" t="str">
        <f>IF(SalesData[[#This Row],[Sales]]&gt;5000,"High",IF(SalesData[[#This Row],[Sales]]&gt;2000,"Medium","Low"))</f>
        <v>High</v>
      </c>
      <c r="U414" s="2" t="str">
        <f>IF(COUNTIFS(SalesData[Customer_ID],SalesData[[#This Row],[Customer_ID]])&gt;1,"Repeat","New")</f>
        <v>Repeat</v>
      </c>
      <c r="V414" s="2" t="str">
        <f>IF(SalesData[[#This Row],[Sales]]&gt;AVERAGE(SalesData[Sales]),"Above Avg","Below Avg")</f>
        <v>Below Avg</v>
      </c>
      <c r="W414" s="2" t="str">
        <f>IF(SalesData[[#This Row],[Profit]]&gt;0,"Profit","Loss")</f>
        <v>Profit</v>
      </c>
      <c r="X414" s="2">
        <f>RANK(SalesData[[#This Row],[Sales]],SalesData[Sales])</f>
        <v>219</v>
      </c>
    </row>
    <row r="415" spans="1:24" x14ac:dyDescent="0.3">
      <c r="A415">
        <v>414</v>
      </c>
      <c r="B415" s="1">
        <v>45705</v>
      </c>
      <c r="C415">
        <v>1019</v>
      </c>
      <c r="D415" t="s">
        <v>63</v>
      </c>
      <c r="E415" t="s">
        <v>15</v>
      </c>
      <c r="F415" t="s">
        <v>21</v>
      </c>
      <c r="G415" t="s">
        <v>22</v>
      </c>
      <c r="H415" t="s">
        <v>18</v>
      </c>
      <c r="I415">
        <v>1181</v>
      </c>
      <c r="J415">
        <v>8</v>
      </c>
      <c r="K415">
        <v>0.13</v>
      </c>
      <c r="L415">
        <v>-134</v>
      </c>
      <c r="M415" t="s">
        <v>31</v>
      </c>
      <c r="N415">
        <v>8219.76</v>
      </c>
      <c r="O415" t="str">
        <f>TEXT(SalesData[[#This Row],[Order_Date]],"mmm")</f>
        <v>Feb</v>
      </c>
      <c r="P415">
        <f>YEAR(SalesData[[#This Row],[Order_Date]])</f>
        <v>2025</v>
      </c>
      <c r="Q415" t="str">
        <f>"Q"&amp;ROUNDUP(MONTH(SalesData[[#This Row],[Order_Date]])/3,0)</f>
        <v>Q1</v>
      </c>
      <c r="R415" s="2">
        <f>IFERROR(SalesData[[#This Row],[Profit]]/SalesData[[#This Row],[Sales]],0)</f>
        <v>-1.6302179139050289E-2</v>
      </c>
      <c r="S415" s="2">
        <f>SalesData[[#This Row],[Price]]*SalesData[[#This Row],[Quantity]]*SalesData[[#This Row],[Discount]]</f>
        <v>1228.24</v>
      </c>
      <c r="T415" s="2" t="str">
        <f>IF(SalesData[[#This Row],[Sales]]&gt;5000,"High",IF(SalesData[[#This Row],[Sales]]&gt;2000,"Medium","Low"))</f>
        <v>High</v>
      </c>
      <c r="U415" s="2" t="str">
        <f>IF(COUNTIFS(SalesData[Customer_ID],SalesData[[#This Row],[Customer_ID]])&gt;1,"Repeat","New")</f>
        <v>Repeat</v>
      </c>
      <c r="V415" s="2" t="str">
        <f>IF(SalesData[[#This Row],[Sales]]&gt;AVERAGE(SalesData[Sales]),"Above Avg","Below Avg")</f>
        <v>Below Avg</v>
      </c>
      <c r="W415" s="2" t="str">
        <f>IF(SalesData[[#This Row],[Profit]]&gt;0,"Profit","Loss")</f>
        <v>Loss</v>
      </c>
      <c r="X415" s="2">
        <f>RANK(SalesData[[#This Row],[Sales]],SalesData[Sales])</f>
        <v>243</v>
      </c>
    </row>
    <row r="416" spans="1:24" x14ac:dyDescent="0.3">
      <c r="A416">
        <v>415</v>
      </c>
      <c r="B416" s="1">
        <v>45706</v>
      </c>
      <c r="C416">
        <v>1063</v>
      </c>
      <c r="D416" t="s">
        <v>64</v>
      </c>
      <c r="E416" t="s">
        <v>24</v>
      </c>
      <c r="F416" t="s">
        <v>28</v>
      </c>
      <c r="G416" t="s">
        <v>34</v>
      </c>
      <c r="H416" t="s">
        <v>18</v>
      </c>
      <c r="I416">
        <v>4382</v>
      </c>
      <c r="J416">
        <v>8</v>
      </c>
      <c r="K416">
        <v>0.28999999999999998</v>
      </c>
      <c r="L416">
        <v>420</v>
      </c>
      <c r="M416" t="s">
        <v>19</v>
      </c>
      <c r="N416">
        <v>24889.759999999998</v>
      </c>
      <c r="O416" t="str">
        <f>TEXT(SalesData[[#This Row],[Order_Date]],"mmm")</f>
        <v>Feb</v>
      </c>
      <c r="P416">
        <f>YEAR(SalesData[[#This Row],[Order_Date]])</f>
        <v>2025</v>
      </c>
      <c r="Q416" t="str">
        <f>"Q"&amp;ROUNDUP(MONTH(SalesData[[#This Row],[Order_Date]])/3,0)</f>
        <v>Q1</v>
      </c>
      <c r="R416" s="2">
        <f>IFERROR(SalesData[[#This Row],[Profit]]/SalesData[[#This Row],[Sales]],0)</f>
        <v>1.6874409395671152E-2</v>
      </c>
      <c r="S416" s="2">
        <f>SalesData[[#This Row],[Price]]*SalesData[[#This Row],[Quantity]]*SalesData[[#This Row],[Discount]]</f>
        <v>10166.24</v>
      </c>
      <c r="T416" s="2" t="str">
        <f>IF(SalesData[[#This Row],[Sales]]&gt;5000,"High",IF(SalesData[[#This Row],[Sales]]&gt;2000,"Medium","Low"))</f>
        <v>High</v>
      </c>
      <c r="U416" s="2" t="str">
        <f>IF(COUNTIFS(SalesData[Customer_ID],SalesData[[#This Row],[Customer_ID]])&gt;1,"Repeat","New")</f>
        <v>Repeat</v>
      </c>
      <c r="V416" s="2" t="str">
        <f>IF(SalesData[[#This Row],[Sales]]&gt;AVERAGE(SalesData[Sales]),"Above Avg","Below Avg")</f>
        <v>Above Avg</v>
      </c>
      <c r="W416" s="2" t="str">
        <f>IF(SalesData[[#This Row],[Profit]]&gt;0,"Profit","Loss")</f>
        <v>Profit</v>
      </c>
      <c r="X416" s="2">
        <f>RANK(SalesData[[#This Row],[Sales]],SalesData[Sales])</f>
        <v>43</v>
      </c>
    </row>
    <row r="417" spans="1:24" x14ac:dyDescent="0.3">
      <c r="A417">
        <v>416</v>
      </c>
      <c r="B417" s="1">
        <v>45707</v>
      </c>
      <c r="C417">
        <v>1020</v>
      </c>
      <c r="D417" t="s">
        <v>207</v>
      </c>
      <c r="E417" t="s">
        <v>15</v>
      </c>
      <c r="F417" t="s">
        <v>21</v>
      </c>
      <c r="G417" t="s">
        <v>34</v>
      </c>
      <c r="H417" t="s">
        <v>37</v>
      </c>
      <c r="I417">
        <v>346</v>
      </c>
      <c r="J417">
        <v>1</v>
      </c>
      <c r="K417">
        <v>0.22</v>
      </c>
      <c r="L417">
        <v>1283</v>
      </c>
      <c r="M417" t="s">
        <v>31</v>
      </c>
      <c r="N417">
        <v>269.88</v>
      </c>
      <c r="O417" t="str">
        <f>TEXT(SalesData[[#This Row],[Order_Date]],"mmm")</f>
        <v>Feb</v>
      </c>
      <c r="P417">
        <f>YEAR(SalesData[[#This Row],[Order_Date]])</f>
        <v>2025</v>
      </c>
      <c r="Q417" t="str">
        <f>"Q"&amp;ROUNDUP(MONTH(SalesData[[#This Row],[Order_Date]])/3,0)</f>
        <v>Q1</v>
      </c>
      <c r="R417" s="2">
        <f>IFERROR(SalesData[[#This Row],[Profit]]/SalesData[[#This Row],[Sales]],0)</f>
        <v>4.7539647250629908</v>
      </c>
      <c r="S417" s="2">
        <f>SalesData[[#This Row],[Price]]*SalesData[[#This Row],[Quantity]]*SalesData[[#This Row],[Discount]]</f>
        <v>76.12</v>
      </c>
      <c r="T417" s="2" t="str">
        <f>IF(SalesData[[#This Row],[Sales]]&gt;5000,"High",IF(SalesData[[#This Row],[Sales]]&gt;2000,"Medium","Low"))</f>
        <v>Low</v>
      </c>
      <c r="U417" s="2" t="str">
        <f>IF(COUNTIFS(SalesData[Customer_ID],SalesData[[#This Row],[Customer_ID]])&gt;1,"Repeat","New")</f>
        <v>Repeat</v>
      </c>
      <c r="V417" s="2" t="str">
        <f>IF(SalesData[[#This Row],[Sales]]&gt;AVERAGE(SalesData[Sales]),"Above Avg","Below Avg")</f>
        <v>Below Avg</v>
      </c>
      <c r="W417" s="2" t="str">
        <f>IF(SalesData[[#This Row],[Profit]]&gt;0,"Profit","Loss")</f>
        <v>Profit</v>
      </c>
      <c r="X417" s="2">
        <f>RANK(SalesData[[#This Row],[Sales]],SalesData[Sales])</f>
        <v>497</v>
      </c>
    </row>
    <row r="418" spans="1:24" x14ac:dyDescent="0.3">
      <c r="A418">
        <v>417</v>
      </c>
      <c r="B418" s="1">
        <v>45708</v>
      </c>
      <c r="C418">
        <v>1089</v>
      </c>
      <c r="D418" t="s">
        <v>140</v>
      </c>
      <c r="E418" t="s">
        <v>15</v>
      </c>
      <c r="F418" t="s">
        <v>16</v>
      </c>
      <c r="G418" t="s">
        <v>17</v>
      </c>
      <c r="H418" t="s">
        <v>29</v>
      </c>
      <c r="I418">
        <v>895</v>
      </c>
      <c r="J418">
        <v>7</v>
      </c>
      <c r="K418">
        <v>0.05</v>
      </c>
      <c r="L418">
        <v>305</v>
      </c>
      <c r="M418" t="s">
        <v>26</v>
      </c>
      <c r="N418">
        <v>5951.75</v>
      </c>
      <c r="O418" t="str">
        <f>TEXT(SalesData[[#This Row],[Order_Date]],"mmm")</f>
        <v>Feb</v>
      </c>
      <c r="P418">
        <f>YEAR(SalesData[[#This Row],[Order_Date]])</f>
        <v>2025</v>
      </c>
      <c r="Q418" t="str">
        <f>"Q"&amp;ROUNDUP(MONTH(SalesData[[#This Row],[Order_Date]])/3,0)</f>
        <v>Q1</v>
      </c>
      <c r="R418" s="2">
        <f>IFERROR(SalesData[[#This Row],[Profit]]/SalesData[[#This Row],[Sales]],0)</f>
        <v>5.1245432015793672E-2</v>
      </c>
      <c r="S418" s="2">
        <f>SalesData[[#This Row],[Price]]*SalesData[[#This Row],[Quantity]]*SalesData[[#This Row],[Discount]]</f>
        <v>313.25</v>
      </c>
      <c r="T418" s="2" t="str">
        <f>IF(SalesData[[#This Row],[Sales]]&gt;5000,"High",IF(SalesData[[#This Row],[Sales]]&gt;2000,"Medium","Low"))</f>
        <v>High</v>
      </c>
      <c r="U418" s="2" t="str">
        <f>IF(COUNTIFS(SalesData[Customer_ID],SalesData[[#This Row],[Customer_ID]])&gt;1,"Repeat","New")</f>
        <v>Repeat</v>
      </c>
      <c r="V418" s="2" t="str">
        <f>IF(SalesData[[#This Row],[Sales]]&gt;AVERAGE(SalesData[Sales]),"Above Avg","Below Avg")</f>
        <v>Below Avg</v>
      </c>
      <c r="W418" s="2" t="str">
        <f>IF(SalesData[[#This Row],[Profit]]&gt;0,"Profit","Loss")</f>
        <v>Profit</v>
      </c>
      <c r="X418" s="2">
        <f>RANK(SalesData[[#This Row],[Sales]],SalesData[Sales])</f>
        <v>299</v>
      </c>
    </row>
    <row r="419" spans="1:24" x14ac:dyDescent="0.3">
      <c r="A419">
        <v>418</v>
      </c>
      <c r="B419" s="1">
        <v>45709</v>
      </c>
      <c r="C419">
        <v>1030</v>
      </c>
      <c r="D419" t="s">
        <v>106</v>
      </c>
      <c r="E419" t="s">
        <v>15</v>
      </c>
      <c r="F419" t="s">
        <v>33</v>
      </c>
      <c r="G419" t="s">
        <v>22</v>
      </c>
      <c r="H419" t="s">
        <v>25</v>
      </c>
      <c r="I419">
        <v>3786</v>
      </c>
      <c r="J419">
        <v>6</v>
      </c>
      <c r="K419">
        <v>0.26</v>
      </c>
      <c r="L419">
        <v>1046</v>
      </c>
      <c r="M419" t="s">
        <v>19</v>
      </c>
      <c r="N419">
        <v>16809.84</v>
      </c>
      <c r="O419" t="str">
        <f>TEXT(SalesData[[#This Row],[Order_Date]],"mmm")</f>
        <v>Feb</v>
      </c>
      <c r="P419">
        <f>YEAR(SalesData[[#This Row],[Order_Date]])</f>
        <v>2025</v>
      </c>
      <c r="Q419" t="str">
        <f>"Q"&amp;ROUNDUP(MONTH(SalesData[[#This Row],[Order_Date]])/3,0)</f>
        <v>Q1</v>
      </c>
      <c r="R419" s="2">
        <f>IFERROR(SalesData[[#This Row],[Profit]]/SalesData[[#This Row],[Sales]],0)</f>
        <v>6.2225458421971892E-2</v>
      </c>
      <c r="S419" s="2">
        <f>SalesData[[#This Row],[Price]]*SalesData[[#This Row],[Quantity]]*SalesData[[#This Row],[Discount]]</f>
        <v>5906.16</v>
      </c>
      <c r="T419" s="2" t="str">
        <f>IF(SalesData[[#This Row],[Sales]]&gt;5000,"High",IF(SalesData[[#This Row],[Sales]]&gt;2000,"Medium","Low"))</f>
        <v>High</v>
      </c>
      <c r="U419" s="2" t="str">
        <f>IF(COUNTIFS(SalesData[Customer_ID],SalesData[[#This Row],[Customer_ID]])&gt;1,"Repeat","New")</f>
        <v>Repeat</v>
      </c>
      <c r="V419" s="2" t="str">
        <f>IF(SalesData[[#This Row],[Sales]]&gt;AVERAGE(SalesData[Sales]),"Above Avg","Below Avg")</f>
        <v>Above Avg</v>
      </c>
      <c r="W419" s="2" t="str">
        <f>IF(SalesData[[#This Row],[Profit]]&gt;0,"Profit","Loss")</f>
        <v>Profit</v>
      </c>
      <c r="X419" s="2">
        <f>RANK(SalesData[[#This Row],[Sales]],SalesData[Sales])</f>
        <v>106</v>
      </c>
    </row>
    <row r="420" spans="1:24" x14ac:dyDescent="0.3">
      <c r="A420">
        <v>419</v>
      </c>
      <c r="B420" s="1">
        <v>45710</v>
      </c>
      <c r="C420">
        <v>1083</v>
      </c>
      <c r="D420" t="s">
        <v>94</v>
      </c>
      <c r="E420" t="s">
        <v>24</v>
      </c>
      <c r="F420" t="s">
        <v>33</v>
      </c>
      <c r="G420" t="s">
        <v>17</v>
      </c>
      <c r="H420" t="s">
        <v>18</v>
      </c>
      <c r="I420">
        <v>1037</v>
      </c>
      <c r="J420">
        <v>9</v>
      </c>
      <c r="K420">
        <v>0.14000000000000001</v>
      </c>
      <c r="L420">
        <v>1107</v>
      </c>
      <c r="M420" t="s">
        <v>26</v>
      </c>
      <c r="N420">
        <v>8026.38</v>
      </c>
      <c r="O420" t="str">
        <f>TEXT(SalesData[[#This Row],[Order_Date]],"mmm")</f>
        <v>Feb</v>
      </c>
      <c r="P420">
        <f>YEAR(SalesData[[#This Row],[Order_Date]])</f>
        <v>2025</v>
      </c>
      <c r="Q420" t="str">
        <f>"Q"&amp;ROUNDUP(MONTH(SalesData[[#This Row],[Order_Date]])/3,0)</f>
        <v>Q1</v>
      </c>
      <c r="R420" s="2">
        <f>IFERROR(SalesData[[#This Row],[Profit]]/SalesData[[#This Row],[Sales]],0)</f>
        <v>0.13792020811374492</v>
      </c>
      <c r="S420" s="2">
        <f>SalesData[[#This Row],[Price]]*SalesData[[#This Row],[Quantity]]*SalesData[[#This Row],[Discount]]</f>
        <v>1306.6200000000001</v>
      </c>
      <c r="T420" s="2" t="str">
        <f>IF(SalesData[[#This Row],[Sales]]&gt;5000,"High",IF(SalesData[[#This Row],[Sales]]&gt;2000,"Medium","Low"))</f>
        <v>High</v>
      </c>
      <c r="U420" s="2" t="str">
        <f>IF(COUNTIFS(SalesData[Customer_ID],SalesData[[#This Row],[Customer_ID]])&gt;1,"Repeat","New")</f>
        <v>Repeat</v>
      </c>
      <c r="V420" s="2" t="str">
        <f>IF(SalesData[[#This Row],[Sales]]&gt;AVERAGE(SalesData[Sales]),"Above Avg","Below Avg")</f>
        <v>Below Avg</v>
      </c>
      <c r="W420" s="2" t="str">
        <f>IF(SalesData[[#This Row],[Profit]]&gt;0,"Profit","Loss")</f>
        <v>Profit</v>
      </c>
      <c r="X420" s="2">
        <f>RANK(SalesData[[#This Row],[Sales]],SalesData[Sales])</f>
        <v>253</v>
      </c>
    </row>
    <row r="421" spans="1:24" x14ac:dyDescent="0.3">
      <c r="A421">
        <v>420</v>
      </c>
      <c r="B421" s="1">
        <v>45711</v>
      </c>
      <c r="C421">
        <v>1069</v>
      </c>
      <c r="D421" t="s">
        <v>126</v>
      </c>
      <c r="E421" t="s">
        <v>24</v>
      </c>
      <c r="F421" t="s">
        <v>21</v>
      </c>
      <c r="G421" t="s">
        <v>22</v>
      </c>
      <c r="H421" t="s">
        <v>29</v>
      </c>
      <c r="I421">
        <v>2011</v>
      </c>
      <c r="J421">
        <v>8</v>
      </c>
      <c r="K421">
        <v>0.25</v>
      </c>
      <c r="L421">
        <v>1506</v>
      </c>
      <c r="M421" t="s">
        <v>26</v>
      </c>
      <c r="N421">
        <v>12066</v>
      </c>
      <c r="O421" t="str">
        <f>TEXT(SalesData[[#This Row],[Order_Date]],"mmm")</f>
        <v>Feb</v>
      </c>
      <c r="P421">
        <f>YEAR(SalesData[[#This Row],[Order_Date]])</f>
        <v>2025</v>
      </c>
      <c r="Q421" t="str">
        <f>"Q"&amp;ROUNDUP(MONTH(SalesData[[#This Row],[Order_Date]])/3,0)</f>
        <v>Q1</v>
      </c>
      <c r="R421" s="2">
        <f>IFERROR(SalesData[[#This Row],[Profit]]/SalesData[[#This Row],[Sales]],0)</f>
        <v>0.12481352560914968</v>
      </c>
      <c r="S421" s="2">
        <f>SalesData[[#This Row],[Price]]*SalesData[[#This Row],[Quantity]]*SalesData[[#This Row],[Discount]]</f>
        <v>4022</v>
      </c>
      <c r="T421" s="2" t="str">
        <f>IF(SalesData[[#This Row],[Sales]]&gt;5000,"High",IF(SalesData[[#This Row],[Sales]]&gt;2000,"Medium","Low"))</f>
        <v>High</v>
      </c>
      <c r="U421" s="2" t="str">
        <f>IF(COUNTIFS(SalesData[Customer_ID],SalesData[[#This Row],[Customer_ID]])&gt;1,"Repeat","New")</f>
        <v>Repeat</v>
      </c>
      <c r="V421" s="2" t="str">
        <f>IF(SalesData[[#This Row],[Sales]]&gt;AVERAGE(SalesData[Sales]),"Above Avg","Below Avg")</f>
        <v>Above Avg</v>
      </c>
      <c r="W421" s="2" t="str">
        <f>IF(SalesData[[#This Row],[Profit]]&gt;0,"Profit","Loss")</f>
        <v>Profit</v>
      </c>
      <c r="X421" s="2">
        <f>RANK(SalesData[[#This Row],[Sales]],SalesData[Sales])</f>
        <v>166</v>
      </c>
    </row>
    <row r="422" spans="1:24" x14ac:dyDescent="0.3">
      <c r="A422">
        <v>421</v>
      </c>
      <c r="B422" s="1">
        <v>45712</v>
      </c>
      <c r="C422">
        <v>1014</v>
      </c>
      <c r="D422" t="s">
        <v>51</v>
      </c>
      <c r="E422" t="s">
        <v>15</v>
      </c>
      <c r="F422" t="s">
        <v>33</v>
      </c>
      <c r="G422" t="s">
        <v>22</v>
      </c>
      <c r="H422" t="s">
        <v>25</v>
      </c>
      <c r="I422">
        <v>1278</v>
      </c>
      <c r="J422">
        <v>4</v>
      </c>
      <c r="K422">
        <v>0.25</v>
      </c>
      <c r="L422">
        <v>-41</v>
      </c>
      <c r="M422" t="s">
        <v>26</v>
      </c>
      <c r="N422">
        <v>3834</v>
      </c>
      <c r="O422" t="str">
        <f>TEXT(SalesData[[#This Row],[Order_Date]],"mmm")</f>
        <v>Feb</v>
      </c>
      <c r="P422">
        <f>YEAR(SalesData[[#This Row],[Order_Date]])</f>
        <v>2025</v>
      </c>
      <c r="Q422" t="str">
        <f>"Q"&amp;ROUNDUP(MONTH(SalesData[[#This Row],[Order_Date]])/3,0)</f>
        <v>Q1</v>
      </c>
      <c r="R422" s="2">
        <f>IFERROR(SalesData[[#This Row],[Profit]]/SalesData[[#This Row],[Sales]],0)</f>
        <v>-1.069379238393323E-2</v>
      </c>
      <c r="S422" s="2">
        <f>SalesData[[#This Row],[Price]]*SalesData[[#This Row],[Quantity]]*SalesData[[#This Row],[Discount]]</f>
        <v>1278</v>
      </c>
      <c r="T422" s="2" t="str">
        <f>IF(SalesData[[#This Row],[Sales]]&gt;5000,"High",IF(SalesData[[#This Row],[Sales]]&gt;2000,"Medium","Low"))</f>
        <v>Medium</v>
      </c>
      <c r="U422" s="2" t="str">
        <f>IF(COUNTIFS(SalesData[Customer_ID],SalesData[[#This Row],[Customer_ID]])&gt;1,"Repeat","New")</f>
        <v>Repeat</v>
      </c>
      <c r="V422" s="2" t="str">
        <f>IF(SalesData[[#This Row],[Sales]]&gt;AVERAGE(SalesData[Sales]),"Above Avg","Below Avg")</f>
        <v>Below Avg</v>
      </c>
      <c r="W422" s="2" t="str">
        <f>IF(SalesData[[#This Row],[Profit]]&gt;0,"Profit","Loss")</f>
        <v>Loss</v>
      </c>
      <c r="X422" s="2">
        <f>RANK(SalesData[[#This Row],[Sales]],SalesData[Sales])</f>
        <v>362</v>
      </c>
    </row>
    <row r="423" spans="1:24" x14ac:dyDescent="0.3">
      <c r="A423">
        <v>422</v>
      </c>
      <c r="B423" s="1">
        <v>45713</v>
      </c>
      <c r="C423">
        <v>1056</v>
      </c>
      <c r="D423" t="s">
        <v>73</v>
      </c>
      <c r="E423" t="s">
        <v>24</v>
      </c>
      <c r="F423" t="s">
        <v>21</v>
      </c>
      <c r="G423" t="s">
        <v>22</v>
      </c>
      <c r="H423" t="s">
        <v>18</v>
      </c>
      <c r="I423">
        <v>837</v>
      </c>
      <c r="J423">
        <v>2</v>
      </c>
      <c r="K423">
        <v>0.01</v>
      </c>
      <c r="L423">
        <v>1937</v>
      </c>
      <c r="M423" t="s">
        <v>31</v>
      </c>
      <c r="N423">
        <v>1657.26</v>
      </c>
      <c r="O423" t="str">
        <f>TEXT(SalesData[[#This Row],[Order_Date]],"mmm")</f>
        <v>Feb</v>
      </c>
      <c r="P423">
        <f>YEAR(SalesData[[#This Row],[Order_Date]])</f>
        <v>2025</v>
      </c>
      <c r="Q423" t="str">
        <f>"Q"&amp;ROUNDUP(MONTH(SalesData[[#This Row],[Order_Date]])/3,0)</f>
        <v>Q1</v>
      </c>
      <c r="R423" s="2">
        <f>IFERROR(SalesData[[#This Row],[Profit]]/SalesData[[#This Row],[Sales]],0)</f>
        <v>1.1687966885099501</v>
      </c>
      <c r="S423" s="2">
        <f>SalesData[[#This Row],[Price]]*SalesData[[#This Row],[Quantity]]*SalesData[[#This Row],[Discount]]</f>
        <v>16.740000000000002</v>
      </c>
      <c r="T423" s="2" t="str">
        <f>IF(SalesData[[#This Row],[Sales]]&gt;5000,"High",IF(SalesData[[#This Row],[Sales]]&gt;2000,"Medium","Low"))</f>
        <v>Low</v>
      </c>
      <c r="U423" s="2" t="str">
        <f>IF(COUNTIFS(SalesData[Customer_ID],SalesData[[#This Row],[Customer_ID]])&gt;1,"Repeat","New")</f>
        <v>Repeat</v>
      </c>
      <c r="V423" s="2" t="str">
        <f>IF(SalesData[[#This Row],[Sales]]&gt;AVERAGE(SalesData[Sales]),"Above Avg","Below Avg")</f>
        <v>Below Avg</v>
      </c>
      <c r="W423" s="2" t="str">
        <f>IF(SalesData[[#This Row],[Profit]]&gt;0,"Profit","Loss")</f>
        <v>Profit</v>
      </c>
      <c r="X423" s="2">
        <f>RANK(SalesData[[#This Row],[Sales]],SalesData[Sales])</f>
        <v>449</v>
      </c>
    </row>
    <row r="424" spans="1:24" x14ac:dyDescent="0.3">
      <c r="A424">
        <v>423</v>
      </c>
      <c r="B424" s="1">
        <v>45714</v>
      </c>
      <c r="C424">
        <v>1000</v>
      </c>
      <c r="D424" t="s">
        <v>42</v>
      </c>
      <c r="E424" t="s">
        <v>15</v>
      </c>
      <c r="F424" t="s">
        <v>33</v>
      </c>
      <c r="G424" t="s">
        <v>22</v>
      </c>
      <c r="H424" t="s">
        <v>18</v>
      </c>
      <c r="I424">
        <v>734</v>
      </c>
      <c r="J424">
        <v>3</v>
      </c>
      <c r="K424">
        <v>7.0000000000000007E-2</v>
      </c>
      <c r="L424">
        <v>1682</v>
      </c>
      <c r="M424" t="s">
        <v>19</v>
      </c>
      <c r="N424">
        <v>2047.86</v>
      </c>
      <c r="O424" t="str">
        <f>TEXT(SalesData[[#This Row],[Order_Date]],"mmm")</f>
        <v>Feb</v>
      </c>
      <c r="P424">
        <f>YEAR(SalesData[[#This Row],[Order_Date]])</f>
        <v>2025</v>
      </c>
      <c r="Q424" t="str">
        <f>"Q"&amp;ROUNDUP(MONTH(SalesData[[#This Row],[Order_Date]])/3,0)</f>
        <v>Q1</v>
      </c>
      <c r="R424" s="2">
        <f>IFERROR(SalesData[[#This Row],[Profit]]/SalesData[[#This Row],[Sales]],0)</f>
        <v>0.82134520914515641</v>
      </c>
      <c r="S424" s="2">
        <f>SalesData[[#This Row],[Price]]*SalesData[[#This Row],[Quantity]]*SalesData[[#This Row],[Discount]]</f>
        <v>154.14000000000001</v>
      </c>
      <c r="T424" s="2" t="str">
        <f>IF(SalesData[[#This Row],[Sales]]&gt;5000,"High",IF(SalesData[[#This Row],[Sales]]&gt;2000,"Medium","Low"))</f>
        <v>Medium</v>
      </c>
      <c r="U424" s="2" t="str">
        <f>IF(COUNTIFS(SalesData[Customer_ID],SalesData[[#This Row],[Customer_ID]])&gt;1,"Repeat","New")</f>
        <v>Repeat</v>
      </c>
      <c r="V424" s="2" t="str">
        <f>IF(SalesData[[#This Row],[Sales]]&gt;AVERAGE(SalesData[Sales]),"Above Avg","Below Avg")</f>
        <v>Below Avg</v>
      </c>
      <c r="W424" s="2" t="str">
        <f>IF(SalesData[[#This Row],[Profit]]&gt;0,"Profit","Loss")</f>
        <v>Profit</v>
      </c>
      <c r="X424" s="2">
        <f>RANK(SalesData[[#This Row],[Sales]],SalesData[Sales])</f>
        <v>427</v>
      </c>
    </row>
    <row r="425" spans="1:24" x14ac:dyDescent="0.3">
      <c r="A425">
        <v>424</v>
      </c>
      <c r="B425" s="1">
        <v>45715</v>
      </c>
      <c r="C425">
        <v>1089</v>
      </c>
      <c r="D425" t="s">
        <v>208</v>
      </c>
      <c r="E425" t="s">
        <v>24</v>
      </c>
      <c r="F425" t="s">
        <v>28</v>
      </c>
      <c r="G425" t="s">
        <v>17</v>
      </c>
      <c r="H425" t="s">
        <v>29</v>
      </c>
      <c r="I425">
        <v>316</v>
      </c>
      <c r="J425">
        <v>7</v>
      </c>
      <c r="K425">
        <v>0.27</v>
      </c>
      <c r="L425">
        <v>1139</v>
      </c>
      <c r="M425" t="s">
        <v>26</v>
      </c>
      <c r="N425">
        <v>1614.76</v>
      </c>
      <c r="O425" t="str">
        <f>TEXT(SalesData[[#This Row],[Order_Date]],"mmm")</f>
        <v>Feb</v>
      </c>
      <c r="P425">
        <f>YEAR(SalesData[[#This Row],[Order_Date]])</f>
        <v>2025</v>
      </c>
      <c r="Q425" t="str">
        <f>"Q"&amp;ROUNDUP(MONTH(SalesData[[#This Row],[Order_Date]])/3,0)</f>
        <v>Q1</v>
      </c>
      <c r="R425" s="2">
        <f>IFERROR(SalesData[[#This Row],[Profit]]/SalesData[[#This Row],[Sales]],0)</f>
        <v>0.70536798038098536</v>
      </c>
      <c r="S425" s="2">
        <f>SalesData[[#This Row],[Price]]*SalesData[[#This Row],[Quantity]]*SalesData[[#This Row],[Discount]]</f>
        <v>597.24</v>
      </c>
      <c r="T425" s="2" t="str">
        <f>IF(SalesData[[#This Row],[Sales]]&gt;5000,"High",IF(SalesData[[#This Row],[Sales]]&gt;2000,"Medium","Low"))</f>
        <v>Low</v>
      </c>
      <c r="U425" s="2" t="str">
        <f>IF(COUNTIFS(SalesData[Customer_ID],SalesData[[#This Row],[Customer_ID]])&gt;1,"Repeat","New")</f>
        <v>Repeat</v>
      </c>
      <c r="V425" s="2" t="str">
        <f>IF(SalesData[[#This Row],[Sales]]&gt;AVERAGE(SalesData[Sales]),"Above Avg","Below Avg")</f>
        <v>Below Avg</v>
      </c>
      <c r="W425" s="2" t="str">
        <f>IF(SalesData[[#This Row],[Profit]]&gt;0,"Profit","Loss")</f>
        <v>Profit</v>
      </c>
      <c r="X425" s="2">
        <f>RANK(SalesData[[#This Row],[Sales]],SalesData[Sales])</f>
        <v>453</v>
      </c>
    </row>
    <row r="426" spans="1:24" x14ac:dyDescent="0.3">
      <c r="A426">
        <v>425</v>
      </c>
      <c r="B426" s="1">
        <v>45716</v>
      </c>
      <c r="C426">
        <v>1028</v>
      </c>
      <c r="D426" t="s">
        <v>182</v>
      </c>
      <c r="E426" t="s">
        <v>15</v>
      </c>
      <c r="F426" t="s">
        <v>16</v>
      </c>
      <c r="G426" t="s">
        <v>34</v>
      </c>
      <c r="H426" t="s">
        <v>25</v>
      </c>
      <c r="I426">
        <v>519</v>
      </c>
      <c r="J426">
        <v>9</v>
      </c>
      <c r="K426">
        <v>0.23</v>
      </c>
      <c r="L426">
        <v>411</v>
      </c>
      <c r="M426" t="s">
        <v>26</v>
      </c>
      <c r="N426">
        <v>3596.67</v>
      </c>
      <c r="O426" t="str">
        <f>TEXT(SalesData[[#This Row],[Order_Date]],"mmm")</f>
        <v>Feb</v>
      </c>
      <c r="P426">
        <f>YEAR(SalesData[[#This Row],[Order_Date]])</f>
        <v>2025</v>
      </c>
      <c r="Q426" t="str">
        <f>"Q"&amp;ROUNDUP(MONTH(SalesData[[#This Row],[Order_Date]])/3,0)</f>
        <v>Q1</v>
      </c>
      <c r="R426" s="2">
        <f>IFERROR(SalesData[[#This Row],[Profit]]/SalesData[[#This Row],[Sales]],0)</f>
        <v>0.11427236860762872</v>
      </c>
      <c r="S426" s="2">
        <f>SalesData[[#This Row],[Price]]*SalesData[[#This Row],[Quantity]]*SalesData[[#This Row],[Discount]]</f>
        <v>1074.3300000000002</v>
      </c>
      <c r="T426" s="2" t="str">
        <f>IF(SalesData[[#This Row],[Sales]]&gt;5000,"High",IF(SalesData[[#This Row],[Sales]]&gt;2000,"Medium","Low"))</f>
        <v>Medium</v>
      </c>
      <c r="U426" s="2" t="str">
        <f>IF(COUNTIFS(SalesData[Customer_ID],SalesData[[#This Row],[Customer_ID]])&gt;1,"Repeat","New")</f>
        <v>Repeat</v>
      </c>
      <c r="V426" s="2" t="str">
        <f>IF(SalesData[[#This Row],[Sales]]&gt;AVERAGE(SalesData[Sales]),"Above Avg","Below Avg")</f>
        <v>Below Avg</v>
      </c>
      <c r="W426" s="2" t="str">
        <f>IF(SalesData[[#This Row],[Profit]]&gt;0,"Profit","Loss")</f>
        <v>Profit</v>
      </c>
      <c r="X426" s="2">
        <f>RANK(SalesData[[#This Row],[Sales]],SalesData[Sales])</f>
        <v>369</v>
      </c>
    </row>
    <row r="427" spans="1:24" x14ac:dyDescent="0.3">
      <c r="A427">
        <v>426</v>
      </c>
      <c r="B427" s="1">
        <v>45717</v>
      </c>
      <c r="C427">
        <v>1065</v>
      </c>
      <c r="D427" t="s">
        <v>175</v>
      </c>
      <c r="E427" t="s">
        <v>15</v>
      </c>
      <c r="F427" t="s">
        <v>33</v>
      </c>
      <c r="G427" t="s">
        <v>22</v>
      </c>
      <c r="H427" t="s">
        <v>18</v>
      </c>
      <c r="I427">
        <v>2662</v>
      </c>
      <c r="J427">
        <v>3</v>
      </c>
      <c r="K427">
        <v>0.04</v>
      </c>
      <c r="L427">
        <v>1264</v>
      </c>
      <c r="M427" t="s">
        <v>19</v>
      </c>
      <c r="N427">
        <v>7666.5599999999904</v>
      </c>
      <c r="O427" t="str">
        <f>TEXT(SalesData[[#This Row],[Order_Date]],"mmm")</f>
        <v>Mar</v>
      </c>
      <c r="P427">
        <f>YEAR(SalesData[[#This Row],[Order_Date]])</f>
        <v>2025</v>
      </c>
      <c r="Q427" t="str">
        <f>"Q"&amp;ROUNDUP(MONTH(SalesData[[#This Row],[Order_Date]])/3,0)</f>
        <v>Q1</v>
      </c>
      <c r="R427" s="2">
        <f>IFERROR(SalesData[[#This Row],[Profit]]/SalesData[[#This Row],[Sales]],0)</f>
        <v>0.16487185908673532</v>
      </c>
      <c r="S427" s="2">
        <f>SalesData[[#This Row],[Price]]*SalesData[[#This Row],[Quantity]]*SalesData[[#This Row],[Discount]]</f>
        <v>319.44</v>
      </c>
      <c r="T427" s="2" t="str">
        <f>IF(SalesData[[#This Row],[Sales]]&gt;5000,"High",IF(SalesData[[#This Row],[Sales]]&gt;2000,"Medium","Low"))</f>
        <v>High</v>
      </c>
      <c r="U427" s="2" t="str">
        <f>IF(COUNTIFS(SalesData[Customer_ID],SalesData[[#This Row],[Customer_ID]])&gt;1,"Repeat","New")</f>
        <v>Repeat</v>
      </c>
      <c r="V427" s="2" t="str">
        <f>IF(SalesData[[#This Row],[Sales]]&gt;AVERAGE(SalesData[Sales]),"Above Avg","Below Avg")</f>
        <v>Below Avg</v>
      </c>
      <c r="W427" s="2" t="str">
        <f>IF(SalesData[[#This Row],[Profit]]&gt;0,"Profit","Loss")</f>
        <v>Profit</v>
      </c>
      <c r="X427" s="2">
        <f>RANK(SalesData[[#This Row],[Sales]],SalesData[Sales])</f>
        <v>260</v>
      </c>
    </row>
    <row r="428" spans="1:24" x14ac:dyDescent="0.3">
      <c r="A428">
        <v>427</v>
      </c>
      <c r="B428" s="1">
        <v>45718</v>
      </c>
      <c r="C428">
        <v>1021</v>
      </c>
      <c r="D428" t="s">
        <v>64</v>
      </c>
      <c r="E428" t="s">
        <v>15</v>
      </c>
      <c r="F428" t="s">
        <v>21</v>
      </c>
      <c r="G428" t="s">
        <v>22</v>
      </c>
      <c r="H428" t="s">
        <v>25</v>
      </c>
      <c r="I428">
        <v>408</v>
      </c>
      <c r="J428">
        <v>7</v>
      </c>
      <c r="K428">
        <v>0.06</v>
      </c>
      <c r="L428">
        <v>1876</v>
      </c>
      <c r="M428" t="s">
        <v>26</v>
      </c>
      <c r="N428">
        <v>2684.64</v>
      </c>
      <c r="O428" t="str">
        <f>TEXT(SalesData[[#This Row],[Order_Date]],"mmm")</f>
        <v>Mar</v>
      </c>
      <c r="P428">
        <f>YEAR(SalesData[[#This Row],[Order_Date]])</f>
        <v>2025</v>
      </c>
      <c r="Q428" t="str">
        <f>"Q"&amp;ROUNDUP(MONTH(SalesData[[#This Row],[Order_Date]])/3,0)</f>
        <v>Q1</v>
      </c>
      <c r="R428" s="2">
        <f>IFERROR(SalesData[[#This Row],[Profit]]/SalesData[[#This Row],[Sales]],0)</f>
        <v>0.69879015435961622</v>
      </c>
      <c r="S428" s="2">
        <f>SalesData[[#This Row],[Price]]*SalesData[[#This Row],[Quantity]]*SalesData[[#This Row],[Discount]]</f>
        <v>171.35999999999999</v>
      </c>
      <c r="T428" s="2" t="str">
        <f>IF(SalesData[[#This Row],[Sales]]&gt;5000,"High",IF(SalesData[[#This Row],[Sales]]&gt;2000,"Medium","Low"))</f>
        <v>Medium</v>
      </c>
      <c r="U428" s="2" t="str">
        <f>IF(COUNTIFS(SalesData[Customer_ID],SalesData[[#This Row],[Customer_ID]])&gt;1,"Repeat","New")</f>
        <v>Repeat</v>
      </c>
      <c r="V428" s="2" t="str">
        <f>IF(SalesData[[#This Row],[Sales]]&gt;AVERAGE(SalesData[Sales]),"Above Avg","Below Avg")</f>
        <v>Below Avg</v>
      </c>
      <c r="W428" s="2" t="str">
        <f>IF(SalesData[[#This Row],[Profit]]&gt;0,"Profit","Loss")</f>
        <v>Profit</v>
      </c>
      <c r="X428" s="2">
        <f>RANK(SalesData[[#This Row],[Sales]],SalesData[Sales])</f>
        <v>402</v>
      </c>
    </row>
    <row r="429" spans="1:24" x14ac:dyDescent="0.3">
      <c r="A429">
        <v>428</v>
      </c>
      <c r="B429" s="1">
        <v>45719</v>
      </c>
      <c r="C429">
        <v>1060</v>
      </c>
      <c r="D429" t="s">
        <v>209</v>
      </c>
      <c r="E429" t="s">
        <v>15</v>
      </c>
      <c r="F429" t="s">
        <v>16</v>
      </c>
      <c r="G429" t="s">
        <v>22</v>
      </c>
      <c r="H429" t="s">
        <v>25</v>
      </c>
      <c r="I429">
        <v>4903</v>
      </c>
      <c r="J429">
        <v>1</v>
      </c>
      <c r="K429">
        <v>0.19</v>
      </c>
      <c r="L429">
        <v>1541</v>
      </c>
      <c r="M429" t="s">
        <v>19</v>
      </c>
      <c r="N429">
        <v>3971.43</v>
      </c>
      <c r="O429" t="str">
        <f>TEXT(SalesData[[#This Row],[Order_Date]],"mmm")</f>
        <v>Mar</v>
      </c>
      <c r="P429">
        <f>YEAR(SalesData[[#This Row],[Order_Date]])</f>
        <v>2025</v>
      </c>
      <c r="Q429" t="str">
        <f>"Q"&amp;ROUNDUP(MONTH(SalesData[[#This Row],[Order_Date]])/3,0)</f>
        <v>Q1</v>
      </c>
      <c r="R429" s="2">
        <f>IFERROR(SalesData[[#This Row],[Profit]]/SalesData[[#This Row],[Sales]],0)</f>
        <v>0.38802144315775428</v>
      </c>
      <c r="S429" s="2">
        <f>SalesData[[#This Row],[Price]]*SalesData[[#This Row],[Quantity]]*SalesData[[#This Row],[Discount]]</f>
        <v>931.57</v>
      </c>
      <c r="T429" s="2" t="str">
        <f>IF(SalesData[[#This Row],[Sales]]&gt;5000,"High",IF(SalesData[[#This Row],[Sales]]&gt;2000,"Medium","Low"))</f>
        <v>Medium</v>
      </c>
      <c r="U429" s="2" t="str">
        <f>IF(COUNTIFS(SalesData[Customer_ID],SalesData[[#This Row],[Customer_ID]])&gt;1,"Repeat","New")</f>
        <v>Repeat</v>
      </c>
      <c r="V429" s="2" t="str">
        <f>IF(SalesData[[#This Row],[Sales]]&gt;AVERAGE(SalesData[Sales]),"Above Avg","Below Avg")</f>
        <v>Below Avg</v>
      </c>
      <c r="W429" s="2" t="str">
        <f>IF(SalesData[[#This Row],[Profit]]&gt;0,"Profit","Loss")</f>
        <v>Profit</v>
      </c>
      <c r="X429" s="2">
        <f>RANK(SalesData[[#This Row],[Sales]],SalesData[Sales])</f>
        <v>355</v>
      </c>
    </row>
    <row r="430" spans="1:24" x14ac:dyDescent="0.3">
      <c r="A430">
        <v>429</v>
      </c>
      <c r="B430" s="1">
        <v>45720</v>
      </c>
      <c r="C430">
        <v>1028</v>
      </c>
      <c r="D430" t="s">
        <v>210</v>
      </c>
      <c r="E430" t="s">
        <v>24</v>
      </c>
      <c r="F430" t="s">
        <v>28</v>
      </c>
      <c r="G430" t="s">
        <v>17</v>
      </c>
      <c r="H430" t="s">
        <v>25</v>
      </c>
      <c r="I430">
        <v>1966</v>
      </c>
      <c r="J430">
        <v>3</v>
      </c>
      <c r="K430">
        <v>0.08</v>
      </c>
      <c r="L430">
        <v>919</v>
      </c>
      <c r="M430" t="s">
        <v>26</v>
      </c>
      <c r="N430">
        <v>5426.16</v>
      </c>
      <c r="O430" t="str">
        <f>TEXT(SalesData[[#This Row],[Order_Date]],"mmm")</f>
        <v>Mar</v>
      </c>
      <c r="P430">
        <f>YEAR(SalesData[[#This Row],[Order_Date]])</f>
        <v>2025</v>
      </c>
      <c r="Q430" t="str">
        <f>"Q"&amp;ROUNDUP(MONTH(SalesData[[#This Row],[Order_Date]])/3,0)</f>
        <v>Q1</v>
      </c>
      <c r="R430" s="2">
        <f>IFERROR(SalesData[[#This Row],[Profit]]/SalesData[[#This Row],[Sales]],0)</f>
        <v>0.16936470726996625</v>
      </c>
      <c r="S430" s="2">
        <f>SalesData[[#This Row],[Price]]*SalesData[[#This Row],[Quantity]]*SalesData[[#This Row],[Discount]]</f>
        <v>471.84000000000003</v>
      </c>
      <c r="T430" s="2" t="str">
        <f>IF(SalesData[[#This Row],[Sales]]&gt;5000,"High",IF(SalesData[[#This Row],[Sales]]&gt;2000,"Medium","Low"))</f>
        <v>High</v>
      </c>
      <c r="U430" s="2" t="str">
        <f>IF(COUNTIFS(SalesData[Customer_ID],SalesData[[#This Row],[Customer_ID]])&gt;1,"Repeat","New")</f>
        <v>Repeat</v>
      </c>
      <c r="V430" s="2" t="str">
        <f>IF(SalesData[[#This Row],[Sales]]&gt;AVERAGE(SalesData[Sales]),"Above Avg","Below Avg")</f>
        <v>Below Avg</v>
      </c>
      <c r="W430" s="2" t="str">
        <f>IF(SalesData[[#This Row],[Profit]]&gt;0,"Profit","Loss")</f>
        <v>Profit</v>
      </c>
      <c r="X430" s="2">
        <f>RANK(SalesData[[#This Row],[Sales]],SalesData[Sales])</f>
        <v>311</v>
      </c>
    </row>
    <row r="431" spans="1:24" x14ac:dyDescent="0.3">
      <c r="A431">
        <v>430</v>
      </c>
      <c r="B431" s="1">
        <v>45721</v>
      </c>
      <c r="C431">
        <v>1008</v>
      </c>
      <c r="D431" t="s">
        <v>60</v>
      </c>
      <c r="E431" t="s">
        <v>24</v>
      </c>
      <c r="F431" t="s">
        <v>28</v>
      </c>
      <c r="G431" t="s">
        <v>22</v>
      </c>
      <c r="H431" t="s">
        <v>29</v>
      </c>
      <c r="I431">
        <v>1083</v>
      </c>
      <c r="J431">
        <v>2</v>
      </c>
      <c r="K431">
        <v>0.06</v>
      </c>
      <c r="L431">
        <v>25</v>
      </c>
      <c r="M431" t="s">
        <v>26</v>
      </c>
      <c r="N431">
        <v>2036.04</v>
      </c>
      <c r="O431" t="str">
        <f>TEXT(SalesData[[#This Row],[Order_Date]],"mmm")</f>
        <v>Mar</v>
      </c>
      <c r="P431">
        <f>YEAR(SalesData[[#This Row],[Order_Date]])</f>
        <v>2025</v>
      </c>
      <c r="Q431" t="str">
        <f>"Q"&amp;ROUNDUP(MONTH(SalesData[[#This Row],[Order_Date]])/3,0)</f>
        <v>Q1</v>
      </c>
      <c r="R431" s="2">
        <f>IFERROR(SalesData[[#This Row],[Profit]]/SalesData[[#This Row],[Sales]],0)</f>
        <v>1.2278737156440934E-2</v>
      </c>
      <c r="S431" s="2">
        <f>SalesData[[#This Row],[Price]]*SalesData[[#This Row],[Quantity]]*SalesData[[#This Row],[Discount]]</f>
        <v>129.96</v>
      </c>
      <c r="T431" s="2" t="str">
        <f>IF(SalesData[[#This Row],[Sales]]&gt;5000,"High",IF(SalesData[[#This Row],[Sales]]&gt;2000,"Medium","Low"))</f>
        <v>Medium</v>
      </c>
      <c r="U431" s="2" t="str">
        <f>IF(COUNTIFS(SalesData[Customer_ID],SalesData[[#This Row],[Customer_ID]])&gt;1,"Repeat","New")</f>
        <v>Repeat</v>
      </c>
      <c r="V431" s="2" t="str">
        <f>IF(SalesData[[#This Row],[Sales]]&gt;AVERAGE(SalesData[Sales]),"Above Avg","Below Avg")</f>
        <v>Below Avg</v>
      </c>
      <c r="W431" s="2" t="str">
        <f>IF(SalesData[[#This Row],[Profit]]&gt;0,"Profit","Loss")</f>
        <v>Profit</v>
      </c>
      <c r="X431" s="2">
        <f>RANK(SalesData[[#This Row],[Sales]],SalesData[Sales])</f>
        <v>429</v>
      </c>
    </row>
    <row r="432" spans="1:24" x14ac:dyDescent="0.3">
      <c r="A432">
        <v>431</v>
      </c>
      <c r="B432" s="1">
        <v>45722</v>
      </c>
      <c r="C432">
        <v>1040</v>
      </c>
      <c r="D432" t="s">
        <v>200</v>
      </c>
      <c r="E432" t="s">
        <v>24</v>
      </c>
      <c r="F432" t="s">
        <v>21</v>
      </c>
      <c r="G432" t="s">
        <v>34</v>
      </c>
      <c r="H432" t="s">
        <v>25</v>
      </c>
      <c r="I432">
        <v>3878</v>
      </c>
      <c r="J432">
        <v>6</v>
      </c>
      <c r="K432">
        <v>0.3</v>
      </c>
      <c r="L432">
        <v>227</v>
      </c>
      <c r="M432" t="s">
        <v>26</v>
      </c>
      <c r="N432">
        <v>16287.5999999999</v>
      </c>
      <c r="O432" t="str">
        <f>TEXT(SalesData[[#This Row],[Order_Date]],"mmm")</f>
        <v>Mar</v>
      </c>
      <c r="P432">
        <f>YEAR(SalesData[[#This Row],[Order_Date]])</f>
        <v>2025</v>
      </c>
      <c r="Q432" t="str">
        <f>"Q"&amp;ROUNDUP(MONTH(SalesData[[#This Row],[Order_Date]])/3,0)</f>
        <v>Q1</v>
      </c>
      <c r="R432" s="2">
        <f>IFERROR(SalesData[[#This Row],[Profit]]/SalesData[[#This Row],[Sales]],0)</f>
        <v>1.3936982735332485E-2</v>
      </c>
      <c r="S432" s="2">
        <f>SalesData[[#This Row],[Price]]*SalesData[[#This Row],[Quantity]]*SalesData[[#This Row],[Discount]]</f>
        <v>6980.4</v>
      </c>
      <c r="T432" s="2" t="str">
        <f>IF(SalesData[[#This Row],[Sales]]&gt;5000,"High",IF(SalesData[[#This Row],[Sales]]&gt;2000,"Medium","Low"))</f>
        <v>High</v>
      </c>
      <c r="U432" s="2" t="str">
        <f>IF(COUNTIFS(SalesData[Customer_ID],SalesData[[#This Row],[Customer_ID]])&gt;1,"Repeat","New")</f>
        <v>Repeat</v>
      </c>
      <c r="V432" s="2" t="str">
        <f>IF(SalesData[[#This Row],[Sales]]&gt;AVERAGE(SalesData[Sales]),"Above Avg","Below Avg")</f>
        <v>Above Avg</v>
      </c>
      <c r="W432" s="2" t="str">
        <f>IF(SalesData[[#This Row],[Profit]]&gt;0,"Profit","Loss")</f>
        <v>Profit</v>
      </c>
      <c r="X432" s="2">
        <f>RANK(SalesData[[#This Row],[Sales]],SalesData[Sales])</f>
        <v>120</v>
      </c>
    </row>
    <row r="433" spans="1:24" x14ac:dyDescent="0.3">
      <c r="A433">
        <v>432</v>
      </c>
      <c r="B433" s="1">
        <v>45723</v>
      </c>
      <c r="C433">
        <v>1020</v>
      </c>
      <c r="D433" t="s">
        <v>192</v>
      </c>
      <c r="E433" t="s">
        <v>15</v>
      </c>
      <c r="F433" t="s">
        <v>33</v>
      </c>
      <c r="G433" t="s">
        <v>22</v>
      </c>
      <c r="H433" t="s">
        <v>37</v>
      </c>
      <c r="I433">
        <v>2387</v>
      </c>
      <c r="J433">
        <v>9</v>
      </c>
      <c r="K433">
        <v>0.14000000000000001</v>
      </c>
      <c r="L433">
        <v>-68</v>
      </c>
      <c r="M433" t="s">
        <v>31</v>
      </c>
      <c r="N433">
        <v>18475.38</v>
      </c>
      <c r="O433" t="str">
        <f>TEXT(SalesData[[#This Row],[Order_Date]],"mmm")</f>
        <v>Mar</v>
      </c>
      <c r="P433">
        <f>YEAR(SalesData[[#This Row],[Order_Date]])</f>
        <v>2025</v>
      </c>
      <c r="Q433" t="str">
        <f>"Q"&amp;ROUNDUP(MONTH(SalesData[[#This Row],[Order_Date]])/3,0)</f>
        <v>Q1</v>
      </c>
      <c r="R433" s="2">
        <f>IFERROR(SalesData[[#This Row],[Profit]]/SalesData[[#This Row],[Sales]],0)</f>
        <v>-3.6805738231094568E-3</v>
      </c>
      <c r="S433" s="2">
        <f>SalesData[[#This Row],[Price]]*SalesData[[#This Row],[Quantity]]*SalesData[[#This Row],[Discount]]</f>
        <v>3007.6200000000003</v>
      </c>
      <c r="T433" s="2" t="str">
        <f>IF(SalesData[[#This Row],[Sales]]&gt;5000,"High",IF(SalesData[[#This Row],[Sales]]&gt;2000,"Medium","Low"))</f>
        <v>High</v>
      </c>
      <c r="U433" s="2" t="str">
        <f>IF(COUNTIFS(SalesData[Customer_ID],SalesData[[#This Row],[Customer_ID]])&gt;1,"Repeat","New")</f>
        <v>Repeat</v>
      </c>
      <c r="V433" s="2" t="str">
        <f>IF(SalesData[[#This Row],[Sales]]&gt;AVERAGE(SalesData[Sales]),"Above Avg","Below Avg")</f>
        <v>Above Avg</v>
      </c>
      <c r="W433" s="2" t="str">
        <f>IF(SalesData[[#This Row],[Profit]]&gt;0,"Profit","Loss")</f>
        <v>Loss</v>
      </c>
      <c r="X433" s="2">
        <f>RANK(SalesData[[#This Row],[Sales]],SalesData[Sales])</f>
        <v>88</v>
      </c>
    </row>
    <row r="434" spans="1:24" x14ac:dyDescent="0.3">
      <c r="A434">
        <v>433</v>
      </c>
      <c r="B434" s="1">
        <v>45724</v>
      </c>
      <c r="C434">
        <v>1054</v>
      </c>
      <c r="D434" t="s">
        <v>211</v>
      </c>
      <c r="E434" t="s">
        <v>15</v>
      </c>
      <c r="F434" t="s">
        <v>33</v>
      </c>
      <c r="G434" t="s">
        <v>34</v>
      </c>
      <c r="H434" t="s">
        <v>18</v>
      </c>
      <c r="I434">
        <v>3414</v>
      </c>
      <c r="J434">
        <v>3</v>
      </c>
      <c r="K434">
        <v>0.16</v>
      </c>
      <c r="L434">
        <v>1361</v>
      </c>
      <c r="M434" t="s">
        <v>19</v>
      </c>
      <c r="N434">
        <v>8603.2799999999897</v>
      </c>
      <c r="O434" t="str">
        <f>TEXT(SalesData[[#This Row],[Order_Date]],"mmm")</f>
        <v>Mar</v>
      </c>
      <c r="P434">
        <f>YEAR(SalesData[[#This Row],[Order_Date]])</f>
        <v>2025</v>
      </c>
      <c r="Q434" t="str">
        <f>"Q"&amp;ROUNDUP(MONTH(SalesData[[#This Row],[Order_Date]])/3,0)</f>
        <v>Q1</v>
      </c>
      <c r="R434" s="2">
        <f>IFERROR(SalesData[[#This Row],[Profit]]/SalesData[[#This Row],[Sales]],0)</f>
        <v>0.15819547893361621</v>
      </c>
      <c r="S434" s="2">
        <f>SalesData[[#This Row],[Price]]*SalesData[[#This Row],[Quantity]]*SalesData[[#This Row],[Discount]]</f>
        <v>1638.72</v>
      </c>
      <c r="T434" s="2" t="str">
        <f>IF(SalesData[[#This Row],[Sales]]&gt;5000,"High",IF(SalesData[[#This Row],[Sales]]&gt;2000,"Medium","Low"))</f>
        <v>High</v>
      </c>
      <c r="U434" s="2" t="str">
        <f>IF(COUNTIFS(SalesData[Customer_ID],SalesData[[#This Row],[Customer_ID]])&gt;1,"Repeat","New")</f>
        <v>Repeat</v>
      </c>
      <c r="V434" s="2" t="str">
        <f>IF(SalesData[[#This Row],[Sales]]&gt;AVERAGE(SalesData[Sales]),"Above Avg","Below Avg")</f>
        <v>Below Avg</v>
      </c>
      <c r="W434" s="2" t="str">
        <f>IF(SalesData[[#This Row],[Profit]]&gt;0,"Profit","Loss")</f>
        <v>Profit</v>
      </c>
      <c r="X434" s="2">
        <f>RANK(SalesData[[#This Row],[Sales]],SalesData[Sales])</f>
        <v>236</v>
      </c>
    </row>
    <row r="435" spans="1:24" x14ac:dyDescent="0.3">
      <c r="A435">
        <v>434</v>
      </c>
      <c r="B435" s="1">
        <v>45725</v>
      </c>
      <c r="C435">
        <v>1095</v>
      </c>
      <c r="D435" t="s">
        <v>92</v>
      </c>
      <c r="E435" t="s">
        <v>15</v>
      </c>
      <c r="F435" t="s">
        <v>16</v>
      </c>
      <c r="G435" t="s">
        <v>34</v>
      </c>
      <c r="H435" t="s">
        <v>25</v>
      </c>
      <c r="I435">
        <v>661</v>
      </c>
      <c r="J435">
        <v>8</v>
      </c>
      <c r="K435">
        <v>0.2</v>
      </c>
      <c r="L435">
        <v>31</v>
      </c>
      <c r="M435" t="s">
        <v>31</v>
      </c>
      <c r="N435">
        <v>4230.3999999999996</v>
      </c>
      <c r="O435" t="str">
        <f>TEXT(SalesData[[#This Row],[Order_Date]],"mmm")</f>
        <v>Mar</v>
      </c>
      <c r="P435">
        <f>YEAR(SalesData[[#This Row],[Order_Date]])</f>
        <v>2025</v>
      </c>
      <c r="Q435" t="str">
        <f>"Q"&amp;ROUNDUP(MONTH(SalesData[[#This Row],[Order_Date]])/3,0)</f>
        <v>Q1</v>
      </c>
      <c r="R435" s="2">
        <f>IFERROR(SalesData[[#This Row],[Profit]]/SalesData[[#This Row],[Sales]],0)</f>
        <v>7.3279122541603636E-3</v>
      </c>
      <c r="S435" s="2">
        <f>SalesData[[#This Row],[Price]]*SalesData[[#This Row],[Quantity]]*SalesData[[#This Row],[Discount]]</f>
        <v>1057.6000000000001</v>
      </c>
      <c r="T435" s="2" t="str">
        <f>IF(SalesData[[#This Row],[Sales]]&gt;5000,"High",IF(SalesData[[#This Row],[Sales]]&gt;2000,"Medium","Low"))</f>
        <v>Medium</v>
      </c>
      <c r="U435" s="2" t="str">
        <f>IF(COUNTIFS(SalesData[Customer_ID],SalesData[[#This Row],[Customer_ID]])&gt;1,"Repeat","New")</f>
        <v>Repeat</v>
      </c>
      <c r="V435" s="2" t="str">
        <f>IF(SalesData[[#This Row],[Sales]]&gt;AVERAGE(SalesData[Sales]),"Above Avg","Below Avg")</f>
        <v>Below Avg</v>
      </c>
      <c r="W435" s="2" t="str">
        <f>IF(SalesData[[#This Row],[Profit]]&gt;0,"Profit","Loss")</f>
        <v>Profit</v>
      </c>
      <c r="X435" s="2">
        <f>RANK(SalesData[[#This Row],[Sales]],SalesData[Sales])</f>
        <v>345</v>
      </c>
    </row>
    <row r="436" spans="1:24" x14ac:dyDescent="0.3">
      <c r="A436">
        <v>435</v>
      </c>
      <c r="B436" s="1">
        <v>45726</v>
      </c>
      <c r="C436">
        <v>1095</v>
      </c>
      <c r="D436" t="s">
        <v>57</v>
      </c>
      <c r="E436" t="s">
        <v>15</v>
      </c>
      <c r="F436" t="s">
        <v>21</v>
      </c>
      <c r="G436" t="s">
        <v>17</v>
      </c>
      <c r="H436" t="s">
        <v>18</v>
      </c>
      <c r="I436">
        <v>3695</v>
      </c>
      <c r="J436">
        <v>9</v>
      </c>
      <c r="K436">
        <v>0.02</v>
      </c>
      <c r="L436">
        <v>1064</v>
      </c>
      <c r="M436" t="s">
        <v>31</v>
      </c>
      <c r="N436">
        <v>32589.8999999999</v>
      </c>
      <c r="O436" t="str">
        <f>TEXT(SalesData[[#This Row],[Order_Date]],"mmm")</f>
        <v>Mar</v>
      </c>
      <c r="P436">
        <f>YEAR(SalesData[[#This Row],[Order_Date]])</f>
        <v>2025</v>
      </c>
      <c r="Q436" t="str">
        <f>"Q"&amp;ROUNDUP(MONTH(SalesData[[#This Row],[Order_Date]])/3,0)</f>
        <v>Q1</v>
      </c>
      <c r="R436" s="2">
        <f>IFERROR(SalesData[[#This Row],[Profit]]/SalesData[[#This Row],[Sales]],0)</f>
        <v>3.2648151727989447E-2</v>
      </c>
      <c r="S436" s="2">
        <f>SalesData[[#This Row],[Price]]*SalesData[[#This Row],[Quantity]]*SalesData[[#This Row],[Discount]]</f>
        <v>665.1</v>
      </c>
      <c r="T436" s="2" t="str">
        <f>IF(SalesData[[#This Row],[Sales]]&gt;5000,"High",IF(SalesData[[#This Row],[Sales]]&gt;2000,"Medium","Low"))</f>
        <v>High</v>
      </c>
      <c r="U436" s="2" t="str">
        <f>IF(COUNTIFS(SalesData[Customer_ID],SalesData[[#This Row],[Customer_ID]])&gt;1,"Repeat","New")</f>
        <v>Repeat</v>
      </c>
      <c r="V436" s="2" t="str">
        <f>IF(SalesData[[#This Row],[Sales]]&gt;AVERAGE(SalesData[Sales]),"Above Avg","Below Avg")</f>
        <v>Above Avg</v>
      </c>
      <c r="W436" s="2" t="str">
        <f>IF(SalesData[[#This Row],[Profit]]&gt;0,"Profit","Loss")</f>
        <v>Profit</v>
      </c>
      <c r="X436" s="2">
        <f>RANK(SalesData[[#This Row],[Sales]],SalesData[Sales])</f>
        <v>19</v>
      </c>
    </row>
    <row r="437" spans="1:24" x14ac:dyDescent="0.3">
      <c r="A437">
        <v>436</v>
      </c>
      <c r="B437" s="1">
        <v>45727</v>
      </c>
      <c r="C437">
        <v>1039</v>
      </c>
      <c r="D437" t="s">
        <v>176</v>
      </c>
      <c r="E437" t="s">
        <v>24</v>
      </c>
      <c r="F437" t="s">
        <v>21</v>
      </c>
      <c r="G437" t="s">
        <v>34</v>
      </c>
      <c r="H437" t="s">
        <v>37</v>
      </c>
      <c r="I437">
        <v>4987</v>
      </c>
      <c r="J437">
        <v>8</v>
      </c>
      <c r="K437">
        <v>0.12</v>
      </c>
      <c r="L437">
        <v>1901</v>
      </c>
      <c r="M437" t="s">
        <v>19</v>
      </c>
      <c r="N437">
        <v>35108.480000000003</v>
      </c>
      <c r="O437" t="str">
        <f>TEXT(SalesData[[#This Row],[Order_Date]],"mmm")</f>
        <v>Mar</v>
      </c>
      <c r="P437">
        <f>YEAR(SalesData[[#This Row],[Order_Date]])</f>
        <v>2025</v>
      </c>
      <c r="Q437" t="str">
        <f>"Q"&amp;ROUNDUP(MONTH(SalesData[[#This Row],[Order_Date]])/3,0)</f>
        <v>Q1</v>
      </c>
      <c r="R437" s="2">
        <f>IFERROR(SalesData[[#This Row],[Profit]]/SalesData[[#This Row],[Sales]],0)</f>
        <v>5.4146462620996406E-2</v>
      </c>
      <c r="S437" s="2">
        <f>SalesData[[#This Row],[Price]]*SalesData[[#This Row],[Quantity]]*SalesData[[#This Row],[Discount]]</f>
        <v>4787.5199999999995</v>
      </c>
      <c r="T437" s="2" t="str">
        <f>IF(SalesData[[#This Row],[Sales]]&gt;5000,"High",IF(SalesData[[#This Row],[Sales]]&gt;2000,"Medium","Low"))</f>
        <v>High</v>
      </c>
      <c r="U437" s="2" t="str">
        <f>IF(COUNTIFS(SalesData[Customer_ID],SalesData[[#This Row],[Customer_ID]])&gt;1,"Repeat","New")</f>
        <v>Repeat</v>
      </c>
      <c r="V437" s="2" t="str">
        <f>IF(SalesData[[#This Row],[Sales]]&gt;AVERAGE(SalesData[Sales]),"Above Avg","Below Avg")</f>
        <v>Above Avg</v>
      </c>
      <c r="W437" s="2" t="str">
        <f>IF(SalesData[[#This Row],[Profit]]&gt;0,"Profit","Loss")</f>
        <v>Profit</v>
      </c>
      <c r="X437" s="2">
        <f>RANK(SalesData[[#This Row],[Sales]],SalesData[Sales])</f>
        <v>11</v>
      </c>
    </row>
    <row r="438" spans="1:24" x14ac:dyDescent="0.3">
      <c r="A438">
        <v>437</v>
      </c>
      <c r="B438" s="1">
        <v>45728</v>
      </c>
      <c r="C438">
        <v>1025</v>
      </c>
      <c r="D438" t="s">
        <v>14</v>
      </c>
      <c r="E438" t="s">
        <v>24</v>
      </c>
      <c r="F438" t="s">
        <v>16</v>
      </c>
      <c r="G438" t="s">
        <v>22</v>
      </c>
      <c r="H438" t="s">
        <v>37</v>
      </c>
      <c r="I438">
        <v>1502</v>
      </c>
      <c r="J438">
        <v>9</v>
      </c>
      <c r="K438">
        <v>0.27</v>
      </c>
      <c r="L438">
        <v>407</v>
      </c>
      <c r="M438" t="s">
        <v>19</v>
      </c>
      <c r="N438">
        <v>9868.14</v>
      </c>
      <c r="O438" t="str">
        <f>TEXT(SalesData[[#This Row],[Order_Date]],"mmm")</f>
        <v>Mar</v>
      </c>
      <c r="P438">
        <f>YEAR(SalesData[[#This Row],[Order_Date]])</f>
        <v>2025</v>
      </c>
      <c r="Q438" t="str">
        <f>"Q"&amp;ROUNDUP(MONTH(SalesData[[#This Row],[Order_Date]])/3,0)</f>
        <v>Q1</v>
      </c>
      <c r="R438" s="2">
        <f>IFERROR(SalesData[[#This Row],[Profit]]/SalesData[[#This Row],[Sales]],0)</f>
        <v>4.1243841291266646E-2</v>
      </c>
      <c r="S438" s="2">
        <f>SalesData[[#This Row],[Price]]*SalesData[[#This Row],[Quantity]]*SalesData[[#This Row],[Discount]]</f>
        <v>3649.86</v>
      </c>
      <c r="T438" s="2" t="str">
        <f>IF(SalesData[[#This Row],[Sales]]&gt;5000,"High",IF(SalesData[[#This Row],[Sales]]&gt;2000,"Medium","Low"))</f>
        <v>High</v>
      </c>
      <c r="U438" s="2" t="str">
        <f>IF(COUNTIFS(SalesData[Customer_ID],SalesData[[#This Row],[Customer_ID]])&gt;1,"Repeat","New")</f>
        <v>Repeat</v>
      </c>
      <c r="V438" s="2" t="str">
        <f>IF(SalesData[[#This Row],[Sales]]&gt;AVERAGE(SalesData[Sales]),"Above Avg","Below Avg")</f>
        <v>Below Avg</v>
      </c>
      <c r="W438" s="2" t="str">
        <f>IF(SalesData[[#This Row],[Profit]]&gt;0,"Profit","Loss")</f>
        <v>Profit</v>
      </c>
      <c r="X438" s="2">
        <f>RANK(SalesData[[#This Row],[Sales]],SalesData[Sales])</f>
        <v>205</v>
      </c>
    </row>
    <row r="439" spans="1:24" x14ac:dyDescent="0.3">
      <c r="A439">
        <v>438</v>
      </c>
      <c r="B439" s="1">
        <v>45729</v>
      </c>
      <c r="C439">
        <v>1047</v>
      </c>
      <c r="D439" t="s">
        <v>176</v>
      </c>
      <c r="E439" t="s">
        <v>24</v>
      </c>
      <c r="F439" t="s">
        <v>16</v>
      </c>
      <c r="G439" t="s">
        <v>34</v>
      </c>
      <c r="H439" t="s">
        <v>37</v>
      </c>
      <c r="I439">
        <v>2678</v>
      </c>
      <c r="J439">
        <v>9</v>
      </c>
      <c r="K439">
        <v>0.28000000000000003</v>
      </c>
      <c r="L439">
        <v>-115</v>
      </c>
      <c r="M439" t="s">
        <v>19</v>
      </c>
      <c r="N439">
        <v>17353.439999999999</v>
      </c>
      <c r="O439" t="str">
        <f>TEXT(SalesData[[#This Row],[Order_Date]],"mmm")</f>
        <v>Mar</v>
      </c>
      <c r="P439">
        <f>YEAR(SalesData[[#This Row],[Order_Date]])</f>
        <v>2025</v>
      </c>
      <c r="Q439" t="str">
        <f>"Q"&amp;ROUNDUP(MONTH(SalesData[[#This Row],[Order_Date]])/3,0)</f>
        <v>Q1</v>
      </c>
      <c r="R439" s="2">
        <f>IFERROR(SalesData[[#This Row],[Profit]]/SalesData[[#This Row],[Sales]],0)</f>
        <v>-6.626928147963747E-3</v>
      </c>
      <c r="S439" s="2">
        <f>SalesData[[#This Row],[Price]]*SalesData[[#This Row],[Quantity]]*SalesData[[#This Row],[Discount]]</f>
        <v>6748.56</v>
      </c>
      <c r="T439" s="2" t="str">
        <f>IF(SalesData[[#This Row],[Sales]]&gt;5000,"High",IF(SalesData[[#This Row],[Sales]]&gt;2000,"Medium","Low"))</f>
        <v>High</v>
      </c>
      <c r="U439" s="2" t="str">
        <f>IF(COUNTIFS(SalesData[Customer_ID],SalesData[[#This Row],[Customer_ID]])&gt;1,"Repeat","New")</f>
        <v>Repeat</v>
      </c>
      <c r="V439" s="2" t="str">
        <f>IF(SalesData[[#This Row],[Sales]]&gt;AVERAGE(SalesData[Sales]),"Above Avg","Below Avg")</f>
        <v>Above Avg</v>
      </c>
      <c r="W439" s="2" t="str">
        <f>IF(SalesData[[#This Row],[Profit]]&gt;0,"Profit","Loss")</f>
        <v>Loss</v>
      </c>
      <c r="X439" s="2">
        <f>RANK(SalesData[[#This Row],[Sales]],SalesData[Sales])</f>
        <v>100</v>
      </c>
    </row>
    <row r="440" spans="1:24" x14ac:dyDescent="0.3">
      <c r="A440">
        <v>439</v>
      </c>
      <c r="B440" s="1">
        <v>45730</v>
      </c>
      <c r="C440">
        <v>1076</v>
      </c>
      <c r="D440" t="s">
        <v>52</v>
      </c>
      <c r="E440" t="s">
        <v>24</v>
      </c>
      <c r="F440" t="s">
        <v>33</v>
      </c>
      <c r="G440" t="s">
        <v>22</v>
      </c>
      <c r="H440" t="s">
        <v>37</v>
      </c>
      <c r="I440">
        <v>3044</v>
      </c>
      <c r="J440">
        <v>3</v>
      </c>
      <c r="K440">
        <v>0.15</v>
      </c>
      <c r="L440">
        <v>151</v>
      </c>
      <c r="M440" t="s">
        <v>19</v>
      </c>
      <c r="N440">
        <v>7762.2</v>
      </c>
      <c r="O440" t="str">
        <f>TEXT(SalesData[[#This Row],[Order_Date]],"mmm")</f>
        <v>Mar</v>
      </c>
      <c r="P440">
        <f>YEAR(SalesData[[#This Row],[Order_Date]])</f>
        <v>2025</v>
      </c>
      <c r="Q440" t="str">
        <f>"Q"&amp;ROUNDUP(MONTH(SalesData[[#This Row],[Order_Date]])/3,0)</f>
        <v>Q1</v>
      </c>
      <c r="R440" s="2">
        <f>IFERROR(SalesData[[#This Row],[Profit]]/SalesData[[#This Row],[Sales]],0)</f>
        <v>1.9453247790574838E-2</v>
      </c>
      <c r="S440" s="2">
        <f>SalesData[[#This Row],[Price]]*SalesData[[#This Row],[Quantity]]*SalesData[[#This Row],[Discount]]</f>
        <v>1369.8</v>
      </c>
      <c r="T440" s="2" t="str">
        <f>IF(SalesData[[#This Row],[Sales]]&gt;5000,"High",IF(SalesData[[#This Row],[Sales]]&gt;2000,"Medium","Low"))</f>
        <v>High</v>
      </c>
      <c r="U440" s="2" t="str">
        <f>IF(COUNTIFS(SalesData[Customer_ID],SalesData[[#This Row],[Customer_ID]])&gt;1,"Repeat","New")</f>
        <v>Repeat</v>
      </c>
      <c r="V440" s="2" t="str">
        <f>IF(SalesData[[#This Row],[Sales]]&gt;AVERAGE(SalesData[Sales]),"Above Avg","Below Avg")</f>
        <v>Below Avg</v>
      </c>
      <c r="W440" s="2" t="str">
        <f>IF(SalesData[[#This Row],[Profit]]&gt;0,"Profit","Loss")</f>
        <v>Profit</v>
      </c>
      <c r="X440" s="2">
        <f>RANK(SalesData[[#This Row],[Sales]],SalesData[Sales])</f>
        <v>257</v>
      </c>
    </row>
    <row r="441" spans="1:24" x14ac:dyDescent="0.3">
      <c r="A441">
        <v>440</v>
      </c>
      <c r="B441" s="1">
        <v>45731</v>
      </c>
      <c r="C441">
        <v>1002</v>
      </c>
      <c r="D441" t="s">
        <v>177</v>
      </c>
      <c r="E441" t="s">
        <v>15</v>
      </c>
      <c r="F441" t="s">
        <v>16</v>
      </c>
      <c r="G441" t="s">
        <v>34</v>
      </c>
      <c r="H441" t="s">
        <v>18</v>
      </c>
      <c r="I441">
        <v>670</v>
      </c>
      <c r="J441">
        <v>9</v>
      </c>
      <c r="K441">
        <v>0.27</v>
      </c>
      <c r="L441">
        <v>-290</v>
      </c>
      <c r="M441" t="s">
        <v>26</v>
      </c>
      <c r="N441">
        <v>4401.8999999999996</v>
      </c>
      <c r="O441" t="str">
        <f>TEXT(SalesData[[#This Row],[Order_Date]],"mmm")</f>
        <v>Mar</v>
      </c>
      <c r="P441">
        <f>YEAR(SalesData[[#This Row],[Order_Date]])</f>
        <v>2025</v>
      </c>
      <c r="Q441" t="str">
        <f>"Q"&amp;ROUNDUP(MONTH(SalesData[[#This Row],[Order_Date]])/3,0)</f>
        <v>Q1</v>
      </c>
      <c r="R441" s="2">
        <f>IFERROR(SalesData[[#This Row],[Profit]]/SalesData[[#This Row],[Sales]],0)</f>
        <v>-6.5880642449851201E-2</v>
      </c>
      <c r="S441" s="2">
        <f>SalesData[[#This Row],[Price]]*SalesData[[#This Row],[Quantity]]*SalesData[[#This Row],[Discount]]</f>
        <v>1628.1000000000001</v>
      </c>
      <c r="T441" s="2" t="str">
        <f>IF(SalesData[[#This Row],[Sales]]&gt;5000,"High",IF(SalesData[[#This Row],[Sales]]&gt;2000,"Medium","Low"))</f>
        <v>Medium</v>
      </c>
      <c r="U441" s="2" t="str">
        <f>IF(COUNTIFS(SalesData[Customer_ID],SalesData[[#This Row],[Customer_ID]])&gt;1,"Repeat","New")</f>
        <v>Repeat</v>
      </c>
      <c r="V441" s="2" t="str">
        <f>IF(SalesData[[#This Row],[Sales]]&gt;AVERAGE(SalesData[Sales]),"Above Avg","Below Avg")</f>
        <v>Below Avg</v>
      </c>
      <c r="W441" s="2" t="str">
        <f>IF(SalesData[[#This Row],[Profit]]&gt;0,"Profit","Loss")</f>
        <v>Loss</v>
      </c>
      <c r="X441" s="2">
        <f>RANK(SalesData[[#This Row],[Sales]],SalesData[Sales])</f>
        <v>340</v>
      </c>
    </row>
    <row r="442" spans="1:24" x14ac:dyDescent="0.3">
      <c r="A442">
        <v>441</v>
      </c>
      <c r="B442" s="1">
        <v>45732</v>
      </c>
      <c r="C442">
        <v>1095</v>
      </c>
      <c r="D442" t="s">
        <v>212</v>
      </c>
      <c r="E442" t="s">
        <v>15</v>
      </c>
      <c r="F442" t="s">
        <v>21</v>
      </c>
      <c r="G442" t="s">
        <v>22</v>
      </c>
      <c r="H442" t="s">
        <v>25</v>
      </c>
      <c r="I442">
        <v>2551</v>
      </c>
      <c r="J442">
        <v>1</v>
      </c>
      <c r="K442">
        <v>0.15</v>
      </c>
      <c r="L442">
        <v>453</v>
      </c>
      <c r="M442" t="s">
        <v>31</v>
      </c>
      <c r="N442">
        <v>2168.35</v>
      </c>
      <c r="O442" t="str">
        <f>TEXT(SalesData[[#This Row],[Order_Date]],"mmm")</f>
        <v>Mar</v>
      </c>
      <c r="P442">
        <f>YEAR(SalesData[[#This Row],[Order_Date]])</f>
        <v>2025</v>
      </c>
      <c r="Q442" t="str">
        <f>"Q"&amp;ROUNDUP(MONTH(SalesData[[#This Row],[Order_Date]])/3,0)</f>
        <v>Q1</v>
      </c>
      <c r="R442" s="2">
        <f>IFERROR(SalesData[[#This Row],[Profit]]/SalesData[[#This Row],[Sales]],0)</f>
        <v>0.20891461249337054</v>
      </c>
      <c r="S442" s="2">
        <f>SalesData[[#This Row],[Price]]*SalesData[[#This Row],[Quantity]]*SalesData[[#This Row],[Discount]]</f>
        <v>382.65</v>
      </c>
      <c r="T442" s="2" t="str">
        <f>IF(SalesData[[#This Row],[Sales]]&gt;5000,"High",IF(SalesData[[#This Row],[Sales]]&gt;2000,"Medium","Low"))</f>
        <v>Medium</v>
      </c>
      <c r="U442" s="2" t="str">
        <f>IF(COUNTIFS(SalesData[Customer_ID],SalesData[[#This Row],[Customer_ID]])&gt;1,"Repeat","New")</f>
        <v>Repeat</v>
      </c>
      <c r="V442" s="2" t="str">
        <f>IF(SalesData[[#This Row],[Sales]]&gt;AVERAGE(SalesData[Sales]),"Above Avg","Below Avg")</f>
        <v>Below Avg</v>
      </c>
      <c r="W442" s="2" t="str">
        <f>IF(SalesData[[#This Row],[Profit]]&gt;0,"Profit","Loss")</f>
        <v>Profit</v>
      </c>
      <c r="X442" s="2">
        <f>RANK(SalesData[[#This Row],[Sales]],SalesData[Sales])</f>
        <v>420</v>
      </c>
    </row>
    <row r="443" spans="1:24" x14ac:dyDescent="0.3">
      <c r="A443">
        <v>442</v>
      </c>
      <c r="B443" s="1">
        <v>45733</v>
      </c>
      <c r="C443">
        <v>1032</v>
      </c>
      <c r="D443" t="s">
        <v>76</v>
      </c>
      <c r="E443" t="s">
        <v>24</v>
      </c>
      <c r="F443" t="s">
        <v>28</v>
      </c>
      <c r="G443" t="s">
        <v>17</v>
      </c>
      <c r="H443" t="s">
        <v>29</v>
      </c>
      <c r="I443">
        <v>1755</v>
      </c>
      <c r="J443">
        <v>4</v>
      </c>
      <c r="K443">
        <v>0.3</v>
      </c>
      <c r="L443">
        <v>678</v>
      </c>
      <c r="M443" t="s">
        <v>31</v>
      </c>
      <c r="N443">
        <v>4914</v>
      </c>
      <c r="O443" t="str">
        <f>TEXT(SalesData[[#This Row],[Order_Date]],"mmm")</f>
        <v>Mar</v>
      </c>
      <c r="P443">
        <f>YEAR(SalesData[[#This Row],[Order_Date]])</f>
        <v>2025</v>
      </c>
      <c r="Q443" t="str">
        <f>"Q"&amp;ROUNDUP(MONTH(SalesData[[#This Row],[Order_Date]])/3,0)</f>
        <v>Q1</v>
      </c>
      <c r="R443" s="2">
        <f>IFERROR(SalesData[[#This Row],[Profit]]/SalesData[[#This Row],[Sales]],0)</f>
        <v>0.13797313797313798</v>
      </c>
      <c r="S443" s="2">
        <f>SalesData[[#This Row],[Price]]*SalesData[[#This Row],[Quantity]]*SalesData[[#This Row],[Discount]]</f>
        <v>2106</v>
      </c>
      <c r="T443" s="2" t="str">
        <f>IF(SalesData[[#This Row],[Sales]]&gt;5000,"High",IF(SalesData[[#This Row],[Sales]]&gt;2000,"Medium","Low"))</f>
        <v>Medium</v>
      </c>
      <c r="U443" s="2" t="str">
        <f>IF(COUNTIFS(SalesData[Customer_ID],SalesData[[#This Row],[Customer_ID]])&gt;1,"Repeat","New")</f>
        <v>Repeat</v>
      </c>
      <c r="V443" s="2" t="str">
        <f>IF(SalesData[[#This Row],[Sales]]&gt;AVERAGE(SalesData[Sales]),"Above Avg","Below Avg")</f>
        <v>Below Avg</v>
      </c>
      <c r="W443" s="2" t="str">
        <f>IF(SalesData[[#This Row],[Profit]]&gt;0,"Profit","Loss")</f>
        <v>Profit</v>
      </c>
      <c r="X443" s="2">
        <f>RANK(SalesData[[#This Row],[Sales]],SalesData[Sales])</f>
        <v>327</v>
      </c>
    </row>
    <row r="444" spans="1:24" x14ac:dyDescent="0.3">
      <c r="A444">
        <v>443</v>
      </c>
      <c r="B444" s="1">
        <v>45734</v>
      </c>
      <c r="C444">
        <v>1096</v>
      </c>
      <c r="D444" t="s">
        <v>44</v>
      </c>
      <c r="E444" t="s">
        <v>24</v>
      </c>
      <c r="F444" t="s">
        <v>28</v>
      </c>
      <c r="G444" t="s">
        <v>22</v>
      </c>
      <c r="H444" t="s">
        <v>25</v>
      </c>
      <c r="I444">
        <v>4413</v>
      </c>
      <c r="J444">
        <v>1</v>
      </c>
      <c r="K444">
        <v>0.24</v>
      </c>
      <c r="L444">
        <v>-325</v>
      </c>
      <c r="M444" t="s">
        <v>26</v>
      </c>
      <c r="N444">
        <v>3353.88</v>
      </c>
      <c r="O444" t="str">
        <f>TEXT(SalesData[[#This Row],[Order_Date]],"mmm")</f>
        <v>Mar</v>
      </c>
      <c r="P444">
        <f>YEAR(SalesData[[#This Row],[Order_Date]])</f>
        <v>2025</v>
      </c>
      <c r="Q444" t="str">
        <f>"Q"&amp;ROUNDUP(MONTH(SalesData[[#This Row],[Order_Date]])/3,0)</f>
        <v>Q1</v>
      </c>
      <c r="R444" s="2">
        <f>IFERROR(SalesData[[#This Row],[Profit]]/SalesData[[#This Row],[Sales]],0)</f>
        <v>-9.6902691807697353E-2</v>
      </c>
      <c r="S444" s="2">
        <f>SalesData[[#This Row],[Price]]*SalesData[[#This Row],[Quantity]]*SalesData[[#This Row],[Discount]]</f>
        <v>1059.1199999999999</v>
      </c>
      <c r="T444" s="2" t="str">
        <f>IF(SalesData[[#This Row],[Sales]]&gt;5000,"High",IF(SalesData[[#This Row],[Sales]]&gt;2000,"Medium","Low"))</f>
        <v>Medium</v>
      </c>
      <c r="U444" s="2" t="str">
        <f>IF(COUNTIFS(SalesData[Customer_ID],SalesData[[#This Row],[Customer_ID]])&gt;1,"Repeat","New")</f>
        <v>Repeat</v>
      </c>
      <c r="V444" s="2" t="str">
        <f>IF(SalesData[[#This Row],[Sales]]&gt;AVERAGE(SalesData[Sales]),"Above Avg","Below Avg")</f>
        <v>Below Avg</v>
      </c>
      <c r="W444" s="2" t="str">
        <f>IF(SalesData[[#This Row],[Profit]]&gt;0,"Profit","Loss")</f>
        <v>Loss</v>
      </c>
      <c r="X444" s="2">
        <f>RANK(SalesData[[#This Row],[Sales]],SalesData[Sales])</f>
        <v>383</v>
      </c>
    </row>
    <row r="445" spans="1:24" x14ac:dyDescent="0.3">
      <c r="A445">
        <v>444</v>
      </c>
      <c r="B445" s="1">
        <v>45735</v>
      </c>
      <c r="C445">
        <v>1041</v>
      </c>
      <c r="D445" t="s">
        <v>95</v>
      </c>
      <c r="E445" t="s">
        <v>15</v>
      </c>
      <c r="F445" t="s">
        <v>28</v>
      </c>
      <c r="G445" t="s">
        <v>17</v>
      </c>
      <c r="H445" t="s">
        <v>25</v>
      </c>
      <c r="I445">
        <v>4983</v>
      </c>
      <c r="J445">
        <v>2</v>
      </c>
      <c r="K445">
        <v>0.25</v>
      </c>
      <c r="L445">
        <v>159</v>
      </c>
      <c r="M445" t="s">
        <v>31</v>
      </c>
      <c r="N445">
        <v>7474.5</v>
      </c>
      <c r="O445" t="str">
        <f>TEXT(SalesData[[#This Row],[Order_Date]],"mmm")</f>
        <v>Mar</v>
      </c>
      <c r="P445">
        <f>YEAR(SalesData[[#This Row],[Order_Date]])</f>
        <v>2025</v>
      </c>
      <c r="Q445" t="str">
        <f>"Q"&amp;ROUNDUP(MONTH(SalesData[[#This Row],[Order_Date]])/3,0)</f>
        <v>Q1</v>
      </c>
      <c r="R445" s="2">
        <f>IFERROR(SalesData[[#This Row],[Profit]]/SalesData[[#This Row],[Sales]],0)</f>
        <v>2.1272325908087499E-2</v>
      </c>
      <c r="S445" s="2">
        <f>SalesData[[#This Row],[Price]]*SalesData[[#This Row],[Quantity]]*SalesData[[#This Row],[Discount]]</f>
        <v>2491.5</v>
      </c>
      <c r="T445" s="2" t="str">
        <f>IF(SalesData[[#This Row],[Sales]]&gt;5000,"High",IF(SalesData[[#This Row],[Sales]]&gt;2000,"Medium","Low"))</f>
        <v>High</v>
      </c>
      <c r="U445" s="2" t="str">
        <f>IF(COUNTIFS(SalesData[Customer_ID],SalesData[[#This Row],[Customer_ID]])&gt;1,"Repeat","New")</f>
        <v>Repeat</v>
      </c>
      <c r="V445" s="2" t="str">
        <f>IF(SalesData[[#This Row],[Sales]]&gt;AVERAGE(SalesData[Sales]),"Above Avg","Below Avg")</f>
        <v>Below Avg</v>
      </c>
      <c r="W445" s="2" t="str">
        <f>IF(SalesData[[#This Row],[Profit]]&gt;0,"Profit","Loss")</f>
        <v>Profit</v>
      </c>
      <c r="X445" s="2">
        <f>RANK(SalesData[[#This Row],[Sales]],SalesData[Sales])</f>
        <v>265</v>
      </c>
    </row>
    <row r="446" spans="1:24" x14ac:dyDescent="0.3">
      <c r="A446">
        <v>445</v>
      </c>
      <c r="B446" s="1">
        <v>45736</v>
      </c>
      <c r="C446">
        <v>1076</v>
      </c>
      <c r="D446" t="s">
        <v>41</v>
      </c>
      <c r="E446" t="s">
        <v>15</v>
      </c>
      <c r="F446" t="s">
        <v>28</v>
      </c>
      <c r="G446" t="s">
        <v>22</v>
      </c>
      <c r="H446" t="s">
        <v>18</v>
      </c>
      <c r="I446">
        <v>2328</v>
      </c>
      <c r="J446">
        <v>4</v>
      </c>
      <c r="K446">
        <v>0.06</v>
      </c>
      <c r="L446">
        <v>878</v>
      </c>
      <c r="M446" t="s">
        <v>31</v>
      </c>
      <c r="N446">
        <v>8753.2799999999897</v>
      </c>
      <c r="O446" t="str">
        <f>TEXT(SalesData[[#This Row],[Order_Date]],"mmm")</f>
        <v>Mar</v>
      </c>
      <c r="P446">
        <f>YEAR(SalesData[[#This Row],[Order_Date]])</f>
        <v>2025</v>
      </c>
      <c r="Q446" t="str">
        <f>"Q"&amp;ROUNDUP(MONTH(SalesData[[#This Row],[Order_Date]])/3,0)</f>
        <v>Q1</v>
      </c>
      <c r="R446" s="2">
        <f>IFERROR(SalesData[[#This Row],[Profit]]/SalesData[[#This Row],[Sales]],0)</f>
        <v>0.10030525700080439</v>
      </c>
      <c r="S446" s="2">
        <f>SalesData[[#This Row],[Price]]*SalesData[[#This Row],[Quantity]]*SalesData[[#This Row],[Discount]]</f>
        <v>558.72</v>
      </c>
      <c r="T446" s="2" t="str">
        <f>IF(SalesData[[#This Row],[Sales]]&gt;5000,"High",IF(SalesData[[#This Row],[Sales]]&gt;2000,"Medium","Low"))</f>
        <v>High</v>
      </c>
      <c r="U446" s="2" t="str">
        <f>IF(COUNTIFS(SalesData[Customer_ID],SalesData[[#This Row],[Customer_ID]])&gt;1,"Repeat","New")</f>
        <v>Repeat</v>
      </c>
      <c r="V446" s="2" t="str">
        <f>IF(SalesData[[#This Row],[Sales]]&gt;AVERAGE(SalesData[Sales]),"Above Avg","Below Avg")</f>
        <v>Below Avg</v>
      </c>
      <c r="W446" s="2" t="str">
        <f>IF(SalesData[[#This Row],[Profit]]&gt;0,"Profit","Loss")</f>
        <v>Profit</v>
      </c>
      <c r="X446" s="2">
        <f>RANK(SalesData[[#This Row],[Sales]],SalesData[Sales])</f>
        <v>234</v>
      </c>
    </row>
    <row r="447" spans="1:24" x14ac:dyDescent="0.3">
      <c r="A447">
        <v>446</v>
      </c>
      <c r="B447" s="1">
        <v>45737</v>
      </c>
      <c r="C447">
        <v>1042</v>
      </c>
      <c r="D447" t="s">
        <v>69</v>
      </c>
      <c r="E447" t="s">
        <v>15</v>
      </c>
      <c r="F447" t="s">
        <v>21</v>
      </c>
      <c r="G447" t="s">
        <v>34</v>
      </c>
      <c r="H447" t="s">
        <v>25</v>
      </c>
      <c r="I447">
        <v>4886</v>
      </c>
      <c r="J447">
        <v>8</v>
      </c>
      <c r="K447">
        <v>0</v>
      </c>
      <c r="L447">
        <v>-420</v>
      </c>
      <c r="M447" t="s">
        <v>19</v>
      </c>
      <c r="N447">
        <v>39088</v>
      </c>
      <c r="O447" t="str">
        <f>TEXT(SalesData[[#This Row],[Order_Date]],"mmm")</f>
        <v>Mar</v>
      </c>
      <c r="P447">
        <f>YEAR(SalesData[[#This Row],[Order_Date]])</f>
        <v>2025</v>
      </c>
      <c r="Q447" t="str">
        <f>"Q"&amp;ROUNDUP(MONTH(SalesData[[#This Row],[Order_Date]])/3,0)</f>
        <v>Q1</v>
      </c>
      <c r="R447" s="2">
        <f>IFERROR(SalesData[[#This Row],[Profit]]/SalesData[[#This Row],[Sales]],0)</f>
        <v>-1.0744985673352435E-2</v>
      </c>
      <c r="S447" s="2">
        <f>SalesData[[#This Row],[Price]]*SalesData[[#This Row],[Quantity]]*SalesData[[#This Row],[Discount]]</f>
        <v>0</v>
      </c>
      <c r="T447" s="2" t="str">
        <f>IF(SalesData[[#This Row],[Sales]]&gt;5000,"High",IF(SalesData[[#This Row],[Sales]]&gt;2000,"Medium","Low"))</f>
        <v>High</v>
      </c>
      <c r="U447" s="2" t="str">
        <f>IF(COUNTIFS(SalesData[Customer_ID],SalesData[[#This Row],[Customer_ID]])&gt;1,"Repeat","New")</f>
        <v>New</v>
      </c>
      <c r="V447" s="2" t="str">
        <f>IF(SalesData[[#This Row],[Sales]]&gt;AVERAGE(SalesData[Sales]),"Above Avg","Below Avg")</f>
        <v>Above Avg</v>
      </c>
      <c r="W447" s="2" t="str">
        <f>IF(SalesData[[#This Row],[Profit]]&gt;0,"Profit","Loss")</f>
        <v>Loss</v>
      </c>
      <c r="X447" s="2">
        <f>RANK(SalesData[[#This Row],[Sales]],SalesData[Sales])</f>
        <v>4</v>
      </c>
    </row>
    <row r="448" spans="1:24" x14ac:dyDescent="0.3">
      <c r="A448">
        <v>447</v>
      </c>
      <c r="B448" s="1">
        <v>45738</v>
      </c>
      <c r="C448">
        <v>1069</v>
      </c>
      <c r="D448" t="s">
        <v>128</v>
      </c>
      <c r="E448" t="s">
        <v>15</v>
      </c>
      <c r="F448" t="s">
        <v>28</v>
      </c>
      <c r="G448" t="s">
        <v>22</v>
      </c>
      <c r="H448" t="s">
        <v>37</v>
      </c>
      <c r="I448">
        <v>2947</v>
      </c>
      <c r="J448">
        <v>6</v>
      </c>
      <c r="K448">
        <v>0.15</v>
      </c>
      <c r="L448">
        <v>963</v>
      </c>
      <c r="M448" t="s">
        <v>26</v>
      </c>
      <c r="N448">
        <v>15029.699999999901</v>
      </c>
      <c r="O448" t="str">
        <f>TEXT(SalesData[[#This Row],[Order_Date]],"mmm")</f>
        <v>Mar</v>
      </c>
      <c r="P448">
        <f>YEAR(SalesData[[#This Row],[Order_Date]])</f>
        <v>2025</v>
      </c>
      <c r="Q448" t="str">
        <f>"Q"&amp;ROUNDUP(MONTH(SalesData[[#This Row],[Order_Date]])/3,0)</f>
        <v>Q1</v>
      </c>
      <c r="R448" s="2">
        <f>IFERROR(SalesData[[#This Row],[Profit]]/SalesData[[#This Row],[Sales]],0)</f>
        <v>6.4073135192319636E-2</v>
      </c>
      <c r="S448" s="2">
        <f>SalesData[[#This Row],[Price]]*SalesData[[#This Row],[Quantity]]*SalesData[[#This Row],[Discount]]</f>
        <v>2652.2999999999997</v>
      </c>
      <c r="T448" s="2" t="str">
        <f>IF(SalesData[[#This Row],[Sales]]&gt;5000,"High",IF(SalesData[[#This Row],[Sales]]&gt;2000,"Medium","Low"))</f>
        <v>High</v>
      </c>
      <c r="U448" s="2" t="str">
        <f>IF(COUNTIFS(SalesData[Customer_ID],SalesData[[#This Row],[Customer_ID]])&gt;1,"Repeat","New")</f>
        <v>Repeat</v>
      </c>
      <c r="V448" s="2" t="str">
        <f>IF(SalesData[[#This Row],[Sales]]&gt;AVERAGE(SalesData[Sales]),"Above Avg","Below Avg")</f>
        <v>Above Avg</v>
      </c>
      <c r="W448" s="2" t="str">
        <f>IF(SalesData[[#This Row],[Profit]]&gt;0,"Profit","Loss")</f>
        <v>Profit</v>
      </c>
      <c r="X448" s="2">
        <f>RANK(SalesData[[#This Row],[Sales]],SalesData[Sales])</f>
        <v>137</v>
      </c>
    </row>
    <row r="449" spans="1:24" x14ac:dyDescent="0.3">
      <c r="A449">
        <v>448</v>
      </c>
      <c r="B449" s="1">
        <v>45739</v>
      </c>
      <c r="C449">
        <v>1003</v>
      </c>
      <c r="D449" t="s">
        <v>106</v>
      </c>
      <c r="E449" t="s">
        <v>24</v>
      </c>
      <c r="F449" t="s">
        <v>21</v>
      </c>
      <c r="G449" t="s">
        <v>34</v>
      </c>
      <c r="H449" t="s">
        <v>18</v>
      </c>
      <c r="I449">
        <v>3985</v>
      </c>
      <c r="J449">
        <v>4</v>
      </c>
      <c r="K449">
        <v>0.28999999999999998</v>
      </c>
      <c r="L449">
        <v>735</v>
      </c>
      <c r="M449" t="s">
        <v>26</v>
      </c>
      <c r="N449">
        <v>11317.4</v>
      </c>
      <c r="O449" t="str">
        <f>TEXT(SalesData[[#This Row],[Order_Date]],"mmm")</f>
        <v>Mar</v>
      </c>
      <c r="P449">
        <f>YEAR(SalesData[[#This Row],[Order_Date]])</f>
        <v>2025</v>
      </c>
      <c r="Q449" t="str">
        <f>"Q"&amp;ROUNDUP(MONTH(SalesData[[#This Row],[Order_Date]])/3,0)</f>
        <v>Q1</v>
      </c>
      <c r="R449" s="2">
        <f>IFERROR(SalesData[[#This Row],[Profit]]/SalesData[[#This Row],[Sales]],0)</f>
        <v>6.494424514464453E-2</v>
      </c>
      <c r="S449" s="2">
        <f>SalesData[[#This Row],[Price]]*SalesData[[#This Row],[Quantity]]*SalesData[[#This Row],[Discount]]</f>
        <v>4622.5999999999995</v>
      </c>
      <c r="T449" s="2" t="str">
        <f>IF(SalesData[[#This Row],[Sales]]&gt;5000,"High",IF(SalesData[[#This Row],[Sales]]&gt;2000,"Medium","Low"))</f>
        <v>High</v>
      </c>
      <c r="U449" s="2" t="str">
        <f>IF(COUNTIFS(SalesData[Customer_ID],SalesData[[#This Row],[Customer_ID]])&gt;1,"Repeat","New")</f>
        <v>Repeat</v>
      </c>
      <c r="V449" s="2" t="str">
        <f>IF(SalesData[[#This Row],[Sales]]&gt;AVERAGE(SalesData[Sales]),"Above Avg","Below Avg")</f>
        <v>Above Avg</v>
      </c>
      <c r="W449" s="2" t="str">
        <f>IF(SalesData[[#This Row],[Profit]]&gt;0,"Profit","Loss")</f>
        <v>Profit</v>
      </c>
      <c r="X449" s="2">
        <f>RANK(SalesData[[#This Row],[Sales]],SalesData[Sales])</f>
        <v>185</v>
      </c>
    </row>
    <row r="450" spans="1:24" x14ac:dyDescent="0.3">
      <c r="A450">
        <v>449</v>
      </c>
      <c r="B450" s="1">
        <v>45740</v>
      </c>
      <c r="C450">
        <v>1063</v>
      </c>
      <c r="D450" t="s">
        <v>194</v>
      </c>
      <c r="E450" t="s">
        <v>15</v>
      </c>
      <c r="F450" t="s">
        <v>33</v>
      </c>
      <c r="G450" t="s">
        <v>22</v>
      </c>
      <c r="H450" t="s">
        <v>29</v>
      </c>
      <c r="I450">
        <v>444</v>
      </c>
      <c r="J450">
        <v>4</v>
      </c>
      <c r="K450">
        <v>0.28999999999999998</v>
      </c>
      <c r="L450">
        <v>1226</v>
      </c>
      <c r="M450" t="s">
        <v>26</v>
      </c>
      <c r="N450">
        <v>1260.96</v>
      </c>
      <c r="O450" t="str">
        <f>TEXT(SalesData[[#This Row],[Order_Date]],"mmm")</f>
        <v>Mar</v>
      </c>
      <c r="P450">
        <f>YEAR(SalesData[[#This Row],[Order_Date]])</f>
        <v>2025</v>
      </c>
      <c r="Q450" t="str">
        <f>"Q"&amp;ROUNDUP(MONTH(SalesData[[#This Row],[Order_Date]])/3,0)</f>
        <v>Q1</v>
      </c>
      <c r="R450" s="2">
        <f>IFERROR(SalesData[[#This Row],[Profit]]/SalesData[[#This Row],[Sales]],0)</f>
        <v>0.97227509199340179</v>
      </c>
      <c r="S450" s="2">
        <f>SalesData[[#This Row],[Price]]*SalesData[[#This Row],[Quantity]]*SalesData[[#This Row],[Discount]]</f>
        <v>515.04</v>
      </c>
      <c r="T450" s="2" t="str">
        <f>IF(SalesData[[#This Row],[Sales]]&gt;5000,"High",IF(SalesData[[#This Row],[Sales]]&gt;2000,"Medium","Low"))</f>
        <v>Low</v>
      </c>
      <c r="U450" s="2" t="str">
        <f>IF(COUNTIFS(SalesData[Customer_ID],SalesData[[#This Row],[Customer_ID]])&gt;1,"Repeat","New")</f>
        <v>Repeat</v>
      </c>
      <c r="V450" s="2" t="str">
        <f>IF(SalesData[[#This Row],[Sales]]&gt;AVERAGE(SalesData[Sales]),"Above Avg","Below Avg")</f>
        <v>Below Avg</v>
      </c>
      <c r="W450" s="2" t="str">
        <f>IF(SalesData[[#This Row],[Profit]]&gt;0,"Profit","Loss")</f>
        <v>Profit</v>
      </c>
      <c r="X450" s="2">
        <f>RANK(SalesData[[#This Row],[Sales]],SalesData[Sales])</f>
        <v>467</v>
      </c>
    </row>
    <row r="451" spans="1:24" x14ac:dyDescent="0.3">
      <c r="A451">
        <v>450</v>
      </c>
      <c r="B451" s="1">
        <v>45741</v>
      </c>
      <c r="C451">
        <v>1069</v>
      </c>
      <c r="D451" t="s">
        <v>137</v>
      </c>
      <c r="E451" t="s">
        <v>15</v>
      </c>
      <c r="F451" t="s">
        <v>28</v>
      </c>
      <c r="G451" t="s">
        <v>22</v>
      </c>
      <c r="H451" t="s">
        <v>18</v>
      </c>
      <c r="I451">
        <v>3283</v>
      </c>
      <c r="J451">
        <v>6</v>
      </c>
      <c r="K451">
        <v>0.18</v>
      </c>
      <c r="L451">
        <v>-475</v>
      </c>
      <c r="M451" t="s">
        <v>26</v>
      </c>
      <c r="N451">
        <v>16152.36</v>
      </c>
      <c r="O451" t="str">
        <f>TEXT(SalesData[[#This Row],[Order_Date]],"mmm")</f>
        <v>Mar</v>
      </c>
      <c r="P451">
        <f>YEAR(SalesData[[#This Row],[Order_Date]])</f>
        <v>2025</v>
      </c>
      <c r="Q451" t="str">
        <f>"Q"&amp;ROUNDUP(MONTH(SalesData[[#This Row],[Order_Date]])/3,0)</f>
        <v>Q1</v>
      </c>
      <c r="R451" s="2">
        <f>IFERROR(SalesData[[#This Row],[Profit]]/SalesData[[#This Row],[Sales]],0)</f>
        <v>-2.9407467391761945E-2</v>
      </c>
      <c r="S451" s="2">
        <f>SalesData[[#This Row],[Price]]*SalesData[[#This Row],[Quantity]]*SalesData[[#This Row],[Discount]]</f>
        <v>3545.64</v>
      </c>
      <c r="T451" s="2" t="str">
        <f>IF(SalesData[[#This Row],[Sales]]&gt;5000,"High",IF(SalesData[[#This Row],[Sales]]&gt;2000,"Medium","Low"))</f>
        <v>High</v>
      </c>
      <c r="U451" s="2" t="str">
        <f>IF(COUNTIFS(SalesData[Customer_ID],SalesData[[#This Row],[Customer_ID]])&gt;1,"Repeat","New")</f>
        <v>Repeat</v>
      </c>
      <c r="V451" s="2" t="str">
        <f>IF(SalesData[[#This Row],[Sales]]&gt;AVERAGE(SalesData[Sales]),"Above Avg","Below Avg")</f>
        <v>Above Avg</v>
      </c>
      <c r="W451" s="2" t="str">
        <f>IF(SalesData[[#This Row],[Profit]]&gt;0,"Profit","Loss")</f>
        <v>Loss</v>
      </c>
      <c r="X451" s="2">
        <f>RANK(SalesData[[#This Row],[Sales]],SalesData[Sales])</f>
        <v>124</v>
      </c>
    </row>
    <row r="452" spans="1:24" x14ac:dyDescent="0.3">
      <c r="A452">
        <v>451</v>
      </c>
      <c r="B452" s="1">
        <v>45742</v>
      </c>
      <c r="C452">
        <v>1050</v>
      </c>
      <c r="D452" t="s">
        <v>213</v>
      </c>
      <c r="E452" t="s">
        <v>15</v>
      </c>
      <c r="F452" t="s">
        <v>21</v>
      </c>
      <c r="G452" t="s">
        <v>22</v>
      </c>
      <c r="H452" t="s">
        <v>18</v>
      </c>
      <c r="I452">
        <v>3777</v>
      </c>
      <c r="J452">
        <v>1</v>
      </c>
      <c r="K452">
        <v>0.06</v>
      </c>
      <c r="L452">
        <v>658</v>
      </c>
      <c r="M452" t="s">
        <v>19</v>
      </c>
      <c r="N452">
        <v>3550.3799999999901</v>
      </c>
      <c r="O452" t="str">
        <f>TEXT(SalesData[[#This Row],[Order_Date]],"mmm")</f>
        <v>Mar</v>
      </c>
      <c r="P452">
        <f>YEAR(SalesData[[#This Row],[Order_Date]])</f>
        <v>2025</v>
      </c>
      <c r="Q452" t="str">
        <f>"Q"&amp;ROUNDUP(MONTH(SalesData[[#This Row],[Order_Date]])/3,0)</f>
        <v>Q1</v>
      </c>
      <c r="R452" s="2">
        <f>IFERROR(SalesData[[#This Row],[Profit]]/SalesData[[#This Row],[Sales]],0)</f>
        <v>0.18533227429176646</v>
      </c>
      <c r="S452" s="2">
        <f>SalesData[[#This Row],[Price]]*SalesData[[#This Row],[Quantity]]*SalesData[[#This Row],[Discount]]</f>
        <v>226.62</v>
      </c>
      <c r="T452" s="2" t="str">
        <f>IF(SalesData[[#This Row],[Sales]]&gt;5000,"High",IF(SalesData[[#This Row],[Sales]]&gt;2000,"Medium","Low"))</f>
        <v>Medium</v>
      </c>
      <c r="U452" s="2" t="str">
        <f>IF(COUNTIFS(SalesData[Customer_ID],SalesData[[#This Row],[Customer_ID]])&gt;1,"Repeat","New")</f>
        <v>Repeat</v>
      </c>
      <c r="V452" s="2" t="str">
        <f>IF(SalesData[[#This Row],[Sales]]&gt;AVERAGE(SalesData[Sales]),"Above Avg","Below Avg")</f>
        <v>Below Avg</v>
      </c>
      <c r="W452" s="2" t="str">
        <f>IF(SalesData[[#This Row],[Profit]]&gt;0,"Profit","Loss")</f>
        <v>Profit</v>
      </c>
      <c r="X452" s="2">
        <f>RANK(SalesData[[#This Row],[Sales]],SalesData[Sales])</f>
        <v>375</v>
      </c>
    </row>
    <row r="453" spans="1:24" x14ac:dyDescent="0.3">
      <c r="A453">
        <v>452</v>
      </c>
      <c r="B453" s="1">
        <v>45743</v>
      </c>
      <c r="C453">
        <v>1066</v>
      </c>
      <c r="D453" t="s">
        <v>138</v>
      </c>
      <c r="E453" t="s">
        <v>24</v>
      </c>
      <c r="F453" t="s">
        <v>33</v>
      </c>
      <c r="G453" t="s">
        <v>17</v>
      </c>
      <c r="H453" t="s">
        <v>29</v>
      </c>
      <c r="I453">
        <v>4411</v>
      </c>
      <c r="J453">
        <v>5</v>
      </c>
      <c r="K453">
        <v>0</v>
      </c>
      <c r="L453">
        <v>1052</v>
      </c>
      <c r="M453" t="s">
        <v>31</v>
      </c>
      <c r="N453">
        <v>22055</v>
      </c>
      <c r="O453" t="str">
        <f>TEXT(SalesData[[#This Row],[Order_Date]],"mmm")</f>
        <v>Mar</v>
      </c>
      <c r="P453">
        <f>YEAR(SalesData[[#This Row],[Order_Date]])</f>
        <v>2025</v>
      </c>
      <c r="Q453" t="str">
        <f>"Q"&amp;ROUNDUP(MONTH(SalesData[[#This Row],[Order_Date]])/3,0)</f>
        <v>Q1</v>
      </c>
      <c r="R453" s="2">
        <f>IFERROR(SalesData[[#This Row],[Profit]]/SalesData[[#This Row],[Sales]],0)</f>
        <v>4.7698934481976873E-2</v>
      </c>
      <c r="S453" s="2">
        <f>SalesData[[#This Row],[Price]]*SalesData[[#This Row],[Quantity]]*SalesData[[#This Row],[Discount]]</f>
        <v>0</v>
      </c>
      <c r="T453" s="2" t="str">
        <f>IF(SalesData[[#This Row],[Sales]]&gt;5000,"High",IF(SalesData[[#This Row],[Sales]]&gt;2000,"Medium","Low"))</f>
        <v>High</v>
      </c>
      <c r="U453" s="2" t="str">
        <f>IF(COUNTIFS(SalesData[Customer_ID],SalesData[[#This Row],[Customer_ID]])&gt;1,"Repeat","New")</f>
        <v>Repeat</v>
      </c>
      <c r="V453" s="2" t="str">
        <f>IF(SalesData[[#This Row],[Sales]]&gt;AVERAGE(SalesData[Sales]),"Above Avg","Below Avg")</f>
        <v>Above Avg</v>
      </c>
      <c r="W453" s="2" t="str">
        <f>IF(SalesData[[#This Row],[Profit]]&gt;0,"Profit","Loss")</f>
        <v>Profit</v>
      </c>
      <c r="X453" s="2">
        <f>RANK(SalesData[[#This Row],[Sales]],SalesData[Sales])</f>
        <v>66</v>
      </c>
    </row>
    <row r="454" spans="1:24" x14ac:dyDescent="0.3">
      <c r="A454">
        <v>453</v>
      </c>
      <c r="B454" s="1">
        <v>45744</v>
      </c>
      <c r="C454">
        <v>1090</v>
      </c>
      <c r="D454" t="s">
        <v>44</v>
      </c>
      <c r="E454" t="s">
        <v>24</v>
      </c>
      <c r="F454" t="s">
        <v>33</v>
      </c>
      <c r="G454" t="s">
        <v>34</v>
      </c>
      <c r="H454" t="s">
        <v>18</v>
      </c>
      <c r="I454">
        <v>2976</v>
      </c>
      <c r="J454">
        <v>4</v>
      </c>
      <c r="K454">
        <v>0.15</v>
      </c>
      <c r="L454">
        <v>1151</v>
      </c>
      <c r="M454" t="s">
        <v>26</v>
      </c>
      <c r="N454">
        <v>10118.4</v>
      </c>
      <c r="O454" t="str">
        <f>TEXT(SalesData[[#This Row],[Order_Date]],"mmm")</f>
        <v>Mar</v>
      </c>
      <c r="P454">
        <f>YEAR(SalesData[[#This Row],[Order_Date]])</f>
        <v>2025</v>
      </c>
      <c r="Q454" t="str">
        <f>"Q"&amp;ROUNDUP(MONTH(SalesData[[#This Row],[Order_Date]])/3,0)</f>
        <v>Q1</v>
      </c>
      <c r="R454" s="2">
        <f>IFERROR(SalesData[[#This Row],[Profit]]/SalesData[[#This Row],[Sales]],0)</f>
        <v>0.11375316255534472</v>
      </c>
      <c r="S454" s="2">
        <f>SalesData[[#This Row],[Price]]*SalesData[[#This Row],[Quantity]]*SalesData[[#This Row],[Discount]]</f>
        <v>1785.6</v>
      </c>
      <c r="T454" s="2" t="str">
        <f>IF(SalesData[[#This Row],[Sales]]&gt;5000,"High",IF(SalesData[[#This Row],[Sales]]&gt;2000,"Medium","Low"))</f>
        <v>High</v>
      </c>
      <c r="U454" s="2" t="str">
        <f>IF(COUNTIFS(SalesData[Customer_ID],SalesData[[#This Row],[Customer_ID]])&gt;1,"Repeat","New")</f>
        <v>Repeat</v>
      </c>
      <c r="V454" s="2" t="str">
        <f>IF(SalesData[[#This Row],[Sales]]&gt;AVERAGE(SalesData[Sales]),"Above Avg","Below Avg")</f>
        <v>Below Avg</v>
      </c>
      <c r="W454" s="2" t="str">
        <f>IF(SalesData[[#This Row],[Profit]]&gt;0,"Profit","Loss")</f>
        <v>Profit</v>
      </c>
      <c r="X454" s="2">
        <f>RANK(SalesData[[#This Row],[Sales]],SalesData[Sales])</f>
        <v>199</v>
      </c>
    </row>
    <row r="455" spans="1:24" x14ac:dyDescent="0.3">
      <c r="A455">
        <v>454</v>
      </c>
      <c r="B455" s="1">
        <v>45745</v>
      </c>
      <c r="C455">
        <v>1083</v>
      </c>
      <c r="D455" t="s">
        <v>199</v>
      </c>
      <c r="E455" t="s">
        <v>24</v>
      </c>
      <c r="F455" t="s">
        <v>33</v>
      </c>
      <c r="G455" t="s">
        <v>17</v>
      </c>
      <c r="H455" t="s">
        <v>37</v>
      </c>
      <c r="I455">
        <v>504</v>
      </c>
      <c r="J455">
        <v>8</v>
      </c>
      <c r="K455">
        <v>0.09</v>
      </c>
      <c r="L455">
        <v>1073</v>
      </c>
      <c r="M455" t="s">
        <v>19</v>
      </c>
      <c r="N455">
        <v>3669.12</v>
      </c>
      <c r="O455" t="str">
        <f>TEXT(SalesData[[#This Row],[Order_Date]],"mmm")</f>
        <v>Mar</v>
      </c>
      <c r="P455">
        <f>YEAR(SalesData[[#This Row],[Order_Date]])</f>
        <v>2025</v>
      </c>
      <c r="Q455" t="str">
        <f>"Q"&amp;ROUNDUP(MONTH(SalesData[[#This Row],[Order_Date]])/3,0)</f>
        <v>Q1</v>
      </c>
      <c r="R455" s="2">
        <f>IFERROR(SalesData[[#This Row],[Profit]]/SalesData[[#This Row],[Sales]],0)</f>
        <v>0.2924406942264085</v>
      </c>
      <c r="S455" s="2">
        <f>SalesData[[#This Row],[Price]]*SalesData[[#This Row],[Quantity]]*SalesData[[#This Row],[Discount]]</f>
        <v>362.88</v>
      </c>
      <c r="T455" s="2" t="str">
        <f>IF(SalesData[[#This Row],[Sales]]&gt;5000,"High",IF(SalesData[[#This Row],[Sales]]&gt;2000,"Medium","Low"))</f>
        <v>Medium</v>
      </c>
      <c r="U455" s="2" t="str">
        <f>IF(COUNTIFS(SalesData[Customer_ID],SalesData[[#This Row],[Customer_ID]])&gt;1,"Repeat","New")</f>
        <v>Repeat</v>
      </c>
      <c r="V455" s="2" t="str">
        <f>IF(SalesData[[#This Row],[Sales]]&gt;AVERAGE(SalesData[Sales]),"Above Avg","Below Avg")</f>
        <v>Below Avg</v>
      </c>
      <c r="W455" s="2" t="str">
        <f>IF(SalesData[[#This Row],[Profit]]&gt;0,"Profit","Loss")</f>
        <v>Profit</v>
      </c>
      <c r="X455" s="2">
        <f>RANK(SalesData[[#This Row],[Sales]],SalesData[Sales])</f>
        <v>367</v>
      </c>
    </row>
    <row r="456" spans="1:24" x14ac:dyDescent="0.3">
      <c r="A456">
        <v>455</v>
      </c>
      <c r="B456" s="1">
        <v>45746</v>
      </c>
      <c r="C456">
        <v>1017</v>
      </c>
      <c r="D456" t="s">
        <v>175</v>
      </c>
      <c r="E456" t="s">
        <v>24</v>
      </c>
      <c r="F456" t="s">
        <v>28</v>
      </c>
      <c r="G456" t="s">
        <v>17</v>
      </c>
      <c r="H456" t="s">
        <v>25</v>
      </c>
      <c r="I456">
        <v>2002</v>
      </c>
      <c r="J456">
        <v>9</v>
      </c>
      <c r="K456">
        <v>0.1</v>
      </c>
      <c r="L456">
        <v>-460</v>
      </c>
      <c r="M456" t="s">
        <v>19</v>
      </c>
      <c r="N456">
        <v>16216.2</v>
      </c>
      <c r="O456" t="str">
        <f>TEXT(SalesData[[#This Row],[Order_Date]],"mmm")</f>
        <v>Mar</v>
      </c>
      <c r="P456">
        <f>YEAR(SalesData[[#This Row],[Order_Date]])</f>
        <v>2025</v>
      </c>
      <c r="Q456" t="str">
        <f>"Q"&amp;ROUNDUP(MONTH(SalesData[[#This Row],[Order_Date]])/3,0)</f>
        <v>Q1</v>
      </c>
      <c r="R456" s="2">
        <f>IFERROR(SalesData[[#This Row],[Profit]]/SalesData[[#This Row],[Sales]],0)</f>
        <v>-2.83666950333617E-2</v>
      </c>
      <c r="S456" s="2">
        <f>SalesData[[#This Row],[Price]]*SalesData[[#This Row],[Quantity]]*SalesData[[#This Row],[Discount]]</f>
        <v>1801.8000000000002</v>
      </c>
      <c r="T456" s="2" t="str">
        <f>IF(SalesData[[#This Row],[Sales]]&gt;5000,"High",IF(SalesData[[#This Row],[Sales]]&gt;2000,"Medium","Low"))</f>
        <v>High</v>
      </c>
      <c r="U456" s="2" t="str">
        <f>IF(COUNTIFS(SalesData[Customer_ID],SalesData[[#This Row],[Customer_ID]])&gt;1,"Repeat","New")</f>
        <v>Repeat</v>
      </c>
      <c r="V456" s="2" t="str">
        <f>IF(SalesData[[#This Row],[Sales]]&gt;AVERAGE(SalesData[Sales]),"Above Avg","Below Avg")</f>
        <v>Above Avg</v>
      </c>
      <c r="W456" s="2" t="str">
        <f>IF(SalesData[[#This Row],[Profit]]&gt;0,"Profit","Loss")</f>
        <v>Loss</v>
      </c>
      <c r="X456" s="2">
        <f>RANK(SalesData[[#This Row],[Sales]],SalesData[Sales])</f>
        <v>121</v>
      </c>
    </row>
    <row r="457" spans="1:24" x14ac:dyDescent="0.3">
      <c r="A457">
        <v>456</v>
      </c>
      <c r="B457" s="1">
        <v>45747</v>
      </c>
      <c r="C457">
        <v>1019</v>
      </c>
      <c r="D457" t="s">
        <v>47</v>
      </c>
      <c r="E457" t="s">
        <v>15</v>
      </c>
      <c r="F457" t="s">
        <v>16</v>
      </c>
      <c r="G457" t="s">
        <v>17</v>
      </c>
      <c r="H457" t="s">
        <v>18</v>
      </c>
      <c r="I457">
        <v>272</v>
      </c>
      <c r="J457">
        <v>2</v>
      </c>
      <c r="K457">
        <v>0.25</v>
      </c>
      <c r="L457">
        <v>237</v>
      </c>
      <c r="M457" t="s">
        <v>31</v>
      </c>
      <c r="N457">
        <v>408</v>
      </c>
      <c r="O457" t="str">
        <f>TEXT(SalesData[[#This Row],[Order_Date]],"mmm")</f>
        <v>Mar</v>
      </c>
      <c r="P457">
        <f>YEAR(SalesData[[#This Row],[Order_Date]])</f>
        <v>2025</v>
      </c>
      <c r="Q457" t="str">
        <f>"Q"&amp;ROUNDUP(MONTH(SalesData[[#This Row],[Order_Date]])/3,0)</f>
        <v>Q1</v>
      </c>
      <c r="R457" s="2">
        <f>IFERROR(SalesData[[#This Row],[Profit]]/SalesData[[#This Row],[Sales]],0)</f>
        <v>0.58088235294117652</v>
      </c>
      <c r="S457" s="2">
        <f>SalesData[[#This Row],[Price]]*SalesData[[#This Row],[Quantity]]*SalesData[[#This Row],[Discount]]</f>
        <v>136</v>
      </c>
      <c r="T457" s="2" t="str">
        <f>IF(SalesData[[#This Row],[Sales]]&gt;5000,"High",IF(SalesData[[#This Row],[Sales]]&gt;2000,"Medium","Low"))</f>
        <v>Low</v>
      </c>
      <c r="U457" s="2" t="str">
        <f>IF(COUNTIFS(SalesData[Customer_ID],SalesData[[#This Row],[Customer_ID]])&gt;1,"Repeat","New")</f>
        <v>Repeat</v>
      </c>
      <c r="V457" s="2" t="str">
        <f>IF(SalesData[[#This Row],[Sales]]&gt;AVERAGE(SalesData[Sales]),"Above Avg","Below Avg")</f>
        <v>Below Avg</v>
      </c>
      <c r="W457" s="2" t="str">
        <f>IF(SalesData[[#This Row],[Profit]]&gt;0,"Profit","Loss")</f>
        <v>Profit</v>
      </c>
      <c r="X457" s="2">
        <f>RANK(SalesData[[#This Row],[Sales]],SalesData[Sales])</f>
        <v>495</v>
      </c>
    </row>
    <row r="458" spans="1:24" x14ac:dyDescent="0.3">
      <c r="A458">
        <v>457</v>
      </c>
      <c r="B458" s="1">
        <v>45748</v>
      </c>
      <c r="C458">
        <v>1029</v>
      </c>
      <c r="D458" t="s">
        <v>162</v>
      </c>
      <c r="E458" t="s">
        <v>15</v>
      </c>
      <c r="F458" t="s">
        <v>21</v>
      </c>
      <c r="G458" t="s">
        <v>17</v>
      </c>
      <c r="H458" t="s">
        <v>29</v>
      </c>
      <c r="I458">
        <v>1217</v>
      </c>
      <c r="J458">
        <v>2</v>
      </c>
      <c r="K458">
        <v>0.03</v>
      </c>
      <c r="L458">
        <v>1969</v>
      </c>
      <c r="M458" t="s">
        <v>31</v>
      </c>
      <c r="N458">
        <v>2360.98</v>
      </c>
      <c r="O458" t="str">
        <f>TEXT(SalesData[[#This Row],[Order_Date]],"mmm")</f>
        <v>Apr</v>
      </c>
      <c r="P458">
        <f>YEAR(SalesData[[#This Row],[Order_Date]])</f>
        <v>2025</v>
      </c>
      <c r="Q458" t="str">
        <f>"Q"&amp;ROUNDUP(MONTH(SalesData[[#This Row],[Order_Date]])/3,0)</f>
        <v>Q2</v>
      </c>
      <c r="R458" s="2">
        <f>IFERROR(SalesData[[#This Row],[Profit]]/SalesData[[#This Row],[Sales]],0)</f>
        <v>0.83397572194597158</v>
      </c>
      <c r="S458" s="2">
        <f>SalesData[[#This Row],[Price]]*SalesData[[#This Row],[Quantity]]*SalesData[[#This Row],[Discount]]</f>
        <v>73.02</v>
      </c>
      <c r="T458" s="2" t="str">
        <f>IF(SalesData[[#This Row],[Sales]]&gt;5000,"High",IF(SalesData[[#This Row],[Sales]]&gt;2000,"Medium","Low"))</f>
        <v>Medium</v>
      </c>
      <c r="U458" s="2" t="str">
        <f>IF(COUNTIFS(SalesData[Customer_ID],SalesData[[#This Row],[Customer_ID]])&gt;1,"Repeat","New")</f>
        <v>Repeat</v>
      </c>
      <c r="V458" s="2" t="str">
        <f>IF(SalesData[[#This Row],[Sales]]&gt;AVERAGE(SalesData[Sales]),"Above Avg","Below Avg")</f>
        <v>Below Avg</v>
      </c>
      <c r="W458" s="2" t="str">
        <f>IF(SalesData[[#This Row],[Profit]]&gt;0,"Profit","Loss")</f>
        <v>Profit</v>
      </c>
      <c r="X458" s="2">
        <f>RANK(SalesData[[#This Row],[Sales]],SalesData[Sales])</f>
        <v>414</v>
      </c>
    </row>
    <row r="459" spans="1:24" x14ac:dyDescent="0.3">
      <c r="A459">
        <v>458</v>
      </c>
      <c r="B459" s="1">
        <v>45749</v>
      </c>
      <c r="C459">
        <v>1073</v>
      </c>
      <c r="D459" t="s">
        <v>77</v>
      </c>
      <c r="E459" t="s">
        <v>24</v>
      </c>
      <c r="F459" t="s">
        <v>28</v>
      </c>
      <c r="G459" t="s">
        <v>22</v>
      </c>
      <c r="H459" t="s">
        <v>25</v>
      </c>
      <c r="I459">
        <v>1801</v>
      </c>
      <c r="J459">
        <v>8</v>
      </c>
      <c r="K459">
        <v>0.03</v>
      </c>
      <c r="L459">
        <v>1897</v>
      </c>
      <c r="M459" t="s">
        <v>26</v>
      </c>
      <c r="N459">
        <v>13975.76</v>
      </c>
      <c r="O459" t="str">
        <f>TEXT(SalesData[[#This Row],[Order_Date]],"mmm")</f>
        <v>Apr</v>
      </c>
      <c r="P459">
        <f>YEAR(SalesData[[#This Row],[Order_Date]])</f>
        <v>2025</v>
      </c>
      <c r="Q459" t="str">
        <f>"Q"&amp;ROUNDUP(MONTH(SalesData[[#This Row],[Order_Date]])/3,0)</f>
        <v>Q2</v>
      </c>
      <c r="R459" s="2">
        <f>IFERROR(SalesData[[#This Row],[Profit]]/SalesData[[#This Row],[Sales]],0)</f>
        <v>0.13573501548395223</v>
      </c>
      <c r="S459" s="2">
        <f>SalesData[[#This Row],[Price]]*SalesData[[#This Row],[Quantity]]*SalesData[[#This Row],[Discount]]</f>
        <v>432.24</v>
      </c>
      <c r="T459" s="2" t="str">
        <f>IF(SalesData[[#This Row],[Sales]]&gt;5000,"High",IF(SalesData[[#This Row],[Sales]]&gt;2000,"Medium","Low"))</f>
        <v>High</v>
      </c>
      <c r="U459" s="2" t="str">
        <f>IF(COUNTIFS(SalesData[Customer_ID],SalesData[[#This Row],[Customer_ID]])&gt;1,"Repeat","New")</f>
        <v>Repeat</v>
      </c>
      <c r="V459" s="2" t="str">
        <f>IF(SalesData[[#This Row],[Sales]]&gt;AVERAGE(SalesData[Sales]),"Above Avg","Below Avg")</f>
        <v>Above Avg</v>
      </c>
      <c r="W459" s="2" t="str">
        <f>IF(SalesData[[#This Row],[Profit]]&gt;0,"Profit","Loss")</f>
        <v>Profit</v>
      </c>
      <c r="X459" s="2">
        <f>RANK(SalesData[[#This Row],[Sales]],SalesData[Sales])</f>
        <v>148</v>
      </c>
    </row>
    <row r="460" spans="1:24" x14ac:dyDescent="0.3">
      <c r="A460">
        <v>459</v>
      </c>
      <c r="B460" s="1">
        <v>45750</v>
      </c>
      <c r="C460">
        <v>1051</v>
      </c>
      <c r="D460" t="s">
        <v>116</v>
      </c>
      <c r="E460" t="s">
        <v>24</v>
      </c>
      <c r="F460" t="s">
        <v>21</v>
      </c>
      <c r="G460" t="s">
        <v>22</v>
      </c>
      <c r="H460" t="s">
        <v>37</v>
      </c>
      <c r="I460">
        <v>4044</v>
      </c>
      <c r="J460">
        <v>6</v>
      </c>
      <c r="K460">
        <v>0.13</v>
      </c>
      <c r="L460">
        <v>-422</v>
      </c>
      <c r="M460" t="s">
        <v>26</v>
      </c>
      <c r="N460">
        <v>21109.68</v>
      </c>
      <c r="O460" t="str">
        <f>TEXT(SalesData[[#This Row],[Order_Date]],"mmm")</f>
        <v>Apr</v>
      </c>
      <c r="P460">
        <f>YEAR(SalesData[[#This Row],[Order_Date]])</f>
        <v>2025</v>
      </c>
      <c r="Q460" t="str">
        <f>"Q"&amp;ROUNDUP(MONTH(SalesData[[#This Row],[Order_Date]])/3,0)</f>
        <v>Q2</v>
      </c>
      <c r="R460" s="2">
        <f>IFERROR(SalesData[[#This Row],[Profit]]/SalesData[[#This Row],[Sales]],0)</f>
        <v>-1.9990828851976911E-2</v>
      </c>
      <c r="S460" s="2">
        <f>SalesData[[#This Row],[Price]]*SalesData[[#This Row],[Quantity]]*SalesData[[#This Row],[Discount]]</f>
        <v>3154.32</v>
      </c>
      <c r="T460" s="2" t="str">
        <f>IF(SalesData[[#This Row],[Sales]]&gt;5000,"High",IF(SalesData[[#This Row],[Sales]]&gt;2000,"Medium","Low"))</f>
        <v>High</v>
      </c>
      <c r="U460" s="2" t="str">
        <f>IF(COUNTIFS(SalesData[Customer_ID],SalesData[[#This Row],[Customer_ID]])&gt;1,"Repeat","New")</f>
        <v>Repeat</v>
      </c>
      <c r="V460" s="2" t="str">
        <f>IF(SalesData[[#This Row],[Sales]]&gt;AVERAGE(SalesData[Sales]),"Above Avg","Below Avg")</f>
        <v>Above Avg</v>
      </c>
      <c r="W460" s="2" t="str">
        <f>IF(SalesData[[#This Row],[Profit]]&gt;0,"Profit","Loss")</f>
        <v>Loss</v>
      </c>
      <c r="X460" s="2">
        <f>RANK(SalesData[[#This Row],[Sales]],SalesData[Sales])</f>
        <v>75</v>
      </c>
    </row>
    <row r="461" spans="1:24" x14ac:dyDescent="0.3">
      <c r="A461">
        <v>460</v>
      </c>
      <c r="B461" s="1">
        <v>45751</v>
      </c>
      <c r="C461">
        <v>1022</v>
      </c>
      <c r="D461" t="s">
        <v>140</v>
      </c>
      <c r="E461" t="s">
        <v>24</v>
      </c>
      <c r="F461" t="s">
        <v>21</v>
      </c>
      <c r="G461" t="s">
        <v>17</v>
      </c>
      <c r="H461" t="s">
        <v>25</v>
      </c>
      <c r="I461">
        <v>1017</v>
      </c>
      <c r="J461">
        <v>8</v>
      </c>
      <c r="K461">
        <v>0.12</v>
      </c>
      <c r="L461">
        <v>622</v>
      </c>
      <c r="M461" t="s">
        <v>31</v>
      </c>
      <c r="N461">
        <v>7159.68</v>
      </c>
      <c r="O461" t="str">
        <f>TEXT(SalesData[[#This Row],[Order_Date]],"mmm")</f>
        <v>Apr</v>
      </c>
      <c r="P461">
        <f>YEAR(SalesData[[#This Row],[Order_Date]])</f>
        <v>2025</v>
      </c>
      <c r="Q461" t="str">
        <f>"Q"&amp;ROUNDUP(MONTH(SalesData[[#This Row],[Order_Date]])/3,0)</f>
        <v>Q2</v>
      </c>
      <c r="R461" s="2">
        <f>IFERROR(SalesData[[#This Row],[Profit]]/SalesData[[#This Row],[Sales]],0)</f>
        <v>8.68753910789309E-2</v>
      </c>
      <c r="S461" s="2">
        <f>SalesData[[#This Row],[Price]]*SalesData[[#This Row],[Quantity]]*SalesData[[#This Row],[Discount]]</f>
        <v>976.31999999999994</v>
      </c>
      <c r="T461" s="2" t="str">
        <f>IF(SalesData[[#This Row],[Sales]]&gt;5000,"High",IF(SalesData[[#This Row],[Sales]]&gt;2000,"Medium","Low"))</f>
        <v>High</v>
      </c>
      <c r="U461" s="2" t="str">
        <f>IF(COUNTIFS(SalesData[Customer_ID],SalesData[[#This Row],[Customer_ID]])&gt;1,"Repeat","New")</f>
        <v>Repeat</v>
      </c>
      <c r="V461" s="2" t="str">
        <f>IF(SalesData[[#This Row],[Sales]]&gt;AVERAGE(SalesData[Sales]),"Above Avg","Below Avg")</f>
        <v>Below Avg</v>
      </c>
      <c r="W461" s="2" t="str">
        <f>IF(SalesData[[#This Row],[Profit]]&gt;0,"Profit","Loss")</f>
        <v>Profit</v>
      </c>
      <c r="X461" s="2">
        <f>RANK(SalesData[[#This Row],[Sales]],SalesData[Sales])</f>
        <v>272</v>
      </c>
    </row>
    <row r="462" spans="1:24" x14ac:dyDescent="0.3">
      <c r="A462">
        <v>461</v>
      </c>
      <c r="B462" s="1">
        <v>45752</v>
      </c>
      <c r="C462">
        <v>1046</v>
      </c>
      <c r="D462" t="s">
        <v>99</v>
      </c>
      <c r="E462" t="s">
        <v>15</v>
      </c>
      <c r="F462" t="s">
        <v>16</v>
      </c>
      <c r="G462" t="s">
        <v>17</v>
      </c>
      <c r="H462" t="s">
        <v>37</v>
      </c>
      <c r="I462">
        <v>3058</v>
      </c>
      <c r="J462">
        <v>1</v>
      </c>
      <c r="K462">
        <v>0.02</v>
      </c>
      <c r="L462">
        <v>1633</v>
      </c>
      <c r="M462" t="s">
        <v>26</v>
      </c>
      <c r="N462">
        <v>2996.84</v>
      </c>
      <c r="O462" t="str">
        <f>TEXT(SalesData[[#This Row],[Order_Date]],"mmm")</f>
        <v>Apr</v>
      </c>
      <c r="P462">
        <f>YEAR(SalesData[[#This Row],[Order_Date]])</f>
        <v>2025</v>
      </c>
      <c r="Q462" t="str">
        <f>"Q"&amp;ROUNDUP(MONTH(SalesData[[#This Row],[Order_Date]])/3,0)</f>
        <v>Q2</v>
      </c>
      <c r="R462" s="2">
        <f>IFERROR(SalesData[[#This Row],[Profit]]/SalesData[[#This Row],[Sales]],0)</f>
        <v>0.54490730235848428</v>
      </c>
      <c r="S462" s="2">
        <f>SalesData[[#This Row],[Price]]*SalesData[[#This Row],[Quantity]]*SalesData[[#This Row],[Discount]]</f>
        <v>61.160000000000004</v>
      </c>
      <c r="T462" s="2" t="str">
        <f>IF(SalesData[[#This Row],[Sales]]&gt;5000,"High",IF(SalesData[[#This Row],[Sales]]&gt;2000,"Medium","Low"))</f>
        <v>Medium</v>
      </c>
      <c r="U462" s="2" t="str">
        <f>IF(COUNTIFS(SalesData[Customer_ID],SalesData[[#This Row],[Customer_ID]])&gt;1,"Repeat","New")</f>
        <v>Repeat</v>
      </c>
      <c r="V462" s="2" t="str">
        <f>IF(SalesData[[#This Row],[Sales]]&gt;AVERAGE(SalesData[Sales]),"Above Avg","Below Avg")</f>
        <v>Below Avg</v>
      </c>
      <c r="W462" s="2" t="str">
        <f>IF(SalesData[[#This Row],[Profit]]&gt;0,"Profit","Loss")</f>
        <v>Profit</v>
      </c>
      <c r="X462" s="2">
        <f>RANK(SalesData[[#This Row],[Sales]],SalesData[Sales])</f>
        <v>393</v>
      </c>
    </row>
    <row r="463" spans="1:24" x14ac:dyDescent="0.3">
      <c r="A463">
        <v>462</v>
      </c>
      <c r="B463" s="1">
        <v>45753</v>
      </c>
      <c r="C463">
        <v>1002</v>
      </c>
      <c r="D463" t="s">
        <v>207</v>
      </c>
      <c r="E463" t="s">
        <v>15</v>
      </c>
      <c r="F463" t="s">
        <v>28</v>
      </c>
      <c r="G463" t="s">
        <v>17</v>
      </c>
      <c r="H463" t="s">
        <v>37</v>
      </c>
      <c r="I463">
        <v>3212</v>
      </c>
      <c r="J463">
        <v>3</v>
      </c>
      <c r="K463">
        <v>0.16</v>
      </c>
      <c r="L463">
        <v>-72</v>
      </c>
      <c r="M463" t="s">
        <v>31</v>
      </c>
      <c r="N463">
        <v>8094.24</v>
      </c>
      <c r="O463" t="str">
        <f>TEXT(SalesData[[#This Row],[Order_Date]],"mmm")</f>
        <v>Apr</v>
      </c>
      <c r="P463">
        <f>YEAR(SalesData[[#This Row],[Order_Date]])</f>
        <v>2025</v>
      </c>
      <c r="Q463" t="str">
        <f>"Q"&amp;ROUNDUP(MONTH(SalesData[[#This Row],[Order_Date]])/3,0)</f>
        <v>Q2</v>
      </c>
      <c r="R463" s="2">
        <f>IFERROR(SalesData[[#This Row],[Profit]]/SalesData[[#This Row],[Sales]],0)</f>
        <v>-8.8952143746664301E-3</v>
      </c>
      <c r="S463" s="2">
        <f>SalesData[[#This Row],[Price]]*SalesData[[#This Row],[Quantity]]*SalesData[[#This Row],[Discount]]</f>
        <v>1541.76</v>
      </c>
      <c r="T463" s="2" t="str">
        <f>IF(SalesData[[#This Row],[Sales]]&gt;5000,"High",IF(SalesData[[#This Row],[Sales]]&gt;2000,"Medium","Low"))</f>
        <v>High</v>
      </c>
      <c r="U463" s="2" t="str">
        <f>IF(COUNTIFS(SalesData[Customer_ID],SalesData[[#This Row],[Customer_ID]])&gt;1,"Repeat","New")</f>
        <v>Repeat</v>
      </c>
      <c r="V463" s="2" t="str">
        <f>IF(SalesData[[#This Row],[Sales]]&gt;AVERAGE(SalesData[Sales]),"Above Avg","Below Avg")</f>
        <v>Below Avg</v>
      </c>
      <c r="W463" s="2" t="str">
        <f>IF(SalesData[[#This Row],[Profit]]&gt;0,"Profit","Loss")</f>
        <v>Loss</v>
      </c>
      <c r="X463" s="2">
        <f>RANK(SalesData[[#This Row],[Sales]],SalesData[Sales])</f>
        <v>249</v>
      </c>
    </row>
    <row r="464" spans="1:24" x14ac:dyDescent="0.3">
      <c r="A464">
        <v>463</v>
      </c>
      <c r="B464" s="1">
        <v>45754</v>
      </c>
      <c r="C464">
        <v>1049</v>
      </c>
      <c r="D464" t="s">
        <v>169</v>
      </c>
      <c r="E464" t="s">
        <v>15</v>
      </c>
      <c r="F464" t="s">
        <v>16</v>
      </c>
      <c r="G464" t="s">
        <v>34</v>
      </c>
      <c r="H464" t="s">
        <v>37</v>
      </c>
      <c r="I464">
        <v>1965</v>
      </c>
      <c r="J464">
        <v>7</v>
      </c>
      <c r="K464">
        <v>0.13</v>
      </c>
      <c r="L464">
        <v>510</v>
      </c>
      <c r="M464" t="s">
        <v>31</v>
      </c>
      <c r="N464">
        <v>11966.85</v>
      </c>
      <c r="O464" t="str">
        <f>TEXT(SalesData[[#This Row],[Order_Date]],"mmm")</f>
        <v>Apr</v>
      </c>
      <c r="P464">
        <f>YEAR(SalesData[[#This Row],[Order_Date]])</f>
        <v>2025</v>
      </c>
      <c r="Q464" t="str">
        <f>"Q"&amp;ROUNDUP(MONTH(SalesData[[#This Row],[Order_Date]])/3,0)</f>
        <v>Q2</v>
      </c>
      <c r="R464" s="2">
        <f>IFERROR(SalesData[[#This Row],[Profit]]/SalesData[[#This Row],[Sales]],0)</f>
        <v>4.2617731483222399E-2</v>
      </c>
      <c r="S464" s="2">
        <f>SalesData[[#This Row],[Price]]*SalesData[[#This Row],[Quantity]]*SalesData[[#This Row],[Discount]]</f>
        <v>1788.15</v>
      </c>
      <c r="T464" s="2" t="str">
        <f>IF(SalesData[[#This Row],[Sales]]&gt;5000,"High",IF(SalesData[[#This Row],[Sales]]&gt;2000,"Medium","Low"))</f>
        <v>High</v>
      </c>
      <c r="U464" s="2" t="str">
        <f>IF(COUNTIFS(SalesData[Customer_ID],SalesData[[#This Row],[Customer_ID]])&gt;1,"Repeat","New")</f>
        <v>Repeat</v>
      </c>
      <c r="V464" s="2" t="str">
        <f>IF(SalesData[[#This Row],[Sales]]&gt;AVERAGE(SalesData[Sales]),"Above Avg","Below Avg")</f>
        <v>Above Avg</v>
      </c>
      <c r="W464" s="2" t="str">
        <f>IF(SalesData[[#This Row],[Profit]]&gt;0,"Profit","Loss")</f>
        <v>Profit</v>
      </c>
      <c r="X464" s="2">
        <f>RANK(SalesData[[#This Row],[Sales]],SalesData[Sales])</f>
        <v>168</v>
      </c>
    </row>
    <row r="465" spans="1:24" x14ac:dyDescent="0.3">
      <c r="A465">
        <v>464</v>
      </c>
      <c r="B465" s="1">
        <v>45755</v>
      </c>
      <c r="C465">
        <v>1008</v>
      </c>
      <c r="D465" t="s">
        <v>140</v>
      </c>
      <c r="E465" t="s">
        <v>15</v>
      </c>
      <c r="F465" t="s">
        <v>33</v>
      </c>
      <c r="G465" t="s">
        <v>34</v>
      </c>
      <c r="H465" t="s">
        <v>18</v>
      </c>
      <c r="I465">
        <v>406</v>
      </c>
      <c r="J465">
        <v>7</v>
      </c>
      <c r="K465">
        <v>0.3</v>
      </c>
      <c r="L465">
        <v>648</v>
      </c>
      <c r="M465" t="s">
        <v>31</v>
      </c>
      <c r="N465">
        <v>1989.3999999999901</v>
      </c>
      <c r="O465" t="str">
        <f>TEXT(SalesData[[#This Row],[Order_Date]],"mmm")</f>
        <v>Apr</v>
      </c>
      <c r="P465">
        <f>YEAR(SalesData[[#This Row],[Order_Date]])</f>
        <v>2025</v>
      </c>
      <c r="Q465" t="str">
        <f>"Q"&amp;ROUNDUP(MONTH(SalesData[[#This Row],[Order_Date]])/3,0)</f>
        <v>Q2</v>
      </c>
      <c r="R465" s="2">
        <f>IFERROR(SalesData[[#This Row],[Profit]]/SalesData[[#This Row],[Sales]],0)</f>
        <v>0.32572634965316338</v>
      </c>
      <c r="S465" s="2">
        <f>SalesData[[#This Row],[Price]]*SalesData[[#This Row],[Quantity]]*SalesData[[#This Row],[Discount]]</f>
        <v>852.6</v>
      </c>
      <c r="T465" s="2" t="str">
        <f>IF(SalesData[[#This Row],[Sales]]&gt;5000,"High",IF(SalesData[[#This Row],[Sales]]&gt;2000,"Medium","Low"))</f>
        <v>Low</v>
      </c>
      <c r="U465" s="2" t="str">
        <f>IF(COUNTIFS(SalesData[Customer_ID],SalesData[[#This Row],[Customer_ID]])&gt;1,"Repeat","New")</f>
        <v>Repeat</v>
      </c>
      <c r="V465" s="2" t="str">
        <f>IF(SalesData[[#This Row],[Sales]]&gt;AVERAGE(SalesData[Sales]),"Above Avg","Below Avg")</f>
        <v>Below Avg</v>
      </c>
      <c r="W465" s="2" t="str">
        <f>IF(SalesData[[#This Row],[Profit]]&gt;0,"Profit","Loss")</f>
        <v>Profit</v>
      </c>
      <c r="X465" s="2">
        <f>RANK(SalesData[[#This Row],[Sales]],SalesData[Sales])</f>
        <v>431</v>
      </c>
    </row>
    <row r="466" spans="1:24" x14ac:dyDescent="0.3">
      <c r="A466">
        <v>465</v>
      </c>
      <c r="B466" s="1">
        <v>45756</v>
      </c>
      <c r="C466">
        <v>1018</v>
      </c>
      <c r="D466" t="s">
        <v>48</v>
      </c>
      <c r="E466" t="s">
        <v>15</v>
      </c>
      <c r="F466" t="s">
        <v>28</v>
      </c>
      <c r="G466" t="s">
        <v>22</v>
      </c>
      <c r="H466" t="s">
        <v>37</v>
      </c>
      <c r="I466">
        <v>1951</v>
      </c>
      <c r="J466">
        <v>5</v>
      </c>
      <c r="K466">
        <v>0.02</v>
      </c>
      <c r="L466">
        <v>575</v>
      </c>
      <c r="M466" t="s">
        <v>26</v>
      </c>
      <c r="N466">
        <v>9559.9</v>
      </c>
      <c r="O466" t="str">
        <f>TEXT(SalesData[[#This Row],[Order_Date]],"mmm")</f>
        <v>Apr</v>
      </c>
      <c r="P466">
        <f>YEAR(SalesData[[#This Row],[Order_Date]])</f>
        <v>2025</v>
      </c>
      <c r="Q466" t="str">
        <f>"Q"&amp;ROUNDUP(MONTH(SalesData[[#This Row],[Order_Date]])/3,0)</f>
        <v>Q2</v>
      </c>
      <c r="R466" s="2">
        <f>IFERROR(SalesData[[#This Row],[Profit]]/SalesData[[#This Row],[Sales]],0)</f>
        <v>6.0147072668124149E-2</v>
      </c>
      <c r="S466" s="2">
        <f>SalesData[[#This Row],[Price]]*SalesData[[#This Row],[Quantity]]*SalesData[[#This Row],[Discount]]</f>
        <v>195.1</v>
      </c>
      <c r="T466" s="2" t="str">
        <f>IF(SalesData[[#This Row],[Sales]]&gt;5000,"High",IF(SalesData[[#This Row],[Sales]]&gt;2000,"Medium","Low"))</f>
        <v>High</v>
      </c>
      <c r="U466" s="2" t="str">
        <f>IF(COUNTIFS(SalesData[Customer_ID],SalesData[[#This Row],[Customer_ID]])&gt;1,"Repeat","New")</f>
        <v>Repeat</v>
      </c>
      <c r="V466" s="2" t="str">
        <f>IF(SalesData[[#This Row],[Sales]]&gt;AVERAGE(SalesData[Sales]),"Above Avg","Below Avg")</f>
        <v>Below Avg</v>
      </c>
      <c r="W466" s="2" t="str">
        <f>IF(SalesData[[#This Row],[Profit]]&gt;0,"Profit","Loss")</f>
        <v>Profit</v>
      </c>
      <c r="X466" s="2">
        <f>RANK(SalesData[[#This Row],[Sales]],SalesData[Sales])</f>
        <v>214</v>
      </c>
    </row>
    <row r="467" spans="1:24" x14ac:dyDescent="0.3">
      <c r="A467">
        <v>466</v>
      </c>
      <c r="B467" s="1">
        <v>45757</v>
      </c>
      <c r="C467">
        <v>1035</v>
      </c>
      <c r="D467" t="s">
        <v>59</v>
      </c>
      <c r="E467" t="s">
        <v>15</v>
      </c>
      <c r="F467" t="s">
        <v>33</v>
      </c>
      <c r="G467" t="s">
        <v>34</v>
      </c>
      <c r="H467" t="s">
        <v>25</v>
      </c>
      <c r="I467">
        <v>930</v>
      </c>
      <c r="J467">
        <v>9</v>
      </c>
      <c r="K467">
        <v>0.04</v>
      </c>
      <c r="L467">
        <v>-226</v>
      </c>
      <c r="M467" t="s">
        <v>26</v>
      </c>
      <c r="N467">
        <v>8035.2</v>
      </c>
      <c r="O467" t="str">
        <f>TEXT(SalesData[[#This Row],[Order_Date]],"mmm")</f>
        <v>Apr</v>
      </c>
      <c r="P467">
        <f>YEAR(SalesData[[#This Row],[Order_Date]])</f>
        <v>2025</v>
      </c>
      <c r="Q467" t="str">
        <f>"Q"&amp;ROUNDUP(MONTH(SalesData[[#This Row],[Order_Date]])/3,0)</f>
        <v>Q2</v>
      </c>
      <c r="R467" s="2">
        <f>IFERROR(SalesData[[#This Row],[Profit]]/SalesData[[#This Row],[Sales]],0)</f>
        <v>-2.8126244524093989E-2</v>
      </c>
      <c r="S467" s="2">
        <f>SalesData[[#This Row],[Price]]*SalesData[[#This Row],[Quantity]]*SalesData[[#This Row],[Discount]]</f>
        <v>334.8</v>
      </c>
      <c r="T467" s="2" t="str">
        <f>IF(SalesData[[#This Row],[Sales]]&gt;5000,"High",IF(SalesData[[#This Row],[Sales]]&gt;2000,"Medium","Low"))</f>
        <v>High</v>
      </c>
      <c r="U467" s="2" t="str">
        <f>IF(COUNTIFS(SalesData[Customer_ID],SalesData[[#This Row],[Customer_ID]])&gt;1,"Repeat","New")</f>
        <v>Repeat</v>
      </c>
      <c r="V467" s="2" t="str">
        <f>IF(SalesData[[#This Row],[Sales]]&gt;AVERAGE(SalesData[Sales]),"Above Avg","Below Avg")</f>
        <v>Below Avg</v>
      </c>
      <c r="W467" s="2" t="str">
        <f>IF(SalesData[[#This Row],[Profit]]&gt;0,"Profit","Loss")</f>
        <v>Loss</v>
      </c>
      <c r="X467" s="2">
        <f>RANK(SalesData[[#This Row],[Sales]],SalesData[Sales])</f>
        <v>252</v>
      </c>
    </row>
    <row r="468" spans="1:24" x14ac:dyDescent="0.3">
      <c r="A468">
        <v>467</v>
      </c>
      <c r="B468" s="1">
        <v>45758</v>
      </c>
      <c r="C468">
        <v>1039</v>
      </c>
      <c r="D468" t="s">
        <v>108</v>
      </c>
      <c r="E468" t="s">
        <v>15</v>
      </c>
      <c r="F468" t="s">
        <v>16</v>
      </c>
      <c r="G468" t="s">
        <v>17</v>
      </c>
      <c r="H468" t="s">
        <v>18</v>
      </c>
      <c r="I468">
        <v>524</v>
      </c>
      <c r="J468">
        <v>2</v>
      </c>
      <c r="K468">
        <v>0.05</v>
      </c>
      <c r="L468">
        <v>563</v>
      </c>
      <c r="M468" t="s">
        <v>26</v>
      </c>
      <c r="N468">
        <v>995.599999999999</v>
      </c>
      <c r="O468" t="str">
        <f>TEXT(SalesData[[#This Row],[Order_Date]],"mmm")</f>
        <v>Apr</v>
      </c>
      <c r="P468">
        <f>YEAR(SalesData[[#This Row],[Order_Date]])</f>
        <v>2025</v>
      </c>
      <c r="Q468" t="str">
        <f>"Q"&amp;ROUNDUP(MONTH(SalesData[[#This Row],[Order_Date]])/3,0)</f>
        <v>Q2</v>
      </c>
      <c r="R468" s="2">
        <f>IFERROR(SalesData[[#This Row],[Profit]]/SalesData[[#This Row],[Sales]],0)</f>
        <v>0.56548814785054291</v>
      </c>
      <c r="S468" s="2">
        <f>SalesData[[#This Row],[Price]]*SalesData[[#This Row],[Quantity]]*SalesData[[#This Row],[Discount]]</f>
        <v>52.400000000000006</v>
      </c>
      <c r="T468" s="2" t="str">
        <f>IF(SalesData[[#This Row],[Sales]]&gt;5000,"High",IF(SalesData[[#This Row],[Sales]]&gt;2000,"Medium","Low"))</f>
        <v>Low</v>
      </c>
      <c r="U468" s="2" t="str">
        <f>IF(COUNTIFS(SalesData[Customer_ID],SalesData[[#This Row],[Customer_ID]])&gt;1,"Repeat","New")</f>
        <v>Repeat</v>
      </c>
      <c r="V468" s="2" t="str">
        <f>IF(SalesData[[#This Row],[Sales]]&gt;AVERAGE(SalesData[Sales]),"Above Avg","Below Avg")</f>
        <v>Below Avg</v>
      </c>
      <c r="W468" s="2" t="str">
        <f>IF(SalesData[[#This Row],[Profit]]&gt;0,"Profit","Loss")</f>
        <v>Profit</v>
      </c>
      <c r="X468" s="2">
        <f>RANK(SalesData[[#This Row],[Sales]],SalesData[Sales])</f>
        <v>480</v>
      </c>
    </row>
    <row r="469" spans="1:24" x14ac:dyDescent="0.3">
      <c r="A469">
        <v>468</v>
      </c>
      <c r="B469" s="1">
        <v>45759</v>
      </c>
      <c r="C469">
        <v>1026</v>
      </c>
      <c r="D469" t="s">
        <v>125</v>
      </c>
      <c r="E469" t="s">
        <v>24</v>
      </c>
      <c r="F469" t="s">
        <v>33</v>
      </c>
      <c r="G469" t="s">
        <v>34</v>
      </c>
      <c r="H469" t="s">
        <v>29</v>
      </c>
      <c r="I469">
        <v>3851</v>
      </c>
      <c r="J469">
        <v>1</v>
      </c>
      <c r="K469">
        <v>0.1</v>
      </c>
      <c r="L469">
        <v>1436</v>
      </c>
      <c r="M469" t="s">
        <v>19</v>
      </c>
      <c r="N469">
        <v>3465.9</v>
      </c>
      <c r="O469" t="str">
        <f>TEXT(SalesData[[#This Row],[Order_Date]],"mmm")</f>
        <v>Apr</v>
      </c>
      <c r="P469">
        <f>YEAR(SalesData[[#This Row],[Order_Date]])</f>
        <v>2025</v>
      </c>
      <c r="Q469" t="str">
        <f>"Q"&amp;ROUNDUP(MONTH(SalesData[[#This Row],[Order_Date]])/3,0)</f>
        <v>Q2</v>
      </c>
      <c r="R469" s="2">
        <f>IFERROR(SalesData[[#This Row],[Profit]]/SalesData[[#This Row],[Sales]],0)</f>
        <v>0.41432239822268385</v>
      </c>
      <c r="S469" s="2">
        <f>SalesData[[#This Row],[Price]]*SalesData[[#This Row],[Quantity]]*SalesData[[#This Row],[Discount]]</f>
        <v>385.1</v>
      </c>
      <c r="T469" s="2" t="str">
        <f>IF(SalesData[[#This Row],[Sales]]&gt;5000,"High",IF(SalesData[[#This Row],[Sales]]&gt;2000,"Medium","Low"))</f>
        <v>Medium</v>
      </c>
      <c r="U469" s="2" t="str">
        <f>IF(COUNTIFS(SalesData[Customer_ID],SalesData[[#This Row],[Customer_ID]])&gt;1,"Repeat","New")</f>
        <v>Repeat</v>
      </c>
      <c r="V469" s="2" t="str">
        <f>IF(SalesData[[#This Row],[Sales]]&gt;AVERAGE(SalesData[Sales]),"Above Avg","Below Avg")</f>
        <v>Below Avg</v>
      </c>
      <c r="W469" s="2" t="str">
        <f>IF(SalesData[[#This Row],[Profit]]&gt;0,"Profit","Loss")</f>
        <v>Profit</v>
      </c>
      <c r="X469" s="2">
        <f>RANK(SalesData[[#This Row],[Sales]],SalesData[Sales])</f>
        <v>377</v>
      </c>
    </row>
    <row r="470" spans="1:24" x14ac:dyDescent="0.3">
      <c r="A470">
        <v>469</v>
      </c>
      <c r="B470" s="1">
        <v>45760</v>
      </c>
      <c r="C470">
        <v>1091</v>
      </c>
      <c r="D470" t="s">
        <v>170</v>
      </c>
      <c r="E470" t="s">
        <v>24</v>
      </c>
      <c r="F470" t="s">
        <v>21</v>
      </c>
      <c r="G470" t="s">
        <v>17</v>
      </c>
      <c r="H470" t="s">
        <v>18</v>
      </c>
      <c r="I470">
        <v>4972</v>
      </c>
      <c r="J470">
        <v>3</v>
      </c>
      <c r="K470">
        <v>0.2</v>
      </c>
      <c r="L470">
        <v>1594</v>
      </c>
      <c r="M470" t="s">
        <v>31</v>
      </c>
      <c r="N470">
        <v>11932.8</v>
      </c>
      <c r="O470" t="str">
        <f>TEXT(SalesData[[#This Row],[Order_Date]],"mmm")</f>
        <v>Apr</v>
      </c>
      <c r="P470">
        <f>YEAR(SalesData[[#This Row],[Order_Date]])</f>
        <v>2025</v>
      </c>
      <c r="Q470" t="str">
        <f>"Q"&amp;ROUNDUP(MONTH(SalesData[[#This Row],[Order_Date]])/3,0)</f>
        <v>Q2</v>
      </c>
      <c r="R470" s="2">
        <f>IFERROR(SalesData[[#This Row],[Profit]]/SalesData[[#This Row],[Sales]],0)</f>
        <v>0.13358138911236256</v>
      </c>
      <c r="S470" s="2">
        <f>SalesData[[#This Row],[Price]]*SalesData[[#This Row],[Quantity]]*SalesData[[#This Row],[Discount]]</f>
        <v>2983.2000000000003</v>
      </c>
      <c r="T470" s="2" t="str">
        <f>IF(SalesData[[#This Row],[Sales]]&gt;5000,"High",IF(SalesData[[#This Row],[Sales]]&gt;2000,"Medium","Low"))</f>
        <v>High</v>
      </c>
      <c r="U470" s="2" t="str">
        <f>IF(COUNTIFS(SalesData[Customer_ID],SalesData[[#This Row],[Customer_ID]])&gt;1,"Repeat","New")</f>
        <v>Repeat</v>
      </c>
      <c r="V470" s="2" t="str">
        <f>IF(SalesData[[#This Row],[Sales]]&gt;AVERAGE(SalesData[Sales]),"Above Avg","Below Avg")</f>
        <v>Above Avg</v>
      </c>
      <c r="W470" s="2" t="str">
        <f>IF(SalesData[[#This Row],[Profit]]&gt;0,"Profit","Loss")</f>
        <v>Profit</v>
      </c>
      <c r="X470" s="2">
        <f>RANK(SalesData[[#This Row],[Sales]],SalesData[Sales])</f>
        <v>169</v>
      </c>
    </row>
    <row r="471" spans="1:24" x14ac:dyDescent="0.3">
      <c r="A471">
        <v>470</v>
      </c>
      <c r="B471" s="1">
        <v>45761</v>
      </c>
      <c r="C471">
        <v>1071</v>
      </c>
      <c r="D471" t="s">
        <v>202</v>
      </c>
      <c r="E471" t="s">
        <v>15</v>
      </c>
      <c r="F471" t="s">
        <v>16</v>
      </c>
      <c r="G471" t="s">
        <v>34</v>
      </c>
      <c r="H471" t="s">
        <v>37</v>
      </c>
      <c r="I471">
        <v>1905</v>
      </c>
      <c r="J471">
        <v>7</v>
      </c>
      <c r="K471">
        <v>0.28999999999999998</v>
      </c>
      <c r="L471">
        <v>-284</v>
      </c>
      <c r="M471" t="s">
        <v>19</v>
      </c>
      <c r="N471">
        <v>9467.85</v>
      </c>
      <c r="O471" t="str">
        <f>TEXT(SalesData[[#This Row],[Order_Date]],"mmm")</f>
        <v>Apr</v>
      </c>
      <c r="P471">
        <f>YEAR(SalesData[[#This Row],[Order_Date]])</f>
        <v>2025</v>
      </c>
      <c r="Q471" t="str">
        <f>"Q"&amp;ROUNDUP(MONTH(SalesData[[#This Row],[Order_Date]])/3,0)</f>
        <v>Q2</v>
      </c>
      <c r="R471" s="2">
        <f>IFERROR(SalesData[[#This Row],[Profit]]/SalesData[[#This Row],[Sales]],0)</f>
        <v>-2.9996250468691414E-2</v>
      </c>
      <c r="S471" s="2">
        <f>SalesData[[#This Row],[Price]]*SalesData[[#This Row],[Quantity]]*SalesData[[#This Row],[Discount]]</f>
        <v>3867.1499999999996</v>
      </c>
      <c r="T471" s="2" t="str">
        <f>IF(SalesData[[#This Row],[Sales]]&gt;5000,"High",IF(SalesData[[#This Row],[Sales]]&gt;2000,"Medium","Low"))</f>
        <v>High</v>
      </c>
      <c r="U471" s="2" t="str">
        <f>IF(COUNTIFS(SalesData[Customer_ID],SalesData[[#This Row],[Customer_ID]])&gt;1,"Repeat","New")</f>
        <v>Repeat</v>
      </c>
      <c r="V471" s="2" t="str">
        <f>IF(SalesData[[#This Row],[Sales]]&gt;AVERAGE(SalesData[Sales]),"Above Avg","Below Avg")</f>
        <v>Below Avg</v>
      </c>
      <c r="W471" s="2" t="str">
        <f>IF(SalesData[[#This Row],[Profit]]&gt;0,"Profit","Loss")</f>
        <v>Loss</v>
      </c>
      <c r="X471" s="2">
        <f>RANK(SalesData[[#This Row],[Sales]],SalesData[Sales])</f>
        <v>218</v>
      </c>
    </row>
    <row r="472" spans="1:24" x14ac:dyDescent="0.3">
      <c r="A472">
        <v>471</v>
      </c>
      <c r="B472" s="1">
        <v>45762</v>
      </c>
      <c r="C472">
        <v>1071</v>
      </c>
      <c r="D472" t="s">
        <v>55</v>
      </c>
      <c r="E472" t="s">
        <v>24</v>
      </c>
      <c r="F472" t="s">
        <v>33</v>
      </c>
      <c r="G472" t="s">
        <v>34</v>
      </c>
      <c r="H472" t="s">
        <v>29</v>
      </c>
      <c r="I472">
        <v>4820</v>
      </c>
      <c r="J472">
        <v>8</v>
      </c>
      <c r="K472">
        <v>0.27</v>
      </c>
      <c r="L472">
        <v>148</v>
      </c>
      <c r="M472" t="s">
        <v>31</v>
      </c>
      <c r="N472">
        <v>28148.799999999999</v>
      </c>
      <c r="O472" t="str">
        <f>TEXT(SalesData[[#This Row],[Order_Date]],"mmm")</f>
        <v>Apr</v>
      </c>
      <c r="P472">
        <f>YEAR(SalesData[[#This Row],[Order_Date]])</f>
        <v>2025</v>
      </c>
      <c r="Q472" t="str">
        <f>"Q"&amp;ROUNDUP(MONTH(SalesData[[#This Row],[Order_Date]])/3,0)</f>
        <v>Q2</v>
      </c>
      <c r="R472" s="2">
        <f>IFERROR(SalesData[[#This Row],[Profit]]/SalesData[[#This Row],[Sales]],0)</f>
        <v>5.257772977888933E-3</v>
      </c>
      <c r="S472" s="2">
        <f>SalesData[[#This Row],[Price]]*SalesData[[#This Row],[Quantity]]*SalesData[[#This Row],[Discount]]</f>
        <v>10411.200000000001</v>
      </c>
      <c r="T472" s="2" t="str">
        <f>IF(SalesData[[#This Row],[Sales]]&gt;5000,"High",IF(SalesData[[#This Row],[Sales]]&gt;2000,"Medium","Low"))</f>
        <v>High</v>
      </c>
      <c r="U472" s="2" t="str">
        <f>IF(COUNTIFS(SalesData[Customer_ID],SalesData[[#This Row],[Customer_ID]])&gt;1,"Repeat","New")</f>
        <v>Repeat</v>
      </c>
      <c r="V472" s="2" t="str">
        <f>IF(SalesData[[#This Row],[Sales]]&gt;AVERAGE(SalesData[Sales]),"Above Avg","Below Avg")</f>
        <v>Above Avg</v>
      </c>
      <c r="W472" s="2" t="str">
        <f>IF(SalesData[[#This Row],[Profit]]&gt;0,"Profit","Loss")</f>
        <v>Profit</v>
      </c>
      <c r="X472" s="2">
        <f>RANK(SalesData[[#This Row],[Sales]],SalesData[Sales])</f>
        <v>28</v>
      </c>
    </row>
    <row r="473" spans="1:24" x14ac:dyDescent="0.3">
      <c r="A473">
        <v>472</v>
      </c>
      <c r="B473" s="1">
        <v>45763</v>
      </c>
      <c r="C473">
        <v>1081</v>
      </c>
      <c r="D473" t="s">
        <v>121</v>
      </c>
      <c r="E473" t="s">
        <v>24</v>
      </c>
      <c r="F473" t="s">
        <v>33</v>
      </c>
      <c r="G473" t="s">
        <v>34</v>
      </c>
      <c r="H473" t="s">
        <v>37</v>
      </c>
      <c r="I473">
        <v>2519</v>
      </c>
      <c r="J473">
        <v>8</v>
      </c>
      <c r="K473">
        <v>0.13</v>
      </c>
      <c r="L473">
        <v>1049</v>
      </c>
      <c r="M473" t="s">
        <v>31</v>
      </c>
      <c r="N473">
        <v>17532.240000000002</v>
      </c>
      <c r="O473" t="str">
        <f>TEXT(SalesData[[#This Row],[Order_Date]],"mmm")</f>
        <v>Apr</v>
      </c>
      <c r="P473">
        <f>YEAR(SalesData[[#This Row],[Order_Date]])</f>
        <v>2025</v>
      </c>
      <c r="Q473" t="str">
        <f>"Q"&amp;ROUNDUP(MONTH(SalesData[[#This Row],[Order_Date]])/3,0)</f>
        <v>Q2</v>
      </c>
      <c r="R473" s="2">
        <f>IFERROR(SalesData[[#This Row],[Profit]]/SalesData[[#This Row],[Sales]],0)</f>
        <v>5.9832628346406388E-2</v>
      </c>
      <c r="S473" s="2">
        <f>SalesData[[#This Row],[Price]]*SalesData[[#This Row],[Quantity]]*SalesData[[#This Row],[Discount]]</f>
        <v>2619.7600000000002</v>
      </c>
      <c r="T473" s="2" t="str">
        <f>IF(SalesData[[#This Row],[Sales]]&gt;5000,"High",IF(SalesData[[#This Row],[Sales]]&gt;2000,"Medium","Low"))</f>
        <v>High</v>
      </c>
      <c r="U473" s="2" t="str">
        <f>IF(COUNTIFS(SalesData[Customer_ID],SalesData[[#This Row],[Customer_ID]])&gt;1,"Repeat","New")</f>
        <v>Repeat</v>
      </c>
      <c r="V473" s="2" t="str">
        <f>IF(SalesData[[#This Row],[Sales]]&gt;AVERAGE(SalesData[Sales]),"Above Avg","Below Avg")</f>
        <v>Above Avg</v>
      </c>
      <c r="W473" s="2" t="str">
        <f>IF(SalesData[[#This Row],[Profit]]&gt;0,"Profit","Loss")</f>
        <v>Profit</v>
      </c>
      <c r="X473" s="2">
        <f>RANK(SalesData[[#This Row],[Sales]],SalesData[Sales])</f>
        <v>96</v>
      </c>
    </row>
    <row r="474" spans="1:24" x14ac:dyDescent="0.3">
      <c r="A474">
        <v>473</v>
      </c>
      <c r="B474" s="1">
        <v>45764</v>
      </c>
      <c r="C474">
        <v>1020</v>
      </c>
      <c r="D474" t="s">
        <v>214</v>
      </c>
      <c r="E474" t="s">
        <v>24</v>
      </c>
      <c r="F474" t="s">
        <v>33</v>
      </c>
      <c r="G474" t="s">
        <v>22</v>
      </c>
      <c r="H474" t="s">
        <v>29</v>
      </c>
      <c r="I474">
        <v>191</v>
      </c>
      <c r="J474">
        <v>2</v>
      </c>
      <c r="K474">
        <v>0.02</v>
      </c>
      <c r="L474">
        <v>453</v>
      </c>
      <c r="M474" t="s">
        <v>26</v>
      </c>
      <c r="N474">
        <v>374.36</v>
      </c>
      <c r="O474" t="str">
        <f>TEXT(SalesData[[#This Row],[Order_Date]],"mmm")</f>
        <v>Apr</v>
      </c>
      <c r="P474">
        <f>YEAR(SalesData[[#This Row],[Order_Date]])</f>
        <v>2025</v>
      </c>
      <c r="Q474" t="str">
        <f>"Q"&amp;ROUNDUP(MONTH(SalesData[[#This Row],[Order_Date]])/3,0)</f>
        <v>Q2</v>
      </c>
      <c r="R474" s="2">
        <f>IFERROR(SalesData[[#This Row],[Profit]]/SalesData[[#This Row],[Sales]],0)</f>
        <v>1.2100651779036222</v>
      </c>
      <c r="S474" s="2">
        <f>SalesData[[#This Row],[Price]]*SalesData[[#This Row],[Quantity]]*SalesData[[#This Row],[Discount]]</f>
        <v>7.6400000000000006</v>
      </c>
      <c r="T474" s="2" t="str">
        <f>IF(SalesData[[#This Row],[Sales]]&gt;5000,"High",IF(SalesData[[#This Row],[Sales]]&gt;2000,"Medium","Low"))</f>
        <v>Low</v>
      </c>
      <c r="U474" s="2" t="str">
        <f>IF(COUNTIFS(SalesData[Customer_ID],SalesData[[#This Row],[Customer_ID]])&gt;1,"Repeat","New")</f>
        <v>Repeat</v>
      </c>
      <c r="V474" s="2" t="str">
        <f>IF(SalesData[[#This Row],[Sales]]&gt;AVERAGE(SalesData[Sales]),"Above Avg","Below Avg")</f>
        <v>Below Avg</v>
      </c>
      <c r="W474" s="2" t="str">
        <f>IF(SalesData[[#This Row],[Profit]]&gt;0,"Profit","Loss")</f>
        <v>Profit</v>
      </c>
      <c r="X474" s="2">
        <f>RANK(SalesData[[#This Row],[Sales]],SalesData[Sales])</f>
        <v>496</v>
      </c>
    </row>
    <row r="475" spans="1:24" x14ac:dyDescent="0.3">
      <c r="A475">
        <v>474</v>
      </c>
      <c r="B475" s="1">
        <v>45765</v>
      </c>
      <c r="C475">
        <v>1012</v>
      </c>
      <c r="D475" t="s">
        <v>70</v>
      </c>
      <c r="E475" t="s">
        <v>24</v>
      </c>
      <c r="F475" t="s">
        <v>33</v>
      </c>
      <c r="G475" t="s">
        <v>34</v>
      </c>
      <c r="H475" t="s">
        <v>18</v>
      </c>
      <c r="I475">
        <v>958</v>
      </c>
      <c r="J475">
        <v>6</v>
      </c>
      <c r="K475">
        <v>0.19</v>
      </c>
      <c r="L475">
        <v>1374</v>
      </c>
      <c r="M475" t="s">
        <v>26</v>
      </c>
      <c r="N475">
        <v>4655.88</v>
      </c>
      <c r="O475" t="str">
        <f>TEXT(SalesData[[#This Row],[Order_Date]],"mmm")</f>
        <v>Apr</v>
      </c>
      <c r="P475">
        <f>YEAR(SalesData[[#This Row],[Order_Date]])</f>
        <v>2025</v>
      </c>
      <c r="Q475" t="str">
        <f>"Q"&amp;ROUNDUP(MONTH(SalesData[[#This Row],[Order_Date]])/3,0)</f>
        <v>Q2</v>
      </c>
      <c r="R475" s="2">
        <f>IFERROR(SalesData[[#This Row],[Profit]]/SalesData[[#This Row],[Sales]],0)</f>
        <v>0.2951106987293487</v>
      </c>
      <c r="S475" s="2">
        <f>SalesData[[#This Row],[Price]]*SalesData[[#This Row],[Quantity]]*SalesData[[#This Row],[Discount]]</f>
        <v>1092.1200000000001</v>
      </c>
      <c r="T475" s="2" t="str">
        <f>IF(SalesData[[#This Row],[Sales]]&gt;5000,"High",IF(SalesData[[#This Row],[Sales]]&gt;2000,"Medium","Low"))</f>
        <v>Medium</v>
      </c>
      <c r="U475" s="2" t="str">
        <f>IF(COUNTIFS(SalesData[Customer_ID],SalesData[[#This Row],[Customer_ID]])&gt;1,"Repeat","New")</f>
        <v>Repeat</v>
      </c>
      <c r="V475" s="2" t="str">
        <f>IF(SalesData[[#This Row],[Sales]]&gt;AVERAGE(SalesData[Sales]),"Above Avg","Below Avg")</f>
        <v>Below Avg</v>
      </c>
      <c r="W475" s="2" t="str">
        <f>IF(SalesData[[#This Row],[Profit]]&gt;0,"Profit","Loss")</f>
        <v>Profit</v>
      </c>
      <c r="X475" s="2">
        <f>RANK(SalesData[[#This Row],[Sales]],SalesData[Sales])</f>
        <v>333</v>
      </c>
    </row>
    <row r="476" spans="1:24" x14ac:dyDescent="0.3">
      <c r="A476">
        <v>475</v>
      </c>
      <c r="B476" s="1">
        <v>45766</v>
      </c>
      <c r="C476">
        <v>1026</v>
      </c>
      <c r="D476" t="s">
        <v>148</v>
      </c>
      <c r="E476" t="s">
        <v>24</v>
      </c>
      <c r="F476" t="s">
        <v>28</v>
      </c>
      <c r="G476" t="s">
        <v>22</v>
      </c>
      <c r="H476" t="s">
        <v>25</v>
      </c>
      <c r="I476">
        <v>4109</v>
      </c>
      <c r="J476">
        <v>5</v>
      </c>
      <c r="K476">
        <v>0.13</v>
      </c>
      <c r="L476">
        <v>630</v>
      </c>
      <c r="M476" t="s">
        <v>19</v>
      </c>
      <c r="N476">
        <v>17874.150000000001</v>
      </c>
      <c r="O476" t="str">
        <f>TEXT(SalesData[[#This Row],[Order_Date]],"mmm")</f>
        <v>Apr</v>
      </c>
      <c r="P476">
        <f>YEAR(SalesData[[#This Row],[Order_Date]])</f>
        <v>2025</v>
      </c>
      <c r="Q476" t="str">
        <f>"Q"&amp;ROUNDUP(MONTH(SalesData[[#This Row],[Order_Date]])/3,0)</f>
        <v>Q2</v>
      </c>
      <c r="R476" s="2">
        <f>IFERROR(SalesData[[#This Row],[Profit]]/SalesData[[#This Row],[Sales]],0)</f>
        <v>3.5246431298830989E-2</v>
      </c>
      <c r="S476" s="2">
        <f>SalesData[[#This Row],[Price]]*SalesData[[#This Row],[Quantity]]*SalesData[[#This Row],[Discount]]</f>
        <v>2670.85</v>
      </c>
      <c r="T476" s="2" t="str">
        <f>IF(SalesData[[#This Row],[Sales]]&gt;5000,"High",IF(SalesData[[#This Row],[Sales]]&gt;2000,"Medium","Low"))</f>
        <v>High</v>
      </c>
      <c r="U476" s="2" t="str">
        <f>IF(COUNTIFS(SalesData[Customer_ID],SalesData[[#This Row],[Customer_ID]])&gt;1,"Repeat","New")</f>
        <v>Repeat</v>
      </c>
      <c r="V476" s="2" t="str">
        <f>IF(SalesData[[#This Row],[Sales]]&gt;AVERAGE(SalesData[Sales]),"Above Avg","Below Avg")</f>
        <v>Above Avg</v>
      </c>
      <c r="W476" s="2" t="str">
        <f>IF(SalesData[[#This Row],[Profit]]&gt;0,"Profit","Loss")</f>
        <v>Profit</v>
      </c>
      <c r="X476" s="2">
        <f>RANK(SalesData[[#This Row],[Sales]],SalesData[Sales])</f>
        <v>92</v>
      </c>
    </row>
    <row r="477" spans="1:24" x14ac:dyDescent="0.3">
      <c r="A477">
        <v>476</v>
      </c>
      <c r="B477" s="1">
        <v>45767</v>
      </c>
      <c r="C477">
        <v>1061</v>
      </c>
      <c r="D477" t="s">
        <v>123</v>
      </c>
      <c r="E477" t="s">
        <v>24</v>
      </c>
      <c r="F477" t="s">
        <v>33</v>
      </c>
      <c r="G477" t="s">
        <v>22</v>
      </c>
      <c r="H477" t="s">
        <v>18</v>
      </c>
      <c r="I477">
        <v>911</v>
      </c>
      <c r="J477">
        <v>2</v>
      </c>
      <c r="K477">
        <v>0.01</v>
      </c>
      <c r="L477">
        <v>61</v>
      </c>
      <c r="M477" t="s">
        <v>19</v>
      </c>
      <c r="N477">
        <v>1803.78</v>
      </c>
      <c r="O477" t="str">
        <f>TEXT(SalesData[[#This Row],[Order_Date]],"mmm")</f>
        <v>Apr</v>
      </c>
      <c r="P477">
        <f>YEAR(SalesData[[#This Row],[Order_Date]])</f>
        <v>2025</v>
      </c>
      <c r="Q477" t="str">
        <f>"Q"&amp;ROUNDUP(MONTH(SalesData[[#This Row],[Order_Date]])/3,0)</f>
        <v>Q2</v>
      </c>
      <c r="R477" s="2">
        <f>IFERROR(SalesData[[#This Row],[Profit]]/SalesData[[#This Row],[Sales]],0)</f>
        <v>3.3817871359034919E-2</v>
      </c>
      <c r="S477" s="2">
        <f>SalesData[[#This Row],[Price]]*SalesData[[#This Row],[Quantity]]*SalesData[[#This Row],[Discount]]</f>
        <v>18.22</v>
      </c>
      <c r="T477" s="2" t="str">
        <f>IF(SalesData[[#This Row],[Sales]]&gt;5000,"High",IF(SalesData[[#This Row],[Sales]]&gt;2000,"Medium","Low"))</f>
        <v>Low</v>
      </c>
      <c r="U477" s="2" t="str">
        <f>IF(COUNTIFS(SalesData[Customer_ID],SalesData[[#This Row],[Customer_ID]])&gt;1,"Repeat","New")</f>
        <v>Repeat</v>
      </c>
      <c r="V477" s="2" t="str">
        <f>IF(SalesData[[#This Row],[Sales]]&gt;AVERAGE(SalesData[Sales]),"Above Avg","Below Avg")</f>
        <v>Below Avg</v>
      </c>
      <c r="W477" s="2" t="str">
        <f>IF(SalesData[[#This Row],[Profit]]&gt;0,"Profit","Loss")</f>
        <v>Profit</v>
      </c>
      <c r="X477" s="2">
        <f>RANK(SalesData[[#This Row],[Sales]],SalesData[Sales])</f>
        <v>440</v>
      </c>
    </row>
    <row r="478" spans="1:24" x14ac:dyDescent="0.3">
      <c r="A478">
        <v>477</v>
      </c>
      <c r="B478" s="1">
        <v>45768</v>
      </c>
      <c r="C478">
        <v>1039</v>
      </c>
      <c r="D478" t="s">
        <v>118</v>
      </c>
      <c r="E478" t="s">
        <v>15</v>
      </c>
      <c r="F478" t="s">
        <v>33</v>
      </c>
      <c r="G478" t="s">
        <v>34</v>
      </c>
      <c r="H478" t="s">
        <v>25</v>
      </c>
      <c r="I478">
        <v>1853</v>
      </c>
      <c r="J478">
        <v>1</v>
      </c>
      <c r="K478">
        <v>0.25</v>
      </c>
      <c r="L478">
        <v>1755</v>
      </c>
      <c r="M478" t="s">
        <v>31</v>
      </c>
      <c r="N478">
        <v>1389.75</v>
      </c>
      <c r="O478" t="str">
        <f>TEXT(SalesData[[#This Row],[Order_Date]],"mmm")</f>
        <v>Apr</v>
      </c>
      <c r="P478">
        <f>YEAR(SalesData[[#This Row],[Order_Date]])</f>
        <v>2025</v>
      </c>
      <c r="Q478" t="str">
        <f>"Q"&amp;ROUNDUP(MONTH(SalesData[[#This Row],[Order_Date]])/3,0)</f>
        <v>Q2</v>
      </c>
      <c r="R478" s="2">
        <f>IFERROR(SalesData[[#This Row],[Profit]]/SalesData[[#This Row],[Sales]],0)</f>
        <v>1.2628170534268754</v>
      </c>
      <c r="S478" s="2">
        <f>SalesData[[#This Row],[Price]]*SalesData[[#This Row],[Quantity]]*SalesData[[#This Row],[Discount]]</f>
        <v>463.25</v>
      </c>
      <c r="T478" s="2" t="str">
        <f>IF(SalesData[[#This Row],[Sales]]&gt;5000,"High",IF(SalesData[[#This Row],[Sales]]&gt;2000,"Medium","Low"))</f>
        <v>Low</v>
      </c>
      <c r="U478" s="2" t="str">
        <f>IF(COUNTIFS(SalesData[Customer_ID],SalesData[[#This Row],[Customer_ID]])&gt;1,"Repeat","New")</f>
        <v>Repeat</v>
      </c>
      <c r="V478" s="2" t="str">
        <f>IF(SalesData[[#This Row],[Sales]]&gt;AVERAGE(SalesData[Sales]),"Above Avg","Below Avg")</f>
        <v>Below Avg</v>
      </c>
      <c r="W478" s="2" t="str">
        <f>IF(SalesData[[#This Row],[Profit]]&gt;0,"Profit","Loss")</f>
        <v>Profit</v>
      </c>
      <c r="X478" s="2">
        <f>RANK(SalesData[[#This Row],[Sales]],SalesData[Sales])</f>
        <v>461</v>
      </c>
    </row>
    <row r="479" spans="1:24" x14ac:dyDescent="0.3">
      <c r="A479">
        <v>478</v>
      </c>
      <c r="B479" s="1">
        <v>45769</v>
      </c>
      <c r="C479">
        <v>1052</v>
      </c>
      <c r="D479" t="s">
        <v>98</v>
      </c>
      <c r="E479" t="s">
        <v>24</v>
      </c>
      <c r="F479" t="s">
        <v>28</v>
      </c>
      <c r="G479" t="s">
        <v>17</v>
      </c>
      <c r="H479" t="s">
        <v>37</v>
      </c>
      <c r="I479">
        <v>3861</v>
      </c>
      <c r="J479">
        <v>4</v>
      </c>
      <c r="K479">
        <v>0.16</v>
      </c>
      <c r="L479">
        <v>1739</v>
      </c>
      <c r="M479" t="s">
        <v>26</v>
      </c>
      <c r="N479">
        <v>12972.96</v>
      </c>
      <c r="O479" t="str">
        <f>TEXT(SalesData[[#This Row],[Order_Date]],"mmm")</f>
        <v>Apr</v>
      </c>
      <c r="P479">
        <f>YEAR(SalesData[[#This Row],[Order_Date]])</f>
        <v>2025</v>
      </c>
      <c r="Q479" t="str">
        <f>"Q"&amp;ROUNDUP(MONTH(SalesData[[#This Row],[Order_Date]])/3,0)</f>
        <v>Q2</v>
      </c>
      <c r="R479" s="2">
        <f>IFERROR(SalesData[[#This Row],[Profit]]/SalesData[[#This Row],[Sales]],0)</f>
        <v>0.1340480507147174</v>
      </c>
      <c r="S479" s="2">
        <f>SalesData[[#This Row],[Price]]*SalesData[[#This Row],[Quantity]]*SalesData[[#This Row],[Discount]]</f>
        <v>2471.04</v>
      </c>
      <c r="T479" s="2" t="str">
        <f>IF(SalesData[[#This Row],[Sales]]&gt;5000,"High",IF(SalesData[[#This Row],[Sales]]&gt;2000,"Medium","Low"))</f>
        <v>High</v>
      </c>
      <c r="U479" s="2" t="str">
        <f>IF(COUNTIFS(SalesData[Customer_ID],SalesData[[#This Row],[Customer_ID]])&gt;1,"Repeat","New")</f>
        <v>Repeat</v>
      </c>
      <c r="V479" s="2" t="str">
        <f>IF(SalesData[[#This Row],[Sales]]&gt;AVERAGE(SalesData[Sales]),"Above Avg","Below Avg")</f>
        <v>Above Avg</v>
      </c>
      <c r="W479" s="2" t="str">
        <f>IF(SalesData[[#This Row],[Profit]]&gt;0,"Profit","Loss")</f>
        <v>Profit</v>
      </c>
      <c r="X479" s="2">
        <f>RANK(SalesData[[#This Row],[Sales]],SalesData[Sales])</f>
        <v>159</v>
      </c>
    </row>
    <row r="480" spans="1:24" x14ac:dyDescent="0.3">
      <c r="A480">
        <v>479</v>
      </c>
      <c r="B480" s="1">
        <v>45770</v>
      </c>
      <c r="C480">
        <v>1079</v>
      </c>
      <c r="D480" t="s">
        <v>167</v>
      </c>
      <c r="E480" t="s">
        <v>24</v>
      </c>
      <c r="F480" t="s">
        <v>33</v>
      </c>
      <c r="G480" t="s">
        <v>17</v>
      </c>
      <c r="H480" t="s">
        <v>37</v>
      </c>
      <c r="I480">
        <v>3679</v>
      </c>
      <c r="J480">
        <v>6</v>
      </c>
      <c r="K480">
        <v>0.13</v>
      </c>
      <c r="L480">
        <v>1506</v>
      </c>
      <c r="M480" t="s">
        <v>31</v>
      </c>
      <c r="N480">
        <v>19204.38</v>
      </c>
      <c r="O480" t="str">
        <f>TEXT(SalesData[[#This Row],[Order_Date]],"mmm")</f>
        <v>Apr</v>
      </c>
      <c r="P480">
        <f>YEAR(SalesData[[#This Row],[Order_Date]])</f>
        <v>2025</v>
      </c>
      <c r="Q480" t="str">
        <f>"Q"&amp;ROUNDUP(MONTH(SalesData[[#This Row],[Order_Date]])/3,0)</f>
        <v>Q2</v>
      </c>
      <c r="R480" s="2">
        <f>IFERROR(SalesData[[#This Row],[Profit]]/SalesData[[#This Row],[Sales]],0)</f>
        <v>7.8419610526348674E-2</v>
      </c>
      <c r="S480" s="2">
        <f>SalesData[[#This Row],[Price]]*SalesData[[#This Row],[Quantity]]*SalesData[[#This Row],[Discount]]</f>
        <v>2869.62</v>
      </c>
      <c r="T480" s="2" t="str">
        <f>IF(SalesData[[#This Row],[Sales]]&gt;5000,"High",IF(SalesData[[#This Row],[Sales]]&gt;2000,"Medium","Low"))</f>
        <v>High</v>
      </c>
      <c r="U480" s="2" t="str">
        <f>IF(COUNTIFS(SalesData[Customer_ID],SalesData[[#This Row],[Customer_ID]])&gt;1,"Repeat","New")</f>
        <v>Repeat</v>
      </c>
      <c r="V480" s="2" t="str">
        <f>IF(SalesData[[#This Row],[Sales]]&gt;AVERAGE(SalesData[Sales]),"Above Avg","Below Avg")</f>
        <v>Above Avg</v>
      </c>
      <c r="W480" s="2" t="str">
        <f>IF(SalesData[[#This Row],[Profit]]&gt;0,"Profit","Loss")</f>
        <v>Profit</v>
      </c>
      <c r="X480" s="2">
        <f>RANK(SalesData[[#This Row],[Sales]],SalesData[Sales])</f>
        <v>84</v>
      </c>
    </row>
    <row r="481" spans="1:24" x14ac:dyDescent="0.3">
      <c r="A481">
        <v>480</v>
      </c>
      <c r="B481" s="1">
        <v>45771</v>
      </c>
      <c r="C481">
        <v>1039</v>
      </c>
      <c r="D481" t="s">
        <v>55</v>
      </c>
      <c r="E481" t="s">
        <v>15</v>
      </c>
      <c r="F481" t="s">
        <v>33</v>
      </c>
      <c r="G481" t="s">
        <v>17</v>
      </c>
      <c r="H481" t="s">
        <v>18</v>
      </c>
      <c r="I481">
        <v>1431</v>
      </c>
      <c r="J481">
        <v>9</v>
      </c>
      <c r="K481">
        <v>0.22</v>
      </c>
      <c r="L481">
        <v>822</v>
      </c>
      <c r="M481" t="s">
        <v>19</v>
      </c>
      <c r="N481">
        <v>10045.620000000001</v>
      </c>
      <c r="O481" t="str">
        <f>TEXT(SalesData[[#This Row],[Order_Date]],"mmm")</f>
        <v>Apr</v>
      </c>
      <c r="P481">
        <f>YEAR(SalesData[[#This Row],[Order_Date]])</f>
        <v>2025</v>
      </c>
      <c r="Q481" t="str">
        <f>"Q"&amp;ROUNDUP(MONTH(SalesData[[#This Row],[Order_Date]])/3,0)</f>
        <v>Q2</v>
      </c>
      <c r="R481" s="2">
        <f>IFERROR(SalesData[[#This Row],[Profit]]/SalesData[[#This Row],[Sales]],0)</f>
        <v>8.1826706564652046E-2</v>
      </c>
      <c r="S481" s="2">
        <f>SalesData[[#This Row],[Price]]*SalesData[[#This Row],[Quantity]]*SalesData[[#This Row],[Discount]]</f>
        <v>2833.38</v>
      </c>
      <c r="T481" s="2" t="str">
        <f>IF(SalesData[[#This Row],[Sales]]&gt;5000,"High",IF(SalesData[[#This Row],[Sales]]&gt;2000,"Medium","Low"))</f>
        <v>High</v>
      </c>
      <c r="U481" s="2" t="str">
        <f>IF(COUNTIFS(SalesData[Customer_ID],SalesData[[#This Row],[Customer_ID]])&gt;1,"Repeat","New")</f>
        <v>Repeat</v>
      </c>
      <c r="V481" s="2" t="str">
        <f>IF(SalesData[[#This Row],[Sales]]&gt;AVERAGE(SalesData[Sales]),"Above Avg","Below Avg")</f>
        <v>Below Avg</v>
      </c>
      <c r="W481" s="2" t="str">
        <f>IF(SalesData[[#This Row],[Profit]]&gt;0,"Profit","Loss")</f>
        <v>Profit</v>
      </c>
      <c r="X481" s="2">
        <f>RANK(SalesData[[#This Row],[Sales]],SalesData[Sales])</f>
        <v>200</v>
      </c>
    </row>
    <row r="482" spans="1:24" x14ac:dyDescent="0.3">
      <c r="A482">
        <v>481</v>
      </c>
      <c r="B482" s="1">
        <v>45772</v>
      </c>
      <c r="C482">
        <v>1008</v>
      </c>
      <c r="D482" t="s">
        <v>122</v>
      </c>
      <c r="E482" t="s">
        <v>15</v>
      </c>
      <c r="F482" t="s">
        <v>33</v>
      </c>
      <c r="G482" t="s">
        <v>34</v>
      </c>
      <c r="H482" t="s">
        <v>37</v>
      </c>
      <c r="I482">
        <v>2112</v>
      </c>
      <c r="J482">
        <v>9</v>
      </c>
      <c r="K482">
        <v>0.26</v>
      </c>
      <c r="L482">
        <v>645</v>
      </c>
      <c r="M482" t="s">
        <v>19</v>
      </c>
      <c r="N482">
        <v>14065.92</v>
      </c>
      <c r="O482" t="str">
        <f>TEXT(SalesData[[#This Row],[Order_Date]],"mmm")</f>
        <v>Apr</v>
      </c>
      <c r="P482">
        <f>YEAR(SalesData[[#This Row],[Order_Date]])</f>
        <v>2025</v>
      </c>
      <c r="Q482" t="str">
        <f>"Q"&amp;ROUNDUP(MONTH(SalesData[[#This Row],[Order_Date]])/3,0)</f>
        <v>Q2</v>
      </c>
      <c r="R482" s="2">
        <f>IFERROR(SalesData[[#This Row],[Profit]]/SalesData[[#This Row],[Sales]],0)</f>
        <v>4.5855514605514604E-2</v>
      </c>
      <c r="S482" s="2">
        <f>SalesData[[#This Row],[Price]]*SalesData[[#This Row],[Quantity]]*SalesData[[#This Row],[Discount]]</f>
        <v>4942.08</v>
      </c>
      <c r="T482" s="2" t="str">
        <f>IF(SalesData[[#This Row],[Sales]]&gt;5000,"High",IF(SalesData[[#This Row],[Sales]]&gt;2000,"Medium","Low"))</f>
        <v>High</v>
      </c>
      <c r="U482" s="2" t="str">
        <f>IF(COUNTIFS(SalesData[Customer_ID],SalesData[[#This Row],[Customer_ID]])&gt;1,"Repeat","New")</f>
        <v>Repeat</v>
      </c>
      <c r="V482" s="2" t="str">
        <f>IF(SalesData[[#This Row],[Sales]]&gt;AVERAGE(SalesData[Sales]),"Above Avg","Below Avg")</f>
        <v>Above Avg</v>
      </c>
      <c r="W482" s="2" t="str">
        <f>IF(SalesData[[#This Row],[Profit]]&gt;0,"Profit","Loss")</f>
        <v>Profit</v>
      </c>
      <c r="X482" s="2">
        <f>RANK(SalesData[[#This Row],[Sales]],SalesData[Sales])</f>
        <v>146</v>
      </c>
    </row>
    <row r="483" spans="1:24" x14ac:dyDescent="0.3">
      <c r="A483">
        <v>482</v>
      </c>
      <c r="B483" s="1">
        <v>45773</v>
      </c>
      <c r="C483">
        <v>1026</v>
      </c>
      <c r="D483" t="s">
        <v>128</v>
      </c>
      <c r="E483" t="s">
        <v>15</v>
      </c>
      <c r="F483" t="s">
        <v>28</v>
      </c>
      <c r="G483" t="s">
        <v>22</v>
      </c>
      <c r="H483" t="s">
        <v>25</v>
      </c>
      <c r="I483">
        <v>3792</v>
      </c>
      <c r="J483">
        <v>3</v>
      </c>
      <c r="K483">
        <v>0.28000000000000003</v>
      </c>
      <c r="L483">
        <v>1742</v>
      </c>
      <c r="M483" t="s">
        <v>26</v>
      </c>
      <c r="N483">
        <v>8190.7199999999903</v>
      </c>
      <c r="O483" t="str">
        <f>TEXT(SalesData[[#This Row],[Order_Date]],"mmm")</f>
        <v>Apr</v>
      </c>
      <c r="P483">
        <f>YEAR(SalesData[[#This Row],[Order_Date]])</f>
        <v>2025</v>
      </c>
      <c r="Q483" t="str">
        <f>"Q"&amp;ROUNDUP(MONTH(SalesData[[#This Row],[Order_Date]])/3,0)</f>
        <v>Q2</v>
      </c>
      <c r="R483" s="2">
        <f>IFERROR(SalesData[[#This Row],[Profit]]/SalesData[[#This Row],[Sales]],0)</f>
        <v>0.2126797155805597</v>
      </c>
      <c r="S483" s="2">
        <f>SalesData[[#This Row],[Price]]*SalesData[[#This Row],[Quantity]]*SalesData[[#This Row],[Discount]]</f>
        <v>3185.28</v>
      </c>
      <c r="T483" s="2" t="str">
        <f>IF(SalesData[[#This Row],[Sales]]&gt;5000,"High",IF(SalesData[[#This Row],[Sales]]&gt;2000,"Medium","Low"))</f>
        <v>High</v>
      </c>
      <c r="U483" s="2" t="str">
        <f>IF(COUNTIFS(SalesData[Customer_ID],SalesData[[#This Row],[Customer_ID]])&gt;1,"Repeat","New")</f>
        <v>Repeat</v>
      </c>
      <c r="V483" s="2" t="str">
        <f>IF(SalesData[[#This Row],[Sales]]&gt;AVERAGE(SalesData[Sales]),"Above Avg","Below Avg")</f>
        <v>Below Avg</v>
      </c>
      <c r="W483" s="2" t="str">
        <f>IF(SalesData[[#This Row],[Profit]]&gt;0,"Profit","Loss")</f>
        <v>Profit</v>
      </c>
      <c r="X483" s="2">
        <f>RANK(SalesData[[#This Row],[Sales]],SalesData[Sales])</f>
        <v>244</v>
      </c>
    </row>
    <row r="484" spans="1:24" x14ac:dyDescent="0.3">
      <c r="A484">
        <v>483</v>
      </c>
      <c r="B484" s="1">
        <v>45774</v>
      </c>
      <c r="C484">
        <v>1080</v>
      </c>
      <c r="D484" t="s">
        <v>215</v>
      </c>
      <c r="E484" t="s">
        <v>15</v>
      </c>
      <c r="F484" t="s">
        <v>21</v>
      </c>
      <c r="G484" t="s">
        <v>34</v>
      </c>
      <c r="H484" t="s">
        <v>37</v>
      </c>
      <c r="I484">
        <v>2486</v>
      </c>
      <c r="J484">
        <v>9</v>
      </c>
      <c r="K484">
        <v>0.1</v>
      </c>
      <c r="L484">
        <v>-143</v>
      </c>
      <c r="M484" t="s">
        <v>19</v>
      </c>
      <c r="N484">
        <v>20136.599999999999</v>
      </c>
      <c r="O484" t="str">
        <f>TEXT(SalesData[[#This Row],[Order_Date]],"mmm")</f>
        <v>Apr</v>
      </c>
      <c r="P484">
        <f>YEAR(SalesData[[#This Row],[Order_Date]])</f>
        <v>2025</v>
      </c>
      <c r="Q484" t="str">
        <f>"Q"&amp;ROUNDUP(MONTH(SalesData[[#This Row],[Order_Date]])/3,0)</f>
        <v>Q2</v>
      </c>
      <c r="R484" s="2">
        <f>IFERROR(SalesData[[#This Row],[Profit]]/SalesData[[#This Row],[Sales]],0)</f>
        <v>-7.1014967770130014E-3</v>
      </c>
      <c r="S484" s="2">
        <f>SalesData[[#This Row],[Price]]*SalesData[[#This Row],[Quantity]]*SalesData[[#This Row],[Discount]]</f>
        <v>2237.4</v>
      </c>
      <c r="T484" s="2" t="str">
        <f>IF(SalesData[[#This Row],[Sales]]&gt;5000,"High",IF(SalesData[[#This Row],[Sales]]&gt;2000,"Medium","Low"))</f>
        <v>High</v>
      </c>
      <c r="U484" s="2" t="str">
        <f>IF(COUNTIFS(SalesData[Customer_ID],SalesData[[#This Row],[Customer_ID]])&gt;1,"Repeat","New")</f>
        <v>Repeat</v>
      </c>
      <c r="V484" s="2" t="str">
        <f>IF(SalesData[[#This Row],[Sales]]&gt;AVERAGE(SalesData[Sales]),"Above Avg","Below Avg")</f>
        <v>Above Avg</v>
      </c>
      <c r="W484" s="2" t="str">
        <f>IF(SalesData[[#This Row],[Profit]]&gt;0,"Profit","Loss")</f>
        <v>Loss</v>
      </c>
      <c r="X484" s="2">
        <f>RANK(SalesData[[#This Row],[Sales]],SalesData[Sales])</f>
        <v>78</v>
      </c>
    </row>
    <row r="485" spans="1:24" x14ac:dyDescent="0.3">
      <c r="A485">
        <v>484</v>
      </c>
      <c r="B485" s="1">
        <v>45775</v>
      </c>
      <c r="C485">
        <v>1002</v>
      </c>
      <c r="D485" t="s">
        <v>136</v>
      </c>
      <c r="E485" t="s">
        <v>24</v>
      </c>
      <c r="F485" t="s">
        <v>21</v>
      </c>
      <c r="G485" t="s">
        <v>22</v>
      </c>
      <c r="H485" t="s">
        <v>25</v>
      </c>
      <c r="I485">
        <v>306</v>
      </c>
      <c r="J485">
        <v>6</v>
      </c>
      <c r="K485">
        <v>0.06</v>
      </c>
      <c r="L485">
        <v>-483</v>
      </c>
      <c r="M485" t="s">
        <v>26</v>
      </c>
      <c r="N485">
        <v>1725.84</v>
      </c>
      <c r="O485" t="str">
        <f>TEXT(SalesData[[#This Row],[Order_Date]],"mmm")</f>
        <v>Apr</v>
      </c>
      <c r="P485">
        <f>YEAR(SalesData[[#This Row],[Order_Date]])</f>
        <v>2025</v>
      </c>
      <c r="Q485" t="str">
        <f>"Q"&amp;ROUNDUP(MONTH(SalesData[[#This Row],[Order_Date]])/3,0)</f>
        <v>Q2</v>
      </c>
      <c r="R485" s="2">
        <f>IFERROR(SalesData[[#This Row],[Profit]]/SalesData[[#This Row],[Sales]],0)</f>
        <v>-0.27986371853706021</v>
      </c>
      <c r="S485" s="2">
        <f>SalesData[[#This Row],[Price]]*SalesData[[#This Row],[Quantity]]*SalesData[[#This Row],[Discount]]</f>
        <v>110.16</v>
      </c>
      <c r="T485" s="2" t="str">
        <f>IF(SalesData[[#This Row],[Sales]]&gt;5000,"High",IF(SalesData[[#This Row],[Sales]]&gt;2000,"Medium","Low"))</f>
        <v>Low</v>
      </c>
      <c r="U485" s="2" t="str">
        <f>IF(COUNTIFS(SalesData[Customer_ID],SalesData[[#This Row],[Customer_ID]])&gt;1,"Repeat","New")</f>
        <v>Repeat</v>
      </c>
      <c r="V485" s="2" t="str">
        <f>IF(SalesData[[#This Row],[Sales]]&gt;AVERAGE(SalesData[Sales]),"Above Avg","Below Avg")</f>
        <v>Below Avg</v>
      </c>
      <c r="W485" s="2" t="str">
        <f>IF(SalesData[[#This Row],[Profit]]&gt;0,"Profit","Loss")</f>
        <v>Loss</v>
      </c>
      <c r="X485" s="2">
        <f>RANK(SalesData[[#This Row],[Sales]],SalesData[Sales])</f>
        <v>445</v>
      </c>
    </row>
    <row r="486" spans="1:24" x14ac:dyDescent="0.3">
      <c r="A486">
        <v>485</v>
      </c>
      <c r="B486" s="1">
        <v>45776</v>
      </c>
      <c r="C486">
        <v>1055</v>
      </c>
      <c r="D486" t="s">
        <v>203</v>
      </c>
      <c r="E486" t="s">
        <v>15</v>
      </c>
      <c r="F486" t="s">
        <v>28</v>
      </c>
      <c r="G486" t="s">
        <v>17</v>
      </c>
      <c r="H486" t="s">
        <v>29</v>
      </c>
      <c r="I486">
        <v>3682</v>
      </c>
      <c r="J486">
        <v>8</v>
      </c>
      <c r="K486">
        <v>0.1</v>
      </c>
      <c r="L486">
        <v>1715</v>
      </c>
      <c r="M486" t="s">
        <v>26</v>
      </c>
      <c r="N486">
        <v>26510.400000000001</v>
      </c>
      <c r="O486" t="str">
        <f>TEXT(SalesData[[#This Row],[Order_Date]],"mmm")</f>
        <v>Apr</v>
      </c>
      <c r="P486">
        <f>YEAR(SalesData[[#This Row],[Order_Date]])</f>
        <v>2025</v>
      </c>
      <c r="Q486" t="str">
        <f>"Q"&amp;ROUNDUP(MONTH(SalesData[[#This Row],[Order_Date]])/3,0)</f>
        <v>Q2</v>
      </c>
      <c r="R486" s="2">
        <f>IFERROR(SalesData[[#This Row],[Profit]]/SalesData[[#This Row],[Sales]],0)</f>
        <v>6.4691592733417819E-2</v>
      </c>
      <c r="S486" s="2">
        <f>SalesData[[#This Row],[Price]]*SalesData[[#This Row],[Quantity]]*SalesData[[#This Row],[Discount]]</f>
        <v>2945.6000000000004</v>
      </c>
      <c r="T486" s="2" t="str">
        <f>IF(SalesData[[#This Row],[Sales]]&gt;5000,"High",IF(SalesData[[#This Row],[Sales]]&gt;2000,"Medium","Low"))</f>
        <v>High</v>
      </c>
      <c r="U486" s="2" t="str">
        <f>IF(COUNTIFS(SalesData[Customer_ID],SalesData[[#This Row],[Customer_ID]])&gt;1,"Repeat","New")</f>
        <v>Repeat</v>
      </c>
      <c r="V486" s="2" t="str">
        <f>IF(SalesData[[#This Row],[Sales]]&gt;AVERAGE(SalesData[Sales]),"Above Avg","Below Avg")</f>
        <v>Above Avg</v>
      </c>
      <c r="W486" s="2" t="str">
        <f>IF(SalesData[[#This Row],[Profit]]&gt;0,"Profit","Loss")</f>
        <v>Profit</v>
      </c>
      <c r="X486" s="2">
        <f>RANK(SalesData[[#This Row],[Sales]],SalesData[Sales])</f>
        <v>37</v>
      </c>
    </row>
    <row r="487" spans="1:24" x14ac:dyDescent="0.3">
      <c r="A487">
        <v>486</v>
      </c>
      <c r="B487" s="1">
        <v>45777</v>
      </c>
      <c r="C487">
        <v>1052</v>
      </c>
      <c r="D487" t="s">
        <v>187</v>
      </c>
      <c r="E487" t="s">
        <v>15</v>
      </c>
      <c r="F487" t="s">
        <v>21</v>
      </c>
      <c r="G487" t="s">
        <v>34</v>
      </c>
      <c r="H487" t="s">
        <v>37</v>
      </c>
      <c r="I487">
        <v>4317</v>
      </c>
      <c r="J487">
        <v>8</v>
      </c>
      <c r="K487">
        <v>0.28999999999999998</v>
      </c>
      <c r="L487">
        <v>227</v>
      </c>
      <c r="M487" t="s">
        <v>19</v>
      </c>
      <c r="N487">
        <v>24520.559999999899</v>
      </c>
      <c r="O487" t="str">
        <f>TEXT(SalesData[[#This Row],[Order_Date]],"mmm")</f>
        <v>Apr</v>
      </c>
      <c r="P487">
        <f>YEAR(SalesData[[#This Row],[Order_Date]])</f>
        <v>2025</v>
      </c>
      <c r="Q487" t="str">
        <f>"Q"&amp;ROUNDUP(MONTH(SalesData[[#This Row],[Order_Date]])/3,0)</f>
        <v>Q2</v>
      </c>
      <c r="R487" s="2">
        <f>IFERROR(SalesData[[#This Row],[Profit]]/SalesData[[#This Row],[Sales]],0)</f>
        <v>9.2575373482498332E-3</v>
      </c>
      <c r="S487" s="2">
        <f>SalesData[[#This Row],[Price]]*SalesData[[#This Row],[Quantity]]*SalesData[[#This Row],[Discount]]</f>
        <v>10015.439999999999</v>
      </c>
      <c r="T487" s="2" t="str">
        <f>IF(SalesData[[#This Row],[Sales]]&gt;5000,"High",IF(SalesData[[#This Row],[Sales]]&gt;2000,"Medium","Low"))</f>
        <v>High</v>
      </c>
      <c r="U487" s="2" t="str">
        <f>IF(COUNTIFS(SalesData[Customer_ID],SalesData[[#This Row],[Customer_ID]])&gt;1,"Repeat","New")</f>
        <v>Repeat</v>
      </c>
      <c r="V487" s="2" t="str">
        <f>IF(SalesData[[#This Row],[Sales]]&gt;AVERAGE(SalesData[Sales]),"Above Avg","Below Avg")</f>
        <v>Above Avg</v>
      </c>
      <c r="W487" s="2" t="str">
        <f>IF(SalesData[[#This Row],[Profit]]&gt;0,"Profit","Loss")</f>
        <v>Profit</v>
      </c>
      <c r="X487" s="2">
        <f>RANK(SalesData[[#This Row],[Sales]],SalesData[Sales])</f>
        <v>46</v>
      </c>
    </row>
    <row r="488" spans="1:24" x14ac:dyDescent="0.3">
      <c r="A488">
        <v>487</v>
      </c>
      <c r="B488" s="1">
        <v>45778</v>
      </c>
      <c r="C488">
        <v>1003</v>
      </c>
      <c r="D488" t="s">
        <v>83</v>
      </c>
      <c r="E488" t="s">
        <v>24</v>
      </c>
      <c r="F488" t="s">
        <v>21</v>
      </c>
      <c r="G488" t="s">
        <v>17</v>
      </c>
      <c r="H488" t="s">
        <v>25</v>
      </c>
      <c r="I488">
        <v>1839</v>
      </c>
      <c r="J488">
        <v>3</v>
      </c>
      <c r="K488">
        <v>0.03</v>
      </c>
      <c r="L488">
        <v>1247</v>
      </c>
      <c r="M488" t="s">
        <v>19</v>
      </c>
      <c r="N488">
        <v>5351.49</v>
      </c>
      <c r="O488" t="str">
        <f>TEXT(SalesData[[#This Row],[Order_Date]],"mmm")</f>
        <v>May</v>
      </c>
      <c r="P488">
        <f>YEAR(SalesData[[#This Row],[Order_Date]])</f>
        <v>2025</v>
      </c>
      <c r="Q488" t="str">
        <f>"Q"&amp;ROUNDUP(MONTH(SalesData[[#This Row],[Order_Date]])/3,0)</f>
        <v>Q2</v>
      </c>
      <c r="R488" s="2">
        <f>IFERROR(SalesData[[#This Row],[Profit]]/SalesData[[#This Row],[Sales]],0)</f>
        <v>0.23301921520922211</v>
      </c>
      <c r="S488" s="2">
        <f>SalesData[[#This Row],[Price]]*SalesData[[#This Row],[Quantity]]*SalesData[[#This Row],[Discount]]</f>
        <v>165.51</v>
      </c>
      <c r="T488" s="2" t="str">
        <f>IF(SalesData[[#This Row],[Sales]]&gt;5000,"High",IF(SalesData[[#This Row],[Sales]]&gt;2000,"Medium","Low"))</f>
        <v>High</v>
      </c>
      <c r="U488" s="2" t="str">
        <f>IF(COUNTIFS(SalesData[Customer_ID],SalesData[[#This Row],[Customer_ID]])&gt;1,"Repeat","New")</f>
        <v>Repeat</v>
      </c>
      <c r="V488" s="2" t="str">
        <f>IF(SalesData[[#This Row],[Sales]]&gt;AVERAGE(SalesData[Sales]),"Above Avg","Below Avg")</f>
        <v>Below Avg</v>
      </c>
      <c r="W488" s="2" t="str">
        <f>IF(SalesData[[#This Row],[Profit]]&gt;0,"Profit","Loss")</f>
        <v>Profit</v>
      </c>
      <c r="X488" s="2">
        <f>RANK(SalesData[[#This Row],[Sales]],SalesData[Sales])</f>
        <v>314</v>
      </c>
    </row>
    <row r="489" spans="1:24" x14ac:dyDescent="0.3">
      <c r="A489">
        <v>488</v>
      </c>
      <c r="B489" s="1">
        <v>45779</v>
      </c>
      <c r="C489">
        <v>1039</v>
      </c>
      <c r="D489" t="s">
        <v>107</v>
      </c>
      <c r="E489" t="s">
        <v>15</v>
      </c>
      <c r="F489" t="s">
        <v>28</v>
      </c>
      <c r="G489" t="s">
        <v>34</v>
      </c>
      <c r="H489" t="s">
        <v>18</v>
      </c>
      <c r="I489">
        <v>3996</v>
      </c>
      <c r="J489">
        <v>3</v>
      </c>
      <c r="K489">
        <v>0.28999999999999998</v>
      </c>
      <c r="L489">
        <v>56</v>
      </c>
      <c r="M489" t="s">
        <v>26</v>
      </c>
      <c r="N489">
        <v>8511.48</v>
      </c>
      <c r="O489" t="str">
        <f>TEXT(SalesData[[#This Row],[Order_Date]],"mmm")</f>
        <v>May</v>
      </c>
      <c r="P489">
        <f>YEAR(SalesData[[#This Row],[Order_Date]])</f>
        <v>2025</v>
      </c>
      <c r="Q489" t="str">
        <f>"Q"&amp;ROUNDUP(MONTH(SalesData[[#This Row],[Order_Date]])/3,0)</f>
        <v>Q2</v>
      </c>
      <c r="R489" s="2">
        <f>IFERROR(SalesData[[#This Row],[Profit]]/SalesData[[#This Row],[Sales]],0)</f>
        <v>6.5793493023539977E-3</v>
      </c>
      <c r="S489" s="2">
        <f>SalesData[[#This Row],[Price]]*SalesData[[#This Row],[Quantity]]*SalesData[[#This Row],[Discount]]</f>
        <v>3476.52</v>
      </c>
      <c r="T489" s="2" t="str">
        <f>IF(SalesData[[#This Row],[Sales]]&gt;5000,"High",IF(SalesData[[#This Row],[Sales]]&gt;2000,"Medium","Low"))</f>
        <v>High</v>
      </c>
      <c r="U489" s="2" t="str">
        <f>IF(COUNTIFS(SalesData[Customer_ID],SalesData[[#This Row],[Customer_ID]])&gt;1,"Repeat","New")</f>
        <v>Repeat</v>
      </c>
      <c r="V489" s="2" t="str">
        <f>IF(SalesData[[#This Row],[Sales]]&gt;AVERAGE(SalesData[Sales]),"Above Avg","Below Avg")</f>
        <v>Below Avg</v>
      </c>
      <c r="W489" s="2" t="str">
        <f>IF(SalesData[[#This Row],[Profit]]&gt;0,"Profit","Loss")</f>
        <v>Profit</v>
      </c>
      <c r="X489" s="2">
        <f>RANK(SalesData[[#This Row],[Sales]],SalesData[Sales])</f>
        <v>238</v>
      </c>
    </row>
    <row r="490" spans="1:24" x14ac:dyDescent="0.3">
      <c r="A490">
        <v>489</v>
      </c>
      <c r="B490" s="1">
        <v>45780</v>
      </c>
      <c r="C490">
        <v>1051</v>
      </c>
      <c r="D490" t="s">
        <v>205</v>
      </c>
      <c r="E490" t="s">
        <v>24</v>
      </c>
      <c r="F490" t="s">
        <v>16</v>
      </c>
      <c r="G490" t="s">
        <v>17</v>
      </c>
      <c r="H490" t="s">
        <v>37</v>
      </c>
      <c r="I490">
        <v>3116</v>
      </c>
      <c r="J490">
        <v>9</v>
      </c>
      <c r="K490">
        <v>0.19</v>
      </c>
      <c r="L490">
        <v>942</v>
      </c>
      <c r="M490" t="s">
        <v>31</v>
      </c>
      <c r="N490">
        <v>22715.64</v>
      </c>
      <c r="O490" t="str">
        <f>TEXT(SalesData[[#This Row],[Order_Date]],"mmm")</f>
        <v>May</v>
      </c>
      <c r="P490">
        <f>YEAR(SalesData[[#This Row],[Order_Date]])</f>
        <v>2025</v>
      </c>
      <c r="Q490" t="str">
        <f>"Q"&amp;ROUNDUP(MONTH(SalesData[[#This Row],[Order_Date]])/3,0)</f>
        <v>Q2</v>
      </c>
      <c r="R490" s="2">
        <f>IFERROR(SalesData[[#This Row],[Profit]]/SalesData[[#This Row],[Sales]],0)</f>
        <v>4.1469225608435425E-2</v>
      </c>
      <c r="S490" s="2">
        <f>SalesData[[#This Row],[Price]]*SalesData[[#This Row],[Quantity]]*SalesData[[#This Row],[Discount]]</f>
        <v>5328.36</v>
      </c>
      <c r="T490" s="2" t="str">
        <f>IF(SalesData[[#This Row],[Sales]]&gt;5000,"High",IF(SalesData[[#This Row],[Sales]]&gt;2000,"Medium","Low"))</f>
        <v>High</v>
      </c>
      <c r="U490" s="2" t="str">
        <f>IF(COUNTIFS(SalesData[Customer_ID],SalesData[[#This Row],[Customer_ID]])&gt;1,"Repeat","New")</f>
        <v>Repeat</v>
      </c>
      <c r="V490" s="2" t="str">
        <f>IF(SalesData[[#This Row],[Sales]]&gt;AVERAGE(SalesData[Sales]),"Above Avg","Below Avg")</f>
        <v>Above Avg</v>
      </c>
      <c r="W490" s="2" t="str">
        <f>IF(SalesData[[#This Row],[Profit]]&gt;0,"Profit","Loss")</f>
        <v>Profit</v>
      </c>
      <c r="X490" s="2">
        <f>RANK(SalesData[[#This Row],[Sales]],SalesData[Sales])</f>
        <v>61</v>
      </c>
    </row>
    <row r="491" spans="1:24" x14ac:dyDescent="0.3">
      <c r="A491">
        <v>490</v>
      </c>
      <c r="B491" s="1">
        <v>45781</v>
      </c>
      <c r="C491">
        <v>1055</v>
      </c>
      <c r="D491" t="s">
        <v>216</v>
      </c>
      <c r="E491" t="s">
        <v>15</v>
      </c>
      <c r="F491" t="s">
        <v>28</v>
      </c>
      <c r="G491" t="s">
        <v>34</v>
      </c>
      <c r="H491" t="s">
        <v>25</v>
      </c>
      <c r="I491">
        <v>2104</v>
      </c>
      <c r="J491">
        <v>3</v>
      </c>
      <c r="K491">
        <v>0</v>
      </c>
      <c r="L491">
        <v>1145</v>
      </c>
      <c r="M491" t="s">
        <v>19</v>
      </c>
      <c r="N491">
        <v>6312</v>
      </c>
      <c r="O491" t="str">
        <f>TEXT(SalesData[[#This Row],[Order_Date]],"mmm")</f>
        <v>May</v>
      </c>
      <c r="P491">
        <f>YEAR(SalesData[[#This Row],[Order_Date]])</f>
        <v>2025</v>
      </c>
      <c r="Q491" t="str">
        <f>"Q"&amp;ROUNDUP(MONTH(SalesData[[#This Row],[Order_Date]])/3,0)</f>
        <v>Q2</v>
      </c>
      <c r="R491" s="2">
        <f>IFERROR(SalesData[[#This Row],[Profit]]/SalesData[[#This Row],[Sales]],0)</f>
        <v>0.18140050697084917</v>
      </c>
      <c r="S491" s="2">
        <f>SalesData[[#This Row],[Price]]*SalesData[[#This Row],[Quantity]]*SalesData[[#This Row],[Discount]]</f>
        <v>0</v>
      </c>
      <c r="T491" s="2" t="str">
        <f>IF(SalesData[[#This Row],[Sales]]&gt;5000,"High",IF(SalesData[[#This Row],[Sales]]&gt;2000,"Medium","Low"))</f>
        <v>High</v>
      </c>
      <c r="U491" s="2" t="str">
        <f>IF(COUNTIFS(SalesData[Customer_ID],SalesData[[#This Row],[Customer_ID]])&gt;1,"Repeat","New")</f>
        <v>Repeat</v>
      </c>
      <c r="V491" s="2" t="str">
        <f>IF(SalesData[[#This Row],[Sales]]&gt;AVERAGE(SalesData[Sales]),"Above Avg","Below Avg")</f>
        <v>Below Avg</v>
      </c>
      <c r="W491" s="2" t="str">
        <f>IF(SalesData[[#This Row],[Profit]]&gt;0,"Profit","Loss")</f>
        <v>Profit</v>
      </c>
      <c r="X491" s="2">
        <f>RANK(SalesData[[#This Row],[Sales]],SalesData[Sales])</f>
        <v>289</v>
      </c>
    </row>
    <row r="492" spans="1:24" x14ac:dyDescent="0.3">
      <c r="A492">
        <v>491</v>
      </c>
      <c r="B492" s="1">
        <v>45782</v>
      </c>
      <c r="C492">
        <v>1064</v>
      </c>
      <c r="D492" t="s">
        <v>188</v>
      </c>
      <c r="E492" t="s">
        <v>24</v>
      </c>
      <c r="F492" t="s">
        <v>21</v>
      </c>
      <c r="G492" t="s">
        <v>22</v>
      </c>
      <c r="H492" t="s">
        <v>29</v>
      </c>
      <c r="I492">
        <v>1692</v>
      </c>
      <c r="J492">
        <v>4</v>
      </c>
      <c r="K492">
        <v>0.26</v>
      </c>
      <c r="L492">
        <v>-81</v>
      </c>
      <c r="M492" t="s">
        <v>31</v>
      </c>
      <c r="N492">
        <v>5008.32</v>
      </c>
      <c r="O492" t="str">
        <f>TEXT(SalesData[[#This Row],[Order_Date]],"mmm")</f>
        <v>May</v>
      </c>
      <c r="P492">
        <f>YEAR(SalesData[[#This Row],[Order_Date]])</f>
        <v>2025</v>
      </c>
      <c r="Q492" t="str">
        <f>"Q"&amp;ROUNDUP(MONTH(SalesData[[#This Row],[Order_Date]])/3,0)</f>
        <v>Q2</v>
      </c>
      <c r="R492" s="2">
        <f>IFERROR(SalesData[[#This Row],[Profit]]/SalesData[[#This Row],[Sales]],0)</f>
        <v>-1.6173087981598621E-2</v>
      </c>
      <c r="S492" s="2">
        <f>SalesData[[#This Row],[Price]]*SalesData[[#This Row],[Quantity]]*SalesData[[#This Row],[Discount]]</f>
        <v>1759.68</v>
      </c>
      <c r="T492" s="2" t="str">
        <f>IF(SalesData[[#This Row],[Sales]]&gt;5000,"High",IF(SalesData[[#This Row],[Sales]]&gt;2000,"Medium","Low"))</f>
        <v>High</v>
      </c>
      <c r="U492" s="2" t="str">
        <f>IF(COUNTIFS(SalesData[Customer_ID],SalesData[[#This Row],[Customer_ID]])&gt;1,"Repeat","New")</f>
        <v>Repeat</v>
      </c>
      <c r="V492" s="2" t="str">
        <f>IF(SalesData[[#This Row],[Sales]]&gt;AVERAGE(SalesData[Sales]),"Above Avg","Below Avg")</f>
        <v>Below Avg</v>
      </c>
      <c r="W492" s="2" t="str">
        <f>IF(SalesData[[#This Row],[Profit]]&gt;0,"Profit","Loss")</f>
        <v>Loss</v>
      </c>
      <c r="X492" s="2">
        <f>RANK(SalesData[[#This Row],[Sales]],SalesData[Sales])</f>
        <v>323</v>
      </c>
    </row>
    <row r="493" spans="1:24" x14ac:dyDescent="0.3">
      <c r="A493">
        <v>492</v>
      </c>
      <c r="B493" s="1">
        <v>45783</v>
      </c>
      <c r="C493">
        <v>1077</v>
      </c>
      <c r="D493" t="s">
        <v>154</v>
      </c>
      <c r="E493" t="s">
        <v>15</v>
      </c>
      <c r="F493" t="s">
        <v>21</v>
      </c>
      <c r="G493" t="s">
        <v>22</v>
      </c>
      <c r="H493" t="s">
        <v>29</v>
      </c>
      <c r="I493">
        <v>2103</v>
      </c>
      <c r="J493">
        <v>7</v>
      </c>
      <c r="K493">
        <v>0.2</v>
      </c>
      <c r="L493">
        <v>439</v>
      </c>
      <c r="M493" t="s">
        <v>31</v>
      </c>
      <c r="N493">
        <v>11776.8</v>
      </c>
      <c r="O493" t="str">
        <f>TEXT(SalesData[[#This Row],[Order_Date]],"mmm")</f>
        <v>May</v>
      </c>
      <c r="P493">
        <f>YEAR(SalesData[[#This Row],[Order_Date]])</f>
        <v>2025</v>
      </c>
      <c r="Q493" t="str">
        <f>"Q"&amp;ROUNDUP(MONTH(SalesData[[#This Row],[Order_Date]])/3,0)</f>
        <v>Q2</v>
      </c>
      <c r="R493" s="2">
        <f>IFERROR(SalesData[[#This Row],[Profit]]/SalesData[[#This Row],[Sales]],0)</f>
        <v>3.7276679573398551E-2</v>
      </c>
      <c r="S493" s="2">
        <f>SalesData[[#This Row],[Price]]*SalesData[[#This Row],[Quantity]]*SalesData[[#This Row],[Discount]]</f>
        <v>2944.2000000000003</v>
      </c>
      <c r="T493" s="2" t="str">
        <f>IF(SalesData[[#This Row],[Sales]]&gt;5000,"High",IF(SalesData[[#This Row],[Sales]]&gt;2000,"Medium","Low"))</f>
        <v>High</v>
      </c>
      <c r="U493" s="2" t="str">
        <f>IF(COUNTIFS(SalesData[Customer_ID],SalesData[[#This Row],[Customer_ID]])&gt;1,"Repeat","New")</f>
        <v>Repeat</v>
      </c>
      <c r="V493" s="2" t="str">
        <f>IF(SalesData[[#This Row],[Sales]]&gt;AVERAGE(SalesData[Sales]),"Above Avg","Below Avg")</f>
        <v>Above Avg</v>
      </c>
      <c r="W493" s="2" t="str">
        <f>IF(SalesData[[#This Row],[Profit]]&gt;0,"Profit","Loss")</f>
        <v>Profit</v>
      </c>
      <c r="X493" s="2">
        <f>RANK(SalesData[[#This Row],[Sales]],SalesData[Sales])</f>
        <v>173</v>
      </c>
    </row>
    <row r="494" spans="1:24" x14ac:dyDescent="0.3">
      <c r="A494">
        <v>493</v>
      </c>
      <c r="B494" s="1">
        <v>45784</v>
      </c>
      <c r="C494">
        <v>1071</v>
      </c>
      <c r="D494" t="s">
        <v>193</v>
      </c>
      <c r="E494" t="s">
        <v>24</v>
      </c>
      <c r="F494" t="s">
        <v>33</v>
      </c>
      <c r="G494" t="s">
        <v>17</v>
      </c>
      <c r="H494" t="s">
        <v>37</v>
      </c>
      <c r="I494">
        <v>3019</v>
      </c>
      <c r="J494">
        <v>9</v>
      </c>
      <c r="K494">
        <v>0.04</v>
      </c>
      <c r="L494">
        <v>660</v>
      </c>
      <c r="M494" t="s">
        <v>31</v>
      </c>
      <c r="N494">
        <v>26084.16</v>
      </c>
      <c r="O494" t="str">
        <f>TEXT(SalesData[[#This Row],[Order_Date]],"mmm")</f>
        <v>May</v>
      </c>
      <c r="P494">
        <f>YEAR(SalesData[[#This Row],[Order_Date]])</f>
        <v>2025</v>
      </c>
      <c r="Q494" t="str">
        <f>"Q"&amp;ROUNDUP(MONTH(SalesData[[#This Row],[Order_Date]])/3,0)</f>
        <v>Q2</v>
      </c>
      <c r="R494" s="2">
        <f>IFERROR(SalesData[[#This Row],[Profit]]/SalesData[[#This Row],[Sales]],0)</f>
        <v>2.5302712450774725E-2</v>
      </c>
      <c r="S494" s="2">
        <f>SalesData[[#This Row],[Price]]*SalesData[[#This Row],[Quantity]]*SalesData[[#This Row],[Discount]]</f>
        <v>1086.8399999999999</v>
      </c>
      <c r="T494" s="2" t="str">
        <f>IF(SalesData[[#This Row],[Sales]]&gt;5000,"High",IF(SalesData[[#This Row],[Sales]]&gt;2000,"Medium","Low"))</f>
        <v>High</v>
      </c>
      <c r="U494" s="2" t="str">
        <f>IF(COUNTIFS(SalesData[Customer_ID],SalesData[[#This Row],[Customer_ID]])&gt;1,"Repeat","New")</f>
        <v>Repeat</v>
      </c>
      <c r="V494" s="2" t="str">
        <f>IF(SalesData[[#This Row],[Sales]]&gt;AVERAGE(SalesData[Sales]),"Above Avg","Below Avg")</f>
        <v>Above Avg</v>
      </c>
      <c r="W494" s="2" t="str">
        <f>IF(SalesData[[#This Row],[Profit]]&gt;0,"Profit","Loss")</f>
        <v>Profit</v>
      </c>
      <c r="X494" s="2">
        <f>RANK(SalesData[[#This Row],[Sales]],SalesData[Sales])</f>
        <v>39</v>
      </c>
    </row>
    <row r="495" spans="1:24" x14ac:dyDescent="0.3">
      <c r="A495">
        <v>494</v>
      </c>
      <c r="B495" s="1">
        <v>45785</v>
      </c>
      <c r="C495">
        <v>1070</v>
      </c>
      <c r="D495" t="s">
        <v>172</v>
      </c>
      <c r="E495" t="s">
        <v>15</v>
      </c>
      <c r="F495" t="s">
        <v>16</v>
      </c>
      <c r="G495" t="s">
        <v>22</v>
      </c>
      <c r="H495" t="s">
        <v>25</v>
      </c>
      <c r="I495">
        <v>208</v>
      </c>
      <c r="J495">
        <v>3</v>
      </c>
      <c r="K495">
        <v>0.1</v>
      </c>
      <c r="L495">
        <v>1549</v>
      </c>
      <c r="M495" t="s">
        <v>26</v>
      </c>
      <c r="N495">
        <v>561.6</v>
      </c>
      <c r="O495" t="str">
        <f>TEXT(SalesData[[#This Row],[Order_Date]],"mmm")</f>
        <v>May</v>
      </c>
      <c r="P495">
        <f>YEAR(SalesData[[#This Row],[Order_Date]])</f>
        <v>2025</v>
      </c>
      <c r="Q495" t="str">
        <f>"Q"&amp;ROUNDUP(MONTH(SalesData[[#This Row],[Order_Date]])/3,0)</f>
        <v>Q2</v>
      </c>
      <c r="R495" s="2">
        <f>IFERROR(SalesData[[#This Row],[Profit]]/SalesData[[#This Row],[Sales]],0)</f>
        <v>2.758190883190883</v>
      </c>
      <c r="S495" s="2">
        <f>SalesData[[#This Row],[Price]]*SalesData[[#This Row],[Quantity]]*SalesData[[#This Row],[Discount]]</f>
        <v>62.400000000000006</v>
      </c>
      <c r="T495" s="2" t="str">
        <f>IF(SalesData[[#This Row],[Sales]]&gt;5000,"High",IF(SalesData[[#This Row],[Sales]]&gt;2000,"Medium","Low"))</f>
        <v>Low</v>
      </c>
      <c r="U495" s="2" t="str">
        <f>IF(COUNTIFS(SalesData[Customer_ID],SalesData[[#This Row],[Customer_ID]])&gt;1,"Repeat","New")</f>
        <v>Repeat</v>
      </c>
      <c r="V495" s="2" t="str">
        <f>IF(SalesData[[#This Row],[Sales]]&gt;AVERAGE(SalesData[Sales]),"Above Avg","Below Avg")</f>
        <v>Below Avg</v>
      </c>
      <c r="W495" s="2" t="str">
        <f>IF(SalesData[[#This Row],[Profit]]&gt;0,"Profit","Loss")</f>
        <v>Profit</v>
      </c>
      <c r="X495" s="2">
        <f>RANK(SalesData[[#This Row],[Sales]],SalesData[Sales])</f>
        <v>489</v>
      </c>
    </row>
    <row r="496" spans="1:24" x14ac:dyDescent="0.3">
      <c r="A496">
        <v>495</v>
      </c>
      <c r="B496" s="1">
        <v>45786</v>
      </c>
      <c r="C496">
        <v>1029</v>
      </c>
      <c r="D496" t="s">
        <v>194</v>
      </c>
      <c r="E496" t="s">
        <v>24</v>
      </c>
      <c r="F496" t="s">
        <v>21</v>
      </c>
      <c r="G496" t="s">
        <v>34</v>
      </c>
      <c r="H496" t="s">
        <v>29</v>
      </c>
      <c r="I496">
        <v>3081</v>
      </c>
      <c r="J496">
        <v>1</v>
      </c>
      <c r="K496">
        <v>0.26</v>
      </c>
      <c r="L496">
        <v>606</v>
      </c>
      <c r="M496" t="s">
        <v>26</v>
      </c>
      <c r="N496">
        <v>2279.94</v>
      </c>
      <c r="O496" t="str">
        <f>TEXT(SalesData[[#This Row],[Order_Date]],"mmm")</f>
        <v>May</v>
      </c>
      <c r="P496">
        <f>YEAR(SalesData[[#This Row],[Order_Date]])</f>
        <v>2025</v>
      </c>
      <c r="Q496" t="str">
        <f>"Q"&amp;ROUNDUP(MONTH(SalesData[[#This Row],[Order_Date]])/3,0)</f>
        <v>Q2</v>
      </c>
      <c r="R496" s="2">
        <f>IFERROR(SalesData[[#This Row],[Profit]]/SalesData[[#This Row],[Sales]],0)</f>
        <v>0.26579646832811388</v>
      </c>
      <c r="S496" s="2">
        <f>SalesData[[#This Row],[Price]]*SalesData[[#This Row],[Quantity]]*SalesData[[#This Row],[Discount]]</f>
        <v>801.06000000000006</v>
      </c>
      <c r="T496" s="2" t="str">
        <f>IF(SalesData[[#This Row],[Sales]]&gt;5000,"High",IF(SalesData[[#This Row],[Sales]]&gt;2000,"Medium","Low"))</f>
        <v>Medium</v>
      </c>
      <c r="U496" s="2" t="str">
        <f>IF(COUNTIFS(SalesData[Customer_ID],SalesData[[#This Row],[Customer_ID]])&gt;1,"Repeat","New")</f>
        <v>Repeat</v>
      </c>
      <c r="V496" s="2" t="str">
        <f>IF(SalesData[[#This Row],[Sales]]&gt;AVERAGE(SalesData[Sales]),"Above Avg","Below Avg")</f>
        <v>Below Avg</v>
      </c>
      <c r="W496" s="2" t="str">
        <f>IF(SalesData[[#This Row],[Profit]]&gt;0,"Profit","Loss")</f>
        <v>Profit</v>
      </c>
      <c r="X496" s="2">
        <f>RANK(SalesData[[#This Row],[Sales]],SalesData[Sales])</f>
        <v>416</v>
      </c>
    </row>
    <row r="497" spans="1:24" x14ac:dyDescent="0.3">
      <c r="A497">
        <v>496</v>
      </c>
      <c r="B497" s="1">
        <v>45787</v>
      </c>
      <c r="C497">
        <v>1024</v>
      </c>
      <c r="D497" t="s">
        <v>97</v>
      </c>
      <c r="E497" t="s">
        <v>15</v>
      </c>
      <c r="F497" t="s">
        <v>33</v>
      </c>
      <c r="G497" t="s">
        <v>22</v>
      </c>
      <c r="H497" t="s">
        <v>18</v>
      </c>
      <c r="I497">
        <v>2595</v>
      </c>
      <c r="J497">
        <v>2</v>
      </c>
      <c r="K497">
        <v>0.22</v>
      </c>
      <c r="L497">
        <v>1965</v>
      </c>
      <c r="M497" t="s">
        <v>26</v>
      </c>
      <c r="N497">
        <v>4048.2</v>
      </c>
      <c r="O497" t="str">
        <f>TEXT(SalesData[[#This Row],[Order_Date]],"mmm")</f>
        <v>May</v>
      </c>
      <c r="P497">
        <f>YEAR(SalesData[[#This Row],[Order_Date]])</f>
        <v>2025</v>
      </c>
      <c r="Q497" t="str">
        <f>"Q"&amp;ROUNDUP(MONTH(SalesData[[#This Row],[Order_Date]])/3,0)</f>
        <v>Q2</v>
      </c>
      <c r="R497" s="2">
        <f>IFERROR(SalesData[[#This Row],[Profit]]/SalesData[[#This Row],[Sales]],0)</f>
        <v>0.48540091892693049</v>
      </c>
      <c r="S497" s="2">
        <f>SalesData[[#This Row],[Price]]*SalesData[[#This Row],[Quantity]]*SalesData[[#This Row],[Discount]]</f>
        <v>1141.8</v>
      </c>
      <c r="T497" s="2" t="str">
        <f>IF(SalesData[[#This Row],[Sales]]&gt;5000,"High",IF(SalesData[[#This Row],[Sales]]&gt;2000,"Medium","Low"))</f>
        <v>Medium</v>
      </c>
      <c r="U497" s="2" t="str">
        <f>IF(COUNTIFS(SalesData[Customer_ID],SalesData[[#This Row],[Customer_ID]])&gt;1,"Repeat","New")</f>
        <v>Repeat</v>
      </c>
      <c r="V497" s="2" t="str">
        <f>IF(SalesData[[#This Row],[Sales]]&gt;AVERAGE(SalesData[Sales]),"Above Avg","Below Avg")</f>
        <v>Below Avg</v>
      </c>
      <c r="W497" s="2" t="str">
        <f>IF(SalesData[[#This Row],[Profit]]&gt;0,"Profit","Loss")</f>
        <v>Profit</v>
      </c>
      <c r="X497" s="2">
        <f>RANK(SalesData[[#This Row],[Sales]],SalesData[Sales])</f>
        <v>352</v>
      </c>
    </row>
    <row r="498" spans="1:24" x14ac:dyDescent="0.3">
      <c r="A498">
        <v>497</v>
      </c>
      <c r="B498" s="1">
        <v>45788</v>
      </c>
      <c r="C498">
        <v>1038</v>
      </c>
      <c r="D498" t="s">
        <v>66</v>
      </c>
      <c r="E498" t="s">
        <v>24</v>
      </c>
      <c r="F498" t="s">
        <v>16</v>
      </c>
      <c r="G498" t="s">
        <v>17</v>
      </c>
      <c r="H498" t="s">
        <v>18</v>
      </c>
      <c r="I498">
        <v>1791</v>
      </c>
      <c r="J498">
        <v>4</v>
      </c>
      <c r="K498">
        <v>0.1</v>
      </c>
      <c r="L498">
        <v>-437</v>
      </c>
      <c r="M498" t="s">
        <v>19</v>
      </c>
      <c r="N498">
        <v>6447.6</v>
      </c>
      <c r="O498" t="str">
        <f>TEXT(SalesData[[#This Row],[Order_Date]],"mmm")</f>
        <v>May</v>
      </c>
      <c r="P498">
        <f>YEAR(SalesData[[#This Row],[Order_Date]])</f>
        <v>2025</v>
      </c>
      <c r="Q498" t="str">
        <f>"Q"&amp;ROUNDUP(MONTH(SalesData[[#This Row],[Order_Date]])/3,0)</f>
        <v>Q2</v>
      </c>
      <c r="R498" s="2">
        <f>IFERROR(SalesData[[#This Row],[Profit]]/SalesData[[#This Row],[Sales]],0)</f>
        <v>-6.7777157391897755E-2</v>
      </c>
      <c r="S498" s="2">
        <f>SalesData[[#This Row],[Price]]*SalesData[[#This Row],[Quantity]]*SalesData[[#This Row],[Discount]]</f>
        <v>716.40000000000009</v>
      </c>
      <c r="T498" s="2" t="str">
        <f>IF(SalesData[[#This Row],[Sales]]&gt;5000,"High",IF(SalesData[[#This Row],[Sales]]&gt;2000,"Medium","Low"))</f>
        <v>High</v>
      </c>
      <c r="U498" s="2" t="str">
        <f>IF(COUNTIFS(SalesData[Customer_ID],SalesData[[#This Row],[Customer_ID]])&gt;1,"Repeat","New")</f>
        <v>Repeat</v>
      </c>
      <c r="V498" s="2" t="str">
        <f>IF(SalesData[[#This Row],[Sales]]&gt;AVERAGE(SalesData[Sales]),"Above Avg","Below Avg")</f>
        <v>Below Avg</v>
      </c>
      <c r="W498" s="2" t="str">
        <f>IF(SalesData[[#This Row],[Profit]]&gt;0,"Profit","Loss")</f>
        <v>Loss</v>
      </c>
      <c r="X498" s="2">
        <f>RANK(SalesData[[#This Row],[Sales]],SalesData[Sales])</f>
        <v>286</v>
      </c>
    </row>
    <row r="499" spans="1:24" x14ac:dyDescent="0.3">
      <c r="A499">
        <v>498</v>
      </c>
      <c r="B499" s="1">
        <v>45789</v>
      </c>
      <c r="C499">
        <v>1079</v>
      </c>
      <c r="D499" t="s">
        <v>217</v>
      </c>
      <c r="E499" t="s">
        <v>15</v>
      </c>
      <c r="F499" t="s">
        <v>21</v>
      </c>
      <c r="G499" t="s">
        <v>17</v>
      </c>
      <c r="H499" t="s">
        <v>25</v>
      </c>
      <c r="I499">
        <v>4085</v>
      </c>
      <c r="J499">
        <v>7</v>
      </c>
      <c r="K499">
        <v>0.24</v>
      </c>
      <c r="L499">
        <v>1108</v>
      </c>
      <c r="M499" t="s">
        <v>19</v>
      </c>
      <c r="N499">
        <v>21732.2</v>
      </c>
      <c r="O499" t="str">
        <f>TEXT(SalesData[[#This Row],[Order_Date]],"mmm")</f>
        <v>May</v>
      </c>
      <c r="P499">
        <f>YEAR(SalesData[[#This Row],[Order_Date]])</f>
        <v>2025</v>
      </c>
      <c r="Q499" t="str">
        <f>"Q"&amp;ROUNDUP(MONTH(SalesData[[#This Row],[Order_Date]])/3,0)</f>
        <v>Q2</v>
      </c>
      <c r="R499" s="2">
        <f>IFERROR(SalesData[[#This Row],[Profit]]/SalesData[[#This Row],[Sales]],0)</f>
        <v>5.0984253780105099E-2</v>
      </c>
      <c r="S499" s="2">
        <f>SalesData[[#This Row],[Price]]*SalesData[[#This Row],[Quantity]]*SalesData[[#This Row],[Discount]]</f>
        <v>6862.8</v>
      </c>
      <c r="T499" s="2" t="str">
        <f>IF(SalesData[[#This Row],[Sales]]&gt;5000,"High",IF(SalesData[[#This Row],[Sales]]&gt;2000,"Medium","Low"))</f>
        <v>High</v>
      </c>
      <c r="U499" s="2" t="str">
        <f>IF(COUNTIFS(SalesData[Customer_ID],SalesData[[#This Row],[Customer_ID]])&gt;1,"Repeat","New")</f>
        <v>Repeat</v>
      </c>
      <c r="V499" s="2" t="str">
        <f>IF(SalesData[[#This Row],[Sales]]&gt;AVERAGE(SalesData[Sales]),"Above Avg","Below Avg")</f>
        <v>Above Avg</v>
      </c>
      <c r="W499" s="2" t="str">
        <f>IF(SalesData[[#This Row],[Profit]]&gt;0,"Profit","Loss")</f>
        <v>Profit</v>
      </c>
      <c r="X499" s="2">
        <f>RANK(SalesData[[#This Row],[Sales]],SalesData[Sales])</f>
        <v>70</v>
      </c>
    </row>
    <row r="500" spans="1:24" x14ac:dyDescent="0.3">
      <c r="A500">
        <v>499</v>
      </c>
      <c r="B500" s="1">
        <v>45790</v>
      </c>
      <c r="C500">
        <v>1074</v>
      </c>
      <c r="D500" t="s">
        <v>80</v>
      </c>
      <c r="E500" t="s">
        <v>24</v>
      </c>
      <c r="F500" t="s">
        <v>16</v>
      </c>
      <c r="G500" t="s">
        <v>17</v>
      </c>
      <c r="H500" t="s">
        <v>18</v>
      </c>
      <c r="I500">
        <v>4431</v>
      </c>
      <c r="J500">
        <v>1</v>
      </c>
      <c r="K500">
        <v>0.08</v>
      </c>
      <c r="L500">
        <v>394</v>
      </c>
      <c r="M500" t="s">
        <v>26</v>
      </c>
      <c r="N500">
        <v>4076.52</v>
      </c>
      <c r="O500" t="str">
        <f>TEXT(SalesData[[#This Row],[Order_Date]],"mmm")</f>
        <v>May</v>
      </c>
      <c r="P500">
        <f>YEAR(SalesData[[#This Row],[Order_Date]])</f>
        <v>2025</v>
      </c>
      <c r="Q500" t="str">
        <f>"Q"&amp;ROUNDUP(MONTH(SalesData[[#This Row],[Order_Date]])/3,0)</f>
        <v>Q2</v>
      </c>
      <c r="R500" s="2">
        <f>IFERROR(SalesData[[#This Row],[Profit]]/SalesData[[#This Row],[Sales]],0)</f>
        <v>9.665106512417454E-2</v>
      </c>
      <c r="S500" s="2">
        <f>SalesData[[#This Row],[Price]]*SalesData[[#This Row],[Quantity]]*SalesData[[#This Row],[Discount]]</f>
        <v>354.48</v>
      </c>
      <c r="T500" s="2" t="str">
        <f>IF(SalesData[[#This Row],[Sales]]&gt;5000,"High",IF(SalesData[[#This Row],[Sales]]&gt;2000,"Medium","Low"))</f>
        <v>Medium</v>
      </c>
      <c r="U500" s="2" t="str">
        <f>IF(COUNTIFS(SalesData[Customer_ID],SalesData[[#This Row],[Customer_ID]])&gt;1,"Repeat","New")</f>
        <v>Repeat</v>
      </c>
      <c r="V500" s="2" t="str">
        <f>IF(SalesData[[#This Row],[Sales]]&gt;AVERAGE(SalesData[Sales]),"Above Avg","Below Avg")</f>
        <v>Below Avg</v>
      </c>
      <c r="W500" s="2" t="str">
        <f>IF(SalesData[[#This Row],[Profit]]&gt;0,"Profit","Loss")</f>
        <v>Profit</v>
      </c>
      <c r="X500" s="2">
        <f>RANK(SalesData[[#This Row],[Sales]],SalesData[Sales])</f>
        <v>350</v>
      </c>
    </row>
    <row r="501" spans="1:24" x14ac:dyDescent="0.3">
      <c r="A501">
        <v>500</v>
      </c>
      <c r="B501" s="1">
        <v>45791</v>
      </c>
      <c r="C501">
        <v>1024</v>
      </c>
      <c r="D501" t="s">
        <v>179</v>
      </c>
      <c r="E501" t="s">
        <v>15</v>
      </c>
      <c r="F501" t="s">
        <v>33</v>
      </c>
      <c r="G501" t="s">
        <v>34</v>
      </c>
      <c r="H501" t="s">
        <v>29</v>
      </c>
      <c r="I501">
        <v>1822</v>
      </c>
      <c r="J501">
        <v>4</v>
      </c>
      <c r="K501">
        <v>0.16</v>
      </c>
      <c r="L501">
        <v>1668</v>
      </c>
      <c r="M501" t="s">
        <v>26</v>
      </c>
      <c r="N501">
        <v>6121.92</v>
      </c>
      <c r="O501" t="str">
        <f>TEXT(SalesData[[#This Row],[Order_Date]],"mmm")</f>
        <v>May</v>
      </c>
      <c r="P501">
        <f>YEAR(SalesData[[#This Row],[Order_Date]])</f>
        <v>2025</v>
      </c>
      <c r="Q501" t="str">
        <f>"Q"&amp;ROUNDUP(MONTH(SalesData[[#This Row],[Order_Date]])/3,0)</f>
        <v>Q2</v>
      </c>
      <c r="R501" s="2">
        <f>IFERROR(SalesData[[#This Row],[Profit]]/SalesData[[#This Row],[Sales]],0)</f>
        <v>0.27246354084992941</v>
      </c>
      <c r="S501" s="2">
        <f>SalesData[[#This Row],[Price]]*SalesData[[#This Row],[Quantity]]*SalesData[[#This Row],[Discount]]</f>
        <v>1166.08</v>
      </c>
      <c r="T501" s="2" t="str">
        <f>IF(SalesData[[#This Row],[Sales]]&gt;5000,"High",IF(SalesData[[#This Row],[Sales]]&gt;2000,"Medium","Low"))</f>
        <v>High</v>
      </c>
      <c r="U501" s="2" t="str">
        <f>IF(COUNTIFS(SalesData[Customer_ID],SalesData[[#This Row],[Customer_ID]])&gt;1,"Repeat","New")</f>
        <v>Repeat</v>
      </c>
      <c r="V501" s="2" t="str">
        <f>IF(SalesData[[#This Row],[Sales]]&gt;AVERAGE(SalesData[Sales]),"Above Avg","Below Avg")</f>
        <v>Below Avg</v>
      </c>
      <c r="W501" s="2" t="str">
        <f>IF(SalesData[[#This Row],[Profit]]&gt;0,"Profit","Loss")</f>
        <v>Profit</v>
      </c>
      <c r="X501" s="2">
        <f>RANK(SalesData[[#This Row],[Sales]],SalesData[Sales])</f>
        <v>294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71EC-24F6-4BE8-95EA-EDC65AF5538F}">
  <dimension ref="A1:J55"/>
  <sheetViews>
    <sheetView tabSelected="1" topLeftCell="C16" zoomScale="55" zoomScaleNormal="55" workbookViewId="0">
      <selection activeCell="I56" sqref="I56"/>
    </sheetView>
  </sheetViews>
  <sheetFormatPr defaultRowHeight="14.4" x14ac:dyDescent="0.3"/>
  <cols>
    <col min="1" max="1" width="18.21875" bestFit="1" customWidth="1"/>
    <col min="2" max="2" width="23.33203125" bestFit="1" customWidth="1"/>
    <col min="3" max="3" width="19.21875" bestFit="1" customWidth="1"/>
    <col min="4" max="4" width="31.77734375" bestFit="1" customWidth="1"/>
    <col min="5" max="5" width="23.33203125" bestFit="1" customWidth="1"/>
    <col min="6" max="6" width="14.33203125" bestFit="1" customWidth="1"/>
    <col min="7" max="7" width="19.88671875" bestFit="1" customWidth="1"/>
    <col min="8" max="9" width="29.5546875" bestFit="1" customWidth="1"/>
    <col min="10" max="10" width="32.109375" bestFit="1" customWidth="1"/>
  </cols>
  <sheetData>
    <row r="1" spans="1:8" x14ac:dyDescent="0.3">
      <c r="A1" s="5" t="s">
        <v>231</v>
      </c>
      <c r="B1" s="5"/>
      <c r="D1" s="5" t="s">
        <v>232</v>
      </c>
      <c r="E1" s="5"/>
      <c r="G1" s="5" t="s">
        <v>233</v>
      </c>
      <c r="H1" s="5"/>
    </row>
    <row r="2" spans="1:8" x14ac:dyDescent="0.3">
      <c r="A2" s="5"/>
      <c r="B2" s="5"/>
      <c r="D2" s="5"/>
      <c r="E2" s="5"/>
      <c r="G2" s="5"/>
      <c r="H2" s="5"/>
    </row>
    <row r="3" spans="1:8" x14ac:dyDescent="0.3">
      <c r="A3" s="6" t="s">
        <v>228</v>
      </c>
      <c r="B3" s="7" t="s">
        <v>230</v>
      </c>
      <c r="D3" s="6" t="s">
        <v>228</v>
      </c>
      <c r="E3" s="7" t="s">
        <v>230</v>
      </c>
      <c r="G3" s="6" t="s">
        <v>228</v>
      </c>
      <c r="H3" s="7" t="s">
        <v>230</v>
      </c>
    </row>
    <row r="4" spans="1:8" x14ac:dyDescent="0.3">
      <c r="A4" s="8" t="s">
        <v>21</v>
      </c>
      <c r="B4" s="9">
        <v>1401104.8199999989</v>
      </c>
      <c r="D4" s="8" t="s">
        <v>22</v>
      </c>
      <c r="E4" s="9">
        <v>1613798.9599999997</v>
      </c>
      <c r="G4" s="8" t="s">
        <v>234</v>
      </c>
      <c r="H4" s="9">
        <v>612694.81999999972</v>
      </c>
    </row>
    <row r="5" spans="1:8" x14ac:dyDescent="0.3">
      <c r="A5" s="8" t="s">
        <v>33</v>
      </c>
      <c r="B5" s="9">
        <v>1346134.5999999992</v>
      </c>
      <c r="D5" s="8" t="s">
        <v>17</v>
      </c>
      <c r="E5" s="9">
        <v>1666487.2599999991</v>
      </c>
      <c r="G5" s="8" t="s">
        <v>235</v>
      </c>
      <c r="H5" s="9">
        <v>620062.52999999956</v>
      </c>
    </row>
    <row r="6" spans="1:8" x14ac:dyDescent="0.3">
      <c r="A6" s="8" t="s">
        <v>16</v>
      </c>
      <c r="B6" s="9">
        <v>1276144.9099999997</v>
      </c>
      <c r="D6" s="8" t="s">
        <v>34</v>
      </c>
      <c r="E6" s="9">
        <v>2035154.9899999986</v>
      </c>
      <c r="G6" s="8" t="s">
        <v>236</v>
      </c>
      <c r="H6" s="9">
        <v>567827.47999999952</v>
      </c>
    </row>
    <row r="7" spans="1:8" x14ac:dyDescent="0.3">
      <c r="A7" s="8" t="s">
        <v>28</v>
      </c>
      <c r="B7" s="9">
        <v>1292056.879999999</v>
      </c>
      <c r="D7" s="8" t="s">
        <v>229</v>
      </c>
      <c r="E7" s="9">
        <v>5315441.2099999972</v>
      </c>
      <c r="G7" s="8" t="s">
        <v>237</v>
      </c>
      <c r="H7" s="9">
        <v>696989.80999999959</v>
      </c>
    </row>
    <row r="8" spans="1:8" x14ac:dyDescent="0.3">
      <c r="A8" s="8" t="s">
        <v>229</v>
      </c>
      <c r="B8" s="9">
        <v>5315441.2099999972</v>
      </c>
      <c r="G8" s="8" t="s">
        <v>238</v>
      </c>
      <c r="H8" s="9">
        <v>493018.73999999976</v>
      </c>
    </row>
    <row r="9" spans="1:8" x14ac:dyDescent="0.3">
      <c r="G9" s="8" t="s">
        <v>239</v>
      </c>
      <c r="H9" s="9">
        <v>313355.62</v>
      </c>
    </row>
    <row r="10" spans="1:8" x14ac:dyDescent="0.3">
      <c r="A10" s="5" t="s">
        <v>246</v>
      </c>
      <c r="B10" s="5"/>
      <c r="D10" s="5" t="s">
        <v>247</v>
      </c>
      <c r="E10" s="5"/>
      <c r="G10" s="8" t="s">
        <v>240</v>
      </c>
      <c r="H10" s="9">
        <v>288120.84999999992</v>
      </c>
    </row>
    <row r="11" spans="1:8" x14ac:dyDescent="0.3">
      <c r="A11" s="5"/>
      <c r="B11" s="5"/>
      <c r="D11" s="5"/>
      <c r="E11" s="5"/>
      <c r="G11" s="8" t="s">
        <v>241</v>
      </c>
      <c r="H11" s="9">
        <v>366169.0099999996</v>
      </c>
    </row>
    <row r="12" spans="1:8" x14ac:dyDescent="0.3">
      <c r="A12" s="6" t="s">
        <v>228</v>
      </c>
      <c r="B12" s="7" t="s">
        <v>230</v>
      </c>
      <c r="D12" s="6" t="s">
        <v>228</v>
      </c>
      <c r="E12" s="7" t="s">
        <v>248</v>
      </c>
      <c r="G12" s="8" t="s">
        <v>242</v>
      </c>
      <c r="H12" s="9">
        <v>284657.71999999986</v>
      </c>
    </row>
    <row r="13" spans="1:8" x14ac:dyDescent="0.3">
      <c r="A13" s="8" t="s">
        <v>18</v>
      </c>
      <c r="B13" s="9">
        <v>1363016.3699999996</v>
      </c>
      <c r="D13" s="8" t="s">
        <v>26</v>
      </c>
      <c r="E13" s="9">
        <v>168</v>
      </c>
      <c r="G13" s="8" t="s">
        <v>243</v>
      </c>
      <c r="H13" s="9">
        <v>313433.91999999969</v>
      </c>
    </row>
    <row r="14" spans="1:8" x14ac:dyDescent="0.3">
      <c r="A14" s="8" t="s">
        <v>37</v>
      </c>
      <c r="B14" s="9">
        <v>1667888.2599999986</v>
      </c>
      <c r="D14" s="8" t="s">
        <v>31</v>
      </c>
      <c r="E14" s="9">
        <v>165</v>
      </c>
      <c r="G14" s="8" t="s">
        <v>244</v>
      </c>
      <c r="H14" s="9">
        <v>377254.86999999988</v>
      </c>
    </row>
    <row r="15" spans="1:8" x14ac:dyDescent="0.3">
      <c r="A15" s="8" t="s">
        <v>229</v>
      </c>
      <c r="B15" s="9">
        <v>3030904.629999998</v>
      </c>
      <c r="D15" s="8" t="s">
        <v>19</v>
      </c>
      <c r="E15" s="9">
        <v>167</v>
      </c>
      <c r="G15" s="8" t="s">
        <v>245</v>
      </c>
      <c r="H15" s="9">
        <v>381855.83999999991</v>
      </c>
    </row>
    <row r="16" spans="1:8" x14ac:dyDescent="0.3">
      <c r="D16" s="8" t="s">
        <v>229</v>
      </c>
      <c r="E16" s="9">
        <v>500</v>
      </c>
      <c r="G16" s="8" t="s">
        <v>229</v>
      </c>
      <c r="H16" s="9">
        <v>5315441.2099999981</v>
      </c>
    </row>
    <row r="18" spans="1:9" x14ac:dyDescent="0.3">
      <c r="A18" s="5" t="s">
        <v>249</v>
      </c>
      <c r="B18" s="5"/>
      <c r="D18" s="5" t="s">
        <v>261</v>
      </c>
      <c r="E18" s="5"/>
      <c r="G18" s="5" t="s">
        <v>262</v>
      </c>
      <c r="H18" s="5"/>
    </row>
    <row r="19" spans="1:9" x14ac:dyDescent="0.3">
      <c r="A19" s="5"/>
      <c r="B19" s="5"/>
      <c r="D19" s="5"/>
      <c r="E19" s="5"/>
      <c r="G19" s="5"/>
      <c r="H19" s="5"/>
    </row>
    <row r="20" spans="1:9" x14ac:dyDescent="0.3">
      <c r="A20" s="6" t="s">
        <v>228</v>
      </c>
      <c r="B20" s="7" t="s">
        <v>230</v>
      </c>
      <c r="D20" s="6" t="s">
        <v>228</v>
      </c>
      <c r="E20" s="7" t="s">
        <v>250</v>
      </c>
      <c r="G20" s="6" t="s">
        <v>228</v>
      </c>
      <c r="H20" s="7" t="s">
        <v>251</v>
      </c>
    </row>
    <row r="21" spans="1:9" x14ac:dyDescent="0.3">
      <c r="A21" s="8" t="s">
        <v>15</v>
      </c>
      <c r="B21" s="9">
        <v>2693576.3499999987</v>
      </c>
      <c r="D21" s="8" t="s">
        <v>21</v>
      </c>
      <c r="E21" s="9">
        <v>74198</v>
      </c>
      <c r="G21" s="8" t="s">
        <v>21</v>
      </c>
      <c r="H21" s="9">
        <v>18.469999999999995</v>
      </c>
    </row>
    <row r="22" spans="1:9" x14ac:dyDescent="0.3">
      <c r="A22" s="8" t="s">
        <v>24</v>
      </c>
      <c r="B22" s="9">
        <v>2621864.8599999971</v>
      </c>
      <c r="D22" s="8" t="s">
        <v>33</v>
      </c>
      <c r="E22" s="9">
        <v>113017</v>
      </c>
      <c r="G22" s="8" t="s">
        <v>33</v>
      </c>
      <c r="H22" s="9">
        <v>19.309999999999995</v>
      </c>
    </row>
    <row r="23" spans="1:9" x14ac:dyDescent="0.3">
      <c r="A23" s="8" t="s">
        <v>229</v>
      </c>
      <c r="B23" s="9">
        <v>5315441.2099999953</v>
      </c>
      <c r="D23" s="8" t="s">
        <v>16</v>
      </c>
      <c r="E23" s="9">
        <v>83763</v>
      </c>
      <c r="G23" s="8" t="s">
        <v>16</v>
      </c>
      <c r="H23" s="9">
        <v>19.990000000000002</v>
      </c>
    </row>
    <row r="24" spans="1:9" x14ac:dyDescent="0.3">
      <c r="D24" s="8" t="s">
        <v>28</v>
      </c>
      <c r="E24" s="9">
        <v>88113</v>
      </c>
      <c r="G24" s="8" t="s">
        <v>28</v>
      </c>
      <c r="H24" s="9">
        <v>18.470000000000002</v>
      </c>
    </row>
    <row r="25" spans="1:9" x14ac:dyDescent="0.3">
      <c r="D25" s="8" t="s">
        <v>229</v>
      </c>
      <c r="E25" s="9">
        <v>359091</v>
      </c>
      <c r="G25" s="8" t="s">
        <v>229</v>
      </c>
      <c r="H25" s="9">
        <v>76.239999999999995</v>
      </c>
    </row>
    <row r="27" spans="1:9" x14ac:dyDescent="0.3">
      <c r="A27" s="12" t="s">
        <v>263</v>
      </c>
      <c r="B27" s="12"/>
      <c r="C27" s="12"/>
      <c r="D27" s="12"/>
      <c r="F27" s="12" t="s">
        <v>264</v>
      </c>
      <c r="G27" s="12"/>
      <c r="H27" s="12"/>
      <c r="I27" s="12"/>
    </row>
    <row r="28" spans="1:9" ht="26.4" customHeight="1" x14ac:dyDescent="0.3">
      <c r="A28" s="12"/>
      <c r="B28" s="12"/>
      <c r="C28" s="12"/>
      <c r="D28" s="12"/>
      <c r="F28" s="12"/>
      <c r="G28" s="12"/>
      <c r="H28" s="12"/>
      <c r="I28" s="12"/>
    </row>
    <row r="29" spans="1:9" x14ac:dyDescent="0.3">
      <c r="A29" s="6" t="s">
        <v>228</v>
      </c>
      <c r="B29" s="6" t="s">
        <v>230</v>
      </c>
      <c r="C29" s="7" t="s">
        <v>252</v>
      </c>
      <c r="D29" s="7" t="s">
        <v>253</v>
      </c>
      <c r="F29" s="6" t="s">
        <v>228</v>
      </c>
      <c r="G29" s="6" t="s">
        <v>252</v>
      </c>
      <c r="H29" s="7" t="s">
        <v>253</v>
      </c>
      <c r="I29" s="7" t="s">
        <v>250</v>
      </c>
    </row>
    <row r="30" spans="1:9" x14ac:dyDescent="0.3">
      <c r="A30" s="8" t="s">
        <v>18</v>
      </c>
      <c r="B30" s="9">
        <v>1363016.3699999996</v>
      </c>
      <c r="C30" s="9">
        <v>26.662922190653894</v>
      </c>
      <c r="D30" s="9">
        <v>201296.62999999995</v>
      </c>
      <c r="F30" s="8" t="s">
        <v>26</v>
      </c>
      <c r="G30" s="9">
        <v>36.46755743000584</v>
      </c>
      <c r="H30" s="9">
        <v>303216.44999999978</v>
      </c>
      <c r="I30" s="9">
        <v>124153</v>
      </c>
    </row>
    <row r="31" spans="1:9" x14ac:dyDescent="0.3">
      <c r="A31" s="8" t="s">
        <v>29</v>
      </c>
      <c r="B31" s="9">
        <v>1169728.7299999993</v>
      </c>
      <c r="C31" s="9">
        <v>25.939747679776964</v>
      </c>
      <c r="D31" s="9">
        <v>223652.27</v>
      </c>
      <c r="F31" s="8" t="s">
        <v>31</v>
      </c>
      <c r="G31" s="9">
        <v>42.500748914053318</v>
      </c>
      <c r="H31" s="9">
        <v>299100.32000000012</v>
      </c>
      <c r="I31" s="9">
        <v>112104</v>
      </c>
    </row>
    <row r="32" spans="1:9" x14ac:dyDescent="0.3">
      <c r="A32" s="8" t="s">
        <v>37</v>
      </c>
      <c r="B32" s="9">
        <v>1667888.2599999986</v>
      </c>
      <c r="C32" s="9">
        <v>34.199819602829805</v>
      </c>
      <c r="D32" s="9">
        <v>313721.74000000005</v>
      </c>
      <c r="F32" s="8" t="s">
        <v>19</v>
      </c>
      <c r="G32" s="9">
        <v>29.282094500030706</v>
      </c>
      <c r="H32" s="9">
        <v>364587.01999999984</v>
      </c>
      <c r="I32" s="9">
        <v>122834</v>
      </c>
    </row>
    <row r="33" spans="1:10" x14ac:dyDescent="0.3">
      <c r="A33" s="8" t="s">
        <v>25</v>
      </c>
      <c r="B33" s="9">
        <v>1114807.8499999992</v>
      </c>
      <c r="C33" s="9">
        <v>21.447911370829221</v>
      </c>
      <c r="D33" s="9">
        <v>228233.15000000002</v>
      </c>
      <c r="F33" s="8" t="s">
        <v>229</v>
      </c>
      <c r="G33" s="9">
        <v>108.25040084408987</v>
      </c>
      <c r="H33" s="9">
        <v>966903.7899999998</v>
      </c>
      <c r="I33" s="9">
        <v>359091</v>
      </c>
    </row>
    <row r="34" spans="1:10" x14ac:dyDescent="0.3">
      <c r="A34" s="8" t="s">
        <v>229</v>
      </c>
      <c r="B34" s="9">
        <v>5315441.2099999972</v>
      </c>
      <c r="C34" s="9">
        <v>108.25040084408988</v>
      </c>
      <c r="D34" s="9">
        <v>966903.78999999992</v>
      </c>
    </row>
    <row r="36" spans="1:10" ht="14.4" customHeight="1" x14ac:dyDescent="0.3">
      <c r="A36" s="5" t="s">
        <v>265</v>
      </c>
      <c r="B36" s="10"/>
      <c r="C36" s="10"/>
      <c r="D36" s="10"/>
      <c r="F36" s="12" t="s">
        <v>266</v>
      </c>
      <c r="G36" s="12"/>
      <c r="H36" s="17"/>
      <c r="I36" s="5" t="s">
        <v>223</v>
      </c>
      <c r="J36" s="5"/>
    </row>
    <row r="37" spans="1:10" ht="23.4" customHeight="1" x14ac:dyDescent="0.3">
      <c r="A37" s="10"/>
      <c r="B37" s="10"/>
      <c r="C37" s="10"/>
      <c r="D37" s="10"/>
      <c r="F37" s="12"/>
      <c r="G37" s="12"/>
      <c r="H37" s="17"/>
      <c r="I37" s="5"/>
      <c r="J37" s="5"/>
    </row>
    <row r="38" spans="1:10" ht="18" x14ac:dyDescent="0.3">
      <c r="A38" s="6" t="s">
        <v>228</v>
      </c>
      <c r="B38" s="6" t="s">
        <v>253</v>
      </c>
      <c r="C38" s="7" t="s">
        <v>250</v>
      </c>
      <c r="D38" s="7" t="s">
        <v>251</v>
      </c>
      <c r="F38" s="6" t="s">
        <v>228</v>
      </c>
      <c r="G38" s="7" t="s">
        <v>251</v>
      </c>
      <c r="I38" s="13" t="s">
        <v>228</v>
      </c>
      <c r="J38" s="14" t="s">
        <v>248</v>
      </c>
    </row>
    <row r="39" spans="1:10" ht="18" x14ac:dyDescent="0.3">
      <c r="A39" s="8" t="s">
        <v>254</v>
      </c>
      <c r="B39" s="9">
        <v>326439.17</v>
      </c>
      <c r="C39" s="9">
        <v>120370</v>
      </c>
      <c r="D39" s="9">
        <v>27.91</v>
      </c>
      <c r="F39" s="8" t="s">
        <v>258</v>
      </c>
      <c r="G39" s="9">
        <v>48.75</v>
      </c>
      <c r="I39" s="15" t="s">
        <v>258</v>
      </c>
      <c r="J39" s="16">
        <v>323</v>
      </c>
    </row>
    <row r="40" spans="1:10" ht="18" x14ac:dyDescent="0.3">
      <c r="A40" s="11" t="s">
        <v>234</v>
      </c>
      <c r="B40" s="9">
        <v>109395.18</v>
      </c>
      <c r="C40" s="9">
        <v>44086</v>
      </c>
      <c r="D40" s="9">
        <v>9.1100000000000012</v>
      </c>
      <c r="F40" s="8" t="s">
        <v>259</v>
      </c>
      <c r="G40" s="9">
        <v>10.55</v>
      </c>
      <c r="I40" s="15" t="s">
        <v>259</v>
      </c>
      <c r="J40" s="16">
        <v>70</v>
      </c>
    </row>
    <row r="41" spans="1:10" ht="18" x14ac:dyDescent="0.3">
      <c r="A41" s="11" t="s">
        <v>235</v>
      </c>
      <c r="B41" s="9">
        <v>117335.47</v>
      </c>
      <c r="C41" s="9">
        <v>37113</v>
      </c>
      <c r="D41" s="9">
        <v>8.92</v>
      </c>
      <c r="F41" s="8" t="s">
        <v>260</v>
      </c>
      <c r="G41" s="9">
        <v>16.940000000000008</v>
      </c>
      <c r="I41" s="15" t="s">
        <v>260</v>
      </c>
      <c r="J41" s="16">
        <v>107</v>
      </c>
    </row>
    <row r="42" spans="1:10" ht="18" x14ac:dyDescent="0.3">
      <c r="A42" s="11" t="s">
        <v>236</v>
      </c>
      <c r="B42" s="9">
        <v>99708.52</v>
      </c>
      <c r="C42" s="9">
        <v>39171</v>
      </c>
      <c r="D42" s="9">
        <v>9.879999999999999</v>
      </c>
      <c r="F42" s="8" t="s">
        <v>229</v>
      </c>
      <c r="G42" s="9">
        <v>76.240000000000009</v>
      </c>
      <c r="I42" s="15" t="s">
        <v>229</v>
      </c>
      <c r="J42" s="16">
        <v>500</v>
      </c>
    </row>
    <row r="43" spans="1:10" x14ac:dyDescent="0.3">
      <c r="A43" s="8" t="s">
        <v>255</v>
      </c>
      <c r="B43" s="9">
        <v>278294.83</v>
      </c>
      <c r="C43" s="9">
        <v>99884</v>
      </c>
      <c r="D43" s="9">
        <v>20.49</v>
      </c>
    </row>
    <row r="44" spans="1:10" x14ac:dyDescent="0.3">
      <c r="A44" s="11" t="s">
        <v>237</v>
      </c>
      <c r="B44" s="9">
        <v>113252.19</v>
      </c>
      <c r="C44" s="9">
        <v>45345</v>
      </c>
      <c r="D44" s="9">
        <v>8.3499999999999979</v>
      </c>
      <c r="F44" s="5" t="s">
        <v>224</v>
      </c>
      <c r="G44" s="5"/>
    </row>
    <row r="45" spans="1:10" x14ac:dyDescent="0.3">
      <c r="A45" s="11" t="s">
        <v>238</v>
      </c>
      <c r="B45" s="9">
        <v>93553.25999999998</v>
      </c>
      <c r="C45" s="9">
        <v>34624</v>
      </c>
      <c r="D45" s="9">
        <v>6.8500000000000005</v>
      </c>
      <c r="F45" s="5"/>
      <c r="G45" s="5"/>
    </row>
    <row r="46" spans="1:10" x14ac:dyDescent="0.3">
      <c r="A46" s="11" t="s">
        <v>239</v>
      </c>
      <c r="B46" s="9">
        <v>71489.380000000019</v>
      </c>
      <c r="C46" s="9">
        <v>19915</v>
      </c>
      <c r="D46" s="9">
        <v>5.29</v>
      </c>
      <c r="F46" s="6" t="s">
        <v>228</v>
      </c>
      <c r="G46" s="7" t="s">
        <v>230</v>
      </c>
    </row>
    <row r="47" spans="1:10" x14ac:dyDescent="0.3">
      <c r="A47" s="8" t="s">
        <v>256</v>
      </c>
      <c r="B47" s="9">
        <v>161255.41999999998</v>
      </c>
      <c r="C47" s="9">
        <v>74611</v>
      </c>
      <c r="D47" s="9">
        <v>13.91</v>
      </c>
      <c r="F47" s="8" t="s">
        <v>267</v>
      </c>
      <c r="G47" s="9">
        <v>62731.8</v>
      </c>
    </row>
    <row r="48" spans="1:10" x14ac:dyDescent="0.3">
      <c r="A48" s="11" t="s">
        <v>240</v>
      </c>
      <c r="B48" s="9">
        <v>52648.150000000009</v>
      </c>
      <c r="C48" s="9">
        <v>18716</v>
      </c>
      <c r="D48" s="9">
        <v>5.07</v>
      </c>
      <c r="F48" s="8" t="s">
        <v>268</v>
      </c>
      <c r="G48" s="9">
        <v>5252709.4099999964</v>
      </c>
    </row>
    <row r="49" spans="1:7" x14ac:dyDescent="0.3">
      <c r="A49" s="11" t="s">
        <v>241</v>
      </c>
      <c r="B49" s="9">
        <v>70919.989999999991</v>
      </c>
      <c r="C49" s="9">
        <v>28698</v>
      </c>
      <c r="D49" s="9">
        <v>4.7399999999999993</v>
      </c>
      <c r="F49" s="8" t="s">
        <v>229</v>
      </c>
      <c r="G49" s="9">
        <v>5315441.2099999962</v>
      </c>
    </row>
    <row r="50" spans="1:7" x14ac:dyDescent="0.3">
      <c r="A50" s="11" t="s">
        <v>242</v>
      </c>
      <c r="B50" s="9">
        <v>37687.279999999999</v>
      </c>
      <c r="C50" s="9">
        <v>27197</v>
      </c>
      <c r="D50" s="9">
        <v>4.1000000000000005</v>
      </c>
    </row>
    <row r="51" spans="1:7" x14ac:dyDescent="0.3">
      <c r="A51" s="8" t="s">
        <v>257</v>
      </c>
      <c r="B51" s="9">
        <v>200914.37</v>
      </c>
      <c r="C51" s="9">
        <v>64226</v>
      </c>
      <c r="D51" s="9">
        <v>13.93</v>
      </c>
    </row>
    <row r="52" spans="1:7" x14ac:dyDescent="0.3">
      <c r="A52" s="11" t="s">
        <v>243</v>
      </c>
      <c r="B52" s="9">
        <v>50356.08</v>
      </c>
      <c r="C52" s="9">
        <v>18576</v>
      </c>
      <c r="D52" s="9">
        <v>4.4000000000000012</v>
      </c>
    </row>
    <row r="53" spans="1:7" x14ac:dyDescent="0.3">
      <c r="A53" s="11" t="s">
        <v>244</v>
      </c>
      <c r="B53" s="9">
        <v>69353.13</v>
      </c>
      <c r="C53" s="9">
        <v>28797</v>
      </c>
      <c r="D53" s="9">
        <v>4.4400000000000004</v>
      </c>
    </row>
    <row r="54" spans="1:7" x14ac:dyDescent="0.3">
      <c r="A54" s="11" t="s">
        <v>245</v>
      </c>
      <c r="B54" s="9">
        <v>81205.16</v>
      </c>
      <c r="C54" s="9">
        <v>16853</v>
      </c>
      <c r="D54" s="9">
        <v>5.089999999999999</v>
      </c>
    </row>
    <row r="55" spans="1:7" x14ac:dyDescent="0.3">
      <c r="A55" s="8" t="s">
        <v>229</v>
      </c>
      <c r="B55" s="9">
        <v>966903.79</v>
      </c>
      <c r="C55" s="9">
        <v>359091</v>
      </c>
      <c r="D55" s="9">
        <v>76.240000000000009</v>
      </c>
    </row>
  </sheetData>
  <mergeCells count="14">
    <mergeCell ref="F44:G45"/>
    <mergeCell ref="A27:D28"/>
    <mergeCell ref="F27:I28"/>
    <mergeCell ref="A36:D37"/>
    <mergeCell ref="F36:G37"/>
    <mergeCell ref="I36:J37"/>
    <mergeCell ref="A1:B2"/>
    <mergeCell ref="D1:E2"/>
    <mergeCell ref="G1:H2"/>
    <mergeCell ref="A10:B11"/>
    <mergeCell ref="D10:E11"/>
    <mergeCell ref="A18:B19"/>
    <mergeCell ref="D18:E19"/>
    <mergeCell ref="G18:H19"/>
  </mergeCell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Sheet10</vt:lpstr>
      <vt:lpstr>E-CommerceBusinessIntelligence</vt:lpstr>
      <vt:lpstr>Pivot Sheet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 Paul</dc:creator>
  <cp:lastModifiedBy>Sayar Paul</cp:lastModifiedBy>
  <dcterms:created xsi:type="dcterms:W3CDTF">2026-03-17T03:24:22Z</dcterms:created>
  <dcterms:modified xsi:type="dcterms:W3CDTF">2026-03-17T05:29:44Z</dcterms:modified>
</cp:coreProperties>
</file>