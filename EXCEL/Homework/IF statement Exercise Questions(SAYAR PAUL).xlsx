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BY_SAYAR_DPBA\EXCEL\Homework\"/>
    </mc:Choice>
  </mc:AlternateContent>
  <xr:revisionPtr revIDLastSave="0" documentId="8_{7CD690F9-76F5-4943-9FFD-E2670D602D9A}" xr6:coauthVersionLast="47" xr6:coauthVersionMax="47" xr10:uidLastSave="{00000000-0000-0000-0000-000000000000}"/>
  <bookViews>
    <workbookView xWindow="-108" yWindow="-108" windowWidth="23256" windowHeight="12456" xr2:uid="{2ABEEB38-1789-494D-ACEA-A194A550D6D8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<sst xmlns="http://schemas.openxmlformats.org/spreadsheetml/2006/main" count="26" uniqueCount="24">
  <si>
    <t>ProductID</t>
  </si>
  <si>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</si>
  <si>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</si>
  <si>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</si>
  <si>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</si>
  <si>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</si>
  <si>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</si>
  <si>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</si>
  <si>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</si>
  <si>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</si>
  <si>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</si>
  <si>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</si>
  <si>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</si>
  <si>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</si>
  <si>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</si>
  <si>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Target Status (Q1)</t>
  </si>
  <si>
    <t>Regional Bonus (Q2)</t>
  </si>
  <si>
    <t>Commision Rate (Q3)</t>
  </si>
  <si>
    <t>Bonus Ammount(Q4)</t>
  </si>
  <si>
    <t>Performance (Q5)</t>
  </si>
  <si>
    <t>Price Tier(Q6)</t>
  </si>
  <si>
    <t>Year-End Bonus(Q7)</t>
  </si>
  <si>
    <t>High Performer(Top 25%)(Q8)</t>
  </si>
  <si>
    <t>1. Use the IF function to evaluate whether each product met its sales target.
2. Use the IF function to determine if a product is eligible for a regional bonus. Products in the "North" region with sales over 200 are eligible.
3. Use nested IF functions to assign a commission rate based on sales. Sales &gt;= 200 get a 10% commission, sales &gt;= 150 get a 7% commission, and others get a 5% commission.
4. Use the IF function to calculate a bonus amount. If sales met or exceeded the target, the bonus is 10% of the sales; otherwise, it's 5%.
5. Use the IF function to categorize sales performance as "Excellent" (&gt;=200), "Good" (&gt;=150), or "Needs Improvement" (&lt;150).
6. Use the IF function to assign a price tier based on the sales value. "High" for sales &gt; 200, "Medium" for sales between 100 and 200, and "Low" for sales &lt; 100.
7. Use the IF function to calculate the year-end bonus. If sales &gt;= 150 and region is "North", the bonus is $500, otherwise, it's $300.
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</si>
</sst>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7EBA8-F5A3-4CB0-BF66-0B049AD813E5}">
  <dimension ref="A1:M27"/>
  <sheetViews>
    <sheetView tabSelected="1" workbookViewId="0">
      <selection activeCell="H23" sqref="H23"/>
    </sheetView>
  </sheetViews>
  <sheetFormatPr defaultRowHeight="14.4" x14ac:dyDescent="0.3"/>
  <cols>
    <col min="1" max="1" width="9.109375" bestFit="1" customWidth="1"/>
    <col min="2" max="2" width="9" bestFit="1" customWidth="1"/>
    <col min="3" max="3" width="5.109375" bestFit="1" customWidth="1"/>
    <col min="4" max="4" width="6.21875" bestFit="1" customWidth="1"/>
    <col min="5" max="5" width="6.5546875" bestFit="1" customWidth="1"/>
    <col min="6" max="6" width="77" customWidth="1"/>
    <col min="7" max="7" width="18.21875" bestFit="1" customWidth="1"/>
    <col min="8" max="8" width="19" bestFit="1" customWidth="1"/>
    <col min="9" max="9" width="19.109375" bestFit="1" customWidth="1"/>
    <col min="10" max="10" width="17.77734375" bestFit="1" customWidth="1"/>
    <col min="11" max="11" width="12.33203125" bestFit="1" customWidth="1"/>
    <col min="12" max="12" width="17.44140625" bestFit="1" customWidth="1"/>
    <col min="13" max="13" width="26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13" x14ac:dyDescent="0.3">
      <c r="A2" s="2">
        <v>101</v>
      </c>
      <c r="B2" s="2" t="s">
        <v>5</v>
      </c>
      <c r="C2" s="2">
        <v>120</v>
      </c>
      <c r="D2" s="2">
        <v>150</v>
      </c>
      <c r="E2" s="2" t="s">
        <v>11</v>
      </c>
      <c r="F2" s="3" t="str">
        <f>IF(C2&gt;=D2,"MET","NOT MET")</f>
        <v>NOT MET</v>
      </c>
      <c r="G2" s="3" t="str">
        <f>IF(AND(E2="North",C2&gt;200),"Eligible","Not Eligible")</f>
        <v>Not Eligible</v>
      </c>
      <c r="H2" s="3" t="str">
        <f>IF(C2&gt;=200,"10%",IF(C2&gt;=150,"7%","5%"))</f>
        <v>5%</v>
      </c>
      <c r="I2" s="3">
        <f>IF(C2&gt;=D2,C2*10%,C2*5%)</f>
        <v>6</v>
      </c>
      <c r="J2" s="3" t="str">
        <f>IF(C2&gt;=200,"Excellent",IF(C2&gt;=150,"Good","Needs Improvement"))</f>
        <v>Needs Improvement</v>
      </c>
      <c r="K2" s="3" t="str">
        <f>IF(C2&gt;200,"High",IF(C2&gt;=100,"Medium","Low"))</f>
        <v>Medium</v>
      </c>
      <c r="L2" s="3">
        <f>IF(AND(C2&gt;=150,E2="North"),500,300)</f>
        <v>300</v>
      </c>
      <c r="M2" s="3" t="str">
        <f>IF(C2&gt;=PERCENTILE($C$2:$C$7,0.75),"High Performer","Low Performer")</f>
        <v>Low Performer</v>
      </c>
    </row>
    <row r="3" spans="1:13" x14ac:dyDescent="0.3">
      <c r="A3" s="2">
        <v>102</v>
      </c>
      <c r="B3" s="2" t="s">
        <v>6</v>
      </c>
      <c r="C3" s="2">
        <v>150</v>
      </c>
      <c r="D3" s="2">
        <v>140</v>
      </c>
      <c r="E3" s="2" t="s">
        <v>12</v>
      </c>
      <c r="F3" s="3" t="str">
        <f t="shared" ref="F3:F7" si="0">IF(C3&gt;=D3,"MET","NOT MET")</f>
        <v>MET</v>
      </c>
      <c r="G3" s="3" t="str">
        <f t="shared" ref="G3:G7" si="1">IF(AND(E3="North",C3&gt;200),"Eligible","Not Eligible")</f>
        <v>Not Eligible</v>
      </c>
      <c r="H3" s="3" t="str">
        <f t="shared" ref="H3:H7" si="2">IF(C3&gt;=200,"10%",IF(C3&gt;=150,"7%","5%"))</f>
        <v>7%</v>
      </c>
      <c r="I3" s="3">
        <f t="shared" ref="I3:I7" si="3">IF(C3&gt;=D3,C3*10%,C3*5%)</f>
        <v>15</v>
      </c>
      <c r="J3" s="3" t="str">
        <f t="shared" ref="J3:J7" si="4">IF(C3&gt;=200,"Excellent",IF(C3&gt;=150,"Good","Needs Improvement"))</f>
        <v>Good</v>
      </c>
      <c r="K3" s="3" t="str">
        <f t="shared" ref="K3:K7" si="5">IF(C3&gt;200,"High",IF(C3&gt;=100,"Medium","Low"))</f>
        <v>Medium</v>
      </c>
      <c r="L3" s="3">
        <f t="shared" ref="L3:L7" si="6">IF(AND(C3&gt;=150,E3="North"),500,300)</f>
        <v>300</v>
      </c>
      <c r="M3" s="3" t="str">
        <f t="shared" ref="M3:M7" si="7">IF(C3&gt;=PERCENTILE($C$2:$C$7,0.75),"High Performer","Low Performer")</f>
        <v>Low Performer</v>
      </c>
    </row>
    <row r="4" spans="1:13" x14ac:dyDescent="0.3">
      <c r="A4" s="2">
        <v>103</v>
      </c>
      <c r="B4" s="2" t="s">
        <v>7</v>
      </c>
      <c r="C4" s="2">
        <v>200</v>
      </c>
      <c r="D4" s="2">
        <v>200</v>
      </c>
      <c r="E4" s="2" t="s">
        <v>13</v>
      </c>
      <c r="F4" s="3" t="str">
        <f t="shared" si="0"/>
        <v>MET</v>
      </c>
      <c r="G4" s="3" t="str">
        <f t="shared" si="1"/>
        <v>Not Eligible</v>
      </c>
      <c r="H4" s="3" t="str">
        <f t="shared" si="2"/>
        <v>10%</v>
      </c>
      <c r="I4" s="3">
        <f t="shared" si="3"/>
        <v>20</v>
      </c>
      <c r="J4" s="3" t="str">
        <f t="shared" si="4"/>
        <v>Excellent</v>
      </c>
      <c r="K4" s="3" t="str">
        <f t="shared" si="5"/>
        <v>Medium</v>
      </c>
      <c r="L4" s="3">
        <f t="shared" si="6"/>
        <v>300</v>
      </c>
      <c r="M4" s="3" t="str">
        <f t="shared" si="7"/>
        <v>High Performer</v>
      </c>
    </row>
    <row r="5" spans="1:13" x14ac:dyDescent="0.3">
      <c r="A5" s="2">
        <v>104</v>
      </c>
      <c r="B5" s="2" t="s">
        <v>8</v>
      </c>
      <c r="C5" s="2">
        <v>90</v>
      </c>
      <c r="D5" s="2">
        <v>100</v>
      </c>
      <c r="E5" s="2" t="s">
        <v>14</v>
      </c>
      <c r="F5" s="3" t="str">
        <f t="shared" si="0"/>
        <v>NOT MET</v>
      </c>
      <c r="G5" s="3" t="str">
        <f t="shared" si="1"/>
        <v>Not Eligible</v>
      </c>
      <c r="H5" s="3" t="str">
        <f t="shared" si="2"/>
        <v>5%</v>
      </c>
      <c r="I5" s="3">
        <f t="shared" si="3"/>
        <v>4.5</v>
      </c>
      <c r="J5" s="3" t="str">
        <f t="shared" si="4"/>
        <v>Needs Improvement</v>
      </c>
      <c r="K5" s="3" t="str">
        <f t="shared" si="5"/>
        <v>Low</v>
      </c>
      <c r="L5" s="3">
        <f t="shared" si="6"/>
        <v>300</v>
      </c>
      <c r="M5" s="3" t="str">
        <f t="shared" si="7"/>
        <v>Low Performer</v>
      </c>
    </row>
    <row r="6" spans="1:13" x14ac:dyDescent="0.3">
      <c r="A6" s="2">
        <v>105</v>
      </c>
      <c r="B6" s="2" t="s">
        <v>9</v>
      </c>
      <c r="C6" s="2">
        <v>220</v>
      </c>
      <c r="D6" s="2">
        <v>210</v>
      </c>
      <c r="E6" s="2" t="s">
        <v>11</v>
      </c>
      <c r="F6" s="3" t="str">
        <f t="shared" si="0"/>
        <v>MET</v>
      </c>
      <c r="G6" s="3" t="str">
        <f t="shared" si="1"/>
        <v>Eligible</v>
      </c>
      <c r="H6" s="3" t="str">
        <f t="shared" si="2"/>
        <v>10%</v>
      </c>
      <c r="I6" s="3">
        <f t="shared" si="3"/>
        <v>22</v>
      </c>
      <c r="J6" s="3" t="str">
        <f t="shared" si="4"/>
        <v>Excellent</v>
      </c>
      <c r="K6" s="3" t="str">
        <f t="shared" si="5"/>
        <v>High</v>
      </c>
      <c r="L6" s="3">
        <f t="shared" si="6"/>
        <v>500</v>
      </c>
      <c r="M6" s="3" t="str">
        <f t="shared" si="7"/>
        <v>High Performer</v>
      </c>
    </row>
    <row r="7" spans="1:13" x14ac:dyDescent="0.3">
      <c r="A7" s="2">
        <v>106</v>
      </c>
      <c r="B7" s="2" t="s">
        <v>10</v>
      </c>
      <c r="C7" s="2">
        <v>130</v>
      </c>
      <c r="D7" s="2">
        <v>160</v>
      </c>
      <c r="E7" s="2" t="s">
        <v>12</v>
      </c>
      <c r="F7" s="3" t="str">
        <f t="shared" si="0"/>
        <v>NOT MET</v>
      </c>
      <c r="G7" s="3" t="str">
        <f t="shared" si="1"/>
        <v>Not Eligible</v>
      </c>
      <c r="H7" s="3" t="str">
        <f t="shared" si="2"/>
        <v>5%</v>
      </c>
      <c r="I7" s="3">
        <f t="shared" si="3"/>
        <v>6.5</v>
      </c>
      <c r="J7" s="3" t="str">
        <f t="shared" si="4"/>
        <v>Needs Improvement</v>
      </c>
      <c r="K7" s="3" t="str">
        <f t="shared" si="5"/>
        <v>Medium</v>
      </c>
      <c r="L7" s="3">
        <f t="shared" si="6"/>
        <v>300</v>
      </c>
      <c r="M7" s="3" t="str">
        <f t="shared" si="7"/>
        <v>Low Performer</v>
      </c>
    </row>
    <row r="12" spans="1:13" ht="14.4" customHeight="1" x14ac:dyDescent="0.3">
      <c r="F12" s="4" t="s">
        <v>23</v>
      </c>
    </row>
    <row r="13" spans="1:13" x14ac:dyDescent="0.3">
      <c r="F13" s="4"/>
    </row>
    <row r="14" spans="1:13" x14ac:dyDescent="0.3">
      <c r="F14" s="4"/>
    </row>
    <row r="15" spans="1:13" x14ac:dyDescent="0.3">
      <c r="F15" s="4"/>
    </row>
    <row r="16" spans="1:13" x14ac:dyDescent="0.3">
      <c r="F16" s="4"/>
    </row>
    <row r="17" spans="6:6" x14ac:dyDescent="0.3">
      <c r="F17" s="4"/>
    </row>
    <row r="18" spans="6:6" x14ac:dyDescent="0.3">
      <c r="F18" s="4"/>
    </row>
    <row r="19" spans="6:6" x14ac:dyDescent="0.3">
      <c r="F19" s="4"/>
    </row>
    <row r="20" spans="6:6" x14ac:dyDescent="0.3">
      <c r="F20" s="4"/>
    </row>
    <row r="21" spans="6:6" x14ac:dyDescent="0.3">
      <c r="F21" s="4"/>
    </row>
    <row r="22" spans="6:6" x14ac:dyDescent="0.3">
      <c r="F22" s="4"/>
    </row>
    <row r="23" spans="6:6" x14ac:dyDescent="0.3">
      <c r="F23" s="4"/>
    </row>
    <row r="24" spans="6:6" x14ac:dyDescent="0.3">
      <c r="F24" s="4"/>
    </row>
    <row r="25" spans="6:6" x14ac:dyDescent="0.3">
      <c r="F25" s="4"/>
    </row>
    <row r="26" spans="6:6" x14ac:dyDescent="0.3">
      <c r="F26" s="4"/>
    </row>
    <row r="27" spans="6:6" x14ac:dyDescent="0.3">
      <c r="F27" s="4"/>
    </row>
  </sheetData>
  <mergeCells count="1">
    <mergeCell ref="F12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 Paul</dc:creator>
  <cp:lastModifiedBy>Sayar Paul</cp:lastModifiedBy>
  <dcterms:created xsi:type="dcterms:W3CDTF">2026-02-24T15:57:40Z</dcterms:created>
  <dcterms:modified xsi:type="dcterms:W3CDTF">2026-02-24T16:33:54Z</dcterms:modified>
</cp:coreProperties>
</file>