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8_{3DDC6623-66BC-4880-9896-04450A9BBD4A}" xr6:coauthVersionLast="47" xr6:coauthVersionMax="47" xr10:uidLastSave="{00000000-0000-0000-0000-000000000000}"/>
  <bookViews>
    <workbookView xWindow="-108" yWindow="-108" windowWidth="23256" windowHeight="12456" xr2:uid="{871E682A-00D7-4F2F-BFF7-56AB7E1F8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4" i="1" l="1"/>
  <c r="C40" i="1"/>
  <c r="D36" i="1"/>
  <c r="D32" i="1"/>
  <c r="D29" i="1"/>
  <c r="D30" i="1"/>
  <c r="D31" i="1"/>
  <c r="C13" i="1"/>
  <c r="C25" i="1"/>
  <c r="C21" i="1"/>
  <c r="C17" i="1"/>
</calcChain>
</file>

<file path=xl/sharedStrings.xml><?xml version="1.0" encoding="utf-8"?>
<sst xmlns="http://schemas.openxmlformats.org/spreadsheetml/2006/main" count="78" uniqueCount="31">
  <si>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</si>
  <si>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</si>
  <si>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</si>
  <si>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</si>
  <si>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</si>
  <si>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</si>
  <si>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</si>
  <si>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</si>
  <si>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</si>
  <si>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</si>
  <si>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</si>
  <si>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</si>
  <si>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</si>
  <si>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</si>
  <si>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</si>
  <si>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</si>
  <si>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</si>
  <si>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</si>
  <si>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</si>
  <si>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</si>
  <si>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</si>
  <si>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</si>
  <si>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</si>
  <si>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</si>
  <si>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</si>
  <si>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MAX_SALES</t>
  </si>
  <si>
    <t>Months</t>
  </si>
  <si>
    <t>Total</t>
  </si>
  <si>
    <t>APRIL_Months</t>
  </si>
  <si>
    <t>Average_Sales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</si>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</sst>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0" fontId="0" fillId="0" borderId="0" xfId="0" applyAlignment="1">
      <alignment horizontal="center" wrapText="1"/>
    </xf>
    <xf numFmtId="0" fontId="1" fillId="0" borderId="0" xfId="0" applyFont="1" applyBorder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EDE8-E281-43C7-AD6B-C59093A5F07D}">
  <dimension ref="A1:J44"/>
  <sheetViews>
    <sheetView tabSelected="1" workbookViewId="0">
      <selection activeCell="C21" sqref="C21"/>
    </sheetView>
  </sheetViews>
  <sheetFormatPr defaultRowHeight="14.4" x14ac:dyDescent="0.3"/>
  <cols>
    <col min="1" max="1" width="9.44140625" bestFit="1" customWidth="1"/>
    <col min="2" max="2" width="7.6640625" bestFit="1" customWidth="1"/>
    <col min="3" max="3" width="11.21875" bestFit="1" customWidth="1"/>
    <col min="4" max="4" width="13.5546875" bestFit="1" customWidth="1"/>
    <col min="5" max="5" width="8.44140625" bestFit="1" customWidth="1"/>
    <col min="7" max="7" width="8.33203125" bestFit="1" customWidth="1"/>
    <col min="8" max="8" width="9.109375" bestFit="1" customWidth="1"/>
    <col min="9" max="9" width="13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t="s">
        <v>17</v>
      </c>
    </row>
    <row r="2" spans="1:10" x14ac:dyDescent="0.3">
      <c r="A2" s="3">
        <v>101</v>
      </c>
      <c r="B2" s="1" t="s">
        <v>8</v>
      </c>
      <c r="C2" s="1" t="s">
        <v>9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  <c r="J2" t="s">
        <v>18</v>
      </c>
    </row>
    <row r="3" spans="1:10" x14ac:dyDescent="0.3">
      <c r="A3" s="3">
        <v>102</v>
      </c>
      <c r="B3" s="1" t="s">
        <v>10</v>
      </c>
      <c r="C3" s="1" t="s">
        <v>11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  <c r="J3" t="s">
        <v>19</v>
      </c>
    </row>
    <row r="4" spans="1:10" x14ac:dyDescent="0.3">
      <c r="A4" s="3">
        <v>103</v>
      </c>
      <c r="B4" s="1" t="s">
        <v>12</v>
      </c>
      <c r="C4" s="1" t="s">
        <v>9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  <c r="J4" t="s">
        <v>20</v>
      </c>
    </row>
    <row r="5" spans="1:10" x14ac:dyDescent="0.3">
      <c r="A5" s="3">
        <v>104</v>
      </c>
      <c r="B5" s="1" t="s">
        <v>13</v>
      </c>
      <c r="C5" s="1" t="s">
        <v>14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  <c r="J5" t="s">
        <v>21</v>
      </c>
    </row>
    <row r="6" spans="1:10" x14ac:dyDescent="0.3">
      <c r="A6" s="3">
        <v>105</v>
      </c>
      <c r="B6" s="1" t="s">
        <v>15</v>
      </c>
      <c r="C6" s="1" t="s">
        <v>11</v>
      </c>
      <c r="D6" s="1">
        <v>220</v>
      </c>
      <c r="E6" s="1">
        <v>230</v>
      </c>
      <c r="F6" s="1">
        <v>240</v>
      </c>
      <c r="G6" s="1">
        <v>250</v>
      </c>
      <c r="H6" s="1">
        <v>260</v>
      </c>
      <c r="J6" t="s">
        <v>22</v>
      </c>
    </row>
    <row r="7" spans="1:10" x14ac:dyDescent="0.3">
      <c r="A7" s="3">
        <v>106</v>
      </c>
      <c r="B7" s="1" t="s">
        <v>16</v>
      </c>
      <c r="C7" s="1" t="s">
        <v>9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  <c r="J7" t="s">
        <v>23</v>
      </c>
    </row>
    <row r="8" spans="1:10" x14ac:dyDescent="0.3">
      <c r="J8" t="s">
        <v>24</v>
      </c>
    </row>
    <row r="11" spans="1:10" x14ac:dyDescent="0.3">
      <c r="A11" s="2" t="s">
        <v>17</v>
      </c>
      <c r="B11" s="2"/>
      <c r="C11" s="2"/>
      <c r="D11" s="2"/>
      <c r="E11" s="2"/>
      <c r="F11" s="2"/>
      <c r="G11" s="2"/>
      <c r="H11" s="2"/>
    </row>
    <row r="12" spans="1:10" x14ac:dyDescent="0.3">
      <c r="A12" s="3" t="s">
        <v>0</v>
      </c>
      <c r="B12" s="3" t="s">
        <v>1</v>
      </c>
      <c r="C12" s="3" t="s">
        <v>5</v>
      </c>
    </row>
    <row r="13" spans="1:10" x14ac:dyDescent="0.3">
      <c r="A13" s="1">
        <v>103</v>
      </c>
      <c r="B13" s="1" t="s">
        <v>12</v>
      </c>
      <c r="C13" s="1">
        <f>INDEX(D2:H7, MATCH("PRODC", B2:B7, 0), MATCH("Mar Sales", D1:H1, 0))</f>
        <v>220</v>
      </c>
    </row>
    <row r="15" spans="1:10" x14ac:dyDescent="0.3">
      <c r="A15" s="2" t="s">
        <v>18</v>
      </c>
      <c r="B15" s="2"/>
      <c r="C15" s="2"/>
      <c r="D15" s="2"/>
      <c r="E15" s="2"/>
      <c r="F15" s="2"/>
      <c r="G15" s="2"/>
      <c r="H15" s="2"/>
    </row>
    <row r="16" spans="1:10" x14ac:dyDescent="0.3">
      <c r="A16" s="3" t="s">
        <v>0</v>
      </c>
      <c r="B16" s="3" t="s">
        <v>1</v>
      </c>
      <c r="C16" s="3" t="s">
        <v>5</v>
      </c>
    </row>
    <row r="17" spans="1:8" x14ac:dyDescent="0.3">
      <c r="A17" s="1">
        <v>103</v>
      </c>
      <c r="B17" s="1" t="s">
        <v>15</v>
      </c>
      <c r="C17" s="1" t="str">
        <f>INDEX(C2:C7, MATCH("PRODE", B2:B7, 0))</f>
        <v>Furniture</v>
      </c>
    </row>
    <row r="19" spans="1:8" ht="19.8" customHeight="1" x14ac:dyDescent="0.3">
      <c r="A19" s="5" t="s">
        <v>19</v>
      </c>
      <c r="B19" s="5"/>
      <c r="C19" s="5"/>
      <c r="D19" s="5"/>
      <c r="E19" s="5"/>
      <c r="F19" s="5"/>
      <c r="G19" s="5"/>
      <c r="H19" s="5"/>
    </row>
    <row r="20" spans="1:8" x14ac:dyDescent="0.3">
      <c r="A20" s="3" t="s">
        <v>0</v>
      </c>
      <c r="B20" s="3" t="s">
        <v>1</v>
      </c>
      <c r="C20" s="3" t="s">
        <v>25</v>
      </c>
    </row>
    <row r="21" spans="1:8" x14ac:dyDescent="0.3">
      <c r="A21" s="3">
        <v>102</v>
      </c>
      <c r="B21" s="1" t="s">
        <v>10</v>
      </c>
      <c r="C21" s="4">
        <f>MAX(INDEX(D2:H7, MATCH("PRODB", B2:B7, 0), 0))</f>
        <v>190</v>
      </c>
    </row>
    <row r="23" spans="1:8" x14ac:dyDescent="0.3">
      <c r="A23" s="2" t="s">
        <v>20</v>
      </c>
      <c r="B23" s="2"/>
      <c r="C23" s="2"/>
      <c r="D23" s="2"/>
      <c r="E23" s="2"/>
      <c r="F23" s="2"/>
      <c r="G23" s="2"/>
      <c r="H23" s="2"/>
    </row>
    <row r="24" spans="1:8" x14ac:dyDescent="0.3">
      <c r="A24" s="3" t="s">
        <v>0</v>
      </c>
      <c r="B24" s="3" t="s">
        <v>1</v>
      </c>
      <c r="C24" s="3" t="s">
        <v>26</v>
      </c>
      <c r="D24" s="6"/>
    </row>
    <row r="25" spans="1:8" x14ac:dyDescent="0.3">
      <c r="A25" s="3">
        <v>101</v>
      </c>
      <c r="B25" s="1" t="s">
        <v>8</v>
      </c>
      <c r="C25" s="1" t="str">
        <f>INDEX(D1:H1, MATCH(MAX(INDEX(D2:H7, MATCH("PRODA", B2:B7, 0), 0)), INDEX(D2:H7, MATCH("PRODA", B2:B7, 0), 0), 0))</f>
        <v>May Sales</v>
      </c>
      <c r="D25" s="7"/>
    </row>
    <row r="27" spans="1:8" ht="27.6" customHeight="1" x14ac:dyDescent="0.3">
      <c r="A27" s="5" t="s">
        <v>21</v>
      </c>
      <c r="B27" s="5"/>
      <c r="C27" s="5"/>
      <c r="D27" s="5"/>
      <c r="E27" s="5"/>
      <c r="F27" s="5"/>
      <c r="G27" s="5"/>
      <c r="H27" s="5"/>
    </row>
    <row r="28" spans="1:8" x14ac:dyDescent="0.3">
      <c r="A28" s="3" t="s">
        <v>0</v>
      </c>
      <c r="B28" s="3" t="s">
        <v>1</v>
      </c>
      <c r="C28" s="3" t="s">
        <v>2</v>
      </c>
      <c r="D28" s="3" t="s">
        <v>28</v>
      </c>
    </row>
    <row r="29" spans="1:8" x14ac:dyDescent="0.3">
      <c r="A29" s="3">
        <v>101</v>
      </c>
      <c r="B29" s="1" t="s">
        <v>8</v>
      </c>
      <c r="C29" s="1" t="s">
        <v>9</v>
      </c>
      <c r="D29" s="1">
        <f>INDEX($D$2:$H$7, MATCH(A2,$A$2:$A$7,0), MATCH("Apr Sales",$D$1:$H$1,0))</f>
        <v>150</v>
      </c>
    </row>
    <row r="30" spans="1:8" x14ac:dyDescent="0.3">
      <c r="A30" s="3">
        <v>103</v>
      </c>
      <c r="B30" s="1" t="s">
        <v>12</v>
      </c>
      <c r="C30" s="1" t="s">
        <v>9</v>
      </c>
      <c r="D30" s="1">
        <f t="shared" ref="D30:D31" si="0">INDEX($D$2:$H$7, MATCH(A3,$A$2:$A$7,0), MATCH("Apr Sales",$D$1:$H$1,0))</f>
        <v>180</v>
      </c>
    </row>
    <row r="31" spans="1:8" x14ac:dyDescent="0.3">
      <c r="A31" s="3">
        <v>106</v>
      </c>
      <c r="B31" s="1" t="s">
        <v>16</v>
      </c>
      <c r="C31" s="1" t="s">
        <v>9</v>
      </c>
      <c r="D31" s="1">
        <f t="shared" si="0"/>
        <v>230</v>
      </c>
    </row>
    <row r="32" spans="1:8" x14ac:dyDescent="0.3">
      <c r="C32" s="1" t="s">
        <v>27</v>
      </c>
      <c r="D32" s="1">
        <f>SUMIF(C2:C4,"Electronics",D2:D4)</f>
        <v>320</v>
      </c>
    </row>
    <row r="34" spans="1:8" x14ac:dyDescent="0.3">
      <c r="A34" s="5" t="s">
        <v>22</v>
      </c>
      <c r="B34" s="5"/>
      <c r="C34" s="5"/>
      <c r="D34" s="5"/>
      <c r="E34" s="5"/>
      <c r="F34" s="5"/>
      <c r="G34" s="5"/>
      <c r="H34" s="5"/>
    </row>
    <row r="35" spans="1:8" x14ac:dyDescent="0.3">
      <c r="A35" s="3" t="s">
        <v>0</v>
      </c>
      <c r="B35" s="3" t="s">
        <v>1</v>
      </c>
      <c r="C35" s="3" t="s">
        <v>2</v>
      </c>
      <c r="D35" s="8" t="s">
        <v>29</v>
      </c>
      <c r="E35" s="6"/>
      <c r="F35" s="6"/>
      <c r="G35" s="6"/>
      <c r="H35" s="6"/>
    </row>
    <row r="36" spans="1:8" x14ac:dyDescent="0.3">
      <c r="A36" s="3">
        <v>104</v>
      </c>
      <c r="B36" s="1" t="s">
        <v>13</v>
      </c>
      <c r="C36" s="1" t="s">
        <v>14</v>
      </c>
      <c r="D36" s="1">
        <f>AVERAGE(INDEX(D2:H7, MATCH("PRODD", B2:B7, 0), 0))</f>
        <v>110</v>
      </c>
      <c r="E36" s="7"/>
      <c r="F36" s="7"/>
      <c r="G36" s="7"/>
      <c r="H36" s="7"/>
    </row>
    <row r="38" spans="1:8" x14ac:dyDescent="0.3">
      <c r="A38" s="2" t="s">
        <v>23</v>
      </c>
      <c r="B38" s="2"/>
      <c r="C38" s="2"/>
      <c r="D38" s="2"/>
      <c r="E38" s="2"/>
      <c r="F38" s="2"/>
      <c r="G38" s="2"/>
      <c r="H38" s="2"/>
    </row>
    <row r="39" spans="1:8" x14ac:dyDescent="0.3">
      <c r="A39" s="3" t="s">
        <v>0</v>
      </c>
      <c r="B39" s="3" t="s">
        <v>1</v>
      </c>
      <c r="C39" s="3" t="s">
        <v>7</v>
      </c>
    </row>
    <row r="40" spans="1:8" x14ac:dyDescent="0.3">
      <c r="A40" s="3">
        <v>104</v>
      </c>
      <c r="B40" s="1" t="s">
        <v>13</v>
      </c>
      <c r="C40" s="1">
        <f>INDEX(D2:H7, MATCH(105, A2:A7, 0), MATCH("May Sales", D1:H1, 0))</f>
        <v>260</v>
      </c>
    </row>
    <row r="42" spans="1:8" ht="31.2" customHeight="1" x14ac:dyDescent="0.3">
      <c r="A42" s="5" t="s">
        <v>24</v>
      </c>
      <c r="B42" s="5"/>
      <c r="C42" s="5"/>
      <c r="D42" s="5"/>
      <c r="E42" s="5"/>
      <c r="F42" s="5"/>
      <c r="G42" s="5"/>
      <c r="H42" s="5"/>
    </row>
    <row r="43" spans="1:8" x14ac:dyDescent="0.3">
      <c r="A43" s="3" t="s">
        <v>1</v>
      </c>
      <c r="B43" s="3" t="s">
        <v>26</v>
      </c>
      <c r="C43" s="3" t="s">
        <v>30</v>
      </c>
    </row>
    <row r="44" spans="1:8" x14ac:dyDescent="0.3">
      <c r="A44" s="1" t="s">
        <v>13</v>
      </c>
      <c r="B44" s="1" t="s">
        <v>7</v>
      </c>
      <c r="C44" s="1">
        <f>INDEX(D2:H7, MATCH(A44, B2:B7, 0), MATCH(B44, D1:H1, 0))</f>
        <v>130</v>
      </c>
    </row>
  </sheetData>
  <mergeCells count="8">
    <mergeCell ref="A38:H38"/>
    <mergeCell ref="A42:H42"/>
    <mergeCell ref="A11:H11"/>
    <mergeCell ref="A15:H15"/>
    <mergeCell ref="A19:H19"/>
    <mergeCell ref="A23:H23"/>
    <mergeCell ref="A27:H27"/>
    <mergeCell ref="A34:H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2026-03-12T05:43:35Z</dcterms:created>
  <dcterms:modified xsi:type="dcterms:W3CDTF">2026-03-12T06:40:34Z</dcterms:modified>
</cp:coreProperties>
</file>