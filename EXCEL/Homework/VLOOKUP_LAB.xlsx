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Homework\"/>
    </mc:Choice>
  </mc:AlternateContent>
  <xr:revisionPtr revIDLastSave="0" documentId="13_ncr:1_{294D6480-01F6-4B3D-A065-9E39AEA4EE5B}" xr6:coauthVersionLast="47" xr6:coauthVersionMax="47" xr10:uidLastSave="{00000000-0000-0000-0000-000000000000}"/>
  <bookViews>
    <workbookView xWindow="-108" yWindow="-108" windowWidth="23256" windowHeight="12456" activeTab="2" xr2:uid="{63CCB0DF-6991-42B9-9F00-F78D229B06A3}"/>
  </bookViews>
  <sheets>
    <sheet name="VLOOKUP(LAB1) Question" sheetId="1" r:id="rId1"/>
    <sheet name="Products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8" i="3" l="1"/>
  <c r="C69" i="3"/>
  <c r="C70" i="3"/>
  <c r="C71" i="3"/>
  <c r="C72" i="3"/>
  <c r="C73" i="3"/>
  <c r="B69" i="3"/>
  <c r="B70" i="3"/>
  <c r="B71" i="3"/>
  <c r="B72" i="3"/>
  <c r="B73" i="3"/>
  <c r="B68" i="3"/>
  <c r="B60" i="3"/>
  <c r="B61" i="3"/>
  <c r="B62" i="3"/>
  <c r="B63" i="3"/>
  <c r="B64" i="3"/>
  <c r="B59" i="3"/>
  <c r="E55" i="3"/>
  <c r="D53" i="3"/>
  <c r="E53" i="3" s="1"/>
  <c r="D52" i="3"/>
  <c r="E52" i="3" s="1"/>
  <c r="D51" i="3"/>
  <c r="E51" i="3" s="1"/>
  <c r="D50" i="3"/>
  <c r="E50" i="3" s="1"/>
  <c r="E49" i="3"/>
  <c r="D49" i="3"/>
  <c r="D48" i="3"/>
  <c r="E48" i="3" s="1"/>
  <c r="E40" i="3"/>
  <c r="E41" i="3"/>
  <c r="E42" i="3"/>
  <c r="E43" i="3"/>
  <c r="E44" i="3"/>
  <c r="E39" i="3"/>
  <c r="D40" i="3"/>
  <c r="D41" i="3"/>
  <c r="D42" i="3"/>
  <c r="D43" i="3"/>
  <c r="D44" i="3"/>
  <c r="D39" i="3"/>
  <c r="C39" i="3"/>
  <c r="C40" i="3"/>
  <c r="C41" i="3"/>
  <c r="C42" i="3"/>
  <c r="C43" i="3"/>
  <c r="C44" i="3"/>
  <c r="B39" i="3"/>
  <c r="B44" i="3"/>
  <c r="B43" i="3"/>
  <c r="B42" i="3"/>
  <c r="B41" i="3"/>
  <c r="B40" i="3"/>
  <c r="B31" i="3"/>
  <c r="B32" i="3"/>
  <c r="B33" i="3"/>
  <c r="B34" i="3"/>
  <c r="B35" i="3"/>
  <c r="B30" i="3"/>
  <c r="E25" i="3"/>
  <c r="E26" i="3"/>
  <c r="D22" i="3"/>
  <c r="E22" i="3" s="1"/>
  <c r="D23" i="3"/>
  <c r="E23" i="3" s="1"/>
  <c r="D24" i="3"/>
  <c r="E24" i="3" s="1"/>
  <c r="D25" i="3"/>
  <c r="D26" i="3"/>
  <c r="D21" i="3"/>
  <c r="E21" i="3" s="1"/>
  <c r="B12" i="3"/>
  <c r="B13" i="3"/>
  <c r="B14" i="3"/>
  <c r="B15" i="3"/>
  <c r="B16" i="3"/>
  <c r="B11" i="3"/>
  <c r="D3" i="3"/>
  <c r="D4" i="3"/>
  <c r="D5" i="3"/>
  <c r="D6" i="3"/>
  <c r="D7" i="3"/>
  <c r="D2" i="3"/>
</calcChain>
</file>

<file path=xl/sharedStrings.xml><?xml version="1.0" encoding="utf-8"?>
<sst xmlns="http://schemas.openxmlformats.org/spreadsheetml/2006/main" count="65" uniqueCount="29">
  <si>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</si>
  <si>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</si>
  <si>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</si>
  <si>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</si>
  <si>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</si>
  <si>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</si>
  <si>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</si>
  <si>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</si>
  <si>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</si>
  <si>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TotalPrice</t>
  </si>
  <si>
    <t>OrderID</t>
  </si>
  <si>
    <t>Quantity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</si>
  <si>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</si>
  <si>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</si>
  <si>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</si>
  <si>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</si>
  <si>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</si>
  <si>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</si>
  <si>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</si>
  <si>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Questions</t>
  </si>
  <si>
    <t>Product Name</t>
  </si>
  <si>
    <t>Total Price</t>
  </si>
  <si>
    <t>Exist</t>
  </si>
  <si>
    <t>Original Price</t>
  </si>
  <si>
    <t>Discounted Price</t>
  </si>
  <si>
    <t>Price After Discount</t>
  </si>
  <si>
    <t>Order Value</t>
  </si>
  <si>
    <t>Max_Order_Values</t>
  </si>
  <si>
    <t>Order/Not_order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</si>
</sst>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0" xfId="0" applyBorder="1"/>
    <xf numFmtId="0" fontId="1" fillId="0" borderId="1" xfId="0" applyFont="1" applyFill="1" applyBorder="1"/>
    <xf numFmtId="0" fontId="0" fillId="0" borderId="1" xfId="0" applyFont="1" applyBorder="1"/>
    <xf numFmtId="0" fontId="1" fillId="0" borderId="0" xfId="0" applyFont="1" applyBorder="1"/>
    <xf numFmtId="0" fontId="0" fillId="0" borderId="3" xfId="0" applyBorder="1"/>
    <xf numFmtId="0" fontId="0" fillId="0" borderId="0" xfId="0" applyBorder="1" applyAlignment="1"/>
    <xf numFmtId="0" fontId="1" fillId="0" borderId="0" xfId="0" applyFont="1" applyFill="1" applyBorder="1"/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755F-4EBB-4E98-BB67-F38B9F0E6CE6}">
  <dimension ref="A1:E15"/>
  <sheetViews>
    <sheetView workbookViewId="0">
      <selection activeCell="E21" sqref="E21"/>
    </sheetView>
  </sheetViews>
  <sheetFormatPr defaultRowHeight="14.4" x14ac:dyDescent="0.3"/>
  <cols>
    <col min="4" max="4" width="9.21875" bestFit="1" customWidth="1"/>
    <col min="5" max="5" width="130.21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E1" s="2" t="s">
        <v>19</v>
      </c>
    </row>
    <row r="2" spans="1:5" x14ac:dyDescent="0.3">
      <c r="A2" s="1">
        <v>101</v>
      </c>
      <c r="B2" s="1" t="s">
        <v>3</v>
      </c>
      <c r="C2" s="1">
        <v>120</v>
      </c>
      <c r="E2" s="1" t="s">
        <v>12</v>
      </c>
    </row>
    <row r="3" spans="1:5" x14ac:dyDescent="0.3">
      <c r="A3" s="1">
        <v>102</v>
      </c>
      <c r="B3" s="1" t="s">
        <v>4</v>
      </c>
      <c r="C3" s="1">
        <v>150</v>
      </c>
      <c r="E3" s="1" t="s">
        <v>13</v>
      </c>
    </row>
    <row r="4" spans="1:5" x14ac:dyDescent="0.3">
      <c r="A4" s="1">
        <v>103</v>
      </c>
      <c r="B4" s="1" t="s">
        <v>5</v>
      </c>
      <c r="C4" s="1">
        <v>200</v>
      </c>
      <c r="E4" s="1" t="s">
        <v>14</v>
      </c>
    </row>
    <row r="5" spans="1:5" x14ac:dyDescent="0.3">
      <c r="A5" s="1">
        <v>104</v>
      </c>
      <c r="B5" s="1" t="s">
        <v>6</v>
      </c>
      <c r="C5" s="1">
        <v>90</v>
      </c>
      <c r="E5" s="1" t="s">
        <v>15</v>
      </c>
    </row>
    <row r="6" spans="1:5" x14ac:dyDescent="0.3">
      <c r="A6" s="1">
        <v>105</v>
      </c>
      <c r="B6" s="1" t="s">
        <v>7</v>
      </c>
      <c r="C6" s="1">
        <v>220</v>
      </c>
      <c r="E6" s="1" t="s">
        <v>16</v>
      </c>
    </row>
    <row r="7" spans="1:5" x14ac:dyDescent="0.3">
      <c r="A7" s="1">
        <v>106</v>
      </c>
      <c r="B7" s="1" t="s">
        <v>8</v>
      </c>
      <c r="C7" s="1">
        <v>130</v>
      </c>
      <c r="E7" s="1" t="s">
        <v>17</v>
      </c>
    </row>
    <row r="8" spans="1:5" x14ac:dyDescent="0.3">
      <c r="E8" s="1" t="s">
        <v>18</v>
      </c>
    </row>
    <row r="9" spans="1:5" x14ac:dyDescent="0.3">
      <c r="A9" s="3" t="s">
        <v>10</v>
      </c>
      <c r="B9" s="3" t="s">
        <v>0</v>
      </c>
      <c r="C9" s="3" t="s">
        <v>11</v>
      </c>
    </row>
    <row r="10" spans="1:5" x14ac:dyDescent="0.3">
      <c r="A10" s="1">
        <v>1</v>
      </c>
      <c r="B10" s="1">
        <v>101</v>
      </c>
      <c r="C10" s="1">
        <v>2</v>
      </c>
    </row>
    <row r="11" spans="1:5" x14ac:dyDescent="0.3">
      <c r="A11" s="1">
        <v>2</v>
      </c>
      <c r="B11" s="1">
        <v>103</v>
      </c>
      <c r="C11" s="1">
        <v>1</v>
      </c>
    </row>
    <row r="12" spans="1:5" x14ac:dyDescent="0.3">
      <c r="A12" s="1">
        <v>3</v>
      </c>
      <c r="B12" s="1">
        <v>105</v>
      </c>
      <c r="C12" s="1">
        <v>4</v>
      </c>
    </row>
    <row r="13" spans="1:5" x14ac:dyDescent="0.3">
      <c r="A13" s="1">
        <v>4</v>
      </c>
      <c r="B13" s="1">
        <v>106</v>
      </c>
      <c r="C13" s="1">
        <v>3</v>
      </c>
    </row>
    <row r="14" spans="1:5" x14ac:dyDescent="0.3">
      <c r="A14" s="1">
        <v>5</v>
      </c>
      <c r="B14" s="1">
        <v>102</v>
      </c>
      <c r="C14" s="1">
        <v>5</v>
      </c>
    </row>
    <row r="15" spans="1:5" x14ac:dyDescent="0.3">
      <c r="A15" s="1">
        <v>6</v>
      </c>
      <c r="B15" s="1">
        <v>104</v>
      </c>
      <c r="C15" s="1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7947-B534-44BD-9E6B-6FA06971B2B5}">
  <dimension ref="A1:C7"/>
  <sheetViews>
    <sheetView workbookViewId="0">
      <selection activeCell="B1" sqref="B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101</v>
      </c>
      <c r="B2" s="1" t="s">
        <v>3</v>
      </c>
      <c r="C2" s="1">
        <v>120</v>
      </c>
    </row>
    <row r="3" spans="1:3" x14ac:dyDescent="0.3">
      <c r="A3" s="1">
        <v>102</v>
      </c>
      <c r="B3" s="1" t="s">
        <v>4</v>
      </c>
      <c r="C3" s="1">
        <v>150</v>
      </c>
    </row>
    <row r="4" spans="1:3" x14ac:dyDescent="0.3">
      <c r="A4" s="1">
        <v>103</v>
      </c>
      <c r="B4" s="1" t="s">
        <v>5</v>
      </c>
      <c r="C4" s="1">
        <v>200</v>
      </c>
    </row>
    <row r="5" spans="1:3" x14ac:dyDescent="0.3">
      <c r="A5" s="1">
        <v>104</v>
      </c>
      <c r="B5" s="1" t="s">
        <v>6</v>
      </c>
      <c r="C5" s="1">
        <v>90</v>
      </c>
    </row>
    <row r="6" spans="1:3" x14ac:dyDescent="0.3">
      <c r="A6" s="1">
        <v>105</v>
      </c>
      <c r="B6" s="1" t="s">
        <v>7</v>
      </c>
      <c r="C6" s="1">
        <v>220</v>
      </c>
    </row>
    <row r="7" spans="1:3" x14ac:dyDescent="0.3">
      <c r="A7" s="1">
        <v>106</v>
      </c>
      <c r="B7" s="1" t="s">
        <v>8</v>
      </c>
      <c r="C7" s="1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10CF-230F-4B57-B8F8-AB8A0C98AD80}">
  <dimension ref="A1:F73"/>
  <sheetViews>
    <sheetView tabSelected="1" topLeftCell="A35" workbookViewId="0">
      <selection activeCell="A37" sqref="A37:E37"/>
    </sheetView>
  </sheetViews>
  <sheetFormatPr defaultRowHeight="14.4" x14ac:dyDescent="0.3"/>
  <cols>
    <col min="1" max="1" width="12.6640625" bestFit="1" customWidth="1"/>
    <col min="2" max="2" width="15.109375" bestFit="1" customWidth="1"/>
    <col min="3" max="3" width="11.6640625" bestFit="1" customWidth="1"/>
    <col min="4" max="4" width="14.6640625" bestFit="1" customWidth="1"/>
    <col min="5" max="5" width="17.77734375" bestFit="1" customWidth="1"/>
    <col min="6" max="6" width="17.21875" bestFit="1" customWidth="1"/>
  </cols>
  <sheetData>
    <row r="1" spans="1:4" x14ac:dyDescent="0.3">
      <c r="A1" s="3" t="s">
        <v>10</v>
      </c>
      <c r="B1" s="3" t="s">
        <v>0</v>
      </c>
      <c r="C1" s="3" t="s">
        <v>11</v>
      </c>
      <c r="D1" s="3" t="s">
        <v>9</v>
      </c>
    </row>
    <row r="2" spans="1:4" x14ac:dyDescent="0.3">
      <c r="A2" s="1">
        <v>1</v>
      </c>
      <c r="B2" s="1">
        <v>101</v>
      </c>
      <c r="C2" s="1">
        <v>2</v>
      </c>
      <c r="D2" s="1">
        <f>VLOOKUP(B2,Products!$A$2:$C$7,3,FALSE)*C2</f>
        <v>240</v>
      </c>
    </row>
    <row r="3" spans="1:4" x14ac:dyDescent="0.3">
      <c r="A3" s="1">
        <v>2</v>
      </c>
      <c r="B3" s="1">
        <v>103</v>
      </c>
      <c r="C3" s="1">
        <v>1</v>
      </c>
      <c r="D3" s="1">
        <f>VLOOKUP(B3,Products!$A$2:$C$7,3,FALSE)*C3</f>
        <v>200</v>
      </c>
    </row>
    <row r="4" spans="1:4" x14ac:dyDescent="0.3">
      <c r="A4" s="1">
        <v>3</v>
      </c>
      <c r="B4" s="1">
        <v>105</v>
      </c>
      <c r="C4" s="1">
        <v>4</v>
      </c>
      <c r="D4" s="1">
        <f>VLOOKUP(B4,Products!$A$2:$C$7,3,FALSE)*C4</f>
        <v>880</v>
      </c>
    </row>
    <row r="5" spans="1:4" x14ac:dyDescent="0.3">
      <c r="A5" s="1">
        <v>4</v>
      </c>
      <c r="B5" s="1">
        <v>106</v>
      </c>
      <c r="C5" s="1">
        <v>3</v>
      </c>
      <c r="D5" s="1">
        <f>VLOOKUP(B5,Products!$A$2:$C$7,3,FALSE)*C5</f>
        <v>390</v>
      </c>
    </row>
    <row r="6" spans="1:4" x14ac:dyDescent="0.3">
      <c r="A6" s="1">
        <v>5</v>
      </c>
      <c r="B6" s="1">
        <v>102</v>
      </c>
      <c r="C6" s="1">
        <v>5</v>
      </c>
      <c r="D6" s="1">
        <f>VLOOKUP(B6,Products!$A$2:$C$7,3,FALSE)*C6</f>
        <v>750</v>
      </c>
    </row>
    <row r="7" spans="1:4" x14ac:dyDescent="0.3">
      <c r="A7" s="1">
        <v>6</v>
      </c>
      <c r="B7" s="1">
        <v>104</v>
      </c>
      <c r="C7" s="1">
        <v>6</v>
      </c>
      <c r="D7" s="1">
        <f>VLOOKUP(B7,Products!$A$2:$C$7,3,FALSE)*C7</f>
        <v>540</v>
      </c>
    </row>
    <row r="9" spans="1:4" ht="27.6" customHeight="1" x14ac:dyDescent="0.3">
      <c r="A9" s="12" t="s">
        <v>12</v>
      </c>
      <c r="B9" s="12"/>
      <c r="C9" s="12"/>
      <c r="D9" s="12"/>
    </row>
    <row r="10" spans="1:4" x14ac:dyDescent="0.3">
      <c r="A10" s="3" t="s">
        <v>0</v>
      </c>
      <c r="B10" s="3" t="s">
        <v>20</v>
      </c>
      <c r="C10" s="4"/>
      <c r="D10" s="4"/>
    </row>
    <row r="11" spans="1:4" x14ac:dyDescent="0.3">
      <c r="A11" s="1">
        <v>101</v>
      </c>
      <c r="B11" s="1" t="str">
        <f>VLOOKUP(A11,Products!$A$1:$C$7,2,FALSE)</f>
        <v>Product A</v>
      </c>
      <c r="C11" s="4"/>
      <c r="D11" s="4"/>
    </row>
    <row r="12" spans="1:4" x14ac:dyDescent="0.3">
      <c r="A12" s="1">
        <v>102</v>
      </c>
      <c r="B12" s="1" t="str">
        <f>VLOOKUP(A12,Products!$A$1:$C$7,2,FALSE)</f>
        <v>Product B</v>
      </c>
      <c r="C12" s="4"/>
      <c r="D12" s="4"/>
    </row>
    <row r="13" spans="1:4" x14ac:dyDescent="0.3">
      <c r="A13" s="1">
        <v>103</v>
      </c>
      <c r="B13" s="1" t="str">
        <f>VLOOKUP(A13,Products!$A$1:$C$7,2,FALSE)</f>
        <v>Product C</v>
      </c>
      <c r="C13" s="4"/>
      <c r="D13" s="4"/>
    </row>
    <row r="14" spans="1:4" x14ac:dyDescent="0.3">
      <c r="A14" s="1">
        <v>104</v>
      </c>
      <c r="B14" s="1" t="str">
        <f>VLOOKUP(A14,Products!$A$1:$C$7,2,FALSE)</f>
        <v>Product D</v>
      </c>
      <c r="C14" s="4"/>
      <c r="D14" s="4"/>
    </row>
    <row r="15" spans="1:4" x14ac:dyDescent="0.3">
      <c r="A15" s="1">
        <v>105</v>
      </c>
      <c r="B15" s="1" t="str">
        <f>VLOOKUP(A15,Products!$A$1:$C$7,2,FALSE)</f>
        <v>Product E</v>
      </c>
      <c r="C15" s="4"/>
      <c r="D15" s="4"/>
    </row>
    <row r="16" spans="1:4" x14ac:dyDescent="0.3">
      <c r="A16" s="1">
        <v>106</v>
      </c>
      <c r="B16" s="1" t="str">
        <f>VLOOKUP(A16,Products!$A$1:$C$7,2,FALSE)</f>
        <v>Product F</v>
      </c>
      <c r="C16" s="4"/>
      <c r="D16" s="4"/>
    </row>
    <row r="18" spans="1:6" ht="24" customHeight="1" x14ac:dyDescent="0.3">
      <c r="A18" s="11" t="s">
        <v>13</v>
      </c>
      <c r="B18" s="11"/>
      <c r="C18" s="11"/>
      <c r="D18" s="11"/>
      <c r="E18" s="11"/>
      <c r="F18" s="4"/>
    </row>
    <row r="19" spans="1:6" ht="15.6" customHeight="1" x14ac:dyDescent="0.3">
      <c r="A19" s="13"/>
      <c r="B19" s="13"/>
      <c r="C19" s="13"/>
      <c r="D19" s="13"/>
      <c r="E19" s="13"/>
    </row>
    <row r="20" spans="1:6" x14ac:dyDescent="0.3">
      <c r="A20" s="3" t="s">
        <v>10</v>
      </c>
      <c r="B20" s="3" t="s">
        <v>0</v>
      </c>
      <c r="C20" s="3" t="s">
        <v>11</v>
      </c>
      <c r="D20" s="3" t="s">
        <v>2</v>
      </c>
      <c r="E20" s="5" t="s">
        <v>21</v>
      </c>
    </row>
    <row r="21" spans="1:6" x14ac:dyDescent="0.3">
      <c r="A21" s="1">
        <v>1</v>
      </c>
      <c r="B21" s="1">
        <v>101</v>
      </c>
      <c r="C21" s="1">
        <v>2</v>
      </c>
      <c r="D21" s="1">
        <f>VLOOKUP(B21,Products!$A$1:$C$7,3,FALSE)</f>
        <v>120</v>
      </c>
      <c r="E21" s="1">
        <f>PRODUCT(C21,D21)</f>
        <v>240</v>
      </c>
    </row>
    <row r="22" spans="1:6" x14ac:dyDescent="0.3">
      <c r="A22" s="1">
        <v>2</v>
      </c>
      <c r="B22" s="1">
        <v>103</v>
      </c>
      <c r="C22" s="1">
        <v>1</v>
      </c>
      <c r="D22" s="1">
        <f>VLOOKUP(B22,Products!$A$1:$C$7,3,FALSE)</f>
        <v>200</v>
      </c>
      <c r="E22" s="1">
        <f t="shared" ref="E22:E26" si="0">PRODUCT(C22,D22)</f>
        <v>200</v>
      </c>
    </row>
    <row r="23" spans="1:6" x14ac:dyDescent="0.3">
      <c r="A23" s="1">
        <v>3</v>
      </c>
      <c r="B23" s="1">
        <v>105</v>
      </c>
      <c r="C23" s="1">
        <v>4</v>
      </c>
      <c r="D23" s="1">
        <f>VLOOKUP(B23,Products!$A$1:$C$7,3,FALSE)</f>
        <v>220</v>
      </c>
      <c r="E23" s="1">
        <f t="shared" si="0"/>
        <v>880</v>
      </c>
    </row>
    <row r="24" spans="1:6" x14ac:dyDescent="0.3">
      <c r="A24" s="1">
        <v>4</v>
      </c>
      <c r="B24" s="1">
        <v>106</v>
      </c>
      <c r="C24" s="1">
        <v>3</v>
      </c>
      <c r="D24" s="1">
        <f>VLOOKUP(B24,Products!$A$1:$C$7,3,FALSE)</f>
        <v>130</v>
      </c>
      <c r="E24" s="1">
        <f t="shared" si="0"/>
        <v>390</v>
      </c>
    </row>
    <row r="25" spans="1:6" x14ac:dyDescent="0.3">
      <c r="A25" s="1">
        <v>5</v>
      </c>
      <c r="B25" s="1">
        <v>102</v>
      </c>
      <c r="C25" s="1">
        <v>5</v>
      </c>
      <c r="D25" s="1">
        <f>VLOOKUP(B25,Products!$A$1:$C$7,3,FALSE)</f>
        <v>150</v>
      </c>
      <c r="E25" s="1">
        <f t="shared" si="0"/>
        <v>750</v>
      </c>
    </row>
    <row r="26" spans="1:6" x14ac:dyDescent="0.3">
      <c r="A26" s="1">
        <v>6</v>
      </c>
      <c r="B26" s="1">
        <v>104</v>
      </c>
      <c r="C26" s="1">
        <v>6</v>
      </c>
      <c r="D26" s="1">
        <f>VLOOKUP(B26,Products!$A$1:$C$7,3,FALSE)</f>
        <v>90</v>
      </c>
      <c r="E26" s="1">
        <f t="shared" si="0"/>
        <v>540</v>
      </c>
    </row>
    <row r="28" spans="1:6" ht="33" customHeight="1" x14ac:dyDescent="0.3">
      <c r="A28" s="11" t="s">
        <v>14</v>
      </c>
      <c r="B28" s="11"/>
      <c r="C28" s="11"/>
      <c r="D28" s="11"/>
      <c r="E28" s="11"/>
    </row>
    <row r="29" spans="1:6" x14ac:dyDescent="0.3">
      <c r="A29" s="3" t="s">
        <v>0</v>
      </c>
      <c r="B29" s="3" t="s">
        <v>22</v>
      </c>
    </row>
    <row r="30" spans="1:6" x14ac:dyDescent="0.3">
      <c r="A30" s="1">
        <v>101</v>
      </c>
      <c r="B30" s="6" t="str">
        <f>IF(ISNA(VLOOKUP(A30,Products!$A$1:$C$7,1,FALSE)),"Not Found","Found")</f>
        <v>Found</v>
      </c>
    </row>
    <row r="31" spans="1:6" x14ac:dyDescent="0.3">
      <c r="A31" s="1">
        <v>102</v>
      </c>
      <c r="B31" s="6" t="str">
        <f>IF(ISNA(VLOOKUP(A31,Products!$A$1:$C$7,1,FALSE)),"Not Found","Found")</f>
        <v>Found</v>
      </c>
    </row>
    <row r="32" spans="1:6" x14ac:dyDescent="0.3">
      <c r="A32" s="1">
        <v>103</v>
      </c>
      <c r="B32" s="6" t="str">
        <f>IF(ISNA(VLOOKUP(A32,Products!$A$1:$C$7,1,FALSE)),"Not Found","Found")</f>
        <v>Found</v>
      </c>
    </row>
    <row r="33" spans="1:5" x14ac:dyDescent="0.3">
      <c r="A33" s="1">
        <v>104</v>
      </c>
      <c r="B33" s="6" t="str">
        <f>IF(ISNA(VLOOKUP(A33,Products!$A$1:$C$7,1,FALSE)),"Not Found","Found")</f>
        <v>Found</v>
      </c>
    </row>
    <row r="34" spans="1:5" x14ac:dyDescent="0.3">
      <c r="A34" s="1">
        <v>105</v>
      </c>
      <c r="B34" s="6" t="str">
        <f>IF(ISNA(VLOOKUP(A34,Products!$A$1:$C$7,1,FALSE)),"Not Found","Found")</f>
        <v>Found</v>
      </c>
    </row>
    <row r="35" spans="1:5" x14ac:dyDescent="0.3">
      <c r="A35" s="1">
        <v>106</v>
      </c>
      <c r="B35" s="6" t="str">
        <f>IF(ISNA(VLOOKUP(A35,Products!$A$1:$C$7,1,FALSE)),"Not Found","Found")</f>
        <v>Found</v>
      </c>
    </row>
    <row r="37" spans="1:5" ht="40.799999999999997" customHeight="1" x14ac:dyDescent="0.3">
      <c r="A37" s="11" t="s">
        <v>15</v>
      </c>
      <c r="B37" s="11"/>
      <c r="C37" s="11"/>
      <c r="D37" s="11"/>
      <c r="E37" s="11"/>
    </row>
    <row r="38" spans="1:5" x14ac:dyDescent="0.3">
      <c r="A38" s="3" t="s">
        <v>0</v>
      </c>
      <c r="B38" s="3" t="s">
        <v>1</v>
      </c>
      <c r="C38" s="3" t="s">
        <v>23</v>
      </c>
      <c r="D38" s="3" t="s">
        <v>24</v>
      </c>
      <c r="E38" s="3" t="s">
        <v>25</v>
      </c>
    </row>
    <row r="39" spans="1:5" x14ac:dyDescent="0.3">
      <c r="A39" s="1">
        <v>101</v>
      </c>
      <c r="B39" s="1" t="str">
        <f>VLOOKUP(A39,Products!$A$1:$C$7,2,FALSE)</f>
        <v>Product A</v>
      </c>
      <c r="C39" s="1">
        <f>VLOOKUP(A39,Products!$A$1:$C$7,3,FALSE)</f>
        <v>120</v>
      </c>
      <c r="D39" s="1">
        <f>VLOOKUP(A39,Products!$A$1:$C$7,3,FALSE)*10%</f>
        <v>12</v>
      </c>
      <c r="E39" s="1">
        <f>C39-D39</f>
        <v>108</v>
      </c>
    </row>
    <row r="40" spans="1:5" x14ac:dyDescent="0.3">
      <c r="A40" s="1">
        <v>102</v>
      </c>
      <c r="B40" s="1" t="str">
        <f>VLOOKUP(A40,Products!$A$1:$C$7,2,FALSE)</f>
        <v>Product B</v>
      </c>
      <c r="C40" s="1">
        <f>VLOOKUP(A40,Products!$A$1:$C$7,3,FALSE)</f>
        <v>150</v>
      </c>
      <c r="D40" s="1">
        <f>VLOOKUP(A40,Products!$A$1:$C$7,3,FALSE)*10%</f>
        <v>15</v>
      </c>
      <c r="E40" s="1">
        <f t="shared" ref="E40:E44" si="1">C40-D40</f>
        <v>135</v>
      </c>
    </row>
    <row r="41" spans="1:5" x14ac:dyDescent="0.3">
      <c r="A41" s="1">
        <v>103</v>
      </c>
      <c r="B41" s="1" t="str">
        <f>VLOOKUP(A41,Products!$A$1:$C$7,2,FALSE)</f>
        <v>Product C</v>
      </c>
      <c r="C41" s="1">
        <f>VLOOKUP(A41,Products!$A$1:$C$7,3,FALSE)</f>
        <v>200</v>
      </c>
      <c r="D41" s="1">
        <f>VLOOKUP(A41,Products!$A$1:$C$7,3,FALSE)*10%</f>
        <v>20</v>
      </c>
      <c r="E41" s="1">
        <f t="shared" si="1"/>
        <v>180</v>
      </c>
    </row>
    <row r="42" spans="1:5" x14ac:dyDescent="0.3">
      <c r="A42" s="1">
        <v>104</v>
      </c>
      <c r="B42" s="1" t="str">
        <f>VLOOKUP(A42,Products!$A$1:$C$7,2,FALSE)</f>
        <v>Product D</v>
      </c>
      <c r="C42" s="1">
        <f>VLOOKUP(A42,Products!$A$1:$C$7,3,FALSE)</f>
        <v>90</v>
      </c>
      <c r="D42" s="1">
        <f>VLOOKUP(A42,Products!$A$1:$C$7,3,FALSE)*10%</f>
        <v>9</v>
      </c>
      <c r="E42" s="1">
        <f t="shared" si="1"/>
        <v>81</v>
      </c>
    </row>
    <row r="43" spans="1:5" x14ac:dyDescent="0.3">
      <c r="A43" s="1">
        <v>105</v>
      </c>
      <c r="B43" s="1" t="str">
        <f>VLOOKUP(A43,Products!$A$1:$C$7,2,FALSE)</f>
        <v>Product E</v>
      </c>
      <c r="C43" s="1">
        <f>VLOOKUP(A43,Products!$A$1:$C$7,3,FALSE)</f>
        <v>220</v>
      </c>
      <c r="D43" s="1">
        <f>VLOOKUP(A43,Products!$A$1:$C$7,3,FALSE)*10%</f>
        <v>22</v>
      </c>
      <c r="E43" s="1">
        <f t="shared" si="1"/>
        <v>198</v>
      </c>
    </row>
    <row r="44" spans="1:5" x14ac:dyDescent="0.3">
      <c r="A44" s="1">
        <v>106</v>
      </c>
      <c r="B44" s="1" t="str">
        <f>VLOOKUP(A44,Products!$A$1:$C$7,2,FALSE)</f>
        <v>Product F</v>
      </c>
      <c r="C44" s="1">
        <f>VLOOKUP(A44,Products!$A$1:$C$7,3,FALSE)</f>
        <v>130</v>
      </c>
      <c r="D44" s="1">
        <f>VLOOKUP(A44,Products!$A$1:$C$7,3,FALSE)*10%</f>
        <v>13</v>
      </c>
      <c r="E44" s="1">
        <f t="shared" si="1"/>
        <v>117</v>
      </c>
    </row>
    <row r="46" spans="1:5" ht="27" customHeight="1" x14ac:dyDescent="0.3">
      <c r="A46" s="11" t="s">
        <v>16</v>
      </c>
      <c r="B46" s="11"/>
      <c r="C46" s="11"/>
      <c r="D46" s="11"/>
      <c r="E46" s="11"/>
    </row>
    <row r="47" spans="1:5" x14ac:dyDescent="0.3">
      <c r="A47" s="3" t="s">
        <v>10</v>
      </c>
      <c r="B47" s="3" t="s">
        <v>0</v>
      </c>
      <c r="C47" s="3" t="s">
        <v>11</v>
      </c>
      <c r="D47" s="3" t="s">
        <v>2</v>
      </c>
      <c r="E47" s="5" t="s">
        <v>26</v>
      </c>
    </row>
    <row r="48" spans="1:5" x14ac:dyDescent="0.3">
      <c r="A48" s="1">
        <v>1</v>
      </c>
      <c r="B48" s="1">
        <v>101</v>
      </c>
      <c r="C48" s="1">
        <v>2</v>
      </c>
      <c r="D48" s="1">
        <f>VLOOKUP(B48,Products!$A$1:$C$7,3,FALSE)</f>
        <v>120</v>
      </c>
      <c r="E48" s="8">
        <f>PRODUCT(C48,D48)</f>
        <v>240</v>
      </c>
    </row>
    <row r="49" spans="1:5" x14ac:dyDescent="0.3">
      <c r="A49" s="1">
        <v>2</v>
      </c>
      <c r="B49" s="1">
        <v>103</v>
      </c>
      <c r="C49" s="1">
        <v>1</v>
      </c>
      <c r="D49" s="1">
        <f>VLOOKUP(B49,Products!$A$1:$C$7,3,FALSE)</f>
        <v>200</v>
      </c>
      <c r="E49" s="1">
        <f t="shared" ref="E49:E53" si="2">PRODUCT(C49,D49)</f>
        <v>200</v>
      </c>
    </row>
    <row r="50" spans="1:5" x14ac:dyDescent="0.3">
      <c r="A50" s="1">
        <v>3</v>
      </c>
      <c r="B50" s="1">
        <v>105</v>
      </c>
      <c r="C50" s="1">
        <v>4</v>
      </c>
      <c r="D50" s="1">
        <f>VLOOKUP(B50,Products!$A$1:$C$7,3,FALSE)</f>
        <v>220</v>
      </c>
      <c r="E50" s="1">
        <f t="shared" si="2"/>
        <v>880</v>
      </c>
    </row>
    <row r="51" spans="1:5" x14ac:dyDescent="0.3">
      <c r="A51" s="1">
        <v>4</v>
      </c>
      <c r="B51" s="1">
        <v>106</v>
      </c>
      <c r="C51" s="1">
        <v>3</v>
      </c>
      <c r="D51" s="1">
        <f>VLOOKUP(B51,Products!$A$1:$C$7,3,FALSE)</f>
        <v>130</v>
      </c>
      <c r="E51" s="1">
        <f t="shared" si="2"/>
        <v>390</v>
      </c>
    </row>
    <row r="52" spans="1:5" x14ac:dyDescent="0.3">
      <c r="A52" s="1">
        <v>5</v>
      </c>
      <c r="B52" s="1">
        <v>102</v>
      </c>
      <c r="C52" s="1">
        <v>5</v>
      </c>
      <c r="D52" s="1">
        <f>VLOOKUP(B52,Products!$A$1:$C$7,3,FALSE)</f>
        <v>150</v>
      </c>
      <c r="E52" s="1">
        <f t="shared" si="2"/>
        <v>750</v>
      </c>
    </row>
    <row r="53" spans="1:5" x14ac:dyDescent="0.3">
      <c r="A53" s="1">
        <v>6</v>
      </c>
      <c r="B53" s="1">
        <v>104</v>
      </c>
      <c r="C53" s="1">
        <v>6</v>
      </c>
      <c r="D53" s="1">
        <f>VLOOKUP(B53,Products!$A$1:$C$7,3,FALSE)</f>
        <v>90</v>
      </c>
      <c r="E53" s="1">
        <f t="shared" si="2"/>
        <v>540</v>
      </c>
    </row>
    <row r="54" spans="1:5" x14ac:dyDescent="0.3">
      <c r="E54" s="5" t="s">
        <v>27</v>
      </c>
    </row>
    <row r="55" spans="1:5" x14ac:dyDescent="0.3">
      <c r="E55" s="1">
        <f>MAX(E48:E53)</f>
        <v>880</v>
      </c>
    </row>
    <row r="57" spans="1:5" ht="30" customHeight="1" x14ac:dyDescent="0.3">
      <c r="A57" s="11" t="s">
        <v>17</v>
      </c>
      <c r="B57" s="11"/>
      <c r="C57" s="11"/>
      <c r="D57" s="11"/>
      <c r="E57" s="11"/>
    </row>
    <row r="58" spans="1:5" x14ac:dyDescent="0.3">
      <c r="A58" s="3" t="s">
        <v>0</v>
      </c>
      <c r="B58" s="3" t="s">
        <v>28</v>
      </c>
      <c r="C58" s="7"/>
      <c r="D58" s="7"/>
    </row>
    <row r="59" spans="1:5" x14ac:dyDescent="0.3">
      <c r="A59" s="1">
        <v>101</v>
      </c>
      <c r="B59" s="1" t="str">
        <f>IF(ISNA(VLOOKUP(A59,Orders!$B$2:$B$7,1,FALSE)),"Not Ordered","Ordered")</f>
        <v>Ordered</v>
      </c>
      <c r="C59" s="4"/>
      <c r="D59" s="4"/>
    </row>
    <row r="60" spans="1:5" x14ac:dyDescent="0.3">
      <c r="A60" s="1">
        <v>103</v>
      </c>
      <c r="B60" s="1" t="str">
        <f>IF(ISNA(VLOOKUP(A60,Orders!$B$2:$B$7,1,FALSE)),"Not Ordered","Ordered")</f>
        <v>Ordered</v>
      </c>
      <c r="C60" s="4"/>
      <c r="D60" s="4"/>
    </row>
    <row r="61" spans="1:5" x14ac:dyDescent="0.3">
      <c r="A61" s="1">
        <v>105</v>
      </c>
      <c r="B61" s="1" t="str">
        <f>IF(ISNA(VLOOKUP(A61,Orders!$B$2:$B$7,1,FALSE)),"Not Ordered","Ordered")</f>
        <v>Ordered</v>
      </c>
      <c r="C61" s="4"/>
      <c r="D61" s="4"/>
    </row>
    <row r="62" spans="1:5" x14ac:dyDescent="0.3">
      <c r="A62" s="1">
        <v>106</v>
      </c>
      <c r="B62" s="1" t="str">
        <f>IF(ISNA(VLOOKUP(A62,Orders!$B$2:$B$7,1,FALSE)),"Not Ordered","Ordered")</f>
        <v>Ordered</v>
      </c>
      <c r="C62" s="4"/>
      <c r="D62" s="4"/>
    </row>
    <row r="63" spans="1:5" x14ac:dyDescent="0.3">
      <c r="A63" s="1">
        <v>102</v>
      </c>
      <c r="B63" s="1" t="str">
        <f>IF(ISNA(VLOOKUP(A63,Orders!$B$2:$B$7,1,FALSE)),"Not Ordered","Ordered")</f>
        <v>Ordered</v>
      </c>
      <c r="C63" s="4"/>
      <c r="D63" s="4"/>
    </row>
    <row r="64" spans="1:5" x14ac:dyDescent="0.3">
      <c r="A64" s="1">
        <v>104</v>
      </c>
      <c r="B64" s="1" t="str">
        <f>IF(ISNA(VLOOKUP(A64,Orders!$B$2:$B$7,1,FALSE)),"Not Ordered","Ordered")</f>
        <v>Ordered</v>
      </c>
      <c r="C64" s="4"/>
      <c r="D64" s="4"/>
    </row>
    <row r="65" spans="1:5" x14ac:dyDescent="0.3">
      <c r="A65" s="9"/>
      <c r="B65" s="9"/>
      <c r="C65" s="9"/>
    </row>
    <row r="66" spans="1:5" ht="28.2" customHeight="1" x14ac:dyDescent="0.3">
      <c r="A66" s="11" t="s">
        <v>18</v>
      </c>
      <c r="B66" s="11"/>
      <c r="C66" s="11"/>
      <c r="D66" s="11"/>
      <c r="E66" s="11"/>
    </row>
    <row r="67" spans="1:5" x14ac:dyDescent="0.3">
      <c r="A67" s="3" t="s">
        <v>0</v>
      </c>
      <c r="B67" s="3" t="s">
        <v>20</v>
      </c>
      <c r="C67" s="3" t="s">
        <v>11</v>
      </c>
      <c r="D67" s="10"/>
    </row>
    <row r="68" spans="1:5" x14ac:dyDescent="0.3">
      <c r="A68" s="1">
        <v>101</v>
      </c>
      <c r="B68" s="1" t="str">
        <f>VLOOKUP(A68,Products!$A$1:$C$7,2,FALSE)</f>
        <v>Product A</v>
      </c>
      <c r="C68" s="1">
        <f>VLOOKUP(A68,$B$1:$C$7,2,FALSE)</f>
        <v>2</v>
      </c>
    </row>
    <row r="69" spans="1:5" x14ac:dyDescent="0.3">
      <c r="A69" s="1">
        <v>102</v>
      </c>
      <c r="B69" s="1" t="str">
        <f>VLOOKUP(A69,Products!$A$1:$C$7,2,FALSE)</f>
        <v>Product B</v>
      </c>
      <c r="C69" s="1">
        <f t="shared" ref="C69:C73" si="3">VLOOKUP(A69,$B$1:$C$7,2,FALSE)</f>
        <v>5</v>
      </c>
    </row>
    <row r="70" spans="1:5" x14ac:dyDescent="0.3">
      <c r="A70" s="1">
        <v>103</v>
      </c>
      <c r="B70" s="1" t="str">
        <f>VLOOKUP(A70,Products!$A$1:$C$7,2,FALSE)</f>
        <v>Product C</v>
      </c>
      <c r="C70" s="1">
        <f t="shared" si="3"/>
        <v>1</v>
      </c>
    </row>
    <row r="71" spans="1:5" x14ac:dyDescent="0.3">
      <c r="A71" s="1">
        <v>104</v>
      </c>
      <c r="B71" s="1" t="str">
        <f>VLOOKUP(A71,Products!$A$1:$C$7,2,FALSE)</f>
        <v>Product D</v>
      </c>
      <c r="C71" s="1">
        <f t="shared" si="3"/>
        <v>6</v>
      </c>
    </row>
    <row r="72" spans="1:5" x14ac:dyDescent="0.3">
      <c r="A72" s="1">
        <v>105</v>
      </c>
      <c r="B72" s="1" t="str">
        <f>VLOOKUP(A72,Products!$A$1:$C$7,2,FALSE)</f>
        <v>Product E</v>
      </c>
      <c r="C72" s="1">
        <f t="shared" si="3"/>
        <v>4</v>
      </c>
    </row>
    <row r="73" spans="1:5" x14ac:dyDescent="0.3">
      <c r="A73" s="1">
        <v>106</v>
      </c>
      <c r="B73" s="1" t="str">
        <f>VLOOKUP(A73,Products!$A$1:$C$7,2,FALSE)</f>
        <v>Product F</v>
      </c>
      <c r="C73" s="1">
        <f t="shared" si="3"/>
        <v>3</v>
      </c>
    </row>
  </sheetData>
  <mergeCells count="7">
    <mergeCell ref="A66:E66"/>
    <mergeCell ref="A46:E46"/>
    <mergeCell ref="A57:E57"/>
    <mergeCell ref="A9:D9"/>
    <mergeCell ref="A28:E28"/>
    <mergeCell ref="A37:E37"/>
    <mergeCell ref="A18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VLOOKUP(LAB1) Question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2026-03-07T10:39:53Z</dcterms:created>
  <dcterms:modified xsi:type="dcterms:W3CDTF">2026-03-09T06:32:09Z</dcterms:modified>
</cp:coreProperties>
</file>